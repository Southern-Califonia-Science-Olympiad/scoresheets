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oring" sheetId="1" state="visible" r:id="rId3"/>
    <sheet name="Constants" sheetId="2" state="visible" r:id="rId4"/>
    <sheet name="Export" sheetId="3" state="visible" r:id="rId5"/>
    <sheet name="Changelog" sheetId="4" state="visible" r:id="rId6"/>
    <sheet name="Vers" sheetId="5" state="visible" r:id="rId7"/>
    <sheet name="Info." sheetId="6" state="visible" r:id="rId8"/>
    <sheet name="Dropdowns" sheetId="7" state="hidden" r:id="rId9"/>
    <sheet name="ExportRaw" sheetId="8" state="hidden" r:id="rId10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<sst xmlns="http://schemas.openxmlformats.org/spreadsheetml/2006/main" count="147" uniqueCount="104">
  <si>
    <t xml:space="preserve">Check-In &amp; Practice Log</t>
  </si>
  <si>
    <t xml:space="preserve">Flight Time</t>
  </si>
  <si>
    <t xml:space="preserve">Breakdown</t>
  </si>
  <si>
    <t xml:space="preserve">Rank for this team with row() bump</t>
  </si>
  <si>
    <t xml:space="preserve">Rank for this team with same ranks split</t>
  </si>
  <si>
    <t xml:space="preserve">Team Number of this team</t>
  </si>
  <si>
    <t xml:space="preserve">Name of this school</t>
  </si>
  <si>
    <t xml:space="preserve">Name of this team</t>
  </si>
  <si>
    <t xml:space="preserve">Tier for this Team</t>
  </si>
  <si>
    <t xml:space="preserve">Score for this team</t>
  </si>
  <si>
    <t xml:space="preserve">Actual Rank for this team</t>
  </si>
  <si>
    <t xml:space="preserve">Final Rankings</t>
  </si>
  <si>
    <t xml:space="preserve">1. Met All Const Params (T/F)</t>
  </si>
  <si>
    <t xml:space="preserve">2. Practice Log (Complete / Incomplete / Not present)</t>
  </si>
  <si>
    <t xml:space="preserve">Flight 1</t>
  </si>
  <si>
    <t xml:space="preserve">Flight 2</t>
  </si>
  <si>
    <t xml:space="preserve">9. Disqualify (T/F)</t>
  </si>
  <si>
    <t xml:space="preserve">Scored Flight</t>
  </si>
  <si>
    <t xml:space="preserve">Raw Time</t>
  </si>
  <si>
    <t xml:space="preserve">Flight Multiplier</t>
  </si>
  <si>
    <t xml:space="preserve">Score</t>
  </si>
  <si>
    <t xml:space="preserve">Tier</t>
  </si>
  <si>
    <t xml:space="preserve">Tiebreaker</t>
  </si>
  <si>
    <t xml:space="preserve">Rank</t>
  </si>
  <si>
    <t xml:space="preserve">Points</t>
  </si>
  <si>
    <t xml:space="preserve">Team #</t>
  </si>
  <si>
    <t xml:space="preserve">School Name</t>
  </si>
  <si>
    <t xml:space="preserve">Team Name</t>
  </si>
  <si>
    <t xml:space="preserve">3. Median Flight Time (s)</t>
  </si>
  <si>
    <t xml:space="preserve">4. Parachute successfully separates from rocket (T/F)</t>
  </si>
  <si>
    <t xml:space="preserve">5. No part of rocket and parachute touches ceiling (T/F)</t>
  </si>
  <si>
    <t xml:space="preserve">6. Median Flight Time (s)</t>
  </si>
  <si>
    <t xml:space="preserve">7. Parachute successfully separates from rocket (T/F)</t>
  </si>
  <si>
    <t xml:space="preserve">8. No part of rocket and parachute touches ceiling (T/F)</t>
  </si>
  <si>
    <t xml:space="preserve">Hidden since event has no tiers</t>
  </si>
  <si>
    <t xml:space="preserve">Flight 1 Scoreable?</t>
  </si>
  <si>
    <t xml:space="preserve">Flight 2 Scoreable?</t>
  </si>
  <si>
    <t xml:space="preserve">Status</t>
  </si>
  <si>
    <t xml:space="preserve">Flight 1 (s)</t>
  </si>
  <si>
    <t xml:space="preserve">Flight 1 Mult</t>
  </si>
  <si>
    <t xml:space="preserve">Flight 1 Score</t>
  </si>
  <si>
    <t xml:space="preserve">Flight 2 (s)</t>
  </si>
  <si>
    <t xml:space="preserve">Flight 2 Mult</t>
  </si>
  <si>
    <t xml:space="preserve">Flight 2 Score</t>
  </si>
  <si>
    <t xml:space="preserve">Scored Flight #</t>
  </si>
  <si>
    <t xml:space="preserve">Non-scored Flight #</t>
  </si>
  <si>
    <t xml:space="preserve">TB1 (Non-scored Flight Score)</t>
  </si>
  <si>
    <t xml:space="preserve">TB1 Rank</t>
  </si>
  <si>
    <t xml:space="preserve">Rank w/ TB</t>
  </si>
  <si>
    <t xml:space="preserve">Rank Diff</t>
  </si>
  <si>
    <t xml:space="preserve">Name Desc</t>
  </si>
  <si>
    <t xml:space="preserve">Value</t>
  </si>
  <si>
    <t xml:space="preserve">T</t>
  </si>
  <si>
    <t xml:space="preserve">F</t>
  </si>
  <si>
    <t xml:space="preserve">Disqualified</t>
  </si>
  <si>
    <t xml:space="preserve">DQ</t>
  </si>
  <si>
    <t xml:space="preserve">No-Show</t>
  </si>
  <si>
    <t xml:space="preserve">NS</t>
  </si>
  <si>
    <t xml:space="preserve">Participated</t>
  </si>
  <si>
    <t xml:space="preserve">P</t>
  </si>
  <si>
    <t xml:space="preserve">Competed</t>
  </si>
  <si>
    <t xml:space="preserve">C</t>
  </si>
  <si>
    <t xml:space="preserve">Complete Flight Log Multiplier</t>
  </si>
  <si>
    <t xml:space="preserve">Incomplete Flight Log Multiplier</t>
  </si>
  <si>
    <t xml:space="preserve">No Flight Log Multiplier</t>
  </si>
  <si>
    <t xml:space="preserve">Parachute Separate Multipler</t>
  </si>
  <si>
    <t xml:space="preserve">Ceiling Touch Multiplier</t>
  </si>
  <si>
    <t xml:space="preserve">Seconds Assessed for a Missing Flight</t>
  </si>
  <si>
    <t xml:space="preserve">Error Status</t>
  </si>
  <si>
    <t xml:space="preserve">ERR</t>
  </si>
  <si>
    <t xml:space="preserve">Flight Log: Complete</t>
  </si>
  <si>
    <t xml:space="preserve">Complete</t>
  </si>
  <si>
    <t xml:space="preserve">Flight Log: Incomplete</t>
  </si>
  <si>
    <t xml:space="preserve">Incomplete</t>
  </si>
  <si>
    <t xml:space="preserve">Flight Log: Not Present</t>
  </si>
  <si>
    <t xml:space="preserve">Not present</t>
  </si>
  <si>
    <t xml:space="preserve">Rocket A</t>
  </si>
  <si>
    <t xml:space="preserve">A</t>
  </si>
  <si>
    <t xml:space="preserve">Rocket B</t>
  </si>
  <si>
    <t xml:space="preserve">B</t>
  </si>
  <si>
    <t xml:space="preserve">Tier (event has no tiering)</t>
  </si>
  <si>
    <t xml:space="preserve">Date</t>
  </si>
  <si>
    <t xml:space="preserve">Version #</t>
  </si>
  <si>
    <t xml:space="preserve">Change</t>
  </si>
  <si>
    <t xml:space="preserve">0.1.0</t>
  </si>
  <si>
    <t xml:space="preserve">Implemented prelimiary logic for scoresheet</t>
  </si>
  <si>
    <t xml:space="preserve">Event</t>
  </si>
  <si>
    <t xml:space="preserve">Ping Pong Parachute</t>
  </si>
  <si>
    <t xml:space="preserve">Last Updated</t>
  </si>
  <si>
    <t xml:space="preserve">Idx of first .</t>
  </si>
  <si>
    <t xml:space="preserve">Idx of second .</t>
  </si>
  <si>
    <t xml:space="preserve">Major Version</t>
  </si>
  <si>
    <t xml:space="preserve">Minor Version</t>
  </si>
  <si>
    <t xml:space="preserve">Minor Patch</t>
  </si>
  <si>
    <t xml:space="preserve">Version</t>
  </si>
  <si>
    <t xml:space="preserve">Division</t>
  </si>
  <si>
    <t xml:space="preserve">B/C</t>
  </si>
  <si>
    <t xml:space="preserve">Year</t>
  </si>
  <si>
    <t xml:space="preserve">VLook</t>
  </si>
  <si>
    <t xml:space="preserve">Latest Version</t>
  </si>
  <si>
    <t xml:space="preserve">Outdated?</t>
  </si>
  <si>
    <t xml:space="preserve">Compliant</t>
  </si>
  <si>
    <t xml:space="preserve">Non-Compliant</t>
  </si>
  <si>
    <t xml:space="preserve">No Log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</si>
</sst>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"/>
    <numFmt numFmtId="166" formatCode="0"/>
    <numFmt numFmtId="167" formatCode="0.00"/>
    <numFmt numFmtId="168" formatCode="#,##0"/>
    <numFmt numFmtId="169" formatCode="&quot;TRUE&quot;;&quot;TRUE&quot;;&quot;FALSE&quot;"/>
    <numFmt numFmtId="170" formatCode="0.000"/>
    <numFmt numFmtId="171" formatCode="m/d/yyyy"/>
    <numFmt numFmtId="172" formatCode="mm/dd/yyyy"/>
  </numFmts>
  <fonts count="15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Overpass"/>
      <family val="0"/>
      <charset val="1"/>
    </font>
    <font>
      <sz val="11"/>
      <color theme="1"/>
      <name val="Arial"/>
      <family val="0"/>
      <charset val="1"/>
    </font>
    <font>
      <sz val="11"/>
      <color theme="1"/>
      <name val="Overpass"/>
      <family val="0"/>
      <charset val="1"/>
    </font>
    <font>
      <b val="true"/>
      <sz val="20"/>
      <color rgb="FF2280BD"/>
      <name val="Overpass"/>
      <family val="0"/>
      <charset val="1"/>
    </font>
    <font>
      <b val="true"/>
      <sz val="11"/>
      <color theme="1"/>
      <name val="Overpass"/>
      <family val="0"/>
      <charset val="1"/>
    </font>
    <font>
      <sz val="13"/>
      <color theme="1"/>
      <name val="Overpass"/>
      <family val="0"/>
      <charset val="1"/>
    </font>
    <font>
      <b val="true"/>
      <sz val="11"/>
      <color rgb="FF181A1B"/>
      <name val="Overpass"/>
      <family val="0"/>
      <charset val="1"/>
    </font>
    <font>
      <sz val="11"/>
      <color rgb="FF181A1B"/>
      <name val="Overpass"/>
      <family val="0"/>
      <charset val="1"/>
    </font>
    <font>
      <sz val="11"/>
      <color rgb="FF181A1B"/>
      <name val="Arial"/>
      <family val="0"/>
      <charset val="1"/>
    </font>
    <font>
      <b val="true"/>
      <sz val="11"/>
      <color theme="1"/>
      <name val="Inconsolata"/>
      <family val="0"/>
      <charset val="1"/>
    </font>
    <font>
      <sz val="11"/>
      <color theme="1"/>
      <name val="Inconsolata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FFFFFF"/>
        <bgColor rgb="FFF2F2F2"/>
      </patternFill>
    </fill>
    <fill>
      <patternFill patternType="solid">
        <fgColor rgb="FFB5D3E6"/>
        <bgColor rgb="FF99CCFF"/>
      </patternFill>
    </fill>
    <fill>
      <patternFill patternType="solid">
        <fgColor rgb="FFD9D9D9"/>
        <bgColor rgb="FFDEEBF3"/>
      </patternFill>
    </fill>
    <fill>
      <patternFill patternType="solid">
        <fgColor rgb="FFFFB3B3"/>
        <bgColor rgb="FFF4C7C3"/>
      </patternFill>
    </fill>
    <fill>
      <patternFill patternType="solid">
        <fgColor rgb="FFCEEAAE"/>
        <bgColor rgb="FFD9D9D9"/>
      </patternFill>
    </fill>
    <fill>
      <patternFill patternType="solid">
        <fgColor rgb="FFDEEBF3"/>
        <bgColor rgb="FFEBF1DE"/>
      </patternFill>
    </fill>
    <fill>
      <patternFill patternType="solid">
        <fgColor rgb="FFF2F2F2"/>
        <bgColor rgb="FFEBF1DE"/>
      </patternFill>
    </fill>
    <fill>
      <patternFill patternType="solid">
        <fgColor rgb="FFFFE5E5"/>
        <bgColor rgb="FFF2F2F2"/>
      </patternFill>
    </fill>
    <fill>
      <patternFill patternType="solid">
        <fgColor rgb="FFEBF1DE"/>
        <bgColor rgb="FFF2F2F2"/>
      </patternFill>
    </fill>
  </fills>
  <borders count="16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 style="medium"/>
      <right style="medium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right" vertical="bottom" textRotation="90" wrapText="false" indent="0" shrinkToFit="false"/>
      <protection locked="true" hidden="false"/>
    </xf>
    <xf numFmtId="164" fontId="5" fillId="2" borderId="8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5" fillId="2" borderId="9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5" fillId="2" borderId="10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6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11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5" fontId="6" fillId="0" borderId="11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8" fillId="0" borderId="1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1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13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8" fillId="0" borderId="14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8" fillId="0" borderId="13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7" fontId="8" fillId="0" borderId="14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6" fontId="8" fillId="0" borderId="13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8" fontId="8" fillId="0" borderId="13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6" fontId="8" fillId="0" borderId="11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right" vertical="bottom" textRotation="90" wrapText="false" indent="0" shrinkToFit="false"/>
      <protection locked="true" hidden="false"/>
    </xf>
    <xf numFmtId="166" fontId="8" fillId="0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6" fillId="0" borderId="13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9" fillId="0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1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true">
      <alignment horizontal="center" vertical="bottom" textRotation="90" wrapText="true" indent="0" shrinkToFit="false"/>
      <protection locked="true" hidden="false"/>
    </xf>
    <xf numFmtId="164" fontId="10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1" fillId="0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3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11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3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8" fillId="4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0" fontId="8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8" fillId="4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6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6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3" borderId="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1" fillId="3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7" borderId="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1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1" fillId="7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11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7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0" fontId="8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8" fillId="8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1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1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1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7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7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5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3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8" fontId="6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2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1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F4C7C3"/>
        </patternFill>
      </fill>
    </dxf>
    <dxf>
      <font>
        <color rgb="FF000000"/>
      </font>
      <fill>
        <patternFill>
          <bgColor rgb="FFFFB3B3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280BD"/>
      <rgbColor rgb="FFD9D9D9"/>
      <rgbColor rgb="FF808080"/>
      <rgbColor rgb="FF9999FF"/>
      <rgbColor rgb="FF993366"/>
      <rgbColor rgb="FFEBF1DE"/>
      <rgbColor rgb="FFDEEBF3"/>
      <rgbColor rgb="FF660066"/>
      <rgbColor rgb="FFFF8080"/>
      <rgbColor rgb="FF0066CC"/>
      <rgbColor rgb="FFB5D3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EEAAE"/>
      <rgbColor rgb="FFFFE5E5"/>
      <rgbColor rgb="FF99CCFF"/>
      <rgbColor rgb="FFFFB3B3"/>
      <rgbColor rgb="FFCC99FF"/>
      <rgbColor rgb="FFF4C7C3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81A1B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BP50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F9" activeCellId="0" sqref="F9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.12"/>
    <col collapsed="false" customWidth="true" hidden="false" outlineLevel="0" max="2" min="2" style="1" width="6.88"/>
    <col collapsed="false" customWidth="true" hidden="false" outlineLevel="0" max="3" min="3" style="1" width="30.75"/>
    <col collapsed="false" customWidth="true" hidden="false" outlineLevel="0" max="4" min="4" style="1" width="15.63"/>
    <col collapsed="false" customWidth="true" hidden="false" outlineLevel="0" max="5" min="5" style="1" width="10.71"/>
    <col collapsed="false" customWidth="true" hidden="false" outlineLevel="0" max="6" min="6" style="1" width="14.88"/>
    <col collapsed="false" customWidth="true" hidden="false" outlineLevel="0" max="7" min="7" style="1" width="8.38"/>
    <col collapsed="false" customWidth="true" hidden="false" outlineLevel="0" max="9" min="8" style="1" width="9.18"/>
    <col collapsed="false" customWidth="true" hidden="false" outlineLevel="0" max="10" min="10" style="1" width="8.38"/>
    <col collapsed="false" customWidth="true" hidden="false" outlineLevel="0" max="12" min="11" style="1" width="9.18"/>
    <col collapsed="false" customWidth="true" hidden="false" outlineLevel="0" max="13" min="13" style="1" width="4"/>
    <col collapsed="false" customWidth="true" hidden="true" outlineLevel="0" max="14" min="14" style="1" width="4.63"/>
    <col collapsed="false" customWidth="true" hidden="true" outlineLevel="0" max="21" min="15" style="1" width="7.23"/>
    <col collapsed="false" customWidth="true" hidden="true" outlineLevel="0" max="22" min="22" style="1" width="7.37"/>
    <col collapsed="false" customWidth="true" hidden="true" outlineLevel="0" max="23" min="23" style="1" width="7.23"/>
    <col collapsed="false" customWidth="true" hidden="true" outlineLevel="0" max="24" min="24" style="1" width="20.58"/>
    <col collapsed="false" customWidth="true" hidden="true" outlineLevel="0" max="25" min="25" style="1" width="20.85"/>
    <col collapsed="false" customWidth="true" hidden="true" outlineLevel="0" max="26" min="26" style="1" width="7.37"/>
    <col collapsed="false" customWidth="true" hidden="true" outlineLevel="0" max="27" min="27" style="1" width="8.49"/>
    <col collapsed="false" customWidth="true" hidden="true" outlineLevel="0" max="28" min="28" style="1" width="12.38"/>
    <col collapsed="false" customWidth="true" hidden="true" outlineLevel="0" max="29" min="29" style="1" width="14.47"/>
    <col collapsed="false" customWidth="true" hidden="true" outlineLevel="0" max="30" min="30" style="1" width="15.3"/>
    <col collapsed="false" customWidth="true" hidden="true" outlineLevel="0" max="31" min="31" style="1" width="11.96"/>
    <col collapsed="false" customWidth="true" hidden="true" outlineLevel="0" max="32" min="32" style="1" width="14.33"/>
    <col collapsed="false" customWidth="true" hidden="true" outlineLevel="0" max="33" min="33" style="1" width="15.16"/>
    <col collapsed="false" customWidth="true" hidden="true" outlineLevel="0" max="34" min="34" style="1" width="19.75"/>
    <col collapsed="false" customWidth="true" hidden="true" outlineLevel="0" max="35" min="35" style="1" width="22.4"/>
    <col collapsed="false" customWidth="true" hidden="true" outlineLevel="0" max="36" min="36" style="1" width="7.65"/>
    <col collapsed="false" customWidth="true" hidden="true" outlineLevel="0" max="37" min="37" style="1" width="7.09"/>
    <col collapsed="false" customWidth="true" hidden="true" outlineLevel="0" max="38" min="38" style="1" width="30.74"/>
    <col collapsed="false" customWidth="true" hidden="true" outlineLevel="0" max="39" min="39" style="1" width="10.99"/>
    <col collapsed="false" customWidth="false" hidden="true" outlineLevel="0" max="40" min="40" style="1" width="12.66"/>
    <col collapsed="false" customWidth="true" hidden="true" outlineLevel="0" max="41" min="41" style="1" width="10.29"/>
    <col collapsed="false" customWidth="true" hidden="true" outlineLevel="0" max="42" min="42" style="1" width="4.63"/>
    <col collapsed="false" customWidth="true" hidden="false" outlineLevel="0" max="45" min="43" style="1" width="8.68"/>
    <col collapsed="false" customWidth="true" hidden="false" outlineLevel="0" max="46" min="46" style="1" width="8.63"/>
    <col collapsed="false" customWidth="true" hidden="true" outlineLevel="0" max="47" min="47" style="1" width="4"/>
    <col collapsed="false" customWidth="true" hidden="false" outlineLevel="0" max="50" min="48" style="1" width="4"/>
    <col collapsed="false" customWidth="true" hidden="false" outlineLevel="0" max="51" min="51" style="1" width="2"/>
    <col collapsed="false" customWidth="true" hidden="true" outlineLevel="0" max="61" min="52" style="1" width="4.63"/>
    <col collapsed="false" customWidth="true" hidden="false" outlineLevel="0" max="62" min="62" style="1" width="6.81"/>
    <col collapsed="false" customWidth="true" hidden="false" outlineLevel="0" max="63" min="63" style="1" width="9.74"/>
    <col collapsed="false" customWidth="true" hidden="false" outlineLevel="0" max="64" min="64" style="1" width="30.75"/>
    <col collapsed="false" customWidth="true" hidden="false" outlineLevel="0" max="65" min="65" style="1" width="15.63"/>
    <col collapsed="false" customWidth="true" hidden="false" outlineLevel="0" max="66" min="66" style="1" width="4.63"/>
    <col collapsed="false" customWidth="true" hidden="false" outlineLevel="0" max="67" min="67" style="1" width="8.63"/>
    <col collapsed="false" customWidth="true" hidden="true" outlineLevel="0" max="68" min="68" style="1" width="6.63"/>
    <col collapsed="false" customWidth="true" hidden="false" outlineLevel="0" max="16384" min="16370" style="1" width="11.53"/>
  </cols>
  <sheetData>
    <row r="1" customFormat="false" ht="6" hidden="false" customHeight="true" outlineLevel="0" collapsed="false">
      <c r="A1" s="2"/>
      <c r="B1" s="2"/>
      <c r="C1" s="2"/>
      <c r="D1" s="2"/>
      <c r="E1" s="2"/>
      <c r="F1" s="3"/>
      <c r="G1" s="3"/>
      <c r="H1" s="3"/>
      <c r="I1" s="3"/>
      <c r="J1" s="3"/>
      <c r="K1" s="3"/>
      <c r="L1" s="3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4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</row>
    <row r="2" customFormat="false" ht="15.75" hidden="false" customHeight="false" outlineLevel="0" collapsed="false">
      <c r="A2" s="5"/>
      <c r="B2" s="6" t="str">
        <f aca="false">'Info.'!B1&amp;" "&amp;'Info.'!B4</f>
        <v>Ping Pong Parachute B/C</v>
      </c>
      <c r="C2" s="6"/>
      <c r="D2" s="6"/>
      <c r="E2" s="7" t="s">
        <v>0</v>
      </c>
      <c r="F2" s="7"/>
      <c r="G2" s="7" t="s">
        <v>1</v>
      </c>
      <c r="H2" s="7"/>
      <c r="I2" s="7"/>
      <c r="J2" s="7"/>
      <c r="K2" s="7"/>
      <c r="L2" s="7"/>
      <c r="M2" s="8"/>
      <c r="N2" s="9"/>
      <c r="O2" s="10"/>
      <c r="P2" s="10"/>
      <c r="Q2" s="10"/>
      <c r="R2" s="10"/>
      <c r="S2" s="10"/>
      <c r="T2" s="10"/>
      <c r="U2" s="10"/>
      <c r="V2" s="10"/>
      <c r="W2" s="10"/>
      <c r="X2" s="11"/>
      <c r="Y2" s="11"/>
      <c r="Z2" s="12"/>
      <c r="AA2" s="12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4"/>
      <c r="AQ2" s="15" t="s">
        <v>2</v>
      </c>
      <c r="AR2" s="15"/>
      <c r="AS2" s="15"/>
      <c r="AT2" s="16"/>
      <c r="AU2" s="16"/>
      <c r="AV2" s="16"/>
      <c r="AW2" s="16"/>
      <c r="AX2" s="16"/>
      <c r="AY2" s="17"/>
      <c r="AZ2" s="13"/>
      <c r="BA2" s="13"/>
      <c r="BB2" s="18" t="s">
        <v>3</v>
      </c>
      <c r="BC2" s="19" t="s">
        <v>4</v>
      </c>
      <c r="BD2" s="19" t="s">
        <v>5</v>
      </c>
      <c r="BE2" s="19" t="s">
        <v>6</v>
      </c>
      <c r="BF2" s="19" t="s">
        <v>7</v>
      </c>
      <c r="BG2" s="19" t="s">
        <v>8</v>
      </c>
      <c r="BH2" s="19" t="s">
        <v>9</v>
      </c>
      <c r="BI2" s="20" t="s">
        <v>10</v>
      </c>
      <c r="BJ2" s="21" t="s">
        <v>11</v>
      </c>
      <c r="BK2" s="21"/>
      <c r="BL2" s="21"/>
      <c r="BM2" s="21"/>
      <c r="BN2" s="21"/>
      <c r="BO2" s="21"/>
      <c r="BP2" s="13"/>
    </row>
    <row r="3" customFormat="false" ht="20.25" hidden="false" customHeight="true" outlineLevel="0" collapsed="false">
      <c r="A3" s="5"/>
      <c r="B3" s="6"/>
      <c r="C3" s="6"/>
      <c r="D3" s="6"/>
      <c r="E3" s="22" t="s">
        <v>12</v>
      </c>
      <c r="F3" s="23" t="s">
        <v>13</v>
      </c>
      <c r="G3" s="24" t="s">
        <v>14</v>
      </c>
      <c r="H3" s="24"/>
      <c r="I3" s="24"/>
      <c r="J3" s="25" t="s">
        <v>15</v>
      </c>
      <c r="K3" s="25"/>
      <c r="L3" s="25"/>
      <c r="M3" s="22" t="s">
        <v>16</v>
      </c>
      <c r="N3" s="9"/>
      <c r="O3" s="26" t="str">
        <f aca="false">E3</f>
        <v>1. Met All Const Params (T/F)</v>
      </c>
      <c r="P3" s="26" t="str">
        <f aca="false">F3</f>
        <v>2. Practice Log (Complete / Incomplete / Not present)</v>
      </c>
      <c r="Q3" s="26" t="str">
        <f aca="false">G4</f>
        <v>3. Median Flight Time (s)</v>
      </c>
      <c r="R3" s="26" t="str">
        <f aca="false">H4</f>
        <v>4. Parachute successfully separates from rocket (T/F)</v>
      </c>
      <c r="S3" s="26" t="str">
        <f aca="false">I4</f>
        <v>5. No part of rocket and parachute touches ceiling (T/F)</v>
      </c>
      <c r="T3" s="26" t="str">
        <f aca="false">J4</f>
        <v>6. Median Flight Time (s)</v>
      </c>
      <c r="U3" s="26" t="str">
        <f aca="false">K4</f>
        <v>7. Parachute successfully separates from rocket (T/F)</v>
      </c>
      <c r="V3" s="26" t="str">
        <f aca="false">L4</f>
        <v>8. No part of rocket and parachute touches ceiling (T/F)</v>
      </c>
      <c r="W3" s="26" t="str">
        <f aca="false">M3</f>
        <v>9. Disqualify (T/F)</v>
      </c>
      <c r="X3" s="27"/>
      <c r="Y3" s="27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4"/>
      <c r="AQ3" s="28" t="s">
        <v>17</v>
      </c>
      <c r="AR3" s="29" t="s">
        <v>18</v>
      </c>
      <c r="AS3" s="29" t="s">
        <v>19</v>
      </c>
      <c r="AT3" s="30" t="s">
        <v>20</v>
      </c>
      <c r="AU3" s="31" t="s">
        <v>21</v>
      </c>
      <c r="AV3" s="32" t="s">
        <v>22</v>
      </c>
      <c r="AW3" s="31" t="s">
        <v>23</v>
      </c>
      <c r="AX3" s="33" t="s">
        <v>24</v>
      </c>
      <c r="AY3" s="34"/>
      <c r="AZ3" s="13"/>
      <c r="BA3" s="13"/>
      <c r="BB3" s="18"/>
      <c r="BC3" s="19"/>
      <c r="BD3" s="19"/>
      <c r="BE3" s="19"/>
      <c r="BF3" s="19"/>
      <c r="BG3" s="19"/>
      <c r="BH3" s="19"/>
      <c r="BI3" s="20"/>
      <c r="BJ3" s="35" t="s">
        <v>23</v>
      </c>
      <c r="BK3" s="36" t="s">
        <v>25</v>
      </c>
      <c r="BL3" s="36" t="s">
        <v>26</v>
      </c>
      <c r="BM3" s="36" t="s">
        <v>27</v>
      </c>
      <c r="BN3" s="36" t="s">
        <v>21</v>
      </c>
      <c r="BO3" s="37" t="s">
        <v>20</v>
      </c>
      <c r="BP3" s="13"/>
    </row>
    <row r="4" customFormat="false" ht="18.65" hidden="false" customHeight="true" outlineLevel="0" collapsed="false">
      <c r="A4" s="5"/>
      <c r="B4" s="38" t="str">
        <f aca="false">"Event Scoresheet - "&amp;'Info.'!B5&amp;IF('Info.'!B8="T","
The scoresheet has been updated; please 
download version v"&amp;'Info.'!B7&amp;" from soinc.org/scoresheets.","")</f>
        <v>Event Scoresheet - 2027</v>
      </c>
      <c r="C4" s="38"/>
      <c r="D4" s="38"/>
      <c r="E4" s="22"/>
      <c r="F4" s="23"/>
      <c r="G4" s="39" t="s">
        <v>28</v>
      </c>
      <c r="H4" s="39" t="s">
        <v>29</v>
      </c>
      <c r="I4" s="23" t="s">
        <v>30</v>
      </c>
      <c r="J4" s="39" t="s">
        <v>31</v>
      </c>
      <c r="K4" s="39" t="s">
        <v>32</v>
      </c>
      <c r="L4" s="23" t="s">
        <v>33</v>
      </c>
      <c r="M4" s="22"/>
      <c r="N4" s="9"/>
      <c r="O4" s="26"/>
      <c r="P4" s="26"/>
      <c r="Q4" s="26"/>
      <c r="R4" s="26"/>
      <c r="S4" s="26"/>
      <c r="T4" s="26"/>
      <c r="U4" s="26"/>
      <c r="V4" s="26"/>
      <c r="W4" s="26"/>
      <c r="X4" s="27"/>
      <c r="Y4" s="27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4"/>
      <c r="AQ4" s="28"/>
      <c r="AR4" s="29"/>
      <c r="AS4" s="29"/>
      <c r="AT4" s="30"/>
      <c r="AU4" s="31"/>
      <c r="AV4" s="31"/>
      <c r="AW4" s="31"/>
      <c r="AX4" s="33"/>
      <c r="AY4" s="34"/>
      <c r="AZ4" s="13"/>
      <c r="BA4" s="13"/>
      <c r="BB4" s="18"/>
      <c r="BC4" s="19"/>
      <c r="BD4" s="19"/>
      <c r="BE4" s="19"/>
      <c r="BF4" s="19"/>
      <c r="BG4" s="19"/>
      <c r="BH4" s="19"/>
      <c r="BI4" s="20"/>
      <c r="BJ4" s="35"/>
      <c r="BK4" s="36"/>
      <c r="BL4" s="36"/>
      <c r="BM4" s="36"/>
      <c r="BN4" s="36"/>
      <c r="BO4" s="37"/>
      <c r="BP4" s="13"/>
    </row>
    <row r="5" customFormat="false" ht="118.5" hidden="true" customHeight="true" outlineLevel="0" collapsed="false">
      <c r="A5" s="5"/>
      <c r="B5" s="40"/>
      <c r="C5" s="40"/>
      <c r="D5" s="40"/>
      <c r="E5" s="22"/>
      <c r="F5" s="23"/>
      <c r="G5" s="39"/>
      <c r="H5" s="39"/>
      <c r="I5" s="23"/>
      <c r="J5" s="39"/>
      <c r="K5" s="39"/>
      <c r="L5" s="23"/>
      <c r="M5" s="22"/>
      <c r="N5" s="9"/>
      <c r="O5" s="26"/>
      <c r="P5" s="26"/>
      <c r="Q5" s="26"/>
      <c r="R5" s="26"/>
      <c r="S5" s="26"/>
      <c r="T5" s="26"/>
      <c r="U5" s="26"/>
      <c r="V5" s="26"/>
      <c r="W5" s="26"/>
      <c r="X5" s="27"/>
      <c r="Y5" s="27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4"/>
      <c r="AQ5" s="28"/>
      <c r="AR5" s="29"/>
      <c r="AS5" s="29"/>
      <c r="AT5" s="30"/>
      <c r="AU5" s="31"/>
      <c r="AV5" s="31"/>
      <c r="AW5" s="31"/>
      <c r="AX5" s="33"/>
      <c r="AY5" s="34"/>
      <c r="AZ5" s="13"/>
      <c r="BA5" s="13"/>
      <c r="BB5" s="18"/>
      <c r="BC5" s="19"/>
      <c r="BD5" s="19"/>
      <c r="BE5" s="19"/>
      <c r="BF5" s="19"/>
      <c r="BG5" s="19"/>
      <c r="BH5" s="19"/>
      <c r="BI5" s="20"/>
      <c r="BJ5" s="35"/>
      <c r="BK5" s="36"/>
      <c r="BL5" s="36"/>
      <c r="BM5" s="36"/>
      <c r="BN5" s="36"/>
      <c r="BO5" s="37"/>
      <c r="BP5" s="13"/>
    </row>
    <row r="6" customFormat="false" ht="89.25" hidden="false" customHeight="true" outlineLevel="0" collapsed="false">
      <c r="A6" s="5"/>
      <c r="B6" s="41" t="str">
        <f aca="false">"Last Updated: "&amp;TEXT('Info.'!B2, "mm/dd/yyyy")&amp;" (v"&amp;'Info.'!B3&amp;")
Direct all questions to scoresheets@soinc.org."</f>
        <v>Last Updated: 09/23/2026 (v0.1.0)
Direct all questions to scoresheets@soinc.org.</v>
      </c>
      <c r="C6" s="41"/>
      <c r="D6" s="41"/>
      <c r="E6" s="22"/>
      <c r="F6" s="23"/>
      <c r="G6" s="39"/>
      <c r="H6" s="39"/>
      <c r="I6" s="23"/>
      <c r="J6" s="39"/>
      <c r="K6" s="39"/>
      <c r="L6" s="23"/>
      <c r="M6" s="22"/>
      <c r="N6" s="9"/>
      <c r="O6" s="26"/>
      <c r="P6" s="26"/>
      <c r="Q6" s="26"/>
      <c r="R6" s="26"/>
      <c r="S6" s="26"/>
      <c r="T6" s="26"/>
      <c r="U6" s="26"/>
      <c r="V6" s="26"/>
      <c r="W6" s="26"/>
      <c r="X6" s="27"/>
      <c r="Y6" s="27"/>
      <c r="Z6" s="42"/>
      <c r="AA6" s="43" t="s">
        <v>34</v>
      </c>
      <c r="AB6" s="44" t="s">
        <v>14</v>
      </c>
      <c r="AC6" s="44"/>
      <c r="AD6" s="44"/>
      <c r="AE6" s="44" t="s">
        <v>15</v>
      </c>
      <c r="AF6" s="44"/>
      <c r="AG6" s="44"/>
      <c r="AH6" s="45"/>
      <c r="AI6" s="45"/>
      <c r="AJ6" s="45"/>
      <c r="AK6" s="45"/>
      <c r="AL6" s="45"/>
      <c r="AM6" s="45"/>
      <c r="AN6" s="45"/>
      <c r="AO6" s="13"/>
      <c r="AP6" s="14"/>
      <c r="AQ6" s="28"/>
      <c r="AR6" s="29"/>
      <c r="AS6" s="29"/>
      <c r="AT6" s="30"/>
      <c r="AU6" s="31"/>
      <c r="AV6" s="31"/>
      <c r="AW6" s="31"/>
      <c r="AX6" s="33"/>
      <c r="AY6" s="34"/>
      <c r="AZ6" s="13"/>
      <c r="BA6" s="13"/>
      <c r="BB6" s="18"/>
      <c r="BC6" s="19"/>
      <c r="BD6" s="19"/>
      <c r="BE6" s="19"/>
      <c r="BF6" s="19"/>
      <c r="BG6" s="19"/>
      <c r="BH6" s="19"/>
      <c r="BI6" s="20"/>
      <c r="BJ6" s="35"/>
      <c r="BK6" s="36"/>
      <c r="BL6" s="36"/>
      <c r="BM6" s="36"/>
      <c r="BN6" s="36"/>
      <c r="BO6" s="37"/>
      <c r="BP6" s="13"/>
    </row>
    <row r="7" customFormat="false" ht="16.4" hidden="false" customHeight="false" outlineLevel="0" collapsed="false">
      <c r="A7" s="5"/>
      <c r="B7" s="46" t="s">
        <v>25</v>
      </c>
      <c r="C7" s="47" t="s">
        <v>26</v>
      </c>
      <c r="D7" s="48" t="s">
        <v>27</v>
      </c>
      <c r="E7" s="22"/>
      <c r="F7" s="23"/>
      <c r="G7" s="39"/>
      <c r="H7" s="39"/>
      <c r="I7" s="23"/>
      <c r="J7" s="39"/>
      <c r="K7" s="39"/>
      <c r="L7" s="23"/>
      <c r="M7" s="22"/>
      <c r="N7" s="49"/>
      <c r="O7" s="26"/>
      <c r="P7" s="26"/>
      <c r="Q7" s="26"/>
      <c r="R7" s="26"/>
      <c r="S7" s="26"/>
      <c r="T7" s="26"/>
      <c r="U7" s="26"/>
      <c r="V7" s="26"/>
      <c r="W7" s="26"/>
      <c r="X7" s="50" t="s">
        <v>35</v>
      </c>
      <c r="Y7" s="50" t="s">
        <v>36</v>
      </c>
      <c r="Z7" s="45" t="s">
        <v>37</v>
      </c>
      <c r="AA7" s="45" t="s">
        <v>21</v>
      </c>
      <c r="AB7" s="45" t="s">
        <v>38</v>
      </c>
      <c r="AC7" s="45" t="s">
        <v>39</v>
      </c>
      <c r="AD7" s="45" t="s">
        <v>40</v>
      </c>
      <c r="AE7" s="45" t="s">
        <v>41</v>
      </c>
      <c r="AF7" s="45" t="s">
        <v>42</v>
      </c>
      <c r="AG7" s="45" t="s">
        <v>43</v>
      </c>
      <c r="AH7" s="45" t="s">
        <v>44</v>
      </c>
      <c r="AI7" s="45" t="s">
        <v>45</v>
      </c>
      <c r="AJ7" s="51" t="s">
        <v>20</v>
      </c>
      <c r="AK7" s="51" t="s">
        <v>23</v>
      </c>
      <c r="AL7" s="45" t="s">
        <v>46</v>
      </c>
      <c r="AM7" s="45" t="s">
        <v>47</v>
      </c>
      <c r="AN7" s="45" t="s">
        <v>48</v>
      </c>
      <c r="AO7" s="51" t="s">
        <v>49</v>
      </c>
      <c r="AP7" s="52"/>
      <c r="AQ7" s="28"/>
      <c r="AR7" s="29"/>
      <c r="AS7" s="29"/>
      <c r="AT7" s="30"/>
      <c r="AU7" s="31"/>
      <c r="AV7" s="31"/>
      <c r="AW7" s="31"/>
      <c r="AX7" s="33"/>
      <c r="AY7" s="34"/>
      <c r="AZ7" s="13" t="n">
        <f aca="false">SUM(AZ8:AZ507)</f>
        <v>0</v>
      </c>
      <c r="BA7" s="13"/>
      <c r="BB7" s="18"/>
      <c r="BC7" s="19"/>
      <c r="BD7" s="19"/>
      <c r="BE7" s="19"/>
      <c r="BF7" s="19"/>
      <c r="BG7" s="19"/>
      <c r="BH7" s="19"/>
      <c r="BI7" s="20"/>
      <c r="BJ7" s="35"/>
      <c r="BK7" s="36"/>
      <c r="BL7" s="36"/>
      <c r="BM7" s="36"/>
      <c r="BN7" s="36"/>
      <c r="BO7" s="37"/>
      <c r="BP7" s="13"/>
    </row>
    <row r="8" customFormat="false" ht="15.75" hidden="false" customHeight="false" outlineLevel="0" collapsed="false">
      <c r="A8" s="5"/>
      <c r="B8" s="53"/>
      <c r="C8" s="54"/>
      <c r="D8" s="55"/>
      <c r="E8" s="56"/>
      <c r="F8" s="57"/>
      <c r="G8" s="58"/>
      <c r="H8" s="58"/>
      <c r="I8" s="57"/>
      <c r="J8" s="58"/>
      <c r="K8" s="58"/>
      <c r="L8" s="57"/>
      <c r="M8" s="59"/>
      <c r="N8" s="60"/>
      <c r="O8" s="61" t="str">
        <f aca="false">IF(ISBLANK($C8),"",IF(E8=Constants!$B$2, TRUE(), IF(E8=Constants!$B$3, FALSE(), TRUE())))</f>
        <v/>
      </c>
      <c r="P8" s="62" t="str">
        <f aca="false">IF(ISBLANK($C8),"",IF(F8=Constants!$B$16,Constants!$B$9,IF(F8=Constants!$B$17,Constants!$B$10,Constants!$B$8)))</f>
        <v/>
      </c>
      <c r="Q8" s="63" t="str">
        <f aca="false">IF(ISBLANK($C8),"",IF(ISNUMBER(G8),IF(G8&gt;=0,G8,""),""))</f>
        <v/>
      </c>
      <c r="R8" s="61" t="str">
        <f aca="false">IF(ISBLANK($C8),"",IF(H8=Constants!$B$2, TRUE(), IF(H8=Constants!$B$3, FALSE(), TRUE())))</f>
        <v/>
      </c>
      <c r="S8" s="61" t="str">
        <f aca="false">IF(ISBLANK($C8),"",IF(I8=Constants!$B$2, TRUE(), IF(I8=Constants!$B$3, FALSE(), TRUE())))</f>
        <v/>
      </c>
      <c r="T8" s="63" t="str">
        <f aca="false">IF(ISBLANK($C8),"",IF(ISNUMBER(J8),IF(J8&gt;=0,J8,""),""))</f>
        <v/>
      </c>
      <c r="U8" s="61" t="str">
        <f aca="false">IF(ISBLANK($C8),"",IF(K8=Constants!$B$2, TRUE(), IF(K8=Constants!$B$3, FALSE(), TRUE())))</f>
        <v/>
      </c>
      <c r="V8" s="61" t="str">
        <f aca="false">IF(ISBLANK($C8),"",IF(L8=Constants!$B$2, TRUE(), IF(L8=Constants!$B$3, FALSE(), TRUE())))</f>
        <v/>
      </c>
      <c r="W8" s="61" t="str">
        <f aca="false">IF(ISBLANK($C8),"",IF(M8=Constants!$B$2, TRUE(), IF(M8=Constants!$B$3, FALSE(), FALSE())))</f>
        <v/>
      </c>
      <c r="X8" s="61" t="str">
        <f aca="false">IF(ISBLANK($C8),"",AND(Q8&lt;&gt;"",O8))</f>
        <v/>
      </c>
      <c r="Y8" s="61" t="str">
        <f aca="false">IF(ISBLANK($C8),"",AND(T8&lt;&gt;"",O8))</f>
        <v/>
      </c>
      <c r="Z8" s="62" t="str">
        <f aca="false">IF(ISBLANK($C8),"",IF(W8,Constants!$B$4,IF(COUNTA(E8:L8)=0,Constants!$B$5,IF(NOT(O8),Constants!$B$6,IF(AND(NOT(X8),NOT(Y8)),Constants!$B$6,Constants!$B$7)))))</f>
        <v/>
      </c>
      <c r="AA8" s="62" t="str">
        <f aca="false">IF(ISBLANK($C8),"",IF($Z8&lt;&gt;Constants!$B$7,$Z8,Constants!$B$20))</f>
        <v/>
      </c>
      <c r="AB8" s="63" t="str">
        <f aca="false">IF($Z8=Constants!$B$7,IF(X8,Q8,Constants!$B$13),"")</f>
        <v/>
      </c>
      <c r="AC8" s="63" t="str">
        <f aca="false">IF($Z8=Constants!$B$7,IF(X8,P8*IF(R8, 1, Constants!$B$11)*IF(S8, 1, Constants!$B$12),Constants!$B$13),"")</f>
        <v/>
      </c>
      <c r="AD8" s="63" t="str">
        <f aca="false">IF($Z8=Constants!$B$7,AB8*AC8,"")</f>
        <v/>
      </c>
      <c r="AE8" s="63" t="str">
        <f aca="false">IF($Z8=Constants!$B$7,IF(Y8,T8,Constants!$B$13),"")</f>
        <v/>
      </c>
      <c r="AF8" s="63" t="str">
        <f aca="false">IF($Z8=Constants!$B$7,IF(Y8,P8*IF(U8, 1, Constants!$B$11)*IF(V8, 1, Constants!$B$12),Constants!$B$13),"")</f>
        <v/>
      </c>
      <c r="AG8" s="63" t="str">
        <f aca="false">IF($Z8=Constants!$B$7,AE8*AF8,"")</f>
        <v/>
      </c>
      <c r="AH8" s="62" t="str">
        <f aca="false">IF($Z8=Constants!$B$7,IF(AG8&gt;AD8,2,1),"")</f>
        <v/>
      </c>
      <c r="AI8" s="62" t="str">
        <f aca="false">IF($Z8=Constants!$B$7,IF(AH8=1,2,1),"")</f>
        <v/>
      </c>
      <c r="AJ8" s="63" t="str">
        <f aca="false">IF(ISBLANK($C8),"",IF($Z8&lt;&gt;Constants!$B$7,$Z8,IF(AH8=1,AD8,AG8)))</f>
        <v/>
      </c>
      <c r="AK8" s="62" t="str">
        <f aca="false">IF(ISBLANK($C8),"",IF($Z8=Constants!$B$7,IF(ISNUMBER(AJ8),RANK(AJ8,$AJ$8:$AJ$507),Constants!$B$14),$Z8))</f>
        <v/>
      </c>
      <c r="AL8" s="63" t="str">
        <f aca="false">IF(ISBLANK($C8),"",IF($Z8=Constants!$B$7,IF(AI8=1,AD8,AG8),""))</f>
        <v/>
      </c>
      <c r="AM8" s="62" t="str">
        <f aca="false">IF(ISBLANK($C8),"",IF($Z8=Constants!$B$7,RANK(AL8,$AL$8:$AL$507),$Z8))</f>
        <v/>
      </c>
      <c r="AN8" s="62" t="str">
        <f aca="false">IF(ISBLANK($C8),"",IF($Z8=Constants!$B$7,IF(ISNUMBER(AK8),COUNTIFS($AK$8:$AK$507,"&lt;"&amp;$AK8)+COUNTIFS($AK$8:$AK$507,$AK8,$AM$8:$AM$507,"&lt;"&amp;$AM8)+1,Constants!$B$14),$Z8))</f>
        <v/>
      </c>
      <c r="AO8" s="62" t="str">
        <f aca="false">IF(ISBLANK($C8),"",IF($Z8=Constants!$B$7,IF(ISNUMBER(AK8),AK8-AN8,Constants!$B$14),$Z8))</f>
        <v/>
      </c>
      <c r="AP8" s="64"/>
      <c r="AQ8" s="65" t="str">
        <f aca="false">IF(ISBLANK($C8),"",IF($Z8&lt;&gt;Constants!$B$7,"",AH8))</f>
        <v/>
      </c>
      <c r="AR8" s="66" t="str">
        <f aca="false">IF(ISBLANK($C8),"",IF($Z8&lt;&gt;Constants!$B$7,"",IF(AH8=1,AB8,AE8)))</f>
        <v/>
      </c>
      <c r="AS8" s="67" t="str">
        <f aca="false">IF(ISBLANK($C8),"",IF($Z8&lt;&gt;Constants!$B$7,"",IF(AH8=1,AC8,AF8)))</f>
        <v/>
      </c>
      <c r="AT8" s="68" t="str">
        <f aca="false">IF(ISBLANK($C8),"",IF($Z8&lt;&gt;Constants!$B$7,$Z8,AJ8))</f>
        <v/>
      </c>
      <c r="AU8" s="69" t="str">
        <f aca="false">IF(ISBLANK($C8),"",IF($Z8&lt;&gt;Constants!$B$7,$Z8,AA8))</f>
        <v/>
      </c>
      <c r="AV8" s="70" t="str">
        <f aca="false">IF(ISBLANK($C8),"",AO8)</f>
        <v/>
      </c>
      <c r="AW8" s="70" t="str">
        <f aca="false">IF(ISBLANK($C8),"",AN8)</f>
        <v/>
      </c>
      <c r="AX8" s="71" t="str">
        <f aca="false">IF(ISBLANK($C8),"",IFERROR(_xlfn.SWITCH(AW8,Constants!$B$4,COUNTA($C$8:$C$507)+2,Constants!$B$5,COUNTA($C$8:$C$507)+1,Constants!$B$6,COUNTA($C$8:$C$507)),AW8))</f>
        <v/>
      </c>
      <c r="AY8" s="5"/>
      <c r="AZ8" s="72" t="n">
        <f aca="false">IF(OR(ISNUMBER(AW8),AW8=Constants!$B$4,AW8=Constants!$B$6,AW8=Constants!$B$5),1,0)</f>
        <v>0</v>
      </c>
      <c r="BA8" s="72" t="n">
        <v>1</v>
      </c>
      <c r="BB8" s="72" t="str">
        <f aca="false">IF(ISBLANK($C8),"",IF(ISNUMBER(AX8),AX8+ROW($B8)/1000,""))</f>
        <v/>
      </c>
      <c r="BC8" s="72" t="str">
        <f aca="false">IF(ISNUMBER(BB8),RANK(BB8,$BB$8:$BB$507,1),"")</f>
        <v/>
      </c>
      <c r="BD8" s="72" t="str">
        <f aca="false">IF(ISBLANK($C8),"",$B8)</f>
        <v/>
      </c>
      <c r="BE8" s="72" t="str">
        <f aca="false">IF(ISBLANK($C8),"",$C8)</f>
        <v/>
      </c>
      <c r="BF8" s="72" t="str">
        <f aca="false">IF(ISBLANK($C8),"",$D8)</f>
        <v/>
      </c>
      <c r="BG8" s="73" t="str">
        <f aca="false">AU8</f>
        <v/>
      </c>
      <c r="BH8" s="74" t="str">
        <f aca="false">AT8</f>
        <v/>
      </c>
      <c r="BI8" s="72" t="str">
        <f aca="false">IF(ISBLANK($C8),"",AW8)</f>
        <v/>
      </c>
      <c r="BJ8" s="75" t="str">
        <f aca="false">IF($BA8&gt;$AZ$7,"",VLOOKUP($BA8,$BC$8:$BI$507,7,FALSE()))</f>
        <v/>
      </c>
      <c r="BK8" s="76" t="str">
        <f aca="false">IF($BA8&gt;$AZ$7,"",VLOOKUP($BA8,$BC$8:$BI$507,2,FALSE()))</f>
        <v/>
      </c>
      <c r="BL8" s="76" t="str">
        <f aca="false">IF($BA8&gt;$AZ$7,"",VLOOKUP($BA8,$BC$8:$BI$507,3,FALSE()))</f>
        <v/>
      </c>
      <c r="BM8" s="76" t="str">
        <f aca="false">IF($BA8&gt;$AZ$7,"",VLOOKUP($BA8,$BC$8:$BI$507,4,FALSE()))</f>
        <v/>
      </c>
      <c r="BN8" s="76" t="str">
        <f aca="false">IF($BA8&gt;$AZ$7,"",VLOOKUP($BA8,$BC$8:$BI$507,5,FALSE()))</f>
        <v/>
      </c>
      <c r="BO8" s="77" t="str">
        <f aca="false">IF($BA8&gt;$AZ$7,"",VLOOKUP($BA8,$BC$8:$BI$507,6,FALSE()))</f>
        <v/>
      </c>
      <c r="BP8" s="52"/>
    </row>
    <row r="9" customFormat="false" ht="15.75" hidden="false" customHeight="false" outlineLevel="0" collapsed="false">
      <c r="A9" s="5"/>
      <c r="B9" s="78"/>
      <c r="C9" s="54"/>
      <c r="D9" s="55"/>
      <c r="E9" s="56"/>
      <c r="F9" s="57"/>
      <c r="G9" s="58"/>
      <c r="H9" s="58"/>
      <c r="I9" s="57"/>
      <c r="J9" s="58"/>
      <c r="K9" s="58"/>
      <c r="L9" s="57"/>
      <c r="M9" s="79"/>
      <c r="N9" s="60"/>
      <c r="O9" s="62" t="str">
        <f aca="false">IF(ISBLANK($C9),"",IF(E9=Constants!$B$2, TRUE(), IF(E9=Constants!$B$3, FALSE(), TRUE())))</f>
        <v/>
      </c>
      <c r="P9" s="62" t="str">
        <f aca="false">IF(ISBLANK($C9),"",IF(F9=Constants!$B$16,Constants!$B$9,IF(F9=Constants!$B$17,Constants!$B$10,Constants!$B$8)))</f>
        <v/>
      </c>
      <c r="Q9" s="62" t="str">
        <f aca="false">IF(ISBLANK($C9),"",IF(ISNUMBER(G9),IF(G9&gt;=0,G9,""),""))</f>
        <v/>
      </c>
      <c r="R9" s="62" t="str">
        <f aca="false">IF(ISBLANK($C9),"",IF(H9=Constants!$B$2, TRUE(), IF(H9=Constants!$B$3, FALSE(), TRUE())))</f>
        <v/>
      </c>
      <c r="S9" s="62" t="str">
        <f aca="false">IF(ISBLANK($C9),"",IF(I9=Constants!$B$2, TRUE(), IF(I9=Constants!$B$3, FALSE(), TRUE())))</f>
        <v/>
      </c>
      <c r="T9" s="62" t="str">
        <f aca="false">IF(ISBLANK($C9),"",IF(ISNUMBER(J9),IF(J9&gt;=0,J9,""),""))</f>
        <v/>
      </c>
      <c r="U9" s="62" t="str">
        <f aca="false">IF(ISBLANK($C9),"",IF(K9=Constants!$B$2, TRUE(), IF(K9=Constants!$B$3, FALSE(), TRUE())))</f>
        <v/>
      </c>
      <c r="V9" s="62" t="str">
        <f aca="false">IF(ISBLANK($C9),"",IF(L9=Constants!$B$2, TRUE(), IF(L9=Constants!$B$3, FALSE(), TRUE())))</f>
        <v/>
      </c>
      <c r="W9" s="62" t="str">
        <f aca="false">IF(ISBLANK($C9),"",IF(M9=Constants!$B$2, TRUE(), IF(M9=Constants!$B$3, FALSE(), FALSE())))</f>
        <v/>
      </c>
      <c r="X9" s="62" t="str">
        <f aca="false">IF(ISBLANK($C9),"",AND(Q9&lt;&gt;"",O9))</f>
        <v/>
      </c>
      <c r="Y9" s="62" t="str">
        <f aca="false">IF(ISBLANK($C9),"",AND(T9&lt;&gt;"",O9))</f>
        <v/>
      </c>
      <c r="Z9" s="62" t="str">
        <f aca="false">IF(ISBLANK($C9),"",IF(W9,Constants!$B$4,IF(COUNTA(E9:L9)=0,Constants!$B$5,IF(NOT(O9),Constants!$B$6,IF(AND(NOT(X9),NOT(Y9)),Constants!$B$6,Constants!$B$7)))))</f>
        <v/>
      </c>
      <c r="AA9" s="62" t="str">
        <f aca="false">IF(ISBLANK($C9),"",IF($Z9&lt;&gt;Constants!$B$7,$Z9,Constants!$B$20))</f>
        <v/>
      </c>
      <c r="AB9" s="62" t="str">
        <f aca="false">IF($Z9=Constants!$B$7,IF(X9,Q9,Constants!$B$13),"")</f>
        <v/>
      </c>
      <c r="AC9" s="62" t="str">
        <f aca="false">IF($Z9=Constants!$B$7,IF(X9,P9*IF(R9, 1, Constants!$B$11)*IF(S9, 1, Constants!$B$12),Constants!$B$13),"")</f>
        <v/>
      </c>
      <c r="AD9" s="62" t="str">
        <f aca="false">IF($Z9=Constants!$B$7,AB9*AC9,"")</f>
        <v/>
      </c>
      <c r="AE9" s="62" t="str">
        <f aca="false">IF($Z9=Constants!$B$7,IF(Y9,T9,Constants!$B$13),"")</f>
        <v/>
      </c>
      <c r="AF9" s="62" t="str">
        <f aca="false">IF($Z9=Constants!$B$7,IF(Y9,P9*IF(U9, 1, Constants!$B$11)*IF(V9, 1, Constants!$B$12),Constants!$B$13),"")</f>
        <v/>
      </c>
      <c r="AG9" s="62" t="str">
        <f aca="false">IF($Z9=Constants!$B$7,AE9*AF9,"")</f>
        <v/>
      </c>
      <c r="AH9" s="62" t="str">
        <f aca="false">IF($Z9=Constants!$B$7,IF(AG9&gt;AD9,2,1),"")</f>
        <v/>
      </c>
      <c r="AI9" s="62" t="str">
        <f aca="false">IF($Z9=Constants!$B$7,IF(AH9=1,2,1),"")</f>
        <v/>
      </c>
      <c r="AJ9" s="62" t="str">
        <f aca="false">IF(ISBLANK($C9),"",IF($Z9&lt;&gt;Constants!$B$7,$Z9,IF(AH9=1,AD9,AG9)))</f>
        <v/>
      </c>
      <c r="AK9" s="62" t="str">
        <f aca="false">IF(ISBLANK($C9),"",IF($Z9=Constants!$B$7,IF(ISNUMBER(AJ9),RANK(AJ9,$AJ$8:$AJ$507),Constants!$B$14),$Z9))</f>
        <v/>
      </c>
      <c r="AL9" s="62" t="str">
        <f aca="false">IF(ISBLANK($C9),"",IF($Z9=Constants!$B$7,IF(AI9=1,AD9,AG9),""))</f>
        <v/>
      </c>
      <c r="AM9" s="62" t="str">
        <f aca="false">IF(ISBLANK($C9),"",IF($Z9=Constants!$B$7,RANK(AL9,$AL$8:$AL$507),$Z9))</f>
        <v/>
      </c>
      <c r="AN9" s="62" t="str">
        <f aca="false">IF(ISBLANK($C9),"",IF($Z9=Constants!$B$7,IF(ISNUMBER(AK9),COUNTIFS($AK$8:$AK$507,"&lt;"&amp;$AK9)+COUNTIFS($AK$8:$AK$507,$AK9,$AM$8:$AM$507,"&lt;"&amp;$AM9)+1,Constants!$B$14),$Z9))</f>
        <v/>
      </c>
      <c r="AO9" s="62" t="str">
        <f aca="false">IF(ISBLANK($C9),"",IF($Z9=Constants!$B$7,IF(ISNUMBER(AK9),AK9-AN9,Constants!$B$14),$Z9))</f>
        <v/>
      </c>
      <c r="AP9" s="64"/>
      <c r="AQ9" s="65" t="str">
        <f aca="false">IF(ISBLANK($C9),"",IF($Z9&lt;&gt;Constants!$B$7,"",AH9))</f>
        <v/>
      </c>
      <c r="AR9" s="80" t="str">
        <f aca="false">IF(ISBLANK($C9),"",IF($Z9&lt;&gt;Constants!$B$7,"",IF(AH9=1,AB9,AE9)))</f>
        <v/>
      </c>
      <c r="AS9" s="67" t="str">
        <f aca="false">IF(ISBLANK($C9),"",IF($Z9&lt;&gt;Constants!$B$7,"",IF(AH9=1,AC9,AF9)))</f>
        <v/>
      </c>
      <c r="AT9" s="68" t="str">
        <f aca="false">IF(ISBLANK($C9),"",IF($Z9&lt;&gt;Constants!$B$7,$Z9,AJ9))</f>
        <v/>
      </c>
      <c r="AU9" s="69" t="str">
        <f aca="false">IF(ISBLANK($C9),"",IF($Z9&lt;&gt;Constants!$B$7,$Z9,AA9))</f>
        <v/>
      </c>
      <c r="AV9" s="70" t="str">
        <f aca="false">IF(ISBLANK($C9),"",AO9)</f>
        <v/>
      </c>
      <c r="AW9" s="70" t="str">
        <f aca="false">IF(ISBLANK($C9),"",AN9)</f>
        <v/>
      </c>
      <c r="AX9" s="71" t="str">
        <f aca="false">IF(ISBLANK($C9),"",IFERROR(_xlfn.SWITCH(AW9,Constants!$B$4,COUNTA($C$8:$C$507)+2,Constants!$B$5,COUNTA($C$8:$C$507)+1,Constants!$B$6,COUNTA($C$8:$C$507)),AW9))</f>
        <v/>
      </c>
      <c r="AY9" s="5"/>
      <c r="AZ9" s="72" t="n">
        <f aca="false">IF(OR(ISNUMBER(AW9),AW9=Constants!$B$4,AW9=Constants!$B$6,AW9=Constants!$B$5),1,0)</f>
        <v>0</v>
      </c>
      <c r="BA9" s="72" t="n">
        <v>2</v>
      </c>
      <c r="BB9" s="72" t="str">
        <f aca="false">IF(ISBLANK($C9),"",IF(ISNUMBER(AX9),AX9+ROW($B9)/1000,""))</f>
        <v/>
      </c>
      <c r="BC9" s="72" t="str">
        <f aca="false">IF(ISNUMBER(BB9),RANK(BB9,$BB$8:$BB$507,1),"")</f>
        <v/>
      </c>
      <c r="BD9" s="72" t="str">
        <f aca="false">IF(ISBLANK($C9),"",$B9)</f>
        <v/>
      </c>
      <c r="BE9" s="72" t="str">
        <f aca="false">IF(ISBLANK($C9),"",$C9)</f>
        <v/>
      </c>
      <c r="BF9" s="72" t="str">
        <f aca="false">IF(ISBLANK($C9),"",$D9)</f>
        <v/>
      </c>
      <c r="BG9" s="73" t="str">
        <f aca="false">AU9</f>
        <v/>
      </c>
      <c r="BH9" s="74" t="str">
        <f aca="false">AT9</f>
        <v/>
      </c>
      <c r="BI9" s="72" t="str">
        <f aca="false">IF(ISBLANK($C9),"",AW9)</f>
        <v/>
      </c>
      <c r="BJ9" s="75" t="str">
        <f aca="false">IF($BA9&gt;$AZ$7,"",VLOOKUP($BA9,$BC$8:$BI$507,7,FALSE()))</f>
        <v/>
      </c>
      <c r="BK9" s="76" t="str">
        <f aca="false">IF($BA9&gt;$AZ$7,"",VLOOKUP($BA9,$BC$8:$BI$507,2,FALSE()))</f>
        <v/>
      </c>
      <c r="BL9" s="76" t="str">
        <f aca="false">IF($BA9&gt;$AZ$7,"",VLOOKUP($BA9,$BC$8:$BI$507,3,FALSE()))</f>
        <v/>
      </c>
      <c r="BM9" s="76" t="str">
        <f aca="false">IF($BA9&gt;$AZ$7,"",VLOOKUP($BA9,$BC$8:$BI$507,4,FALSE()))</f>
        <v/>
      </c>
      <c r="BN9" s="76" t="str">
        <f aca="false">IF($BA9&gt;$AZ$7,"",VLOOKUP($BA9,$BC$8:$BI$507,5,FALSE()))</f>
        <v/>
      </c>
      <c r="BO9" s="77" t="str">
        <f aca="false">IF($BA9&gt;$AZ$7,"",VLOOKUP($BA9,$BC$8:$BI$507,6,FALSE()))</f>
        <v/>
      </c>
      <c r="BP9" s="52"/>
    </row>
    <row r="10" customFormat="false" ht="15.75" hidden="false" customHeight="false" outlineLevel="0" collapsed="false">
      <c r="A10" s="5"/>
      <c r="B10" s="78"/>
      <c r="C10" s="81"/>
      <c r="D10" s="82"/>
      <c r="E10" s="56"/>
      <c r="F10" s="57"/>
      <c r="G10" s="58"/>
      <c r="H10" s="58"/>
      <c r="I10" s="57"/>
      <c r="J10" s="58"/>
      <c r="K10" s="58"/>
      <c r="L10" s="57"/>
      <c r="M10" s="59"/>
      <c r="N10" s="60"/>
      <c r="O10" s="62" t="str">
        <f aca="false">IF(ISBLANK($C10),"",IF(E10=Constants!$B$2, TRUE(), IF(E10=Constants!$B$3, FALSE(), TRUE())))</f>
        <v/>
      </c>
      <c r="P10" s="62" t="str">
        <f aca="false">IF(ISBLANK($C10),"",IF(F10=Constants!$B$16,Constants!$B$9,IF(F10=Constants!$B$17,Constants!$B$10,Constants!$B$8)))</f>
        <v/>
      </c>
      <c r="Q10" s="62" t="str">
        <f aca="false">IF(ISBLANK($C10),"",IF(ISNUMBER(G10),IF(G10&gt;=0,G10,""),""))</f>
        <v/>
      </c>
      <c r="R10" s="62" t="str">
        <f aca="false">IF(ISBLANK($C10),"",IF(H10=Constants!$B$2, TRUE(), IF(H10=Constants!$B$3, FALSE(), TRUE())))</f>
        <v/>
      </c>
      <c r="S10" s="62" t="str">
        <f aca="false">IF(ISBLANK($C10),"",IF(I10=Constants!$B$2, TRUE(), IF(I10=Constants!$B$3, FALSE(), TRUE())))</f>
        <v/>
      </c>
      <c r="T10" s="62" t="str">
        <f aca="false">IF(ISBLANK($C10),"",IF(ISNUMBER(J10),IF(J10&gt;=0,J10,""),""))</f>
        <v/>
      </c>
      <c r="U10" s="62" t="str">
        <f aca="false">IF(ISBLANK($C10),"",IF(K10=Constants!$B$2, TRUE(), IF(K10=Constants!$B$3, FALSE(), TRUE())))</f>
        <v/>
      </c>
      <c r="V10" s="62" t="str">
        <f aca="false">IF(ISBLANK($C10),"",IF(L10=Constants!$B$2, TRUE(), IF(L10=Constants!$B$3, FALSE(), TRUE())))</f>
        <v/>
      </c>
      <c r="W10" s="62" t="str">
        <f aca="false">IF(ISBLANK($C10),"",IF(M10=Constants!$B$2, TRUE(), IF(M10=Constants!$B$3, FALSE(), FALSE())))</f>
        <v/>
      </c>
      <c r="X10" s="62" t="str">
        <f aca="false">IF(ISBLANK($C10),"",AND(Q10&lt;&gt;"",O10))</f>
        <v/>
      </c>
      <c r="Y10" s="62" t="str">
        <f aca="false">IF(ISBLANK($C10),"",AND(T10&lt;&gt;"",O10))</f>
        <v/>
      </c>
      <c r="Z10" s="62" t="str">
        <f aca="false">IF(ISBLANK($C10),"",IF(W10,Constants!$B$4,IF(COUNTA(E10:L10)=0,Constants!$B$5,IF(NOT(O10),Constants!$B$6,IF(AND(NOT(X10),NOT(Y10)),Constants!$B$6,Constants!$B$7)))))</f>
        <v/>
      </c>
      <c r="AA10" s="62" t="str">
        <f aca="false">IF(ISBLANK($C10),"",IF($Z10&lt;&gt;Constants!$B$7,$Z10,Constants!$B$20))</f>
        <v/>
      </c>
      <c r="AB10" s="62" t="str">
        <f aca="false">IF($Z10=Constants!$B$7,IF(X10,Q10,Constants!$B$13),"")</f>
        <v/>
      </c>
      <c r="AC10" s="62" t="str">
        <f aca="false">IF($Z10=Constants!$B$7,IF(X10,P10*IF(R10, 1, Constants!$B$11)*IF(S10, 1, Constants!$B$12),Constants!$B$13),"")</f>
        <v/>
      </c>
      <c r="AD10" s="62" t="str">
        <f aca="false">IF($Z10=Constants!$B$7,AB10*AC10,"")</f>
        <v/>
      </c>
      <c r="AE10" s="62" t="str">
        <f aca="false">IF($Z10=Constants!$B$7,IF(Y10,T10,Constants!$B$13),"")</f>
        <v/>
      </c>
      <c r="AF10" s="62" t="str">
        <f aca="false">IF($Z10=Constants!$B$7,IF(Y10,P10*IF(U10, 1, Constants!$B$11)*IF(V10, 1, Constants!$B$12),Constants!$B$13),"")</f>
        <v/>
      </c>
      <c r="AG10" s="62" t="str">
        <f aca="false">IF($Z10=Constants!$B$7,AE10*AF10,"")</f>
        <v/>
      </c>
      <c r="AH10" s="62" t="str">
        <f aca="false">IF($Z10=Constants!$B$7,IF(AG10&gt;AD10,2,1),"")</f>
        <v/>
      </c>
      <c r="AI10" s="62" t="str">
        <f aca="false">IF($Z10=Constants!$B$7,IF(AH10=1,2,1),"")</f>
        <v/>
      </c>
      <c r="AJ10" s="62" t="str">
        <f aca="false">IF(ISBLANK($C10),"",IF($Z10&lt;&gt;Constants!$B$7,$Z10,IF(AH10=1,AD10,AG10)))</f>
        <v/>
      </c>
      <c r="AK10" s="62" t="str">
        <f aca="false">IF(ISBLANK($C10),"",IF($Z10=Constants!$B$7,IF(ISNUMBER(AJ10),RANK(AJ10,$AJ$8:$AJ$507),Constants!$B$14),$Z10))</f>
        <v/>
      </c>
      <c r="AL10" s="62" t="str">
        <f aca="false">IF(ISBLANK($C10),"",IF($Z10=Constants!$B$7,IF(AI10=1,AD10,AG10),""))</f>
        <v/>
      </c>
      <c r="AM10" s="62" t="str">
        <f aca="false">IF(ISBLANK($C10),"",IF($Z10=Constants!$B$7,RANK(AL10,$AL$8:$AL$507),$Z10))</f>
        <v/>
      </c>
      <c r="AN10" s="62" t="str">
        <f aca="false">IF(ISBLANK($C10),"",IF($Z10=Constants!$B$7,IF(ISNUMBER(AK10),COUNTIFS($AK$8:$AK$507,"&lt;"&amp;$AK10)+COUNTIFS($AK$8:$AK$507,$AK10,$AM$8:$AM$507,"&lt;"&amp;$AM10)+1,Constants!$B$14),$Z10))</f>
        <v/>
      </c>
      <c r="AO10" s="62" t="str">
        <f aca="false">IF(ISBLANK($C10),"",IF($Z10=Constants!$B$7,IF(ISNUMBER(AK10),AK10-AN10,Constants!$B$14),$Z10))</f>
        <v/>
      </c>
      <c r="AP10" s="64"/>
      <c r="AQ10" s="65" t="str">
        <f aca="false">IF(ISBLANK($C10),"",IF($Z10&lt;&gt;Constants!$B$7,"",AH10))</f>
        <v/>
      </c>
      <c r="AR10" s="80" t="str">
        <f aca="false">IF(ISBLANK($C10),"",IF($Z10&lt;&gt;Constants!$B$7,"",IF(AH10=1,AB10,AE10)))</f>
        <v/>
      </c>
      <c r="AS10" s="67" t="str">
        <f aca="false">IF(ISBLANK($C10),"",IF($Z10&lt;&gt;Constants!$B$7,"",IF(AH10=1,AC10,AF10)))</f>
        <v/>
      </c>
      <c r="AT10" s="68" t="str">
        <f aca="false">IF(ISBLANK($C10),"",IF($Z10&lt;&gt;Constants!$B$7,$Z10,AJ10))</f>
        <v/>
      </c>
      <c r="AU10" s="69" t="str">
        <f aca="false">IF(ISBLANK($C10),"",IF($Z10&lt;&gt;Constants!$B$7,$Z10,AA10))</f>
        <v/>
      </c>
      <c r="AV10" s="70" t="str">
        <f aca="false">IF(ISBLANK($C10),"",AO10)</f>
        <v/>
      </c>
      <c r="AW10" s="70" t="str">
        <f aca="false">IF(ISBLANK($C10),"",AN10)</f>
        <v/>
      </c>
      <c r="AX10" s="71" t="str">
        <f aca="false">IF(ISBLANK($C10),"",IFERROR(_xlfn.SWITCH(AW10,Constants!$B$4,COUNTA($C$8:$C$507)+2,Constants!$B$5,COUNTA($C$8:$C$507)+1,Constants!$B$6,COUNTA($C$8:$C$507)),AW10))</f>
        <v/>
      </c>
      <c r="AY10" s="5"/>
      <c r="AZ10" s="72" t="n">
        <f aca="false">IF(OR(ISNUMBER(AW10),AW10=Constants!$B$4,AW10=Constants!$B$6,AW10=Constants!$B$5),1,0)</f>
        <v>0</v>
      </c>
      <c r="BA10" s="72" t="n">
        <v>3</v>
      </c>
      <c r="BB10" s="72" t="str">
        <f aca="false">IF(ISBLANK($C10),"",IF(ISNUMBER(AX10),AX10+ROW($B10)/1000,""))</f>
        <v/>
      </c>
      <c r="BC10" s="72" t="str">
        <f aca="false">IF(ISNUMBER(BB10),RANK(BB10,$BB$8:$BB$507,1),"")</f>
        <v/>
      </c>
      <c r="BD10" s="72" t="str">
        <f aca="false">IF(ISBLANK($C10),"",$B10)</f>
        <v/>
      </c>
      <c r="BE10" s="72" t="str">
        <f aca="false">IF(ISBLANK($C10),"",$C10)</f>
        <v/>
      </c>
      <c r="BF10" s="72" t="str">
        <f aca="false">IF(ISBLANK($C10),"",$D10)</f>
        <v/>
      </c>
      <c r="BG10" s="73" t="str">
        <f aca="false">AU10</f>
        <v/>
      </c>
      <c r="BH10" s="74" t="str">
        <f aca="false">AT10</f>
        <v/>
      </c>
      <c r="BI10" s="72" t="str">
        <f aca="false">IF(ISBLANK($C10),"",AW10)</f>
        <v/>
      </c>
      <c r="BJ10" s="75" t="str">
        <f aca="false">IF($BA10&gt;$AZ$7,"",VLOOKUP($BA10,$BC$8:$BI$507,7,FALSE()))</f>
        <v/>
      </c>
      <c r="BK10" s="76" t="str">
        <f aca="false">IF($BA10&gt;$AZ$7,"",VLOOKUP($BA10,$BC$8:$BI$507,2,FALSE()))</f>
        <v/>
      </c>
      <c r="BL10" s="76" t="str">
        <f aca="false">IF($BA10&gt;$AZ$7,"",VLOOKUP($BA10,$BC$8:$BI$507,3,FALSE()))</f>
        <v/>
      </c>
      <c r="BM10" s="76" t="str">
        <f aca="false">IF($BA10&gt;$AZ$7,"",VLOOKUP($BA10,$BC$8:$BI$507,4,FALSE()))</f>
        <v/>
      </c>
      <c r="BN10" s="76" t="str">
        <f aca="false">IF($BA10&gt;$AZ$7,"",VLOOKUP($BA10,$BC$8:$BI$507,5,FALSE()))</f>
        <v/>
      </c>
      <c r="BO10" s="77" t="str">
        <f aca="false">IF($BA10&gt;$AZ$7,"",VLOOKUP($BA10,$BC$8:$BI$507,6,FALSE()))</f>
        <v/>
      </c>
      <c r="BP10" s="52"/>
    </row>
    <row r="11" customFormat="false" ht="15.75" hidden="false" customHeight="false" outlineLevel="0" collapsed="false">
      <c r="A11" s="5"/>
      <c r="B11" s="83"/>
      <c r="C11" s="84"/>
      <c r="D11" s="85"/>
      <c r="E11" s="86"/>
      <c r="F11" s="87"/>
      <c r="G11" s="88"/>
      <c r="H11" s="88"/>
      <c r="I11" s="87"/>
      <c r="J11" s="88"/>
      <c r="K11" s="88"/>
      <c r="L11" s="87"/>
      <c r="M11" s="89"/>
      <c r="N11" s="90"/>
      <c r="O11" s="91" t="str">
        <f aca="false">IF(ISBLANK($C11),"",IF(E11=Constants!$B$2, TRUE(), IF(E11=Constants!$B$3, FALSE(), TRUE())))</f>
        <v/>
      </c>
      <c r="P11" s="91" t="str">
        <f aca="false">IF(ISBLANK($C11),"",IF(F11=Constants!$B$16,Constants!$B$9,IF(F11=Constants!$B$17,Constants!$B$10,Constants!$B$8)))</f>
        <v/>
      </c>
      <c r="Q11" s="91" t="str">
        <f aca="false">IF(ISBLANK($C11),"",IF(ISNUMBER(G11),IF(G11&gt;=0,G11,""),""))</f>
        <v/>
      </c>
      <c r="R11" s="91" t="str">
        <f aca="false">IF(ISBLANK($C11),"",IF(H11=Constants!$B$2, TRUE(), IF(H11=Constants!$B$3, FALSE(), TRUE())))</f>
        <v/>
      </c>
      <c r="S11" s="91" t="str">
        <f aca="false">IF(ISBLANK($C11),"",IF(I11=Constants!$B$2, TRUE(), IF(I11=Constants!$B$3, FALSE(), TRUE())))</f>
        <v/>
      </c>
      <c r="T11" s="91" t="str">
        <f aca="false">IF(ISBLANK($C11),"",IF(ISNUMBER(J11),IF(J11&gt;=0,J11,""),""))</f>
        <v/>
      </c>
      <c r="U11" s="91" t="str">
        <f aca="false">IF(ISBLANK($C11),"",IF(K11=Constants!$B$2, TRUE(), IF(K11=Constants!$B$3, FALSE(), TRUE())))</f>
        <v/>
      </c>
      <c r="V11" s="91" t="str">
        <f aca="false">IF(ISBLANK($C11),"",IF(L11=Constants!$B$2, TRUE(), IF(L11=Constants!$B$3, FALSE(), TRUE())))</f>
        <v/>
      </c>
      <c r="W11" s="91" t="str">
        <f aca="false">IF(ISBLANK($C11),"",IF(M11=Constants!$B$2, TRUE(), IF(M11=Constants!$B$3, FALSE(), FALSE())))</f>
        <v/>
      </c>
      <c r="X11" s="91" t="str">
        <f aca="false">IF(ISBLANK($C11),"",AND(Q11&lt;&gt;"",O11))</f>
        <v/>
      </c>
      <c r="Y11" s="91" t="str">
        <f aca="false">IF(ISBLANK($C11),"",AND(T11&lt;&gt;"",O11))</f>
        <v/>
      </c>
      <c r="Z11" s="91" t="str">
        <f aca="false">IF(ISBLANK($C11),"",IF(W11,Constants!$B$4,IF(COUNTA(E11:L11)=0,Constants!$B$5,IF(NOT(O11),Constants!$B$6,IF(AND(NOT(X11),NOT(Y11)),Constants!$B$6,Constants!$B$7)))))</f>
        <v/>
      </c>
      <c r="AA11" s="91" t="str">
        <f aca="false">IF(ISBLANK($C11),"",IF($Z11&lt;&gt;Constants!$B$7,$Z11,Constants!$B$20))</f>
        <v/>
      </c>
      <c r="AB11" s="91" t="str">
        <f aca="false">IF($Z11=Constants!$B$7,IF(X11,Q11,Constants!$B$13),"")</f>
        <v/>
      </c>
      <c r="AC11" s="91" t="str">
        <f aca="false">IF($Z11=Constants!$B$7,IF(X11,P11*IF(R11, 1, Constants!$B$11)*IF(S11, 1, Constants!$B$12),Constants!$B$13),"")</f>
        <v/>
      </c>
      <c r="AD11" s="91" t="str">
        <f aca="false">IF($Z11=Constants!$B$7,AB11*AC11,"")</f>
        <v/>
      </c>
      <c r="AE11" s="91" t="str">
        <f aca="false">IF($Z11=Constants!$B$7,IF(Y11,T11,Constants!$B$13),"")</f>
        <v/>
      </c>
      <c r="AF11" s="91" t="str">
        <f aca="false">IF($Z11=Constants!$B$7,IF(Y11,P11*IF(U11, 1, Constants!$B$11)*IF(V11, 1, Constants!$B$12),Constants!$B$13),"")</f>
        <v/>
      </c>
      <c r="AG11" s="91" t="str">
        <f aca="false">IF($Z11=Constants!$B$7,AE11*AF11,"")</f>
        <v/>
      </c>
      <c r="AH11" s="91" t="str">
        <f aca="false">IF($Z11=Constants!$B$7,IF(AG11&gt;AD11,2,1),"")</f>
        <v/>
      </c>
      <c r="AI11" s="91" t="str">
        <f aca="false">IF($Z11=Constants!$B$7,IF(AH11=1,2,1),"")</f>
        <v/>
      </c>
      <c r="AJ11" s="91" t="str">
        <f aca="false">IF(ISBLANK($C11),"",IF($Z11&lt;&gt;Constants!$B$7,$Z11,IF(AH11=1,AD11,AG11)))</f>
        <v/>
      </c>
      <c r="AK11" s="91" t="str">
        <f aca="false">IF(ISBLANK($C11),"",IF($Z11=Constants!$B$7,IF(ISNUMBER(AJ11),RANK(AJ11,$AJ$8:$AJ$507),Constants!$B$14),$Z11))</f>
        <v/>
      </c>
      <c r="AL11" s="91" t="str">
        <f aca="false">IF(ISBLANK($C11),"",IF($Z11=Constants!$B$7,IF(AI11=1,AD11,AG11),""))</f>
        <v/>
      </c>
      <c r="AM11" s="91" t="str">
        <f aca="false">IF(ISBLANK($C11),"",IF($Z11=Constants!$B$7,RANK(AL11,$AL$8:$AL$507),$Z11))</f>
        <v/>
      </c>
      <c r="AN11" s="91" t="str">
        <f aca="false">IF(ISBLANK($C11),"",IF($Z11=Constants!$B$7,IF(ISNUMBER(AK11),COUNTIFS($AK$8:$AK$507,"&lt;"&amp;$AK11)+COUNTIFS($AK$8:$AK$507,$AK11,$AM$8:$AM$507,"&lt;"&amp;$AM11)+1,Constants!$B$14),$Z11))</f>
        <v/>
      </c>
      <c r="AO11" s="91" t="str">
        <f aca="false">IF(ISBLANK($C11),"",IF($Z11=Constants!$B$7,IF(ISNUMBER(AK11),AK11-AN11,Constants!$B$14),$Z11))</f>
        <v/>
      </c>
      <c r="AP11" s="92"/>
      <c r="AQ11" s="93" t="str">
        <f aca="false">IF(ISBLANK($C11),"",IF($Z11&lt;&gt;Constants!$B$7,"",AH11))</f>
        <v/>
      </c>
      <c r="AR11" s="94" t="str">
        <f aca="false">IF(ISBLANK($C11),"",IF($Z11&lt;&gt;Constants!$B$7,"",IF(AH11=1,AB11,AE11)))</f>
        <v/>
      </c>
      <c r="AS11" s="95" t="str">
        <f aca="false">IF(ISBLANK($C11),"",IF($Z11&lt;&gt;Constants!$B$7,"",IF(AH11=1,AC11,AF11)))</f>
        <v/>
      </c>
      <c r="AT11" s="96" t="str">
        <f aca="false">IF(ISBLANK($C11),"",IF($Z11&lt;&gt;Constants!$B$7,$Z11,AJ11))</f>
        <v/>
      </c>
      <c r="AU11" s="97" t="str">
        <f aca="false">IF(ISBLANK($C11),"",IF($Z11&lt;&gt;Constants!$B$7,$Z11,AA11))</f>
        <v/>
      </c>
      <c r="AV11" s="98" t="str">
        <f aca="false">IF(ISBLANK($C11),"",AO11)</f>
        <v/>
      </c>
      <c r="AW11" s="98" t="str">
        <f aca="false">IF(ISBLANK($C11),"",AN11)</f>
        <v/>
      </c>
      <c r="AX11" s="99" t="str">
        <f aca="false">IF(ISBLANK($C11),"",IFERROR(_xlfn.SWITCH(AW11,Constants!$B$4,COUNTA($C$8:$C$507)+2,Constants!$B$5,COUNTA($C$8:$C$507)+1,Constants!$B$6,COUNTA($C$8:$C$507)),AW11))</f>
        <v/>
      </c>
      <c r="AY11" s="5"/>
      <c r="AZ11" s="100" t="n">
        <f aca="false">IF(OR(ISNUMBER(AW11),AW11=Constants!$B$4,AW11=Constants!$B$6,AW11=Constants!$B$5),1,0)</f>
        <v>0</v>
      </c>
      <c r="BA11" s="100" t="n">
        <v>4</v>
      </c>
      <c r="BB11" s="100" t="str">
        <f aca="false">IF(ISBLANK($C11),"",IF(ISNUMBER(AX11),AX11+ROW($B11)/1000,""))</f>
        <v/>
      </c>
      <c r="BC11" s="100" t="str">
        <f aca="false">IF(ISNUMBER(BB11),RANK(BB11,$BB$8:$BB$507,1),"")</f>
        <v/>
      </c>
      <c r="BD11" s="100" t="str">
        <f aca="false">IF(ISBLANK($C11),"",$B11)</f>
        <v/>
      </c>
      <c r="BE11" s="100" t="str">
        <f aca="false">IF(ISBLANK($C11),"",$C11)</f>
        <v/>
      </c>
      <c r="BF11" s="100" t="str">
        <f aca="false">IF(ISBLANK($C11),"",$D11)</f>
        <v/>
      </c>
      <c r="BG11" s="101" t="str">
        <f aca="false">AU11</f>
        <v/>
      </c>
      <c r="BH11" s="102" t="str">
        <f aca="false">AT11</f>
        <v/>
      </c>
      <c r="BI11" s="100" t="str">
        <f aca="false">IF(ISBLANK($C11),"",AW11)</f>
        <v/>
      </c>
      <c r="BJ11" s="103" t="str">
        <f aca="false">IF($BA11&gt;$AZ$7,"",VLOOKUP($BA11,$BC$8:$BI$507,7,FALSE()))</f>
        <v/>
      </c>
      <c r="BK11" s="104" t="str">
        <f aca="false">IF($BA11&gt;$AZ$7,"",VLOOKUP($BA11,$BC$8:$BI$507,2,FALSE()))</f>
        <v/>
      </c>
      <c r="BL11" s="104" t="str">
        <f aca="false">IF($BA11&gt;$AZ$7,"",VLOOKUP($BA11,$BC$8:$BI$507,3,FALSE()))</f>
        <v/>
      </c>
      <c r="BM11" s="104" t="str">
        <f aca="false">IF($BA11&gt;$AZ$7,"",VLOOKUP($BA11,$BC$8:$BI$507,4,FALSE()))</f>
        <v/>
      </c>
      <c r="BN11" s="104" t="str">
        <f aca="false">IF($BA11&gt;$AZ$7,"",VLOOKUP($BA11,$BC$8:$BI$507,5,FALSE()))</f>
        <v/>
      </c>
      <c r="BO11" s="105" t="str">
        <f aca="false">IF($BA11&gt;$AZ$7,"",VLOOKUP($BA11,$BC$8:$BI$507,6,FALSE()))</f>
        <v/>
      </c>
      <c r="BP11" s="52"/>
    </row>
    <row r="12" customFormat="false" ht="15.75" hidden="false" customHeight="false" outlineLevel="0" collapsed="false">
      <c r="A12" s="5"/>
      <c r="B12" s="83"/>
      <c r="C12" s="84"/>
      <c r="D12" s="106"/>
      <c r="E12" s="86"/>
      <c r="F12" s="87"/>
      <c r="G12" s="88"/>
      <c r="H12" s="88"/>
      <c r="I12" s="87"/>
      <c r="J12" s="88"/>
      <c r="K12" s="88"/>
      <c r="L12" s="87"/>
      <c r="M12" s="89"/>
      <c r="N12" s="90"/>
      <c r="O12" s="91" t="str">
        <f aca="false">IF(ISBLANK($C12),"",IF(E12=Constants!$B$2, TRUE(), IF(E12=Constants!$B$3, FALSE(), TRUE())))</f>
        <v/>
      </c>
      <c r="P12" s="91" t="str">
        <f aca="false">IF(ISBLANK($C12),"",IF(F12=Constants!$B$16,Constants!$B$9,IF(F12=Constants!$B$17,Constants!$B$10,Constants!$B$8)))</f>
        <v/>
      </c>
      <c r="Q12" s="91" t="str">
        <f aca="false">IF(ISBLANK($C12),"",IF(ISNUMBER(G12),IF(G12&gt;=0,G12,""),""))</f>
        <v/>
      </c>
      <c r="R12" s="91" t="str">
        <f aca="false">IF(ISBLANK($C12),"",IF(H12=Constants!$B$2, TRUE(), IF(H12=Constants!$B$3, FALSE(), TRUE())))</f>
        <v/>
      </c>
      <c r="S12" s="91" t="str">
        <f aca="false">IF(ISBLANK($C12),"",IF(I12=Constants!$B$2, TRUE(), IF(I12=Constants!$B$3, FALSE(), TRUE())))</f>
        <v/>
      </c>
      <c r="T12" s="91" t="str">
        <f aca="false">IF(ISBLANK($C12),"",IF(ISNUMBER(J12),IF(J12&gt;=0,J12,""),""))</f>
        <v/>
      </c>
      <c r="U12" s="91" t="str">
        <f aca="false">IF(ISBLANK($C12),"",IF(K12=Constants!$B$2, TRUE(), IF(K12=Constants!$B$3, FALSE(), TRUE())))</f>
        <v/>
      </c>
      <c r="V12" s="91" t="str">
        <f aca="false">IF(ISBLANK($C12),"",IF(L12=Constants!$B$2, TRUE(), IF(L12=Constants!$B$3, FALSE(), TRUE())))</f>
        <v/>
      </c>
      <c r="W12" s="91" t="str">
        <f aca="false">IF(ISBLANK($C12),"",IF(M12=Constants!$B$2, TRUE(), IF(M12=Constants!$B$3, FALSE(), FALSE())))</f>
        <v/>
      </c>
      <c r="X12" s="91" t="str">
        <f aca="false">IF(ISBLANK($C12),"",AND(Q12&lt;&gt;"",O12))</f>
        <v/>
      </c>
      <c r="Y12" s="91" t="str">
        <f aca="false">IF(ISBLANK($C12),"",AND(T12&lt;&gt;"",O12))</f>
        <v/>
      </c>
      <c r="Z12" s="91" t="str">
        <f aca="false">IF(ISBLANK($C12),"",IF(W12,Constants!$B$4,IF(COUNTA(E12:L12)=0,Constants!$B$5,IF(NOT(O12),Constants!$B$6,IF(AND(NOT(X12),NOT(Y12)),Constants!$B$6,Constants!$B$7)))))</f>
        <v/>
      </c>
      <c r="AA12" s="91" t="str">
        <f aca="false">IF(ISBLANK($C12),"",IF($Z12&lt;&gt;Constants!$B$7,$Z12,Constants!$B$20))</f>
        <v/>
      </c>
      <c r="AB12" s="91" t="str">
        <f aca="false">IF($Z12=Constants!$B$7,IF(X12,Q12,Constants!$B$13),"")</f>
        <v/>
      </c>
      <c r="AC12" s="91" t="str">
        <f aca="false">IF($Z12=Constants!$B$7,IF(X12,P12*IF(R12, 1, Constants!$B$11)*IF(S12, 1, Constants!$B$12),Constants!$B$13),"")</f>
        <v/>
      </c>
      <c r="AD12" s="91" t="str">
        <f aca="false">IF($Z12=Constants!$B$7,AB12*AC12,"")</f>
        <v/>
      </c>
      <c r="AE12" s="91" t="str">
        <f aca="false">IF($Z12=Constants!$B$7,IF(Y12,T12,Constants!$B$13),"")</f>
        <v/>
      </c>
      <c r="AF12" s="91" t="str">
        <f aca="false">IF($Z12=Constants!$B$7,IF(Y12,P12*IF(U12, 1, Constants!$B$11)*IF(V12, 1, Constants!$B$12),Constants!$B$13),"")</f>
        <v/>
      </c>
      <c r="AG12" s="91" t="str">
        <f aca="false">IF($Z12=Constants!$B$7,AE12*AF12,"")</f>
        <v/>
      </c>
      <c r="AH12" s="91" t="str">
        <f aca="false">IF($Z12=Constants!$B$7,IF(AG12&gt;AD12,2,1),"")</f>
        <v/>
      </c>
      <c r="AI12" s="91" t="str">
        <f aca="false">IF($Z12=Constants!$B$7,IF(AH12=1,2,1),"")</f>
        <v/>
      </c>
      <c r="AJ12" s="91" t="str">
        <f aca="false">IF(ISBLANK($C12),"",IF($Z12&lt;&gt;Constants!$B$7,$Z12,IF(AH12=1,AD12,AG12)))</f>
        <v/>
      </c>
      <c r="AK12" s="91" t="str">
        <f aca="false">IF(ISBLANK($C12),"",IF($Z12=Constants!$B$7,IF(ISNUMBER(AJ12),RANK(AJ12,$AJ$8:$AJ$507),Constants!$B$14),$Z12))</f>
        <v/>
      </c>
      <c r="AL12" s="91" t="str">
        <f aca="false">IF(ISBLANK($C12),"",IF($Z12=Constants!$B$7,IF(AI12=1,AD12,AG12),""))</f>
        <v/>
      </c>
      <c r="AM12" s="91" t="str">
        <f aca="false">IF(ISBLANK($C12),"",IF($Z12=Constants!$B$7,RANK(AL12,$AL$8:$AL$507),$Z12))</f>
        <v/>
      </c>
      <c r="AN12" s="91" t="str">
        <f aca="false">IF(ISBLANK($C12),"",IF($Z12=Constants!$B$7,IF(ISNUMBER(AK12),COUNTIFS($AK$8:$AK$507,"&lt;"&amp;$AK12)+COUNTIFS($AK$8:$AK$507,$AK12,$AM$8:$AM$507,"&lt;"&amp;$AM12)+1,Constants!$B$14),$Z12))</f>
        <v/>
      </c>
      <c r="AO12" s="91" t="str">
        <f aca="false">IF(ISBLANK($C12),"",IF($Z12=Constants!$B$7,IF(ISNUMBER(AK12),AK12-AN12,Constants!$B$14),$Z12))</f>
        <v/>
      </c>
      <c r="AP12" s="92"/>
      <c r="AQ12" s="93" t="str">
        <f aca="false">IF(ISBLANK($C12),"",IF($Z12&lt;&gt;Constants!$B$7,"",AH12))</f>
        <v/>
      </c>
      <c r="AR12" s="94" t="str">
        <f aca="false">IF(ISBLANK($C12),"",IF($Z12&lt;&gt;Constants!$B$7,"",IF(AH12=1,AB12,AE12)))</f>
        <v/>
      </c>
      <c r="AS12" s="95" t="str">
        <f aca="false">IF(ISBLANK($C12),"",IF($Z12&lt;&gt;Constants!$B$7,"",IF(AH12=1,AC12,AF12)))</f>
        <v/>
      </c>
      <c r="AT12" s="96" t="str">
        <f aca="false">IF(ISBLANK($C12),"",IF($Z12&lt;&gt;Constants!$B$7,$Z12,AJ12))</f>
        <v/>
      </c>
      <c r="AU12" s="97" t="str">
        <f aca="false">IF(ISBLANK($C12),"",IF($Z12&lt;&gt;Constants!$B$7,$Z12,AA12))</f>
        <v/>
      </c>
      <c r="AV12" s="98" t="str">
        <f aca="false">IF(ISBLANK($C12),"",AO12)</f>
        <v/>
      </c>
      <c r="AW12" s="98" t="str">
        <f aca="false">IF(ISBLANK($C12),"",AN12)</f>
        <v/>
      </c>
      <c r="AX12" s="99" t="str">
        <f aca="false">IF(ISBLANK($C12),"",IFERROR(_xlfn.SWITCH(AW12,Constants!$B$4,COUNTA($C$8:$C$507)+2,Constants!$B$5,COUNTA($C$8:$C$507)+1,Constants!$B$6,COUNTA($C$8:$C$507)),AW12))</f>
        <v/>
      </c>
      <c r="AY12" s="5"/>
      <c r="AZ12" s="100" t="n">
        <f aca="false">IF(OR(ISNUMBER(AW12),AW12=Constants!$B$4,AW12=Constants!$B$6,AW12=Constants!$B$5),1,0)</f>
        <v>0</v>
      </c>
      <c r="BA12" s="100" t="n">
        <v>5</v>
      </c>
      <c r="BB12" s="100" t="str">
        <f aca="false">IF(ISBLANK($C12),"",IF(ISNUMBER(AX12),AX12+ROW($B12)/1000,""))</f>
        <v/>
      </c>
      <c r="BC12" s="100" t="str">
        <f aca="false">IF(ISNUMBER(BB12),RANK(BB12,$BB$8:$BB$507,1),"")</f>
        <v/>
      </c>
      <c r="BD12" s="100" t="str">
        <f aca="false">IF(ISBLANK($C12),"",$B12)</f>
        <v/>
      </c>
      <c r="BE12" s="100" t="str">
        <f aca="false">IF(ISBLANK($C12),"",$C12)</f>
        <v/>
      </c>
      <c r="BF12" s="100" t="str">
        <f aca="false">IF(ISBLANK($C12),"",$D12)</f>
        <v/>
      </c>
      <c r="BG12" s="101" t="str">
        <f aca="false">AU12</f>
        <v/>
      </c>
      <c r="BH12" s="102" t="str">
        <f aca="false">AT12</f>
        <v/>
      </c>
      <c r="BI12" s="100" t="str">
        <f aca="false">IF(ISBLANK($C12),"",AW12)</f>
        <v/>
      </c>
      <c r="BJ12" s="103" t="str">
        <f aca="false">IF($BA12&gt;$AZ$7,"",VLOOKUP($BA12,$BC$8:$BI$507,7,FALSE()))</f>
        <v/>
      </c>
      <c r="BK12" s="104" t="str">
        <f aca="false">IF($BA12&gt;$AZ$7,"",VLOOKUP($BA12,$BC$8:$BI$507,2,FALSE()))</f>
        <v/>
      </c>
      <c r="BL12" s="104" t="str">
        <f aca="false">IF($BA12&gt;$AZ$7,"",VLOOKUP($BA12,$BC$8:$BI$507,3,FALSE()))</f>
        <v/>
      </c>
      <c r="BM12" s="104" t="str">
        <f aca="false">IF($BA12&gt;$AZ$7,"",VLOOKUP($BA12,$BC$8:$BI$507,4,FALSE()))</f>
        <v/>
      </c>
      <c r="BN12" s="104" t="str">
        <f aca="false">IF($BA12&gt;$AZ$7,"",VLOOKUP($BA12,$BC$8:$BI$507,5,FALSE()))</f>
        <v/>
      </c>
      <c r="BO12" s="105" t="str">
        <f aca="false">IF($BA12&gt;$AZ$7,"",VLOOKUP($BA12,$BC$8:$BI$507,6,FALSE()))</f>
        <v/>
      </c>
      <c r="BP12" s="52"/>
    </row>
    <row r="13" customFormat="false" ht="15.75" hidden="false" customHeight="false" outlineLevel="0" collapsed="false">
      <c r="A13" s="5"/>
      <c r="B13" s="107"/>
      <c r="C13" s="108"/>
      <c r="D13" s="109"/>
      <c r="E13" s="110"/>
      <c r="F13" s="87"/>
      <c r="G13" s="88"/>
      <c r="H13" s="88"/>
      <c r="I13" s="87"/>
      <c r="J13" s="88"/>
      <c r="K13" s="88"/>
      <c r="L13" s="87"/>
      <c r="M13" s="111"/>
      <c r="N13" s="90"/>
      <c r="O13" s="91" t="str">
        <f aca="false">IF(ISBLANK($C13),"",IF(E13=Constants!$B$2, TRUE(), IF(E13=Constants!$B$3, FALSE(), TRUE())))</f>
        <v/>
      </c>
      <c r="P13" s="91" t="str">
        <f aca="false">IF(ISBLANK($C13),"",IF(F13=Constants!$B$16,Constants!$B$9,IF(F13=Constants!$B$17,Constants!$B$10,Constants!$B$8)))</f>
        <v/>
      </c>
      <c r="Q13" s="91" t="str">
        <f aca="false">IF(ISBLANK($C13),"",IF(ISNUMBER(G13),IF(G13&gt;=0,G13,""),""))</f>
        <v/>
      </c>
      <c r="R13" s="91" t="str">
        <f aca="false">IF(ISBLANK($C13),"",IF(H13=Constants!$B$2, TRUE(), IF(H13=Constants!$B$3, FALSE(), TRUE())))</f>
        <v/>
      </c>
      <c r="S13" s="91" t="str">
        <f aca="false">IF(ISBLANK($C13),"",IF(I13=Constants!$B$2, TRUE(), IF(I13=Constants!$B$3, FALSE(), TRUE())))</f>
        <v/>
      </c>
      <c r="T13" s="91" t="str">
        <f aca="false">IF(ISBLANK($C13),"",IF(ISNUMBER(J13),IF(J13&gt;=0,J13,""),""))</f>
        <v/>
      </c>
      <c r="U13" s="91" t="str">
        <f aca="false">IF(ISBLANK($C13),"",IF(K13=Constants!$B$2, TRUE(), IF(K13=Constants!$B$3, FALSE(), TRUE())))</f>
        <v/>
      </c>
      <c r="V13" s="91" t="str">
        <f aca="false">IF(ISBLANK($C13),"",IF(L13=Constants!$B$2, TRUE(), IF(L13=Constants!$B$3, FALSE(), TRUE())))</f>
        <v/>
      </c>
      <c r="W13" s="91" t="str">
        <f aca="false">IF(ISBLANK($C13),"",IF(M13=Constants!$B$2, TRUE(), IF(M13=Constants!$B$3, FALSE(), FALSE())))</f>
        <v/>
      </c>
      <c r="X13" s="91" t="str">
        <f aca="false">IF(ISBLANK($C13),"",AND(Q13&lt;&gt;"",O13))</f>
        <v/>
      </c>
      <c r="Y13" s="91" t="str">
        <f aca="false">IF(ISBLANK($C13),"",AND(T13&lt;&gt;"",O13))</f>
        <v/>
      </c>
      <c r="Z13" s="91" t="str">
        <f aca="false">IF(ISBLANK($C13),"",IF(W13,Constants!$B$4,IF(COUNTA(E13:L13)=0,Constants!$B$5,IF(NOT(O13),Constants!$B$6,IF(AND(NOT(X13),NOT(Y13)),Constants!$B$6,Constants!$B$7)))))</f>
        <v/>
      </c>
      <c r="AA13" s="91" t="str">
        <f aca="false">IF(ISBLANK($C13),"",IF($Z13&lt;&gt;Constants!$B$7,$Z13,Constants!$B$20))</f>
        <v/>
      </c>
      <c r="AB13" s="91" t="str">
        <f aca="false">IF($Z13=Constants!$B$7,IF(X13,Q13,Constants!$B$13),"")</f>
        <v/>
      </c>
      <c r="AC13" s="91" t="str">
        <f aca="false">IF($Z13=Constants!$B$7,IF(X13,P13*IF(R13, 1, Constants!$B$11)*IF(S13, 1, Constants!$B$12),Constants!$B$13),"")</f>
        <v/>
      </c>
      <c r="AD13" s="91" t="str">
        <f aca="false">IF($Z13=Constants!$B$7,AB13*AC13,"")</f>
        <v/>
      </c>
      <c r="AE13" s="91" t="str">
        <f aca="false">IF($Z13=Constants!$B$7,IF(Y13,T13,Constants!$B$13),"")</f>
        <v/>
      </c>
      <c r="AF13" s="91" t="str">
        <f aca="false">IF($Z13=Constants!$B$7,IF(Y13,P13*IF(U13, 1, Constants!$B$11)*IF(V13, 1, Constants!$B$12),Constants!$B$13),"")</f>
        <v/>
      </c>
      <c r="AG13" s="91" t="str">
        <f aca="false">IF($Z13=Constants!$B$7,AE13*AF13,"")</f>
        <v/>
      </c>
      <c r="AH13" s="91" t="str">
        <f aca="false">IF($Z13=Constants!$B$7,IF(AG13&gt;AD13,2,1),"")</f>
        <v/>
      </c>
      <c r="AI13" s="91" t="str">
        <f aca="false">IF($Z13=Constants!$B$7,IF(AH13=1,2,1),"")</f>
        <v/>
      </c>
      <c r="AJ13" s="91" t="str">
        <f aca="false">IF(ISBLANK($C13),"",IF($Z13&lt;&gt;Constants!$B$7,$Z13,IF(AH13=1,AD13,AG13)))</f>
        <v/>
      </c>
      <c r="AK13" s="91" t="str">
        <f aca="false">IF(ISBLANK($C13),"",IF($Z13=Constants!$B$7,IF(ISNUMBER(AJ13),RANK(AJ13,$AJ$8:$AJ$507),Constants!$B$14),$Z13))</f>
        <v/>
      </c>
      <c r="AL13" s="91" t="str">
        <f aca="false">IF(ISBLANK($C13),"",IF($Z13=Constants!$B$7,IF(AI13=1,AD13,AG13),""))</f>
        <v/>
      </c>
      <c r="AM13" s="91" t="str">
        <f aca="false">IF(ISBLANK($C13),"",IF($Z13=Constants!$B$7,RANK(AL13,$AL$8:$AL$507),$Z13))</f>
        <v/>
      </c>
      <c r="AN13" s="91" t="str">
        <f aca="false">IF(ISBLANK($C13),"",IF($Z13=Constants!$B$7,IF(ISNUMBER(AK13),COUNTIFS($AK$8:$AK$507,"&lt;"&amp;$AK13)+COUNTIFS($AK$8:$AK$507,$AK13,$AM$8:$AM$507,"&lt;"&amp;$AM13)+1,Constants!$B$14),$Z13))</f>
        <v/>
      </c>
      <c r="AO13" s="91" t="str">
        <f aca="false">IF(ISBLANK($C13),"",IF($Z13=Constants!$B$7,IF(ISNUMBER(AK13),AK13-AN13,Constants!$B$14),$Z13))</f>
        <v/>
      </c>
      <c r="AP13" s="92"/>
      <c r="AQ13" s="93" t="str">
        <f aca="false">IF(ISBLANK($C13),"",IF($Z13&lt;&gt;Constants!$B$7,"",AH13))</f>
        <v/>
      </c>
      <c r="AR13" s="94" t="str">
        <f aca="false">IF(ISBLANK($C13),"",IF($Z13&lt;&gt;Constants!$B$7,"",IF(AH13=1,AB13,AE13)))</f>
        <v/>
      </c>
      <c r="AS13" s="95" t="str">
        <f aca="false">IF(ISBLANK($C13),"",IF($Z13&lt;&gt;Constants!$B$7,"",IF(AH13=1,AC13,AF13)))</f>
        <v/>
      </c>
      <c r="AT13" s="96" t="str">
        <f aca="false">IF(ISBLANK($C13),"",IF($Z13&lt;&gt;Constants!$B$7,$Z13,AJ13))</f>
        <v/>
      </c>
      <c r="AU13" s="97" t="str">
        <f aca="false">IF(ISBLANK($C13),"",IF($Z13&lt;&gt;Constants!$B$7,$Z13,AA13))</f>
        <v/>
      </c>
      <c r="AV13" s="98" t="str">
        <f aca="false">IF(ISBLANK($C13),"",AO13)</f>
        <v/>
      </c>
      <c r="AW13" s="98" t="str">
        <f aca="false">IF(ISBLANK($C13),"",AN13)</f>
        <v/>
      </c>
      <c r="AX13" s="99" t="str">
        <f aca="false">IF(ISBLANK($C13),"",IFERROR(_xlfn.SWITCH(AW13,Constants!$B$4,COUNTA($C$8:$C$507)+2,Constants!$B$5,COUNTA($C$8:$C$507)+1,Constants!$B$6,COUNTA($C$8:$C$507)),AW13))</f>
        <v/>
      </c>
      <c r="AY13" s="5"/>
      <c r="AZ13" s="100" t="n">
        <f aca="false">IF(OR(ISNUMBER(AW13),AW13=Constants!$B$4,AW13=Constants!$B$6,AW13=Constants!$B$5),1,0)</f>
        <v>0</v>
      </c>
      <c r="BA13" s="100" t="n">
        <v>6</v>
      </c>
      <c r="BB13" s="100" t="str">
        <f aca="false">IF(ISBLANK($C13),"",IF(ISNUMBER(AX13),AX13+ROW($B13)/1000,""))</f>
        <v/>
      </c>
      <c r="BC13" s="100" t="str">
        <f aca="false">IF(ISNUMBER(BB13),RANK(BB13,$BB$8:$BB$507,1),"")</f>
        <v/>
      </c>
      <c r="BD13" s="100" t="str">
        <f aca="false">IF(ISBLANK($C13),"",$B13)</f>
        <v/>
      </c>
      <c r="BE13" s="100" t="str">
        <f aca="false">IF(ISBLANK($C13),"",$C13)</f>
        <v/>
      </c>
      <c r="BF13" s="100" t="str">
        <f aca="false">IF(ISBLANK($C13),"",$D13)</f>
        <v/>
      </c>
      <c r="BG13" s="101" t="str">
        <f aca="false">AU13</f>
        <v/>
      </c>
      <c r="BH13" s="102" t="str">
        <f aca="false">AT13</f>
        <v/>
      </c>
      <c r="BI13" s="100" t="str">
        <f aca="false">IF(ISBLANK($C13),"",AW13)</f>
        <v/>
      </c>
      <c r="BJ13" s="103" t="str">
        <f aca="false">IF($BA13&gt;$AZ$7,"",VLOOKUP($BA13,$BC$8:$BI$507,7,FALSE()))</f>
        <v/>
      </c>
      <c r="BK13" s="104" t="str">
        <f aca="false">IF($BA13&gt;$AZ$7,"",VLOOKUP($BA13,$BC$8:$BI$507,2,FALSE()))</f>
        <v/>
      </c>
      <c r="BL13" s="104" t="str">
        <f aca="false">IF($BA13&gt;$AZ$7,"",VLOOKUP($BA13,$BC$8:$BI$507,3,FALSE()))</f>
        <v/>
      </c>
      <c r="BM13" s="104" t="str">
        <f aca="false">IF($BA13&gt;$AZ$7,"",VLOOKUP($BA13,$BC$8:$BI$507,4,FALSE()))</f>
        <v/>
      </c>
      <c r="BN13" s="104" t="str">
        <f aca="false">IF($BA13&gt;$AZ$7,"",VLOOKUP($BA13,$BC$8:$BI$507,5,FALSE()))</f>
        <v/>
      </c>
      <c r="BO13" s="105" t="str">
        <f aca="false">IF($BA13&gt;$AZ$7,"",VLOOKUP($BA13,$BC$8:$BI$507,6,FALSE()))</f>
        <v/>
      </c>
      <c r="BP13" s="52"/>
    </row>
    <row r="14" customFormat="false" ht="15.75" hidden="false" customHeight="false" outlineLevel="0" collapsed="false">
      <c r="A14" s="5"/>
      <c r="B14" s="112"/>
      <c r="C14" s="81"/>
      <c r="D14" s="82"/>
      <c r="E14" s="56"/>
      <c r="F14" s="57"/>
      <c r="G14" s="58"/>
      <c r="H14" s="58"/>
      <c r="I14" s="57"/>
      <c r="J14" s="58"/>
      <c r="K14" s="58"/>
      <c r="L14" s="57"/>
      <c r="M14" s="59"/>
      <c r="N14" s="60"/>
      <c r="O14" s="62" t="str">
        <f aca="false">IF(ISBLANK($C14),"",IF(E14=Constants!$B$2, TRUE(), IF(E14=Constants!$B$3, FALSE(), TRUE())))</f>
        <v/>
      </c>
      <c r="P14" s="62" t="str">
        <f aca="false">IF(ISBLANK($C14),"",IF(F14=Constants!$B$16,Constants!$B$9,IF(F14=Constants!$B$17,Constants!$B$10,Constants!$B$8)))</f>
        <v/>
      </c>
      <c r="Q14" s="62" t="str">
        <f aca="false">IF(ISBLANK($C14),"",IF(ISNUMBER(G14),IF(G14&gt;=0,G14,""),""))</f>
        <v/>
      </c>
      <c r="R14" s="62" t="str">
        <f aca="false">IF(ISBLANK($C14),"",IF(H14=Constants!$B$2, TRUE(), IF(H14=Constants!$B$3, FALSE(), TRUE())))</f>
        <v/>
      </c>
      <c r="S14" s="62" t="str">
        <f aca="false">IF(ISBLANK($C14),"",IF(I14=Constants!$B$2, TRUE(), IF(I14=Constants!$B$3, FALSE(), TRUE())))</f>
        <v/>
      </c>
      <c r="T14" s="62" t="str">
        <f aca="false">IF(ISBLANK($C14),"",IF(ISNUMBER(J14),IF(J14&gt;=0,J14,""),""))</f>
        <v/>
      </c>
      <c r="U14" s="62" t="str">
        <f aca="false">IF(ISBLANK($C14),"",IF(K14=Constants!$B$2, TRUE(), IF(K14=Constants!$B$3, FALSE(), TRUE())))</f>
        <v/>
      </c>
      <c r="V14" s="62" t="str">
        <f aca="false">IF(ISBLANK($C14),"",IF(L14=Constants!$B$2, TRUE(), IF(L14=Constants!$B$3, FALSE(), TRUE())))</f>
        <v/>
      </c>
      <c r="W14" s="62" t="str">
        <f aca="false">IF(ISBLANK($C14),"",IF(M14=Constants!$B$2, TRUE(), IF(M14=Constants!$B$3, FALSE(), FALSE())))</f>
        <v/>
      </c>
      <c r="X14" s="62" t="str">
        <f aca="false">IF(ISBLANK($C14),"",AND(Q14&lt;&gt;"",O14))</f>
        <v/>
      </c>
      <c r="Y14" s="62" t="str">
        <f aca="false">IF(ISBLANK($C14),"",AND(T14&lt;&gt;"",O14))</f>
        <v/>
      </c>
      <c r="Z14" s="62" t="str">
        <f aca="false">IF(ISBLANK($C14),"",IF(W14,Constants!$B$4,IF(COUNTA(E14:L14)=0,Constants!$B$5,IF(NOT(O14),Constants!$B$6,IF(AND(NOT(X14),NOT(Y14)),Constants!$B$6,Constants!$B$7)))))</f>
        <v/>
      </c>
      <c r="AA14" s="62" t="str">
        <f aca="false">IF(ISBLANK($C14),"",IF($Z14&lt;&gt;Constants!$B$7,$Z14,Constants!$B$20))</f>
        <v/>
      </c>
      <c r="AB14" s="62" t="str">
        <f aca="false">IF($Z14=Constants!$B$7,IF(X14,Q14,Constants!$B$13),"")</f>
        <v/>
      </c>
      <c r="AC14" s="62" t="str">
        <f aca="false">IF($Z14=Constants!$B$7,IF(X14,P14*IF(R14, 1, Constants!$B$11)*IF(S14, 1, Constants!$B$12),Constants!$B$13),"")</f>
        <v/>
      </c>
      <c r="AD14" s="62" t="str">
        <f aca="false">IF($Z14=Constants!$B$7,AB14*AC14,"")</f>
        <v/>
      </c>
      <c r="AE14" s="62" t="str">
        <f aca="false">IF($Z14=Constants!$B$7,IF(Y14,T14,Constants!$B$13),"")</f>
        <v/>
      </c>
      <c r="AF14" s="62" t="str">
        <f aca="false">IF($Z14=Constants!$B$7,IF(Y14,P14*IF(U14, 1, Constants!$B$11)*IF(V14, 1, Constants!$B$12),Constants!$B$13),"")</f>
        <v/>
      </c>
      <c r="AG14" s="62" t="str">
        <f aca="false">IF($Z14=Constants!$B$7,AE14*AF14,"")</f>
        <v/>
      </c>
      <c r="AH14" s="62" t="str">
        <f aca="false">IF($Z14=Constants!$B$7,IF(AG14&gt;AD14,2,1),"")</f>
        <v/>
      </c>
      <c r="AI14" s="62" t="str">
        <f aca="false">IF($Z14=Constants!$B$7,IF(AH14=1,2,1),"")</f>
        <v/>
      </c>
      <c r="AJ14" s="62" t="str">
        <f aca="false">IF(ISBLANK($C14),"",IF($Z14&lt;&gt;Constants!$B$7,$Z14,IF(AH14=1,AD14,AG14)))</f>
        <v/>
      </c>
      <c r="AK14" s="62" t="str">
        <f aca="false">IF(ISBLANK($C14),"",IF($Z14=Constants!$B$7,IF(ISNUMBER(AJ14),RANK(AJ14,$AJ$8:$AJ$507),Constants!$B$14),$Z14))</f>
        <v/>
      </c>
      <c r="AL14" s="62" t="str">
        <f aca="false">IF(ISBLANK($C14),"",IF($Z14=Constants!$B$7,IF(AI14=1,AD14,AG14),""))</f>
        <v/>
      </c>
      <c r="AM14" s="62" t="str">
        <f aca="false">IF(ISBLANK($C14),"",IF($Z14=Constants!$B$7,RANK(AL14,$AL$8:$AL$507),$Z14))</f>
        <v/>
      </c>
      <c r="AN14" s="62" t="str">
        <f aca="false">IF(ISBLANK($C14),"",IF($Z14=Constants!$B$7,IF(ISNUMBER(AK14),COUNTIFS($AK$8:$AK$507,"&lt;"&amp;$AK14)+COUNTIFS($AK$8:$AK$507,$AK14,$AM$8:$AM$507,"&lt;"&amp;$AM14)+1,Constants!$B$14),$Z14))</f>
        <v/>
      </c>
      <c r="AO14" s="62" t="str">
        <f aca="false">IF(ISBLANK($C14),"",IF($Z14=Constants!$B$7,IF(ISNUMBER(AK14),AK14-AN14,Constants!$B$14),$Z14))</f>
        <v/>
      </c>
      <c r="AP14" s="64"/>
      <c r="AQ14" s="65" t="str">
        <f aca="false">IF(ISBLANK($C14),"",IF($Z14&lt;&gt;Constants!$B$7,"",AH14))</f>
        <v/>
      </c>
      <c r="AR14" s="80" t="str">
        <f aca="false">IF(ISBLANK($C14),"",IF($Z14&lt;&gt;Constants!$B$7,"",IF(AH14=1,AB14,AE14)))</f>
        <v/>
      </c>
      <c r="AS14" s="67" t="str">
        <f aca="false">IF(ISBLANK($C14),"",IF($Z14&lt;&gt;Constants!$B$7,"",IF(AH14=1,AC14,AF14)))</f>
        <v/>
      </c>
      <c r="AT14" s="68" t="str">
        <f aca="false">IF(ISBLANK($C14),"",IF($Z14&lt;&gt;Constants!$B$7,$Z14,AJ14))</f>
        <v/>
      </c>
      <c r="AU14" s="69" t="str">
        <f aca="false">IF(ISBLANK($C14),"",IF($Z14&lt;&gt;Constants!$B$7,$Z14,AA14))</f>
        <v/>
      </c>
      <c r="AV14" s="70" t="str">
        <f aca="false">IF(ISBLANK($C14),"",AO14)</f>
        <v/>
      </c>
      <c r="AW14" s="70" t="str">
        <f aca="false">IF(ISBLANK($C14),"",AN14)</f>
        <v/>
      </c>
      <c r="AX14" s="71" t="str">
        <f aca="false">IF(ISBLANK($C14),"",IFERROR(_xlfn.SWITCH(AW14,Constants!$B$4,COUNTA($C$8:$C$507)+2,Constants!$B$5,COUNTA($C$8:$C$507)+1,Constants!$B$6,COUNTA($C$8:$C$507)),AW14))</f>
        <v/>
      </c>
      <c r="AY14" s="5"/>
      <c r="AZ14" s="72" t="n">
        <f aca="false">IF(OR(ISNUMBER(AW14),AW14=Constants!$B$4,AW14=Constants!$B$6,AW14=Constants!$B$5),1,0)</f>
        <v>0</v>
      </c>
      <c r="BA14" s="72" t="n">
        <v>7</v>
      </c>
      <c r="BB14" s="72" t="str">
        <f aca="false">IF(ISBLANK($C14),"",IF(ISNUMBER(AX14),AX14+ROW($B14)/1000,""))</f>
        <v/>
      </c>
      <c r="BC14" s="72" t="str">
        <f aca="false">IF(ISNUMBER(BB14),RANK(BB14,$BB$8:$BB$507,1),"")</f>
        <v/>
      </c>
      <c r="BD14" s="72" t="str">
        <f aca="false">IF(ISBLANK($C14),"",$B14)</f>
        <v/>
      </c>
      <c r="BE14" s="72" t="str">
        <f aca="false">IF(ISBLANK($C14),"",$C14)</f>
        <v/>
      </c>
      <c r="BF14" s="72" t="str">
        <f aca="false">IF(ISBLANK($C14),"",$D14)</f>
        <v/>
      </c>
      <c r="BG14" s="73" t="str">
        <f aca="false">AU14</f>
        <v/>
      </c>
      <c r="BH14" s="74" t="str">
        <f aca="false">AT14</f>
        <v/>
      </c>
      <c r="BI14" s="72" t="str">
        <f aca="false">IF(ISBLANK($C14),"",AW14)</f>
        <v/>
      </c>
      <c r="BJ14" s="75" t="str">
        <f aca="false">IF($BA14&gt;$AZ$7,"",VLOOKUP($BA14,$BC$8:$BI$507,7,FALSE()))</f>
        <v/>
      </c>
      <c r="BK14" s="76" t="str">
        <f aca="false">IF($BA14&gt;$AZ$7,"",VLOOKUP($BA14,$BC$8:$BI$507,2,FALSE()))</f>
        <v/>
      </c>
      <c r="BL14" s="76" t="str">
        <f aca="false">IF($BA14&gt;$AZ$7,"",VLOOKUP($BA14,$BC$8:$BI$507,3,FALSE()))</f>
        <v/>
      </c>
      <c r="BM14" s="76" t="str">
        <f aca="false">IF($BA14&gt;$AZ$7,"",VLOOKUP($BA14,$BC$8:$BI$507,4,FALSE()))</f>
        <v/>
      </c>
      <c r="BN14" s="76" t="str">
        <f aca="false">IF($BA14&gt;$AZ$7,"",VLOOKUP($BA14,$BC$8:$BI$507,5,FALSE()))</f>
        <v/>
      </c>
      <c r="BO14" s="77" t="str">
        <f aca="false">IF($BA14&gt;$AZ$7,"",VLOOKUP($BA14,$BC$8:$BI$507,6,FALSE()))</f>
        <v/>
      </c>
      <c r="BP14" s="52"/>
    </row>
    <row r="15" customFormat="false" ht="15.75" hidden="false" customHeight="false" outlineLevel="0" collapsed="false">
      <c r="A15" s="5"/>
      <c r="B15" s="112"/>
      <c r="C15" s="81"/>
      <c r="D15" s="55"/>
      <c r="E15" s="113"/>
      <c r="F15" s="57"/>
      <c r="G15" s="58"/>
      <c r="H15" s="58"/>
      <c r="I15" s="57"/>
      <c r="J15" s="58"/>
      <c r="K15" s="58"/>
      <c r="L15" s="57"/>
      <c r="M15" s="59"/>
      <c r="N15" s="60"/>
      <c r="O15" s="62" t="str">
        <f aca="false">IF(ISBLANK($C15),"",IF(E15=Constants!$B$2, TRUE(), IF(E15=Constants!$B$3, FALSE(), TRUE())))</f>
        <v/>
      </c>
      <c r="P15" s="62" t="str">
        <f aca="false">IF(ISBLANK($C15),"",IF(F15=Constants!$B$16,Constants!$B$9,IF(F15=Constants!$B$17,Constants!$B$10,Constants!$B$8)))</f>
        <v/>
      </c>
      <c r="Q15" s="62" t="str">
        <f aca="false">IF(ISBLANK($C15),"",IF(ISNUMBER(G15),IF(G15&gt;=0,G15,""),""))</f>
        <v/>
      </c>
      <c r="R15" s="62" t="str">
        <f aca="false">IF(ISBLANK($C15),"",IF(H15=Constants!$B$2, TRUE(), IF(H15=Constants!$B$3, FALSE(), TRUE())))</f>
        <v/>
      </c>
      <c r="S15" s="62" t="str">
        <f aca="false">IF(ISBLANK($C15),"",IF(I15=Constants!$B$2, TRUE(), IF(I15=Constants!$B$3, FALSE(), TRUE())))</f>
        <v/>
      </c>
      <c r="T15" s="62" t="str">
        <f aca="false">IF(ISBLANK($C15),"",IF(ISNUMBER(J15),IF(J15&gt;=0,J15,""),""))</f>
        <v/>
      </c>
      <c r="U15" s="62" t="str">
        <f aca="false">IF(ISBLANK($C15),"",IF(K15=Constants!$B$2, TRUE(), IF(K15=Constants!$B$3, FALSE(), TRUE())))</f>
        <v/>
      </c>
      <c r="V15" s="62" t="str">
        <f aca="false">IF(ISBLANK($C15),"",IF(L15=Constants!$B$2, TRUE(), IF(L15=Constants!$B$3, FALSE(), TRUE())))</f>
        <v/>
      </c>
      <c r="W15" s="62" t="str">
        <f aca="false">IF(ISBLANK($C15),"",IF(M15=Constants!$B$2, TRUE(), IF(M15=Constants!$B$3, FALSE(), FALSE())))</f>
        <v/>
      </c>
      <c r="X15" s="62" t="str">
        <f aca="false">IF(ISBLANK($C15),"",AND(Q15&lt;&gt;"",O15))</f>
        <v/>
      </c>
      <c r="Y15" s="62" t="str">
        <f aca="false">IF(ISBLANK($C15),"",AND(T15&lt;&gt;"",O15))</f>
        <v/>
      </c>
      <c r="Z15" s="62" t="str">
        <f aca="false">IF(ISBLANK($C15),"",IF(W15,Constants!$B$4,IF(COUNTA(E15:L15)=0,Constants!$B$5,IF(NOT(O15),Constants!$B$6,IF(AND(NOT(X15),NOT(Y15)),Constants!$B$6,Constants!$B$7)))))</f>
        <v/>
      </c>
      <c r="AA15" s="62" t="str">
        <f aca="false">IF(ISBLANK($C15),"",IF($Z15&lt;&gt;Constants!$B$7,$Z15,Constants!$B$20))</f>
        <v/>
      </c>
      <c r="AB15" s="62" t="str">
        <f aca="false">IF($Z15=Constants!$B$7,IF(X15,Q15,Constants!$B$13),"")</f>
        <v/>
      </c>
      <c r="AC15" s="62" t="str">
        <f aca="false">IF($Z15=Constants!$B$7,IF(X15,P15*IF(R15, 1, Constants!$B$11)*IF(S15, 1, Constants!$B$12),Constants!$B$13),"")</f>
        <v/>
      </c>
      <c r="AD15" s="62" t="str">
        <f aca="false">IF($Z15=Constants!$B$7,AB15*AC15,"")</f>
        <v/>
      </c>
      <c r="AE15" s="62" t="str">
        <f aca="false">IF($Z15=Constants!$B$7,IF(Y15,T15,Constants!$B$13),"")</f>
        <v/>
      </c>
      <c r="AF15" s="62" t="str">
        <f aca="false">IF($Z15=Constants!$B$7,IF(Y15,P15*IF(U15, 1, Constants!$B$11)*IF(V15, 1, Constants!$B$12),Constants!$B$13),"")</f>
        <v/>
      </c>
      <c r="AG15" s="62" t="str">
        <f aca="false">IF($Z15=Constants!$B$7,AE15*AF15,"")</f>
        <v/>
      </c>
      <c r="AH15" s="62" t="str">
        <f aca="false">IF($Z15=Constants!$B$7,IF(AG15&gt;AD15,2,1),"")</f>
        <v/>
      </c>
      <c r="AI15" s="62" t="str">
        <f aca="false">IF($Z15=Constants!$B$7,IF(AH15=1,2,1),"")</f>
        <v/>
      </c>
      <c r="AJ15" s="62" t="str">
        <f aca="false">IF(ISBLANK($C15),"",IF($Z15&lt;&gt;Constants!$B$7,$Z15,IF(AH15=1,AD15,AG15)))</f>
        <v/>
      </c>
      <c r="AK15" s="62" t="str">
        <f aca="false">IF(ISBLANK($C15),"",IF($Z15=Constants!$B$7,IF(ISNUMBER(AJ15),RANK(AJ15,$AJ$8:$AJ$507),Constants!$B$14),$Z15))</f>
        <v/>
      </c>
      <c r="AL15" s="62" t="str">
        <f aca="false">IF(ISBLANK($C15),"",IF($Z15=Constants!$B$7,IF(AI15=1,AD15,AG15),""))</f>
        <v/>
      </c>
      <c r="AM15" s="62" t="str">
        <f aca="false">IF(ISBLANK($C15),"",IF($Z15=Constants!$B$7,RANK(AL15,$AL$8:$AL$507),$Z15))</f>
        <v/>
      </c>
      <c r="AN15" s="62" t="str">
        <f aca="false">IF(ISBLANK($C15),"",IF($Z15=Constants!$B$7,IF(ISNUMBER(AK15),COUNTIFS($AK$8:$AK$507,"&lt;"&amp;$AK15)+COUNTIFS($AK$8:$AK$507,$AK15,$AM$8:$AM$507,"&lt;"&amp;$AM15)+1,Constants!$B$14),$Z15))</f>
        <v/>
      </c>
      <c r="AO15" s="62" t="str">
        <f aca="false">IF(ISBLANK($C15),"",IF($Z15=Constants!$B$7,IF(ISNUMBER(AK15),AK15-AN15,Constants!$B$14),$Z15))</f>
        <v/>
      </c>
      <c r="AP15" s="64"/>
      <c r="AQ15" s="65" t="str">
        <f aca="false">IF(ISBLANK($C15),"",IF($Z15&lt;&gt;Constants!$B$7,"",AH15))</f>
        <v/>
      </c>
      <c r="AR15" s="80" t="str">
        <f aca="false">IF(ISBLANK($C15),"",IF($Z15&lt;&gt;Constants!$B$7,"",IF(AH15=1,AB15,AE15)))</f>
        <v/>
      </c>
      <c r="AS15" s="67" t="str">
        <f aca="false">IF(ISBLANK($C15),"",IF($Z15&lt;&gt;Constants!$B$7,"",IF(AH15=1,AC15,AF15)))</f>
        <v/>
      </c>
      <c r="AT15" s="68" t="str">
        <f aca="false">IF(ISBLANK($C15),"",IF($Z15&lt;&gt;Constants!$B$7,$Z15,AJ15))</f>
        <v/>
      </c>
      <c r="AU15" s="69" t="str">
        <f aca="false">IF(ISBLANK($C15),"",IF($Z15&lt;&gt;Constants!$B$7,$Z15,AA15))</f>
        <v/>
      </c>
      <c r="AV15" s="70" t="str">
        <f aca="false">IF(ISBLANK($C15),"",AO15)</f>
        <v/>
      </c>
      <c r="AW15" s="70" t="str">
        <f aca="false">IF(ISBLANK($C15),"",AN15)</f>
        <v/>
      </c>
      <c r="AX15" s="71" t="str">
        <f aca="false">IF(ISBLANK($C15),"",IFERROR(_xlfn.SWITCH(AW15,Constants!$B$4,COUNTA($C$8:$C$507)+2,Constants!$B$5,COUNTA($C$8:$C$507)+1,Constants!$B$6,COUNTA($C$8:$C$507)),AW15))</f>
        <v/>
      </c>
      <c r="AY15" s="5"/>
      <c r="AZ15" s="72" t="n">
        <f aca="false">IF(OR(ISNUMBER(AW15),AW15=Constants!$B$4,AW15=Constants!$B$6,AW15=Constants!$B$5),1,0)</f>
        <v>0</v>
      </c>
      <c r="BA15" s="72" t="n">
        <v>8</v>
      </c>
      <c r="BB15" s="72" t="str">
        <f aca="false">IF(ISBLANK($C15),"",IF(ISNUMBER(AX15),AX15+ROW($B15)/1000,""))</f>
        <v/>
      </c>
      <c r="BC15" s="72" t="str">
        <f aca="false">IF(ISNUMBER(BB15),RANK(BB15,$BB$8:$BB$507,1),"")</f>
        <v/>
      </c>
      <c r="BD15" s="72" t="str">
        <f aca="false">IF(ISBLANK($C15),"",$B15)</f>
        <v/>
      </c>
      <c r="BE15" s="72" t="str">
        <f aca="false">IF(ISBLANK($C15),"",$C15)</f>
        <v/>
      </c>
      <c r="BF15" s="72" t="str">
        <f aca="false">IF(ISBLANK($C15),"",$D15)</f>
        <v/>
      </c>
      <c r="BG15" s="73" t="str">
        <f aca="false">AU15</f>
        <v/>
      </c>
      <c r="BH15" s="74" t="str">
        <f aca="false">AT15</f>
        <v/>
      </c>
      <c r="BI15" s="72" t="str">
        <f aca="false">IF(ISBLANK($C15),"",AW15)</f>
        <v/>
      </c>
      <c r="BJ15" s="75" t="str">
        <f aca="false">IF($BA15&gt;$AZ$7,"",VLOOKUP($BA15,$BC$8:$BI$507,7,FALSE()))</f>
        <v/>
      </c>
      <c r="BK15" s="76" t="str">
        <f aca="false">IF($BA15&gt;$AZ$7,"",VLOOKUP($BA15,$BC$8:$BI$507,2,FALSE()))</f>
        <v/>
      </c>
      <c r="BL15" s="76" t="str">
        <f aca="false">IF($BA15&gt;$AZ$7,"",VLOOKUP($BA15,$BC$8:$BI$507,3,FALSE()))</f>
        <v/>
      </c>
      <c r="BM15" s="76" t="str">
        <f aca="false">IF($BA15&gt;$AZ$7,"",VLOOKUP($BA15,$BC$8:$BI$507,4,FALSE()))</f>
        <v/>
      </c>
      <c r="BN15" s="76" t="str">
        <f aca="false">IF($BA15&gt;$AZ$7,"",VLOOKUP($BA15,$BC$8:$BI$507,5,FALSE()))</f>
        <v/>
      </c>
      <c r="BO15" s="77" t="str">
        <f aca="false">IF($BA15&gt;$AZ$7,"",VLOOKUP($BA15,$BC$8:$BI$507,6,FALSE()))</f>
        <v/>
      </c>
      <c r="BP15" s="52"/>
    </row>
    <row r="16" customFormat="false" ht="15.75" hidden="false" customHeight="false" outlineLevel="0" collapsed="false">
      <c r="A16" s="5"/>
      <c r="B16" s="112"/>
      <c r="C16" s="81"/>
      <c r="D16" s="55"/>
      <c r="E16" s="56"/>
      <c r="F16" s="57"/>
      <c r="G16" s="58"/>
      <c r="H16" s="58"/>
      <c r="I16" s="57"/>
      <c r="J16" s="58"/>
      <c r="K16" s="58"/>
      <c r="L16" s="57"/>
      <c r="M16" s="59"/>
      <c r="N16" s="60"/>
      <c r="O16" s="62" t="str">
        <f aca="false">IF(ISBLANK($C16),"",IF(E16=Constants!$B$2, TRUE(), IF(E16=Constants!$B$3, FALSE(), TRUE())))</f>
        <v/>
      </c>
      <c r="P16" s="62" t="str">
        <f aca="false">IF(ISBLANK($C16),"",IF(F16=Constants!$B$16,Constants!$B$9,IF(F16=Constants!$B$17,Constants!$B$10,Constants!$B$8)))</f>
        <v/>
      </c>
      <c r="Q16" s="62" t="str">
        <f aca="false">IF(ISBLANK($C16),"",IF(ISNUMBER(G16),IF(G16&gt;=0,G16,""),""))</f>
        <v/>
      </c>
      <c r="R16" s="62" t="str">
        <f aca="false">IF(ISBLANK($C16),"",IF(H16=Constants!$B$2, TRUE(), IF(H16=Constants!$B$3, FALSE(), TRUE())))</f>
        <v/>
      </c>
      <c r="S16" s="62" t="str">
        <f aca="false">IF(ISBLANK($C16),"",IF(I16=Constants!$B$2, TRUE(), IF(I16=Constants!$B$3, FALSE(), TRUE())))</f>
        <v/>
      </c>
      <c r="T16" s="62" t="str">
        <f aca="false">IF(ISBLANK($C16),"",IF(ISNUMBER(J16),IF(J16&gt;=0,J16,""),""))</f>
        <v/>
      </c>
      <c r="U16" s="62" t="str">
        <f aca="false">IF(ISBLANK($C16),"",IF(K16=Constants!$B$2, TRUE(), IF(K16=Constants!$B$3, FALSE(), TRUE())))</f>
        <v/>
      </c>
      <c r="V16" s="62" t="str">
        <f aca="false">IF(ISBLANK($C16),"",IF(L16=Constants!$B$2, TRUE(), IF(L16=Constants!$B$3, FALSE(), TRUE())))</f>
        <v/>
      </c>
      <c r="W16" s="62" t="str">
        <f aca="false">IF(ISBLANK($C16),"",IF(M16=Constants!$B$2, TRUE(), IF(M16=Constants!$B$3, FALSE(), FALSE())))</f>
        <v/>
      </c>
      <c r="X16" s="62" t="str">
        <f aca="false">IF(ISBLANK($C16),"",AND(Q16&lt;&gt;"",O16))</f>
        <v/>
      </c>
      <c r="Y16" s="62" t="str">
        <f aca="false">IF(ISBLANK($C16),"",AND(T16&lt;&gt;"",O16))</f>
        <v/>
      </c>
      <c r="Z16" s="62" t="str">
        <f aca="false">IF(ISBLANK($C16),"",IF(W16,Constants!$B$4,IF(COUNTA(E16:L16)=0,Constants!$B$5,IF(NOT(O16),Constants!$B$6,IF(AND(NOT(X16),NOT(Y16)),Constants!$B$6,Constants!$B$7)))))</f>
        <v/>
      </c>
      <c r="AA16" s="62" t="str">
        <f aca="false">IF(ISBLANK($C16),"",IF($Z16&lt;&gt;Constants!$B$7,$Z16,Constants!$B$20))</f>
        <v/>
      </c>
      <c r="AB16" s="62" t="str">
        <f aca="false">IF($Z16=Constants!$B$7,IF(X16,Q16,Constants!$B$13),"")</f>
        <v/>
      </c>
      <c r="AC16" s="62" t="str">
        <f aca="false">IF($Z16=Constants!$B$7,IF(X16,P16*IF(R16, 1, Constants!$B$11)*IF(S16, 1, Constants!$B$12),Constants!$B$13),"")</f>
        <v/>
      </c>
      <c r="AD16" s="62" t="str">
        <f aca="false">IF($Z16=Constants!$B$7,AB16*AC16,"")</f>
        <v/>
      </c>
      <c r="AE16" s="62" t="str">
        <f aca="false">IF($Z16=Constants!$B$7,IF(Y16,T16,Constants!$B$13),"")</f>
        <v/>
      </c>
      <c r="AF16" s="62" t="str">
        <f aca="false">IF($Z16=Constants!$B$7,IF(Y16,P16*IF(U16, 1, Constants!$B$11)*IF(V16, 1, Constants!$B$12),Constants!$B$13),"")</f>
        <v/>
      </c>
      <c r="AG16" s="62" t="str">
        <f aca="false">IF($Z16=Constants!$B$7,AE16*AF16,"")</f>
        <v/>
      </c>
      <c r="AH16" s="62" t="str">
        <f aca="false">IF($Z16=Constants!$B$7,IF(AG16&gt;AD16,2,1),"")</f>
        <v/>
      </c>
      <c r="AI16" s="62" t="str">
        <f aca="false">IF($Z16=Constants!$B$7,IF(AH16=1,2,1),"")</f>
        <v/>
      </c>
      <c r="AJ16" s="62" t="str">
        <f aca="false">IF(ISBLANK($C16),"",IF($Z16&lt;&gt;Constants!$B$7,$Z16,IF(AH16=1,AD16,AG16)))</f>
        <v/>
      </c>
      <c r="AK16" s="62" t="str">
        <f aca="false">IF(ISBLANK($C16),"",IF($Z16=Constants!$B$7,IF(ISNUMBER(AJ16),RANK(AJ16,$AJ$8:$AJ$507),Constants!$B$14),$Z16))</f>
        <v/>
      </c>
      <c r="AL16" s="62" t="str">
        <f aca="false">IF(ISBLANK($C16),"",IF($Z16=Constants!$B$7,IF(AI16=1,AD16,AG16),""))</f>
        <v/>
      </c>
      <c r="AM16" s="62" t="str">
        <f aca="false">IF(ISBLANK($C16),"",IF($Z16=Constants!$B$7,RANK(AL16,$AL$8:$AL$507),$Z16))</f>
        <v/>
      </c>
      <c r="AN16" s="62" t="str">
        <f aca="false">IF(ISBLANK($C16),"",IF($Z16=Constants!$B$7,IF(ISNUMBER(AK16),COUNTIFS($AK$8:$AK$507,"&lt;"&amp;$AK16)+COUNTIFS($AK$8:$AK$507,$AK16,$AM$8:$AM$507,"&lt;"&amp;$AM16)+1,Constants!$B$14),$Z16))</f>
        <v/>
      </c>
      <c r="AO16" s="62" t="str">
        <f aca="false">IF(ISBLANK($C16),"",IF($Z16=Constants!$B$7,IF(ISNUMBER(AK16),AK16-AN16,Constants!$B$14),$Z16))</f>
        <v/>
      </c>
      <c r="AP16" s="64"/>
      <c r="AQ16" s="65" t="str">
        <f aca="false">IF(ISBLANK($C16),"",IF($Z16&lt;&gt;Constants!$B$7,"",AH16))</f>
        <v/>
      </c>
      <c r="AR16" s="80" t="str">
        <f aca="false">IF(ISBLANK($C16),"",IF($Z16&lt;&gt;Constants!$B$7,"",IF(AH16=1,AB16,AE16)))</f>
        <v/>
      </c>
      <c r="AS16" s="67" t="str">
        <f aca="false">IF(ISBLANK($C16),"",IF($Z16&lt;&gt;Constants!$B$7,"",IF(AH16=1,AC16,AF16)))</f>
        <v/>
      </c>
      <c r="AT16" s="68" t="str">
        <f aca="false">IF(ISBLANK($C16),"",IF($Z16&lt;&gt;Constants!$B$7,$Z16,AJ16))</f>
        <v/>
      </c>
      <c r="AU16" s="69" t="str">
        <f aca="false">IF(ISBLANK($C16),"",IF($Z16&lt;&gt;Constants!$B$7,$Z16,AA16))</f>
        <v/>
      </c>
      <c r="AV16" s="70" t="str">
        <f aca="false">IF(ISBLANK($C16),"",AO16)</f>
        <v/>
      </c>
      <c r="AW16" s="70" t="str">
        <f aca="false">IF(ISBLANK($C16),"",AN16)</f>
        <v/>
      </c>
      <c r="AX16" s="71" t="str">
        <f aca="false">IF(ISBLANK($C16),"",IFERROR(_xlfn.SWITCH(AW16,Constants!$B$4,COUNTA($C$8:$C$507)+2,Constants!$B$5,COUNTA($C$8:$C$507)+1,Constants!$B$6,COUNTA($C$8:$C$507)),AW16))</f>
        <v/>
      </c>
      <c r="AY16" s="5"/>
      <c r="AZ16" s="72" t="n">
        <f aca="false">IF(OR(ISNUMBER(AW16),AW16=Constants!$B$4,AW16=Constants!$B$6,AW16=Constants!$B$5),1,0)</f>
        <v>0</v>
      </c>
      <c r="BA16" s="72" t="n">
        <v>9</v>
      </c>
      <c r="BB16" s="72" t="str">
        <f aca="false">IF(ISBLANK($C16),"",IF(ISNUMBER(AX16),AX16+ROW($B16)/1000,""))</f>
        <v/>
      </c>
      <c r="BC16" s="72" t="str">
        <f aca="false">IF(ISNUMBER(BB16),RANK(BB16,$BB$8:$BB$507,1),"")</f>
        <v/>
      </c>
      <c r="BD16" s="72" t="str">
        <f aca="false">IF(ISBLANK($C16),"",$B16)</f>
        <v/>
      </c>
      <c r="BE16" s="72" t="str">
        <f aca="false">IF(ISBLANK($C16),"",$C16)</f>
        <v/>
      </c>
      <c r="BF16" s="72" t="str">
        <f aca="false">IF(ISBLANK($C16),"",$D16)</f>
        <v/>
      </c>
      <c r="BG16" s="73" t="str">
        <f aca="false">AU16</f>
        <v/>
      </c>
      <c r="BH16" s="74" t="str">
        <f aca="false">AT16</f>
        <v/>
      </c>
      <c r="BI16" s="72" t="str">
        <f aca="false">IF(ISBLANK($C16),"",AW16)</f>
        <v/>
      </c>
      <c r="BJ16" s="75" t="str">
        <f aca="false">IF($BA16&gt;$AZ$7,"",VLOOKUP($BA16,$BC$8:$BI$507,7,FALSE()))</f>
        <v/>
      </c>
      <c r="BK16" s="76" t="str">
        <f aca="false">IF($BA16&gt;$AZ$7,"",VLOOKUP($BA16,$BC$8:$BI$507,2,FALSE()))</f>
        <v/>
      </c>
      <c r="BL16" s="76" t="str">
        <f aca="false">IF($BA16&gt;$AZ$7,"",VLOOKUP($BA16,$BC$8:$BI$507,3,FALSE()))</f>
        <v/>
      </c>
      <c r="BM16" s="76" t="str">
        <f aca="false">IF($BA16&gt;$AZ$7,"",VLOOKUP($BA16,$BC$8:$BI$507,4,FALSE()))</f>
        <v/>
      </c>
      <c r="BN16" s="76" t="str">
        <f aca="false">IF($BA16&gt;$AZ$7,"",VLOOKUP($BA16,$BC$8:$BI$507,5,FALSE()))</f>
        <v/>
      </c>
      <c r="BO16" s="77" t="str">
        <f aca="false">IF($BA16&gt;$AZ$7,"",VLOOKUP($BA16,$BC$8:$BI$507,6,FALSE()))</f>
        <v/>
      </c>
      <c r="BP16" s="52"/>
    </row>
    <row r="17" customFormat="false" ht="15.75" hidden="false" customHeight="false" outlineLevel="0" collapsed="false">
      <c r="A17" s="5"/>
      <c r="B17" s="114"/>
      <c r="C17" s="115"/>
      <c r="D17" s="106"/>
      <c r="E17" s="116"/>
      <c r="F17" s="87"/>
      <c r="G17" s="88"/>
      <c r="H17" s="88"/>
      <c r="I17" s="87"/>
      <c r="J17" s="88"/>
      <c r="K17" s="88"/>
      <c r="L17" s="87"/>
      <c r="M17" s="117"/>
      <c r="N17" s="90"/>
      <c r="O17" s="91" t="str">
        <f aca="false">IF(ISBLANK($C17),"",IF(E17=Constants!$B$2, TRUE(), IF(E17=Constants!$B$3, FALSE(), TRUE())))</f>
        <v/>
      </c>
      <c r="P17" s="91" t="str">
        <f aca="false">IF(ISBLANK($C17),"",IF(F17=Constants!$B$16,Constants!$B$9,IF(F17=Constants!$B$17,Constants!$B$10,Constants!$B$8)))</f>
        <v/>
      </c>
      <c r="Q17" s="91" t="str">
        <f aca="false">IF(ISBLANK($C17),"",IF(ISNUMBER(G17),IF(G17&gt;=0,G17,""),""))</f>
        <v/>
      </c>
      <c r="R17" s="91" t="str">
        <f aca="false">IF(ISBLANK($C17),"",IF(H17=Constants!$B$2, TRUE(), IF(H17=Constants!$B$3, FALSE(), TRUE())))</f>
        <v/>
      </c>
      <c r="S17" s="91" t="str">
        <f aca="false">IF(ISBLANK($C17),"",IF(I17=Constants!$B$2, TRUE(), IF(I17=Constants!$B$3, FALSE(), TRUE())))</f>
        <v/>
      </c>
      <c r="T17" s="91" t="str">
        <f aca="false">IF(ISBLANK($C17),"",IF(ISNUMBER(J17),IF(J17&gt;=0,J17,""),""))</f>
        <v/>
      </c>
      <c r="U17" s="91" t="str">
        <f aca="false">IF(ISBLANK($C17),"",IF(K17=Constants!$B$2, TRUE(), IF(K17=Constants!$B$3, FALSE(), TRUE())))</f>
        <v/>
      </c>
      <c r="V17" s="91" t="str">
        <f aca="false">IF(ISBLANK($C17),"",IF(L17=Constants!$B$2, TRUE(), IF(L17=Constants!$B$3, FALSE(), TRUE())))</f>
        <v/>
      </c>
      <c r="W17" s="91" t="str">
        <f aca="false">IF(ISBLANK($C17),"",IF(M17=Constants!$B$2, TRUE(), IF(M17=Constants!$B$3, FALSE(), FALSE())))</f>
        <v/>
      </c>
      <c r="X17" s="91" t="str">
        <f aca="false">IF(ISBLANK($C17),"",AND(Q17&lt;&gt;"",O17))</f>
        <v/>
      </c>
      <c r="Y17" s="91" t="str">
        <f aca="false">IF(ISBLANK($C17),"",AND(T17&lt;&gt;"",O17))</f>
        <v/>
      </c>
      <c r="Z17" s="91" t="str">
        <f aca="false">IF(ISBLANK($C17),"",IF(W17,Constants!$B$4,IF(COUNTA(E17:L17)=0,Constants!$B$5,IF(NOT(O17),Constants!$B$6,IF(AND(NOT(X17),NOT(Y17)),Constants!$B$6,Constants!$B$7)))))</f>
        <v/>
      </c>
      <c r="AA17" s="91" t="str">
        <f aca="false">IF(ISBLANK($C17),"",IF($Z17&lt;&gt;Constants!$B$7,$Z17,Constants!$B$20))</f>
        <v/>
      </c>
      <c r="AB17" s="91" t="str">
        <f aca="false">IF($Z17=Constants!$B$7,IF(X17,Q17,Constants!$B$13),"")</f>
        <v/>
      </c>
      <c r="AC17" s="91" t="str">
        <f aca="false">IF($Z17=Constants!$B$7,IF(X17,P17*IF(R17, 1, Constants!$B$11)*IF(S17, 1, Constants!$B$12),Constants!$B$13),"")</f>
        <v/>
      </c>
      <c r="AD17" s="91" t="str">
        <f aca="false">IF($Z17=Constants!$B$7,AB17*AC17,"")</f>
        <v/>
      </c>
      <c r="AE17" s="91" t="str">
        <f aca="false">IF($Z17=Constants!$B$7,IF(Y17,T17,Constants!$B$13),"")</f>
        <v/>
      </c>
      <c r="AF17" s="91" t="str">
        <f aca="false">IF($Z17=Constants!$B$7,IF(Y17,P17*IF(U17, 1, Constants!$B$11)*IF(V17, 1, Constants!$B$12),Constants!$B$13),"")</f>
        <v/>
      </c>
      <c r="AG17" s="91" t="str">
        <f aca="false">IF($Z17=Constants!$B$7,AE17*AF17,"")</f>
        <v/>
      </c>
      <c r="AH17" s="91" t="str">
        <f aca="false">IF($Z17=Constants!$B$7,IF(AG17&gt;AD17,2,1),"")</f>
        <v/>
      </c>
      <c r="AI17" s="91" t="str">
        <f aca="false">IF($Z17=Constants!$B$7,IF(AH17=1,2,1),"")</f>
        <v/>
      </c>
      <c r="AJ17" s="91" t="str">
        <f aca="false">IF(ISBLANK($C17),"",IF($Z17&lt;&gt;Constants!$B$7,$Z17,IF(AH17=1,AD17,AG17)))</f>
        <v/>
      </c>
      <c r="AK17" s="91" t="str">
        <f aca="false">IF(ISBLANK($C17),"",IF($Z17=Constants!$B$7,IF(ISNUMBER(AJ17),RANK(AJ17,$AJ$8:$AJ$507),Constants!$B$14),$Z17))</f>
        <v/>
      </c>
      <c r="AL17" s="91" t="str">
        <f aca="false">IF(ISBLANK($C17),"",IF($Z17=Constants!$B$7,IF(AI17=1,AD17,AG17),""))</f>
        <v/>
      </c>
      <c r="AM17" s="91" t="str">
        <f aca="false">IF(ISBLANK($C17),"",IF($Z17=Constants!$B$7,RANK(AL17,$AL$8:$AL$507),$Z17))</f>
        <v/>
      </c>
      <c r="AN17" s="91" t="str">
        <f aca="false">IF(ISBLANK($C17),"",IF($Z17=Constants!$B$7,IF(ISNUMBER(AK17),COUNTIFS($AK$8:$AK$507,"&lt;"&amp;$AK17)+COUNTIFS($AK$8:$AK$507,$AK17,$AM$8:$AM$507,"&lt;"&amp;$AM17)+1,Constants!$B$14),$Z17))</f>
        <v/>
      </c>
      <c r="AO17" s="91" t="str">
        <f aca="false">IF(ISBLANK($C17),"",IF($Z17=Constants!$B$7,IF(ISNUMBER(AK17),AK17-AN17,Constants!$B$14),$Z17))</f>
        <v/>
      </c>
      <c r="AP17" s="92"/>
      <c r="AQ17" s="93" t="str">
        <f aca="false">IF(ISBLANK($C17),"",IF($Z17&lt;&gt;Constants!$B$7,"",AH17))</f>
        <v/>
      </c>
      <c r="AR17" s="94" t="str">
        <f aca="false">IF(ISBLANK($C17),"",IF($Z17&lt;&gt;Constants!$B$7,"",IF(AH17=1,AB17,AE17)))</f>
        <v/>
      </c>
      <c r="AS17" s="95" t="str">
        <f aca="false">IF(ISBLANK($C17),"",IF($Z17&lt;&gt;Constants!$B$7,"",IF(AH17=1,AC17,AF17)))</f>
        <v/>
      </c>
      <c r="AT17" s="96" t="str">
        <f aca="false">IF(ISBLANK($C17),"",IF($Z17&lt;&gt;Constants!$B$7,$Z17,AJ17))</f>
        <v/>
      </c>
      <c r="AU17" s="97" t="str">
        <f aca="false">IF(ISBLANK($C17),"",IF($Z17&lt;&gt;Constants!$B$7,$Z17,AA17))</f>
        <v/>
      </c>
      <c r="AV17" s="98" t="str">
        <f aca="false">IF(ISBLANK($C17),"",AO17)</f>
        <v/>
      </c>
      <c r="AW17" s="98" t="str">
        <f aca="false">IF(ISBLANK($C17),"",AN17)</f>
        <v/>
      </c>
      <c r="AX17" s="99" t="str">
        <f aca="false">IF(ISBLANK($C17),"",IFERROR(_xlfn.SWITCH(AW17,Constants!$B$4,COUNTA($C$8:$C$507)+2,Constants!$B$5,COUNTA($C$8:$C$507)+1,Constants!$B$6,COUNTA($C$8:$C$507)),AW17))</f>
        <v/>
      </c>
      <c r="AY17" s="5"/>
      <c r="AZ17" s="100" t="n">
        <f aca="false">IF(OR(ISNUMBER(AW17),AW17=Constants!$B$4,AW17=Constants!$B$6,AW17=Constants!$B$5),1,0)</f>
        <v>0</v>
      </c>
      <c r="BA17" s="100" t="n">
        <v>10</v>
      </c>
      <c r="BB17" s="100" t="str">
        <f aca="false">IF(ISBLANK($C17),"",IF(ISNUMBER(AX17),AX17+ROW($B17)/1000,""))</f>
        <v/>
      </c>
      <c r="BC17" s="100" t="str">
        <f aca="false">IF(ISNUMBER(BB17),RANK(BB17,$BB$8:$BB$507,1),"")</f>
        <v/>
      </c>
      <c r="BD17" s="100" t="str">
        <f aca="false">IF(ISBLANK($C17),"",$B17)</f>
        <v/>
      </c>
      <c r="BE17" s="100" t="str">
        <f aca="false">IF(ISBLANK($C17),"",$C17)</f>
        <v/>
      </c>
      <c r="BF17" s="100" t="str">
        <f aca="false">IF(ISBLANK($C17),"",$D17)</f>
        <v/>
      </c>
      <c r="BG17" s="101" t="str">
        <f aca="false">AU17</f>
        <v/>
      </c>
      <c r="BH17" s="102" t="str">
        <f aca="false">AT17</f>
        <v/>
      </c>
      <c r="BI17" s="100" t="str">
        <f aca="false">IF(ISBLANK($C17),"",AW17)</f>
        <v/>
      </c>
      <c r="BJ17" s="103" t="str">
        <f aca="false">IF($BA17&gt;$AZ$7,"",VLOOKUP($BA17,$BC$8:$BI$507,7,FALSE()))</f>
        <v/>
      </c>
      <c r="BK17" s="104" t="str">
        <f aca="false">IF($BA17&gt;$AZ$7,"",VLOOKUP($BA17,$BC$8:$BI$507,2,FALSE()))</f>
        <v/>
      </c>
      <c r="BL17" s="104" t="str">
        <f aca="false">IF($BA17&gt;$AZ$7,"",VLOOKUP($BA17,$BC$8:$BI$507,3,FALSE()))</f>
        <v/>
      </c>
      <c r="BM17" s="104" t="str">
        <f aca="false">IF($BA17&gt;$AZ$7,"",VLOOKUP($BA17,$BC$8:$BI$507,4,FALSE()))</f>
        <v/>
      </c>
      <c r="BN17" s="104" t="str">
        <f aca="false">IF($BA17&gt;$AZ$7,"",VLOOKUP($BA17,$BC$8:$BI$507,5,FALSE()))</f>
        <v/>
      </c>
      <c r="BO17" s="105" t="str">
        <f aca="false">IF($BA17&gt;$AZ$7,"",VLOOKUP($BA17,$BC$8:$BI$507,6,FALSE()))</f>
        <v/>
      </c>
      <c r="BP17" s="52"/>
    </row>
    <row r="18" customFormat="false" ht="15.75" hidden="false" customHeight="false" outlineLevel="0" collapsed="false">
      <c r="A18" s="5"/>
      <c r="B18" s="114"/>
      <c r="C18" s="115"/>
      <c r="D18" s="106"/>
      <c r="E18" s="116"/>
      <c r="F18" s="87"/>
      <c r="G18" s="88"/>
      <c r="H18" s="88"/>
      <c r="I18" s="87"/>
      <c r="J18" s="88"/>
      <c r="K18" s="88"/>
      <c r="L18" s="87"/>
      <c r="M18" s="117"/>
      <c r="N18" s="90"/>
      <c r="O18" s="91" t="str">
        <f aca="false">IF(ISBLANK($C18),"",IF(E18=Constants!$B$2, TRUE(), IF(E18=Constants!$B$3, FALSE(), TRUE())))</f>
        <v/>
      </c>
      <c r="P18" s="91" t="str">
        <f aca="false">IF(ISBLANK($C18),"",IF(F18=Constants!$B$16,Constants!$B$9,IF(F18=Constants!$B$17,Constants!$B$10,Constants!$B$8)))</f>
        <v/>
      </c>
      <c r="Q18" s="91" t="str">
        <f aca="false">IF(ISBLANK($C18),"",IF(ISNUMBER(G18),IF(G18&gt;=0,G18,""),""))</f>
        <v/>
      </c>
      <c r="R18" s="91" t="str">
        <f aca="false">IF(ISBLANK($C18),"",IF(H18=Constants!$B$2, TRUE(), IF(H18=Constants!$B$3, FALSE(), TRUE())))</f>
        <v/>
      </c>
      <c r="S18" s="91" t="str">
        <f aca="false">IF(ISBLANK($C18),"",IF(I18=Constants!$B$2, TRUE(), IF(I18=Constants!$B$3, FALSE(), TRUE())))</f>
        <v/>
      </c>
      <c r="T18" s="91" t="str">
        <f aca="false">IF(ISBLANK($C18),"",IF(ISNUMBER(J18),IF(J18&gt;=0,J18,""),""))</f>
        <v/>
      </c>
      <c r="U18" s="91" t="str">
        <f aca="false">IF(ISBLANK($C18),"",IF(K18=Constants!$B$2, TRUE(), IF(K18=Constants!$B$3, FALSE(), TRUE())))</f>
        <v/>
      </c>
      <c r="V18" s="91" t="str">
        <f aca="false">IF(ISBLANK($C18),"",IF(L18=Constants!$B$2, TRUE(), IF(L18=Constants!$B$3, FALSE(), TRUE())))</f>
        <v/>
      </c>
      <c r="W18" s="91" t="str">
        <f aca="false">IF(ISBLANK($C18),"",IF(M18=Constants!$B$2, TRUE(), IF(M18=Constants!$B$3, FALSE(), FALSE())))</f>
        <v/>
      </c>
      <c r="X18" s="91" t="str">
        <f aca="false">IF(ISBLANK($C18),"",AND(Q18&lt;&gt;"",O18))</f>
        <v/>
      </c>
      <c r="Y18" s="91" t="str">
        <f aca="false">IF(ISBLANK($C18),"",AND(T18&lt;&gt;"",O18))</f>
        <v/>
      </c>
      <c r="Z18" s="91" t="str">
        <f aca="false">IF(ISBLANK($C18),"",IF(W18,Constants!$B$4,IF(COUNTA(E18:L18)=0,Constants!$B$5,IF(NOT(O18),Constants!$B$6,IF(AND(NOT(X18),NOT(Y18)),Constants!$B$6,Constants!$B$7)))))</f>
        <v/>
      </c>
      <c r="AA18" s="91" t="str">
        <f aca="false">IF(ISBLANK($C18),"",IF($Z18&lt;&gt;Constants!$B$7,$Z18,Constants!$B$20))</f>
        <v/>
      </c>
      <c r="AB18" s="91" t="str">
        <f aca="false">IF($Z18=Constants!$B$7,IF(X18,Q18,Constants!$B$13),"")</f>
        <v/>
      </c>
      <c r="AC18" s="91" t="str">
        <f aca="false">IF($Z18=Constants!$B$7,IF(X18,P18*IF(R18, 1, Constants!$B$11)*IF(S18, 1, Constants!$B$12),Constants!$B$13),"")</f>
        <v/>
      </c>
      <c r="AD18" s="91" t="str">
        <f aca="false">IF($Z18=Constants!$B$7,AB18*AC18,"")</f>
        <v/>
      </c>
      <c r="AE18" s="91" t="str">
        <f aca="false">IF($Z18=Constants!$B$7,IF(Y18,T18,Constants!$B$13),"")</f>
        <v/>
      </c>
      <c r="AF18" s="91" t="str">
        <f aca="false">IF($Z18=Constants!$B$7,IF(Y18,P18*IF(U18, 1, Constants!$B$11)*IF(V18, 1, Constants!$B$12),Constants!$B$13),"")</f>
        <v/>
      </c>
      <c r="AG18" s="91" t="str">
        <f aca="false">IF($Z18=Constants!$B$7,AE18*AF18,"")</f>
        <v/>
      </c>
      <c r="AH18" s="91" t="str">
        <f aca="false">IF($Z18=Constants!$B$7,IF(AG18&gt;AD18,2,1),"")</f>
        <v/>
      </c>
      <c r="AI18" s="91" t="str">
        <f aca="false">IF($Z18=Constants!$B$7,IF(AH18=1,2,1),"")</f>
        <v/>
      </c>
      <c r="AJ18" s="91" t="str">
        <f aca="false">IF(ISBLANK($C18),"",IF($Z18&lt;&gt;Constants!$B$7,$Z18,IF(AH18=1,AD18,AG18)))</f>
        <v/>
      </c>
      <c r="AK18" s="91" t="str">
        <f aca="false">IF(ISBLANK($C18),"",IF($Z18=Constants!$B$7,IF(ISNUMBER(AJ18),RANK(AJ18,$AJ$8:$AJ$507),Constants!$B$14),$Z18))</f>
        <v/>
      </c>
      <c r="AL18" s="91" t="str">
        <f aca="false">IF(ISBLANK($C18),"",IF($Z18=Constants!$B$7,IF(AI18=1,AD18,AG18),""))</f>
        <v/>
      </c>
      <c r="AM18" s="91" t="str">
        <f aca="false">IF(ISBLANK($C18),"",IF($Z18=Constants!$B$7,RANK(AL18,$AL$8:$AL$507),$Z18))</f>
        <v/>
      </c>
      <c r="AN18" s="91" t="str">
        <f aca="false">IF(ISBLANK($C18),"",IF($Z18=Constants!$B$7,IF(ISNUMBER(AK18),COUNTIFS($AK$8:$AK$507,"&lt;"&amp;$AK18)+COUNTIFS($AK$8:$AK$507,$AK18,$AM$8:$AM$507,"&lt;"&amp;$AM18)+1,Constants!$B$14),$Z18))</f>
        <v/>
      </c>
      <c r="AO18" s="91" t="str">
        <f aca="false">IF(ISBLANK($C18),"",IF($Z18=Constants!$B$7,IF(ISNUMBER(AK18),AK18-AN18,Constants!$B$14),$Z18))</f>
        <v/>
      </c>
      <c r="AP18" s="92"/>
      <c r="AQ18" s="93" t="str">
        <f aca="false">IF(ISBLANK($C18),"",IF($Z18&lt;&gt;Constants!$B$7,"",AH18))</f>
        <v/>
      </c>
      <c r="AR18" s="94" t="str">
        <f aca="false">IF(ISBLANK($C18),"",IF($Z18&lt;&gt;Constants!$B$7,"",IF(AH18=1,AB18,AE18)))</f>
        <v/>
      </c>
      <c r="AS18" s="95" t="str">
        <f aca="false">IF(ISBLANK($C18),"",IF($Z18&lt;&gt;Constants!$B$7,"",IF(AH18=1,AC18,AF18)))</f>
        <v/>
      </c>
      <c r="AT18" s="96" t="str">
        <f aca="false">IF(ISBLANK($C18),"",IF($Z18&lt;&gt;Constants!$B$7,$Z18,AJ18))</f>
        <v/>
      </c>
      <c r="AU18" s="97" t="str">
        <f aca="false">IF(ISBLANK($C18),"",IF($Z18&lt;&gt;Constants!$B$7,$Z18,AA18))</f>
        <v/>
      </c>
      <c r="AV18" s="98" t="str">
        <f aca="false">IF(ISBLANK($C18),"",AO18)</f>
        <v/>
      </c>
      <c r="AW18" s="98" t="str">
        <f aca="false">IF(ISBLANK($C18),"",AN18)</f>
        <v/>
      </c>
      <c r="AX18" s="99" t="str">
        <f aca="false">IF(ISBLANK($C18),"",IFERROR(_xlfn.SWITCH(AW18,Constants!$B$4,COUNTA($C$8:$C$507)+2,Constants!$B$5,COUNTA($C$8:$C$507)+1,Constants!$B$6,COUNTA($C$8:$C$507)),AW18))</f>
        <v/>
      </c>
      <c r="AY18" s="5"/>
      <c r="AZ18" s="100" t="n">
        <f aca="false">IF(OR(ISNUMBER(AW18),AW18=Constants!$B$4,AW18=Constants!$B$6,AW18=Constants!$B$5),1,0)</f>
        <v>0</v>
      </c>
      <c r="BA18" s="100" t="n">
        <v>11</v>
      </c>
      <c r="BB18" s="100" t="str">
        <f aca="false">IF(ISBLANK($C18),"",IF(ISNUMBER(AX18),AX18+ROW($B18)/1000,""))</f>
        <v/>
      </c>
      <c r="BC18" s="100" t="str">
        <f aca="false">IF(ISNUMBER(BB18),RANK(BB18,$BB$8:$BB$507,1),"")</f>
        <v/>
      </c>
      <c r="BD18" s="100" t="str">
        <f aca="false">IF(ISBLANK($C18),"",$B18)</f>
        <v/>
      </c>
      <c r="BE18" s="100" t="str">
        <f aca="false">IF(ISBLANK($C18),"",$C18)</f>
        <v/>
      </c>
      <c r="BF18" s="100" t="str">
        <f aca="false">IF(ISBLANK($C18),"",$D18)</f>
        <v/>
      </c>
      <c r="BG18" s="101" t="str">
        <f aca="false">AU18</f>
        <v/>
      </c>
      <c r="BH18" s="102" t="str">
        <f aca="false">AT18</f>
        <v/>
      </c>
      <c r="BI18" s="100" t="str">
        <f aca="false">IF(ISBLANK($C18),"",AW18)</f>
        <v/>
      </c>
      <c r="BJ18" s="103" t="str">
        <f aca="false">IF($BA18&gt;$AZ$7,"",VLOOKUP($BA18,$BC$8:$BI$507,7,FALSE()))</f>
        <v/>
      </c>
      <c r="BK18" s="104" t="str">
        <f aca="false">IF($BA18&gt;$AZ$7,"",VLOOKUP($BA18,$BC$8:$BI$507,2,FALSE()))</f>
        <v/>
      </c>
      <c r="BL18" s="104" t="str">
        <f aca="false">IF($BA18&gt;$AZ$7,"",VLOOKUP($BA18,$BC$8:$BI$507,3,FALSE()))</f>
        <v/>
      </c>
      <c r="BM18" s="104" t="str">
        <f aca="false">IF($BA18&gt;$AZ$7,"",VLOOKUP($BA18,$BC$8:$BI$507,4,FALSE()))</f>
        <v/>
      </c>
      <c r="BN18" s="104" t="str">
        <f aca="false">IF($BA18&gt;$AZ$7,"",VLOOKUP($BA18,$BC$8:$BI$507,5,FALSE()))</f>
        <v/>
      </c>
      <c r="BO18" s="105" t="str">
        <f aca="false">IF($BA18&gt;$AZ$7,"",VLOOKUP($BA18,$BC$8:$BI$507,6,FALSE()))</f>
        <v/>
      </c>
      <c r="BP18" s="52"/>
    </row>
    <row r="19" customFormat="false" ht="15.75" hidden="false" customHeight="false" outlineLevel="0" collapsed="false">
      <c r="A19" s="5"/>
      <c r="B19" s="114"/>
      <c r="C19" s="115"/>
      <c r="D19" s="106"/>
      <c r="E19" s="116"/>
      <c r="F19" s="87"/>
      <c r="G19" s="88"/>
      <c r="H19" s="88"/>
      <c r="I19" s="87"/>
      <c r="J19" s="88"/>
      <c r="K19" s="88"/>
      <c r="L19" s="87"/>
      <c r="M19" s="117"/>
      <c r="N19" s="90"/>
      <c r="O19" s="91" t="str">
        <f aca="false">IF(ISBLANK($C19),"",IF(E19=Constants!$B$2, TRUE(), IF(E19=Constants!$B$3, FALSE(), TRUE())))</f>
        <v/>
      </c>
      <c r="P19" s="91" t="str">
        <f aca="false">IF(ISBLANK($C19),"",IF(F19=Constants!$B$16,Constants!$B$9,IF(F19=Constants!$B$17,Constants!$B$10,Constants!$B$8)))</f>
        <v/>
      </c>
      <c r="Q19" s="91" t="str">
        <f aca="false">IF(ISBLANK($C19),"",IF(ISNUMBER(G19),IF(G19&gt;=0,G19,""),""))</f>
        <v/>
      </c>
      <c r="R19" s="91" t="str">
        <f aca="false">IF(ISBLANK($C19),"",IF(H19=Constants!$B$2, TRUE(), IF(H19=Constants!$B$3, FALSE(), TRUE())))</f>
        <v/>
      </c>
      <c r="S19" s="91" t="str">
        <f aca="false">IF(ISBLANK($C19),"",IF(I19=Constants!$B$2, TRUE(), IF(I19=Constants!$B$3, FALSE(), TRUE())))</f>
        <v/>
      </c>
      <c r="T19" s="91" t="str">
        <f aca="false">IF(ISBLANK($C19),"",IF(ISNUMBER(J19),IF(J19&gt;=0,J19,""),""))</f>
        <v/>
      </c>
      <c r="U19" s="91" t="str">
        <f aca="false">IF(ISBLANK($C19),"",IF(K19=Constants!$B$2, TRUE(), IF(K19=Constants!$B$3, FALSE(), TRUE())))</f>
        <v/>
      </c>
      <c r="V19" s="91" t="str">
        <f aca="false">IF(ISBLANK($C19),"",IF(L19=Constants!$B$2, TRUE(), IF(L19=Constants!$B$3, FALSE(), TRUE())))</f>
        <v/>
      </c>
      <c r="W19" s="91" t="str">
        <f aca="false">IF(ISBLANK($C19),"",IF(M19=Constants!$B$2, TRUE(), IF(M19=Constants!$B$3, FALSE(), FALSE())))</f>
        <v/>
      </c>
      <c r="X19" s="91" t="str">
        <f aca="false">IF(ISBLANK($C19),"",AND(Q19&lt;&gt;"",O19))</f>
        <v/>
      </c>
      <c r="Y19" s="91" t="str">
        <f aca="false">IF(ISBLANK($C19),"",AND(T19&lt;&gt;"",O19))</f>
        <v/>
      </c>
      <c r="Z19" s="91" t="str">
        <f aca="false">IF(ISBLANK($C19),"",IF(W19,Constants!$B$4,IF(COUNTA(E19:L19)=0,Constants!$B$5,IF(NOT(O19),Constants!$B$6,IF(AND(NOT(X19),NOT(Y19)),Constants!$B$6,Constants!$B$7)))))</f>
        <v/>
      </c>
      <c r="AA19" s="91" t="str">
        <f aca="false">IF(ISBLANK($C19),"",IF($Z19&lt;&gt;Constants!$B$7,$Z19,Constants!$B$20))</f>
        <v/>
      </c>
      <c r="AB19" s="91" t="str">
        <f aca="false">IF($Z19=Constants!$B$7,IF(X19,Q19,Constants!$B$13),"")</f>
        <v/>
      </c>
      <c r="AC19" s="91" t="str">
        <f aca="false">IF($Z19=Constants!$B$7,IF(X19,P19*IF(R19, 1, Constants!$B$11)*IF(S19, 1, Constants!$B$12),Constants!$B$13),"")</f>
        <v/>
      </c>
      <c r="AD19" s="91" t="str">
        <f aca="false">IF($Z19=Constants!$B$7,AB19*AC19,"")</f>
        <v/>
      </c>
      <c r="AE19" s="91" t="str">
        <f aca="false">IF($Z19=Constants!$B$7,IF(Y19,T19,Constants!$B$13),"")</f>
        <v/>
      </c>
      <c r="AF19" s="91" t="str">
        <f aca="false">IF($Z19=Constants!$B$7,IF(Y19,P19*IF(U19, 1, Constants!$B$11)*IF(V19, 1, Constants!$B$12),Constants!$B$13),"")</f>
        <v/>
      </c>
      <c r="AG19" s="91" t="str">
        <f aca="false">IF($Z19=Constants!$B$7,AE19*AF19,"")</f>
        <v/>
      </c>
      <c r="AH19" s="91" t="str">
        <f aca="false">IF($Z19=Constants!$B$7,IF(AG19&gt;AD19,2,1),"")</f>
        <v/>
      </c>
      <c r="AI19" s="91" t="str">
        <f aca="false">IF($Z19=Constants!$B$7,IF(AH19=1,2,1),"")</f>
        <v/>
      </c>
      <c r="AJ19" s="91" t="str">
        <f aca="false">IF(ISBLANK($C19),"",IF($Z19&lt;&gt;Constants!$B$7,$Z19,IF(AH19=1,AD19,AG19)))</f>
        <v/>
      </c>
      <c r="AK19" s="91" t="str">
        <f aca="false">IF(ISBLANK($C19),"",IF($Z19=Constants!$B$7,IF(ISNUMBER(AJ19),RANK(AJ19,$AJ$8:$AJ$507),Constants!$B$14),$Z19))</f>
        <v/>
      </c>
      <c r="AL19" s="91" t="str">
        <f aca="false">IF(ISBLANK($C19),"",IF($Z19=Constants!$B$7,IF(AI19=1,AD19,AG19),""))</f>
        <v/>
      </c>
      <c r="AM19" s="91" t="str">
        <f aca="false">IF(ISBLANK($C19),"",IF($Z19=Constants!$B$7,RANK(AL19,$AL$8:$AL$507),$Z19))</f>
        <v/>
      </c>
      <c r="AN19" s="91" t="str">
        <f aca="false">IF(ISBLANK($C19),"",IF($Z19=Constants!$B$7,IF(ISNUMBER(AK19),COUNTIFS($AK$8:$AK$507,"&lt;"&amp;$AK19)+COUNTIFS($AK$8:$AK$507,$AK19,$AM$8:$AM$507,"&lt;"&amp;$AM19)+1,Constants!$B$14),$Z19))</f>
        <v/>
      </c>
      <c r="AO19" s="91" t="str">
        <f aca="false">IF(ISBLANK($C19),"",IF($Z19=Constants!$B$7,IF(ISNUMBER(AK19),AK19-AN19,Constants!$B$14),$Z19))</f>
        <v/>
      </c>
      <c r="AP19" s="92"/>
      <c r="AQ19" s="93" t="str">
        <f aca="false">IF(ISBLANK($C19),"",IF($Z19&lt;&gt;Constants!$B$7,"",AH19))</f>
        <v/>
      </c>
      <c r="AR19" s="94" t="str">
        <f aca="false">IF(ISBLANK($C19),"",IF($Z19&lt;&gt;Constants!$B$7,"",IF(AH19=1,AB19,AE19)))</f>
        <v/>
      </c>
      <c r="AS19" s="95" t="str">
        <f aca="false">IF(ISBLANK($C19),"",IF($Z19&lt;&gt;Constants!$B$7,"",IF(AH19=1,AC19,AF19)))</f>
        <v/>
      </c>
      <c r="AT19" s="96" t="str">
        <f aca="false">IF(ISBLANK($C19),"",IF($Z19&lt;&gt;Constants!$B$7,$Z19,AJ19))</f>
        <v/>
      </c>
      <c r="AU19" s="97" t="str">
        <f aca="false">IF(ISBLANK($C19),"",IF($Z19&lt;&gt;Constants!$B$7,$Z19,AA19))</f>
        <v/>
      </c>
      <c r="AV19" s="98" t="str">
        <f aca="false">IF(ISBLANK($C19),"",AO19)</f>
        <v/>
      </c>
      <c r="AW19" s="98" t="str">
        <f aca="false">IF(ISBLANK($C19),"",AN19)</f>
        <v/>
      </c>
      <c r="AX19" s="99" t="str">
        <f aca="false">IF(ISBLANK($C19),"",IFERROR(_xlfn.SWITCH(AW19,Constants!$B$4,COUNTA($C$8:$C$507)+2,Constants!$B$5,COUNTA($C$8:$C$507)+1,Constants!$B$6,COUNTA($C$8:$C$507)),AW19))</f>
        <v/>
      </c>
      <c r="AY19" s="5"/>
      <c r="AZ19" s="100" t="n">
        <f aca="false">IF(OR(ISNUMBER(AW19),AW19=Constants!$B$4,AW19=Constants!$B$6,AW19=Constants!$B$5),1,0)</f>
        <v>0</v>
      </c>
      <c r="BA19" s="100" t="n">
        <v>12</v>
      </c>
      <c r="BB19" s="100" t="str">
        <f aca="false">IF(ISBLANK($C19),"",IF(ISNUMBER(AX19),AX19+ROW($B19)/1000,""))</f>
        <v/>
      </c>
      <c r="BC19" s="100" t="str">
        <f aca="false">IF(ISNUMBER(BB19),RANK(BB19,$BB$8:$BB$507,1),"")</f>
        <v/>
      </c>
      <c r="BD19" s="100" t="str">
        <f aca="false">IF(ISBLANK($C19),"",$B19)</f>
        <v/>
      </c>
      <c r="BE19" s="100" t="str">
        <f aca="false">IF(ISBLANK($C19),"",$C19)</f>
        <v/>
      </c>
      <c r="BF19" s="100" t="str">
        <f aca="false">IF(ISBLANK($C19),"",$D19)</f>
        <v/>
      </c>
      <c r="BG19" s="101" t="str">
        <f aca="false">AU19</f>
        <v/>
      </c>
      <c r="BH19" s="102" t="str">
        <f aca="false">AT19</f>
        <v/>
      </c>
      <c r="BI19" s="100" t="str">
        <f aca="false">IF(ISBLANK($C19),"",AW19)</f>
        <v/>
      </c>
      <c r="BJ19" s="103" t="str">
        <f aca="false">IF($BA19&gt;$AZ$7,"",VLOOKUP($BA19,$BC$8:$BI$507,7,FALSE()))</f>
        <v/>
      </c>
      <c r="BK19" s="104" t="str">
        <f aca="false">IF($BA19&gt;$AZ$7,"",VLOOKUP($BA19,$BC$8:$BI$507,2,FALSE()))</f>
        <v/>
      </c>
      <c r="BL19" s="104" t="str">
        <f aca="false">IF($BA19&gt;$AZ$7,"",VLOOKUP($BA19,$BC$8:$BI$507,3,FALSE()))</f>
        <v/>
      </c>
      <c r="BM19" s="104" t="str">
        <f aca="false">IF($BA19&gt;$AZ$7,"",VLOOKUP($BA19,$BC$8:$BI$507,4,FALSE()))</f>
        <v/>
      </c>
      <c r="BN19" s="104" t="str">
        <f aca="false">IF($BA19&gt;$AZ$7,"",VLOOKUP($BA19,$BC$8:$BI$507,5,FALSE()))</f>
        <v/>
      </c>
      <c r="BO19" s="105" t="str">
        <f aca="false">IF($BA19&gt;$AZ$7,"",VLOOKUP($BA19,$BC$8:$BI$507,6,FALSE()))</f>
        <v/>
      </c>
      <c r="BP19" s="52"/>
    </row>
    <row r="20" customFormat="false" ht="15.75" hidden="false" customHeight="false" outlineLevel="0" collapsed="false">
      <c r="A20" s="5"/>
      <c r="B20" s="118"/>
      <c r="C20" s="54"/>
      <c r="D20" s="55"/>
      <c r="E20" s="113"/>
      <c r="F20" s="57"/>
      <c r="G20" s="58"/>
      <c r="H20" s="58"/>
      <c r="I20" s="57"/>
      <c r="J20" s="58"/>
      <c r="K20" s="58"/>
      <c r="L20" s="57"/>
      <c r="M20" s="79"/>
      <c r="N20" s="60"/>
      <c r="O20" s="62" t="str">
        <f aca="false">IF(ISBLANK($C20),"",IF(E20=Constants!$B$2, TRUE(), IF(E20=Constants!$B$3, FALSE(), TRUE())))</f>
        <v/>
      </c>
      <c r="P20" s="62" t="str">
        <f aca="false">IF(ISBLANK($C20),"",IF(F20=Constants!$B$16,Constants!$B$9,IF(F20=Constants!$B$17,Constants!$B$10,Constants!$B$8)))</f>
        <v/>
      </c>
      <c r="Q20" s="62" t="str">
        <f aca="false">IF(ISBLANK($C20),"",IF(ISNUMBER(G20),IF(G20&gt;=0,G20,""),""))</f>
        <v/>
      </c>
      <c r="R20" s="62" t="str">
        <f aca="false">IF(ISBLANK($C20),"",IF(H20=Constants!$B$2, TRUE(), IF(H20=Constants!$B$3, FALSE(), TRUE())))</f>
        <v/>
      </c>
      <c r="S20" s="62" t="str">
        <f aca="false">IF(ISBLANK($C20),"",IF(I20=Constants!$B$2, TRUE(), IF(I20=Constants!$B$3, FALSE(), TRUE())))</f>
        <v/>
      </c>
      <c r="T20" s="62" t="str">
        <f aca="false">IF(ISBLANK($C20),"",IF(ISNUMBER(J20),IF(J20&gt;=0,J20,""),""))</f>
        <v/>
      </c>
      <c r="U20" s="62" t="str">
        <f aca="false">IF(ISBLANK($C20),"",IF(K20=Constants!$B$2, TRUE(), IF(K20=Constants!$B$3, FALSE(), TRUE())))</f>
        <v/>
      </c>
      <c r="V20" s="62" t="str">
        <f aca="false">IF(ISBLANK($C20),"",IF(L20=Constants!$B$2, TRUE(), IF(L20=Constants!$B$3, FALSE(), TRUE())))</f>
        <v/>
      </c>
      <c r="W20" s="62" t="str">
        <f aca="false">IF(ISBLANK($C20),"",IF(M20=Constants!$B$2, TRUE(), IF(M20=Constants!$B$3, FALSE(), FALSE())))</f>
        <v/>
      </c>
      <c r="X20" s="62" t="str">
        <f aca="false">IF(ISBLANK($C20),"",AND(Q20&lt;&gt;"",O20))</f>
        <v/>
      </c>
      <c r="Y20" s="62" t="str">
        <f aca="false">IF(ISBLANK($C20),"",AND(T20&lt;&gt;"",O20))</f>
        <v/>
      </c>
      <c r="Z20" s="62" t="str">
        <f aca="false">IF(ISBLANK($C20),"",IF(W20,Constants!$B$4,IF(COUNTA(E20:L20)=0,Constants!$B$5,IF(NOT(O20),Constants!$B$6,IF(AND(NOT(X20),NOT(Y20)),Constants!$B$6,Constants!$B$7)))))</f>
        <v/>
      </c>
      <c r="AA20" s="62" t="str">
        <f aca="false">IF(ISBLANK($C20),"",IF($Z20&lt;&gt;Constants!$B$7,$Z20,Constants!$B$20))</f>
        <v/>
      </c>
      <c r="AB20" s="62" t="str">
        <f aca="false">IF($Z20=Constants!$B$7,IF(X20,Q20,Constants!$B$13),"")</f>
        <v/>
      </c>
      <c r="AC20" s="62" t="str">
        <f aca="false">IF($Z20=Constants!$B$7,IF(X20,P20*IF(R20, 1, Constants!$B$11)*IF(S20, 1, Constants!$B$12),Constants!$B$13),"")</f>
        <v/>
      </c>
      <c r="AD20" s="62" t="str">
        <f aca="false">IF($Z20=Constants!$B$7,AB20*AC20,"")</f>
        <v/>
      </c>
      <c r="AE20" s="62" t="str">
        <f aca="false">IF($Z20=Constants!$B$7,IF(Y20,T20,Constants!$B$13),"")</f>
        <v/>
      </c>
      <c r="AF20" s="62" t="str">
        <f aca="false">IF($Z20=Constants!$B$7,IF(Y20,P20*IF(U20, 1, Constants!$B$11)*IF(V20, 1, Constants!$B$12),Constants!$B$13),"")</f>
        <v/>
      </c>
      <c r="AG20" s="62" t="str">
        <f aca="false">IF($Z20=Constants!$B$7,AE20*AF20,"")</f>
        <v/>
      </c>
      <c r="AH20" s="62" t="str">
        <f aca="false">IF($Z20=Constants!$B$7,IF(AG20&gt;AD20,2,1),"")</f>
        <v/>
      </c>
      <c r="AI20" s="62" t="str">
        <f aca="false">IF($Z20=Constants!$B$7,IF(AH20=1,2,1),"")</f>
        <v/>
      </c>
      <c r="AJ20" s="62" t="str">
        <f aca="false">IF(ISBLANK($C20),"",IF($Z20&lt;&gt;Constants!$B$7,$Z20,IF(AH20=1,AD20,AG20)))</f>
        <v/>
      </c>
      <c r="AK20" s="62" t="str">
        <f aca="false">IF(ISBLANK($C20),"",IF($Z20=Constants!$B$7,IF(ISNUMBER(AJ20),RANK(AJ20,$AJ$8:$AJ$507),Constants!$B$14),$Z20))</f>
        <v/>
      </c>
      <c r="AL20" s="62" t="str">
        <f aca="false">IF(ISBLANK($C20),"",IF($Z20=Constants!$B$7,IF(AI20=1,AD20,AG20),""))</f>
        <v/>
      </c>
      <c r="AM20" s="62" t="str">
        <f aca="false">IF(ISBLANK($C20),"",IF($Z20=Constants!$B$7,RANK(AL20,$AL$8:$AL$507),$Z20))</f>
        <v/>
      </c>
      <c r="AN20" s="62" t="str">
        <f aca="false">IF(ISBLANK($C20),"",IF($Z20=Constants!$B$7,IF(ISNUMBER(AK20),COUNTIFS($AK$8:$AK$507,"&lt;"&amp;$AK20)+COUNTIFS($AK$8:$AK$507,$AK20,$AM$8:$AM$507,"&lt;"&amp;$AM20)+1,Constants!$B$14),$Z20))</f>
        <v/>
      </c>
      <c r="AO20" s="62" t="str">
        <f aca="false">IF(ISBLANK($C20),"",IF($Z20=Constants!$B$7,IF(ISNUMBER(AK20),AK20-AN20,Constants!$B$14),$Z20))</f>
        <v/>
      </c>
      <c r="AP20" s="64"/>
      <c r="AQ20" s="65" t="str">
        <f aca="false">IF(ISBLANK($C20),"",IF($Z20&lt;&gt;Constants!$B$7,"",AH20))</f>
        <v/>
      </c>
      <c r="AR20" s="80" t="str">
        <f aca="false">IF(ISBLANK($C20),"",IF($Z20&lt;&gt;Constants!$B$7,"",IF(AH20=1,AB20,AE20)))</f>
        <v/>
      </c>
      <c r="AS20" s="67" t="str">
        <f aca="false">IF(ISBLANK($C20),"",IF($Z20&lt;&gt;Constants!$B$7,"",IF(AH20=1,AC20,AF20)))</f>
        <v/>
      </c>
      <c r="AT20" s="68" t="str">
        <f aca="false">IF(ISBLANK($C20),"",IF($Z20&lt;&gt;Constants!$B$7,$Z20,AJ20))</f>
        <v/>
      </c>
      <c r="AU20" s="69" t="str">
        <f aca="false">IF(ISBLANK($C20),"",IF($Z20&lt;&gt;Constants!$B$7,$Z20,AA20))</f>
        <v/>
      </c>
      <c r="AV20" s="70" t="str">
        <f aca="false">IF(ISBLANK($C20),"",AO20)</f>
        <v/>
      </c>
      <c r="AW20" s="70" t="str">
        <f aca="false">IF(ISBLANK($C20),"",AN20)</f>
        <v/>
      </c>
      <c r="AX20" s="71" t="str">
        <f aca="false">IF(ISBLANK($C20),"",IFERROR(_xlfn.SWITCH(AW20,Constants!$B$4,COUNTA($C$8:$C$507)+2,Constants!$B$5,COUNTA($C$8:$C$507)+1,Constants!$B$6,COUNTA($C$8:$C$507)),AW20))</f>
        <v/>
      </c>
      <c r="AY20" s="5"/>
      <c r="AZ20" s="72" t="n">
        <f aca="false">IF(OR(ISNUMBER(AW20),AW20=Constants!$B$4,AW20=Constants!$B$6,AW20=Constants!$B$5),1,0)</f>
        <v>0</v>
      </c>
      <c r="BA20" s="72" t="n">
        <v>13</v>
      </c>
      <c r="BB20" s="72" t="str">
        <f aca="false">IF(ISBLANK($C20),"",IF(ISNUMBER(AX20),AX20+ROW($B20)/1000,""))</f>
        <v/>
      </c>
      <c r="BC20" s="72" t="str">
        <f aca="false">IF(ISNUMBER(BB20),RANK(BB20,$BB$8:$BB$507,1),"")</f>
        <v/>
      </c>
      <c r="BD20" s="72" t="str">
        <f aca="false">IF(ISBLANK($C20),"",$B20)</f>
        <v/>
      </c>
      <c r="BE20" s="72" t="str">
        <f aca="false">IF(ISBLANK($C20),"",$C20)</f>
        <v/>
      </c>
      <c r="BF20" s="72" t="str">
        <f aca="false">IF(ISBLANK($C20),"",$D20)</f>
        <v/>
      </c>
      <c r="BG20" s="73" t="str">
        <f aca="false">AU20</f>
        <v/>
      </c>
      <c r="BH20" s="74" t="str">
        <f aca="false">AT20</f>
        <v/>
      </c>
      <c r="BI20" s="72" t="str">
        <f aca="false">IF(ISBLANK($C20),"",AW20)</f>
        <v/>
      </c>
      <c r="BJ20" s="75" t="str">
        <f aca="false">IF($BA20&gt;$AZ$7,"",VLOOKUP($BA20,$BC$8:$BI$507,7,FALSE()))</f>
        <v/>
      </c>
      <c r="BK20" s="76" t="str">
        <f aca="false">IF($BA20&gt;$AZ$7,"",VLOOKUP($BA20,$BC$8:$BI$507,2,FALSE()))</f>
        <v/>
      </c>
      <c r="BL20" s="76" t="str">
        <f aca="false">IF($BA20&gt;$AZ$7,"",VLOOKUP($BA20,$BC$8:$BI$507,3,FALSE()))</f>
        <v/>
      </c>
      <c r="BM20" s="76" t="str">
        <f aca="false">IF($BA20&gt;$AZ$7,"",VLOOKUP($BA20,$BC$8:$BI$507,4,FALSE()))</f>
        <v/>
      </c>
      <c r="BN20" s="76" t="str">
        <f aca="false">IF($BA20&gt;$AZ$7,"",VLOOKUP($BA20,$BC$8:$BI$507,5,FALSE()))</f>
        <v/>
      </c>
      <c r="BO20" s="77" t="str">
        <f aca="false">IF($BA20&gt;$AZ$7,"",VLOOKUP($BA20,$BC$8:$BI$507,6,FALSE()))</f>
        <v/>
      </c>
      <c r="BP20" s="52"/>
    </row>
    <row r="21" customFormat="false" ht="15.75" hidden="false" customHeight="false" outlineLevel="0" collapsed="false">
      <c r="A21" s="5"/>
      <c r="B21" s="118"/>
      <c r="C21" s="54"/>
      <c r="D21" s="55"/>
      <c r="E21" s="113"/>
      <c r="F21" s="57"/>
      <c r="G21" s="58"/>
      <c r="H21" s="58"/>
      <c r="I21" s="57"/>
      <c r="J21" s="58"/>
      <c r="K21" s="58"/>
      <c r="L21" s="57"/>
      <c r="M21" s="79"/>
      <c r="N21" s="60"/>
      <c r="O21" s="62" t="str">
        <f aca="false">IF(ISBLANK($C21),"",IF(E21=Constants!$B$2, TRUE(), IF(E21=Constants!$B$3, FALSE(), TRUE())))</f>
        <v/>
      </c>
      <c r="P21" s="62" t="str">
        <f aca="false">IF(ISBLANK($C21),"",IF(F21=Constants!$B$16,Constants!$B$9,IF(F21=Constants!$B$17,Constants!$B$10,Constants!$B$8)))</f>
        <v/>
      </c>
      <c r="Q21" s="62" t="str">
        <f aca="false">IF(ISBLANK($C21),"",IF(ISNUMBER(G21),IF(G21&gt;=0,G21,""),""))</f>
        <v/>
      </c>
      <c r="R21" s="62" t="str">
        <f aca="false">IF(ISBLANK($C21),"",IF(H21=Constants!$B$2, TRUE(), IF(H21=Constants!$B$3, FALSE(), TRUE())))</f>
        <v/>
      </c>
      <c r="S21" s="62" t="str">
        <f aca="false">IF(ISBLANK($C21),"",IF(I21=Constants!$B$2, TRUE(), IF(I21=Constants!$B$3, FALSE(), TRUE())))</f>
        <v/>
      </c>
      <c r="T21" s="62" t="str">
        <f aca="false">IF(ISBLANK($C21),"",IF(ISNUMBER(J21),IF(J21&gt;=0,J21,""),""))</f>
        <v/>
      </c>
      <c r="U21" s="62" t="str">
        <f aca="false">IF(ISBLANK($C21),"",IF(K21=Constants!$B$2, TRUE(), IF(K21=Constants!$B$3, FALSE(), TRUE())))</f>
        <v/>
      </c>
      <c r="V21" s="62" t="str">
        <f aca="false">IF(ISBLANK($C21),"",IF(L21=Constants!$B$2, TRUE(), IF(L21=Constants!$B$3, FALSE(), TRUE())))</f>
        <v/>
      </c>
      <c r="W21" s="62" t="str">
        <f aca="false">IF(ISBLANK($C21),"",IF(M21=Constants!$B$2, TRUE(), IF(M21=Constants!$B$3, FALSE(), FALSE())))</f>
        <v/>
      </c>
      <c r="X21" s="62" t="str">
        <f aca="false">IF(ISBLANK($C21),"",AND(Q21&lt;&gt;"",O21))</f>
        <v/>
      </c>
      <c r="Y21" s="62" t="str">
        <f aca="false">IF(ISBLANK($C21),"",AND(T21&lt;&gt;"",O21))</f>
        <v/>
      </c>
      <c r="Z21" s="62" t="str">
        <f aca="false">IF(ISBLANK($C21),"",IF(W21,Constants!$B$4,IF(COUNTA(E21:L21)=0,Constants!$B$5,IF(NOT(O21),Constants!$B$6,IF(AND(NOT(X21),NOT(Y21)),Constants!$B$6,Constants!$B$7)))))</f>
        <v/>
      </c>
      <c r="AA21" s="62" t="str">
        <f aca="false">IF(ISBLANK($C21),"",IF($Z21&lt;&gt;Constants!$B$7,$Z21,Constants!$B$20))</f>
        <v/>
      </c>
      <c r="AB21" s="62" t="str">
        <f aca="false">IF($Z21=Constants!$B$7,IF(X21,Q21,Constants!$B$13),"")</f>
        <v/>
      </c>
      <c r="AC21" s="62" t="str">
        <f aca="false">IF($Z21=Constants!$B$7,IF(X21,P21*IF(R21, 1, Constants!$B$11)*IF(S21, 1, Constants!$B$12),Constants!$B$13),"")</f>
        <v/>
      </c>
      <c r="AD21" s="62" t="str">
        <f aca="false">IF($Z21=Constants!$B$7,AB21*AC21,"")</f>
        <v/>
      </c>
      <c r="AE21" s="62" t="str">
        <f aca="false">IF($Z21=Constants!$B$7,IF(Y21,T21,Constants!$B$13),"")</f>
        <v/>
      </c>
      <c r="AF21" s="62" t="str">
        <f aca="false">IF($Z21=Constants!$B$7,IF(Y21,P21*IF(U21, 1, Constants!$B$11)*IF(V21, 1, Constants!$B$12),Constants!$B$13),"")</f>
        <v/>
      </c>
      <c r="AG21" s="62" t="str">
        <f aca="false">IF($Z21=Constants!$B$7,AE21*AF21,"")</f>
        <v/>
      </c>
      <c r="AH21" s="62" t="str">
        <f aca="false">IF($Z21=Constants!$B$7,IF(AG21&gt;AD21,2,1),"")</f>
        <v/>
      </c>
      <c r="AI21" s="62" t="str">
        <f aca="false">IF($Z21=Constants!$B$7,IF(AH21=1,2,1),"")</f>
        <v/>
      </c>
      <c r="AJ21" s="62" t="str">
        <f aca="false">IF(ISBLANK($C21),"",IF($Z21&lt;&gt;Constants!$B$7,$Z21,IF(AH21=1,AD21,AG21)))</f>
        <v/>
      </c>
      <c r="AK21" s="62" t="str">
        <f aca="false">IF(ISBLANK($C21),"",IF($Z21=Constants!$B$7,IF(ISNUMBER(AJ21),RANK(AJ21,$AJ$8:$AJ$507),Constants!$B$14),$Z21))</f>
        <v/>
      </c>
      <c r="AL21" s="62" t="str">
        <f aca="false">IF(ISBLANK($C21),"",IF($Z21=Constants!$B$7,IF(AI21=1,AD21,AG21),""))</f>
        <v/>
      </c>
      <c r="AM21" s="62" t="str">
        <f aca="false">IF(ISBLANK($C21),"",IF($Z21=Constants!$B$7,RANK(AL21,$AL$8:$AL$507),$Z21))</f>
        <v/>
      </c>
      <c r="AN21" s="62" t="str">
        <f aca="false">IF(ISBLANK($C21),"",IF($Z21=Constants!$B$7,IF(ISNUMBER(AK21),COUNTIFS($AK$8:$AK$507,"&lt;"&amp;$AK21)+COUNTIFS($AK$8:$AK$507,$AK21,$AM$8:$AM$507,"&lt;"&amp;$AM21)+1,Constants!$B$14),$Z21))</f>
        <v/>
      </c>
      <c r="AO21" s="62" t="str">
        <f aca="false">IF(ISBLANK($C21),"",IF($Z21=Constants!$B$7,IF(ISNUMBER(AK21),AK21-AN21,Constants!$B$14),$Z21))</f>
        <v/>
      </c>
      <c r="AP21" s="64"/>
      <c r="AQ21" s="65" t="str">
        <f aca="false">IF(ISBLANK($C21),"",IF($Z21&lt;&gt;Constants!$B$7,"",AH21))</f>
        <v/>
      </c>
      <c r="AR21" s="80" t="str">
        <f aca="false">IF(ISBLANK($C21),"",IF($Z21&lt;&gt;Constants!$B$7,"",IF(AH21=1,AB21,AE21)))</f>
        <v/>
      </c>
      <c r="AS21" s="67" t="str">
        <f aca="false">IF(ISBLANK($C21),"",IF($Z21&lt;&gt;Constants!$B$7,"",IF(AH21=1,AC21,AF21)))</f>
        <v/>
      </c>
      <c r="AT21" s="68" t="str">
        <f aca="false">IF(ISBLANK($C21),"",IF($Z21&lt;&gt;Constants!$B$7,$Z21,AJ21))</f>
        <v/>
      </c>
      <c r="AU21" s="69" t="str">
        <f aca="false">IF(ISBLANK($C21),"",IF($Z21&lt;&gt;Constants!$B$7,$Z21,AA21))</f>
        <v/>
      </c>
      <c r="AV21" s="70" t="str">
        <f aca="false">IF(ISBLANK($C21),"",AO21)</f>
        <v/>
      </c>
      <c r="AW21" s="70" t="str">
        <f aca="false">IF(ISBLANK($C21),"",AN21)</f>
        <v/>
      </c>
      <c r="AX21" s="71" t="str">
        <f aca="false">IF(ISBLANK($C21),"",IFERROR(_xlfn.SWITCH(AW21,Constants!$B$4,COUNTA($C$8:$C$507)+2,Constants!$B$5,COUNTA($C$8:$C$507)+1,Constants!$B$6,COUNTA($C$8:$C$507)),AW21))</f>
        <v/>
      </c>
      <c r="AY21" s="5"/>
      <c r="AZ21" s="72" t="n">
        <f aca="false">IF(OR(ISNUMBER(AW21),AW21=Constants!$B$4,AW21=Constants!$B$6,AW21=Constants!$B$5),1,0)</f>
        <v>0</v>
      </c>
      <c r="BA21" s="72" t="n">
        <v>14</v>
      </c>
      <c r="BB21" s="72" t="str">
        <f aca="false">IF(ISBLANK($C21),"",IF(ISNUMBER(AX21),AX21+ROW($B21)/1000,""))</f>
        <v/>
      </c>
      <c r="BC21" s="72" t="str">
        <f aca="false">IF(ISNUMBER(BB21),RANK(BB21,$BB$8:$BB$507,1),"")</f>
        <v/>
      </c>
      <c r="BD21" s="72" t="str">
        <f aca="false">IF(ISBLANK($C21),"",$B21)</f>
        <v/>
      </c>
      <c r="BE21" s="72" t="str">
        <f aca="false">IF(ISBLANK($C21),"",$C21)</f>
        <v/>
      </c>
      <c r="BF21" s="72" t="str">
        <f aca="false">IF(ISBLANK($C21),"",$D21)</f>
        <v/>
      </c>
      <c r="BG21" s="73" t="str">
        <f aca="false">AU21</f>
        <v/>
      </c>
      <c r="BH21" s="74" t="str">
        <f aca="false">AT21</f>
        <v/>
      </c>
      <c r="BI21" s="72" t="str">
        <f aca="false">IF(ISBLANK($C21),"",AW21)</f>
        <v/>
      </c>
      <c r="BJ21" s="75" t="str">
        <f aca="false">IF($BA21&gt;$AZ$7,"",VLOOKUP($BA21,$BC$8:$BI$507,7,FALSE()))</f>
        <v/>
      </c>
      <c r="BK21" s="76" t="str">
        <f aca="false">IF($BA21&gt;$AZ$7,"",VLOOKUP($BA21,$BC$8:$BI$507,2,FALSE()))</f>
        <v/>
      </c>
      <c r="BL21" s="76" t="str">
        <f aca="false">IF($BA21&gt;$AZ$7,"",VLOOKUP($BA21,$BC$8:$BI$507,3,FALSE()))</f>
        <v/>
      </c>
      <c r="BM21" s="76" t="str">
        <f aca="false">IF($BA21&gt;$AZ$7,"",VLOOKUP($BA21,$BC$8:$BI$507,4,FALSE()))</f>
        <v/>
      </c>
      <c r="BN21" s="76" t="str">
        <f aca="false">IF($BA21&gt;$AZ$7,"",VLOOKUP($BA21,$BC$8:$BI$507,5,FALSE()))</f>
        <v/>
      </c>
      <c r="BO21" s="77" t="str">
        <f aca="false">IF($BA21&gt;$AZ$7,"",VLOOKUP($BA21,$BC$8:$BI$507,6,FALSE()))</f>
        <v/>
      </c>
      <c r="BP21" s="52"/>
    </row>
    <row r="22" customFormat="false" ht="15.75" hidden="false" customHeight="false" outlineLevel="0" collapsed="false">
      <c r="A22" s="5"/>
      <c r="B22" s="118"/>
      <c r="C22" s="54"/>
      <c r="D22" s="55"/>
      <c r="E22" s="113"/>
      <c r="F22" s="57"/>
      <c r="G22" s="58"/>
      <c r="H22" s="58"/>
      <c r="I22" s="57"/>
      <c r="J22" s="58"/>
      <c r="K22" s="58"/>
      <c r="L22" s="57"/>
      <c r="M22" s="79"/>
      <c r="N22" s="60"/>
      <c r="O22" s="62" t="str">
        <f aca="false">IF(ISBLANK($C22),"",IF(E22=Constants!$B$2, TRUE(), IF(E22=Constants!$B$3, FALSE(), TRUE())))</f>
        <v/>
      </c>
      <c r="P22" s="62" t="str">
        <f aca="false">IF(ISBLANK($C22),"",IF(F22=Constants!$B$16,Constants!$B$9,IF(F22=Constants!$B$17,Constants!$B$10,Constants!$B$8)))</f>
        <v/>
      </c>
      <c r="Q22" s="62" t="str">
        <f aca="false">IF(ISBLANK($C22),"",IF(ISNUMBER(G22),IF(G22&gt;=0,G22,""),""))</f>
        <v/>
      </c>
      <c r="R22" s="62" t="str">
        <f aca="false">IF(ISBLANK($C22),"",IF(H22=Constants!$B$2, TRUE(), IF(H22=Constants!$B$3, FALSE(), TRUE())))</f>
        <v/>
      </c>
      <c r="S22" s="62" t="str">
        <f aca="false">IF(ISBLANK($C22),"",IF(I22=Constants!$B$2, TRUE(), IF(I22=Constants!$B$3, FALSE(), TRUE())))</f>
        <v/>
      </c>
      <c r="T22" s="62" t="str">
        <f aca="false">IF(ISBLANK($C22),"",IF(ISNUMBER(J22),IF(J22&gt;=0,J22,""),""))</f>
        <v/>
      </c>
      <c r="U22" s="62" t="str">
        <f aca="false">IF(ISBLANK($C22),"",IF(K22=Constants!$B$2, TRUE(), IF(K22=Constants!$B$3, FALSE(), TRUE())))</f>
        <v/>
      </c>
      <c r="V22" s="62" t="str">
        <f aca="false">IF(ISBLANK($C22),"",IF(L22=Constants!$B$2, TRUE(), IF(L22=Constants!$B$3, FALSE(), TRUE())))</f>
        <v/>
      </c>
      <c r="W22" s="62" t="str">
        <f aca="false">IF(ISBLANK($C22),"",IF(M22=Constants!$B$2, TRUE(), IF(M22=Constants!$B$3, FALSE(), FALSE())))</f>
        <v/>
      </c>
      <c r="X22" s="62" t="str">
        <f aca="false">IF(ISBLANK($C22),"",AND(Q22&lt;&gt;"",O22))</f>
        <v/>
      </c>
      <c r="Y22" s="62" t="str">
        <f aca="false">IF(ISBLANK($C22),"",AND(T22&lt;&gt;"",O22))</f>
        <v/>
      </c>
      <c r="Z22" s="62" t="str">
        <f aca="false">IF(ISBLANK($C22),"",IF(W22,Constants!$B$4,IF(COUNTA(E22:L22)=0,Constants!$B$5,IF(NOT(O22),Constants!$B$6,IF(AND(NOT(X22),NOT(Y22)),Constants!$B$6,Constants!$B$7)))))</f>
        <v/>
      </c>
      <c r="AA22" s="62" t="str">
        <f aca="false">IF(ISBLANK($C22),"",IF($Z22&lt;&gt;Constants!$B$7,$Z22,Constants!$B$20))</f>
        <v/>
      </c>
      <c r="AB22" s="62" t="str">
        <f aca="false">IF($Z22=Constants!$B$7,IF(X22,Q22,Constants!$B$13),"")</f>
        <v/>
      </c>
      <c r="AC22" s="62" t="str">
        <f aca="false">IF($Z22=Constants!$B$7,IF(X22,P22*IF(R22, 1, Constants!$B$11)*IF(S22, 1, Constants!$B$12),Constants!$B$13),"")</f>
        <v/>
      </c>
      <c r="AD22" s="62" t="str">
        <f aca="false">IF($Z22=Constants!$B$7,AB22*AC22,"")</f>
        <v/>
      </c>
      <c r="AE22" s="62" t="str">
        <f aca="false">IF($Z22=Constants!$B$7,IF(Y22,T22,Constants!$B$13),"")</f>
        <v/>
      </c>
      <c r="AF22" s="62" t="str">
        <f aca="false">IF($Z22=Constants!$B$7,IF(Y22,P22*IF(U22, 1, Constants!$B$11)*IF(V22, 1, Constants!$B$12),Constants!$B$13),"")</f>
        <v/>
      </c>
      <c r="AG22" s="62" t="str">
        <f aca="false">IF($Z22=Constants!$B$7,AE22*AF22,"")</f>
        <v/>
      </c>
      <c r="AH22" s="62" t="str">
        <f aca="false">IF($Z22=Constants!$B$7,IF(AG22&gt;AD22,2,1),"")</f>
        <v/>
      </c>
      <c r="AI22" s="62" t="str">
        <f aca="false">IF($Z22=Constants!$B$7,IF(AH22=1,2,1),"")</f>
        <v/>
      </c>
      <c r="AJ22" s="62" t="str">
        <f aca="false">IF(ISBLANK($C22),"",IF($Z22&lt;&gt;Constants!$B$7,$Z22,IF(AH22=1,AD22,AG22)))</f>
        <v/>
      </c>
      <c r="AK22" s="62" t="str">
        <f aca="false">IF(ISBLANK($C22),"",IF($Z22=Constants!$B$7,IF(ISNUMBER(AJ22),RANK(AJ22,$AJ$8:$AJ$507),Constants!$B$14),$Z22))</f>
        <v/>
      </c>
      <c r="AL22" s="62" t="str">
        <f aca="false">IF(ISBLANK($C22),"",IF($Z22=Constants!$B$7,IF(AI22=1,AD22,AG22),""))</f>
        <v/>
      </c>
      <c r="AM22" s="62" t="str">
        <f aca="false">IF(ISBLANK($C22),"",IF($Z22=Constants!$B$7,RANK(AL22,$AL$8:$AL$507),$Z22))</f>
        <v/>
      </c>
      <c r="AN22" s="62" t="str">
        <f aca="false">IF(ISBLANK($C22),"",IF($Z22=Constants!$B$7,IF(ISNUMBER(AK22),COUNTIFS($AK$8:$AK$507,"&lt;"&amp;$AK22)+COUNTIFS($AK$8:$AK$507,$AK22,$AM$8:$AM$507,"&lt;"&amp;$AM22)+1,Constants!$B$14),$Z22))</f>
        <v/>
      </c>
      <c r="AO22" s="62" t="str">
        <f aca="false">IF(ISBLANK($C22),"",IF($Z22=Constants!$B$7,IF(ISNUMBER(AK22),AK22-AN22,Constants!$B$14),$Z22))</f>
        <v/>
      </c>
      <c r="AP22" s="64"/>
      <c r="AQ22" s="65" t="str">
        <f aca="false">IF(ISBLANK($C22),"",IF($Z22&lt;&gt;Constants!$B$7,"",AH22))</f>
        <v/>
      </c>
      <c r="AR22" s="80" t="str">
        <f aca="false">IF(ISBLANK($C22),"",IF($Z22&lt;&gt;Constants!$B$7,"",IF(AH22=1,AB22,AE22)))</f>
        <v/>
      </c>
      <c r="AS22" s="67" t="str">
        <f aca="false">IF(ISBLANK($C22),"",IF($Z22&lt;&gt;Constants!$B$7,"",IF(AH22=1,AC22,AF22)))</f>
        <v/>
      </c>
      <c r="AT22" s="68" t="str">
        <f aca="false">IF(ISBLANK($C22),"",IF($Z22&lt;&gt;Constants!$B$7,$Z22,AJ22))</f>
        <v/>
      </c>
      <c r="AU22" s="69" t="str">
        <f aca="false">IF(ISBLANK($C22),"",IF($Z22&lt;&gt;Constants!$B$7,$Z22,AA22))</f>
        <v/>
      </c>
      <c r="AV22" s="70" t="str">
        <f aca="false">IF(ISBLANK($C22),"",AO22)</f>
        <v/>
      </c>
      <c r="AW22" s="70" t="str">
        <f aca="false">IF(ISBLANK($C22),"",AN22)</f>
        <v/>
      </c>
      <c r="AX22" s="71" t="str">
        <f aca="false">IF(ISBLANK($C22),"",IFERROR(_xlfn.SWITCH(AW22,Constants!$B$4,COUNTA($C$8:$C$507)+2,Constants!$B$5,COUNTA($C$8:$C$507)+1,Constants!$B$6,COUNTA($C$8:$C$507)),AW22))</f>
        <v/>
      </c>
      <c r="AY22" s="5"/>
      <c r="AZ22" s="72" t="n">
        <f aca="false">IF(OR(ISNUMBER(AW22),AW22=Constants!$B$4,AW22=Constants!$B$6,AW22=Constants!$B$5),1,0)</f>
        <v>0</v>
      </c>
      <c r="BA22" s="72" t="n">
        <v>15</v>
      </c>
      <c r="BB22" s="72" t="str">
        <f aca="false">IF(ISBLANK($C22),"",IF(ISNUMBER(AX22),AX22+ROW($B22)/1000,""))</f>
        <v/>
      </c>
      <c r="BC22" s="72" t="str">
        <f aca="false">IF(ISNUMBER(BB22),RANK(BB22,$BB$8:$BB$507,1),"")</f>
        <v/>
      </c>
      <c r="BD22" s="72" t="str">
        <f aca="false">IF(ISBLANK($C22),"",$B22)</f>
        <v/>
      </c>
      <c r="BE22" s="72" t="str">
        <f aca="false">IF(ISBLANK($C22),"",$C22)</f>
        <v/>
      </c>
      <c r="BF22" s="72" t="str">
        <f aca="false">IF(ISBLANK($C22),"",$D22)</f>
        <v/>
      </c>
      <c r="BG22" s="73" t="str">
        <f aca="false">AU22</f>
        <v/>
      </c>
      <c r="BH22" s="74" t="str">
        <f aca="false">AT22</f>
        <v/>
      </c>
      <c r="BI22" s="72" t="str">
        <f aca="false">IF(ISBLANK($C22),"",AW22)</f>
        <v/>
      </c>
      <c r="BJ22" s="75" t="str">
        <f aca="false">IF($BA22&gt;$AZ$7,"",VLOOKUP($BA22,$BC$8:$BI$507,7,FALSE()))</f>
        <v/>
      </c>
      <c r="BK22" s="76" t="str">
        <f aca="false">IF($BA22&gt;$AZ$7,"",VLOOKUP($BA22,$BC$8:$BI$507,2,FALSE()))</f>
        <v/>
      </c>
      <c r="BL22" s="76" t="str">
        <f aca="false">IF($BA22&gt;$AZ$7,"",VLOOKUP($BA22,$BC$8:$BI$507,3,FALSE()))</f>
        <v/>
      </c>
      <c r="BM22" s="76" t="str">
        <f aca="false">IF($BA22&gt;$AZ$7,"",VLOOKUP($BA22,$BC$8:$BI$507,4,FALSE()))</f>
        <v/>
      </c>
      <c r="BN22" s="76" t="str">
        <f aca="false">IF($BA22&gt;$AZ$7,"",VLOOKUP($BA22,$BC$8:$BI$507,5,FALSE()))</f>
        <v/>
      </c>
      <c r="BO22" s="77" t="str">
        <f aca="false">IF($BA22&gt;$AZ$7,"",VLOOKUP($BA22,$BC$8:$BI$507,6,FALSE()))</f>
        <v/>
      </c>
      <c r="BP22" s="52"/>
    </row>
    <row r="23" customFormat="false" ht="15.75" hidden="false" customHeight="false" outlineLevel="0" collapsed="false">
      <c r="A23" s="5"/>
      <c r="B23" s="114"/>
      <c r="C23" s="115"/>
      <c r="D23" s="106"/>
      <c r="E23" s="116"/>
      <c r="F23" s="87"/>
      <c r="G23" s="88"/>
      <c r="H23" s="88"/>
      <c r="I23" s="87"/>
      <c r="J23" s="88"/>
      <c r="K23" s="88"/>
      <c r="L23" s="87"/>
      <c r="M23" s="117"/>
      <c r="N23" s="90"/>
      <c r="O23" s="91" t="str">
        <f aca="false">IF(ISBLANK($C23),"",IF(E23=Constants!$B$2, TRUE(), IF(E23=Constants!$B$3, FALSE(), TRUE())))</f>
        <v/>
      </c>
      <c r="P23" s="91" t="str">
        <f aca="false">IF(ISBLANK($C23),"",IF(F23=Constants!$B$16,Constants!$B$9,IF(F23=Constants!$B$17,Constants!$B$10,Constants!$B$8)))</f>
        <v/>
      </c>
      <c r="Q23" s="91" t="str">
        <f aca="false">IF(ISBLANK($C23),"",IF(ISNUMBER(G23),IF(G23&gt;=0,G23,""),""))</f>
        <v/>
      </c>
      <c r="R23" s="91" t="str">
        <f aca="false">IF(ISBLANK($C23),"",IF(H23=Constants!$B$2, TRUE(), IF(H23=Constants!$B$3, FALSE(), TRUE())))</f>
        <v/>
      </c>
      <c r="S23" s="91" t="str">
        <f aca="false">IF(ISBLANK($C23),"",IF(I23=Constants!$B$2, TRUE(), IF(I23=Constants!$B$3, FALSE(), TRUE())))</f>
        <v/>
      </c>
      <c r="T23" s="91" t="str">
        <f aca="false">IF(ISBLANK($C23),"",IF(ISNUMBER(J23),IF(J23&gt;=0,J23,""),""))</f>
        <v/>
      </c>
      <c r="U23" s="91" t="str">
        <f aca="false">IF(ISBLANK($C23),"",IF(K23=Constants!$B$2, TRUE(), IF(K23=Constants!$B$3, FALSE(), TRUE())))</f>
        <v/>
      </c>
      <c r="V23" s="91" t="str">
        <f aca="false">IF(ISBLANK($C23),"",IF(L23=Constants!$B$2, TRUE(), IF(L23=Constants!$B$3, FALSE(), TRUE())))</f>
        <v/>
      </c>
      <c r="W23" s="91" t="str">
        <f aca="false">IF(ISBLANK($C23),"",IF(M23=Constants!$B$2, TRUE(), IF(M23=Constants!$B$3, FALSE(), FALSE())))</f>
        <v/>
      </c>
      <c r="X23" s="91" t="str">
        <f aca="false">IF(ISBLANK($C23),"",AND(Q23&lt;&gt;"",O23))</f>
        <v/>
      </c>
      <c r="Y23" s="91" t="str">
        <f aca="false">IF(ISBLANK($C23),"",AND(T23&lt;&gt;"",O23))</f>
        <v/>
      </c>
      <c r="Z23" s="91" t="str">
        <f aca="false">IF(ISBLANK($C23),"",IF(W23,Constants!$B$4,IF(COUNTA(E23:L23)=0,Constants!$B$5,IF(NOT(O23),Constants!$B$6,IF(AND(NOT(X23),NOT(Y23)),Constants!$B$6,Constants!$B$7)))))</f>
        <v/>
      </c>
      <c r="AA23" s="91" t="str">
        <f aca="false">IF(ISBLANK($C23),"",IF($Z23&lt;&gt;Constants!$B$7,$Z23,Constants!$B$20))</f>
        <v/>
      </c>
      <c r="AB23" s="91" t="str">
        <f aca="false">IF($Z23=Constants!$B$7,IF(X23,Q23,Constants!$B$13),"")</f>
        <v/>
      </c>
      <c r="AC23" s="91" t="str">
        <f aca="false">IF($Z23=Constants!$B$7,IF(X23,P23*IF(R23, 1, Constants!$B$11)*IF(S23, 1, Constants!$B$12),Constants!$B$13),"")</f>
        <v/>
      </c>
      <c r="AD23" s="91" t="str">
        <f aca="false">IF($Z23=Constants!$B$7,AB23*AC23,"")</f>
        <v/>
      </c>
      <c r="AE23" s="91" t="str">
        <f aca="false">IF($Z23=Constants!$B$7,IF(Y23,T23,Constants!$B$13),"")</f>
        <v/>
      </c>
      <c r="AF23" s="91" t="str">
        <f aca="false">IF($Z23=Constants!$B$7,IF(Y23,P23*IF(U23, 1, Constants!$B$11)*IF(V23, 1, Constants!$B$12),Constants!$B$13),"")</f>
        <v/>
      </c>
      <c r="AG23" s="91" t="str">
        <f aca="false">IF($Z23=Constants!$B$7,AE23*AF23,"")</f>
        <v/>
      </c>
      <c r="AH23" s="91" t="str">
        <f aca="false">IF($Z23=Constants!$B$7,IF(AG23&gt;AD23,2,1),"")</f>
        <v/>
      </c>
      <c r="AI23" s="91" t="str">
        <f aca="false">IF($Z23=Constants!$B$7,IF(AH23=1,2,1),"")</f>
        <v/>
      </c>
      <c r="AJ23" s="91" t="str">
        <f aca="false">IF(ISBLANK($C23),"",IF($Z23&lt;&gt;Constants!$B$7,$Z23,IF(AH23=1,AD23,AG23)))</f>
        <v/>
      </c>
      <c r="AK23" s="91" t="str">
        <f aca="false">IF(ISBLANK($C23),"",IF($Z23=Constants!$B$7,IF(ISNUMBER(AJ23),RANK(AJ23,$AJ$8:$AJ$507),Constants!$B$14),$Z23))</f>
        <v/>
      </c>
      <c r="AL23" s="91" t="str">
        <f aca="false">IF(ISBLANK($C23),"",IF($Z23=Constants!$B$7,IF(AI23=1,AD23,AG23),""))</f>
        <v/>
      </c>
      <c r="AM23" s="91" t="str">
        <f aca="false">IF(ISBLANK($C23),"",IF($Z23=Constants!$B$7,RANK(AL23,$AL$8:$AL$507),$Z23))</f>
        <v/>
      </c>
      <c r="AN23" s="91" t="str">
        <f aca="false">IF(ISBLANK($C23),"",IF($Z23=Constants!$B$7,IF(ISNUMBER(AK23),COUNTIFS($AK$8:$AK$507,"&lt;"&amp;$AK23)+COUNTIFS($AK$8:$AK$507,$AK23,$AM$8:$AM$507,"&lt;"&amp;$AM23)+1,Constants!$B$14),$Z23))</f>
        <v/>
      </c>
      <c r="AO23" s="91" t="str">
        <f aca="false">IF(ISBLANK($C23),"",IF($Z23=Constants!$B$7,IF(ISNUMBER(AK23),AK23-AN23,Constants!$B$14),$Z23))</f>
        <v/>
      </c>
      <c r="AP23" s="92"/>
      <c r="AQ23" s="93" t="str">
        <f aca="false">IF(ISBLANK($C23),"",IF($Z23&lt;&gt;Constants!$B$7,"",AH23))</f>
        <v/>
      </c>
      <c r="AR23" s="94" t="str">
        <f aca="false">IF(ISBLANK($C23),"",IF($Z23&lt;&gt;Constants!$B$7,"",IF(AH23=1,AB23,AE23)))</f>
        <v/>
      </c>
      <c r="AS23" s="95" t="str">
        <f aca="false">IF(ISBLANK($C23),"",IF($Z23&lt;&gt;Constants!$B$7,"",IF(AH23=1,AC23,AF23)))</f>
        <v/>
      </c>
      <c r="AT23" s="96" t="str">
        <f aca="false">IF(ISBLANK($C23),"",IF($Z23&lt;&gt;Constants!$B$7,$Z23,AJ23))</f>
        <v/>
      </c>
      <c r="AU23" s="97" t="str">
        <f aca="false">IF(ISBLANK($C23),"",IF($Z23&lt;&gt;Constants!$B$7,$Z23,AA23))</f>
        <v/>
      </c>
      <c r="AV23" s="98" t="str">
        <f aca="false">IF(ISBLANK($C23),"",AO23)</f>
        <v/>
      </c>
      <c r="AW23" s="98" t="str">
        <f aca="false">IF(ISBLANK($C23),"",AN23)</f>
        <v/>
      </c>
      <c r="AX23" s="99" t="str">
        <f aca="false">IF(ISBLANK($C23),"",IFERROR(_xlfn.SWITCH(AW23,Constants!$B$4,COUNTA($C$8:$C$507)+2,Constants!$B$5,COUNTA($C$8:$C$507)+1,Constants!$B$6,COUNTA($C$8:$C$507)),AW23))</f>
        <v/>
      </c>
      <c r="AY23" s="5"/>
      <c r="AZ23" s="100" t="n">
        <f aca="false">IF(OR(ISNUMBER(AW23),AW23=Constants!$B$4,AW23=Constants!$B$6,AW23=Constants!$B$5),1,0)</f>
        <v>0</v>
      </c>
      <c r="BA23" s="100" t="n">
        <v>16</v>
      </c>
      <c r="BB23" s="100" t="str">
        <f aca="false">IF(ISBLANK($C23),"",IF(ISNUMBER(AX23),AX23+ROW($B23)/1000,""))</f>
        <v/>
      </c>
      <c r="BC23" s="100" t="str">
        <f aca="false">IF(ISNUMBER(BB23),RANK(BB23,$BB$8:$BB$507,1),"")</f>
        <v/>
      </c>
      <c r="BD23" s="100" t="str">
        <f aca="false">IF(ISBLANK($C23),"",$B23)</f>
        <v/>
      </c>
      <c r="BE23" s="100" t="str">
        <f aca="false">IF(ISBLANK($C23),"",$C23)</f>
        <v/>
      </c>
      <c r="BF23" s="100" t="str">
        <f aca="false">IF(ISBLANK($C23),"",$D23)</f>
        <v/>
      </c>
      <c r="BG23" s="101" t="str">
        <f aca="false">AU23</f>
        <v/>
      </c>
      <c r="BH23" s="102" t="str">
        <f aca="false">AT23</f>
        <v/>
      </c>
      <c r="BI23" s="100" t="str">
        <f aca="false">IF(ISBLANK($C23),"",AW23)</f>
        <v/>
      </c>
      <c r="BJ23" s="103" t="str">
        <f aca="false">IF($BA23&gt;$AZ$7,"",VLOOKUP($BA23,$BC$8:$BI$507,7,FALSE()))</f>
        <v/>
      </c>
      <c r="BK23" s="104" t="str">
        <f aca="false">IF($BA23&gt;$AZ$7,"",VLOOKUP($BA23,$BC$8:$BI$507,2,FALSE()))</f>
        <v/>
      </c>
      <c r="BL23" s="104" t="str">
        <f aca="false">IF($BA23&gt;$AZ$7,"",VLOOKUP($BA23,$BC$8:$BI$507,3,FALSE()))</f>
        <v/>
      </c>
      <c r="BM23" s="104" t="str">
        <f aca="false">IF($BA23&gt;$AZ$7,"",VLOOKUP($BA23,$BC$8:$BI$507,4,FALSE()))</f>
        <v/>
      </c>
      <c r="BN23" s="104" t="str">
        <f aca="false">IF($BA23&gt;$AZ$7,"",VLOOKUP($BA23,$BC$8:$BI$507,5,FALSE()))</f>
        <v/>
      </c>
      <c r="BO23" s="105" t="str">
        <f aca="false">IF($BA23&gt;$AZ$7,"",VLOOKUP($BA23,$BC$8:$BI$507,6,FALSE()))</f>
        <v/>
      </c>
      <c r="BP23" s="52"/>
    </row>
    <row r="24" customFormat="false" ht="15.75" hidden="false" customHeight="false" outlineLevel="0" collapsed="false">
      <c r="A24" s="5"/>
      <c r="B24" s="114"/>
      <c r="C24" s="115"/>
      <c r="D24" s="106"/>
      <c r="E24" s="116"/>
      <c r="F24" s="87"/>
      <c r="G24" s="88"/>
      <c r="H24" s="88"/>
      <c r="I24" s="87"/>
      <c r="J24" s="88"/>
      <c r="K24" s="88"/>
      <c r="L24" s="87"/>
      <c r="M24" s="117"/>
      <c r="N24" s="90"/>
      <c r="O24" s="91" t="str">
        <f aca="false">IF(ISBLANK($C24),"",IF(E24=Constants!$B$2, TRUE(), IF(E24=Constants!$B$3, FALSE(), TRUE())))</f>
        <v/>
      </c>
      <c r="P24" s="91" t="str">
        <f aca="false">IF(ISBLANK($C24),"",IF(F24=Constants!$B$16,Constants!$B$9,IF(F24=Constants!$B$17,Constants!$B$10,Constants!$B$8)))</f>
        <v/>
      </c>
      <c r="Q24" s="91" t="str">
        <f aca="false">IF(ISBLANK($C24),"",IF(ISNUMBER(G24),IF(G24&gt;=0,G24,""),""))</f>
        <v/>
      </c>
      <c r="R24" s="91" t="str">
        <f aca="false">IF(ISBLANK($C24),"",IF(H24=Constants!$B$2, TRUE(), IF(H24=Constants!$B$3, FALSE(), TRUE())))</f>
        <v/>
      </c>
      <c r="S24" s="91" t="str">
        <f aca="false">IF(ISBLANK($C24),"",IF(I24=Constants!$B$2, TRUE(), IF(I24=Constants!$B$3, FALSE(), TRUE())))</f>
        <v/>
      </c>
      <c r="T24" s="91" t="str">
        <f aca="false">IF(ISBLANK($C24),"",IF(ISNUMBER(J24),IF(J24&gt;=0,J24,""),""))</f>
        <v/>
      </c>
      <c r="U24" s="91" t="str">
        <f aca="false">IF(ISBLANK($C24),"",IF(K24=Constants!$B$2, TRUE(), IF(K24=Constants!$B$3, FALSE(), TRUE())))</f>
        <v/>
      </c>
      <c r="V24" s="91" t="str">
        <f aca="false">IF(ISBLANK($C24),"",IF(L24=Constants!$B$2, TRUE(), IF(L24=Constants!$B$3, FALSE(), TRUE())))</f>
        <v/>
      </c>
      <c r="W24" s="91" t="str">
        <f aca="false">IF(ISBLANK($C24),"",IF(M24=Constants!$B$2, TRUE(), IF(M24=Constants!$B$3, FALSE(), FALSE())))</f>
        <v/>
      </c>
      <c r="X24" s="91" t="str">
        <f aca="false">IF(ISBLANK($C24),"",AND(Q24&lt;&gt;"",O24))</f>
        <v/>
      </c>
      <c r="Y24" s="91" t="str">
        <f aca="false">IF(ISBLANK($C24),"",AND(T24&lt;&gt;"",O24))</f>
        <v/>
      </c>
      <c r="Z24" s="91" t="str">
        <f aca="false">IF(ISBLANK($C24),"",IF(W24,Constants!$B$4,IF(COUNTA(E24:L24)=0,Constants!$B$5,IF(NOT(O24),Constants!$B$6,IF(AND(NOT(X24),NOT(Y24)),Constants!$B$6,Constants!$B$7)))))</f>
        <v/>
      </c>
      <c r="AA24" s="91" t="str">
        <f aca="false">IF(ISBLANK($C24),"",IF($Z24&lt;&gt;Constants!$B$7,$Z24,Constants!$B$20))</f>
        <v/>
      </c>
      <c r="AB24" s="91" t="str">
        <f aca="false">IF($Z24=Constants!$B$7,IF(X24,Q24,Constants!$B$13),"")</f>
        <v/>
      </c>
      <c r="AC24" s="91" t="str">
        <f aca="false">IF($Z24=Constants!$B$7,IF(X24,P24*IF(R24, 1, Constants!$B$11)*IF(S24, 1, Constants!$B$12),Constants!$B$13),"")</f>
        <v/>
      </c>
      <c r="AD24" s="91" t="str">
        <f aca="false">IF($Z24=Constants!$B$7,AB24*AC24,"")</f>
        <v/>
      </c>
      <c r="AE24" s="91" t="str">
        <f aca="false">IF($Z24=Constants!$B$7,IF(Y24,T24,Constants!$B$13),"")</f>
        <v/>
      </c>
      <c r="AF24" s="91" t="str">
        <f aca="false">IF($Z24=Constants!$B$7,IF(Y24,P24*IF(U24, 1, Constants!$B$11)*IF(V24, 1, Constants!$B$12),Constants!$B$13),"")</f>
        <v/>
      </c>
      <c r="AG24" s="91" t="str">
        <f aca="false">IF($Z24=Constants!$B$7,AE24*AF24,"")</f>
        <v/>
      </c>
      <c r="AH24" s="91" t="str">
        <f aca="false">IF($Z24=Constants!$B$7,IF(AG24&gt;AD24,2,1),"")</f>
        <v/>
      </c>
      <c r="AI24" s="91" t="str">
        <f aca="false">IF($Z24=Constants!$B$7,IF(AH24=1,2,1),"")</f>
        <v/>
      </c>
      <c r="AJ24" s="91" t="str">
        <f aca="false">IF(ISBLANK($C24),"",IF($Z24&lt;&gt;Constants!$B$7,$Z24,IF(AH24=1,AD24,AG24)))</f>
        <v/>
      </c>
      <c r="AK24" s="91" t="str">
        <f aca="false">IF(ISBLANK($C24),"",IF($Z24=Constants!$B$7,IF(ISNUMBER(AJ24),RANK(AJ24,$AJ$8:$AJ$507),Constants!$B$14),$Z24))</f>
        <v/>
      </c>
      <c r="AL24" s="91" t="str">
        <f aca="false">IF(ISBLANK($C24),"",IF($Z24=Constants!$B$7,IF(AI24=1,AD24,AG24),""))</f>
        <v/>
      </c>
      <c r="AM24" s="91" t="str">
        <f aca="false">IF(ISBLANK($C24),"",IF($Z24=Constants!$B$7,RANK(AL24,$AL$8:$AL$507),$Z24))</f>
        <v/>
      </c>
      <c r="AN24" s="91" t="str">
        <f aca="false">IF(ISBLANK($C24),"",IF($Z24=Constants!$B$7,IF(ISNUMBER(AK24),COUNTIFS($AK$8:$AK$507,"&lt;"&amp;$AK24)+COUNTIFS($AK$8:$AK$507,$AK24,$AM$8:$AM$507,"&lt;"&amp;$AM24)+1,Constants!$B$14),$Z24))</f>
        <v/>
      </c>
      <c r="AO24" s="91" t="str">
        <f aca="false">IF(ISBLANK($C24),"",IF($Z24=Constants!$B$7,IF(ISNUMBER(AK24),AK24-AN24,Constants!$B$14),$Z24))</f>
        <v/>
      </c>
      <c r="AP24" s="92"/>
      <c r="AQ24" s="93" t="str">
        <f aca="false">IF(ISBLANK($C24),"",IF($Z24&lt;&gt;Constants!$B$7,"",AH24))</f>
        <v/>
      </c>
      <c r="AR24" s="94" t="str">
        <f aca="false">IF(ISBLANK($C24),"",IF($Z24&lt;&gt;Constants!$B$7,"",IF(AH24=1,AB24,AE24)))</f>
        <v/>
      </c>
      <c r="AS24" s="95" t="str">
        <f aca="false">IF(ISBLANK($C24),"",IF($Z24&lt;&gt;Constants!$B$7,"",IF(AH24=1,AC24,AF24)))</f>
        <v/>
      </c>
      <c r="AT24" s="96" t="str">
        <f aca="false">IF(ISBLANK($C24),"",IF($Z24&lt;&gt;Constants!$B$7,$Z24,AJ24))</f>
        <v/>
      </c>
      <c r="AU24" s="97" t="str">
        <f aca="false">IF(ISBLANK($C24),"",IF($Z24&lt;&gt;Constants!$B$7,$Z24,AA24))</f>
        <v/>
      </c>
      <c r="AV24" s="98" t="str">
        <f aca="false">IF(ISBLANK($C24),"",AO24)</f>
        <v/>
      </c>
      <c r="AW24" s="98" t="str">
        <f aca="false">IF(ISBLANK($C24),"",AN24)</f>
        <v/>
      </c>
      <c r="AX24" s="99" t="str">
        <f aca="false">IF(ISBLANK($C24),"",IFERROR(_xlfn.SWITCH(AW24,Constants!$B$4,COUNTA($C$8:$C$507)+2,Constants!$B$5,COUNTA($C$8:$C$507)+1,Constants!$B$6,COUNTA($C$8:$C$507)),AW24))</f>
        <v/>
      </c>
      <c r="AY24" s="5"/>
      <c r="AZ24" s="100" t="n">
        <f aca="false">IF(OR(ISNUMBER(AW24),AW24=Constants!$B$4,AW24=Constants!$B$6,AW24=Constants!$B$5),1,0)</f>
        <v>0</v>
      </c>
      <c r="BA24" s="100" t="n">
        <v>17</v>
      </c>
      <c r="BB24" s="100" t="str">
        <f aca="false">IF(ISBLANK($C24),"",IF(ISNUMBER(AX24),AX24+ROW($B24)/1000,""))</f>
        <v/>
      </c>
      <c r="BC24" s="100" t="str">
        <f aca="false">IF(ISNUMBER(BB24),RANK(BB24,$BB$8:$BB$507,1),"")</f>
        <v/>
      </c>
      <c r="BD24" s="100" t="str">
        <f aca="false">IF(ISBLANK($C24),"",$B24)</f>
        <v/>
      </c>
      <c r="BE24" s="100" t="str">
        <f aca="false">IF(ISBLANK($C24),"",$C24)</f>
        <v/>
      </c>
      <c r="BF24" s="100" t="str">
        <f aca="false">IF(ISBLANK($C24),"",$D24)</f>
        <v/>
      </c>
      <c r="BG24" s="101" t="str">
        <f aca="false">AU24</f>
        <v/>
      </c>
      <c r="BH24" s="102" t="str">
        <f aca="false">AT24</f>
        <v/>
      </c>
      <c r="BI24" s="100" t="str">
        <f aca="false">IF(ISBLANK($C24),"",AW24)</f>
        <v/>
      </c>
      <c r="BJ24" s="103" t="str">
        <f aca="false">IF($BA24&gt;$AZ$7,"",VLOOKUP($BA24,$BC$8:$BI$507,7,FALSE()))</f>
        <v/>
      </c>
      <c r="BK24" s="104" t="str">
        <f aca="false">IF($BA24&gt;$AZ$7,"",VLOOKUP($BA24,$BC$8:$BI$507,2,FALSE()))</f>
        <v/>
      </c>
      <c r="BL24" s="104" t="str">
        <f aca="false">IF($BA24&gt;$AZ$7,"",VLOOKUP($BA24,$BC$8:$BI$507,3,FALSE()))</f>
        <v/>
      </c>
      <c r="BM24" s="104" t="str">
        <f aca="false">IF($BA24&gt;$AZ$7,"",VLOOKUP($BA24,$BC$8:$BI$507,4,FALSE()))</f>
        <v/>
      </c>
      <c r="BN24" s="104" t="str">
        <f aca="false">IF($BA24&gt;$AZ$7,"",VLOOKUP($BA24,$BC$8:$BI$507,5,FALSE()))</f>
        <v/>
      </c>
      <c r="BO24" s="105" t="str">
        <f aca="false">IF($BA24&gt;$AZ$7,"",VLOOKUP($BA24,$BC$8:$BI$507,6,FALSE()))</f>
        <v/>
      </c>
      <c r="BP24" s="52"/>
    </row>
    <row r="25" customFormat="false" ht="15.75" hidden="false" customHeight="false" outlineLevel="0" collapsed="false">
      <c r="A25" s="5"/>
      <c r="B25" s="114"/>
      <c r="C25" s="115"/>
      <c r="D25" s="106"/>
      <c r="E25" s="116"/>
      <c r="F25" s="87"/>
      <c r="G25" s="88"/>
      <c r="H25" s="88"/>
      <c r="I25" s="87"/>
      <c r="J25" s="88"/>
      <c r="K25" s="88"/>
      <c r="L25" s="87"/>
      <c r="M25" s="117"/>
      <c r="N25" s="90"/>
      <c r="O25" s="91" t="str">
        <f aca="false">IF(ISBLANK($C25),"",IF(E25=Constants!$B$2, TRUE(), IF(E25=Constants!$B$3, FALSE(), TRUE())))</f>
        <v/>
      </c>
      <c r="P25" s="91" t="str">
        <f aca="false">IF(ISBLANK($C25),"",IF(F25=Constants!$B$16,Constants!$B$9,IF(F25=Constants!$B$17,Constants!$B$10,Constants!$B$8)))</f>
        <v/>
      </c>
      <c r="Q25" s="91" t="str">
        <f aca="false">IF(ISBLANK($C25),"",IF(ISNUMBER(G25),IF(G25&gt;=0,G25,""),""))</f>
        <v/>
      </c>
      <c r="R25" s="91" t="str">
        <f aca="false">IF(ISBLANK($C25),"",IF(H25=Constants!$B$2, TRUE(), IF(H25=Constants!$B$3, FALSE(), TRUE())))</f>
        <v/>
      </c>
      <c r="S25" s="91" t="str">
        <f aca="false">IF(ISBLANK($C25),"",IF(I25=Constants!$B$2, TRUE(), IF(I25=Constants!$B$3, FALSE(), TRUE())))</f>
        <v/>
      </c>
      <c r="T25" s="91" t="str">
        <f aca="false">IF(ISBLANK($C25),"",IF(ISNUMBER(J25),IF(J25&gt;=0,J25,""),""))</f>
        <v/>
      </c>
      <c r="U25" s="91" t="str">
        <f aca="false">IF(ISBLANK($C25),"",IF(K25=Constants!$B$2, TRUE(), IF(K25=Constants!$B$3, FALSE(), TRUE())))</f>
        <v/>
      </c>
      <c r="V25" s="91" t="str">
        <f aca="false">IF(ISBLANK($C25),"",IF(L25=Constants!$B$2, TRUE(), IF(L25=Constants!$B$3, FALSE(), TRUE())))</f>
        <v/>
      </c>
      <c r="W25" s="91" t="str">
        <f aca="false">IF(ISBLANK($C25),"",IF(M25=Constants!$B$2, TRUE(), IF(M25=Constants!$B$3, FALSE(), FALSE())))</f>
        <v/>
      </c>
      <c r="X25" s="91" t="str">
        <f aca="false">IF(ISBLANK($C25),"",AND(Q25&lt;&gt;"",O25))</f>
        <v/>
      </c>
      <c r="Y25" s="91" t="str">
        <f aca="false">IF(ISBLANK($C25),"",AND(T25&lt;&gt;"",O25))</f>
        <v/>
      </c>
      <c r="Z25" s="91" t="str">
        <f aca="false">IF(ISBLANK($C25),"",IF(W25,Constants!$B$4,IF(COUNTA(E25:L25)=0,Constants!$B$5,IF(NOT(O25),Constants!$B$6,IF(AND(NOT(X25),NOT(Y25)),Constants!$B$6,Constants!$B$7)))))</f>
        <v/>
      </c>
      <c r="AA25" s="91" t="str">
        <f aca="false">IF(ISBLANK($C25),"",IF($Z25&lt;&gt;Constants!$B$7,$Z25,Constants!$B$20))</f>
        <v/>
      </c>
      <c r="AB25" s="91" t="str">
        <f aca="false">IF($Z25=Constants!$B$7,IF(X25,Q25,Constants!$B$13),"")</f>
        <v/>
      </c>
      <c r="AC25" s="91" t="str">
        <f aca="false">IF($Z25=Constants!$B$7,IF(X25,P25*IF(R25, 1, Constants!$B$11)*IF(S25, 1, Constants!$B$12),Constants!$B$13),"")</f>
        <v/>
      </c>
      <c r="AD25" s="91" t="str">
        <f aca="false">IF($Z25=Constants!$B$7,AB25*AC25,"")</f>
        <v/>
      </c>
      <c r="AE25" s="91" t="str">
        <f aca="false">IF($Z25=Constants!$B$7,IF(Y25,T25,Constants!$B$13),"")</f>
        <v/>
      </c>
      <c r="AF25" s="91" t="str">
        <f aca="false">IF($Z25=Constants!$B$7,IF(Y25,P25*IF(U25, 1, Constants!$B$11)*IF(V25, 1, Constants!$B$12),Constants!$B$13),"")</f>
        <v/>
      </c>
      <c r="AG25" s="91" t="str">
        <f aca="false">IF($Z25=Constants!$B$7,AE25*AF25,"")</f>
        <v/>
      </c>
      <c r="AH25" s="91" t="str">
        <f aca="false">IF($Z25=Constants!$B$7,IF(AG25&gt;AD25,2,1),"")</f>
        <v/>
      </c>
      <c r="AI25" s="91" t="str">
        <f aca="false">IF($Z25=Constants!$B$7,IF(AH25=1,2,1),"")</f>
        <v/>
      </c>
      <c r="AJ25" s="91" t="str">
        <f aca="false">IF(ISBLANK($C25),"",IF($Z25&lt;&gt;Constants!$B$7,$Z25,IF(AH25=1,AD25,AG25)))</f>
        <v/>
      </c>
      <c r="AK25" s="91" t="str">
        <f aca="false">IF(ISBLANK($C25),"",IF($Z25=Constants!$B$7,IF(ISNUMBER(AJ25),RANK(AJ25,$AJ$8:$AJ$507),Constants!$B$14),$Z25))</f>
        <v/>
      </c>
      <c r="AL25" s="91" t="str">
        <f aca="false">IF(ISBLANK($C25),"",IF($Z25=Constants!$B$7,IF(AI25=1,AD25,AG25),""))</f>
        <v/>
      </c>
      <c r="AM25" s="91" t="str">
        <f aca="false">IF(ISBLANK($C25),"",IF($Z25=Constants!$B$7,RANK(AL25,$AL$8:$AL$507),$Z25))</f>
        <v/>
      </c>
      <c r="AN25" s="91" t="str">
        <f aca="false">IF(ISBLANK($C25),"",IF($Z25=Constants!$B$7,IF(ISNUMBER(AK25),COUNTIFS($AK$8:$AK$507,"&lt;"&amp;$AK25)+COUNTIFS($AK$8:$AK$507,$AK25,$AM$8:$AM$507,"&lt;"&amp;$AM25)+1,Constants!$B$14),$Z25))</f>
        <v/>
      </c>
      <c r="AO25" s="91" t="str">
        <f aca="false">IF(ISBLANK($C25),"",IF($Z25=Constants!$B$7,IF(ISNUMBER(AK25),AK25-AN25,Constants!$B$14),$Z25))</f>
        <v/>
      </c>
      <c r="AP25" s="92"/>
      <c r="AQ25" s="93" t="str">
        <f aca="false">IF(ISBLANK($C25),"",IF($Z25&lt;&gt;Constants!$B$7,"",AH25))</f>
        <v/>
      </c>
      <c r="AR25" s="94" t="str">
        <f aca="false">IF(ISBLANK($C25),"",IF($Z25&lt;&gt;Constants!$B$7,"",IF(AH25=1,AB25,AE25)))</f>
        <v/>
      </c>
      <c r="AS25" s="95" t="str">
        <f aca="false">IF(ISBLANK($C25),"",IF($Z25&lt;&gt;Constants!$B$7,"",IF(AH25=1,AC25,AF25)))</f>
        <v/>
      </c>
      <c r="AT25" s="96" t="str">
        <f aca="false">IF(ISBLANK($C25),"",IF($Z25&lt;&gt;Constants!$B$7,$Z25,AJ25))</f>
        <v/>
      </c>
      <c r="AU25" s="97" t="str">
        <f aca="false">IF(ISBLANK($C25),"",IF($Z25&lt;&gt;Constants!$B$7,$Z25,AA25))</f>
        <v/>
      </c>
      <c r="AV25" s="98" t="str">
        <f aca="false">IF(ISBLANK($C25),"",AO25)</f>
        <v/>
      </c>
      <c r="AW25" s="98" t="str">
        <f aca="false">IF(ISBLANK($C25),"",AN25)</f>
        <v/>
      </c>
      <c r="AX25" s="99" t="str">
        <f aca="false">IF(ISBLANK($C25),"",IFERROR(_xlfn.SWITCH(AW25,Constants!$B$4,COUNTA($C$8:$C$507)+2,Constants!$B$5,COUNTA($C$8:$C$507)+1,Constants!$B$6,COUNTA($C$8:$C$507)),AW25))</f>
        <v/>
      </c>
      <c r="AY25" s="5"/>
      <c r="AZ25" s="100" t="n">
        <f aca="false">IF(OR(ISNUMBER(AW25),AW25=Constants!$B$4,AW25=Constants!$B$6,AW25=Constants!$B$5),1,0)</f>
        <v>0</v>
      </c>
      <c r="BA25" s="100" t="n">
        <v>18</v>
      </c>
      <c r="BB25" s="100" t="str">
        <f aca="false">IF(ISBLANK($C25),"",IF(ISNUMBER(AX25),AX25+ROW($B25)/1000,""))</f>
        <v/>
      </c>
      <c r="BC25" s="100" t="str">
        <f aca="false">IF(ISNUMBER(BB25),RANK(BB25,$BB$8:$BB$507,1),"")</f>
        <v/>
      </c>
      <c r="BD25" s="100" t="str">
        <f aca="false">IF(ISBLANK($C25),"",$B25)</f>
        <v/>
      </c>
      <c r="BE25" s="100" t="str">
        <f aca="false">IF(ISBLANK($C25),"",$C25)</f>
        <v/>
      </c>
      <c r="BF25" s="100" t="str">
        <f aca="false">IF(ISBLANK($C25),"",$D25)</f>
        <v/>
      </c>
      <c r="BG25" s="101" t="str">
        <f aca="false">AU25</f>
        <v/>
      </c>
      <c r="BH25" s="102" t="str">
        <f aca="false">AT25</f>
        <v/>
      </c>
      <c r="BI25" s="100" t="str">
        <f aca="false">IF(ISBLANK($C25),"",AW25)</f>
        <v/>
      </c>
      <c r="BJ25" s="103" t="str">
        <f aca="false">IF($BA25&gt;$AZ$7,"",VLOOKUP($BA25,$BC$8:$BI$507,7,FALSE()))</f>
        <v/>
      </c>
      <c r="BK25" s="104" t="str">
        <f aca="false">IF($BA25&gt;$AZ$7,"",VLOOKUP($BA25,$BC$8:$BI$507,2,FALSE()))</f>
        <v/>
      </c>
      <c r="BL25" s="104" t="str">
        <f aca="false">IF($BA25&gt;$AZ$7,"",VLOOKUP($BA25,$BC$8:$BI$507,3,FALSE()))</f>
        <v/>
      </c>
      <c r="BM25" s="104" t="str">
        <f aca="false">IF($BA25&gt;$AZ$7,"",VLOOKUP($BA25,$BC$8:$BI$507,4,FALSE()))</f>
        <v/>
      </c>
      <c r="BN25" s="104" t="str">
        <f aca="false">IF($BA25&gt;$AZ$7,"",VLOOKUP($BA25,$BC$8:$BI$507,5,FALSE()))</f>
        <v/>
      </c>
      <c r="BO25" s="105" t="str">
        <f aca="false">IF($BA25&gt;$AZ$7,"",VLOOKUP($BA25,$BC$8:$BI$507,6,FALSE()))</f>
        <v/>
      </c>
      <c r="BP25" s="52"/>
    </row>
    <row r="26" customFormat="false" ht="15.75" hidden="false" customHeight="false" outlineLevel="0" collapsed="false">
      <c r="A26" s="5"/>
      <c r="B26" s="118"/>
      <c r="C26" s="54"/>
      <c r="D26" s="55"/>
      <c r="E26" s="113"/>
      <c r="F26" s="57"/>
      <c r="G26" s="58"/>
      <c r="H26" s="58"/>
      <c r="I26" s="57"/>
      <c r="J26" s="58"/>
      <c r="K26" s="58"/>
      <c r="L26" s="57"/>
      <c r="M26" s="79"/>
      <c r="N26" s="60"/>
      <c r="O26" s="62" t="str">
        <f aca="false">IF(ISBLANK($C26),"",IF(E26=Constants!$B$2, TRUE(), IF(E26=Constants!$B$3, FALSE(), TRUE())))</f>
        <v/>
      </c>
      <c r="P26" s="62" t="str">
        <f aca="false">IF(ISBLANK($C26),"",IF(F26=Constants!$B$16,Constants!$B$9,IF(F26=Constants!$B$17,Constants!$B$10,Constants!$B$8)))</f>
        <v/>
      </c>
      <c r="Q26" s="62" t="str">
        <f aca="false">IF(ISBLANK($C26),"",IF(ISNUMBER(G26),IF(G26&gt;=0,G26,""),""))</f>
        <v/>
      </c>
      <c r="R26" s="62" t="str">
        <f aca="false">IF(ISBLANK($C26),"",IF(H26=Constants!$B$2, TRUE(), IF(H26=Constants!$B$3, FALSE(), TRUE())))</f>
        <v/>
      </c>
      <c r="S26" s="62" t="str">
        <f aca="false">IF(ISBLANK($C26),"",IF(I26=Constants!$B$2, TRUE(), IF(I26=Constants!$B$3, FALSE(), TRUE())))</f>
        <v/>
      </c>
      <c r="T26" s="62" t="str">
        <f aca="false">IF(ISBLANK($C26),"",IF(ISNUMBER(J26),IF(J26&gt;=0,J26,""),""))</f>
        <v/>
      </c>
      <c r="U26" s="62" t="str">
        <f aca="false">IF(ISBLANK($C26),"",IF(K26=Constants!$B$2, TRUE(), IF(K26=Constants!$B$3, FALSE(), TRUE())))</f>
        <v/>
      </c>
      <c r="V26" s="62" t="str">
        <f aca="false">IF(ISBLANK($C26),"",IF(L26=Constants!$B$2, TRUE(), IF(L26=Constants!$B$3, FALSE(), TRUE())))</f>
        <v/>
      </c>
      <c r="W26" s="62" t="str">
        <f aca="false">IF(ISBLANK($C26),"",IF(M26=Constants!$B$2, TRUE(), IF(M26=Constants!$B$3, FALSE(), FALSE())))</f>
        <v/>
      </c>
      <c r="X26" s="62" t="str">
        <f aca="false">IF(ISBLANK($C26),"",AND(Q26&lt;&gt;"",O26))</f>
        <v/>
      </c>
      <c r="Y26" s="62" t="str">
        <f aca="false">IF(ISBLANK($C26),"",AND(T26&lt;&gt;"",O26))</f>
        <v/>
      </c>
      <c r="Z26" s="62" t="str">
        <f aca="false">IF(ISBLANK($C26),"",IF(W26,Constants!$B$4,IF(COUNTA(E26:L26)=0,Constants!$B$5,IF(NOT(O26),Constants!$B$6,IF(AND(NOT(X26),NOT(Y26)),Constants!$B$6,Constants!$B$7)))))</f>
        <v/>
      </c>
      <c r="AA26" s="62" t="str">
        <f aca="false">IF(ISBLANK($C26),"",IF($Z26&lt;&gt;Constants!$B$7,$Z26,Constants!$B$20))</f>
        <v/>
      </c>
      <c r="AB26" s="62" t="str">
        <f aca="false">IF($Z26=Constants!$B$7,IF(X26,Q26,Constants!$B$13),"")</f>
        <v/>
      </c>
      <c r="AC26" s="62" t="str">
        <f aca="false">IF($Z26=Constants!$B$7,IF(X26,P26*IF(R26, 1, Constants!$B$11)*IF(S26, 1, Constants!$B$12),Constants!$B$13),"")</f>
        <v/>
      </c>
      <c r="AD26" s="62" t="str">
        <f aca="false">IF($Z26=Constants!$B$7,AB26*AC26,"")</f>
        <v/>
      </c>
      <c r="AE26" s="62" t="str">
        <f aca="false">IF($Z26=Constants!$B$7,IF(Y26,T26,Constants!$B$13),"")</f>
        <v/>
      </c>
      <c r="AF26" s="62" t="str">
        <f aca="false">IF($Z26=Constants!$B$7,IF(Y26,P26*IF(U26, 1, Constants!$B$11)*IF(V26, 1, Constants!$B$12),Constants!$B$13),"")</f>
        <v/>
      </c>
      <c r="AG26" s="62" t="str">
        <f aca="false">IF($Z26=Constants!$B$7,AE26*AF26,"")</f>
        <v/>
      </c>
      <c r="AH26" s="62" t="str">
        <f aca="false">IF($Z26=Constants!$B$7,IF(AG26&gt;AD26,2,1),"")</f>
        <v/>
      </c>
      <c r="AI26" s="62" t="str">
        <f aca="false">IF($Z26=Constants!$B$7,IF(AH26=1,2,1),"")</f>
        <v/>
      </c>
      <c r="AJ26" s="62" t="str">
        <f aca="false">IF(ISBLANK($C26),"",IF($Z26&lt;&gt;Constants!$B$7,$Z26,IF(AH26=1,AD26,AG26)))</f>
        <v/>
      </c>
      <c r="AK26" s="62" t="str">
        <f aca="false">IF(ISBLANK($C26),"",IF($Z26=Constants!$B$7,IF(ISNUMBER(AJ26),RANK(AJ26,$AJ$8:$AJ$507),Constants!$B$14),$Z26))</f>
        <v/>
      </c>
      <c r="AL26" s="62" t="str">
        <f aca="false">IF(ISBLANK($C26),"",IF($Z26=Constants!$B$7,IF(AI26=1,AD26,AG26),""))</f>
        <v/>
      </c>
      <c r="AM26" s="62" t="str">
        <f aca="false">IF(ISBLANK($C26),"",IF($Z26=Constants!$B$7,RANK(AL26,$AL$8:$AL$507),$Z26))</f>
        <v/>
      </c>
      <c r="AN26" s="62" t="str">
        <f aca="false">IF(ISBLANK($C26),"",IF($Z26=Constants!$B$7,IF(ISNUMBER(AK26),COUNTIFS($AK$8:$AK$507,"&lt;"&amp;$AK26)+COUNTIFS($AK$8:$AK$507,$AK26,$AM$8:$AM$507,"&lt;"&amp;$AM26)+1,Constants!$B$14),$Z26))</f>
        <v/>
      </c>
      <c r="AO26" s="62" t="str">
        <f aca="false">IF(ISBLANK($C26),"",IF($Z26=Constants!$B$7,IF(ISNUMBER(AK26),AK26-AN26,Constants!$B$14),$Z26))</f>
        <v/>
      </c>
      <c r="AP26" s="64"/>
      <c r="AQ26" s="65" t="str">
        <f aca="false">IF(ISBLANK($C26),"",IF($Z26&lt;&gt;Constants!$B$7,"",AH26))</f>
        <v/>
      </c>
      <c r="AR26" s="80" t="str">
        <f aca="false">IF(ISBLANK($C26),"",IF($Z26&lt;&gt;Constants!$B$7,"",IF(AH26=1,AB26,AE26)))</f>
        <v/>
      </c>
      <c r="AS26" s="67" t="str">
        <f aca="false">IF(ISBLANK($C26),"",IF($Z26&lt;&gt;Constants!$B$7,"",IF(AH26=1,AC26,AF26)))</f>
        <v/>
      </c>
      <c r="AT26" s="68" t="str">
        <f aca="false">IF(ISBLANK($C26),"",IF($Z26&lt;&gt;Constants!$B$7,$Z26,AJ26))</f>
        <v/>
      </c>
      <c r="AU26" s="69" t="str">
        <f aca="false">IF(ISBLANK($C26),"",IF($Z26&lt;&gt;Constants!$B$7,$Z26,AA26))</f>
        <v/>
      </c>
      <c r="AV26" s="70" t="str">
        <f aca="false">IF(ISBLANK($C26),"",AO26)</f>
        <v/>
      </c>
      <c r="AW26" s="70" t="str">
        <f aca="false">IF(ISBLANK($C26),"",AN26)</f>
        <v/>
      </c>
      <c r="AX26" s="71" t="str">
        <f aca="false">IF(ISBLANK($C26),"",IFERROR(_xlfn.SWITCH(AW26,Constants!$B$4,COUNTA($C$8:$C$507)+2,Constants!$B$5,COUNTA($C$8:$C$507)+1,Constants!$B$6,COUNTA($C$8:$C$507)),AW26))</f>
        <v/>
      </c>
      <c r="AY26" s="5"/>
      <c r="AZ26" s="72" t="n">
        <f aca="false">IF(OR(ISNUMBER(AW26),AW26=Constants!$B$4,AW26=Constants!$B$6,AW26=Constants!$B$5),1,0)</f>
        <v>0</v>
      </c>
      <c r="BA26" s="72" t="n">
        <v>19</v>
      </c>
      <c r="BB26" s="72" t="str">
        <f aca="false">IF(ISBLANK($C26),"",IF(ISNUMBER(AX26),AX26+ROW($B26)/1000,""))</f>
        <v/>
      </c>
      <c r="BC26" s="72" t="str">
        <f aca="false">IF(ISNUMBER(BB26),RANK(BB26,$BB$8:$BB$507,1),"")</f>
        <v/>
      </c>
      <c r="BD26" s="72" t="str">
        <f aca="false">IF(ISBLANK($C26),"",$B26)</f>
        <v/>
      </c>
      <c r="BE26" s="72" t="str">
        <f aca="false">IF(ISBLANK($C26),"",$C26)</f>
        <v/>
      </c>
      <c r="BF26" s="72" t="str">
        <f aca="false">IF(ISBLANK($C26),"",$D26)</f>
        <v/>
      </c>
      <c r="BG26" s="73" t="str">
        <f aca="false">AU26</f>
        <v/>
      </c>
      <c r="BH26" s="74" t="str">
        <f aca="false">AT26</f>
        <v/>
      </c>
      <c r="BI26" s="72" t="str">
        <f aca="false">IF(ISBLANK($C26),"",AW26)</f>
        <v/>
      </c>
      <c r="BJ26" s="75" t="str">
        <f aca="false">IF($BA26&gt;$AZ$7,"",VLOOKUP($BA26,$BC$8:$BI$507,7,FALSE()))</f>
        <v/>
      </c>
      <c r="BK26" s="76" t="str">
        <f aca="false">IF($BA26&gt;$AZ$7,"",VLOOKUP($BA26,$BC$8:$BI$507,2,FALSE()))</f>
        <v/>
      </c>
      <c r="BL26" s="76" t="str">
        <f aca="false">IF($BA26&gt;$AZ$7,"",VLOOKUP($BA26,$BC$8:$BI$507,3,FALSE()))</f>
        <v/>
      </c>
      <c r="BM26" s="76" t="str">
        <f aca="false">IF($BA26&gt;$AZ$7,"",VLOOKUP($BA26,$BC$8:$BI$507,4,FALSE()))</f>
        <v/>
      </c>
      <c r="BN26" s="76" t="str">
        <f aca="false">IF($BA26&gt;$AZ$7,"",VLOOKUP($BA26,$BC$8:$BI$507,5,FALSE()))</f>
        <v/>
      </c>
      <c r="BO26" s="77" t="str">
        <f aca="false">IF($BA26&gt;$AZ$7,"",VLOOKUP($BA26,$BC$8:$BI$507,6,FALSE()))</f>
        <v/>
      </c>
      <c r="BP26" s="52"/>
    </row>
    <row r="27" customFormat="false" ht="15.75" hidden="false" customHeight="false" outlineLevel="0" collapsed="false">
      <c r="A27" s="5"/>
      <c r="B27" s="118"/>
      <c r="C27" s="54"/>
      <c r="D27" s="55"/>
      <c r="E27" s="113"/>
      <c r="F27" s="57"/>
      <c r="G27" s="58"/>
      <c r="H27" s="58"/>
      <c r="I27" s="57"/>
      <c r="J27" s="58"/>
      <c r="K27" s="58"/>
      <c r="L27" s="57"/>
      <c r="M27" s="79"/>
      <c r="N27" s="60"/>
      <c r="O27" s="62" t="str">
        <f aca="false">IF(ISBLANK($C27),"",IF(E27=Constants!$B$2, TRUE(), IF(E27=Constants!$B$3, FALSE(), TRUE())))</f>
        <v/>
      </c>
      <c r="P27" s="62" t="str">
        <f aca="false">IF(ISBLANK($C27),"",IF(F27=Constants!$B$16,Constants!$B$9,IF(F27=Constants!$B$17,Constants!$B$10,Constants!$B$8)))</f>
        <v/>
      </c>
      <c r="Q27" s="62" t="str">
        <f aca="false">IF(ISBLANK($C27),"",IF(ISNUMBER(G27),IF(G27&gt;=0,G27,""),""))</f>
        <v/>
      </c>
      <c r="R27" s="62" t="str">
        <f aca="false">IF(ISBLANK($C27),"",IF(H27=Constants!$B$2, TRUE(), IF(H27=Constants!$B$3, FALSE(), TRUE())))</f>
        <v/>
      </c>
      <c r="S27" s="62" t="str">
        <f aca="false">IF(ISBLANK($C27),"",IF(I27=Constants!$B$2, TRUE(), IF(I27=Constants!$B$3, FALSE(), TRUE())))</f>
        <v/>
      </c>
      <c r="T27" s="62" t="str">
        <f aca="false">IF(ISBLANK($C27),"",IF(ISNUMBER(J27),IF(J27&gt;=0,J27,""),""))</f>
        <v/>
      </c>
      <c r="U27" s="62" t="str">
        <f aca="false">IF(ISBLANK($C27),"",IF(K27=Constants!$B$2, TRUE(), IF(K27=Constants!$B$3, FALSE(), TRUE())))</f>
        <v/>
      </c>
      <c r="V27" s="62" t="str">
        <f aca="false">IF(ISBLANK($C27),"",IF(L27=Constants!$B$2, TRUE(), IF(L27=Constants!$B$3, FALSE(), TRUE())))</f>
        <v/>
      </c>
      <c r="W27" s="62" t="str">
        <f aca="false">IF(ISBLANK($C27),"",IF(M27=Constants!$B$2, TRUE(), IF(M27=Constants!$B$3, FALSE(), FALSE())))</f>
        <v/>
      </c>
      <c r="X27" s="62" t="str">
        <f aca="false">IF(ISBLANK($C27),"",AND(Q27&lt;&gt;"",O27))</f>
        <v/>
      </c>
      <c r="Y27" s="62" t="str">
        <f aca="false">IF(ISBLANK($C27),"",AND(T27&lt;&gt;"",O27))</f>
        <v/>
      </c>
      <c r="Z27" s="62" t="str">
        <f aca="false">IF(ISBLANK($C27),"",IF(W27,Constants!$B$4,IF(COUNTA(E27:L27)=0,Constants!$B$5,IF(NOT(O27),Constants!$B$6,IF(AND(NOT(X27),NOT(Y27)),Constants!$B$6,Constants!$B$7)))))</f>
        <v/>
      </c>
      <c r="AA27" s="62" t="str">
        <f aca="false">IF(ISBLANK($C27),"",IF($Z27&lt;&gt;Constants!$B$7,$Z27,Constants!$B$20))</f>
        <v/>
      </c>
      <c r="AB27" s="62" t="str">
        <f aca="false">IF($Z27=Constants!$B$7,IF(X27,Q27,Constants!$B$13),"")</f>
        <v/>
      </c>
      <c r="AC27" s="62" t="str">
        <f aca="false">IF($Z27=Constants!$B$7,IF(X27,P27*IF(R27, 1, Constants!$B$11)*IF(S27, 1, Constants!$B$12),Constants!$B$13),"")</f>
        <v/>
      </c>
      <c r="AD27" s="62" t="str">
        <f aca="false">IF($Z27=Constants!$B$7,AB27*AC27,"")</f>
        <v/>
      </c>
      <c r="AE27" s="62" t="str">
        <f aca="false">IF($Z27=Constants!$B$7,IF(Y27,T27,Constants!$B$13),"")</f>
        <v/>
      </c>
      <c r="AF27" s="62" t="str">
        <f aca="false">IF($Z27=Constants!$B$7,IF(Y27,P27*IF(U27, 1, Constants!$B$11)*IF(V27, 1, Constants!$B$12),Constants!$B$13),"")</f>
        <v/>
      </c>
      <c r="AG27" s="62" t="str">
        <f aca="false">IF($Z27=Constants!$B$7,AE27*AF27,"")</f>
        <v/>
      </c>
      <c r="AH27" s="62" t="str">
        <f aca="false">IF($Z27=Constants!$B$7,IF(AG27&gt;AD27,2,1),"")</f>
        <v/>
      </c>
      <c r="AI27" s="62" t="str">
        <f aca="false">IF($Z27=Constants!$B$7,IF(AH27=1,2,1),"")</f>
        <v/>
      </c>
      <c r="AJ27" s="62" t="str">
        <f aca="false">IF(ISBLANK($C27),"",IF($Z27&lt;&gt;Constants!$B$7,$Z27,IF(AH27=1,AD27,AG27)))</f>
        <v/>
      </c>
      <c r="AK27" s="62" t="str">
        <f aca="false">IF(ISBLANK($C27),"",IF($Z27=Constants!$B$7,IF(ISNUMBER(AJ27),RANK(AJ27,$AJ$8:$AJ$507),Constants!$B$14),$Z27))</f>
        <v/>
      </c>
      <c r="AL27" s="62" t="str">
        <f aca="false">IF(ISBLANK($C27),"",IF($Z27=Constants!$B$7,IF(AI27=1,AD27,AG27),""))</f>
        <v/>
      </c>
      <c r="AM27" s="62" t="str">
        <f aca="false">IF(ISBLANK($C27),"",IF($Z27=Constants!$B$7,RANK(AL27,$AL$8:$AL$507),$Z27))</f>
        <v/>
      </c>
      <c r="AN27" s="62" t="str">
        <f aca="false">IF(ISBLANK($C27),"",IF($Z27=Constants!$B$7,IF(ISNUMBER(AK27),COUNTIFS($AK$8:$AK$507,"&lt;"&amp;$AK27)+COUNTIFS($AK$8:$AK$507,$AK27,$AM$8:$AM$507,"&lt;"&amp;$AM27)+1,Constants!$B$14),$Z27))</f>
        <v/>
      </c>
      <c r="AO27" s="62" t="str">
        <f aca="false">IF(ISBLANK($C27),"",IF($Z27=Constants!$B$7,IF(ISNUMBER(AK27),AK27-AN27,Constants!$B$14),$Z27))</f>
        <v/>
      </c>
      <c r="AP27" s="64"/>
      <c r="AQ27" s="65" t="str">
        <f aca="false">IF(ISBLANK($C27),"",IF($Z27&lt;&gt;Constants!$B$7,"",AH27))</f>
        <v/>
      </c>
      <c r="AR27" s="80" t="str">
        <f aca="false">IF(ISBLANK($C27),"",IF($Z27&lt;&gt;Constants!$B$7,"",IF(AH27=1,AB27,AE27)))</f>
        <v/>
      </c>
      <c r="AS27" s="67" t="str">
        <f aca="false">IF(ISBLANK($C27),"",IF($Z27&lt;&gt;Constants!$B$7,"",IF(AH27=1,AC27,AF27)))</f>
        <v/>
      </c>
      <c r="AT27" s="68" t="str">
        <f aca="false">IF(ISBLANK($C27),"",IF($Z27&lt;&gt;Constants!$B$7,$Z27,AJ27))</f>
        <v/>
      </c>
      <c r="AU27" s="69" t="str">
        <f aca="false">IF(ISBLANK($C27),"",IF($Z27&lt;&gt;Constants!$B$7,$Z27,AA27))</f>
        <v/>
      </c>
      <c r="AV27" s="70" t="str">
        <f aca="false">IF(ISBLANK($C27),"",AO27)</f>
        <v/>
      </c>
      <c r="AW27" s="70" t="str">
        <f aca="false">IF(ISBLANK($C27),"",AN27)</f>
        <v/>
      </c>
      <c r="AX27" s="71" t="str">
        <f aca="false">IF(ISBLANK($C27),"",IFERROR(_xlfn.SWITCH(AW27,Constants!$B$4,COUNTA($C$8:$C$507)+2,Constants!$B$5,COUNTA($C$8:$C$507)+1,Constants!$B$6,COUNTA($C$8:$C$507)),AW27))</f>
        <v/>
      </c>
      <c r="AY27" s="5"/>
      <c r="AZ27" s="72" t="n">
        <f aca="false">IF(OR(ISNUMBER(AW27),AW27=Constants!$B$4,AW27=Constants!$B$6,AW27=Constants!$B$5),1,0)</f>
        <v>0</v>
      </c>
      <c r="BA27" s="72" t="n">
        <v>20</v>
      </c>
      <c r="BB27" s="72" t="str">
        <f aca="false">IF(ISBLANK($C27),"",IF(ISNUMBER(AX27),AX27+ROW($B27)/1000,""))</f>
        <v/>
      </c>
      <c r="BC27" s="72" t="str">
        <f aca="false">IF(ISNUMBER(BB27),RANK(BB27,$BB$8:$BB$507,1),"")</f>
        <v/>
      </c>
      <c r="BD27" s="72" t="str">
        <f aca="false">IF(ISBLANK($C27),"",$B27)</f>
        <v/>
      </c>
      <c r="BE27" s="72" t="str">
        <f aca="false">IF(ISBLANK($C27),"",$C27)</f>
        <v/>
      </c>
      <c r="BF27" s="72" t="str">
        <f aca="false">IF(ISBLANK($C27),"",$D27)</f>
        <v/>
      </c>
      <c r="BG27" s="73" t="str">
        <f aca="false">AU27</f>
        <v/>
      </c>
      <c r="BH27" s="74" t="str">
        <f aca="false">AT27</f>
        <v/>
      </c>
      <c r="BI27" s="72" t="str">
        <f aca="false">IF(ISBLANK($C27),"",AW27)</f>
        <v/>
      </c>
      <c r="BJ27" s="75" t="str">
        <f aca="false">IF($BA27&gt;$AZ$7,"",VLOOKUP($BA27,$BC$8:$BI$507,7,FALSE()))</f>
        <v/>
      </c>
      <c r="BK27" s="76" t="str">
        <f aca="false">IF($BA27&gt;$AZ$7,"",VLOOKUP($BA27,$BC$8:$BI$507,2,FALSE()))</f>
        <v/>
      </c>
      <c r="BL27" s="76" t="str">
        <f aca="false">IF($BA27&gt;$AZ$7,"",VLOOKUP($BA27,$BC$8:$BI$507,3,FALSE()))</f>
        <v/>
      </c>
      <c r="BM27" s="76" t="str">
        <f aca="false">IF($BA27&gt;$AZ$7,"",VLOOKUP($BA27,$BC$8:$BI$507,4,FALSE()))</f>
        <v/>
      </c>
      <c r="BN27" s="76" t="str">
        <f aca="false">IF($BA27&gt;$AZ$7,"",VLOOKUP($BA27,$BC$8:$BI$507,5,FALSE()))</f>
        <v/>
      </c>
      <c r="BO27" s="77" t="str">
        <f aca="false">IF($BA27&gt;$AZ$7,"",VLOOKUP($BA27,$BC$8:$BI$507,6,FALSE()))</f>
        <v/>
      </c>
      <c r="BP27" s="52"/>
    </row>
    <row r="28" customFormat="false" ht="15.75" hidden="false" customHeight="false" outlineLevel="0" collapsed="false">
      <c r="A28" s="5"/>
      <c r="B28" s="118"/>
      <c r="C28" s="54"/>
      <c r="D28" s="55"/>
      <c r="E28" s="113"/>
      <c r="F28" s="57"/>
      <c r="G28" s="58"/>
      <c r="H28" s="58"/>
      <c r="I28" s="57"/>
      <c r="J28" s="58"/>
      <c r="K28" s="58"/>
      <c r="L28" s="57"/>
      <c r="M28" s="79"/>
      <c r="N28" s="60"/>
      <c r="O28" s="62" t="str">
        <f aca="false">IF(ISBLANK($C28),"",IF(E28=Constants!$B$2, TRUE(), IF(E28=Constants!$B$3, FALSE(), TRUE())))</f>
        <v/>
      </c>
      <c r="P28" s="62" t="str">
        <f aca="false">IF(ISBLANK($C28),"",IF(F28=Constants!$B$16,Constants!$B$9,IF(F28=Constants!$B$17,Constants!$B$10,Constants!$B$8)))</f>
        <v/>
      </c>
      <c r="Q28" s="62" t="str">
        <f aca="false">IF(ISBLANK($C28),"",IF(ISNUMBER(G28),IF(G28&gt;=0,G28,""),""))</f>
        <v/>
      </c>
      <c r="R28" s="62" t="str">
        <f aca="false">IF(ISBLANK($C28),"",IF(H28=Constants!$B$2, TRUE(), IF(H28=Constants!$B$3, FALSE(), TRUE())))</f>
        <v/>
      </c>
      <c r="S28" s="62" t="str">
        <f aca="false">IF(ISBLANK($C28),"",IF(I28=Constants!$B$2, TRUE(), IF(I28=Constants!$B$3, FALSE(), TRUE())))</f>
        <v/>
      </c>
      <c r="T28" s="62" t="str">
        <f aca="false">IF(ISBLANK($C28),"",IF(ISNUMBER(J28),IF(J28&gt;=0,J28,""),""))</f>
        <v/>
      </c>
      <c r="U28" s="62" t="str">
        <f aca="false">IF(ISBLANK($C28),"",IF(K28=Constants!$B$2, TRUE(), IF(K28=Constants!$B$3, FALSE(), TRUE())))</f>
        <v/>
      </c>
      <c r="V28" s="62" t="str">
        <f aca="false">IF(ISBLANK($C28),"",IF(L28=Constants!$B$2, TRUE(), IF(L28=Constants!$B$3, FALSE(), TRUE())))</f>
        <v/>
      </c>
      <c r="W28" s="62" t="str">
        <f aca="false">IF(ISBLANK($C28),"",IF(M28=Constants!$B$2, TRUE(), IF(M28=Constants!$B$3, FALSE(), FALSE())))</f>
        <v/>
      </c>
      <c r="X28" s="62" t="str">
        <f aca="false">IF(ISBLANK($C28),"",AND(Q28&lt;&gt;"",O28))</f>
        <v/>
      </c>
      <c r="Y28" s="62" t="str">
        <f aca="false">IF(ISBLANK($C28),"",AND(T28&lt;&gt;"",O28))</f>
        <v/>
      </c>
      <c r="Z28" s="62" t="str">
        <f aca="false">IF(ISBLANK($C28),"",IF(W28,Constants!$B$4,IF(COUNTA(E28:L28)=0,Constants!$B$5,IF(NOT(O28),Constants!$B$6,IF(AND(NOT(X28),NOT(Y28)),Constants!$B$6,Constants!$B$7)))))</f>
        <v/>
      </c>
      <c r="AA28" s="62" t="str">
        <f aca="false">IF(ISBLANK($C28),"",IF($Z28&lt;&gt;Constants!$B$7,$Z28,Constants!$B$20))</f>
        <v/>
      </c>
      <c r="AB28" s="62" t="str">
        <f aca="false">IF($Z28=Constants!$B$7,IF(X28,Q28,Constants!$B$13),"")</f>
        <v/>
      </c>
      <c r="AC28" s="62" t="str">
        <f aca="false">IF($Z28=Constants!$B$7,IF(X28,P28*IF(R28, 1, Constants!$B$11)*IF(S28, 1, Constants!$B$12),Constants!$B$13),"")</f>
        <v/>
      </c>
      <c r="AD28" s="62" t="str">
        <f aca="false">IF($Z28=Constants!$B$7,AB28*AC28,"")</f>
        <v/>
      </c>
      <c r="AE28" s="62" t="str">
        <f aca="false">IF($Z28=Constants!$B$7,IF(Y28,T28,Constants!$B$13),"")</f>
        <v/>
      </c>
      <c r="AF28" s="62" t="str">
        <f aca="false">IF($Z28=Constants!$B$7,IF(Y28,P28*IF(U28, 1, Constants!$B$11)*IF(V28, 1, Constants!$B$12),Constants!$B$13),"")</f>
        <v/>
      </c>
      <c r="AG28" s="62" t="str">
        <f aca="false">IF($Z28=Constants!$B$7,AE28*AF28,"")</f>
        <v/>
      </c>
      <c r="AH28" s="62" t="str">
        <f aca="false">IF($Z28=Constants!$B$7,IF(AG28&gt;AD28,2,1),"")</f>
        <v/>
      </c>
      <c r="AI28" s="62" t="str">
        <f aca="false">IF($Z28=Constants!$B$7,IF(AH28=1,2,1),"")</f>
        <v/>
      </c>
      <c r="AJ28" s="62" t="str">
        <f aca="false">IF(ISBLANK($C28),"",IF($Z28&lt;&gt;Constants!$B$7,$Z28,IF(AH28=1,AD28,AG28)))</f>
        <v/>
      </c>
      <c r="AK28" s="62" t="str">
        <f aca="false">IF(ISBLANK($C28),"",IF($Z28=Constants!$B$7,IF(ISNUMBER(AJ28),RANK(AJ28,$AJ$8:$AJ$507),Constants!$B$14),$Z28))</f>
        <v/>
      </c>
      <c r="AL28" s="62" t="str">
        <f aca="false">IF(ISBLANK($C28),"",IF($Z28=Constants!$B$7,IF(AI28=1,AD28,AG28),""))</f>
        <v/>
      </c>
      <c r="AM28" s="62" t="str">
        <f aca="false">IF(ISBLANK($C28),"",IF($Z28=Constants!$B$7,RANK(AL28,$AL$8:$AL$507),$Z28))</f>
        <v/>
      </c>
      <c r="AN28" s="62" t="str">
        <f aca="false">IF(ISBLANK($C28),"",IF($Z28=Constants!$B$7,IF(ISNUMBER(AK28),COUNTIFS($AK$8:$AK$507,"&lt;"&amp;$AK28)+COUNTIFS($AK$8:$AK$507,$AK28,$AM$8:$AM$507,"&lt;"&amp;$AM28)+1,Constants!$B$14),$Z28))</f>
        <v/>
      </c>
      <c r="AO28" s="62" t="str">
        <f aca="false">IF(ISBLANK($C28),"",IF($Z28=Constants!$B$7,IF(ISNUMBER(AK28),AK28-AN28,Constants!$B$14),$Z28))</f>
        <v/>
      </c>
      <c r="AP28" s="64"/>
      <c r="AQ28" s="65" t="str">
        <f aca="false">IF(ISBLANK($C28),"",IF($Z28&lt;&gt;Constants!$B$7,"",AH28))</f>
        <v/>
      </c>
      <c r="AR28" s="80" t="str">
        <f aca="false">IF(ISBLANK($C28),"",IF($Z28&lt;&gt;Constants!$B$7,"",IF(AH28=1,AB28,AE28)))</f>
        <v/>
      </c>
      <c r="AS28" s="67" t="str">
        <f aca="false">IF(ISBLANK($C28),"",IF($Z28&lt;&gt;Constants!$B$7,"",IF(AH28=1,AC28,AF28)))</f>
        <v/>
      </c>
      <c r="AT28" s="68" t="str">
        <f aca="false">IF(ISBLANK($C28),"",IF($Z28&lt;&gt;Constants!$B$7,$Z28,AJ28))</f>
        <v/>
      </c>
      <c r="AU28" s="69" t="str">
        <f aca="false">IF(ISBLANK($C28),"",IF($Z28&lt;&gt;Constants!$B$7,$Z28,AA28))</f>
        <v/>
      </c>
      <c r="AV28" s="70" t="str">
        <f aca="false">IF(ISBLANK($C28),"",AO28)</f>
        <v/>
      </c>
      <c r="AW28" s="70" t="str">
        <f aca="false">IF(ISBLANK($C28),"",AN28)</f>
        <v/>
      </c>
      <c r="AX28" s="71" t="str">
        <f aca="false">IF(ISBLANK($C28),"",IFERROR(_xlfn.SWITCH(AW28,Constants!$B$4,COUNTA($C$8:$C$507)+2,Constants!$B$5,COUNTA($C$8:$C$507)+1,Constants!$B$6,COUNTA($C$8:$C$507)),AW28))</f>
        <v/>
      </c>
      <c r="AY28" s="5"/>
      <c r="AZ28" s="72" t="n">
        <f aca="false">IF(OR(ISNUMBER(AW28),AW28=Constants!$B$4,AW28=Constants!$B$6,AW28=Constants!$B$5),1,0)</f>
        <v>0</v>
      </c>
      <c r="BA28" s="72" t="n">
        <v>21</v>
      </c>
      <c r="BB28" s="72" t="str">
        <f aca="false">IF(ISBLANK($C28),"",IF(ISNUMBER(AX28),AX28+ROW($B28)/1000,""))</f>
        <v/>
      </c>
      <c r="BC28" s="72" t="str">
        <f aca="false">IF(ISNUMBER(BB28),RANK(BB28,$BB$8:$BB$507,1),"")</f>
        <v/>
      </c>
      <c r="BD28" s="72" t="str">
        <f aca="false">IF(ISBLANK($C28),"",$B28)</f>
        <v/>
      </c>
      <c r="BE28" s="72" t="str">
        <f aca="false">IF(ISBLANK($C28),"",$C28)</f>
        <v/>
      </c>
      <c r="BF28" s="72" t="str">
        <f aca="false">IF(ISBLANK($C28),"",$D28)</f>
        <v/>
      </c>
      <c r="BG28" s="73" t="str">
        <f aca="false">AU28</f>
        <v/>
      </c>
      <c r="BH28" s="74" t="str">
        <f aca="false">AT28</f>
        <v/>
      </c>
      <c r="BI28" s="72" t="str">
        <f aca="false">IF(ISBLANK($C28),"",AW28)</f>
        <v/>
      </c>
      <c r="BJ28" s="75" t="str">
        <f aca="false">IF($BA28&gt;$AZ$7,"",VLOOKUP($BA28,$BC$8:$BI$507,7,FALSE()))</f>
        <v/>
      </c>
      <c r="BK28" s="76" t="str">
        <f aca="false">IF($BA28&gt;$AZ$7,"",VLOOKUP($BA28,$BC$8:$BI$507,2,FALSE()))</f>
        <v/>
      </c>
      <c r="BL28" s="76" t="str">
        <f aca="false">IF($BA28&gt;$AZ$7,"",VLOOKUP($BA28,$BC$8:$BI$507,3,FALSE()))</f>
        <v/>
      </c>
      <c r="BM28" s="76" t="str">
        <f aca="false">IF($BA28&gt;$AZ$7,"",VLOOKUP($BA28,$BC$8:$BI$507,4,FALSE()))</f>
        <v/>
      </c>
      <c r="BN28" s="76" t="str">
        <f aca="false">IF($BA28&gt;$AZ$7,"",VLOOKUP($BA28,$BC$8:$BI$507,5,FALSE()))</f>
        <v/>
      </c>
      <c r="BO28" s="77" t="str">
        <f aca="false">IF($BA28&gt;$AZ$7,"",VLOOKUP($BA28,$BC$8:$BI$507,6,FALSE()))</f>
        <v/>
      </c>
      <c r="BP28" s="52"/>
    </row>
    <row r="29" customFormat="false" ht="15.75" hidden="false" customHeight="false" outlineLevel="0" collapsed="false">
      <c r="A29" s="5"/>
      <c r="B29" s="114"/>
      <c r="C29" s="115"/>
      <c r="D29" s="106"/>
      <c r="E29" s="116"/>
      <c r="F29" s="87"/>
      <c r="G29" s="88"/>
      <c r="H29" s="88"/>
      <c r="I29" s="87"/>
      <c r="J29" s="88"/>
      <c r="K29" s="88"/>
      <c r="L29" s="87"/>
      <c r="M29" s="117"/>
      <c r="N29" s="90"/>
      <c r="O29" s="91" t="str">
        <f aca="false">IF(ISBLANK($C29),"",IF(E29=Constants!$B$2, TRUE(), IF(E29=Constants!$B$3, FALSE(), TRUE())))</f>
        <v/>
      </c>
      <c r="P29" s="91" t="str">
        <f aca="false">IF(ISBLANK($C29),"",IF(F29=Constants!$B$16,Constants!$B$9,IF(F29=Constants!$B$17,Constants!$B$10,Constants!$B$8)))</f>
        <v/>
      </c>
      <c r="Q29" s="91" t="str">
        <f aca="false">IF(ISBLANK($C29),"",IF(ISNUMBER(G29),IF(G29&gt;=0,G29,""),""))</f>
        <v/>
      </c>
      <c r="R29" s="91" t="str">
        <f aca="false">IF(ISBLANK($C29),"",IF(H29=Constants!$B$2, TRUE(), IF(H29=Constants!$B$3, FALSE(), TRUE())))</f>
        <v/>
      </c>
      <c r="S29" s="91" t="str">
        <f aca="false">IF(ISBLANK($C29),"",IF(I29=Constants!$B$2, TRUE(), IF(I29=Constants!$B$3, FALSE(), TRUE())))</f>
        <v/>
      </c>
      <c r="T29" s="91" t="str">
        <f aca="false">IF(ISBLANK($C29),"",IF(ISNUMBER(J29),IF(J29&gt;=0,J29,""),""))</f>
        <v/>
      </c>
      <c r="U29" s="91" t="str">
        <f aca="false">IF(ISBLANK($C29),"",IF(K29=Constants!$B$2, TRUE(), IF(K29=Constants!$B$3, FALSE(), TRUE())))</f>
        <v/>
      </c>
      <c r="V29" s="91" t="str">
        <f aca="false">IF(ISBLANK($C29),"",IF(L29=Constants!$B$2, TRUE(), IF(L29=Constants!$B$3, FALSE(), TRUE())))</f>
        <v/>
      </c>
      <c r="W29" s="91" t="str">
        <f aca="false">IF(ISBLANK($C29),"",IF(M29=Constants!$B$2, TRUE(), IF(M29=Constants!$B$3, FALSE(), FALSE())))</f>
        <v/>
      </c>
      <c r="X29" s="91" t="str">
        <f aca="false">IF(ISBLANK($C29),"",AND(Q29&lt;&gt;"",O29))</f>
        <v/>
      </c>
      <c r="Y29" s="91" t="str">
        <f aca="false">IF(ISBLANK($C29),"",AND(T29&lt;&gt;"",O29))</f>
        <v/>
      </c>
      <c r="Z29" s="91" t="str">
        <f aca="false">IF(ISBLANK($C29),"",IF(W29,Constants!$B$4,IF(COUNTA(E29:L29)=0,Constants!$B$5,IF(NOT(O29),Constants!$B$6,IF(AND(NOT(X29),NOT(Y29)),Constants!$B$6,Constants!$B$7)))))</f>
        <v/>
      </c>
      <c r="AA29" s="91" t="str">
        <f aca="false">IF(ISBLANK($C29),"",IF($Z29&lt;&gt;Constants!$B$7,$Z29,Constants!$B$20))</f>
        <v/>
      </c>
      <c r="AB29" s="91" t="str">
        <f aca="false">IF($Z29=Constants!$B$7,IF(X29,Q29,Constants!$B$13),"")</f>
        <v/>
      </c>
      <c r="AC29" s="91" t="str">
        <f aca="false">IF($Z29=Constants!$B$7,IF(X29,P29*IF(R29, 1, Constants!$B$11)*IF(S29, 1, Constants!$B$12),Constants!$B$13),"")</f>
        <v/>
      </c>
      <c r="AD29" s="91" t="str">
        <f aca="false">IF($Z29=Constants!$B$7,AB29*AC29,"")</f>
        <v/>
      </c>
      <c r="AE29" s="91" t="str">
        <f aca="false">IF($Z29=Constants!$B$7,IF(Y29,T29,Constants!$B$13),"")</f>
        <v/>
      </c>
      <c r="AF29" s="91" t="str">
        <f aca="false">IF($Z29=Constants!$B$7,IF(Y29,P29*IF(U29, 1, Constants!$B$11)*IF(V29, 1, Constants!$B$12),Constants!$B$13),"")</f>
        <v/>
      </c>
      <c r="AG29" s="91" t="str">
        <f aca="false">IF($Z29=Constants!$B$7,AE29*AF29,"")</f>
        <v/>
      </c>
      <c r="AH29" s="91" t="str">
        <f aca="false">IF($Z29=Constants!$B$7,IF(AG29&gt;AD29,2,1),"")</f>
        <v/>
      </c>
      <c r="AI29" s="91" t="str">
        <f aca="false">IF($Z29=Constants!$B$7,IF(AH29=1,2,1),"")</f>
        <v/>
      </c>
      <c r="AJ29" s="91" t="str">
        <f aca="false">IF(ISBLANK($C29),"",IF($Z29&lt;&gt;Constants!$B$7,$Z29,IF(AH29=1,AD29,AG29)))</f>
        <v/>
      </c>
      <c r="AK29" s="91" t="str">
        <f aca="false">IF(ISBLANK($C29),"",IF($Z29=Constants!$B$7,IF(ISNUMBER(AJ29),RANK(AJ29,$AJ$8:$AJ$507),Constants!$B$14),$Z29))</f>
        <v/>
      </c>
      <c r="AL29" s="91" t="str">
        <f aca="false">IF(ISBLANK($C29),"",IF($Z29=Constants!$B$7,IF(AI29=1,AD29,AG29),""))</f>
        <v/>
      </c>
      <c r="AM29" s="91" t="str">
        <f aca="false">IF(ISBLANK($C29),"",IF($Z29=Constants!$B$7,RANK(AL29,$AL$8:$AL$507),$Z29))</f>
        <v/>
      </c>
      <c r="AN29" s="91" t="str">
        <f aca="false">IF(ISBLANK($C29),"",IF($Z29=Constants!$B$7,IF(ISNUMBER(AK29),COUNTIFS($AK$8:$AK$507,"&lt;"&amp;$AK29)+COUNTIFS($AK$8:$AK$507,$AK29,$AM$8:$AM$507,"&lt;"&amp;$AM29)+1,Constants!$B$14),$Z29))</f>
        <v/>
      </c>
      <c r="AO29" s="91" t="str">
        <f aca="false">IF(ISBLANK($C29),"",IF($Z29=Constants!$B$7,IF(ISNUMBER(AK29),AK29-AN29,Constants!$B$14),$Z29))</f>
        <v/>
      </c>
      <c r="AP29" s="92"/>
      <c r="AQ29" s="93" t="str">
        <f aca="false">IF(ISBLANK($C29),"",IF($Z29&lt;&gt;Constants!$B$7,"",AH29))</f>
        <v/>
      </c>
      <c r="AR29" s="94" t="str">
        <f aca="false">IF(ISBLANK($C29),"",IF($Z29&lt;&gt;Constants!$B$7,"",IF(AH29=1,AB29,AE29)))</f>
        <v/>
      </c>
      <c r="AS29" s="95" t="str">
        <f aca="false">IF(ISBLANK($C29),"",IF($Z29&lt;&gt;Constants!$B$7,"",IF(AH29=1,AC29,AF29)))</f>
        <v/>
      </c>
      <c r="AT29" s="96" t="str">
        <f aca="false">IF(ISBLANK($C29),"",IF($Z29&lt;&gt;Constants!$B$7,$Z29,AJ29))</f>
        <v/>
      </c>
      <c r="AU29" s="97" t="str">
        <f aca="false">IF(ISBLANK($C29),"",IF($Z29&lt;&gt;Constants!$B$7,$Z29,AA29))</f>
        <v/>
      </c>
      <c r="AV29" s="98" t="str">
        <f aca="false">IF(ISBLANK($C29),"",AO29)</f>
        <v/>
      </c>
      <c r="AW29" s="98" t="str">
        <f aca="false">IF(ISBLANK($C29),"",AN29)</f>
        <v/>
      </c>
      <c r="AX29" s="99" t="str">
        <f aca="false">IF(ISBLANK($C29),"",IFERROR(_xlfn.SWITCH(AW29,Constants!$B$4,COUNTA($C$8:$C$507)+2,Constants!$B$5,COUNTA($C$8:$C$507)+1,Constants!$B$6,COUNTA($C$8:$C$507)),AW29))</f>
        <v/>
      </c>
      <c r="AY29" s="5"/>
      <c r="AZ29" s="100" t="n">
        <f aca="false">IF(OR(ISNUMBER(AW29),AW29=Constants!$B$4,AW29=Constants!$B$6,AW29=Constants!$B$5),1,0)</f>
        <v>0</v>
      </c>
      <c r="BA29" s="100" t="n">
        <v>22</v>
      </c>
      <c r="BB29" s="100" t="str">
        <f aca="false">IF(ISBLANK($C29),"",IF(ISNUMBER(AX29),AX29+ROW($B29)/1000,""))</f>
        <v/>
      </c>
      <c r="BC29" s="100" t="str">
        <f aca="false">IF(ISNUMBER(BB29),RANK(BB29,$BB$8:$BB$507,1),"")</f>
        <v/>
      </c>
      <c r="BD29" s="100" t="str">
        <f aca="false">IF(ISBLANK($C29),"",$B29)</f>
        <v/>
      </c>
      <c r="BE29" s="100" t="str">
        <f aca="false">IF(ISBLANK($C29),"",$C29)</f>
        <v/>
      </c>
      <c r="BF29" s="100" t="str">
        <f aca="false">IF(ISBLANK($C29),"",$D29)</f>
        <v/>
      </c>
      <c r="BG29" s="101" t="str">
        <f aca="false">AU29</f>
        <v/>
      </c>
      <c r="BH29" s="102" t="str">
        <f aca="false">AT29</f>
        <v/>
      </c>
      <c r="BI29" s="100" t="str">
        <f aca="false">IF(ISBLANK($C29),"",AW29)</f>
        <v/>
      </c>
      <c r="BJ29" s="103" t="str">
        <f aca="false">IF($BA29&gt;$AZ$7,"",VLOOKUP($BA29,$BC$8:$BI$507,7,FALSE()))</f>
        <v/>
      </c>
      <c r="BK29" s="104" t="str">
        <f aca="false">IF($BA29&gt;$AZ$7,"",VLOOKUP($BA29,$BC$8:$BI$507,2,FALSE()))</f>
        <v/>
      </c>
      <c r="BL29" s="104" t="str">
        <f aca="false">IF($BA29&gt;$AZ$7,"",VLOOKUP($BA29,$BC$8:$BI$507,3,FALSE()))</f>
        <v/>
      </c>
      <c r="BM29" s="104" t="str">
        <f aca="false">IF($BA29&gt;$AZ$7,"",VLOOKUP($BA29,$BC$8:$BI$507,4,FALSE()))</f>
        <v/>
      </c>
      <c r="BN29" s="104" t="str">
        <f aca="false">IF($BA29&gt;$AZ$7,"",VLOOKUP($BA29,$BC$8:$BI$507,5,FALSE()))</f>
        <v/>
      </c>
      <c r="BO29" s="105" t="str">
        <f aca="false">IF($BA29&gt;$AZ$7,"",VLOOKUP($BA29,$BC$8:$BI$507,6,FALSE()))</f>
        <v/>
      </c>
      <c r="BP29" s="52"/>
    </row>
    <row r="30" customFormat="false" ht="15.75" hidden="false" customHeight="false" outlineLevel="0" collapsed="false">
      <c r="A30" s="5"/>
      <c r="B30" s="114"/>
      <c r="C30" s="115"/>
      <c r="D30" s="106"/>
      <c r="E30" s="116"/>
      <c r="F30" s="87"/>
      <c r="G30" s="88"/>
      <c r="H30" s="88"/>
      <c r="I30" s="87"/>
      <c r="J30" s="88"/>
      <c r="K30" s="88"/>
      <c r="L30" s="87"/>
      <c r="M30" s="117"/>
      <c r="N30" s="90"/>
      <c r="O30" s="91" t="str">
        <f aca="false">IF(ISBLANK($C30),"",IF(E30=Constants!$B$2, TRUE(), IF(E30=Constants!$B$3, FALSE(), TRUE())))</f>
        <v/>
      </c>
      <c r="P30" s="91" t="str">
        <f aca="false">IF(ISBLANK($C30),"",IF(F30=Constants!$B$16,Constants!$B$9,IF(F30=Constants!$B$17,Constants!$B$10,Constants!$B$8)))</f>
        <v/>
      </c>
      <c r="Q30" s="91" t="str">
        <f aca="false">IF(ISBLANK($C30),"",IF(ISNUMBER(G30),IF(G30&gt;=0,G30,""),""))</f>
        <v/>
      </c>
      <c r="R30" s="91" t="str">
        <f aca="false">IF(ISBLANK($C30),"",IF(H30=Constants!$B$2, TRUE(), IF(H30=Constants!$B$3, FALSE(), TRUE())))</f>
        <v/>
      </c>
      <c r="S30" s="91" t="str">
        <f aca="false">IF(ISBLANK($C30),"",IF(I30=Constants!$B$2, TRUE(), IF(I30=Constants!$B$3, FALSE(), TRUE())))</f>
        <v/>
      </c>
      <c r="T30" s="91" t="str">
        <f aca="false">IF(ISBLANK($C30),"",IF(ISNUMBER(J30),IF(J30&gt;=0,J30,""),""))</f>
        <v/>
      </c>
      <c r="U30" s="91" t="str">
        <f aca="false">IF(ISBLANK($C30),"",IF(K30=Constants!$B$2, TRUE(), IF(K30=Constants!$B$3, FALSE(), TRUE())))</f>
        <v/>
      </c>
      <c r="V30" s="91" t="str">
        <f aca="false">IF(ISBLANK($C30),"",IF(L30=Constants!$B$2, TRUE(), IF(L30=Constants!$B$3, FALSE(), TRUE())))</f>
        <v/>
      </c>
      <c r="W30" s="91" t="str">
        <f aca="false">IF(ISBLANK($C30),"",IF(M30=Constants!$B$2, TRUE(), IF(M30=Constants!$B$3, FALSE(), FALSE())))</f>
        <v/>
      </c>
      <c r="X30" s="91" t="str">
        <f aca="false">IF(ISBLANK($C30),"",AND(Q30&lt;&gt;"",O30))</f>
        <v/>
      </c>
      <c r="Y30" s="91" t="str">
        <f aca="false">IF(ISBLANK($C30),"",AND(T30&lt;&gt;"",O30))</f>
        <v/>
      </c>
      <c r="Z30" s="91" t="str">
        <f aca="false">IF(ISBLANK($C30),"",IF(W30,Constants!$B$4,IF(COUNTA(E30:L30)=0,Constants!$B$5,IF(NOT(O30),Constants!$B$6,IF(AND(NOT(X30),NOT(Y30)),Constants!$B$6,Constants!$B$7)))))</f>
        <v/>
      </c>
      <c r="AA30" s="91" t="str">
        <f aca="false">IF(ISBLANK($C30),"",IF($Z30&lt;&gt;Constants!$B$7,$Z30,Constants!$B$20))</f>
        <v/>
      </c>
      <c r="AB30" s="91" t="str">
        <f aca="false">IF($Z30=Constants!$B$7,IF(X30,Q30,Constants!$B$13),"")</f>
        <v/>
      </c>
      <c r="AC30" s="91" t="str">
        <f aca="false">IF($Z30=Constants!$B$7,IF(X30,P30*IF(R30, 1, Constants!$B$11)*IF(S30, 1, Constants!$B$12),Constants!$B$13),"")</f>
        <v/>
      </c>
      <c r="AD30" s="91" t="str">
        <f aca="false">IF($Z30=Constants!$B$7,AB30*AC30,"")</f>
        <v/>
      </c>
      <c r="AE30" s="91" t="str">
        <f aca="false">IF($Z30=Constants!$B$7,IF(Y30,T30,Constants!$B$13),"")</f>
        <v/>
      </c>
      <c r="AF30" s="91" t="str">
        <f aca="false">IF($Z30=Constants!$B$7,IF(Y30,P30*IF(U30, 1, Constants!$B$11)*IF(V30, 1, Constants!$B$12),Constants!$B$13),"")</f>
        <v/>
      </c>
      <c r="AG30" s="91" t="str">
        <f aca="false">IF($Z30=Constants!$B$7,AE30*AF30,"")</f>
        <v/>
      </c>
      <c r="AH30" s="91" t="str">
        <f aca="false">IF($Z30=Constants!$B$7,IF(AG30&gt;AD30,2,1),"")</f>
        <v/>
      </c>
      <c r="AI30" s="91" t="str">
        <f aca="false">IF($Z30=Constants!$B$7,IF(AH30=1,2,1),"")</f>
        <v/>
      </c>
      <c r="AJ30" s="91" t="str">
        <f aca="false">IF(ISBLANK($C30),"",IF($Z30&lt;&gt;Constants!$B$7,$Z30,IF(AH30=1,AD30,AG30)))</f>
        <v/>
      </c>
      <c r="AK30" s="91" t="str">
        <f aca="false">IF(ISBLANK($C30),"",IF($Z30=Constants!$B$7,IF(ISNUMBER(AJ30),RANK(AJ30,$AJ$8:$AJ$507),Constants!$B$14),$Z30))</f>
        <v/>
      </c>
      <c r="AL30" s="91" t="str">
        <f aca="false">IF(ISBLANK($C30),"",IF($Z30=Constants!$B$7,IF(AI30=1,AD30,AG30),""))</f>
        <v/>
      </c>
      <c r="AM30" s="91" t="str">
        <f aca="false">IF(ISBLANK($C30),"",IF($Z30=Constants!$B$7,RANK(AL30,$AL$8:$AL$507),$Z30))</f>
        <v/>
      </c>
      <c r="AN30" s="91" t="str">
        <f aca="false">IF(ISBLANK($C30),"",IF($Z30=Constants!$B$7,IF(ISNUMBER(AK30),COUNTIFS($AK$8:$AK$507,"&lt;"&amp;$AK30)+COUNTIFS($AK$8:$AK$507,$AK30,$AM$8:$AM$507,"&lt;"&amp;$AM30)+1,Constants!$B$14),$Z30))</f>
        <v/>
      </c>
      <c r="AO30" s="91" t="str">
        <f aca="false">IF(ISBLANK($C30),"",IF($Z30=Constants!$B$7,IF(ISNUMBER(AK30),AK30-AN30,Constants!$B$14),$Z30))</f>
        <v/>
      </c>
      <c r="AP30" s="92"/>
      <c r="AQ30" s="93" t="str">
        <f aca="false">IF(ISBLANK($C30),"",IF($Z30&lt;&gt;Constants!$B$7,"",AH30))</f>
        <v/>
      </c>
      <c r="AR30" s="94" t="str">
        <f aca="false">IF(ISBLANK($C30),"",IF($Z30&lt;&gt;Constants!$B$7,"",IF(AH30=1,AB30,AE30)))</f>
        <v/>
      </c>
      <c r="AS30" s="95" t="str">
        <f aca="false">IF(ISBLANK($C30),"",IF($Z30&lt;&gt;Constants!$B$7,"",IF(AH30=1,AC30,AF30)))</f>
        <v/>
      </c>
      <c r="AT30" s="96" t="str">
        <f aca="false">IF(ISBLANK($C30),"",IF($Z30&lt;&gt;Constants!$B$7,$Z30,AJ30))</f>
        <v/>
      </c>
      <c r="AU30" s="97" t="str">
        <f aca="false">IF(ISBLANK($C30),"",IF($Z30&lt;&gt;Constants!$B$7,$Z30,AA30))</f>
        <v/>
      </c>
      <c r="AV30" s="98" t="str">
        <f aca="false">IF(ISBLANK($C30),"",AO30)</f>
        <v/>
      </c>
      <c r="AW30" s="98" t="str">
        <f aca="false">IF(ISBLANK($C30),"",AN30)</f>
        <v/>
      </c>
      <c r="AX30" s="99" t="str">
        <f aca="false">IF(ISBLANK($C30),"",IFERROR(_xlfn.SWITCH(AW30,Constants!$B$4,COUNTA($C$8:$C$507)+2,Constants!$B$5,COUNTA($C$8:$C$507)+1,Constants!$B$6,COUNTA($C$8:$C$507)),AW30))</f>
        <v/>
      </c>
      <c r="AY30" s="5"/>
      <c r="AZ30" s="100" t="n">
        <f aca="false">IF(OR(ISNUMBER(AW30),AW30=Constants!$B$4,AW30=Constants!$B$6,AW30=Constants!$B$5),1,0)</f>
        <v>0</v>
      </c>
      <c r="BA30" s="100" t="n">
        <v>23</v>
      </c>
      <c r="BB30" s="100" t="str">
        <f aca="false">IF(ISBLANK($C30),"",IF(ISNUMBER(AX30),AX30+ROW($B30)/1000,""))</f>
        <v/>
      </c>
      <c r="BC30" s="100" t="str">
        <f aca="false">IF(ISNUMBER(BB30),RANK(BB30,$BB$8:$BB$507,1),"")</f>
        <v/>
      </c>
      <c r="BD30" s="100" t="str">
        <f aca="false">IF(ISBLANK($C30),"",$B30)</f>
        <v/>
      </c>
      <c r="BE30" s="100" t="str">
        <f aca="false">IF(ISBLANK($C30),"",$C30)</f>
        <v/>
      </c>
      <c r="BF30" s="100" t="str">
        <f aca="false">IF(ISBLANK($C30),"",$D30)</f>
        <v/>
      </c>
      <c r="BG30" s="101" t="str">
        <f aca="false">AU30</f>
        <v/>
      </c>
      <c r="BH30" s="102" t="str">
        <f aca="false">AT30</f>
        <v/>
      </c>
      <c r="BI30" s="100" t="str">
        <f aca="false">IF(ISBLANK($C30),"",AW30)</f>
        <v/>
      </c>
      <c r="BJ30" s="103" t="str">
        <f aca="false">IF($BA30&gt;$AZ$7,"",VLOOKUP($BA30,$BC$8:$BI$507,7,FALSE()))</f>
        <v/>
      </c>
      <c r="BK30" s="104" t="str">
        <f aca="false">IF($BA30&gt;$AZ$7,"",VLOOKUP($BA30,$BC$8:$BI$507,2,FALSE()))</f>
        <v/>
      </c>
      <c r="BL30" s="104" t="str">
        <f aca="false">IF($BA30&gt;$AZ$7,"",VLOOKUP($BA30,$BC$8:$BI$507,3,FALSE()))</f>
        <v/>
      </c>
      <c r="BM30" s="104" t="str">
        <f aca="false">IF($BA30&gt;$AZ$7,"",VLOOKUP($BA30,$BC$8:$BI$507,4,FALSE()))</f>
        <v/>
      </c>
      <c r="BN30" s="104" t="str">
        <f aca="false">IF($BA30&gt;$AZ$7,"",VLOOKUP($BA30,$BC$8:$BI$507,5,FALSE()))</f>
        <v/>
      </c>
      <c r="BO30" s="105" t="str">
        <f aca="false">IF($BA30&gt;$AZ$7,"",VLOOKUP($BA30,$BC$8:$BI$507,6,FALSE()))</f>
        <v/>
      </c>
      <c r="BP30" s="52"/>
    </row>
    <row r="31" customFormat="false" ht="15.75" hidden="false" customHeight="false" outlineLevel="0" collapsed="false">
      <c r="A31" s="5"/>
      <c r="B31" s="114"/>
      <c r="C31" s="115"/>
      <c r="D31" s="106"/>
      <c r="E31" s="116"/>
      <c r="F31" s="87"/>
      <c r="G31" s="88"/>
      <c r="H31" s="88"/>
      <c r="I31" s="87"/>
      <c r="J31" s="88"/>
      <c r="K31" s="88"/>
      <c r="L31" s="87"/>
      <c r="M31" s="117"/>
      <c r="N31" s="90"/>
      <c r="O31" s="91" t="str">
        <f aca="false">IF(ISBLANK($C31),"",IF(E31=Constants!$B$2, TRUE(), IF(E31=Constants!$B$3, FALSE(), TRUE())))</f>
        <v/>
      </c>
      <c r="P31" s="91" t="str">
        <f aca="false">IF(ISBLANK($C31),"",IF(F31=Constants!$B$16,Constants!$B$9,IF(F31=Constants!$B$17,Constants!$B$10,Constants!$B$8)))</f>
        <v/>
      </c>
      <c r="Q31" s="91" t="str">
        <f aca="false">IF(ISBLANK($C31),"",IF(ISNUMBER(G31),IF(G31&gt;=0,G31,""),""))</f>
        <v/>
      </c>
      <c r="R31" s="91" t="str">
        <f aca="false">IF(ISBLANK($C31),"",IF(H31=Constants!$B$2, TRUE(), IF(H31=Constants!$B$3, FALSE(), TRUE())))</f>
        <v/>
      </c>
      <c r="S31" s="91" t="str">
        <f aca="false">IF(ISBLANK($C31),"",IF(I31=Constants!$B$2, TRUE(), IF(I31=Constants!$B$3, FALSE(), TRUE())))</f>
        <v/>
      </c>
      <c r="T31" s="91" t="str">
        <f aca="false">IF(ISBLANK($C31),"",IF(ISNUMBER(J31),IF(J31&gt;=0,J31,""),""))</f>
        <v/>
      </c>
      <c r="U31" s="91" t="str">
        <f aca="false">IF(ISBLANK($C31),"",IF(K31=Constants!$B$2, TRUE(), IF(K31=Constants!$B$3, FALSE(), TRUE())))</f>
        <v/>
      </c>
      <c r="V31" s="91" t="str">
        <f aca="false">IF(ISBLANK($C31),"",IF(L31=Constants!$B$2, TRUE(), IF(L31=Constants!$B$3, FALSE(), TRUE())))</f>
        <v/>
      </c>
      <c r="W31" s="91" t="str">
        <f aca="false">IF(ISBLANK($C31),"",IF(M31=Constants!$B$2, TRUE(), IF(M31=Constants!$B$3, FALSE(), FALSE())))</f>
        <v/>
      </c>
      <c r="X31" s="91" t="str">
        <f aca="false">IF(ISBLANK($C31),"",AND(Q31&lt;&gt;"",O31))</f>
        <v/>
      </c>
      <c r="Y31" s="91" t="str">
        <f aca="false">IF(ISBLANK($C31),"",AND(T31&lt;&gt;"",O31))</f>
        <v/>
      </c>
      <c r="Z31" s="91" t="str">
        <f aca="false">IF(ISBLANK($C31),"",IF(W31,Constants!$B$4,IF(COUNTA(E31:L31)=0,Constants!$B$5,IF(NOT(O31),Constants!$B$6,IF(AND(NOT(X31),NOT(Y31)),Constants!$B$6,Constants!$B$7)))))</f>
        <v/>
      </c>
      <c r="AA31" s="91" t="str">
        <f aca="false">IF(ISBLANK($C31),"",IF($Z31&lt;&gt;Constants!$B$7,$Z31,Constants!$B$20))</f>
        <v/>
      </c>
      <c r="AB31" s="91" t="str">
        <f aca="false">IF($Z31=Constants!$B$7,IF(X31,Q31,Constants!$B$13),"")</f>
        <v/>
      </c>
      <c r="AC31" s="91" t="str">
        <f aca="false">IF($Z31=Constants!$B$7,IF(X31,P31*IF(R31, 1, Constants!$B$11)*IF(S31, 1, Constants!$B$12),Constants!$B$13),"")</f>
        <v/>
      </c>
      <c r="AD31" s="91" t="str">
        <f aca="false">IF($Z31=Constants!$B$7,AB31*AC31,"")</f>
        <v/>
      </c>
      <c r="AE31" s="91" t="str">
        <f aca="false">IF($Z31=Constants!$B$7,IF(Y31,T31,Constants!$B$13),"")</f>
        <v/>
      </c>
      <c r="AF31" s="91" t="str">
        <f aca="false">IF($Z31=Constants!$B$7,IF(Y31,P31*IF(U31, 1, Constants!$B$11)*IF(V31, 1, Constants!$B$12),Constants!$B$13),"")</f>
        <v/>
      </c>
      <c r="AG31" s="91" t="str">
        <f aca="false">IF($Z31=Constants!$B$7,AE31*AF31,"")</f>
        <v/>
      </c>
      <c r="AH31" s="91" t="str">
        <f aca="false">IF($Z31=Constants!$B$7,IF(AG31&gt;AD31,2,1),"")</f>
        <v/>
      </c>
      <c r="AI31" s="91" t="str">
        <f aca="false">IF($Z31=Constants!$B$7,IF(AH31=1,2,1),"")</f>
        <v/>
      </c>
      <c r="AJ31" s="91" t="str">
        <f aca="false">IF(ISBLANK($C31),"",IF($Z31&lt;&gt;Constants!$B$7,$Z31,IF(AH31=1,AD31,AG31)))</f>
        <v/>
      </c>
      <c r="AK31" s="91" t="str">
        <f aca="false">IF(ISBLANK($C31),"",IF($Z31=Constants!$B$7,IF(ISNUMBER(AJ31),RANK(AJ31,$AJ$8:$AJ$507),Constants!$B$14),$Z31))</f>
        <v/>
      </c>
      <c r="AL31" s="91" t="str">
        <f aca="false">IF(ISBLANK($C31),"",IF($Z31=Constants!$B$7,IF(AI31=1,AD31,AG31),""))</f>
        <v/>
      </c>
      <c r="AM31" s="91" t="str">
        <f aca="false">IF(ISBLANK($C31),"",IF($Z31=Constants!$B$7,RANK(AL31,$AL$8:$AL$507),$Z31))</f>
        <v/>
      </c>
      <c r="AN31" s="91" t="str">
        <f aca="false">IF(ISBLANK($C31),"",IF($Z31=Constants!$B$7,IF(ISNUMBER(AK31),COUNTIFS($AK$8:$AK$507,"&lt;"&amp;$AK31)+COUNTIFS($AK$8:$AK$507,$AK31,$AM$8:$AM$507,"&lt;"&amp;$AM31)+1,Constants!$B$14),$Z31))</f>
        <v/>
      </c>
      <c r="AO31" s="91" t="str">
        <f aca="false">IF(ISBLANK($C31),"",IF($Z31=Constants!$B$7,IF(ISNUMBER(AK31),AK31-AN31,Constants!$B$14),$Z31))</f>
        <v/>
      </c>
      <c r="AP31" s="92"/>
      <c r="AQ31" s="93" t="str">
        <f aca="false">IF(ISBLANK($C31),"",IF($Z31&lt;&gt;Constants!$B$7,"",AH31))</f>
        <v/>
      </c>
      <c r="AR31" s="94" t="str">
        <f aca="false">IF(ISBLANK($C31),"",IF($Z31&lt;&gt;Constants!$B$7,"",IF(AH31=1,AB31,AE31)))</f>
        <v/>
      </c>
      <c r="AS31" s="95" t="str">
        <f aca="false">IF(ISBLANK($C31),"",IF($Z31&lt;&gt;Constants!$B$7,"",IF(AH31=1,AC31,AF31)))</f>
        <v/>
      </c>
      <c r="AT31" s="96" t="str">
        <f aca="false">IF(ISBLANK($C31),"",IF($Z31&lt;&gt;Constants!$B$7,$Z31,AJ31))</f>
        <v/>
      </c>
      <c r="AU31" s="97" t="str">
        <f aca="false">IF(ISBLANK($C31),"",IF($Z31&lt;&gt;Constants!$B$7,$Z31,AA31))</f>
        <v/>
      </c>
      <c r="AV31" s="98" t="str">
        <f aca="false">IF(ISBLANK($C31),"",AO31)</f>
        <v/>
      </c>
      <c r="AW31" s="98" t="str">
        <f aca="false">IF(ISBLANK($C31),"",AN31)</f>
        <v/>
      </c>
      <c r="AX31" s="99" t="str">
        <f aca="false">IF(ISBLANK($C31),"",IFERROR(_xlfn.SWITCH(AW31,Constants!$B$4,COUNTA($C$8:$C$507)+2,Constants!$B$5,COUNTA($C$8:$C$507)+1,Constants!$B$6,COUNTA($C$8:$C$507)),AW31))</f>
        <v/>
      </c>
      <c r="AY31" s="5"/>
      <c r="AZ31" s="100" t="n">
        <f aca="false">IF(OR(ISNUMBER(AW31),AW31=Constants!$B$4,AW31=Constants!$B$6,AW31=Constants!$B$5),1,0)</f>
        <v>0</v>
      </c>
      <c r="BA31" s="100" t="n">
        <v>24</v>
      </c>
      <c r="BB31" s="100" t="str">
        <f aca="false">IF(ISBLANK($C31),"",IF(ISNUMBER(AX31),AX31+ROW($B31)/1000,""))</f>
        <v/>
      </c>
      <c r="BC31" s="100" t="str">
        <f aca="false">IF(ISNUMBER(BB31),RANK(BB31,$BB$8:$BB$507,1),"")</f>
        <v/>
      </c>
      <c r="BD31" s="100" t="str">
        <f aca="false">IF(ISBLANK($C31),"",$B31)</f>
        <v/>
      </c>
      <c r="BE31" s="100" t="str">
        <f aca="false">IF(ISBLANK($C31),"",$C31)</f>
        <v/>
      </c>
      <c r="BF31" s="100" t="str">
        <f aca="false">IF(ISBLANK($C31),"",$D31)</f>
        <v/>
      </c>
      <c r="BG31" s="101" t="str">
        <f aca="false">AU31</f>
        <v/>
      </c>
      <c r="BH31" s="102" t="str">
        <f aca="false">AT31</f>
        <v/>
      </c>
      <c r="BI31" s="100" t="str">
        <f aca="false">IF(ISBLANK($C31),"",AW31)</f>
        <v/>
      </c>
      <c r="BJ31" s="103" t="str">
        <f aca="false">IF($BA31&gt;$AZ$7,"",VLOOKUP($BA31,$BC$8:$BI$507,7,FALSE()))</f>
        <v/>
      </c>
      <c r="BK31" s="104" t="str">
        <f aca="false">IF($BA31&gt;$AZ$7,"",VLOOKUP($BA31,$BC$8:$BI$507,2,FALSE()))</f>
        <v/>
      </c>
      <c r="BL31" s="104" t="str">
        <f aca="false">IF($BA31&gt;$AZ$7,"",VLOOKUP($BA31,$BC$8:$BI$507,3,FALSE()))</f>
        <v/>
      </c>
      <c r="BM31" s="104" t="str">
        <f aca="false">IF($BA31&gt;$AZ$7,"",VLOOKUP($BA31,$BC$8:$BI$507,4,FALSE()))</f>
        <v/>
      </c>
      <c r="BN31" s="104" t="str">
        <f aca="false">IF($BA31&gt;$AZ$7,"",VLOOKUP($BA31,$BC$8:$BI$507,5,FALSE()))</f>
        <v/>
      </c>
      <c r="BO31" s="105" t="str">
        <f aca="false">IF($BA31&gt;$AZ$7,"",VLOOKUP($BA31,$BC$8:$BI$507,6,FALSE()))</f>
        <v/>
      </c>
      <c r="BP31" s="52"/>
    </row>
    <row r="32" customFormat="false" ht="15.75" hidden="false" customHeight="false" outlineLevel="0" collapsed="false">
      <c r="A32" s="5"/>
      <c r="B32" s="118"/>
      <c r="C32" s="54"/>
      <c r="D32" s="55"/>
      <c r="E32" s="113"/>
      <c r="F32" s="57"/>
      <c r="G32" s="58"/>
      <c r="H32" s="58"/>
      <c r="I32" s="57"/>
      <c r="J32" s="58"/>
      <c r="K32" s="58"/>
      <c r="L32" s="57"/>
      <c r="M32" s="79"/>
      <c r="N32" s="60"/>
      <c r="O32" s="62" t="str">
        <f aca="false">IF(ISBLANK($C32),"",IF(E32=Constants!$B$2, TRUE(), IF(E32=Constants!$B$3, FALSE(), TRUE())))</f>
        <v/>
      </c>
      <c r="P32" s="62" t="str">
        <f aca="false">IF(ISBLANK($C32),"",IF(F32=Constants!$B$16,Constants!$B$9,IF(F32=Constants!$B$17,Constants!$B$10,Constants!$B$8)))</f>
        <v/>
      </c>
      <c r="Q32" s="62" t="str">
        <f aca="false">IF(ISBLANK($C32),"",IF(ISNUMBER(G32),IF(G32&gt;=0,G32,""),""))</f>
        <v/>
      </c>
      <c r="R32" s="62" t="str">
        <f aca="false">IF(ISBLANK($C32),"",IF(H32=Constants!$B$2, TRUE(), IF(H32=Constants!$B$3, FALSE(), TRUE())))</f>
        <v/>
      </c>
      <c r="S32" s="62" t="str">
        <f aca="false">IF(ISBLANK($C32),"",IF(I32=Constants!$B$2, TRUE(), IF(I32=Constants!$B$3, FALSE(), TRUE())))</f>
        <v/>
      </c>
      <c r="T32" s="62" t="str">
        <f aca="false">IF(ISBLANK($C32),"",IF(ISNUMBER(J32),IF(J32&gt;=0,J32,""),""))</f>
        <v/>
      </c>
      <c r="U32" s="62" t="str">
        <f aca="false">IF(ISBLANK($C32),"",IF(K32=Constants!$B$2, TRUE(), IF(K32=Constants!$B$3, FALSE(), TRUE())))</f>
        <v/>
      </c>
      <c r="V32" s="62" t="str">
        <f aca="false">IF(ISBLANK($C32),"",IF(L32=Constants!$B$2, TRUE(), IF(L32=Constants!$B$3, FALSE(), TRUE())))</f>
        <v/>
      </c>
      <c r="W32" s="62" t="str">
        <f aca="false">IF(ISBLANK($C32),"",IF(M32=Constants!$B$2, TRUE(), IF(M32=Constants!$B$3, FALSE(), FALSE())))</f>
        <v/>
      </c>
      <c r="X32" s="62" t="str">
        <f aca="false">IF(ISBLANK($C32),"",AND(Q32&lt;&gt;"",O32))</f>
        <v/>
      </c>
      <c r="Y32" s="62" t="str">
        <f aca="false">IF(ISBLANK($C32),"",AND(T32&lt;&gt;"",O32))</f>
        <v/>
      </c>
      <c r="Z32" s="62" t="str">
        <f aca="false">IF(ISBLANK($C32),"",IF(W32,Constants!$B$4,IF(COUNTA(E32:L32)=0,Constants!$B$5,IF(NOT(O32),Constants!$B$6,IF(AND(NOT(X32),NOT(Y32)),Constants!$B$6,Constants!$B$7)))))</f>
        <v/>
      </c>
      <c r="AA32" s="62" t="str">
        <f aca="false">IF(ISBLANK($C32),"",IF($Z32&lt;&gt;Constants!$B$7,$Z32,Constants!$B$20))</f>
        <v/>
      </c>
      <c r="AB32" s="62" t="str">
        <f aca="false">IF($Z32=Constants!$B$7,IF(X32,Q32,Constants!$B$13),"")</f>
        <v/>
      </c>
      <c r="AC32" s="62" t="str">
        <f aca="false">IF($Z32=Constants!$B$7,IF(X32,P32*IF(R32, 1, Constants!$B$11)*IF(S32, 1, Constants!$B$12),Constants!$B$13),"")</f>
        <v/>
      </c>
      <c r="AD32" s="62" t="str">
        <f aca="false">IF($Z32=Constants!$B$7,AB32*AC32,"")</f>
        <v/>
      </c>
      <c r="AE32" s="62" t="str">
        <f aca="false">IF($Z32=Constants!$B$7,IF(Y32,T32,Constants!$B$13),"")</f>
        <v/>
      </c>
      <c r="AF32" s="62" t="str">
        <f aca="false">IF($Z32=Constants!$B$7,IF(Y32,P32*IF(U32, 1, Constants!$B$11)*IF(V32, 1, Constants!$B$12),Constants!$B$13),"")</f>
        <v/>
      </c>
      <c r="AG32" s="62" t="str">
        <f aca="false">IF($Z32=Constants!$B$7,AE32*AF32,"")</f>
        <v/>
      </c>
      <c r="AH32" s="62" t="str">
        <f aca="false">IF($Z32=Constants!$B$7,IF(AG32&gt;AD32,2,1),"")</f>
        <v/>
      </c>
      <c r="AI32" s="62" t="str">
        <f aca="false">IF($Z32=Constants!$B$7,IF(AH32=1,2,1),"")</f>
        <v/>
      </c>
      <c r="AJ32" s="62" t="str">
        <f aca="false">IF(ISBLANK($C32),"",IF($Z32&lt;&gt;Constants!$B$7,$Z32,IF(AH32=1,AD32,AG32)))</f>
        <v/>
      </c>
      <c r="AK32" s="62" t="str">
        <f aca="false">IF(ISBLANK($C32),"",IF($Z32=Constants!$B$7,IF(ISNUMBER(AJ32),RANK(AJ32,$AJ$8:$AJ$507),Constants!$B$14),$Z32))</f>
        <v/>
      </c>
      <c r="AL32" s="62" t="str">
        <f aca="false">IF(ISBLANK($C32),"",IF($Z32=Constants!$B$7,IF(AI32=1,AD32,AG32),""))</f>
        <v/>
      </c>
      <c r="AM32" s="62" t="str">
        <f aca="false">IF(ISBLANK($C32),"",IF($Z32=Constants!$B$7,RANK(AL32,$AL$8:$AL$507),$Z32))</f>
        <v/>
      </c>
      <c r="AN32" s="62" t="str">
        <f aca="false">IF(ISBLANK($C32),"",IF($Z32=Constants!$B$7,IF(ISNUMBER(AK32),COUNTIFS($AK$8:$AK$507,"&lt;"&amp;$AK32)+COUNTIFS($AK$8:$AK$507,$AK32,$AM$8:$AM$507,"&lt;"&amp;$AM32)+1,Constants!$B$14),$Z32))</f>
        <v/>
      </c>
      <c r="AO32" s="62" t="str">
        <f aca="false">IF(ISBLANK($C32),"",IF($Z32=Constants!$B$7,IF(ISNUMBER(AK32),AK32-AN32,Constants!$B$14),$Z32))</f>
        <v/>
      </c>
      <c r="AP32" s="64"/>
      <c r="AQ32" s="65" t="str">
        <f aca="false">IF(ISBLANK($C32),"",IF($Z32&lt;&gt;Constants!$B$7,"",AH32))</f>
        <v/>
      </c>
      <c r="AR32" s="80" t="str">
        <f aca="false">IF(ISBLANK($C32),"",IF($Z32&lt;&gt;Constants!$B$7,"",IF(AH32=1,AB32,AE32)))</f>
        <v/>
      </c>
      <c r="AS32" s="67" t="str">
        <f aca="false">IF(ISBLANK($C32),"",IF($Z32&lt;&gt;Constants!$B$7,"",IF(AH32=1,AC32,AF32)))</f>
        <v/>
      </c>
      <c r="AT32" s="68" t="str">
        <f aca="false">IF(ISBLANK($C32),"",IF($Z32&lt;&gt;Constants!$B$7,$Z32,AJ32))</f>
        <v/>
      </c>
      <c r="AU32" s="69" t="str">
        <f aca="false">IF(ISBLANK($C32),"",IF($Z32&lt;&gt;Constants!$B$7,$Z32,AA32))</f>
        <v/>
      </c>
      <c r="AV32" s="70" t="str">
        <f aca="false">IF(ISBLANK($C32),"",AO32)</f>
        <v/>
      </c>
      <c r="AW32" s="70" t="str">
        <f aca="false">IF(ISBLANK($C32),"",AN32)</f>
        <v/>
      </c>
      <c r="AX32" s="71" t="str">
        <f aca="false">IF(ISBLANK($C32),"",IFERROR(_xlfn.SWITCH(AW32,Constants!$B$4,COUNTA($C$8:$C$507)+2,Constants!$B$5,COUNTA($C$8:$C$507)+1,Constants!$B$6,COUNTA($C$8:$C$507)),AW32))</f>
        <v/>
      </c>
      <c r="AY32" s="5"/>
      <c r="AZ32" s="72" t="n">
        <f aca="false">IF(OR(ISNUMBER(AW32),AW32=Constants!$B$4,AW32=Constants!$B$6,AW32=Constants!$B$5),1,0)</f>
        <v>0</v>
      </c>
      <c r="BA32" s="72" t="n">
        <v>25</v>
      </c>
      <c r="BB32" s="72" t="str">
        <f aca="false">IF(ISBLANK($C32),"",IF(ISNUMBER(AX32),AX32+ROW($B32)/1000,""))</f>
        <v/>
      </c>
      <c r="BC32" s="72" t="str">
        <f aca="false">IF(ISNUMBER(BB32),RANK(BB32,$BB$8:$BB$507,1),"")</f>
        <v/>
      </c>
      <c r="BD32" s="72" t="str">
        <f aca="false">IF(ISBLANK($C32),"",$B32)</f>
        <v/>
      </c>
      <c r="BE32" s="72" t="str">
        <f aca="false">IF(ISBLANK($C32),"",$C32)</f>
        <v/>
      </c>
      <c r="BF32" s="72" t="str">
        <f aca="false">IF(ISBLANK($C32),"",$D32)</f>
        <v/>
      </c>
      <c r="BG32" s="73" t="str">
        <f aca="false">AU32</f>
        <v/>
      </c>
      <c r="BH32" s="74" t="str">
        <f aca="false">AT32</f>
        <v/>
      </c>
      <c r="BI32" s="72" t="str">
        <f aca="false">IF(ISBLANK($C32),"",AW32)</f>
        <v/>
      </c>
      <c r="BJ32" s="75" t="str">
        <f aca="false">IF($BA32&gt;$AZ$7,"",VLOOKUP($BA32,$BC$8:$BI$507,7,FALSE()))</f>
        <v/>
      </c>
      <c r="BK32" s="76" t="str">
        <f aca="false">IF($BA32&gt;$AZ$7,"",VLOOKUP($BA32,$BC$8:$BI$507,2,FALSE()))</f>
        <v/>
      </c>
      <c r="BL32" s="76" t="str">
        <f aca="false">IF($BA32&gt;$AZ$7,"",VLOOKUP($BA32,$BC$8:$BI$507,3,FALSE()))</f>
        <v/>
      </c>
      <c r="BM32" s="76" t="str">
        <f aca="false">IF($BA32&gt;$AZ$7,"",VLOOKUP($BA32,$BC$8:$BI$507,4,FALSE()))</f>
        <v/>
      </c>
      <c r="BN32" s="76" t="str">
        <f aca="false">IF($BA32&gt;$AZ$7,"",VLOOKUP($BA32,$BC$8:$BI$507,5,FALSE()))</f>
        <v/>
      </c>
      <c r="BO32" s="77" t="str">
        <f aca="false">IF($BA32&gt;$AZ$7,"",VLOOKUP($BA32,$BC$8:$BI$507,6,FALSE()))</f>
        <v/>
      </c>
      <c r="BP32" s="52"/>
    </row>
    <row r="33" customFormat="false" ht="15.75" hidden="false" customHeight="false" outlineLevel="0" collapsed="false">
      <c r="A33" s="5"/>
      <c r="B33" s="118"/>
      <c r="C33" s="54"/>
      <c r="D33" s="55"/>
      <c r="E33" s="113"/>
      <c r="F33" s="57"/>
      <c r="G33" s="58"/>
      <c r="H33" s="58"/>
      <c r="I33" s="57"/>
      <c r="J33" s="58"/>
      <c r="K33" s="58"/>
      <c r="L33" s="57"/>
      <c r="M33" s="79"/>
      <c r="N33" s="60"/>
      <c r="O33" s="62" t="str">
        <f aca="false">IF(ISBLANK($C33),"",IF(E33=Constants!$B$2, TRUE(), IF(E33=Constants!$B$3, FALSE(), TRUE())))</f>
        <v/>
      </c>
      <c r="P33" s="62" t="str">
        <f aca="false">IF(ISBLANK($C33),"",IF(F33=Constants!$B$16,Constants!$B$9,IF(F33=Constants!$B$17,Constants!$B$10,Constants!$B$8)))</f>
        <v/>
      </c>
      <c r="Q33" s="62" t="str">
        <f aca="false">IF(ISBLANK($C33),"",IF(ISNUMBER(G33),IF(G33&gt;=0,G33,""),""))</f>
        <v/>
      </c>
      <c r="R33" s="62" t="str">
        <f aca="false">IF(ISBLANK($C33),"",IF(H33=Constants!$B$2, TRUE(), IF(H33=Constants!$B$3, FALSE(), TRUE())))</f>
        <v/>
      </c>
      <c r="S33" s="62" t="str">
        <f aca="false">IF(ISBLANK($C33),"",IF(I33=Constants!$B$2, TRUE(), IF(I33=Constants!$B$3, FALSE(), TRUE())))</f>
        <v/>
      </c>
      <c r="T33" s="62" t="str">
        <f aca="false">IF(ISBLANK($C33),"",IF(ISNUMBER(J33),IF(J33&gt;=0,J33,""),""))</f>
        <v/>
      </c>
      <c r="U33" s="62" t="str">
        <f aca="false">IF(ISBLANK($C33),"",IF(K33=Constants!$B$2, TRUE(), IF(K33=Constants!$B$3, FALSE(), TRUE())))</f>
        <v/>
      </c>
      <c r="V33" s="62" t="str">
        <f aca="false">IF(ISBLANK($C33),"",IF(L33=Constants!$B$2, TRUE(), IF(L33=Constants!$B$3, FALSE(), TRUE())))</f>
        <v/>
      </c>
      <c r="W33" s="62" t="str">
        <f aca="false">IF(ISBLANK($C33),"",IF(M33=Constants!$B$2, TRUE(), IF(M33=Constants!$B$3, FALSE(), FALSE())))</f>
        <v/>
      </c>
      <c r="X33" s="62" t="str">
        <f aca="false">IF(ISBLANK($C33),"",AND(Q33&lt;&gt;"",O33))</f>
        <v/>
      </c>
      <c r="Y33" s="62" t="str">
        <f aca="false">IF(ISBLANK($C33),"",AND(T33&lt;&gt;"",O33))</f>
        <v/>
      </c>
      <c r="Z33" s="62" t="str">
        <f aca="false">IF(ISBLANK($C33),"",IF(W33,Constants!$B$4,IF(COUNTA(E33:L33)=0,Constants!$B$5,IF(NOT(O33),Constants!$B$6,IF(AND(NOT(X33),NOT(Y33)),Constants!$B$6,Constants!$B$7)))))</f>
        <v/>
      </c>
      <c r="AA33" s="62" t="str">
        <f aca="false">IF(ISBLANK($C33),"",IF($Z33&lt;&gt;Constants!$B$7,$Z33,Constants!$B$20))</f>
        <v/>
      </c>
      <c r="AB33" s="62" t="str">
        <f aca="false">IF($Z33=Constants!$B$7,IF(X33,Q33,Constants!$B$13),"")</f>
        <v/>
      </c>
      <c r="AC33" s="62" t="str">
        <f aca="false">IF($Z33=Constants!$B$7,IF(X33,P33*IF(R33, 1, Constants!$B$11)*IF(S33, 1, Constants!$B$12),Constants!$B$13),"")</f>
        <v/>
      </c>
      <c r="AD33" s="62" t="str">
        <f aca="false">IF($Z33=Constants!$B$7,AB33*AC33,"")</f>
        <v/>
      </c>
      <c r="AE33" s="62" t="str">
        <f aca="false">IF($Z33=Constants!$B$7,IF(Y33,T33,Constants!$B$13),"")</f>
        <v/>
      </c>
      <c r="AF33" s="62" t="str">
        <f aca="false">IF($Z33=Constants!$B$7,IF(Y33,P33*IF(U33, 1, Constants!$B$11)*IF(V33, 1, Constants!$B$12),Constants!$B$13),"")</f>
        <v/>
      </c>
      <c r="AG33" s="62" t="str">
        <f aca="false">IF($Z33=Constants!$B$7,AE33*AF33,"")</f>
        <v/>
      </c>
      <c r="AH33" s="62" t="str">
        <f aca="false">IF($Z33=Constants!$B$7,IF(AG33&gt;AD33,2,1),"")</f>
        <v/>
      </c>
      <c r="AI33" s="62" t="str">
        <f aca="false">IF($Z33=Constants!$B$7,IF(AH33=1,2,1),"")</f>
        <v/>
      </c>
      <c r="AJ33" s="62" t="str">
        <f aca="false">IF(ISBLANK($C33),"",IF($Z33&lt;&gt;Constants!$B$7,$Z33,IF(AH33=1,AD33,AG33)))</f>
        <v/>
      </c>
      <c r="AK33" s="62" t="str">
        <f aca="false">IF(ISBLANK($C33),"",IF($Z33=Constants!$B$7,IF(ISNUMBER(AJ33),RANK(AJ33,$AJ$8:$AJ$507),Constants!$B$14),$Z33))</f>
        <v/>
      </c>
      <c r="AL33" s="62" t="str">
        <f aca="false">IF(ISBLANK($C33),"",IF($Z33=Constants!$B$7,IF(AI33=1,AD33,AG33),""))</f>
        <v/>
      </c>
      <c r="AM33" s="62" t="str">
        <f aca="false">IF(ISBLANK($C33),"",IF($Z33=Constants!$B$7,RANK(AL33,$AL$8:$AL$507),$Z33))</f>
        <v/>
      </c>
      <c r="AN33" s="62" t="str">
        <f aca="false">IF(ISBLANK($C33),"",IF($Z33=Constants!$B$7,IF(ISNUMBER(AK33),COUNTIFS($AK$8:$AK$507,"&lt;"&amp;$AK33)+COUNTIFS($AK$8:$AK$507,$AK33,$AM$8:$AM$507,"&lt;"&amp;$AM33)+1,Constants!$B$14),$Z33))</f>
        <v/>
      </c>
      <c r="AO33" s="62" t="str">
        <f aca="false">IF(ISBLANK($C33),"",IF($Z33=Constants!$B$7,IF(ISNUMBER(AK33),AK33-AN33,Constants!$B$14),$Z33))</f>
        <v/>
      </c>
      <c r="AP33" s="64"/>
      <c r="AQ33" s="65" t="str">
        <f aca="false">IF(ISBLANK($C33),"",IF($Z33&lt;&gt;Constants!$B$7,"",AH33))</f>
        <v/>
      </c>
      <c r="AR33" s="80" t="str">
        <f aca="false">IF(ISBLANK($C33),"",IF($Z33&lt;&gt;Constants!$B$7,"",IF(AH33=1,AB33,AE33)))</f>
        <v/>
      </c>
      <c r="AS33" s="67" t="str">
        <f aca="false">IF(ISBLANK($C33),"",IF($Z33&lt;&gt;Constants!$B$7,"",IF(AH33=1,AC33,AF33)))</f>
        <v/>
      </c>
      <c r="AT33" s="68" t="str">
        <f aca="false">IF(ISBLANK($C33),"",IF($Z33&lt;&gt;Constants!$B$7,$Z33,AJ33))</f>
        <v/>
      </c>
      <c r="AU33" s="69" t="str">
        <f aca="false">IF(ISBLANK($C33),"",IF($Z33&lt;&gt;Constants!$B$7,$Z33,AA33))</f>
        <v/>
      </c>
      <c r="AV33" s="70" t="str">
        <f aca="false">IF(ISBLANK($C33),"",AO33)</f>
        <v/>
      </c>
      <c r="AW33" s="70" t="str">
        <f aca="false">IF(ISBLANK($C33),"",AN33)</f>
        <v/>
      </c>
      <c r="AX33" s="71" t="str">
        <f aca="false">IF(ISBLANK($C33),"",IFERROR(_xlfn.SWITCH(AW33,Constants!$B$4,COUNTA($C$8:$C$507)+2,Constants!$B$5,COUNTA($C$8:$C$507)+1,Constants!$B$6,COUNTA($C$8:$C$507)),AW33))</f>
        <v/>
      </c>
      <c r="AY33" s="5"/>
      <c r="AZ33" s="72" t="n">
        <f aca="false">IF(OR(ISNUMBER(AW33),AW33=Constants!$B$4,AW33=Constants!$B$6,AW33=Constants!$B$5),1,0)</f>
        <v>0</v>
      </c>
      <c r="BA33" s="72" t="n">
        <v>26</v>
      </c>
      <c r="BB33" s="72" t="str">
        <f aca="false">IF(ISBLANK($C33),"",IF(ISNUMBER(AX33),AX33+ROW($B33)/1000,""))</f>
        <v/>
      </c>
      <c r="BC33" s="72" t="str">
        <f aca="false">IF(ISNUMBER(BB33),RANK(BB33,$BB$8:$BB$507,1),"")</f>
        <v/>
      </c>
      <c r="BD33" s="72" t="str">
        <f aca="false">IF(ISBLANK($C33),"",$B33)</f>
        <v/>
      </c>
      <c r="BE33" s="72" t="str">
        <f aca="false">IF(ISBLANK($C33),"",$C33)</f>
        <v/>
      </c>
      <c r="BF33" s="72" t="str">
        <f aca="false">IF(ISBLANK($C33),"",$D33)</f>
        <v/>
      </c>
      <c r="BG33" s="73" t="str">
        <f aca="false">AU33</f>
        <v/>
      </c>
      <c r="BH33" s="74" t="str">
        <f aca="false">AT33</f>
        <v/>
      </c>
      <c r="BI33" s="72" t="str">
        <f aca="false">IF(ISBLANK($C33),"",AW33)</f>
        <v/>
      </c>
      <c r="BJ33" s="75" t="str">
        <f aca="false">IF($BA33&gt;$AZ$7,"",VLOOKUP($BA33,$BC$8:$BI$507,7,FALSE()))</f>
        <v/>
      </c>
      <c r="BK33" s="76" t="str">
        <f aca="false">IF($BA33&gt;$AZ$7,"",VLOOKUP($BA33,$BC$8:$BI$507,2,FALSE()))</f>
        <v/>
      </c>
      <c r="BL33" s="76" t="str">
        <f aca="false">IF($BA33&gt;$AZ$7,"",VLOOKUP($BA33,$BC$8:$BI$507,3,FALSE()))</f>
        <v/>
      </c>
      <c r="BM33" s="76" t="str">
        <f aca="false">IF($BA33&gt;$AZ$7,"",VLOOKUP($BA33,$BC$8:$BI$507,4,FALSE()))</f>
        <v/>
      </c>
      <c r="BN33" s="76" t="str">
        <f aca="false">IF($BA33&gt;$AZ$7,"",VLOOKUP($BA33,$BC$8:$BI$507,5,FALSE()))</f>
        <v/>
      </c>
      <c r="BO33" s="77" t="str">
        <f aca="false">IF($BA33&gt;$AZ$7,"",VLOOKUP($BA33,$BC$8:$BI$507,6,FALSE()))</f>
        <v/>
      </c>
      <c r="BP33" s="52"/>
    </row>
    <row r="34" customFormat="false" ht="15.75" hidden="false" customHeight="false" outlineLevel="0" collapsed="false">
      <c r="A34" s="5"/>
      <c r="B34" s="118"/>
      <c r="C34" s="54"/>
      <c r="D34" s="55"/>
      <c r="E34" s="113"/>
      <c r="F34" s="57"/>
      <c r="G34" s="58"/>
      <c r="H34" s="58"/>
      <c r="I34" s="57"/>
      <c r="J34" s="58"/>
      <c r="K34" s="58"/>
      <c r="L34" s="57"/>
      <c r="M34" s="79"/>
      <c r="N34" s="60"/>
      <c r="O34" s="62" t="str">
        <f aca="false">IF(ISBLANK($C34),"",IF(E34=Constants!$B$2, TRUE(), IF(E34=Constants!$B$3, FALSE(), TRUE())))</f>
        <v/>
      </c>
      <c r="P34" s="62" t="str">
        <f aca="false">IF(ISBLANK($C34),"",IF(F34=Constants!$B$16,Constants!$B$9,IF(F34=Constants!$B$17,Constants!$B$10,Constants!$B$8)))</f>
        <v/>
      </c>
      <c r="Q34" s="62" t="str">
        <f aca="false">IF(ISBLANK($C34),"",IF(ISNUMBER(G34),IF(G34&gt;=0,G34,""),""))</f>
        <v/>
      </c>
      <c r="R34" s="62" t="str">
        <f aca="false">IF(ISBLANK($C34),"",IF(H34=Constants!$B$2, TRUE(), IF(H34=Constants!$B$3, FALSE(), TRUE())))</f>
        <v/>
      </c>
      <c r="S34" s="62" t="str">
        <f aca="false">IF(ISBLANK($C34),"",IF(I34=Constants!$B$2, TRUE(), IF(I34=Constants!$B$3, FALSE(), TRUE())))</f>
        <v/>
      </c>
      <c r="T34" s="62" t="str">
        <f aca="false">IF(ISBLANK($C34),"",IF(ISNUMBER(J34),IF(J34&gt;=0,J34,""),""))</f>
        <v/>
      </c>
      <c r="U34" s="62" t="str">
        <f aca="false">IF(ISBLANK($C34),"",IF(K34=Constants!$B$2, TRUE(), IF(K34=Constants!$B$3, FALSE(), TRUE())))</f>
        <v/>
      </c>
      <c r="V34" s="62" t="str">
        <f aca="false">IF(ISBLANK($C34),"",IF(L34=Constants!$B$2, TRUE(), IF(L34=Constants!$B$3, FALSE(), TRUE())))</f>
        <v/>
      </c>
      <c r="W34" s="62" t="str">
        <f aca="false">IF(ISBLANK($C34),"",IF(M34=Constants!$B$2, TRUE(), IF(M34=Constants!$B$3, FALSE(), FALSE())))</f>
        <v/>
      </c>
      <c r="X34" s="62" t="str">
        <f aca="false">IF(ISBLANK($C34),"",AND(Q34&lt;&gt;"",O34))</f>
        <v/>
      </c>
      <c r="Y34" s="62" t="str">
        <f aca="false">IF(ISBLANK($C34),"",AND(T34&lt;&gt;"",O34))</f>
        <v/>
      </c>
      <c r="Z34" s="62" t="str">
        <f aca="false">IF(ISBLANK($C34),"",IF(W34,Constants!$B$4,IF(COUNTA(E34:L34)=0,Constants!$B$5,IF(NOT(O34),Constants!$B$6,IF(AND(NOT(X34),NOT(Y34)),Constants!$B$6,Constants!$B$7)))))</f>
        <v/>
      </c>
      <c r="AA34" s="62" t="str">
        <f aca="false">IF(ISBLANK($C34),"",IF($Z34&lt;&gt;Constants!$B$7,$Z34,Constants!$B$20))</f>
        <v/>
      </c>
      <c r="AB34" s="62" t="str">
        <f aca="false">IF($Z34=Constants!$B$7,IF(X34,Q34,Constants!$B$13),"")</f>
        <v/>
      </c>
      <c r="AC34" s="62" t="str">
        <f aca="false">IF($Z34=Constants!$B$7,IF(X34,P34*IF(R34, 1, Constants!$B$11)*IF(S34, 1, Constants!$B$12),Constants!$B$13),"")</f>
        <v/>
      </c>
      <c r="AD34" s="62" t="str">
        <f aca="false">IF($Z34=Constants!$B$7,AB34*AC34,"")</f>
        <v/>
      </c>
      <c r="AE34" s="62" t="str">
        <f aca="false">IF($Z34=Constants!$B$7,IF(Y34,T34,Constants!$B$13),"")</f>
        <v/>
      </c>
      <c r="AF34" s="62" t="str">
        <f aca="false">IF($Z34=Constants!$B$7,IF(Y34,P34*IF(U34, 1, Constants!$B$11)*IF(V34, 1, Constants!$B$12),Constants!$B$13),"")</f>
        <v/>
      </c>
      <c r="AG34" s="62" t="str">
        <f aca="false">IF($Z34=Constants!$B$7,AE34*AF34,"")</f>
        <v/>
      </c>
      <c r="AH34" s="62" t="str">
        <f aca="false">IF($Z34=Constants!$B$7,IF(AG34&gt;AD34,2,1),"")</f>
        <v/>
      </c>
      <c r="AI34" s="62" t="str">
        <f aca="false">IF($Z34=Constants!$B$7,IF(AH34=1,2,1),"")</f>
        <v/>
      </c>
      <c r="AJ34" s="62" t="str">
        <f aca="false">IF(ISBLANK($C34),"",IF($Z34&lt;&gt;Constants!$B$7,$Z34,IF(AH34=1,AD34,AG34)))</f>
        <v/>
      </c>
      <c r="AK34" s="62" t="str">
        <f aca="false">IF(ISBLANK($C34),"",IF($Z34=Constants!$B$7,IF(ISNUMBER(AJ34),RANK(AJ34,$AJ$8:$AJ$507),Constants!$B$14),$Z34))</f>
        <v/>
      </c>
      <c r="AL34" s="62" t="str">
        <f aca="false">IF(ISBLANK($C34),"",IF($Z34=Constants!$B$7,IF(AI34=1,AD34,AG34),""))</f>
        <v/>
      </c>
      <c r="AM34" s="62" t="str">
        <f aca="false">IF(ISBLANK($C34),"",IF($Z34=Constants!$B$7,RANK(AL34,$AL$8:$AL$507),$Z34))</f>
        <v/>
      </c>
      <c r="AN34" s="62" t="str">
        <f aca="false">IF(ISBLANK($C34),"",IF($Z34=Constants!$B$7,IF(ISNUMBER(AK34),COUNTIFS($AK$8:$AK$507,"&lt;"&amp;$AK34)+COUNTIFS($AK$8:$AK$507,$AK34,$AM$8:$AM$507,"&lt;"&amp;$AM34)+1,Constants!$B$14),$Z34))</f>
        <v/>
      </c>
      <c r="AO34" s="62" t="str">
        <f aca="false">IF(ISBLANK($C34),"",IF($Z34=Constants!$B$7,IF(ISNUMBER(AK34),AK34-AN34,Constants!$B$14),$Z34))</f>
        <v/>
      </c>
      <c r="AP34" s="64"/>
      <c r="AQ34" s="65" t="str">
        <f aca="false">IF(ISBLANK($C34),"",IF($Z34&lt;&gt;Constants!$B$7,"",AH34))</f>
        <v/>
      </c>
      <c r="AR34" s="80" t="str">
        <f aca="false">IF(ISBLANK($C34),"",IF($Z34&lt;&gt;Constants!$B$7,"",IF(AH34=1,AB34,AE34)))</f>
        <v/>
      </c>
      <c r="AS34" s="67" t="str">
        <f aca="false">IF(ISBLANK($C34),"",IF($Z34&lt;&gt;Constants!$B$7,"",IF(AH34=1,AC34,AF34)))</f>
        <v/>
      </c>
      <c r="AT34" s="68" t="str">
        <f aca="false">IF(ISBLANK($C34),"",IF($Z34&lt;&gt;Constants!$B$7,$Z34,AJ34))</f>
        <v/>
      </c>
      <c r="AU34" s="69" t="str">
        <f aca="false">IF(ISBLANK($C34),"",IF($Z34&lt;&gt;Constants!$B$7,$Z34,AA34))</f>
        <v/>
      </c>
      <c r="AV34" s="70" t="str">
        <f aca="false">IF(ISBLANK($C34),"",AO34)</f>
        <v/>
      </c>
      <c r="AW34" s="70" t="str">
        <f aca="false">IF(ISBLANK($C34),"",AN34)</f>
        <v/>
      </c>
      <c r="AX34" s="71" t="str">
        <f aca="false">IF(ISBLANK($C34),"",IFERROR(_xlfn.SWITCH(AW34,Constants!$B$4,COUNTA($C$8:$C$507)+2,Constants!$B$5,COUNTA($C$8:$C$507)+1,Constants!$B$6,COUNTA($C$8:$C$507)),AW34))</f>
        <v/>
      </c>
      <c r="AY34" s="5"/>
      <c r="AZ34" s="72" t="n">
        <f aca="false">IF(OR(ISNUMBER(AW34),AW34=Constants!$B$4,AW34=Constants!$B$6,AW34=Constants!$B$5),1,0)</f>
        <v>0</v>
      </c>
      <c r="BA34" s="72" t="n">
        <v>27</v>
      </c>
      <c r="BB34" s="72" t="str">
        <f aca="false">IF(ISBLANK($C34),"",IF(ISNUMBER(AX34),AX34+ROW($B34)/1000,""))</f>
        <v/>
      </c>
      <c r="BC34" s="72" t="str">
        <f aca="false">IF(ISNUMBER(BB34),RANK(BB34,$BB$8:$BB$507,1),"")</f>
        <v/>
      </c>
      <c r="BD34" s="72" t="str">
        <f aca="false">IF(ISBLANK($C34),"",$B34)</f>
        <v/>
      </c>
      <c r="BE34" s="72" t="str">
        <f aca="false">IF(ISBLANK($C34),"",$C34)</f>
        <v/>
      </c>
      <c r="BF34" s="72" t="str">
        <f aca="false">IF(ISBLANK($C34),"",$D34)</f>
        <v/>
      </c>
      <c r="BG34" s="73" t="str">
        <f aca="false">AU34</f>
        <v/>
      </c>
      <c r="BH34" s="74" t="str">
        <f aca="false">AT34</f>
        <v/>
      </c>
      <c r="BI34" s="72" t="str">
        <f aca="false">IF(ISBLANK($C34),"",AW34)</f>
        <v/>
      </c>
      <c r="BJ34" s="75" t="str">
        <f aca="false">IF($BA34&gt;$AZ$7,"",VLOOKUP($BA34,$BC$8:$BI$507,7,FALSE()))</f>
        <v/>
      </c>
      <c r="BK34" s="76" t="str">
        <f aca="false">IF($BA34&gt;$AZ$7,"",VLOOKUP($BA34,$BC$8:$BI$507,2,FALSE()))</f>
        <v/>
      </c>
      <c r="BL34" s="76" t="str">
        <f aca="false">IF($BA34&gt;$AZ$7,"",VLOOKUP($BA34,$BC$8:$BI$507,3,FALSE()))</f>
        <v/>
      </c>
      <c r="BM34" s="76" t="str">
        <f aca="false">IF($BA34&gt;$AZ$7,"",VLOOKUP($BA34,$BC$8:$BI$507,4,FALSE()))</f>
        <v/>
      </c>
      <c r="BN34" s="76" t="str">
        <f aca="false">IF($BA34&gt;$AZ$7,"",VLOOKUP($BA34,$BC$8:$BI$507,5,FALSE()))</f>
        <v/>
      </c>
      <c r="BO34" s="77" t="str">
        <f aca="false">IF($BA34&gt;$AZ$7,"",VLOOKUP($BA34,$BC$8:$BI$507,6,FALSE()))</f>
        <v/>
      </c>
      <c r="BP34" s="52"/>
    </row>
    <row r="35" customFormat="false" ht="15.75" hidden="false" customHeight="false" outlineLevel="0" collapsed="false">
      <c r="A35" s="5"/>
      <c r="B35" s="114"/>
      <c r="C35" s="115"/>
      <c r="D35" s="106"/>
      <c r="E35" s="116"/>
      <c r="F35" s="87"/>
      <c r="G35" s="88"/>
      <c r="H35" s="88"/>
      <c r="I35" s="87"/>
      <c r="J35" s="88"/>
      <c r="K35" s="88"/>
      <c r="L35" s="87"/>
      <c r="M35" s="117"/>
      <c r="N35" s="90"/>
      <c r="O35" s="91" t="str">
        <f aca="false">IF(ISBLANK($C35),"",IF(E35=Constants!$B$2, TRUE(), IF(E35=Constants!$B$3, FALSE(), TRUE())))</f>
        <v/>
      </c>
      <c r="P35" s="91" t="str">
        <f aca="false">IF(ISBLANK($C35),"",IF(F35=Constants!$B$16,Constants!$B$9,IF(F35=Constants!$B$17,Constants!$B$10,Constants!$B$8)))</f>
        <v/>
      </c>
      <c r="Q35" s="91" t="str">
        <f aca="false">IF(ISBLANK($C35),"",IF(ISNUMBER(G35),IF(G35&gt;=0,G35,""),""))</f>
        <v/>
      </c>
      <c r="R35" s="91" t="str">
        <f aca="false">IF(ISBLANK($C35),"",IF(H35=Constants!$B$2, TRUE(), IF(H35=Constants!$B$3, FALSE(), TRUE())))</f>
        <v/>
      </c>
      <c r="S35" s="91" t="str">
        <f aca="false">IF(ISBLANK($C35),"",IF(I35=Constants!$B$2, TRUE(), IF(I35=Constants!$B$3, FALSE(), TRUE())))</f>
        <v/>
      </c>
      <c r="T35" s="91" t="str">
        <f aca="false">IF(ISBLANK($C35),"",IF(ISNUMBER(J35),IF(J35&gt;=0,J35,""),""))</f>
        <v/>
      </c>
      <c r="U35" s="91" t="str">
        <f aca="false">IF(ISBLANK($C35),"",IF(K35=Constants!$B$2, TRUE(), IF(K35=Constants!$B$3, FALSE(), TRUE())))</f>
        <v/>
      </c>
      <c r="V35" s="91" t="str">
        <f aca="false">IF(ISBLANK($C35),"",IF(L35=Constants!$B$2, TRUE(), IF(L35=Constants!$B$3, FALSE(), TRUE())))</f>
        <v/>
      </c>
      <c r="W35" s="91" t="str">
        <f aca="false">IF(ISBLANK($C35),"",IF(M35=Constants!$B$2, TRUE(), IF(M35=Constants!$B$3, FALSE(), FALSE())))</f>
        <v/>
      </c>
      <c r="X35" s="91" t="str">
        <f aca="false">IF(ISBLANK($C35),"",AND(Q35&lt;&gt;"",O35))</f>
        <v/>
      </c>
      <c r="Y35" s="91" t="str">
        <f aca="false">IF(ISBLANK($C35),"",AND(T35&lt;&gt;"",O35))</f>
        <v/>
      </c>
      <c r="Z35" s="91" t="str">
        <f aca="false">IF(ISBLANK($C35),"",IF(W35,Constants!$B$4,IF(COUNTA(E35:L35)=0,Constants!$B$5,IF(NOT(O35),Constants!$B$6,IF(AND(NOT(X35),NOT(Y35)),Constants!$B$6,Constants!$B$7)))))</f>
        <v/>
      </c>
      <c r="AA35" s="91" t="str">
        <f aca="false">IF(ISBLANK($C35),"",IF($Z35&lt;&gt;Constants!$B$7,$Z35,Constants!$B$20))</f>
        <v/>
      </c>
      <c r="AB35" s="91" t="str">
        <f aca="false">IF($Z35=Constants!$B$7,IF(X35,Q35,Constants!$B$13),"")</f>
        <v/>
      </c>
      <c r="AC35" s="91" t="str">
        <f aca="false">IF($Z35=Constants!$B$7,IF(X35,P35*IF(R35, 1, Constants!$B$11)*IF(S35, 1, Constants!$B$12),Constants!$B$13),"")</f>
        <v/>
      </c>
      <c r="AD35" s="91" t="str">
        <f aca="false">IF($Z35=Constants!$B$7,AB35*AC35,"")</f>
        <v/>
      </c>
      <c r="AE35" s="91" t="str">
        <f aca="false">IF($Z35=Constants!$B$7,IF(Y35,T35,Constants!$B$13),"")</f>
        <v/>
      </c>
      <c r="AF35" s="91" t="str">
        <f aca="false">IF($Z35=Constants!$B$7,IF(Y35,P35*IF(U35, 1, Constants!$B$11)*IF(V35, 1, Constants!$B$12),Constants!$B$13),"")</f>
        <v/>
      </c>
      <c r="AG35" s="91" t="str">
        <f aca="false">IF($Z35=Constants!$B$7,AE35*AF35,"")</f>
        <v/>
      </c>
      <c r="AH35" s="91" t="str">
        <f aca="false">IF($Z35=Constants!$B$7,IF(AG35&gt;AD35,2,1),"")</f>
        <v/>
      </c>
      <c r="AI35" s="91" t="str">
        <f aca="false">IF($Z35=Constants!$B$7,IF(AH35=1,2,1),"")</f>
        <v/>
      </c>
      <c r="AJ35" s="91" t="str">
        <f aca="false">IF(ISBLANK($C35),"",IF($Z35&lt;&gt;Constants!$B$7,$Z35,IF(AH35=1,AD35,AG35)))</f>
        <v/>
      </c>
      <c r="AK35" s="91" t="str">
        <f aca="false">IF(ISBLANK($C35),"",IF($Z35=Constants!$B$7,IF(ISNUMBER(AJ35),RANK(AJ35,$AJ$8:$AJ$507),Constants!$B$14),$Z35))</f>
        <v/>
      </c>
      <c r="AL35" s="91" t="str">
        <f aca="false">IF(ISBLANK($C35),"",IF($Z35=Constants!$B$7,IF(AI35=1,AD35,AG35),""))</f>
        <v/>
      </c>
      <c r="AM35" s="91" t="str">
        <f aca="false">IF(ISBLANK($C35),"",IF($Z35=Constants!$B$7,RANK(AL35,$AL$8:$AL$507),$Z35))</f>
        <v/>
      </c>
      <c r="AN35" s="91" t="str">
        <f aca="false">IF(ISBLANK($C35),"",IF($Z35=Constants!$B$7,IF(ISNUMBER(AK35),COUNTIFS($AK$8:$AK$507,"&lt;"&amp;$AK35)+COUNTIFS($AK$8:$AK$507,$AK35,$AM$8:$AM$507,"&lt;"&amp;$AM35)+1,Constants!$B$14),$Z35))</f>
        <v/>
      </c>
      <c r="AO35" s="91" t="str">
        <f aca="false">IF(ISBLANK($C35),"",IF($Z35=Constants!$B$7,IF(ISNUMBER(AK35),AK35-AN35,Constants!$B$14),$Z35))</f>
        <v/>
      </c>
      <c r="AP35" s="92"/>
      <c r="AQ35" s="93" t="str">
        <f aca="false">IF(ISBLANK($C35),"",IF($Z35&lt;&gt;Constants!$B$7,"",AH35))</f>
        <v/>
      </c>
      <c r="AR35" s="94" t="str">
        <f aca="false">IF(ISBLANK($C35),"",IF($Z35&lt;&gt;Constants!$B$7,"",IF(AH35=1,AB35,AE35)))</f>
        <v/>
      </c>
      <c r="AS35" s="95" t="str">
        <f aca="false">IF(ISBLANK($C35),"",IF($Z35&lt;&gt;Constants!$B$7,"",IF(AH35=1,AC35,AF35)))</f>
        <v/>
      </c>
      <c r="AT35" s="96" t="str">
        <f aca="false">IF(ISBLANK($C35),"",IF($Z35&lt;&gt;Constants!$B$7,$Z35,AJ35))</f>
        <v/>
      </c>
      <c r="AU35" s="97" t="str">
        <f aca="false">IF(ISBLANK($C35),"",IF($Z35&lt;&gt;Constants!$B$7,$Z35,AA35))</f>
        <v/>
      </c>
      <c r="AV35" s="98" t="str">
        <f aca="false">IF(ISBLANK($C35),"",AO35)</f>
        <v/>
      </c>
      <c r="AW35" s="98" t="str">
        <f aca="false">IF(ISBLANK($C35),"",AN35)</f>
        <v/>
      </c>
      <c r="AX35" s="99" t="str">
        <f aca="false">IF(ISBLANK($C35),"",IFERROR(_xlfn.SWITCH(AW35,Constants!$B$4,COUNTA($C$8:$C$507)+2,Constants!$B$5,COUNTA($C$8:$C$507)+1,Constants!$B$6,COUNTA($C$8:$C$507)),AW35))</f>
        <v/>
      </c>
      <c r="AY35" s="5"/>
      <c r="AZ35" s="100" t="n">
        <f aca="false">IF(OR(ISNUMBER(AW35),AW35=Constants!$B$4,AW35=Constants!$B$6,AW35=Constants!$B$5),1,0)</f>
        <v>0</v>
      </c>
      <c r="BA35" s="100" t="n">
        <v>28</v>
      </c>
      <c r="BB35" s="100" t="str">
        <f aca="false">IF(ISBLANK($C35),"",IF(ISNUMBER(AX35),AX35+ROW($B35)/1000,""))</f>
        <v/>
      </c>
      <c r="BC35" s="100" t="str">
        <f aca="false">IF(ISNUMBER(BB35),RANK(BB35,$BB$8:$BB$507,1),"")</f>
        <v/>
      </c>
      <c r="BD35" s="100" t="str">
        <f aca="false">IF(ISBLANK($C35),"",$B35)</f>
        <v/>
      </c>
      <c r="BE35" s="100" t="str">
        <f aca="false">IF(ISBLANK($C35),"",$C35)</f>
        <v/>
      </c>
      <c r="BF35" s="100" t="str">
        <f aca="false">IF(ISBLANK($C35),"",$D35)</f>
        <v/>
      </c>
      <c r="BG35" s="101" t="str">
        <f aca="false">AU35</f>
        <v/>
      </c>
      <c r="BH35" s="102" t="str">
        <f aca="false">AT35</f>
        <v/>
      </c>
      <c r="BI35" s="100" t="str">
        <f aca="false">IF(ISBLANK($C35),"",AW35)</f>
        <v/>
      </c>
      <c r="BJ35" s="103" t="str">
        <f aca="false">IF($BA35&gt;$AZ$7,"",VLOOKUP($BA35,$BC$8:$BI$507,7,FALSE()))</f>
        <v/>
      </c>
      <c r="BK35" s="104" t="str">
        <f aca="false">IF($BA35&gt;$AZ$7,"",VLOOKUP($BA35,$BC$8:$BI$507,2,FALSE()))</f>
        <v/>
      </c>
      <c r="BL35" s="104" t="str">
        <f aca="false">IF($BA35&gt;$AZ$7,"",VLOOKUP($BA35,$BC$8:$BI$507,3,FALSE()))</f>
        <v/>
      </c>
      <c r="BM35" s="104" t="str">
        <f aca="false">IF($BA35&gt;$AZ$7,"",VLOOKUP($BA35,$BC$8:$BI$507,4,FALSE()))</f>
        <v/>
      </c>
      <c r="BN35" s="104" t="str">
        <f aca="false">IF($BA35&gt;$AZ$7,"",VLOOKUP($BA35,$BC$8:$BI$507,5,FALSE()))</f>
        <v/>
      </c>
      <c r="BO35" s="105" t="str">
        <f aca="false">IF($BA35&gt;$AZ$7,"",VLOOKUP($BA35,$BC$8:$BI$507,6,FALSE()))</f>
        <v/>
      </c>
      <c r="BP35" s="52"/>
    </row>
    <row r="36" customFormat="false" ht="15.75" hidden="false" customHeight="false" outlineLevel="0" collapsed="false">
      <c r="A36" s="5"/>
      <c r="B36" s="114"/>
      <c r="C36" s="115"/>
      <c r="D36" s="106"/>
      <c r="E36" s="116"/>
      <c r="F36" s="87"/>
      <c r="G36" s="88"/>
      <c r="H36" s="88"/>
      <c r="I36" s="87"/>
      <c r="J36" s="88"/>
      <c r="K36" s="88"/>
      <c r="L36" s="87"/>
      <c r="M36" s="117"/>
      <c r="N36" s="90"/>
      <c r="O36" s="91" t="str">
        <f aca="false">IF(ISBLANK($C36),"",IF(E36=Constants!$B$2, TRUE(), IF(E36=Constants!$B$3, FALSE(), TRUE())))</f>
        <v/>
      </c>
      <c r="P36" s="91" t="str">
        <f aca="false">IF(ISBLANK($C36),"",IF(F36=Constants!$B$16,Constants!$B$9,IF(F36=Constants!$B$17,Constants!$B$10,Constants!$B$8)))</f>
        <v/>
      </c>
      <c r="Q36" s="91" t="str">
        <f aca="false">IF(ISBLANK($C36),"",IF(ISNUMBER(G36),IF(G36&gt;=0,G36,""),""))</f>
        <v/>
      </c>
      <c r="R36" s="91" t="str">
        <f aca="false">IF(ISBLANK($C36),"",IF(H36=Constants!$B$2, TRUE(), IF(H36=Constants!$B$3, FALSE(), TRUE())))</f>
        <v/>
      </c>
      <c r="S36" s="91" t="str">
        <f aca="false">IF(ISBLANK($C36),"",IF(I36=Constants!$B$2, TRUE(), IF(I36=Constants!$B$3, FALSE(), TRUE())))</f>
        <v/>
      </c>
      <c r="T36" s="91" t="str">
        <f aca="false">IF(ISBLANK($C36),"",IF(ISNUMBER(J36),IF(J36&gt;=0,J36,""),""))</f>
        <v/>
      </c>
      <c r="U36" s="91" t="str">
        <f aca="false">IF(ISBLANK($C36),"",IF(K36=Constants!$B$2, TRUE(), IF(K36=Constants!$B$3, FALSE(), TRUE())))</f>
        <v/>
      </c>
      <c r="V36" s="91" t="str">
        <f aca="false">IF(ISBLANK($C36),"",IF(L36=Constants!$B$2, TRUE(), IF(L36=Constants!$B$3, FALSE(), TRUE())))</f>
        <v/>
      </c>
      <c r="W36" s="91" t="str">
        <f aca="false">IF(ISBLANK($C36),"",IF(M36=Constants!$B$2, TRUE(), IF(M36=Constants!$B$3, FALSE(), FALSE())))</f>
        <v/>
      </c>
      <c r="X36" s="91" t="str">
        <f aca="false">IF(ISBLANK($C36),"",AND(Q36&lt;&gt;"",O36))</f>
        <v/>
      </c>
      <c r="Y36" s="91" t="str">
        <f aca="false">IF(ISBLANK($C36),"",AND(T36&lt;&gt;"",O36))</f>
        <v/>
      </c>
      <c r="Z36" s="91" t="str">
        <f aca="false">IF(ISBLANK($C36),"",IF(W36,Constants!$B$4,IF(COUNTA(E36:L36)=0,Constants!$B$5,IF(NOT(O36),Constants!$B$6,IF(AND(NOT(X36),NOT(Y36)),Constants!$B$6,Constants!$B$7)))))</f>
        <v/>
      </c>
      <c r="AA36" s="91" t="str">
        <f aca="false">IF(ISBLANK($C36),"",IF($Z36&lt;&gt;Constants!$B$7,$Z36,Constants!$B$20))</f>
        <v/>
      </c>
      <c r="AB36" s="91" t="str">
        <f aca="false">IF($Z36=Constants!$B$7,IF(X36,Q36,Constants!$B$13),"")</f>
        <v/>
      </c>
      <c r="AC36" s="91" t="str">
        <f aca="false">IF($Z36=Constants!$B$7,IF(X36,P36*IF(R36, 1, Constants!$B$11)*IF(S36, 1, Constants!$B$12),Constants!$B$13),"")</f>
        <v/>
      </c>
      <c r="AD36" s="91" t="str">
        <f aca="false">IF($Z36=Constants!$B$7,AB36*AC36,"")</f>
        <v/>
      </c>
      <c r="AE36" s="91" t="str">
        <f aca="false">IF($Z36=Constants!$B$7,IF(Y36,T36,Constants!$B$13),"")</f>
        <v/>
      </c>
      <c r="AF36" s="91" t="str">
        <f aca="false">IF($Z36=Constants!$B$7,IF(Y36,P36*IF(U36, 1, Constants!$B$11)*IF(V36, 1, Constants!$B$12),Constants!$B$13),"")</f>
        <v/>
      </c>
      <c r="AG36" s="91" t="str">
        <f aca="false">IF($Z36=Constants!$B$7,AE36*AF36,"")</f>
        <v/>
      </c>
      <c r="AH36" s="91" t="str">
        <f aca="false">IF($Z36=Constants!$B$7,IF(AG36&gt;AD36,2,1),"")</f>
        <v/>
      </c>
      <c r="AI36" s="91" t="str">
        <f aca="false">IF($Z36=Constants!$B$7,IF(AH36=1,2,1),"")</f>
        <v/>
      </c>
      <c r="AJ36" s="91" t="str">
        <f aca="false">IF(ISBLANK($C36),"",IF($Z36&lt;&gt;Constants!$B$7,$Z36,IF(AH36=1,AD36,AG36)))</f>
        <v/>
      </c>
      <c r="AK36" s="91" t="str">
        <f aca="false">IF(ISBLANK($C36),"",IF($Z36=Constants!$B$7,IF(ISNUMBER(AJ36),RANK(AJ36,$AJ$8:$AJ$507),Constants!$B$14),$Z36))</f>
        <v/>
      </c>
      <c r="AL36" s="91" t="str">
        <f aca="false">IF(ISBLANK($C36),"",IF($Z36=Constants!$B$7,IF(AI36=1,AD36,AG36),""))</f>
        <v/>
      </c>
      <c r="AM36" s="91" t="str">
        <f aca="false">IF(ISBLANK($C36),"",IF($Z36=Constants!$B$7,RANK(AL36,$AL$8:$AL$507),$Z36))</f>
        <v/>
      </c>
      <c r="AN36" s="91" t="str">
        <f aca="false">IF(ISBLANK($C36),"",IF($Z36=Constants!$B$7,IF(ISNUMBER(AK36),COUNTIFS($AK$8:$AK$507,"&lt;"&amp;$AK36)+COUNTIFS($AK$8:$AK$507,$AK36,$AM$8:$AM$507,"&lt;"&amp;$AM36)+1,Constants!$B$14),$Z36))</f>
        <v/>
      </c>
      <c r="AO36" s="91" t="str">
        <f aca="false">IF(ISBLANK($C36),"",IF($Z36=Constants!$B$7,IF(ISNUMBER(AK36),AK36-AN36,Constants!$B$14),$Z36))</f>
        <v/>
      </c>
      <c r="AP36" s="92"/>
      <c r="AQ36" s="93" t="str">
        <f aca="false">IF(ISBLANK($C36),"",IF($Z36&lt;&gt;Constants!$B$7,"",AH36))</f>
        <v/>
      </c>
      <c r="AR36" s="94" t="str">
        <f aca="false">IF(ISBLANK($C36),"",IF($Z36&lt;&gt;Constants!$B$7,"",IF(AH36=1,AB36,AE36)))</f>
        <v/>
      </c>
      <c r="AS36" s="95" t="str">
        <f aca="false">IF(ISBLANK($C36),"",IF($Z36&lt;&gt;Constants!$B$7,"",IF(AH36=1,AC36,AF36)))</f>
        <v/>
      </c>
      <c r="AT36" s="96" t="str">
        <f aca="false">IF(ISBLANK($C36),"",IF($Z36&lt;&gt;Constants!$B$7,$Z36,AJ36))</f>
        <v/>
      </c>
      <c r="AU36" s="97" t="str">
        <f aca="false">IF(ISBLANK($C36),"",IF($Z36&lt;&gt;Constants!$B$7,$Z36,AA36))</f>
        <v/>
      </c>
      <c r="AV36" s="98" t="str">
        <f aca="false">IF(ISBLANK($C36),"",AO36)</f>
        <v/>
      </c>
      <c r="AW36" s="98" t="str">
        <f aca="false">IF(ISBLANK($C36),"",AN36)</f>
        <v/>
      </c>
      <c r="AX36" s="99" t="str">
        <f aca="false">IF(ISBLANK($C36),"",IFERROR(_xlfn.SWITCH(AW36,Constants!$B$4,COUNTA($C$8:$C$507)+2,Constants!$B$5,COUNTA($C$8:$C$507)+1,Constants!$B$6,COUNTA($C$8:$C$507)),AW36))</f>
        <v/>
      </c>
      <c r="AY36" s="5"/>
      <c r="AZ36" s="100" t="n">
        <f aca="false">IF(OR(ISNUMBER(AW36),AW36=Constants!$B$4,AW36=Constants!$B$6,AW36=Constants!$B$5),1,0)</f>
        <v>0</v>
      </c>
      <c r="BA36" s="100" t="n">
        <v>29</v>
      </c>
      <c r="BB36" s="100" t="str">
        <f aca="false">IF(ISBLANK($C36),"",IF(ISNUMBER(AX36),AX36+ROW($B36)/1000,""))</f>
        <v/>
      </c>
      <c r="BC36" s="100" t="str">
        <f aca="false">IF(ISNUMBER(BB36),RANK(BB36,$BB$8:$BB$507,1),"")</f>
        <v/>
      </c>
      <c r="BD36" s="100" t="str">
        <f aca="false">IF(ISBLANK($C36),"",$B36)</f>
        <v/>
      </c>
      <c r="BE36" s="100" t="str">
        <f aca="false">IF(ISBLANK($C36),"",$C36)</f>
        <v/>
      </c>
      <c r="BF36" s="100" t="str">
        <f aca="false">IF(ISBLANK($C36),"",$D36)</f>
        <v/>
      </c>
      <c r="BG36" s="101" t="str">
        <f aca="false">AU36</f>
        <v/>
      </c>
      <c r="BH36" s="102" t="str">
        <f aca="false">AT36</f>
        <v/>
      </c>
      <c r="BI36" s="100" t="str">
        <f aca="false">IF(ISBLANK($C36),"",AW36)</f>
        <v/>
      </c>
      <c r="BJ36" s="103" t="str">
        <f aca="false">IF($BA36&gt;$AZ$7,"",VLOOKUP($BA36,$BC$8:$BI$507,7,FALSE()))</f>
        <v/>
      </c>
      <c r="BK36" s="104" t="str">
        <f aca="false">IF($BA36&gt;$AZ$7,"",VLOOKUP($BA36,$BC$8:$BI$507,2,FALSE()))</f>
        <v/>
      </c>
      <c r="BL36" s="104" t="str">
        <f aca="false">IF($BA36&gt;$AZ$7,"",VLOOKUP($BA36,$BC$8:$BI$507,3,FALSE()))</f>
        <v/>
      </c>
      <c r="BM36" s="104" t="str">
        <f aca="false">IF($BA36&gt;$AZ$7,"",VLOOKUP($BA36,$BC$8:$BI$507,4,FALSE()))</f>
        <v/>
      </c>
      <c r="BN36" s="104" t="str">
        <f aca="false">IF($BA36&gt;$AZ$7,"",VLOOKUP($BA36,$BC$8:$BI$507,5,FALSE()))</f>
        <v/>
      </c>
      <c r="BO36" s="105" t="str">
        <f aca="false">IF($BA36&gt;$AZ$7,"",VLOOKUP($BA36,$BC$8:$BI$507,6,FALSE()))</f>
        <v/>
      </c>
      <c r="BP36" s="52"/>
    </row>
    <row r="37" customFormat="false" ht="15.75" hidden="false" customHeight="false" outlineLevel="0" collapsed="false">
      <c r="A37" s="5"/>
      <c r="B37" s="114"/>
      <c r="C37" s="115"/>
      <c r="D37" s="106"/>
      <c r="E37" s="116"/>
      <c r="F37" s="87"/>
      <c r="G37" s="88"/>
      <c r="H37" s="88"/>
      <c r="I37" s="87"/>
      <c r="J37" s="88"/>
      <c r="K37" s="88"/>
      <c r="L37" s="87"/>
      <c r="M37" s="117"/>
      <c r="N37" s="90"/>
      <c r="O37" s="91" t="str">
        <f aca="false">IF(ISBLANK($C37),"",IF(E37=Constants!$B$2, TRUE(), IF(E37=Constants!$B$3, FALSE(), TRUE())))</f>
        <v/>
      </c>
      <c r="P37" s="91" t="str">
        <f aca="false">IF(ISBLANK($C37),"",IF(F37=Constants!$B$16,Constants!$B$9,IF(F37=Constants!$B$17,Constants!$B$10,Constants!$B$8)))</f>
        <v/>
      </c>
      <c r="Q37" s="91" t="str">
        <f aca="false">IF(ISBLANK($C37),"",IF(ISNUMBER(G37),IF(G37&gt;=0,G37,""),""))</f>
        <v/>
      </c>
      <c r="R37" s="91" t="str">
        <f aca="false">IF(ISBLANK($C37),"",IF(H37=Constants!$B$2, TRUE(), IF(H37=Constants!$B$3, FALSE(), TRUE())))</f>
        <v/>
      </c>
      <c r="S37" s="91" t="str">
        <f aca="false">IF(ISBLANK($C37),"",IF(I37=Constants!$B$2, TRUE(), IF(I37=Constants!$B$3, FALSE(), TRUE())))</f>
        <v/>
      </c>
      <c r="T37" s="91" t="str">
        <f aca="false">IF(ISBLANK($C37),"",IF(ISNUMBER(J37),IF(J37&gt;=0,J37,""),""))</f>
        <v/>
      </c>
      <c r="U37" s="91" t="str">
        <f aca="false">IF(ISBLANK($C37),"",IF(K37=Constants!$B$2, TRUE(), IF(K37=Constants!$B$3, FALSE(), TRUE())))</f>
        <v/>
      </c>
      <c r="V37" s="91" t="str">
        <f aca="false">IF(ISBLANK($C37),"",IF(L37=Constants!$B$2, TRUE(), IF(L37=Constants!$B$3, FALSE(), TRUE())))</f>
        <v/>
      </c>
      <c r="W37" s="91" t="str">
        <f aca="false">IF(ISBLANK($C37),"",IF(M37=Constants!$B$2, TRUE(), IF(M37=Constants!$B$3, FALSE(), FALSE())))</f>
        <v/>
      </c>
      <c r="X37" s="91" t="str">
        <f aca="false">IF(ISBLANK($C37),"",AND(Q37&lt;&gt;"",O37))</f>
        <v/>
      </c>
      <c r="Y37" s="91" t="str">
        <f aca="false">IF(ISBLANK($C37),"",AND(T37&lt;&gt;"",O37))</f>
        <v/>
      </c>
      <c r="Z37" s="91" t="str">
        <f aca="false">IF(ISBLANK($C37),"",IF(W37,Constants!$B$4,IF(COUNTA(E37:L37)=0,Constants!$B$5,IF(NOT(O37),Constants!$B$6,IF(AND(NOT(X37),NOT(Y37)),Constants!$B$6,Constants!$B$7)))))</f>
        <v/>
      </c>
      <c r="AA37" s="91" t="str">
        <f aca="false">IF(ISBLANK($C37),"",IF($Z37&lt;&gt;Constants!$B$7,$Z37,Constants!$B$20))</f>
        <v/>
      </c>
      <c r="AB37" s="91" t="str">
        <f aca="false">IF($Z37=Constants!$B$7,IF(X37,Q37,Constants!$B$13),"")</f>
        <v/>
      </c>
      <c r="AC37" s="91" t="str">
        <f aca="false">IF($Z37=Constants!$B$7,IF(X37,P37*IF(R37, 1, Constants!$B$11)*IF(S37, 1, Constants!$B$12),Constants!$B$13),"")</f>
        <v/>
      </c>
      <c r="AD37" s="91" t="str">
        <f aca="false">IF($Z37=Constants!$B$7,AB37*AC37,"")</f>
        <v/>
      </c>
      <c r="AE37" s="91" t="str">
        <f aca="false">IF($Z37=Constants!$B$7,IF(Y37,T37,Constants!$B$13),"")</f>
        <v/>
      </c>
      <c r="AF37" s="91" t="str">
        <f aca="false">IF($Z37=Constants!$B$7,IF(Y37,P37*IF(U37, 1, Constants!$B$11)*IF(V37, 1, Constants!$B$12),Constants!$B$13),"")</f>
        <v/>
      </c>
      <c r="AG37" s="91" t="str">
        <f aca="false">IF($Z37=Constants!$B$7,AE37*AF37,"")</f>
        <v/>
      </c>
      <c r="AH37" s="91" t="str">
        <f aca="false">IF($Z37=Constants!$B$7,IF(AG37&gt;AD37,2,1),"")</f>
        <v/>
      </c>
      <c r="AI37" s="91" t="str">
        <f aca="false">IF($Z37=Constants!$B$7,IF(AH37=1,2,1),"")</f>
        <v/>
      </c>
      <c r="AJ37" s="91" t="str">
        <f aca="false">IF(ISBLANK($C37),"",IF($Z37&lt;&gt;Constants!$B$7,$Z37,IF(AH37=1,AD37,AG37)))</f>
        <v/>
      </c>
      <c r="AK37" s="91" t="str">
        <f aca="false">IF(ISBLANK($C37),"",IF($Z37=Constants!$B$7,IF(ISNUMBER(AJ37),RANK(AJ37,$AJ$8:$AJ$507),Constants!$B$14),$Z37))</f>
        <v/>
      </c>
      <c r="AL37" s="91" t="str">
        <f aca="false">IF(ISBLANK($C37),"",IF($Z37=Constants!$B$7,IF(AI37=1,AD37,AG37),""))</f>
        <v/>
      </c>
      <c r="AM37" s="91" t="str">
        <f aca="false">IF(ISBLANK($C37),"",IF($Z37=Constants!$B$7,RANK(AL37,$AL$8:$AL$507),$Z37))</f>
        <v/>
      </c>
      <c r="AN37" s="91" t="str">
        <f aca="false">IF(ISBLANK($C37),"",IF($Z37=Constants!$B$7,IF(ISNUMBER(AK37),COUNTIFS($AK$8:$AK$507,"&lt;"&amp;$AK37)+COUNTIFS($AK$8:$AK$507,$AK37,$AM$8:$AM$507,"&lt;"&amp;$AM37)+1,Constants!$B$14),$Z37))</f>
        <v/>
      </c>
      <c r="AO37" s="91" t="str">
        <f aca="false">IF(ISBLANK($C37),"",IF($Z37=Constants!$B$7,IF(ISNUMBER(AK37),AK37-AN37,Constants!$B$14),$Z37))</f>
        <v/>
      </c>
      <c r="AP37" s="92"/>
      <c r="AQ37" s="93" t="str">
        <f aca="false">IF(ISBLANK($C37),"",IF($Z37&lt;&gt;Constants!$B$7,"",AH37))</f>
        <v/>
      </c>
      <c r="AR37" s="94" t="str">
        <f aca="false">IF(ISBLANK($C37),"",IF($Z37&lt;&gt;Constants!$B$7,"",IF(AH37=1,AB37,AE37)))</f>
        <v/>
      </c>
      <c r="AS37" s="95" t="str">
        <f aca="false">IF(ISBLANK($C37),"",IF($Z37&lt;&gt;Constants!$B$7,"",IF(AH37=1,AC37,AF37)))</f>
        <v/>
      </c>
      <c r="AT37" s="96" t="str">
        <f aca="false">IF(ISBLANK($C37),"",IF($Z37&lt;&gt;Constants!$B$7,$Z37,AJ37))</f>
        <v/>
      </c>
      <c r="AU37" s="97" t="str">
        <f aca="false">IF(ISBLANK($C37),"",IF($Z37&lt;&gt;Constants!$B$7,$Z37,AA37))</f>
        <v/>
      </c>
      <c r="AV37" s="98" t="str">
        <f aca="false">IF(ISBLANK($C37),"",AO37)</f>
        <v/>
      </c>
      <c r="AW37" s="98" t="str">
        <f aca="false">IF(ISBLANK($C37),"",AN37)</f>
        <v/>
      </c>
      <c r="AX37" s="99" t="str">
        <f aca="false">IF(ISBLANK($C37),"",IFERROR(_xlfn.SWITCH(AW37,Constants!$B$4,COUNTA($C$8:$C$507)+2,Constants!$B$5,COUNTA($C$8:$C$507)+1,Constants!$B$6,COUNTA($C$8:$C$507)),AW37))</f>
        <v/>
      </c>
      <c r="AY37" s="5"/>
      <c r="AZ37" s="100" t="n">
        <f aca="false">IF(OR(ISNUMBER(AW37),AW37=Constants!$B$4,AW37=Constants!$B$6,AW37=Constants!$B$5),1,0)</f>
        <v>0</v>
      </c>
      <c r="BA37" s="100" t="n">
        <v>30</v>
      </c>
      <c r="BB37" s="100" t="str">
        <f aca="false">IF(ISBLANK($C37),"",IF(ISNUMBER(AX37),AX37+ROW($B37)/1000,""))</f>
        <v/>
      </c>
      <c r="BC37" s="100" t="str">
        <f aca="false">IF(ISNUMBER(BB37),RANK(BB37,$BB$8:$BB$507,1),"")</f>
        <v/>
      </c>
      <c r="BD37" s="100" t="str">
        <f aca="false">IF(ISBLANK($C37),"",$B37)</f>
        <v/>
      </c>
      <c r="BE37" s="100" t="str">
        <f aca="false">IF(ISBLANK($C37),"",$C37)</f>
        <v/>
      </c>
      <c r="BF37" s="100" t="str">
        <f aca="false">IF(ISBLANK($C37),"",$D37)</f>
        <v/>
      </c>
      <c r="BG37" s="101" t="str">
        <f aca="false">AU37</f>
        <v/>
      </c>
      <c r="BH37" s="102" t="str">
        <f aca="false">AT37</f>
        <v/>
      </c>
      <c r="BI37" s="100" t="str">
        <f aca="false">IF(ISBLANK($C37),"",AW37)</f>
        <v/>
      </c>
      <c r="BJ37" s="103" t="str">
        <f aca="false">IF($BA37&gt;$AZ$7,"",VLOOKUP($BA37,$BC$8:$BI$507,7,FALSE()))</f>
        <v/>
      </c>
      <c r="BK37" s="104" t="str">
        <f aca="false">IF($BA37&gt;$AZ$7,"",VLOOKUP($BA37,$BC$8:$BI$507,2,FALSE()))</f>
        <v/>
      </c>
      <c r="BL37" s="104" t="str">
        <f aca="false">IF($BA37&gt;$AZ$7,"",VLOOKUP($BA37,$BC$8:$BI$507,3,FALSE()))</f>
        <v/>
      </c>
      <c r="BM37" s="104" t="str">
        <f aca="false">IF($BA37&gt;$AZ$7,"",VLOOKUP($BA37,$BC$8:$BI$507,4,FALSE()))</f>
        <v/>
      </c>
      <c r="BN37" s="104" t="str">
        <f aca="false">IF($BA37&gt;$AZ$7,"",VLOOKUP($BA37,$BC$8:$BI$507,5,FALSE()))</f>
        <v/>
      </c>
      <c r="BO37" s="105" t="str">
        <f aca="false">IF($BA37&gt;$AZ$7,"",VLOOKUP($BA37,$BC$8:$BI$507,6,FALSE()))</f>
        <v/>
      </c>
      <c r="BP37" s="52"/>
    </row>
    <row r="38" customFormat="false" ht="15.75" hidden="false" customHeight="false" outlineLevel="0" collapsed="false">
      <c r="A38" s="5"/>
      <c r="B38" s="118"/>
      <c r="C38" s="54"/>
      <c r="D38" s="55"/>
      <c r="E38" s="113"/>
      <c r="F38" s="57"/>
      <c r="G38" s="58"/>
      <c r="H38" s="58"/>
      <c r="I38" s="57"/>
      <c r="J38" s="58"/>
      <c r="K38" s="58"/>
      <c r="L38" s="57"/>
      <c r="M38" s="79"/>
      <c r="N38" s="60"/>
      <c r="O38" s="62" t="str">
        <f aca="false">IF(ISBLANK($C38),"",IF(E38=Constants!$B$2, TRUE(), IF(E38=Constants!$B$3, FALSE(), TRUE())))</f>
        <v/>
      </c>
      <c r="P38" s="62" t="str">
        <f aca="false">IF(ISBLANK($C38),"",IF(F38=Constants!$B$16,Constants!$B$9,IF(F38=Constants!$B$17,Constants!$B$10,Constants!$B$8)))</f>
        <v/>
      </c>
      <c r="Q38" s="62" t="str">
        <f aca="false">IF(ISBLANK($C38),"",IF(ISNUMBER(G38),IF(G38&gt;=0,G38,""),""))</f>
        <v/>
      </c>
      <c r="R38" s="62" t="str">
        <f aca="false">IF(ISBLANK($C38),"",IF(H38=Constants!$B$2, TRUE(), IF(H38=Constants!$B$3, FALSE(), TRUE())))</f>
        <v/>
      </c>
      <c r="S38" s="62" t="str">
        <f aca="false">IF(ISBLANK($C38),"",IF(I38=Constants!$B$2, TRUE(), IF(I38=Constants!$B$3, FALSE(), TRUE())))</f>
        <v/>
      </c>
      <c r="T38" s="62" t="str">
        <f aca="false">IF(ISBLANK($C38),"",IF(ISNUMBER(J38),IF(J38&gt;=0,J38,""),""))</f>
        <v/>
      </c>
      <c r="U38" s="62" t="str">
        <f aca="false">IF(ISBLANK($C38),"",IF(K38=Constants!$B$2, TRUE(), IF(K38=Constants!$B$3, FALSE(), TRUE())))</f>
        <v/>
      </c>
      <c r="V38" s="62" t="str">
        <f aca="false">IF(ISBLANK($C38),"",IF(L38=Constants!$B$2, TRUE(), IF(L38=Constants!$B$3, FALSE(), TRUE())))</f>
        <v/>
      </c>
      <c r="W38" s="62" t="str">
        <f aca="false">IF(ISBLANK($C38),"",IF(M38=Constants!$B$2, TRUE(), IF(M38=Constants!$B$3, FALSE(), FALSE())))</f>
        <v/>
      </c>
      <c r="X38" s="62" t="str">
        <f aca="false">IF(ISBLANK($C38),"",AND(Q38&lt;&gt;"",O38))</f>
        <v/>
      </c>
      <c r="Y38" s="62" t="str">
        <f aca="false">IF(ISBLANK($C38),"",AND(T38&lt;&gt;"",O38))</f>
        <v/>
      </c>
      <c r="Z38" s="62" t="str">
        <f aca="false">IF(ISBLANK($C38),"",IF(W38,Constants!$B$4,IF(COUNTA(E38:L38)=0,Constants!$B$5,IF(NOT(O38),Constants!$B$6,IF(AND(NOT(X38),NOT(Y38)),Constants!$B$6,Constants!$B$7)))))</f>
        <v/>
      </c>
      <c r="AA38" s="62" t="str">
        <f aca="false">IF(ISBLANK($C38),"",IF($Z38&lt;&gt;Constants!$B$7,$Z38,Constants!$B$20))</f>
        <v/>
      </c>
      <c r="AB38" s="62" t="str">
        <f aca="false">IF($Z38=Constants!$B$7,IF(X38,Q38,Constants!$B$13),"")</f>
        <v/>
      </c>
      <c r="AC38" s="62" t="str">
        <f aca="false">IF($Z38=Constants!$B$7,IF(X38,P38*IF(R38, 1, Constants!$B$11)*IF(S38, 1, Constants!$B$12),Constants!$B$13),"")</f>
        <v/>
      </c>
      <c r="AD38" s="62" t="str">
        <f aca="false">IF($Z38=Constants!$B$7,AB38*AC38,"")</f>
        <v/>
      </c>
      <c r="AE38" s="62" t="str">
        <f aca="false">IF($Z38=Constants!$B$7,IF(Y38,T38,Constants!$B$13),"")</f>
        <v/>
      </c>
      <c r="AF38" s="62" t="str">
        <f aca="false">IF($Z38=Constants!$B$7,IF(Y38,P38*IF(U38, 1, Constants!$B$11)*IF(V38, 1, Constants!$B$12),Constants!$B$13),"")</f>
        <v/>
      </c>
      <c r="AG38" s="62" t="str">
        <f aca="false">IF($Z38=Constants!$B$7,AE38*AF38,"")</f>
        <v/>
      </c>
      <c r="AH38" s="62" t="str">
        <f aca="false">IF($Z38=Constants!$B$7,IF(AG38&gt;AD38,2,1),"")</f>
        <v/>
      </c>
      <c r="AI38" s="62" t="str">
        <f aca="false">IF($Z38=Constants!$B$7,IF(AH38=1,2,1),"")</f>
        <v/>
      </c>
      <c r="AJ38" s="62" t="str">
        <f aca="false">IF(ISBLANK($C38),"",IF($Z38&lt;&gt;Constants!$B$7,$Z38,IF(AH38=1,AD38,AG38)))</f>
        <v/>
      </c>
      <c r="AK38" s="62" t="str">
        <f aca="false">IF(ISBLANK($C38),"",IF($Z38=Constants!$B$7,IF(ISNUMBER(AJ38),RANK(AJ38,$AJ$8:$AJ$507),Constants!$B$14),$Z38))</f>
        <v/>
      </c>
      <c r="AL38" s="62" t="str">
        <f aca="false">IF(ISBLANK($C38),"",IF($Z38=Constants!$B$7,IF(AI38=1,AD38,AG38),""))</f>
        <v/>
      </c>
      <c r="AM38" s="62" t="str">
        <f aca="false">IF(ISBLANK($C38),"",IF($Z38=Constants!$B$7,RANK(AL38,$AL$8:$AL$507),$Z38))</f>
        <v/>
      </c>
      <c r="AN38" s="62" t="str">
        <f aca="false">IF(ISBLANK($C38),"",IF($Z38=Constants!$B$7,IF(ISNUMBER(AK38),COUNTIFS($AK$8:$AK$507,"&lt;"&amp;$AK38)+COUNTIFS($AK$8:$AK$507,$AK38,$AM$8:$AM$507,"&lt;"&amp;$AM38)+1,Constants!$B$14),$Z38))</f>
        <v/>
      </c>
      <c r="AO38" s="62" t="str">
        <f aca="false">IF(ISBLANK($C38),"",IF($Z38=Constants!$B$7,IF(ISNUMBER(AK38),AK38-AN38,Constants!$B$14),$Z38))</f>
        <v/>
      </c>
      <c r="AP38" s="64"/>
      <c r="AQ38" s="65" t="str">
        <f aca="false">IF(ISBLANK($C38),"",IF($Z38&lt;&gt;Constants!$B$7,"",AH38))</f>
        <v/>
      </c>
      <c r="AR38" s="80" t="str">
        <f aca="false">IF(ISBLANK($C38),"",IF($Z38&lt;&gt;Constants!$B$7,"",IF(AH38=1,AB38,AE38)))</f>
        <v/>
      </c>
      <c r="AS38" s="67" t="str">
        <f aca="false">IF(ISBLANK($C38),"",IF($Z38&lt;&gt;Constants!$B$7,"",IF(AH38=1,AC38,AF38)))</f>
        <v/>
      </c>
      <c r="AT38" s="68" t="str">
        <f aca="false">IF(ISBLANK($C38),"",IF($Z38&lt;&gt;Constants!$B$7,$Z38,AJ38))</f>
        <v/>
      </c>
      <c r="AU38" s="69" t="str">
        <f aca="false">IF(ISBLANK($C38),"",IF($Z38&lt;&gt;Constants!$B$7,$Z38,AA38))</f>
        <v/>
      </c>
      <c r="AV38" s="70" t="str">
        <f aca="false">IF(ISBLANK($C38),"",AO38)</f>
        <v/>
      </c>
      <c r="AW38" s="70" t="str">
        <f aca="false">IF(ISBLANK($C38),"",AN38)</f>
        <v/>
      </c>
      <c r="AX38" s="71" t="str">
        <f aca="false">IF(ISBLANK($C38),"",IFERROR(_xlfn.SWITCH(AW38,Constants!$B$4,COUNTA($C$8:$C$507)+2,Constants!$B$5,COUNTA($C$8:$C$507)+1,Constants!$B$6,COUNTA($C$8:$C$507)),AW38))</f>
        <v/>
      </c>
      <c r="AY38" s="5"/>
      <c r="AZ38" s="72" t="n">
        <f aca="false">IF(OR(ISNUMBER(AW38),AW38=Constants!$B$4,AW38=Constants!$B$6,AW38=Constants!$B$5),1,0)</f>
        <v>0</v>
      </c>
      <c r="BA38" s="72" t="n">
        <v>31</v>
      </c>
      <c r="BB38" s="72" t="str">
        <f aca="false">IF(ISBLANK($C38),"",IF(ISNUMBER(AX38),AX38+ROW($B38)/1000,""))</f>
        <v/>
      </c>
      <c r="BC38" s="72" t="str">
        <f aca="false">IF(ISNUMBER(BB38),RANK(BB38,$BB$8:$BB$507,1),"")</f>
        <v/>
      </c>
      <c r="BD38" s="72" t="str">
        <f aca="false">IF(ISBLANK($C38),"",$B38)</f>
        <v/>
      </c>
      <c r="BE38" s="72" t="str">
        <f aca="false">IF(ISBLANK($C38),"",$C38)</f>
        <v/>
      </c>
      <c r="BF38" s="72" t="str">
        <f aca="false">IF(ISBLANK($C38),"",$D38)</f>
        <v/>
      </c>
      <c r="BG38" s="73" t="str">
        <f aca="false">AU38</f>
        <v/>
      </c>
      <c r="BH38" s="74" t="str">
        <f aca="false">AT38</f>
        <v/>
      </c>
      <c r="BI38" s="72" t="str">
        <f aca="false">IF(ISBLANK($C38),"",AW38)</f>
        <v/>
      </c>
      <c r="BJ38" s="75" t="str">
        <f aca="false">IF($BA38&gt;$AZ$7,"",VLOOKUP($BA38,$BC$8:$BI$507,7,FALSE()))</f>
        <v/>
      </c>
      <c r="BK38" s="76" t="str">
        <f aca="false">IF($BA38&gt;$AZ$7,"",VLOOKUP($BA38,$BC$8:$BI$507,2,FALSE()))</f>
        <v/>
      </c>
      <c r="BL38" s="76" t="str">
        <f aca="false">IF($BA38&gt;$AZ$7,"",VLOOKUP($BA38,$BC$8:$BI$507,3,FALSE()))</f>
        <v/>
      </c>
      <c r="BM38" s="76" t="str">
        <f aca="false">IF($BA38&gt;$AZ$7,"",VLOOKUP($BA38,$BC$8:$BI$507,4,FALSE()))</f>
        <v/>
      </c>
      <c r="BN38" s="76" t="str">
        <f aca="false">IF($BA38&gt;$AZ$7,"",VLOOKUP($BA38,$BC$8:$BI$507,5,FALSE()))</f>
        <v/>
      </c>
      <c r="BO38" s="77" t="str">
        <f aca="false">IF($BA38&gt;$AZ$7,"",VLOOKUP($BA38,$BC$8:$BI$507,6,FALSE()))</f>
        <v/>
      </c>
      <c r="BP38" s="52"/>
    </row>
    <row r="39" customFormat="false" ht="15.75" hidden="false" customHeight="false" outlineLevel="0" collapsed="false">
      <c r="A39" s="5"/>
      <c r="B39" s="118"/>
      <c r="C39" s="54"/>
      <c r="D39" s="55"/>
      <c r="E39" s="79"/>
      <c r="F39" s="57"/>
      <c r="G39" s="58"/>
      <c r="H39" s="58"/>
      <c r="I39" s="57"/>
      <c r="J39" s="58"/>
      <c r="K39" s="58"/>
      <c r="L39" s="57"/>
      <c r="M39" s="79"/>
      <c r="N39" s="60"/>
      <c r="O39" s="62" t="str">
        <f aca="false">IF(ISBLANK($C39),"",IF(E39=Constants!$B$2, TRUE(), IF(E39=Constants!$B$3, FALSE(), TRUE())))</f>
        <v/>
      </c>
      <c r="P39" s="62" t="str">
        <f aca="false">IF(ISBLANK($C39),"",IF(F39=Constants!$B$16,Constants!$B$9,IF(F39=Constants!$B$17,Constants!$B$10,Constants!$B$8)))</f>
        <v/>
      </c>
      <c r="Q39" s="62" t="str">
        <f aca="false">IF(ISBLANK($C39),"",IF(ISNUMBER(G39),IF(G39&gt;=0,G39,""),""))</f>
        <v/>
      </c>
      <c r="R39" s="62" t="str">
        <f aca="false">IF(ISBLANK($C39),"",IF(H39=Constants!$B$2, TRUE(), IF(H39=Constants!$B$3, FALSE(), TRUE())))</f>
        <v/>
      </c>
      <c r="S39" s="62" t="str">
        <f aca="false">IF(ISBLANK($C39),"",IF(I39=Constants!$B$2, TRUE(), IF(I39=Constants!$B$3, FALSE(), TRUE())))</f>
        <v/>
      </c>
      <c r="T39" s="62" t="str">
        <f aca="false">IF(ISBLANK($C39),"",IF(ISNUMBER(J39),IF(J39&gt;=0,J39,""),""))</f>
        <v/>
      </c>
      <c r="U39" s="62" t="str">
        <f aca="false">IF(ISBLANK($C39),"",IF(K39=Constants!$B$2, TRUE(), IF(K39=Constants!$B$3, FALSE(), TRUE())))</f>
        <v/>
      </c>
      <c r="V39" s="62" t="str">
        <f aca="false">IF(ISBLANK($C39),"",IF(L39=Constants!$B$2, TRUE(), IF(L39=Constants!$B$3, FALSE(), TRUE())))</f>
        <v/>
      </c>
      <c r="W39" s="62" t="str">
        <f aca="false">IF(ISBLANK($C39),"",IF(M39=Constants!$B$2, TRUE(), IF(M39=Constants!$B$3, FALSE(), FALSE())))</f>
        <v/>
      </c>
      <c r="X39" s="62" t="str">
        <f aca="false">IF(ISBLANK($C39),"",AND(Q39&lt;&gt;"",O39))</f>
        <v/>
      </c>
      <c r="Y39" s="62" t="str">
        <f aca="false">IF(ISBLANK($C39),"",AND(T39&lt;&gt;"",O39))</f>
        <v/>
      </c>
      <c r="Z39" s="62" t="str">
        <f aca="false">IF(ISBLANK($C39),"",IF(W39,Constants!$B$4,IF(COUNTA(E39:L39)=0,Constants!$B$5,IF(NOT(O39),Constants!$B$6,IF(AND(NOT(X39),NOT(Y39)),Constants!$B$6,Constants!$B$7)))))</f>
        <v/>
      </c>
      <c r="AA39" s="62" t="str">
        <f aca="false">IF(ISBLANK($C39),"",IF($Z39&lt;&gt;Constants!$B$7,$Z39,Constants!$B$20))</f>
        <v/>
      </c>
      <c r="AB39" s="62" t="str">
        <f aca="false">IF($Z39=Constants!$B$7,IF(X39,Q39,Constants!$B$13),"")</f>
        <v/>
      </c>
      <c r="AC39" s="62" t="str">
        <f aca="false">IF($Z39=Constants!$B$7,IF(X39,P39*IF(R39, 1, Constants!$B$11)*IF(S39, 1, Constants!$B$12),Constants!$B$13),"")</f>
        <v/>
      </c>
      <c r="AD39" s="62" t="str">
        <f aca="false">IF($Z39=Constants!$B$7,AB39*AC39,"")</f>
        <v/>
      </c>
      <c r="AE39" s="62" t="str">
        <f aca="false">IF($Z39=Constants!$B$7,IF(Y39,T39,Constants!$B$13),"")</f>
        <v/>
      </c>
      <c r="AF39" s="62" t="str">
        <f aca="false">IF($Z39=Constants!$B$7,IF(Y39,P39*IF(U39, 1, Constants!$B$11)*IF(V39, 1, Constants!$B$12),Constants!$B$13),"")</f>
        <v/>
      </c>
      <c r="AG39" s="62" t="str">
        <f aca="false">IF($Z39=Constants!$B$7,AE39*AF39,"")</f>
        <v/>
      </c>
      <c r="AH39" s="62" t="str">
        <f aca="false">IF($Z39=Constants!$B$7,IF(AG39&gt;AD39,2,1),"")</f>
        <v/>
      </c>
      <c r="AI39" s="62" t="str">
        <f aca="false">IF($Z39=Constants!$B$7,IF(AH39=1,2,1),"")</f>
        <v/>
      </c>
      <c r="AJ39" s="62" t="str">
        <f aca="false">IF(ISBLANK($C39),"",IF($Z39&lt;&gt;Constants!$B$7,$Z39,IF(AH39=1,AD39,AG39)))</f>
        <v/>
      </c>
      <c r="AK39" s="62" t="str">
        <f aca="false">IF(ISBLANK($C39),"",IF($Z39=Constants!$B$7,IF(ISNUMBER(AJ39),RANK(AJ39,$AJ$8:$AJ$507),Constants!$B$14),$Z39))</f>
        <v/>
      </c>
      <c r="AL39" s="62" t="str">
        <f aca="false">IF(ISBLANK($C39),"",IF($Z39=Constants!$B$7,IF(AI39=1,AD39,AG39),""))</f>
        <v/>
      </c>
      <c r="AM39" s="62" t="str">
        <f aca="false">IF(ISBLANK($C39),"",IF($Z39=Constants!$B$7,RANK(AL39,$AL$8:$AL$507),$Z39))</f>
        <v/>
      </c>
      <c r="AN39" s="62" t="str">
        <f aca="false">IF(ISBLANK($C39),"",IF($Z39=Constants!$B$7,IF(ISNUMBER(AK39),COUNTIFS($AK$8:$AK$507,"&lt;"&amp;$AK39)+COUNTIFS($AK$8:$AK$507,$AK39,$AM$8:$AM$507,"&lt;"&amp;$AM39)+1,Constants!$B$14),$Z39))</f>
        <v/>
      </c>
      <c r="AO39" s="62" t="str">
        <f aca="false">IF(ISBLANK($C39),"",IF($Z39=Constants!$B$7,IF(ISNUMBER(AK39),AK39-AN39,Constants!$B$14),$Z39))</f>
        <v/>
      </c>
      <c r="AP39" s="64"/>
      <c r="AQ39" s="65" t="str">
        <f aca="false">IF(ISBLANK($C39),"",IF($Z39&lt;&gt;Constants!$B$7,"",AH39))</f>
        <v/>
      </c>
      <c r="AR39" s="80" t="str">
        <f aca="false">IF(ISBLANK($C39),"",IF($Z39&lt;&gt;Constants!$B$7,"",IF(AH39=1,AB39,AE39)))</f>
        <v/>
      </c>
      <c r="AS39" s="67" t="str">
        <f aca="false">IF(ISBLANK($C39),"",IF($Z39&lt;&gt;Constants!$B$7,"",IF(AH39=1,AC39,AF39)))</f>
        <v/>
      </c>
      <c r="AT39" s="68" t="str">
        <f aca="false">IF(ISBLANK($C39),"",IF($Z39&lt;&gt;Constants!$B$7,$Z39,AJ39))</f>
        <v/>
      </c>
      <c r="AU39" s="69" t="str">
        <f aca="false">IF(ISBLANK($C39),"",IF($Z39&lt;&gt;Constants!$B$7,$Z39,AA39))</f>
        <v/>
      </c>
      <c r="AV39" s="70" t="str">
        <f aca="false">IF(ISBLANK($C39),"",AO39)</f>
        <v/>
      </c>
      <c r="AW39" s="70" t="str">
        <f aca="false">IF(ISBLANK($C39),"",AN39)</f>
        <v/>
      </c>
      <c r="AX39" s="71" t="str">
        <f aca="false">IF(ISBLANK($C39),"",IFERROR(_xlfn.SWITCH(AW39,Constants!$B$4,COUNTA($C$8:$C$507)+2,Constants!$B$5,COUNTA($C$8:$C$507)+1,Constants!$B$6,COUNTA($C$8:$C$507)),AW39))</f>
        <v/>
      </c>
      <c r="AY39" s="5"/>
      <c r="AZ39" s="72" t="n">
        <f aca="false">IF(OR(ISNUMBER(AW39),AW39=Constants!$B$4,AW39=Constants!$B$6,AW39=Constants!$B$5),1,0)</f>
        <v>0</v>
      </c>
      <c r="BA39" s="72" t="n">
        <v>32</v>
      </c>
      <c r="BB39" s="72" t="str">
        <f aca="false">IF(ISBLANK($C39),"",IF(ISNUMBER(AX39),AX39+ROW($B39)/1000,""))</f>
        <v/>
      </c>
      <c r="BC39" s="72" t="str">
        <f aca="false">IF(ISNUMBER(BB39),RANK(BB39,$BB$8:$BB$507,1),"")</f>
        <v/>
      </c>
      <c r="BD39" s="72" t="str">
        <f aca="false">IF(ISBLANK($C39),"",$B39)</f>
        <v/>
      </c>
      <c r="BE39" s="72" t="str">
        <f aca="false">IF(ISBLANK($C39),"",$C39)</f>
        <v/>
      </c>
      <c r="BF39" s="72" t="str">
        <f aca="false">IF(ISBLANK($C39),"",$D39)</f>
        <v/>
      </c>
      <c r="BG39" s="73" t="str">
        <f aca="false">AU39</f>
        <v/>
      </c>
      <c r="BH39" s="74" t="str">
        <f aca="false">AT39</f>
        <v/>
      </c>
      <c r="BI39" s="72" t="str">
        <f aca="false">IF(ISBLANK($C39),"",AW39)</f>
        <v/>
      </c>
      <c r="BJ39" s="75" t="str">
        <f aca="false">IF($BA39&gt;$AZ$7,"",VLOOKUP($BA39,$BC$8:$BI$507,7,FALSE()))</f>
        <v/>
      </c>
      <c r="BK39" s="76" t="str">
        <f aca="false">IF($BA39&gt;$AZ$7,"",VLOOKUP($BA39,$BC$8:$BI$507,2,FALSE()))</f>
        <v/>
      </c>
      <c r="BL39" s="76" t="str">
        <f aca="false">IF($BA39&gt;$AZ$7,"",VLOOKUP($BA39,$BC$8:$BI$507,3,FALSE()))</f>
        <v/>
      </c>
      <c r="BM39" s="76" t="str">
        <f aca="false">IF($BA39&gt;$AZ$7,"",VLOOKUP($BA39,$BC$8:$BI$507,4,FALSE()))</f>
        <v/>
      </c>
      <c r="BN39" s="76" t="str">
        <f aca="false">IF($BA39&gt;$AZ$7,"",VLOOKUP($BA39,$BC$8:$BI$507,5,FALSE()))</f>
        <v/>
      </c>
      <c r="BO39" s="77" t="str">
        <f aca="false">IF($BA39&gt;$AZ$7,"",VLOOKUP($BA39,$BC$8:$BI$507,6,FALSE()))</f>
        <v/>
      </c>
      <c r="BP39" s="52"/>
    </row>
    <row r="40" customFormat="false" ht="15.75" hidden="false" customHeight="false" outlineLevel="0" collapsed="false">
      <c r="A40" s="5"/>
      <c r="B40" s="118"/>
      <c r="C40" s="54"/>
      <c r="D40" s="55"/>
      <c r="E40" s="79"/>
      <c r="F40" s="57"/>
      <c r="G40" s="58"/>
      <c r="H40" s="58"/>
      <c r="I40" s="57"/>
      <c r="J40" s="58"/>
      <c r="K40" s="58"/>
      <c r="L40" s="57"/>
      <c r="M40" s="79"/>
      <c r="N40" s="60"/>
      <c r="O40" s="62" t="str">
        <f aca="false">IF(ISBLANK($C40),"",IF(E40=Constants!$B$2, TRUE(), IF(E40=Constants!$B$3, FALSE(), TRUE())))</f>
        <v/>
      </c>
      <c r="P40" s="62" t="str">
        <f aca="false">IF(ISBLANK($C40),"",IF(F40=Constants!$B$16,Constants!$B$9,IF(F40=Constants!$B$17,Constants!$B$10,Constants!$B$8)))</f>
        <v/>
      </c>
      <c r="Q40" s="62" t="str">
        <f aca="false">IF(ISBLANK($C40),"",IF(ISNUMBER(G40),IF(G40&gt;=0,G40,""),""))</f>
        <v/>
      </c>
      <c r="R40" s="62" t="str">
        <f aca="false">IF(ISBLANK($C40),"",IF(H40=Constants!$B$2, TRUE(), IF(H40=Constants!$B$3, FALSE(), TRUE())))</f>
        <v/>
      </c>
      <c r="S40" s="62" t="str">
        <f aca="false">IF(ISBLANK($C40),"",IF(I40=Constants!$B$2, TRUE(), IF(I40=Constants!$B$3, FALSE(), TRUE())))</f>
        <v/>
      </c>
      <c r="T40" s="62" t="str">
        <f aca="false">IF(ISBLANK($C40),"",IF(ISNUMBER(J40),IF(J40&gt;=0,J40,""),""))</f>
        <v/>
      </c>
      <c r="U40" s="62" t="str">
        <f aca="false">IF(ISBLANK($C40),"",IF(K40=Constants!$B$2, TRUE(), IF(K40=Constants!$B$3, FALSE(), TRUE())))</f>
        <v/>
      </c>
      <c r="V40" s="62" t="str">
        <f aca="false">IF(ISBLANK($C40),"",IF(L40=Constants!$B$2, TRUE(), IF(L40=Constants!$B$3, FALSE(), TRUE())))</f>
        <v/>
      </c>
      <c r="W40" s="62" t="str">
        <f aca="false">IF(ISBLANK($C40),"",IF(M40=Constants!$B$2, TRUE(), IF(M40=Constants!$B$3, FALSE(), FALSE())))</f>
        <v/>
      </c>
      <c r="X40" s="62" t="str">
        <f aca="false">IF(ISBLANK($C40),"",AND(Q40&lt;&gt;"",O40))</f>
        <v/>
      </c>
      <c r="Y40" s="62" t="str">
        <f aca="false">IF(ISBLANK($C40),"",AND(T40&lt;&gt;"",O40))</f>
        <v/>
      </c>
      <c r="Z40" s="62" t="str">
        <f aca="false">IF(ISBLANK($C40),"",IF(W40,Constants!$B$4,IF(COUNTA(E40:L40)=0,Constants!$B$5,IF(NOT(O40),Constants!$B$6,IF(AND(NOT(X40),NOT(Y40)),Constants!$B$6,Constants!$B$7)))))</f>
        <v/>
      </c>
      <c r="AA40" s="62" t="str">
        <f aca="false">IF(ISBLANK($C40),"",IF($Z40&lt;&gt;Constants!$B$7,$Z40,Constants!$B$20))</f>
        <v/>
      </c>
      <c r="AB40" s="62" t="str">
        <f aca="false">IF($Z40=Constants!$B$7,IF(X40,Q40,Constants!$B$13),"")</f>
        <v/>
      </c>
      <c r="AC40" s="62" t="str">
        <f aca="false">IF($Z40=Constants!$B$7,IF(X40,P40*IF(R40, 1, Constants!$B$11)*IF(S40, 1, Constants!$B$12),Constants!$B$13),"")</f>
        <v/>
      </c>
      <c r="AD40" s="62" t="str">
        <f aca="false">IF($Z40=Constants!$B$7,AB40*AC40,"")</f>
        <v/>
      </c>
      <c r="AE40" s="62" t="str">
        <f aca="false">IF($Z40=Constants!$B$7,IF(Y40,T40,Constants!$B$13),"")</f>
        <v/>
      </c>
      <c r="AF40" s="62" t="str">
        <f aca="false">IF($Z40=Constants!$B$7,IF(Y40,P40*IF(U40, 1, Constants!$B$11)*IF(V40, 1, Constants!$B$12),Constants!$B$13),"")</f>
        <v/>
      </c>
      <c r="AG40" s="62" t="str">
        <f aca="false">IF($Z40=Constants!$B$7,AE40*AF40,"")</f>
        <v/>
      </c>
      <c r="AH40" s="62" t="str">
        <f aca="false">IF($Z40=Constants!$B$7,IF(AG40&gt;AD40,2,1),"")</f>
        <v/>
      </c>
      <c r="AI40" s="62" t="str">
        <f aca="false">IF($Z40=Constants!$B$7,IF(AH40=1,2,1),"")</f>
        <v/>
      </c>
      <c r="AJ40" s="62" t="str">
        <f aca="false">IF(ISBLANK($C40),"",IF($Z40&lt;&gt;Constants!$B$7,$Z40,IF(AH40=1,AD40,AG40)))</f>
        <v/>
      </c>
      <c r="AK40" s="62" t="str">
        <f aca="false">IF(ISBLANK($C40),"",IF($Z40=Constants!$B$7,IF(ISNUMBER(AJ40),RANK(AJ40,$AJ$8:$AJ$507),Constants!$B$14),$Z40))</f>
        <v/>
      </c>
      <c r="AL40" s="62" t="str">
        <f aca="false">IF(ISBLANK($C40),"",IF($Z40=Constants!$B$7,IF(AI40=1,AD40,AG40),""))</f>
        <v/>
      </c>
      <c r="AM40" s="62" t="str">
        <f aca="false">IF(ISBLANK($C40),"",IF($Z40=Constants!$B$7,RANK(AL40,$AL$8:$AL$507),$Z40))</f>
        <v/>
      </c>
      <c r="AN40" s="62" t="str">
        <f aca="false">IF(ISBLANK($C40),"",IF($Z40=Constants!$B$7,IF(ISNUMBER(AK40),COUNTIFS($AK$8:$AK$507,"&lt;"&amp;$AK40)+COUNTIFS($AK$8:$AK$507,$AK40,$AM$8:$AM$507,"&lt;"&amp;$AM40)+1,Constants!$B$14),$Z40))</f>
        <v/>
      </c>
      <c r="AO40" s="62" t="str">
        <f aca="false">IF(ISBLANK($C40),"",IF($Z40=Constants!$B$7,IF(ISNUMBER(AK40),AK40-AN40,Constants!$B$14),$Z40))</f>
        <v/>
      </c>
      <c r="AP40" s="64"/>
      <c r="AQ40" s="65" t="str">
        <f aca="false">IF(ISBLANK($C40),"",IF($Z40&lt;&gt;Constants!$B$7,"",AH40))</f>
        <v/>
      </c>
      <c r="AR40" s="80" t="str">
        <f aca="false">IF(ISBLANK($C40),"",IF($Z40&lt;&gt;Constants!$B$7,"",IF(AH40=1,AB40,AE40)))</f>
        <v/>
      </c>
      <c r="AS40" s="67" t="str">
        <f aca="false">IF(ISBLANK($C40),"",IF($Z40&lt;&gt;Constants!$B$7,"",IF(AH40=1,AC40,AF40)))</f>
        <v/>
      </c>
      <c r="AT40" s="68" t="str">
        <f aca="false">IF(ISBLANK($C40),"",IF($Z40&lt;&gt;Constants!$B$7,$Z40,AJ40))</f>
        <v/>
      </c>
      <c r="AU40" s="69" t="str">
        <f aca="false">IF(ISBLANK($C40),"",IF($Z40&lt;&gt;Constants!$B$7,$Z40,AA40))</f>
        <v/>
      </c>
      <c r="AV40" s="70" t="str">
        <f aca="false">IF(ISBLANK($C40),"",AO40)</f>
        <v/>
      </c>
      <c r="AW40" s="70" t="str">
        <f aca="false">IF(ISBLANK($C40),"",AN40)</f>
        <v/>
      </c>
      <c r="AX40" s="71" t="str">
        <f aca="false">IF(ISBLANK($C40),"",IFERROR(_xlfn.SWITCH(AW40,Constants!$B$4,COUNTA($C$8:$C$507)+2,Constants!$B$5,COUNTA($C$8:$C$507)+1,Constants!$B$6,COUNTA($C$8:$C$507)),AW40))</f>
        <v/>
      </c>
      <c r="AY40" s="5"/>
      <c r="AZ40" s="72" t="n">
        <f aca="false">IF(OR(ISNUMBER(AW40),AW40=Constants!$B$4,AW40=Constants!$B$6,AW40=Constants!$B$5),1,0)</f>
        <v>0</v>
      </c>
      <c r="BA40" s="72" t="n">
        <v>33</v>
      </c>
      <c r="BB40" s="72" t="str">
        <f aca="false">IF(ISBLANK($C40),"",IF(ISNUMBER(AX40),AX40+ROW($B40)/1000,""))</f>
        <v/>
      </c>
      <c r="BC40" s="72" t="str">
        <f aca="false">IF(ISNUMBER(BB40),RANK(BB40,$BB$8:$BB$507,1),"")</f>
        <v/>
      </c>
      <c r="BD40" s="72" t="str">
        <f aca="false">IF(ISBLANK($C40),"",$B40)</f>
        <v/>
      </c>
      <c r="BE40" s="72" t="str">
        <f aca="false">IF(ISBLANK($C40),"",$C40)</f>
        <v/>
      </c>
      <c r="BF40" s="72" t="str">
        <f aca="false">IF(ISBLANK($C40),"",$D40)</f>
        <v/>
      </c>
      <c r="BG40" s="73" t="str">
        <f aca="false">AU40</f>
        <v/>
      </c>
      <c r="BH40" s="74" t="str">
        <f aca="false">AT40</f>
        <v/>
      </c>
      <c r="BI40" s="72" t="str">
        <f aca="false">IF(ISBLANK($C40),"",AW40)</f>
        <v/>
      </c>
      <c r="BJ40" s="75" t="str">
        <f aca="false">IF($BA40&gt;$AZ$7,"",VLOOKUP($BA40,$BC$8:$BI$507,7,FALSE()))</f>
        <v/>
      </c>
      <c r="BK40" s="76" t="str">
        <f aca="false">IF($BA40&gt;$AZ$7,"",VLOOKUP($BA40,$BC$8:$BI$507,2,FALSE()))</f>
        <v/>
      </c>
      <c r="BL40" s="76" t="str">
        <f aca="false">IF($BA40&gt;$AZ$7,"",VLOOKUP($BA40,$BC$8:$BI$507,3,FALSE()))</f>
        <v/>
      </c>
      <c r="BM40" s="76" t="str">
        <f aca="false">IF($BA40&gt;$AZ$7,"",VLOOKUP($BA40,$BC$8:$BI$507,4,FALSE()))</f>
        <v/>
      </c>
      <c r="BN40" s="76" t="str">
        <f aca="false">IF($BA40&gt;$AZ$7,"",VLOOKUP($BA40,$BC$8:$BI$507,5,FALSE()))</f>
        <v/>
      </c>
      <c r="BO40" s="77" t="str">
        <f aca="false">IF($BA40&gt;$AZ$7,"",VLOOKUP($BA40,$BC$8:$BI$507,6,FALSE()))</f>
        <v/>
      </c>
      <c r="BP40" s="52"/>
    </row>
    <row r="41" customFormat="false" ht="15.75" hidden="false" customHeight="false" outlineLevel="0" collapsed="false">
      <c r="A41" s="5"/>
      <c r="B41" s="114"/>
      <c r="C41" s="115"/>
      <c r="D41" s="106"/>
      <c r="E41" s="117"/>
      <c r="F41" s="87"/>
      <c r="G41" s="88"/>
      <c r="H41" s="88"/>
      <c r="I41" s="87"/>
      <c r="J41" s="88"/>
      <c r="K41" s="88"/>
      <c r="L41" s="87"/>
      <c r="M41" s="117"/>
      <c r="N41" s="90"/>
      <c r="O41" s="91" t="str">
        <f aca="false">IF(ISBLANK($C41),"",IF(E41=Constants!$B$2, TRUE(), IF(E41=Constants!$B$3, FALSE(), TRUE())))</f>
        <v/>
      </c>
      <c r="P41" s="91" t="str">
        <f aca="false">IF(ISBLANK($C41),"",IF(F41=Constants!$B$16,Constants!$B$9,IF(F41=Constants!$B$17,Constants!$B$10,Constants!$B$8)))</f>
        <v/>
      </c>
      <c r="Q41" s="91" t="str">
        <f aca="false">IF(ISBLANK($C41),"",IF(ISNUMBER(G41),IF(G41&gt;=0,G41,""),""))</f>
        <v/>
      </c>
      <c r="R41" s="91" t="str">
        <f aca="false">IF(ISBLANK($C41),"",IF(H41=Constants!$B$2, TRUE(), IF(H41=Constants!$B$3, FALSE(), TRUE())))</f>
        <v/>
      </c>
      <c r="S41" s="91" t="str">
        <f aca="false">IF(ISBLANK($C41),"",IF(I41=Constants!$B$2, TRUE(), IF(I41=Constants!$B$3, FALSE(), TRUE())))</f>
        <v/>
      </c>
      <c r="T41" s="91" t="str">
        <f aca="false">IF(ISBLANK($C41),"",IF(ISNUMBER(J41),IF(J41&gt;=0,J41,""),""))</f>
        <v/>
      </c>
      <c r="U41" s="91" t="str">
        <f aca="false">IF(ISBLANK($C41),"",IF(K41=Constants!$B$2, TRUE(), IF(K41=Constants!$B$3, FALSE(), TRUE())))</f>
        <v/>
      </c>
      <c r="V41" s="91" t="str">
        <f aca="false">IF(ISBLANK($C41),"",IF(L41=Constants!$B$2, TRUE(), IF(L41=Constants!$B$3, FALSE(), TRUE())))</f>
        <v/>
      </c>
      <c r="W41" s="91" t="str">
        <f aca="false">IF(ISBLANK($C41),"",IF(M41=Constants!$B$2, TRUE(), IF(M41=Constants!$B$3, FALSE(), FALSE())))</f>
        <v/>
      </c>
      <c r="X41" s="91" t="str">
        <f aca="false">IF(ISBLANK($C41),"",AND(Q41&lt;&gt;"",O41))</f>
        <v/>
      </c>
      <c r="Y41" s="91" t="str">
        <f aca="false">IF(ISBLANK($C41),"",AND(T41&lt;&gt;"",O41))</f>
        <v/>
      </c>
      <c r="Z41" s="91" t="str">
        <f aca="false">IF(ISBLANK($C41),"",IF(W41,Constants!$B$4,IF(COUNTA(E41:L41)=0,Constants!$B$5,IF(NOT(O41),Constants!$B$6,IF(AND(NOT(X41),NOT(Y41)),Constants!$B$6,Constants!$B$7)))))</f>
        <v/>
      </c>
      <c r="AA41" s="91" t="str">
        <f aca="false">IF(ISBLANK($C41),"",IF($Z41&lt;&gt;Constants!$B$7,$Z41,Constants!$B$20))</f>
        <v/>
      </c>
      <c r="AB41" s="91" t="str">
        <f aca="false">IF($Z41=Constants!$B$7,IF(X41,Q41,Constants!$B$13),"")</f>
        <v/>
      </c>
      <c r="AC41" s="91" t="str">
        <f aca="false">IF($Z41=Constants!$B$7,IF(X41,P41*IF(R41, 1, Constants!$B$11)*IF(S41, 1, Constants!$B$12),Constants!$B$13),"")</f>
        <v/>
      </c>
      <c r="AD41" s="91" t="str">
        <f aca="false">IF($Z41=Constants!$B$7,AB41*AC41,"")</f>
        <v/>
      </c>
      <c r="AE41" s="91" t="str">
        <f aca="false">IF($Z41=Constants!$B$7,IF(Y41,T41,Constants!$B$13),"")</f>
        <v/>
      </c>
      <c r="AF41" s="91" t="str">
        <f aca="false">IF($Z41=Constants!$B$7,IF(Y41,P41*IF(U41, 1, Constants!$B$11)*IF(V41, 1, Constants!$B$12),Constants!$B$13),"")</f>
        <v/>
      </c>
      <c r="AG41" s="91" t="str">
        <f aca="false">IF($Z41=Constants!$B$7,AE41*AF41,"")</f>
        <v/>
      </c>
      <c r="AH41" s="91" t="str">
        <f aca="false">IF($Z41=Constants!$B$7,IF(AG41&gt;AD41,2,1),"")</f>
        <v/>
      </c>
      <c r="AI41" s="91" t="str">
        <f aca="false">IF($Z41=Constants!$B$7,IF(AH41=1,2,1),"")</f>
        <v/>
      </c>
      <c r="AJ41" s="91" t="str">
        <f aca="false">IF(ISBLANK($C41),"",IF($Z41&lt;&gt;Constants!$B$7,$Z41,IF(AH41=1,AD41,AG41)))</f>
        <v/>
      </c>
      <c r="AK41" s="91" t="str">
        <f aca="false">IF(ISBLANK($C41),"",IF($Z41=Constants!$B$7,IF(ISNUMBER(AJ41),RANK(AJ41,$AJ$8:$AJ$507),Constants!$B$14),$Z41))</f>
        <v/>
      </c>
      <c r="AL41" s="91" t="str">
        <f aca="false">IF(ISBLANK($C41),"",IF($Z41=Constants!$B$7,IF(AI41=1,AD41,AG41),""))</f>
        <v/>
      </c>
      <c r="AM41" s="91" t="str">
        <f aca="false">IF(ISBLANK($C41),"",IF($Z41=Constants!$B$7,RANK(AL41,$AL$8:$AL$507),$Z41))</f>
        <v/>
      </c>
      <c r="AN41" s="91" t="str">
        <f aca="false">IF(ISBLANK($C41),"",IF($Z41=Constants!$B$7,IF(ISNUMBER(AK41),COUNTIFS($AK$8:$AK$507,"&lt;"&amp;$AK41)+COUNTIFS($AK$8:$AK$507,$AK41,$AM$8:$AM$507,"&lt;"&amp;$AM41)+1,Constants!$B$14),$Z41))</f>
        <v/>
      </c>
      <c r="AO41" s="91" t="str">
        <f aca="false">IF(ISBLANK($C41),"",IF($Z41=Constants!$B$7,IF(ISNUMBER(AK41),AK41-AN41,Constants!$B$14),$Z41))</f>
        <v/>
      </c>
      <c r="AP41" s="92"/>
      <c r="AQ41" s="93" t="str">
        <f aca="false">IF(ISBLANK($C41),"",IF($Z41&lt;&gt;Constants!$B$7,"",AH41))</f>
        <v/>
      </c>
      <c r="AR41" s="94" t="str">
        <f aca="false">IF(ISBLANK($C41),"",IF($Z41&lt;&gt;Constants!$B$7,"",IF(AH41=1,AB41,AE41)))</f>
        <v/>
      </c>
      <c r="AS41" s="95" t="str">
        <f aca="false">IF(ISBLANK($C41),"",IF($Z41&lt;&gt;Constants!$B$7,"",IF(AH41=1,AC41,AF41)))</f>
        <v/>
      </c>
      <c r="AT41" s="96" t="str">
        <f aca="false">IF(ISBLANK($C41),"",IF($Z41&lt;&gt;Constants!$B$7,$Z41,AJ41))</f>
        <v/>
      </c>
      <c r="AU41" s="97" t="str">
        <f aca="false">IF(ISBLANK($C41),"",IF($Z41&lt;&gt;Constants!$B$7,$Z41,AA41))</f>
        <v/>
      </c>
      <c r="AV41" s="98" t="str">
        <f aca="false">IF(ISBLANK($C41),"",AO41)</f>
        <v/>
      </c>
      <c r="AW41" s="98" t="str">
        <f aca="false">IF(ISBLANK($C41),"",AN41)</f>
        <v/>
      </c>
      <c r="AX41" s="99" t="str">
        <f aca="false">IF(ISBLANK($C41),"",IFERROR(_xlfn.SWITCH(AW41,Constants!$B$4,COUNTA($C$8:$C$507)+2,Constants!$B$5,COUNTA($C$8:$C$507)+1,Constants!$B$6,COUNTA($C$8:$C$507)),AW41))</f>
        <v/>
      </c>
      <c r="AY41" s="5"/>
      <c r="AZ41" s="100" t="n">
        <f aca="false">IF(OR(ISNUMBER(AW41),AW41=Constants!$B$4,AW41=Constants!$B$6,AW41=Constants!$B$5),1,0)</f>
        <v>0</v>
      </c>
      <c r="BA41" s="100" t="n">
        <v>34</v>
      </c>
      <c r="BB41" s="100" t="str">
        <f aca="false">IF(ISBLANK($C41),"",IF(ISNUMBER(AX41),AX41+ROW($B41)/1000,""))</f>
        <v/>
      </c>
      <c r="BC41" s="100" t="str">
        <f aca="false">IF(ISNUMBER(BB41),RANK(BB41,$BB$8:$BB$507,1),"")</f>
        <v/>
      </c>
      <c r="BD41" s="100" t="str">
        <f aca="false">IF(ISBLANK($C41),"",$B41)</f>
        <v/>
      </c>
      <c r="BE41" s="100" t="str">
        <f aca="false">IF(ISBLANK($C41),"",$C41)</f>
        <v/>
      </c>
      <c r="BF41" s="100" t="str">
        <f aca="false">IF(ISBLANK($C41),"",$D41)</f>
        <v/>
      </c>
      <c r="BG41" s="101" t="str">
        <f aca="false">AU41</f>
        <v/>
      </c>
      <c r="BH41" s="102" t="str">
        <f aca="false">AT41</f>
        <v/>
      </c>
      <c r="BI41" s="100" t="str">
        <f aca="false">IF(ISBLANK($C41),"",AW41)</f>
        <v/>
      </c>
      <c r="BJ41" s="103" t="str">
        <f aca="false">IF($BA41&gt;$AZ$7,"",VLOOKUP($BA41,$BC$8:$BI$507,7,FALSE()))</f>
        <v/>
      </c>
      <c r="BK41" s="104" t="str">
        <f aca="false">IF($BA41&gt;$AZ$7,"",VLOOKUP($BA41,$BC$8:$BI$507,2,FALSE()))</f>
        <v/>
      </c>
      <c r="BL41" s="104" t="str">
        <f aca="false">IF($BA41&gt;$AZ$7,"",VLOOKUP($BA41,$BC$8:$BI$507,3,FALSE()))</f>
        <v/>
      </c>
      <c r="BM41" s="104" t="str">
        <f aca="false">IF($BA41&gt;$AZ$7,"",VLOOKUP($BA41,$BC$8:$BI$507,4,FALSE()))</f>
        <v/>
      </c>
      <c r="BN41" s="104" t="str">
        <f aca="false">IF($BA41&gt;$AZ$7,"",VLOOKUP($BA41,$BC$8:$BI$507,5,FALSE()))</f>
        <v/>
      </c>
      <c r="BO41" s="105" t="str">
        <f aca="false">IF($BA41&gt;$AZ$7,"",VLOOKUP($BA41,$BC$8:$BI$507,6,FALSE()))</f>
        <v/>
      </c>
      <c r="BP41" s="52"/>
    </row>
    <row r="42" customFormat="false" ht="15.75" hidden="false" customHeight="false" outlineLevel="0" collapsed="false">
      <c r="A42" s="5"/>
      <c r="B42" s="114"/>
      <c r="C42" s="115"/>
      <c r="D42" s="106"/>
      <c r="E42" s="117"/>
      <c r="F42" s="87"/>
      <c r="G42" s="88"/>
      <c r="H42" s="88"/>
      <c r="I42" s="87"/>
      <c r="J42" s="88"/>
      <c r="K42" s="88"/>
      <c r="L42" s="87"/>
      <c r="M42" s="117"/>
      <c r="N42" s="90"/>
      <c r="O42" s="91" t="str">
        <f aca="false">IF(ISBLANK($C42),"",IF(E42=Constants!$B$2, TRUE(), IF(E42=Constants!$B$3, FALSE(), TRUE())))</f>
        <v/>
      </c>
      <c r="P42" s="91" t="str">
        <f aca="false">IF(ISBLANK($C42),"",IF(F42=Constants!$B$16,Constants!$B$9,IF(F42=Constants!$B$17,Constants!$B$10,Constants!$B$8)))</f>
        <v/>
      </c>
      <c r="Q42" s="91" t="str">
        <f aca="false">IF(ISBLANK($C42),"",IF(ISNUMBER(G42),IF(G42&gt;=0,G42,""),""))</f>
        <v/>
      </c>
      <c r="R42" s="91" t="str">
        <f aca="false">IF(ISBLANK($C42),"",IF(H42=Constants!$B$2, TRUE(), IF(H42=Constants!$B$3, FALSE(), TRUE())))</f>
        <v/>
      </c>
      <c r="S42" s="91" t="str">
        <f aca="false">IF(ISBLANK($C42),"",IF(I42=Constants!$B$2, TRUE(), IF(I42=Constants!$B$3, FALSE(), TRUE())))</f>
        <v/>
      </c>
      <c r="T42" s="91" t="str">
        <f aca="false">IF(ISBLANK($C42),"",IF(ISNUMBER(J42),IF(J42&gt;=0,J42,""),""))</f>
        <v/>
      </c>
      <c r="U42" s="91" t="str">
        <f aca="false">IF(ISBLANK($C42),"",IF(K42=Constants!$B$2, TRUE(), IF(K42=Constants!$B$3, FALSE(), TRUE())))</f>
        <v/>
      </c>
      <c r="V42" s="91" t="str">
        <f aca="false">IF(ISBLANK($C42),"",IF(L42=Constants!$B$2, TRUE(), IF(L42=Constants!$B$3, FALSE(), TRUE())))</f>
        <v/>
      </c>
      <c r="W42" s="91" t="str">
        <f aca="false">IF(ISBLANK($C42),"",IF(M42=Constants!$B$2, TRUE(), IF(M42=Constants!$B$3, FALSE(), FALSE())))</f>
        <v/>
      </c>
      <c r="X42" s="91" t="str">
        <f aca="false">IF(ISBLANK($C42),"",AND(Q42&lt;&gt;"",O42))</f>
        <v/>
      </c>
      <c r="Y42" s="91" t="str">
        <f aca="false">IF(ISBLANK($C42),"",AND(T42&lt;&gt;"",O42))</f>
        <v/>
      </c>
      <c r="Z42" s="91" t="str">
        <f aca="false">IF(ISBLANK($C42),"",IF(W42,Constants!$B$4,IF(COUNTA(E42:L42)=0,Constants!$B$5,IF(NOT(O42),Constants!$B$6,IF(AND(NOT(X42),NOT(Y42)),Constants!$B$6,Constants!$B$7)))))</f>
        <v/>
      </c>
      <c r="AA42" s="91" t="str">
        <f aca="false">IF(ISBLANK($C42),"",IF($Z42&lt;&gt;Constants!$B$7,$Z42,Constants!$B$20))</f>
        <v/>
      </c>
      <c r="AB42" s="91" t="str">
        <f aca="false">IF($Z42=Constants!$B$7,IF(X42,Q42,Constants!$B$13),"")</f>
        <v/>
      </c>
      <c r="AC42" s="91" t="str">
        <f aca="false">IF($Z42=Constants!$B$7,IF(X42,P42*IF(R42, 1, Constants!$B$11)*IF(S42, 1, Constants!$B$12),Constants!$B$13),"")</f>
        <v/>
      </c>
      <c r="AD42" s="91" t="str">
        <f aca="false">IF($Z42=Constants!$B$7,AB42*AC42,"")</f>
        <v/>
      </c>
      <c r="AE42" s="91" t="str">
        <f aca="false">IF($Z42=Constants!$B$7,IF(Y42,T42,Constants!$B$13),"")</f>
        <v/>
      </c>
      <c r="AF42" s="91" t="str">
        <f aca="false">IF($Z42=Constants!$B$7,IF(Y42,P42*IF(U42, 1, Constants!$B$11)*IF(V42, 1, Constants!$B$12),Constants!$B$13),"")</f>
        <v/>
      </c>
      <c r="AG42" s="91" t="str">
        <f aca="false">IF($Z42=Constants!$B$7,AE42*AF42,"")</f>
        <v/>
      </c>
      <c r="AH42" s="91" t="str">
        <f aca="false">IF($Z42=Constants!$B$7,IF(AG42&gt;AD42,2,1),"")</f>
        <v/>
      </c>
      <c r="AI42" s="91" t="str">
        <f aca="false">IF($Z42=Constants!$B$7,IF(AH42=1,2,1),"")</f>
        <v/>
      </c>
      <c r="AJ42" s="91" t="str">
        <f aca="false">IF(ISBLANK($C42),"",IF($Z42&lt;&gt;Constants!$B$7,$Z42,IF(AH42=1,AD42,AG42)))</f>
        <v/>
      </c>
      <c r="AK42" s="91" t="str">
        <f aca="false">IF(ISBLANK($C42),"",IF($Z42=Constants!$B$7,IF(ISNUMBER(AJ42),RANK(AJ42,$AJ$8:$AJ$507),Constants!$B$14),$Z42))</f>
        <v/>
      </c>
      <c r="AL42" s="91" t="str">
        <f aca="false">IF(ISBLANK($C42),"",IF($Z42=Constants!$B$7,IF(AI42=1,AD42,AG42),""))</f>
        <v/>
      </c>
      <c r="AM42" s="91" t="str">
        <f aca="false">IF(ISBLANK($C42),"",IF($Z42=Constants!$B$7,RANK(AL42,$AL$8:$AL$507),$Z42))</f>
        <v/>
      </c>
      <c r="AN42" s="91" t="str">
        <f aca="false">IF(ISBLANK($C42),"",IF($Z42=Constants!$B$7,IF(ISNUMBER(AK42),COUNTIFS($AK$8:$AK$507,"&lt;"&amp;$AK42)+COUNTIFS($AK$8:$AK$507,$AK42,$AM$8:$AM$507,"&lt;"&amp;$AM42)+1,Constants!$B$14),$Z42))</f>
        <v/>
      </c>
      <c r="AO42" s="91" t="str">
        <f aca="false">IF(ISBLANK($C42),"",IF($Z42=Constants!$B$7,IF(ISNUMBER(AK42),AK42-AN42,Constants!$B$14),$Z42))</f>
        <v/>
      </c>
      <c r="AP42" s="92"/>
      <c r="AQ42" s="93" t="str">
        <f aca="false">IF(ISBLANK($C42),"",IF($Z42&lt;&gt;Constants!$B$7,"",AH42))</f>
        <v/>
      </c>
      <c r="AR42" s="94" t="str">
        <f aca="false">IF(ISBLANK($C42),"",IF($Z42&lt;&gt;Constants!$B$7,"",IF(AH42=1,AB42,AE42)))</f>
        <v/>
      </c>
      <c r="AS42" s="95" t="str">
        <f aca="false">IF(ISBLANK($C42),"",IF($Z42&lt;&gt;Constants!$B$7,"",IF(AH42=1,AC42,AF42)))</f>
        <v/>
      </c>
      <c r="AT42" s="96" t="str">
        <f aca="false">IF(ISBLANK($C42),"",IF($Z42&lt;&gt;Constants!$B$7,$Z42,AJ42))</f>
        <v/>
      </c>
      <c r="AU42" s="97" t="str">
        <f aca="false">IF(ISBLANK($C42),"",IF($Z42&lt;&gt;Constants!$B$7,$Z42,AA42))</f>
        <v/>
      </c>
      <c r="AV42" s="98" t="str">
        <f aca="false">IF(ISBLANK($C42),"",AO42)</f>
        <v/>
      </c>
      <c r="AW42" s="98" t="str">
        <f aca="false">IF(ISBLANK($C42),"",AN42)</f>
        <v/>
      </c>
      <c r="AX42" s="99" t="str">
        <f aca="false">IF(ISBLANK($C42),"",IFERROR(_xlfn.SWITCH(AW42,Constants!$B$4,COUNTA($C$8:$C$507)+2,Constants!$B$5,COUNTA($C$8:$C$507)+1,Constants!$B$6,COUNTA($C$8:$C$507)),AW42))</f>
        <v/>
      </c>
      <c r="AY42" s="5"/>
      <c r="AZ42" s="100" t="n">
        <f aca="false">IF(OR(ISNUMBER(AW42),AW42=Constants!$B$4,AW42=Constants!$B$6,AW42=Constants!$B$5),1,0)</f>
        <v>0</v>
      </c>
      <c r="BA42" s="100" t="n">
        <v>35</v>
      </c>
      <c r="BB42" s="100" t="str">
        <f aca="false">IF(ISBLANK($C42),"",IF(ISNUMBER(AX42),AX42+ROW($B42)/1000,""))</f>
        <v/>
      </c>
      <c r="BC42" s="100" t="str">
        <f aca="false">IF(ISNUMBER(BB42),RANK(BB42,$BB$8:$BB$507,1),"")</f>
        <v/>
      </c>
      <c r="BD42" s="100" t="str">
        <f aca="false">IF(ISBLANK($C42),"",$B42)</f>
        <v/>
      </c>
      <c r="BE42" s="100" t="str">
        <f aca="false">IF(ISBLANK($C42),"",$C42)</f>
        <v/>
      </c>
      <c r="BF42" s="100" t="str">
        <f aca="false">IF(ISBLANK($C42),"",$D42)</f>
        <v/>
      </c>
      <c r="BG42" s="101" t="str">
        <f aca="false">AU42</f>
        <v/>
      </c>
      <c r="BH42" s="102" t="str">
        <f aca="false">AT42</f>
        <v/>
      </c>
      <c r="BI42" s="100" t="str">
        <f aca="false">IF(ISBLANK($C42),"",AW42)</f>
        <v/>
      </c>
      <c r="BJ42" s="103" t="str">
        <f aca="false">IF($BA42&gt;$AZ$7,"",VLOOKUP($BA42,$BC$8:$BI$507,7,FALSE()))</f>
        <v/>
      </c>
      <c r="BK42" s="104" t="str">
        <f aca="false">IF($BA42&gt;$AZ$7,"",VLOOKUP($BA42,$BC$8:$BI$507,2,FALSE()))</f>
        <v/>
      </c>
      <c r="BL42" s="104" t="str">
        <f aca="false">IF($BA42&gt;$AZ$7,"",VLOOKUP($BA42,$BC$8:$BI$507,3,FALSE()))</f>
        <v/>
      </c>
      <c r="BM42" s="104" t="str">
        <f aca="false">IF($BA42&gt;$AZ$7,"",VLOOKUP($BA42,$BC$8:$BI$507,4,FALSE()))</f>
        <v/>
      </c>
      <c r="BN42" s="104" t="str">
        <f aca="false">IF($BA42&gt;$AZ$7,"",VLOOKUP($BA42,$BC$8:$BI$507,5,FALSE()))</f>
        <v/>
      </c>
      <c r="BO42" s="105" t="str">
        <f aca="false">IF($BA42&gt;$AZ$7,"",VLOOKUP($BA42,$BC$8:$BI$507,6,FALSE()))</f>
        <v/>
      </c>
      <c r="BP42" s="52"/>
    </row>
    <row r="43" customFormat="false" ht="15.75" hidden="false" customHeight="false" outlineLevel="0" collapsed="false">
      <c r="A43" s="5"/>
      <c r="B43" s="114"/>
      <c r="C43" s="115"/>
      <c r="D43" s="106"/>
      <c r="E43" s="117"/>
      <c r="F43" s="87"/>
      <c r="G43" s="88"/>
      <c r="H43" s="88"/>
      <c r="I43" s="87"/>
      <c r="J43" s="88"/>
      <c r="K43" s="88"/>
      <c r="L43" s="87"/>
      <c r="M43" s="117"/>
      <c r="N43" s="90"/>
      <c r="O43" s="91" t="str">
        <f aca="false">IF(ISBLANK($C43),"",IF(E43=Constants!$B$2, TRUE(), IF(E43=Constants!$B$3, FALSE(), TRUE())))</f>
        <v/>
      </c>
      <c r="P43" s="91" t="str">
        <f aca="false">IF(ISBLANK($C43),"",IF(F43=Constants!$B$16,Constants!$B$9,IF(F43=Constants!$B$17,Constants!$B$10,Constants!$B$8)))</f>
        <v/>
      </c>
      <c r="Q43" s="91" t="str">
        <f aca="false">IF(ISBLANK($C43),"",IF(ISNUMBER(G43),IF(G43&gt;=0,G43,""),""))</f>
        <v/>
      </c>
      <c r="R43" s="91" t="str">
        <f aca="false">IF(ISBLANK($C43),"",IF(H43=Constants!$B$2, TRUE(), IF(H43=Constants!$B$3, FALSE(), TRUE())))</f>
        <v/>
      </c>
      <c r="S43" s="91" t="str">
        <f aca="false">IF(ISBLANK($C43),"",IF(I43=Constants!$B$2, TRUE(), IF(I43=Constants!$B$3, FALSE(), TRUE())))</f>
        <v/>
      </c>
      <c r="T43" s="91" t="str">
        <f aca="false">IF(ISBLANK($C43),"",IF(ISNUMBER(J43),IF(J43&gt;=0,J43,""),""))</f>
        <v/>
      </c>
      <c r="U43" s="91" t="str">
        <f aca="false">IF(ISBLANK($C43),"",IF(K43=Constants!$B$2, TRUE(), IF(K43=Constants!$B$3, FALSE(), TRUE())))</f>
        <v/>
      </c>
      <c r="V43" s="91" t="str">
        <f aca="false">IF(ISBLANK($C43),"",IF(L43=Constants!$B$2, TRUE(), IF(L43=Constants!$B$3, FALSE(), TRUE())))</f>
        <v/>
      </c>
      <c r="W43" s="91" t="str">
        <f aca="false">IF(ISBLANK($C43),"",IF(M43=Constants!$B$2, TRUE(), IF(M43=Constants!$B$3, FALSE(), FALSE())))</f>
        <v/>
      </c>
      <c r="X43" s="91" t="str">
        <f aca="false">IF(ISBLANK($C43),"",AND(Q43&lt;&gt;"",O43))</f>
        <v/>
      </c>
      <c r="Y43" s="91" t="str">
        <f aca="false">IF(ISBLANK($C43),"",AND(T43&lt;&gt;"",O43))</f>
        <v/>
      </c>
      <c r="Z43" s="91" t="str">
        <f aca="false">IF(ISBLANK($C43),"",IF(W43,Constants!$B$4,IF(COUNTA(E43:L43)=0,Constants!$B$5,IF(NOT(O43),Constants!$B$6,IF(AND(NOT(X43),NOT(Y43)),Constants!$B$6,Constants!$B$7)))))</f>
        <v/>
      </c>
      <c r="AA43" s="91" t="str">
        <f aca="false">IF(ISBLANK($C43),"",IF($Z43&lt;&gt;Constants!$B$7,$Z43,Constants!$B$20))</f>
        <v/>
      </c>
      <c r="AB43" s="91" t="str">
        <f aca="false">IF($Z43=Constants!$B$7,IF(X43,Q43,Constants!$B$13),"")</f>
        <v/>
      </c>
      <c r="AC43" s="91" t="str">
        <f aca="false">IF($Z43=Constants!$B$7,IF(X43,P43*IF(R43, 1, Constants!$B$11)*IF(S43, 1, Constants!$B$12),Constants!$B$13),"")</f>
        <v/>
      </c>
      <c r="AD43" s="91" t="str">
        <f aca="false">IF($Z43=Constants!$B$7,AB43*AC43,"")</f>
        <v/>
      </c>
      <c r="AE43" s="91" t="str">
        <f aca="false">IF($Z43=Constants!$B$7,IF(Y43,T43,Constants!$B$13),"")</f>
        <v/>
      </c>
      <c r="AF43" s="91" t="str">
        <f aca="false">IF($Z43=Constants!$B$7,IF(Y43,P43*IF(U43, 1, Constants!$B$11)*IF(V43, 1, Constants!$B$12),Constants!$B$13),"")</f>
        <v/>
      </c>
      <c r="AG43" s="91" t="str">
        <f aca="false">IF($Z43=Constants!$B$7,AE43*AF43,"")</f>
        <v/>
      </c>
      <c r="AH43" s="91" t="str">
        <f aca="false">IF($Z43=Constants!$B$7,IF(AG43&gt;AD43,2,1),"")</f>
        <v/>
      </c>
      <c r="AI43" s="91" t="str">
        <f aca="false">IF($Z43=Constants!$B$7,IF(AH43=1,2,1),"")</f>
        <v/>
      </c>
      <c r="AJ43" s="91" t="str">
        <f aca="false">IF(ISBLANK($C43),"",IF($Z43&lt;&gt;Constants!$B$7,$Z43,IF(AH43=1,AD43,AG43)))</f>
        <v/>
      </c>
      <c r="AK43" s="91" t="str">
        <f aca="false">IF(ISBLANK($C43),"",IF($Z43=Constants!$B$7,IF(ISNUMBER(AJ43),RANK(AJ43,$AJ$8:$AJ$507),Constants!$B$14),$Z43))</f>
        <v/>
      </c>
      <c r="AL43" s="91" t="str">
        <f aca="false">IF(ISBLANK($C43),"",IF($Z43=Constants!$B$7,IF(AI43=1,AD43,AG43),""))</f>
        <v/>
      </c>
      <c r="AM43" s="91" t="str">
        <f aca="false">IF(ISBLANK($C43),"",IF($Z43=Constants!$B$7,RANK(AL43,$AL$8:$AL$507),$Z43))</f>
        <v/>
      </c>
      <c r="AN43" s="91" t="str">
        <f aca="false">IF(ISBLANK($C43),"",IF($Z43=Constants!$B$7,IF(ISNUMBER(AK43),COUNTIFS($AK$8:$AK$507,"&lt;"&amp;$AK43)+COUNTIFS($AK$8:$AK$507,$AK43,$AM$8:$AM$507,"&lt;"&amp;$AM43)+1,Constants!$B$14),$Z43))</f>
        <v/>
      </c>
      <c r="AO43" s="91" t="str">
        <f aca="false">IF(ISBLANK($C43),"",IF($Z43=Constants!$B$7,IF(ISNUMBER(AK43),AK43-AN43,Constants!$B$14),$Z43))</f>
        <v/>
      </c>
      <c r="AP43" s="92"/>
      <c r="AQ43" s="93" t="str">
        <f aca="false">IF(ISBLANK($C43),"",IF($Z43&lt;&gt;Constants!$B$7,"",AH43))</f>
        <v/>
      </c>
      <c r="AR43" s="94" t="str">
        <f aca="false">IF(ISBLANK($C43),"",IF($Z43&lt;&gt;Constants!$B$7,"",IF(AH43=1,AB43,AE43)))</f>
        <v/>
      </c>
      <c r="AS43" s="95" t="str">
        <f aca="false">IF(ISBLANK($C43),"",IF($Z43&lt;&gt;Constants!$B$7,"",IF(AH43=1,AC43,AF43)))</f>
        <v/>
      </c>
      <c r="AT43" s="96" t="str">
        <f aca="false">IF(ISBLANK($C43),"",IF($Z43&lt;&gt;Constants!$B$7,$Z43,AJ43))</f>
        <v/>
      </c>
      <c r="AU43" s="97" t="str">
        <f aca="false">IF(ISBLANK($C43),"",IF($Z43&lt;&gt;Constants!$B$7,$Z43,AA43))</f>
        <v/>
      </c>
      <c r="AV43" s="98" t="str">
        <f aca="false">IF(ISBLANK($C43),"",AO43)</f>
        <v/>
      </c>
      <c r="AW43" s="98" t="str">
        <f aca="false">IF(ISBLANK($C43),"",AN43)</f>
        <v/>
      </c>
      <c r="AX43" s="99" t="str">
        <f aca="false">IF(ISBLANK($C43),"",IFERROR(_xlfn.SWITCH(AW43,Constants!$B$4,COUNTA($C$8:$C$507)+2,Constants!$B$5,COUNTA($C$8:$C$507)+1,Constants!$B$6,COUNTA($C$8:$C$507)),AW43))</f>
        <v/>
      </c>
      <c r="AY43" s="5"/>
      <c r="AZ43" s="100" t="n">
        <f aca="false">IF(OR(ISNUMBER(AW43),AW43=Constants!$B$4,AW43=Constants!$B$6,AW43=Constants!$B$5),1,0)</f>
        <v>0</v>
      </c>
      <c r="BA43" s="100" t="n">
        <v>36</v>
      </c>
      <c r="BB43" s="100" t="str">
        <f aca="false">IF(ISBLANK($C43),"",IF(ISNUMBER(AX43),AX43+ROW($B43)/1000,""))</f>
        <v/>
      </c>
      <c r="BC43" s="100" t="str">
        <f aca="false">IF(ISNUMBER(BB43),RANK(BB43,$BB$8:$BB$507,1),"")</f>
        <v/>
      </c>
      <c r="BD43" s="100" t="str">
        <f aca="false">IF(ISBLANK($C43),"",$B43)</f>
        <v/>
      </c>
      <c r="BE43" s="100" t="str">
        <f aca="false">IF(ISBLANK($C43),"",$C43)</f>
        <v/>
      </c>
      <c r="BF43" s="100" t="str">
        <f aca="false">IF(ISBLANK($C43),"",$D43)</f>
        <v/>
      </c>
      <c r="BG43" s="101" t="str">
        <f aca="false">AU43</f>
        <v/>
      </c>
      <c r="BH43" s="102" t="str">
        <f aca="false">AT43</f>
        <v/>
      </c>
      <c r="BI43" s="100" t="str">
        <f aca="false">IF(ISBLANK($C43),"",AW43)</f>
        <v/>
      </c>
      <c r="BJ43" s="103" t="str">
        <f aca="false">IF($BA43&gt;$AZ$7,"",VLOOKUP($BA43,$BC$8:$BI$507,7,FALSE()))</f>
        <v/>
      </c>
      <c r="BK43" s="104" t="str">
        <f aca="false">IF($BA43&gt;$AZ$7,"",VLOOKUP($BA43,$BC$8:$BI$507,2,FALSE()))</f>
        <v/>
      </c>
      <c r="BL43" s="104" t="str">
        <f aca="false">IF($BA43&gt;$AZ$7,"",VLOOKUP($BA43,$BC$8:$BI$507,3,FALSE()))</f>
        <v/>
      </c>
      <c r="BM43" s="104" t="str">
        <f aca="false">IF($BA43&gt;$AZ$7,"",VLOOKUP($BA43,$BC$8:$BI$507,4,FALSE()))</f>
        <v/>
      </c>
      <c r="BN43" s="104" t="str">
        <f aca="false">IF($BA43&gt;$AZ$7,"",VLOOKUP($BA43,$BC$8:$BI$507,5,FALSE()))</f>
        <v/>
      </c>
      <c r="BO43" s="105" t="str">
        <f aca="false">IF($BA43&gt;$AZ$7,"",VLOOKUP($BA43,$BC$8:$BI$507,6,FALSE()))</f>
        <v/>
      </c>
      <c r="BP43" s="52"/>
    </row>
    <row r="44" customFormat="false" ht="15.75" hidden="false" customHeight="false" outlineLevel="0" collapsed="false">
      <c r="A44" s="5"/>
      <c r="B44" s="118"/>
      <c r="C44" s="54"/>
      <c r="D44" s="55"/>
      <c r="E44" s="79"/>
      <c r="F44" s="57"/>
      <c r="G44" s="58"/>
      <c r="H44" s="58"/>
      <c r="I44" s="57"/>
      <c r="J44" s="58"/>
      <c r="K44" s="58"/>
      <c r="L44" s="57"/>
      <c r="M44" s="79"/>
      <c r="N44" s="60"/>
      <c r="O44" s="62" t="str">
        <f aca="false">IF(ISBLANK($C44),"",IF(E44=Constants!$B$2, TRUE(), IF(E44=Constants!$B$3, FALSE(), TRUE())))</f>
        <v/>
      </c>
      <c r="P44" s="62" t="str">
        <f aca="false">IF(ISBLANK($C44),"",IF(F44=Constants!$B$16,Constants!$B$9,IF(F44=Constants!$B$17,Constants!$B$10,Constants!$B$8)))</f>
        <v/>
      </c>
      <c r="Q44" s="62" t="str">
        <f aca="false">IF(ISBLANK($C44),"",IF(ISNUMBER(G44),IF(G44&gt;=0,G44,""),""))</f>
        <v/>
      </c>
      <c r="R44" s="62" t="str">
        <f aca="false">IF(ISBLANK($C44),"",IF(H44=Constants!$B$2, TRUE(), IF(H44=Constants!$B$3, FALSE(), TRUE())))</f>
        <v/>
      </c>
      <c r="S44" s="62" t="str">
        <f aca="false">IF(ISBLANK($C44),"",IF(I44=Constants!$B$2, TRUE(), IF(I44=Constants!$B$3, FALSE(), TRUE())))</f>
        <v/>
      </c>
      <c r="T44" s="62" t="str">
        <f aca="false">IF(ISBLANK($C44),"",IF(ISNUMBER(J44),IF(J44&gt;=0,J44,""),""))</f>
        <v/>
      </c>
      <c r="U44" s="62" t="str">
        <f aca="false">IF(ISBLANK($C44),"",IF(K44=Constants!$B$2, TRUE(), IF(K44=Constants!$B$3, FALSE(), TRUE())))</f>
        <v/>
      </c>
      <c r="V44" s="62" t="str">
        <f aca="false">IF(ISBLANK($C44),"",IF(L44=Constants!$B$2, TRUE(), IF(L44=Constants!$B$3, FALSE(), TRUE())))</f>
        <v/>
      </c>
      <c r="W44" s="62" t="str">
        <f aca="false">IF(ISBLANK($C44),"",IF(M44=Constants!$B$2, TRUE(), IF(M44=Constants!$B$3, FALSE(), FALSE())))</f>
        <v/>
      </c>
      <c r="X44" s="62" t="str">
        <f aca="false">IF(ISBLANK($C44),"",AND(Q44&lt;&gt;"",O44))</f>
        <v/>
      </c>
      <c r="Y44" s="62" t="str">
        <f aca="false">IF(ISBLANK($C44),"",AND(T44&lt;&gt;"",O44))</f>
        <v/>
      </c>
      <c r="Z44" s="62" t="str">
        <f aca="false">IF(ISBLANK($C44),"",IF(W44,Constants!$B$4,IF(COUNTA(E44:L44)=0,Constants!$B$5,IF(NOT(O44),Constants!$B$6,IF(AND(NOT(X44),NOT(Y44)),Constants!$B$6,Constants!$B$7)))))</f>
        <v/>
      </c>
      <c r="AA44" s="62" t="str">
        <f aca="false">IF(ISBLANK($C44),"",IF($Z44&lt;&gt;Constants!$B$7,$Z44,Constants!$B$20))</f>
        <v/>
      </c>
      <c r="AB44" s="62" t="str">
        <f aca="false">IF($Z44=Constants!$B$7,IF(X44,Q44,Constants!$B$13),"")</f>
        <v/>
      </c>
      <c r="AC44" s="62" t="str">
        <f aca="false">IF($Z44=Constants!$B$7,IF(X44,P44*IF(R44, 1, Constants!$B$11)*IF(S44, 1, Constants!$B$12),Constants!$B$13),"")</f>
        <v/>
      </c>
      <c r="AD44" s="62" t="str">
        <f aca="false">IF($Z44=Constants!$B$7,AB44*AC44,"")</f>
        <v/>
      </c>
      <c r="AE44" s="62" t="str">
        <f aca="false">IF($Z44=Constants!$B$7,IF(Y44,T44,Constants!$B$13),"")</f>
        <v/>
      </c>
      <c r="AF44" s="62" t="str">
        <f aca="false">IF($Z44=Constants!$B$7,IF(Y44,P44*IF(U44, 1, Constants!$B$11)*IF(V44, 1, Constants!$B$12),Constants!$B$13),"")</f>
        <v/>
      </c>
      <c r="AG44" s="62" t="str">
        <f aca="false">IF($Z44=Constants!$B$7,AE44*AF44,"")</f>
        <v/>
      </c>
      <c r="AH44" s="62" t="str">
        <f aca="false">IF($Z44=Constants!$B$7,IF(AG44&gt;AD44,2,1),"")</f>
        <v/>
      </c>
      <c r="AI44" s="62" t="str">
        <f aca="false">IF($Z44=Constants!$B$7,IF(AH44=1,2,1),"")</f>
        <v/>
      </c>
      <c r="AJ44" s="62" t="str">
        <f aca="false">IF(ISBLANK($C44),"",IF($Z44&lt;&gt;Constants!$B$7,$Z44,IF(AH44=1,AD44,AG44)))</f>
        <v/>
      </c>
      <c r="AK44" s="62" t="str">
        <f aca="false">IF(ISBLANK($C44),"",IF($Z44=Constants!$B$7,IF(ISNUMBER(AJ44),RANK(AJ44,$AJ$8:$AJ$507),Constants!$B$14),$Z44))</f>
        <v/>
      </c>
      <c r="AL44" s="62" t="str">
        <f aca="false">IF(ISBLANK($C44),"",IF($Z44=Constants!$B$7,IF(AI44=1,AD44,AG44),""))</f>
        <v/>
      </c>
      <c r="AM44" s="62" t="str">
        <f aca="false">IF(ISBLANK($C44),"",IF($Z44=Constants!$B$7,RANK(AL44,$AL$8:$AL$507),$Z44))</f>
        <v/>
      </c>
      <c r="AN44" s="62" t="str">
        <f aca="false">IF(ISBLANK($C44),"",IF($Z44=Constants!$B$7,IF(ISNUMBER(AK44),COUNTIFS($AK$8:$AK$507,"&lt;"&amp;$AK44)+COUNTIFS($AK$8:$AK$507,$AK44,$AM$8:$AM$507,"&lt;"&amp;$AM44)+1,Constants!$B$14),$Z44))</f>
        <v/>
      </c>
      <c r="AO44" s="62" t="str">
        <f aca="false">IF(ISBLANK($C44),"",IF($Z44=Constants!$B$7,IF(ISNUMBER(AK44),AK44-AN44,Constants!$B$14),$Z44))</f>
        <v/>
      </c>
      <c r="AP44" s="64"/>
      <c r="AQ44" s="65" t="str">
        <f aca="false">IF(ISBLANK($C44),"",IF($Z44&lt;&gt;Constants!$B$7,"",AH44))</f>
        <v/>
      </c>
      <c r="AR44" s="80" t="str">
        <f aca="false">IF(ISBLANK($C44),"",IF($Z44&lt;&gt;Constants!$B$7,"",IF(AH44=1,AB44,AE44)))</f>
        <v/>
      </c>
      <c r="AS44" s="67" t="str">
        <f aca="false">IF(ISBLANK($C44),"",IF($Z44&lt;&gt;Constants!$B$7,"",IF(AH44=1,AC44,AF44)))</f>
        <v/>
      </c>
      <c r="AT44" s="68" t="str">
        <f aca="false">IF(ISBLANK($C44),"",IF($Z44&lt;&gt;Constants!$B$7,$Z44,AJ44))</f>
        <v/>
      </c>
      <c r="AU44" s="69" t="str">
        <f aca="false">IF(ISBLANK($C44),"",IF($Z44&lt;&gt;Constants!$B$7,$Z44,AA44))</f>
        <v/>
      </c>
      <c r="AV44" s="70" t="str">
        <f aca="false">IF(ISBLANK($C44),"",AO44)</f>
        <v/>
      </c>
      <c r="AW44" s="70" t="str">
        <f aca="false">IF(ISBLANK($C44),"",AN44)</f>
        <v/>
      </c>
      <c r="AX44" s="71" t="str">
        <f aca="false">IF(ISBLANK($C44),"",IFERROR(_xlfn.SWITCH(AW44,Constants!$B$4,COUNTA($C$8:$C$507)+2,Constants!$B$5,COUNTA($C$8:$C$507)+1,Constants!$B$6,COUNTA($C$8:$C$507)),AW44))</f>
        <v/>
      </c>
      <c r="AY44" s="5"/>
      <c r="AZ44" s="72" t="n">
        <f aca="false">IF(OR(ISNUMBER(AW44),AW44=Constants!$B$4,AW44=Constants!$B$6,AW44=Constants!$B$5),1,0)</f>
        <v>0</v>
      </c>
      <c r="BA44" s="72" t="n">
        <v>37</v>
      </c>
      <c r="BB44" s="72" t="str">
        <f aca="false">IF(ISBLANK($C44),"",IF(ISNUMBER(AX44),AX44+ROW($B44)/1000,""))</f>
        <v/>
      </c>
      <c r="BC44" s="72" t="str">
        <f aca="false">IF(ISNUMBER(BB44),RANK(BB44,$BB$8:$BB$507,1),"")</f>
        <v/>
      </c>
      <c r="BD44" s="72" t="str">
        <f aca="false">IF(ISBLANK($C44),"",$B44)</f>
        <v/>
      </c>
      <c r="BE44" s="72" t="str">
        <f aca="false">IF(ISBLANK($C44),"",$C44)</f>
        <v/>
      </c>
      <c r="BF44" s="72" t="str">
        <f aca="false">IF(ISBLANK($C44),"",$D44)</f>
        <v/>
      </c>
      <c r="BG44" s="73" t="str">
        <f aca="false">AU44</f>
        <v/>
      </c>
      <c r="BH44" s="74" t="str">
        <f aca="false">AT44</f>
        <v/>
      </c>
      <c r="BI44" s="72" t="str">
        <f aca="false">IF(ISBLANK($C44),"",AW44)</f>
        <v/>
      </c>
      <c r="BJ44" s="75" t="str">
        <f aca="false">IF($BA44&gt;$AZ$7,"",VLOOKUP($BA44,$BC$8:$BI$507,7,FALSE()))</f>
        <v/>
      </c>
      <c r="BK44" s="76" t="str">
        <f aca="false">IF($BA44&gt;$AZ$7,"",VLOOKUP($BA44,$BC$8:$BI$507,2,FALSE()))</f>
        <v/>
      </c>
      <c r="BL44" s="76" t="str">
        <f aca="false">IF($BA44&gt;$AZ$7,"",VLOOKUP($BA44,$BC$8:$BI$507,3,FALSE()))</f>
        <v/>
      </c>
      <c r="BM44" s="76" t="str">
        <f aca="false">IF($BA44&gt;$AZ$7,"",VLOOKUP($BA44,$BC$8:$BI$507,4,FALSE()))</f>
        <v/>
      </c>
      <c r="BN44" s="76" t="str">
        <f aca="false">IF($BA44&gt;$AZ$7,"",VLOOKUP($BA44,$BC$8:$BI$507,5,FALSE()))</f>
        <v/>
      </c>
      <c r="BO44" s="77" t="str">
        <f aca="false">IF($BA44&gt;$AZ$7,"",VLOOKUP($BA44,$BC$8:$BI$507,6,FALSE()))</f>
        <v/>
      </c>
      <c r="BP44" s="52"/>
    </row>
    <row r="45" customFormat="false" ht="15.75" hidden="false" customHeight="false" outlineLevel="0" collapsed="false">
      <c r="A45" s="5"/>
      <c r="B45" s="118"/>
      <c r="C45" s="54"/>
      <c r="D45" s="55"/>
      <c r="E45" s="79"/>
      <c r="F45" s="57"/>
      <c r="G45" s="58"/>
      <c r="H45" s="58"/>
      <c r="I45" s="57"/>
      <c r="J45" s="58"/>
      <c r="K45" s="58"/>
      <c r="L45" s="57"/>
      <c r="M45" s="79"/>
      <c r="N45" s="60"/>
      <c r="O45" s="62" t="str">
        <f aca="false">IF(ISBLANK($C45),"",IF(E45=Constants!$B$2, TRUE(), IF(E45=Constants!$B$3, FALSE(), TRUE())))</f>
        <v/>
      </c>
      <c r="P45" s="62" t="str">
        <f aca="false">IF(ISBLANK($C45),"",IF(F45=Constants!$B$16,Constants!$B$9,IF(F45=Constants!$B$17,Constants!$B$10,Constants!$B$8)))</f>
        <v/>
      </c>
      <c r="Q45" s="62" t="str">
        <f aca="false">IF(ISBLANK($C45),"",IF(ISNUMBER(G45),IF(G45&gt;=0,G45,""),""))</f>
        <v/>
      </c>
      <c r="R45" s="62" t="str">
        <f aca="false">IF(ISBLANK($C45),"",IF(H45=Constants!$B$2, TRUE(), IF(H45=Constants!$B$3, FALSE(), TRUE())))</f>
        <v/>
      </c>
      <c r="S45" s="62" t="str">
        <f aca="false">IF(ISBLANK($C45),"",IF(I45=Constants!$B$2, TRUE(), IF(I45=Constants!$B$3, FALSE(), TRUE())))</f>
        <v/>
      </c>
      <c r="T45" s="62" t="str">
        <f aca="false">IF(ISBLANK($C45),"",IF(ISNUMBER(J45),IF(J45&gt;=0,J45,""),""))</f>
        <v/>
      </c>
      <c r="U45" s="62" t="str">
        <f aca="false">IF(ISBLANK($C45),"",IF(K45=Constants!$B$2, TRUE(), IF(K45=Constants!$B$3, FALSE(), TRUE())))</f>
        <v/>
      </c>
      <c r="V45" s="62" t="str">
        <f aca="false">IF(ISBLANK($C45),"",IF(L45=Constants!$B$2, TRUE(), IF(L45=Constants!$B$3, FALSE(), TRUE())))</f>
        <v/>
      </c>
      <c r="W45" s="62" t="str">
        <f aca="false">IF(ISBLANK($C45),"",IF(M45=Constants!$B$2, TRUE(), IF(M45=Constants!$B$3, FALSE(), FALSE())))</f>
        <v/>
      </c>
      <c r="X45" s="62" t="str">
        <f aca="false">IF(ISBLANK($C45),"",AND(Q45&lt;&gt;"",O45))</f>
        <v/>
      </c>
      <c r="Y45" s="62" t="str">
        <f aca="false">IF(ISBLANK($C45),"",AND(T45&lt;&gt;"",O45))</f>
        <v/>
      </c>
      <c r="Z45" s="62" t="str">
        <f aca="false">IF(ISBLANK($C45),"",IF(W45,Constants!$B$4,IF(COUNTA(E45:L45)=0,Constants!$B$5,IF(NOT(O45),Constants!$B$6,IF(AND(NOT(X45),NOT(Y45)),Constants!$B$6,Constants!$B$7)))))</f>
        <v/>
      </c>
      <c r="AA45" s="62" t="str">
        <f aca="false">IF(ISBLANK($C45),"",IF($Z45&lt;&gt;Constants!$B$7,$Z45,Constants!$B$20))</f>
        <v/>
      </c>
      <c r="AB45" s="62" t="str">
        <f aca="false">IF($Z45=Constants!$B$7,IF(X45,Q45,Constants!$B$13),"")</f>
        <v/>
      </c>
      <c r="AC45" s="62" t="str">
        <f aca="false">IF($Z45=Constants!$B$7,IF(X45,P45*IF(R45, 1, Constants!$B$11)*IF(S45, 1, Constants!$B$12),Constants!$B$13),"")</f>
        <v/>
      </c>
      <c r="AD45" s="62" t="str">
        <f aca="false">IF($Z45=Constants!$B$7,AB45*AC45,"")</f>
        <v/>
      </c>
      <c r="AE45" s="62" t="str">
        <f aca="false">IF($Z45=Constants!$B$7,IF(Y45,T45,Constants!$B$13),"")</f>
        <v/>
      </c>
      <c r="AF45" s="62" t="str">
        <f aca="false">IF($Z45=Constants!$B$7,IF(Y45,P45*IF(U45, 1, Constants!$B$11)*IF(V45, 1, Constants!$B$12),Constants!$B$13),"")</f>
        <v/>
      </c>
      <c r="AG45" s="62" t="str">
        <f aca="false">IF($Z45=Constants!$B$7,AE45*AF45,"")</f>
        <v/>
      </c>
      <c r="AH45" s="62" t="str">
        <f aca="false">IF($Z45=Constants!$B$7,IF(AG45&gt;AD45,2,1),"")</f>
        <v/>
      </c>
      <c r="AI45" s="62" t="str">
        <f aca="false">IF($Z45=Constants!$B$7,IF(AH45=1,2,1),"")</f>
        <v/>
      </c>
      <c r="AJ45" s="62" t="str">
        <f aca="false">IF(ISBLANK($C45),"",IF($Z45&lt;&gt;Constants!$B$7,$Z45,IF(AH45=1,AD45,AG45)))</f>
        <v/>
      </c>
      <c r="AK45" s="62" t="str">
        <f aca="false">IF(ISBLANK($C45),"",IF($Z45=Constants!$B$7,IF(ISNUMBER(AJ45),RANK(AJ45,$AJ$8:$AJ$507),Constants!$B$14),$Z45))</f>
        <v/>
      </c>
      <c r="AL45" s="62" t="str">
        <f aca="false">IF(ISBLANK($C45),"",IF($Z45=Constants!$B$7,IF(AI45=1,AD45,AG45),""))</f>
        <v/>
      </c>
      <c r="AM45" s="62" t="str">
        <f aca="false">IF(ISBLANK($C45),"",IF($Z45=Constants!$B$7,RANK(AL45,$AL$8:$AL$507),$Z45))</f>
        <v/>
      </c>
      <c r="AN45" s="62" t="str">
        <f aca="false">IF(ISBLANK($C45),"",IF($Z45=Constants!$B$7,IF(ISNUMBER(AK45),COUNTIFS($AK$8:$AK$507,"&lt;"&amp;$AK45)+COUNTIFS($AK$8:$AK$507,$AK45,$AM$8:$AM$507,"&lt;"&amp;$AM45)+1,Constants!$B$14),$Z45))</f>
        <v/>
      </c>
      <c r="AO45" s="62" t="str">
        <f aca="false">IF(ISBLANK($C45),"",IF($Z45=Constants!$B$7,IF(ISNUMBER(AK45),AK45-AN45,Constants!$B$14),$Z45))</f>
        <v/>
      </c>
      <c r="AP45" s="64"/>
      <c r="AQ45" s="65" t="str">
        <f aca="false">IF(ISBLANK($C45),"",IF($Z45&lt;&gt;Constants!$B$7,"",AH45))</f>
        <v/>
      </c>
      <c r="AR45" s="80" t="str">
        <f aca="false">IF(ISBLANK($C45),"",IF($Z45&lt;&gt;Constants!$B$7,"",IF(AH45=1,AB45,AE45)))</f>
        <v/>
      </c>
      <c r="AS45" s="67" t="str">
        <f aca="false">IF(ISBLANK($C45),"",IF($Z45&lt;&gt;Constants!$B$7,"",IF(AH45=1,AC45,AF45)))</f>
        <v/>
      </c>
      <c r="AT45" s="68" t="str">
        <f aca="false">IF(ISBLANK($C45),"",IF($Z45&lt;&gt;Constants!$B$7,$Z45,AJ45))</f>
        <v/>
      </c>
      <c r="AU45" s="69" t="str">
        <f aca="false">IF(ISBLANK($C45),"",IF($Z45&lt;&gt;Constants!$B$7,$Z45,AA45))</f>
        <v/>
      </c>
      <c r="AV45" s="70" t="str">
        <f aca="false">IF(ISBLANK($C45),"",AO45)</f>
        <v/>
      </c>
      <c r="AW45" s="70" t="str">
        <f aca="false">IF(ISBLANK($C45),"",AN45)</f>
        <v/>
      </c>
      <c r="AX45" s="71" t="str">
        <f aca="false">IF(ISBLANK($C45),"",IFERROR(_xlfn.SWITCH(AW45,Constants!$B$4,COUNTA($C$8:$C$507)+2,Constants!$B$5,COUNTA($C$8:$C$507)+1,Constants!$B$6,COUNTA($C$8:$C$507)),AW45))</f>
        <v/>
      </c>
      <c r="AY45" s="5"/>
      <c r="AZ45" s="72" t="n">
        <f aca="false">IF(OR(ISNUMBER(AW45),AW45=Constants!$B$4,AW45=Constants!$B$6,AW45=Constants!$B$5),1,0)</f>
        <v>0</v>
      </c>
      <c r="BA45" s="72" t="n">
        <v>38</v>
      </c>
      <c r="BB45" s="72" t="str">
        <f aca="false">IF(ISBLANK($C45),"",IF(ISNUMBER(AX45),AX45+ROW($B45)/1000,""))</f>
        <v/>
      </c>
      <c r="BC45" s="72" t="str">
        <f aca="false">IF(ISNUMBER(BB45),RANK(BB45,$BB$8:$BB$507,1),"")</f>
        <v/>
      </c>
      <c r="BD45" s="72" t="str">
        <f aca="false">IF(ISBLANK($C45),"",$B45)</f>
        <v/>
      </c>
      <c r="BE45" s="72" t="str">
        <f aca="false">IF(ISBLANK($C45),"",$C45)</f>
        <v/>
      </c>
      <c r="BF45" s="72" t="str">
        <f aca="false">IF(ISBLANK($C45),"",$D45)</f>
        <v/>
      </c>
      <c r="BG45" s="73" t="str">
        <f aca="false">AU45</f>
        <v/>
      </c>
      <c r="BH45" s="74" t="str">
        <f aca="false">AT45</f>
        <v/>
      </c>
      <c r="BI45" s="72" t="str">
        <f aca="false">IF(ISBLANK($C45),"",AW45)</f>
        <v/>
      </c>
      <c r="BJ45" s="75" t="str">
        <f aca="false">IF($BA45&gt;$AZ$7,"",VLOOKUP($BA45,$BC$8:$BI$507,7,FALSE()))</f>
        <v/>
      </c>
      <c r="BK45" s="76" t="str">
        <f aca="false">IF($BA45&gt;$AZ$7,"",VLOOKUP($BA45,$BC$8:$BI$507,2,FALSE()))</f>
        <v/>
      </c>
      <c r="BL45" s="76" t="str">
        <f aca="false">IF($BA45&gt;$AZ$7,"",VLOOKUP($BA45,$BC$8:$BI$507,3,FALSE()))</f>
        <v/>
      </c>
      <c r="BM45" s="76" t="str">
        <f aca="false">IF($BA45&gt;$AZ$7,"",VLOOKUP($BA45,$BC$8:$BI$507,4,FALSE()))</f>
        <v/>
      </c>
      <c r="BN45" s="76" t="str">
        <f aca="false">IF($BA45&gt;$AZ$7,"",VLOOKUP($BA45,$BC$8:$BI$507,5,FALSE()))</f>
        <v/>
      </c>
      <c r="BO45" s="77" t="str">
        <f aca="false">IF($BA45&gt;$AZ$7,"",VLOOKUP($BA45,$BC$8:$BI$507,6,FALSE()))</f>
        <v/>
      </c>
      <c r="BP45" s="52"/>
    </row>
    <row r="46" customFormat="false" ht="15.75" hidden="false" customHeight="false" outlineLevel="0" collapsed="false">
      <c r="A46" s="5"/>
      <c r="B46" s="118"/>
      <c r="C46" s="54"/>
      <c r="D46" s="55"/>
      <c r="E46" s="79"/>
      <c r="F46" s="57"/>
      <c r="G46" s="58"/>
      <c r="H46" s="58"/>
      <c r="I46" s="57"/>
      <c r="J46" s="58"/>
      <c r="K46" s="58"/>
      <c r="L46" s="57"/>
      <c r="M46" s="79"/>
      <c r="N46" s="60"/>
      <c r="O46" s="62" t="str">
        <f aca="false">IF(ISBLANK($C46),"",IF(E46=Constants!$B$2, TRUE(), IF(E46=Constants!$B$3, FALSE(), TRUE())))</f>
        <v/>
      </c>
      <c r="P46" s="62" t="str">
        <f aca="false">IF(ISBLANK($C46),"",IF(F46=Constants!$B$16,Constants!$B$9,IF(F46=Constants!$B$17,Constants!$B$10,Constants!$B$8)))</f>
        <v/>
      </c>
      <c r="Q46" s="62" t="str">
        <f aca="false">IF(ISBLANK($C46),"",IF(ISNUMBER(G46),IF(G46&gt;=0,G46,""),""))</f>
        <v/>
      </c>
      <c r="R46" s="62" t="str">
        <f aca="false">IF(ISBLANK($C46),"",IF(H46=Constants!$B$2, TRUE(), IF(H46=Constants!$B$3, FALSE(), TRUE())))</f>
        <v/>
      </c>
      <c r="S46" s="62" t="str">
        <f aca="false">IF(ISBLANK($C46),"",IF(I46=Constants!$B$2, TRUE(), IF(I46=Constants!$B$3, FALSE(), TRUE())))</f>
        <v/>
      </c>
      <c r="T46" s="62" t="str">
        <f aca="false">IF(ISBLANK($C46),"",IF(ISNUMBER(J46),IF(J46&gt;=0,J46,""),""))</f>
        <v/>
      </c>
      <c r="U46" s="62" t="str">
        <f aca="false">IF(ISBLANK($C46),"",IF(K46=Constants!$B$2, TRUE(), IF(K46=Constants!$B$3, FALSE(), TRUE())))</f>
        <v/>
      </c>
      <c r="V46" s="62" t="str">
        <f aca="false">IF(ISBLANK($C46),"",IF(L46=Constants!$B$2, TRUE(), IF(L46=Constants!$B$3, FALSE(), TRUE())))</f>
        <v/>
      </c>
      <c r="W46" s="62" t="str">
        <f aca="false">IF(ISBLANK($C46),"",IF(M46=Constants!$B$2, TRUE(), IF(M46=Constants!$B$3, FALSE(), FALSE())))</f>
        <v/>
      </c>
      <c r="X46" s="62" t="str">
        <f aca="false">IF(ISBLANK($C46),"",AND(Q46&lt;&gt;"",O46))</f>
        <v/>
      </c>
      <c r="Y46" s="62" t="str">
        <f aca="false">IF(ISBLANK($C46),"",AND(T46&lt;&gt;"",O46))</f>
        <v/>
      </c>
      <c r="Z46" s="62" t="str">
        <f aca="false">IF(ISBLANK($C46),"",IF(W46,Constants!$B$4,IF(COUNTA(E46:L46)=0,Constants!$B$5,IF(NOT(O46),Constants!$B$6,IF(AND(NOT(X46),NOT(Y46)),Constants!$B$6,Constants!$B$7)))))</f>
        <v/>
      </c>
      <c r="AA46" s="62" t="str">
        <f aca="false">IF(ISBLANK($C46),"",IF($Z46&lt;&gt;Constants!$B$7,$Z46,Constants!$B$20))</f>
        <v/>
      </c>
      <c r="AB46" s="62" t="str">
        <f aca="false">IF($Z46=Constants!$B$7,IF(X46,Q46,Constants!$B$13),"")</f>
        <v/>
      </c>
      <c r="AC46" s="62" t="str">
        <f aca="false">IF($Z46=Constants!$B$7,IF(X46,P46*IF(R46, 1, Constants!$B$11)*IF(S46, 1, Constants!$B$12),Constants!$B$13),"")</f>
        <v/>
      </c>
      <c r="AD46" s="62" t="str">
        <f aca="false">IF($Z46=Constants!$B$7,AB46*AC46,"")</f>
        <v/>
      </c>
      <c r="AE46" s="62" t="str">
        <f aca="false">IF($Z46=Constants!$B$7,IF(Y46,T46,Constants!$B$13),"")</f>
        <v/>
      </c>
      <c r="AF46" s="62" t="str">
        <f aca="false">IF($Z46=Constants!$B$7,IF(Y46,P46*IF(U46, 1, Constants!$B$11)*IF(V46, 1, Constants!$B$12),Constants!$B$13),"")</f>
        <v/>
      </c>
      <c r="AG46" s="62" t="str">
        <f aca="false">IF($Z46=Constants!$B$7,AE46*AF46,"")</f>
        <v/>
      </c>
      <c r="AH46" s="62" t="str">
        <f aca="false">IF($Z46=Constants!$B$7,IF(AG46&gt;AD46,2,1),"")</f>
        <v/>
      </c>
      <c r="AI46" s="62" t="str">
        <f aca="false">IF($Z46=Constants!$B$7,IF(AH46=1,2,1),"")</f>
        <v/>
      </c>
      <c r="AJ46" s="62" t="str">
        <f aca="false">IF(ISBLANK($C46),"",IF($Z46&lt;&gt;Constants!$B$7,$Z46,IF(AH46=1,AD46,AG46)))</f>
        <v/>
      </c>
      <c r="AK46" s="62" t="str">
        <f aca="false">IF(ISBLANK($C46),"",IF($Z46=Constants!$B$7,IF(ISNUMBER(AJ46),RANK(AJ46,$AJ$8:$AJ$507),Constants!$B$14),$Z46))</f>
        <v/>
      </c>
      <c r="AL46" s="62" t="str">
        <f aca="false">IF(ISBLANK($C46),"",IF($Z46=Constants!$B$7,IF(AI46=1,AD46,AG46),""))</f>
        <v/>
      </c>
      <c r="AM46" s="62" t="str">
        <f aca="false">IF(ISBLANK($C46),"",IF($Z46=Constants!$B$7,RANK(AL46,$AL$8:$AL$507),$Z46))</f>
        <v/>
      </c>
      <c r="AN46" s="62" t="str">
        <f aca="false">IF(ISBLANK($C46),"",IF($Z46=Constants!$B$7,IF(ISNUMBER(AK46),COUNTIFS($AK$8:$AK$507,"&lt;"&amp;$AK46)+COUNTIFS($AK$8:$AK$507,$AK46,$AM$8:$AM$507,"&lt;"&amp;$AM46)+1,Constants!$B$14),$Z46))</f>
        <v/>
      </c>
      <c r="AO46" s="62" t="str">
        <f aca="false">IF(ISBLANK($C46),"",IF($Z46=Constants!$B$7,IF(ISNUMBER(AK46),AK46-AN46,Constants!$B$14),$Z46))</f>
        <v/>
      </c>
      <c r="AP46" s="64"/>
      <c r="AQ46" s="65" t="str">
        <f aca="false">IF(ISBLANK($C46),"",IF($Z46&lt;&gt;Constants!$B$7,"",AH46))</f>
        <v/>
      </c>
      <c r="AR46" s="80" t="str">
        <f aca="false">IF(ISBLANK($C46),"",IF($Z46&lt;&gt;Constants!$B$7,"",IF(AH46=1,AB46,AE46)))</f>
        <v/>
      </c>
      <c r="AS46" s="67" t="str">
        <f aca="false">IF(ISBLANK($C46),"",IF($Z46&lt;&gt;Constants!$B$7,"",IF(AH46=1,AC46,AF46)))</f>
        <v/>
      </c>
      <c r="AT46" s="68" t="str">
        <f aca="false">IF(ISBLANK($C46),"",IF($Z46&lt;&gt;Constants!$B$7,$Z46,AJ46))</f>
        <v/>
      </c>
      <c r="AU46" s="69" t="str">
        <f aca="false">IF(ISBLANK($C46),"",IF($Z46&lt;&gt;Constants!$B$7,$Z46,AA46))</f>
        <v/>
      </c>
      <c r="AV46" s="70" t="str">
        <f aca="false">IF(ISBLANK($C46),"",AO46)</f>
        <v/>
      </c>
      <c r="AW46" s="70" t="str">
        <f aca="false">IF(ISBLANK($C46),"",AN46)</f>
        <v/>
      </c>
      <c r="AX46" s="71" t="str">
        <f aca="false">IF(ISBLANK($C46),"",IFERROR(_xlfn.SWITCH(AW46,Constants!$B$4,COUNTA($C$8:$C$507)+2,Constants!$B$5,COUNTA($C$8:$C$507)+1,Constants!$B$6,COUNTA($C$8:$C$507)),AW46))</f>
        <v/>
      </c>
      <c r="AY46" s="5"/>
      <c r="AZ46" s="72" t="n">
        <f aca="false">IF(OR(ISNUMBER(AW46),AW46=Constants!$B$4,AW46=Constants!$B$6,AW46=Constants!$B$5),1,0)</f>
        <v>0</v>
      </c>
      <c r="BA46" s="72" t="n">
        <v>39</v>
      </c>
      <c r="BB46" s="72" t="str">
        <f aca="false">IF(ISBLANK($C46),"",IF(ISNUMBER(AX46),AX46+ROW($B46)/1000,""))</f>
        <v/>
      </c>
      <c r="BC46" s="72" t="str">
        <f aca="false">IF(ISNUMBER(BB46),RANK(BB46,$BB$8:$BB$507,1),"")</f>
        <v/>
      </c>
      <c r="BD46" s="72" t="str">
        <f aca="false">IF(ISBLANK($C46),"",$B46)</f>
        <v/>
      </c>
      <c r="BE46" s="72" t="str">
        <f aca="false">IF(ISBLANK($C46),"",$C46)</f>
        <v/>
      </c>
      <c r="BF46" s="72" t="str">
        <f aca="false">IF(ISBLANK($C46),"",$D46)</f>
        <v/>
      </c>
      <c r="BG46" s="73" t="str">
        <f aca="false">AU46</f>
        <v/>
      </c>
      <c r="BH46" s="74" t="str">
        <f aca="false">AT46</f>
        <v/>
      </c>
      <c r="BI46" s="72" t="str">
        <f aca="false">IF(ISBLANK($C46),"",AW46)</f>
        <v/>
      </c>
      <c r="BJ46" s="75" t="str">
        <f aca="false">IF($BA46&gt;$AZ$7,"",VLOOKUP($BA46,$BC$8:$BI$507,7,FALSE()))</f>
        <v/>
      </c>
      <c r="BK46" s="76" t="str">
        <f aca="false">IF($BA46&gt;$AZ$7,"",VLOOKUP($BA46,$BC$8:$BI$507,2,FALSE()))</f>
        <v/>
      </c>
      <c r="BL46" s="76" t="str">
        <f aca="false">IF($BA46&gt;$AZ$7,"",VLOOKUP($BA46,$BC$8:$BI$507,3,FALSE()))</f>
        <v/>
      </c>
      <c r="BM46" s="76" t="str">
        <f aca="false">IF($BA46&gt;$AZ$7,"",VLOOKUP($BA46,$BC$8:$BI$507,4,FALSE()))</f>
        <v/>
      </c>
      <c r="BN46" s="76" t="str">
        <f aca="false">IF($BA46&gt;$AZ$7,"",VLOOKUP($BA46,$BC$8:$BI$507,5,FALSE()))</f>
        <v/>
      </c>
      <c r="BO46" s="77" t="str">
        <f aca="false">IF($BA46&gt;$AZ$7,"",VLOOKUP($BA46,$BC$8:$BI$507,6,FALSE()))</f>
        <v/>
      </c>
      <c r="BP46" s="52"/>
    </row>
    <row r="47" customFormat="false" ht="15.75" hidden="false" customHeight="false" outlineLevel="0" collapsed="false">
      <c r="A47" s="5"/>
      <c r="B47" s="114"/>
      <c r="C47" s="115"/>
      <c r="D47" s="106"/>
      <c r="E47" s="117"/>
      <c r="F47" s="87"/>
      <c r="G47" s="88"/>
      <c r="H47" s="88"/>
      <c r="I47" s="87"/>
      <c r="J47" s="88"/>
      <c r="K47" s="88"/>
      <c r="L47" s="87"/>
      <c r="M47" s="117"/>
      <c r="N47" s="90"/>
      <c r="O47" s="91" t="str">
        <f aca="false">IF(ISBLANK($C47),"",IF(E47=Constants!$B$2, TRUE(), IF(E47=Constants!$B$3, FALSE(), TRUE())))</f>
        <v/>
      </c>
      <c r="P47" s="91" t="str">
        <f aca="false">IF(ISBLANK($C47),"",IF(F47=Constants!$B$16,Constants!$B$9,IF(F47=Constants!$B$17,Constants!$B$10,Constants!$B$8)))</f>
        <v/>
      </c>
      <c r="Q47" s="91" t="str">
        <f aca="false">IF(ISBLANK($C47),"",IF(ISNUMBER(G47),IF(G47&gt;=0,G47,""),""))</f>
        <v/>
      </c>
      <c r="R47" s="91" t="str">
        <f aca="false">IF(ISBLANK($C47),"",IF(H47=Constants!$B$2, TRUE(), IF(H47=Constants!$B$3, FALSE(), TRUE())))</f>
        <v/>
      </c>
      <c r="S47" s="91" t="str">
        <f aca="false">IF(ISBLANK($C47),"",IF(I47=Constants!$B$2, TRUE(), IF(I47=Constants!$B$3, FALSE(), TRUE())))</f>
        <v/>
      </c>
      <c r="T47" s="91" t="str">
        <f aca="false">IF(ISBLANK($C47),"",IF(ISNUMBER(J47),IF(J47&gt;=0,J47,""),""))</f>
        <v/>
      </c>
      <c r="U47" s="91" t="str">
        <f aca="false">IF(ISBLANK($C47),"",IF(K47=Constants!$B$2, TRUE(), IF(K47=Constants!$B$3, FALSE(), TRUE())))</f>
        <v/>
      </c>
      <c r="V47" s="91" t="str">
        <f aca="false">IF(ISBLANK($C47),"",IF(L47=Constants!$B$2, TRUE(), IF(L47=Constants!$B$3, FALSE(), TRUE())))</f>
        <v/>
      </c>
      <c r="W47" s="91" t="str">
        <f aca="false">IF(ISBLANK($C47),"",IF(M47=Constants!$B$2, TRUE(), IF(M47=Constants!$B$3, FALSE(), FALSE())))</f>
        <v/>
      </c>
      <c r="X47" s="91" t="str">
        <f aca="false">IF(ISBLANK($C47),"",AND(Q47&lt;&gt;"",O47))</f>
        <v/>
      </c>
      <c r="Y47" s="91" t="str">
        <f aca="false">IF(ISBLANK($C47),"",AND(T47&lt;&gt;"",O47))</f>
        <v/>
      </c>
      <c r="Z47" s="91" t="str">
        <f aca="false">IF(ISBLANK($C47),"",IF(W47,Constants!$B$4,IF(COUNTA(E47:L47)=0,Constants!$B$5,IF(NOT(O47),Constants!$B$6,IF(AND(NOT(X47),NOT(Y47)),Constants!$B$6,Constants!$B$7)))))</f>
        <v/>
      </c>
      <c r="AA47" s="91" t="str">
        <f aca="false">IF(ISBLANK($C47),"",IF($Z47&lt;&gt;Constants!$B$7,$Z47,Constants!$B$20))</f>
        <v/>
      </c>
      <c r="AB47" s="91" t="str">
        <f aca="false">IF($Z47=Constants!$B$7,IF(X47,Q47,Constants!$B$13),"")</f>
        <v/>
      </c>
      <c r="AC47" s="91" t="str">
        <f aca="false">IF($Z47=Constants!$B$7,IF(X47,P47*IF(R47, 1, Constants!$B$11)*IF(S47, 1, Constants!$B$12),Constants!$B$13),"")</f>
        <v/>
      </c>
      <c r="AD47" s="91" t="str">
        <f aca="false">IF($Z47=Constants!$B$7,AB47*AC47,"")</f>
        <v/>
      </c>
      <c r="AE47" s="91" t="str">
        <f aca="false">IF($Z47=Constants!$B$7,IF(Y47,T47,Constants!$B$13),"")</f>
        <v/>
      </c>
      <c r="AF47" s="91" t="str">
        <f aca="false">IF($Z47=Constants!$B$7,IF(Y47,P47*IF(U47, 1, Constants!$B$11)*IF(V47, 1, Constants!$B$12),Constants!$B$13),"")</f>
        <v/>
      </c>
      <c r="AG47" s="91" t="str">
        <f aca="false">IF($Z47=Constants!$B$7,AE47*AF47,"")</f>
        <v/>
      </c>
      <c r="AH47" s="91" t="str">
        <f aca="false">IF($Z47=Constants!$B$7,IF(AG47&gt;AD47,2,1),"")</f>
        <v/>
      </c>
      <c r="AI47" s="91" t="str">
        <f aca="false">IF($Z47=Constants!$B$7,IF(AH47=1,2,1),"")</f>
        <v/>
      </c>
      <c r="AJ47" s="91" t="str">
        <f aca="false">IF(ISBLANK($C47),"",IF($Z47&lt;&gt;Constants!$B$7,$Z47,IF(AH47=1,AD47,AG47)))</f>
        <v/>
      </c>
      <c r="AK47" s="91" t="str">
        <f aca="false">IF(ISBLANK($C47),"",IF($Z47=Constants!$B$7,IF(ISNUMBER(AJ47),RANK(AJ47,$AJ$8:$AJ$507),Constants!$B$14),$Z47))</f>
        <v/>
      </c>
      <c r="AL47" s="91" t="str">
        <f aca="false">IF(ISBLANK($C47),"",IF($Z47=Constants!$B$7,IF(AI47=1,AD47,AG47),""))</f>
        <v/>
      </c>
      <c r="AM47" s="91" t="str">
        <f aca="false">IF(ISBLANK($C47),"",IF($Z47=Constants!$B$7,RANK(AL47,$AL$8:$AL$507),$Z47))</f>
        <v/>
      </c>
      <c r="AN47" s="91" t="str">
        <f aca="false">IF(ISBLANK($C47),"",IF($Z47=Constants!$B$7,IF(ISNUMBER(AK47),COUNTIFS($AK$8:$AK$507,"&lt;"&amp;$AK47)+COUNTIFS($AK$8:$AK$507,$AK47,$AM$8:$AM$507,"&lt;"&amp;$AM47)+1,Constants!$B$14),$Z47))</f>
        <v/>
      </c>
      <c r="AO47" s="91" t="str">
        <f aca="false">IF(ISBLANK($C47),"",IF($Z47=Constants!$B$7,IF(ISNUMBER(AK47),AK47-AN47,Constants!$B$14),$Z47))</f>
        <v/>
      </c>
      <c r="AP47" s="92"/>
      <c r="AQ47" s="93" t="str">
        <f aca="false">IF(ISBLANK($C47),"",IF($Z47&lt;&gt;Constants!$B$7,"",AH47))</f>
        <v/>
      </c>
      <c r="AR47" s="94" t="str">
        <f aca="false">IF(ISBLANK($C47),"",IF($Z47&lt;&gt;Constants!$B$7,"",IF(AH47=1,AB47,AE47)))</f>
        <v/>
      </c>
      <c r="AS47" s="95" t="str">
        <f aca="false">IF(ISBLANK($C47),"",IF($Z47&lt;&gt;Constants!$B$7,"",IF(AH47=1,AC47,AF47)))</f>
        <v/>
      </c>
      <c r="AT47" s="96" t="str">
        <f aca="false">IF(ISBLANK($C47),"",IF($Z47&lt;&gt;Constants!$B$7,$Z47,AJ47))</f>
        <v/>
      </c>
      <c r="AU47" s="97" t="str">
        <f aca="false">IF(ISBLANK($C47),"",IF($Z47&lt;&gt;Constants!$B$7,$Z47,AA47))</f>
        <v/>
      </c>
      <c r="AV47" s="98" t="str">
        <f aca="false">IF(ISBLANK($C47),"",AO47)</f>
        <v/>
      </c>
      <c r="AW47" s="98" t="str">
        <f aca="false">IF(ISBLANK($C47),"",AN47)</f>
        <v/>
      </c>
      <c r="AX47" s="99" t="str">
        <f aca="false">IF(ISBLANK($C47),"",IFERROR(_xlfn.SWITCH(AW47,Constants!$B$4,COUNTA($C$8:$C$507)+2,Constants!$B$5,COUNTA($C$8:$C$507)+1,Constants!$B$6,COUNTA($C$8:$C$507)),AW47))</f>
        <v/>
      </c>
      <c r="AY47" s="5"/>
      <c r="AZ47" s="100" t="n">
        <f aca="false">IF(OR(ISNUMBER(AW47),AW47=Constants!$B$4,AW47=Constants!$B$6,AW47=Constants!$B$5),1,0)</f>
        <v>0</v>
      </c>
      <c r="BA47" s="100" t="n">
        <v>40</v>
      </c>
      <c r="BB47" s="100" t="str">
        <f aca="false">IF(ISBLANK($C47),"",IF(ISNUMBER(AX47),AX47+ROW($B47)/1000,""))</f>
        <v/>
      </c>
      <c r="BC47" s="100" t="str">
        <f aca="false">IF(ISNUMBER(BB47),RANK(BB47,$BB$8:$BB$507,1),"")</f>
        <v/>
      </c>
      <c r="BD47" s="100" t="str">
        <f aca="false">IF(ISBLANK($C47),"",$B47)</f>
        <v/>
      </c>
      <c r="BE47" s="100" t="str">
        <f aca="false">IF(ISBLANK($C47),"",$C47)</f>
        <v/>
      </c>
      <c r="BF47" s="100" t="str">
        <f aca="false">IF(ISBLANK($C47),"",$D47)</f>
        <v/>
      </c>
      <c r="BG47" s="101" t="str">
        <f aca="false">AU47</f>
        <v/>
      </c>
      <c r="BH47" s="102" t="str">
        <f aca="false">AT47</f>
        <v/>
      </c>
      <c r="BI47" s="100" t="str">
        <f aca="false">IF(ISBLANK($C47),"",AW47)</f>
        <v/>
      </c>
      <c r="BJ47" s="103" t="str">
        <f aca="false">IF($BA47&gt;$AZ$7,"",VLOOKUP($BA47,$BC$8:$BI$507,7,FALSE()))</f>
        <v/>
      </c>
      <c r="BK47" s="104" t="str">
        <f aca="false">IF($BA47&gt;$AZ$7,"",VLOOKUP($BA47,$BC$8:$BI$507,2,FALSE()))</f>
        <v/>
      </c>
      <c r="BL47" s="104" t="str">
        <f aca="false">IF($BA47&gt;$AZ$7,"",VLOOKUP($BA47,$BC$8:$BI$507,3,FALSE()))</f>
        <v/>
      </c>
      <c r="BM47" s="104" t="str">
        <f aca="false">IF($BA47&gt;$AZ$7,"",VLOOKUP($BA47,$BC$8:$BI$507,4,FALSE()))</f>
        <v/>
      </c>
      <c r="BN47" s="104" t="str">
        <f aca="false">IF($BA47&gt;$AZ$7,"",VLOOKUP($BA47,$BC$8:$BI$507,5,FALSE()))</f>
        <v/>
      </c>
      <c r="BO47" s="105" t="str">
        <f aca="false">IF($BA47&gt;$AZ$7,"",VLOOKUP($BA47,$BC$8:$BI$507,6,FALSE()))</f>
        <v/>
      </c>
      <c r="BP47" s="52"/>
    </row>
    <row r="48" customFormat="false" ht="15.75" hidden="false" customHeight="false" outlineLevel="0" collapsed="false">
      <c r="A48" s="5"/>
      <c r="B48" s="114"/>
      <c r="C48" s="115"/>
      <c r="D48" s="106"/>
      <c r="E48" s="117"/>
      <c r="F48" s="87"/>
      <c r="G48" s="88"/>
      <c r="H48" s="88"/>
      <c r="I48" s="87"/>
      <c r="J48" s="88"/>
      <c r="K48" s="88"/>
      <c r="L48" s="87"/>
      <c r="M48" s="117"/>
      <c r="N48" s="90"/>
      <c r="O48" s="91" t="str">
        <f aca="false">IF(ISBLANK($C48),"",IF(E48=Constants!$B$2, TRUE(), IF(E48=Constants!$B$3, FALSE(), TRUE())))</f>
        <v/>
      </c>
      <c r="P48" s="91" t="str">
        <f aca="false">IF(ISBLANK($C48),"",IF(F48=Constants!$B$16,Constants!$B$9,IF(F48=Constants!$B$17,Constants!$B$10,Constants!$B$8)))</f>
        <v/>
      </c>
      <c r="Q48" s="91" t="str">
        <f aca="false">IF(ISBLANK($C48),"",IF(ISNUMBER(G48),IF(G48&gt;=0,G48,""),""))</f>
        <v/>
      </c>
      <c r="R48" s="91" t="str">
        <f aca="false">IF(ISBLANK($C48),"",IF(H48=Constants!$B$2, TRUE(), IF(H48=Constants!$B$3, FALSE(), TRUE())))</f>
        <v/>
      </c>
      <c r="S48" s="91" t="str">
        <f aca="false">IF(ISBLANK($C48),"",IF(I48=Constants!$B$2, TRUE(), IF(I48=Constants!$B$3, FALSE(), TRUE())))</f>
        <v/>
      </c>
      <c r="T48" s="91" t="str">
        <f aca="false">IF(ISBLANK($C48),"",IF(ISNUMBER(J48),IF(J48&gt;=0,J48,""),""))</f>
        <v/>
      </c>
      <c r="U48" s="91" t="str">
        <f aca="false">IF(ISBLANK($C48),"",IF(K48=Constants!$B$2, TRUE(), IF(K48=Constants!$B$3, FALSE(), TRUE())))</f>
        <v/>
      </c>
      <c r="V48" s="91" t="str">
        <f aca="false">IF(ISBLANK($C48),"",IF(L48=Constants!$B$2, TRUE(), IF(L48=Constants!$B$3, FALSE(), TRUE())))</f>
        <v/>
      </c>
      <c r="W48" s="91" t="str">
        <f aca="false">IF(ISBLANK($C48),"",IF(M48=Constants!$B$2, TRUE(), IF(M48=Constants!$B$3, FALSE(), FALSE())))</f>
        <v/>
      </c>
      <c r="X48" s="91" t="str">
        <f aca="false">IF(ISBLANK($C48),"",AND(Q48&lt;&gt;"",O48))</f>
        <v/>
      </c>
      <c r="Y48" s="91" t="str">
        <f aca="false">IF(ISBLANK($C48),"",AND(T48&lt;&gt;"",O48))</f>
        <v/>
      </c>
      <c r="Z48" s="91" t="str">
        <f aca="false">IF(ISBLANK($C48),"",IF(W48,Constants!$B$4,IF(COUNTA(E48:L48)=0,Constants!$B$5,IF(NOT(O48),Constants!$B$6,IF(AND(NOT(X48),NOT(Y48)),Constants!$B$6,Constants!$B$7)))))</f>
        <v/>
      </c>
      <c r="AA48" s="91" t="str">
        <f aca="false">IF(ISBLANK($C48),"",IF($Z48&lt;&gt;Constants!$B$7,$Z48,Constants!$B$20))</f>
        <v/>
      </c>
      <c r="AB48" s="91" t="str">
        <f aca="false">IF($Z48=Constants!$B$7,IF(X48,Q48,Constants!$B$13),"")</f>
        <v/>
      </c>
      <c r="AC48" s="91" t="str">
        <f aca="false">IF($Z48=Constants!$B$7,IF(X48,P48*IF(R48, 1, Constants!$B$11)*IF(S48, 1, Constants!$B$12),Constants!$B$13),"")</f>
        <v/>
      </c>
      <c r="AD48" s="91" t="str">
        <f aca="false">IF($Z48=Constants!$B$7,AB48*AC48,"")</f>
        <v/>
      </c>
      <c r="AE48" s="91" t="str">
        <f aca="false">IF($Z48=Constants!$B$7,IF(Y48,T48,Constants!$B$13),"")</f>
        <v/>
      </c>
      <c r="AF48" s="91" t="str">
        <f aca="false">IF($Z48=Constants!$B$7,IF(Y48,P48*IF(U48, 1, Constants!$B$11)*IF(V48, 1, Constants!$B$12),Constants!$B$13),"")</f>
        <v/>
      </c>
      <c r="AG48" s="91" t="str">
        <f aca="false">IF($Z48=Constants!$B$7,AE48*AF48,"")</f>
        <v/>
      </c>
      <c r="AH48" s="91" t="str">
        <f aca="false">IF($Z48=Constants!$B$7,IF(AG48&gt;AD48,2,1),"")</f>
        <v/>
      </c>
      <c r="AI48" s="91" t="str">
        <f aca="false">IF($Z48=Constants!$B$7,IF(AH48=1,2,1),"")</f>
        <v/>
      </c>
      <c r="AJ48" s="91" t="str">
        <f aca="false">IF(ISBLANK($C48),"",IF($Z48&lt;&gt;Constants!$B$7,$Z48,IF(AH48=1,AD48,AG48)))</f>
        <v/>
      </c>
      <c r="AK48" s="91" t="str">
        <f aca="false">IF(ISBLANK($C48),"",IF($Z48=Constants!$B$7,IF(ISNUMBER(AJ48),RANK(AJ48,$AJ$8:$AJ$507),Constants!$B$14),$Z48))</f>
        <v/>
      </c>
      <c r="AL48" s="91" t="str">
        <f aca="false">IF(ISBLANK($C48),"",IF($Z48=Constants!$B$7,IF(AI48=1,AD48,AG48),""))</f>
        <v/>
      </c>
      <c r="AM48" s="91" t="str">
        <f aca="false">IF(ISBLANK($C48),"",IF($Z48=Constants!$B$7,RANK(AL48,$AL$8:$AL$507),$Z48))</f>
        <v/>
      </c>
      <c r="AN48" s="91" t="str">
        <f aca="false">IF(ISBLANK($C48),"",IF($Z48=Constants!$B$7,IF(ISNUMBER(AK48),COUNTIFS($AK$8:$AK$507,"&lt;"&amp;$AK48)+COUNTIFS($AK$8:$AK$507,$AK48,$AM$8:$AM$507,"&lt;"&amp;$AM48)+1,Constants!$B$14),$Z48))</f>
        <v/>
      </c>
      <c r="AO48" s="91" t="str">
        <f aca="false">IF(ISBLANK($C48),"",IF($Z48=Constants!$B$7,IF(ISNUMBER(AK48),AK48-AN48,Constants!$B$14),$Z48))</f>
        <v/>
      </c>
      <c r="AP48" s="92"/>
      <c r="AQ48" s="93" t="str">
        <f aca="false">IF(ISBLANK($C48),"",IF($Z48&lt;&gt;Constants!$B$7,"",AH48))</f>
        <v/>
      </c>
      <c r="AR48" s="94" t="str">
        <f aca="false">IF(ISBLANK($C48),"",IF($Z48&lt;&gt;Constants!$B$7,"",IF(AH48=1,AB48,AE48)))</f>
        <v/>
      </c>
      <c r="AS48" s="95" t="str">
        <f aca="false">IF(ISBLANK($C48),"",IF($Z48&lt;&gt;Constants!$B$7,"",IF(AH48=1,AC48,AF48)))</f>
        <v/>
      </c>
      <c r="AT48" s="96" t="str">
        <f aca="false">IF(ISBLANK($C48),"",IF($Z48&lt;&gt;Constants!$B$7,$Z48,AJ48))</f>
        <v/>
      </c>
      <c r="AU48" s="97" t="str">
        <f aca="false">IF(ISBLANK($C48),"",IF($Z48&lt;&gt;Constants!$B$7,$Z48,AA48))</f>
        <v/>
      </c>
      <c r="AV48" s="98" t="str">
        <f aca="false">IF(ISBLANK($C48),"",AO48)</f>
        <v/>
      </c>
      <c r="AW48" s="98" t="str">
        <f aca="false">IF(ISBLANK($C48),"",AN48)</f>
        <v/>
      </c>
      <c r="AX48" s="99" t="str">
        <f aca="false">IF(ISBLANK($C48),"",IFERROR(_xlfn.SWITCH(AW48,Constants!$B$4,COUNTA($C$8:$C$507)+2,Constants!$B$5,COUNTA($C$8:$C$507)+1,Constants!$B$6,COUNTA($C$8:$C$507)),AW48))</f>
        <v/>
      </c>
      <c r="AY48" s="5"/>
      <c r="AZ48" s="100" t="n">
        <f aca="false">IF(OR(ISNUMBER(AW48),AW48=Constants!$B$4,AW48=Constants!$B$6,AW48=Constants!$B$5),1,0)</f>
        <v>0</v>
      </c>
      <c r="BA48" s="100" t="n">
        <v>41</v>
      </c>
      <c r="BB48" s="100" t="str">
        <f aca="false">IF(ISBLANK($C48),"",IF(ISNUMBER(AX48),AX48+ROW($B48)/1000,""))</f>
        <v/>
      </c>
      <c r="BC48" s="100" t="str">
        <f aca="false">IF(ISNUMBER(BB48),RANK(BB48,$BB$8:$BB$507,1),"")</f>
        <v/>
      </c>
      <c r="BD48" s="100" t="str">
        <f aca="false">IF(ISBLANK($C48),"",$B48)</f>
        <v/>
      </c>
      <c r="BE48" s="100" t="str">
        <f aca="false">IF(ISBLANK($C48),"",$C48)</f>
        <v/>
      </c>
      <c r="BF48" s="100" t="str">
        <f aca="false">IF(ISBLANK($C48),"",$D48)</f>
        <v/>
      </c>
      <c r="BG48" s="101" t="str">
        <f aca="false">AU48</f>
        <v/>
      </c>
      <c r="BH48" s="102" t="str">
        <f aca="false">AT48</f>
        <v/>
      </c>
      <c r="BI48" s="100" t="str">
        <f aca="false">IF(ISBLANK($C48),"",AW48)</f>
        <v/>
      </c>
      <c r="BJ48" s="103" t="str">
        <f aca="false">IF($BA48&gt;$AZ$7,"",VLOOKUP($BA48,$BC$8:$BI$507,7,FALSE()))</f>
        <v/>
      </c>
      <c r="BK48" s="104" t="str">
        <f aca="false">IF($BA48&gt;$AZ$7,"",VLOOKUP($BA48,$BC$8:$BI$507,2,FALSE()))</f>
        <v/>
      </c>
      <c r="BL48" s="104" t="str">
        <f aca="false">IF($BA48&gt;$AZ$7,"",VLOOKUP($BA48,$BC$8:$BI$507,3,FALSE()))</f>
        <v/>
      </c>
      <c r="BM48" s="104" t="str">
        <f aca="false">IF($BA48&gt;$AZ$7,"",VLOOKUP($BA48,$BC$8:$BI$507,4,FALSE()))</f>
        <v/>
      </c>
      <c r="BN48" s="104" t="str">
        <f aca="false">IF($BA48&gt;$AZ$7,"",VLOOKUP($BA48,$BC$8:$BI$507,5,FALSE()))</f>
        <v/>
      </c>
      <c r="BO48" s="105" t="str">
        <f aca="false">IF($BA48&gt;$AZ$7,"",VLOOKUP($BA48,$BC$8:$BI$507,6,FALSE()))</f>
        <v/>
      </c>
      <c r="BP48" s="52"/>
    </row>
    <row r="49" customFormat="false" ht="15.75" hidden="false" customHeight="false" outlineLevel="0" collapsed="false">
      <c r="A49" s="5"/>
      <c r="B49" s="114"/>
      <c r="C49" s="115"/>
      <c r="D49" s="106"/>
      <c r="E49" s="117"/>
      <c r="F49" s="87"/>
      <c r="G49" s="88"/>
      <c r="H49" s="88"/>
      <c r="I49" s="87"/>
      <c r="J49" s="88"/>
      <c r="K49" s="88"/>
      <c r="L49" s="87"/>
      <c r="M49" s="117"/>
      <c r="N49" s="90"/>
      <c r="O49" s="91" t="str">
        <f aca="false">IF(ISBLANK($C49),"",IF(E49=Constants!$B$2, TRUE(), IF(E49=Constants!$B$3, FALSE(), TRUE())))</f>
        <v/>
      </c>
      <c r="P49" s="91" t="str">
        <f aca="false">IF(ISBLANK($C49),"",IF(F49=Constants!$B$16,Constants!$B$9,IF(F49=Constants!$B$17,Constants!$B$10,Constants!$B$8)))</f>
        <v/>
      </c>
      <c r="Q49" s="91" t="str">
        <f aca="false">IF(ISBLANK($C49),"",IF(ISNUMBER(G49),IF(G49&gt;=0,G49,""),""))</f>
        <v/>
      </c>
      <c r="R49" s="91" t="str">
        <f aca="false">IF(ISBLANK($C49),"",IF(H49=Constants!$B$2, TRUE(), IF(H49=Constants!$B$3, FALSE(), TRUE())))</f>
        <v/>
      </c>
      <c r="S49" s="91" t="str">
        <f aca="false">IF(ISBLANK($C49),"",IF(I49=Constants!$B$2, TRUE(), IF(I49=Constants!$B$3, FALSE(), TRUE())))</f>
        <v/>
      </c>
      <c r="T49" s="91" t="str">
        <f aca="false">IF(ISBLANK($C49),"",IF(ISNUMBER(J49),IF(J49&gt;=0,J49,""),""))</f>
        <v/>
      </c>
      <c r="U49" s="91" t="str">
        <f aca="false">IF(ISBLANK($C49),"",IF(K49=Constants!$B$2, TRUE(), IF(K49=Constants!$B$3, FALSE(), TRUE())))</f>
        <v/>
      </c>
      <c r="V49" s="91" t="str">
        <f aca="false">IF(ISBLANK($C49),"",IF(L49=Constants!$B$2, TRUE(), IF(L49=Constants!$B$3, FALSE(), TRUE())))</f>
        <v/>
      </c>
      <c r="W49" s="91" t="str">
        <f aca="false">IF(ISBLANK($C49),"",IF(M49=Constants!$B$2, TRUE(), IF(M49=Constants!$B$3, FALSE(), FALSE())))</f>
        <v/>
      </c>
      <c r="X49" s="91" t="str">
        <f aca="false">IF(ISBLANK($C49),"",AND(Q49&lt;&gt;"",O49))</f>
        <v/>
      </c>
      <c r="Y49" s="91" t="str">
        <f aca="false">IF(ISBLANK($C49),"",AND(T49&lt;&gt;"",O49))</f>
        <v/>
      </c>
      <c r="Z49" s="91" t="str">
        <f aca="false">IF(ISBLANK($C49),"",IF(W49,Constants!$B$4,IF(COUNTA(E49:L49)=0,Constants!$B$5,IF(NOT(O49),Constants!$B$6,IF(AND(NOT(X49),NOT(Y49)),Constants!$B$6,Constants!$B$7)))))</f>
        <v/>
      </c>
      <c r="AA49" s="91" t="str">
        <f aca="false">IF(ISBLANK($C49),"",IF($Z49&lt;&gt;Constants!$B$7,$Z49,Constants!$B$20))</f>
        <v/>
      </c>
      <c r="AB49" s="91" t="str">
        <f aca="false">IF($Z49=Constants!$B$7,IF(X49,Q49,Constants!$B$13),"")</f>
        <v/>
      </c>
      <c r="AC49" s="91" t="str">
        <f aca="false">IF($Z49=Constants!$B$7,IF(X49,P49*IF(R49, 1, Constants!$B$11)*IF(S49, 1, Constants!$B$12),Constants!$B$13),"")</f>
        <v/>
      </c>
      <c r="AD49" s="91" t="str">
        <f aca="false">IF($Z49=Constants!$B$7,AB49*AC49,"")</f>
        <v/>
      </c>
      <c r="AE49" s="91" t="str">
        <f aca="false">IF($Z49=Constants!$B$7,IF(Y49,T49,Constants!$B$13),"")</f>
        <v/>
      </c>
      <c r="AF49" s="91" t="str">
        <f aca="false">IF($Z49=Constants!$B$7,IF(Y49,P49*IF(U49, 1, Constants!$B$11)*IF(V49, 1, Constants!$B$12),Constants!$B$13),"")</f>
        <v/>
      </c>
      <c r="AG49" s="91" t="str">
        <f aca="false">IF($Z49=Constants!$B$7,AE49*AF49,"")</f>
        <v/>
      </c>
      <c r="AH49" s="91" t="str">
        <f aca="false">IF($Z49=Constants!$B$7,IF(AG49&gt;AD49,2,1),"")</f>
        <v/>
      </c>
      <c r="AI49" s="91" t="str">
        <f aca="false">IF($Z49=Constants!$B$7,IF(AH49=1,2,1),"")</f>
        <v/>
      </c>
      <c r="AJ49" s="91" t="str">
        <f aca="false">IF(ISBLANK($C49),"",IF($Z49&lt;&gt;Constants!$B$7,$Z49,IF(AH49=1,AD49,AG49)))</f>
        <v/>
      </c>
      <c r="AK49" s="91" t="str">
        <f aca="false">IF(ISBLANK($C49),"",IF($Z49=Constants!$B$7,IF(ISNUMBER(AJ49),RANK(AJ49,$AJ$8:$AJ$507),Constants!$B$14),$Z49))</f>
        <v/>
      </c>
      <c r="AL49" s="91" t="str">
        <f aca="false">IF(ISBLANK($C49),"",IF($Z49=Constants!$B$7,IF(AI49=1,AD49,AG49),""))</f>
        <v/>
      </c>
      <c r="AM49" s="91" t="str">
        <f aca="false">IF(ISBLANK($C49),"",IF($Z49=Constants!$B$7,RANK(AL49,$AL$8:$AL$507),$Z49))</f>
        <v/>
      </c>
      <c r="AN49" s="91" t="str">
        <f aca="false">IF(ISBLANK($C49),"",IF($Z49=Constants!$B$7,IF(ISNUMBER(AK49),COUNTIFS($AK$8:$AK$507,"&lt;"&amp;$AK49)+COUNTIFS($AK$8:$AK$507,$AK49,$AM$8:$AM$507,"&lt;"&amp;$AM49)+1,Constants!$B$14),$Z49))</f>
        <v/>
      </c>
      <c r="AO49" s="91" t="str">
        <f aca="false">IF(ISBLANK($C49),"",IF($Z49=Constants!$B$7,IF(ISNUMBER(AK49),AK49-AN49,Constants!$B$14),$Z49))</f>
        <v/>
      </c>
      <c r="AP49" s="92"/>
      <c r="AQ49" s="93" t="str">
        <f aca="false">IF(ISBLANK($C49),"",IF($Z49&lt;&gt;Constants!$B$7,"",AH49))</f>
        <v/>
      </c>
      <c r="AR49" s="94" t="str">
        <f aca="false">IF(ISBLANK($C49),"",IF($Z49&lt;&gt;Constants!$B$7,"",IF(AH49=1,AB49,AE49)))</f>
        <v/>
      </c>
      <c r="AS49" s="95" t="str">
        <f aca="false">IF(ISBLANK($C49),"",IF($Z49&lt;&gt;Constants!$B$7,"",IF(AH49=1,AC49,AF49)))</f>
        <v/>
      </c>
      <c r="AT49" s="96" t="str">
        <f aca="false">IF(ISBLANK($C49),"",IF($Z49&lt;&gt;Constants!$B$7,$Z49,AJ49))</f>
        <v/>
      </c>
      <c r="AU49" s="97" t="str">
        <f aca="false">IF(ISBLANK($C49),"",IF($Z49&lt;&gt;Constants!$B$7,$Z49,AA49))</f>
        <v/>
      </c>
      <c r="AV49" s="98" t="str">
        <f aca="false">IF(ISBLANK($C49),"",AO49)</f>
        <v/>
      </c>
      <c r="AW49" s="98" t="str">
        <f aca="false">IF(ISBLANK($C49),"",AN49)</f>
        <v/>
      </c>
      <c r="AX49" s="99" t="str">
        <f aca="false">IF(ISBLANK($C49),"",IFERROR(_xlfn.SWITCH(AW49,Constants!$B$4,COUNTA($C$8:$C$507)+2,Constants!$B$5,COUNTA($C$8:$C$507)+1,Constants!$B$6,COUNTA($C$8:$C$507)),AW49))</f>
        <v/>
      </c>
      <c r="AY49" s="5"/>
      <c r="AZ49" s="100" t="n">
        <f aca="false">IF(OR(ISNUMBER(AW49),AW49=Constants!$B$4,AW49=Constants!$B$6,AW49=Constants!$B$5),1,0)</f>
        <v>0</v>
      </c>
      <c r="BA49" s="100" t="n">
        <v>42</v>
      </c>
      <c r="BB49" s="100" t="str">
        <f aca="false">IF(ISBLANK($C49),"",IF(ISNUMBER(AX49),AX49+ROW($B49)/1000,""))</f>
        <v/>
      </c>
      <c r="BC49" s="100" t="str">
        <f aca="false">IF(ISNUMBER(BB49),RANK(BB49,$BB$8:$BB$507,1),"")</f>
        <v/>
      </c>
      <c r="BD49" s="100" t="str">
        <f aca="false">IF(ISBLANK($C49),"",$B49)</f>
        <v/>
      </c>
      <c r="BE49" s="100" t="str">
        <f aca="false">IF(ISBLANK($C49),"",$C49)</f>
        <v/>
      </c>
      <c r="BF49" s="100" t="str">
        <f aca="false">IF(ISBLANK($C49),"",$D49)</f>
        <v/>
      </c>
      <c r="BG49" s="101" t="str">
        <f aca="false">AU49</f>
        <v/>
      </c>
      <c r="BH49" s="102" t="str">
        <f aca="false">AT49</f>
        <v/>
      </c>
      <c r="BI49" s="100" t="str">
        <f aca="false">IF(ISBLANK($C49),"",AW49)</f>
        <v/>
      </c>
      <c r="BJ49" s="103" t="str">
        <f aca="false">IF($BA49&gt;$AZ$7,"",VLOOKUP($BA49,$BC$8:$BI$507,7,FALSE()))</f>
        <v/>
      </c>
      <c r="BK49" s="104" t="str">
        <f aca="false">IF($BA49&gt;$AZ$7,"",VLOOKUP($BA49,$BC$8:$BI$507,2,FALSE()))</f>
        <v/>
      </c>
      <c r="BL49" s="104" t="str">
        <f aca="false">IF($BA49&gt;$AZ$7,"",VLOOKUP($BA49,$BC$8:$BI$507,3,FALSE()))</f>
        <v/>
      </c>
      <c r="BM49" s="104" t="str">
        <f aca="false">IF($BA49&gt;$AZ$7,"",VLOOKUP($BA49,$BC$8:$BI$507,4,FALSE()))</f>
        <v/>
      </c>
      <c r="BN49" s="104" t="str">
        <f aca="false">IF($BA49&gt;$AZ$7,"",VLOOKUP($BA49,$BC$8:$BI$507,5,FALSE()))</f>
        <v/>
      </c>
      <c r="BO49" s="105" t="str">
        <f aca="false">IF($BA49&gt;$AZ$7,"",VLOOKUP($BA49,$BC$8:$BI$507,6,FALSE()))</f>
        <v/>
      </c>
      <c r="BP49" s="52"/>
    </row>
    <row r="50" customFormat="false" ht="15.75" hidden="false" customHeight="false" outlineLevel="0" collapsed="false">
      <c r="A50" s="5"/>
      <c r="B50" s="118"/>
      <c r="C50" s="54"/>
      <c r="D50" s="55"/>
      <c r="E50" s="79"/>
      <c r="F50" s="57"/>
      <c r="G50" s="58"/>
      <c r="H50" s="58"/>
      <c r="I50" s="57"/>
      <c r="J50" s="58"/>
      <c r="K50" s="58"/>
      <c r="L50" s="57"/>
      <c r="M50" s="79"/>
      <c r="N50" s="60"/>
      <c r="O50" s="62" t="str">
        <f aca="false">IF(ISBLANK($C50),"",IF(E50=Constants!$B$2, TRUE(), IF(E50=Constants!$B$3, FALSE(), TRUE())))</f>
        <v/>
      </c>
      <c r="P50" s="62" t="str">
        <f aca="false">IF(ISBLANK($C50),"",IF(F50=Constants!$B$16,Constants!$B$9,IF(F50=Constants!$B$17,Constants!$B$10,Constants!$B$8)))</f>
        <v/>
      </c>
      <c r="Q50" s="62" t="str">
        <f aca="false">IF(ISBLANK($C50),"",IF(ISNUMBER(G50),IF(G50&gt;=0,G50,""),""))</f>
        <v/>
      </c>
      <c r="R50" s="62" t="str">
        <f aca="false">IF(ISBLANK($C50),"",IF(H50=Constants!$B$2, TRUE(), IF(H50=Constants!$B$3, FALSE(), TRUE())))</f>
        <v/>
      </c>
      <c r="S50" s="62" t="str">
        <f aca="false">IF(ISBLANK($C50),"",IF(I50=Constants!$B$2, TRUE(), IF(I50=Constants!$B$3, FALSE(), TRUE())))</f>
        <v/>
      </c>
      <c r="T50" s="62" t="str">
        <f aca="false">IF(ISBLANK($C50),"",IF(ISNUMBER(J50),IF(J50&gt;=0,J50,""),""))</f>
        <v/>
      </c>
      <c r="U50" s="62" t="str">
        <f aca="false">IF(ISBLANK($C50),"",IF(K50=Constants!$B$2, TRUE(), IF(K50=Constants!$B$3, FALSE(), TRUE())))</f>
        <v/>
      </c>
      <c r="V50" s="62" t="str">
        <f aca="false">IF(ISBLANK($C50),"",IF(L50=Constants!$B$2, TRUE(), IF(L50=Constants!$B$3, FALSE(), TRUE())))</f>
        <v/>
      </c>
      <c r="W50" s="62" t="str">
        <f aca="false">IF(ISBLANK($C50),"",IF(M50=Constants!$B$2, TRUE(), IF(M50=Constants!$B$3, FALSE(), FALSE())))</f>
        <v/>
      </c>
      <c r="X50" s="62" t="str">
        <f aca="false">IF(ISBLANK($C50),"",AND(Q50&lt;&gt;"",O50))</f>
        <v/>
      </c>
      <c r="Y50" s="62" t="str">
        <f aca="false">IF(ISBLANK($C50),"",AND(T50&lt;&gt;"",O50))</f>
        <v/>
      </c>
      <c r="Z50" s="62" t="str">
        <f aca="false">IF(ISBLANK($C50),"",IF(W50,Constants!$B$4,IF(COUNTA(E50:L50)=0,Constants!$B$5,IF(NOT(O50),Constants!$B$6,IF(AND(NOT(X50),NOT(Y50)),Constants!$B$6,Constants!$B$7)))))</f>
        <v/>
      </c>
      <c r="AA50" s="62" t="str">
        <f aca="false">IF(ISBLANK($C50),"",IF($Z50&lt;&gt;Constants!$B$7,$Z50,Constants!$B$20))</f>
        <v/>
      </c>
      <c r="AB50" s="62" t="str">
        <f aca="false">IF($Z50=Constants!$B$7,IF(X50,Q50,Constants!$B$13),"")</f>
        <v/>
      </c>
      <c r="AC50" s="62" t="str">
        <f aca="false">IF($Z50=Constants!$B$7,IF(X50,P50*IF(R50, 1, Constants!$B$11)*IF(S50, 1, Constants!$B$12),Constants!$B$13),"")</f>
        <v/>
      </c>
      <c r="AD50" s="62" t="str">
        <f aca="false">IF($Z50=Constants!$B$7,AB50*AC50,"")</f>
        <v/>
      </c>
      <c r="AE50" s="62" t="str">
        <f aca="false">IF($Z50=Constants!$B$7,IF(Y50,T50,Constants!$B$13),"")</f>
        <v/>
      </c>
      <c r="AF50" s="62" t="str">
        <f aca="false">IF($Z50=Constants!$B$7,IF(Y50,P50*IF(U50, 1, Constants!$B$11)*IF(V50, 1, Constants!$B$12),Constants!$B$13),"")</f>
        <v/>
      </c>
      <c r="AG50" s="62" t="str">
        <f aca="false">IF($Z50=Constants!$B$7,AE50*AF50,"")</f>
        <v/>
      </c>
      <c r="AH50" s="62" t="str">
        <f aca="false">IF($Z50=Constants!$B$7,IF(AG50&gt;AD50,2,1),"")</f>
        <v/>
      </c>
      <c r="AI50" s="62" t="str">
        <f aca="false">IF($Z50=Constants!$B$7,IF(AH50=1,2,1),"")</f>
        <v/>
      </c>
      <c r="AJ50" s="62" t="str">
        <f aca="false">IF(ISBLANK($C50),"",IF($Z50&lt;&gt;Constants!$B$7,$Z50,IF(AH50=1,AD50,AG50)))</f>
        <v/>
      </c>
      <c r="AK50" s="62" t="str">
        <f aca="false">IF(ISBLANK($C50),"",IF($Z50=Constants!$B$7,IF(ISNUMBER(AJ50),RANK(AJ50,$AJ$8:$AJ$507),Constants!$B$14),$Z50))</f>
        <v/>
      </c>
      <c r="AL50" s="62" t="str">
        <f aca="false">IF(ISBLANK($C50),"",IF($Z50=Constants!$B$7,IF(AI50=1,AD50,AG50),""))</f>
        <v/>
      </c>
      <c r="AM50" s="62" t="str">
        <f aca="false">IF(ISBLANK($C50),"",IF($Z50=Constants!$B$7,RANK(AL50,$AL$8:$AL$507),$Z50))</f>
        <v/>
      </c>
      <c r="AN50" s="62" t="str">
        <f aca="false">IF(ISBLANK($C50),"",IF($Z50=Constants!$B$7,IF(ISNUMBER(AK50),COUNTIFS($AK$8:$AK$507,"&lt;"&amp;$AK50)+COUNTIFS($AK$8:$AK$507,$AK50,$AM$8:$AM$507,"&lt;"&amp;$AM50)+1,Constants!$B$14),$Z50))</f>
        <v/>
      </c>
      <c r="AO50" s="62" t="str">
        <f aca="false">IF(ISBLANK($C50),"",IF($Z50=Constants!$B$7,IF(ISNUMBER(AK50),AK50-AN50,Constants!$B$14),$Z50))</f>
        <v/>
      </c>
      <c r="AP50" s="64"/>
      <c r="AQ50" s="65" t="str">
        <f aca="false">IF(ISBLANK($C50),"",IF($Z50&lt;&gt;Constants!$B$7,"",AH50))</f>
        <v/>
      </c>
      <c r="AR50" s="80" t="str">
        <f aca="false">IF(ISBLANK($C50),"",IF($Z50&lt;&gt;Constants!$B$7,"",IF(AH50=1,AB50,AE50)))</f>
        <v/>
      </c>
      <c r="AS50" s="67" t="str">
        <f aca="false">IF(ISBLANK($C50),"",IF($Z50&lt;&gt;Constants!$B$7,"",IF(AH50=1,AC50,AF50)))</f>
        <v/>
      </c>
      <c r="AT50" s="68" t="str">
        <f aca="false">IF(ISBLANK($C50),"",IF($Z50&lt;&gt;Constants!$B$7,$Z50,AJ50))</f>
        <v/>
      </c>
      <c r="AU50" s="69" t="str">
        <f aca="false">IF(ISBLANK($C50),"",IF($Z50&lt;&gt;Constants!$B$7,$Z50,AA50))</f>
        <v/>
      </c>
      <c r="AV50" s="70" t="str">
        <f aca="false">IF(ISBLANK($C50),"",AO50)</f>
        <v/>
      </c>
      <c r="AW50" s="70" t="str">
        <f aca="false">IF(ISBLANK($C50),"",AN50)</f>
        <v/>
      </c>
      <c r="AX50" s="71" t="str">
        <f aca="false">IF(ISBLANK($C50),"",IFERROR(_xlfn.SWITCH(AW50,Constants!$B$4,COUNTA($C$8:$C$507)+2,Constants!$B$5,COUNTA($C$8:$C$507)+1,Constants!$B$6,COUNTA($C$8:$C$507)),AW50))</f>
        <v/>
      </c>
      <c r="AY50" s="5"/>
      <c r="AZ50" s="72" t="n">
        <f aca="false">IF(OR(ISNUMBER(AW50),AW50=Constants!$B$4,AW50=Constants!$B$6,AW50=Constants!$B$5),1,0)</f>
        <v>0</v>
      </c>
      <c r="BA50" s="72" t="n">
        <v>43</v>
      </c>
      <c r="BB50" s="72" t="str">
        <f aca="false">IF(ISBLANK($C50),"",IF(ISNUMBER(AX50),AX50+ROW($B50)/1000,""))</f>
        <v/>
      </c>
      <c r="BC50" s="72" t="str">
        <f aca="false">IF(ISNUMBER(BB50),RANK(BB50,$BB$8:$BB$507,1),"")</f>
        <v/>
      </c>
      <c r="BD50" s="72" t="str">
        <f aca="false">IF(ISBLANK($C50),"",$B50)</f>
        <v/>
      </c>
      <c r="BE50" s="72" t="str">
        <f aca="false">IF(ISBLANK($C50),"",$C50)</f>
        <v/>
      </c>
      <c r="BF50" s="72" t="str">
        <f aca="false">IF(ISBLANK($C50),"",$D50)</f>
        <v/>
      </c>
      <c r="BG50" s="73" t="str">
        <f aca="false">AU50</f>
        <v/>
      </c>
      <c r="BH50" s="74" t="str">
        <f aca="false">AT50</f>
        <v/>
      </c>
      <c r="BI50" s="72" t="str">
        <f aca="false">IF(ISBLANK($C50),"",AW50)</f>
        <v/>
      </c>
      <c r="BJ50" s="75" t="str">
        <f aca="false">IF($BA50&gt;$AZ$7,"",VLOOKUP($BA50,$BC$8:$BI$507,7,FALSE()))</f>
        <v/>
      </c>
      <c r="BK50" s="76" t="str">
        <f aca="false">IF($BA50&gt;$AZ$7,"",VLOOKUP($BA50,$BC$8:$BI$507,2,FALSE()))</f>
        <v/>
      </c>
      <c r="BL50" s="76" t="str">
        <f aca="false">IF($BA50&gt;$AZ$7,"",VLOOKUP($BA50,$BC$8:$BI$507,3,FALSE()))</f>
        <v/>
      </c>
      <c r="BM50" s="76" t="str">
        <f aca="false">IF($BA50&gt;$AZ$7,"",VLOOKUP($BA50,$BC$8:$BI$507,4,FALSE()))</f>
        <v/>
      </c>
      <c r="BN50" s="76" t="str">
        <f aca="false">IF($BA50&gt;$AZ$7,"",VLOOKUP($BA50,$BC$8:$BI$507,5,FALSE()))</f>
        <v/>
      </c>
      <c r="BO50" s="77" t="str">
        <f aca="false">IF($BA50&gt;$AZ$7,"",VLOOKUP($BA50,$BC$8:$BI$507,6,FALSE()))</f>
        <v/>
      </c>
      <c r="BP50" s="52"/>
    </row>
    <row r="51" customFormat="false" ht="15.75" hidden="false" customHeight="false" outlineLevel="0" collapsed="false">
      <c r="A51" s="5"/>
      <c r="B51" s="118"/>
      <c r="C51" s="54"/>
      <c r="D51" s="55"/>
      <c r="E51" s="79"/>
      <c r="F51" s="57"/>
      <c r="G51" s="58"/>
      <c r="H51" s="58"/>
      <c r="I51" s="57"/>
      <c r="J51" s="58"/>
      <c r="K51" s="58"/>
      <c r="L51" s="57"/>
      <c r="M51" s="79"/>
      <c r="N51" s="60"/>
      <c r="O51" s="62" t="str">
        <f aca="false">IF(ISBLANK($C51),"",IF(E51=Constants!$B$2, TRUE(), IF(E51=Constants!$B$3, FALSE(), TRUE())))</f>
        <v/>
      </c>
      <c r="P51" s="62" t="str">
        <f aca="false">IF(ISBLANK($C51),"",IF(F51=Constants!$B$16,Constants!$B$9,IF(F51=Constants!$B$17,Constants!$B$10,Constants!$B$8)))</f>
        <v/>
      </c>
      <c r="Q51" s="62" t="str">
        <f aca="false">IF(ISBLANK($C51),"",IF(ISNUMBER(G51),IF(G51&gt;=0,G51,""),""))</f>
        <v/>
      </c>
      <c r="R51" s="62" t="str">
        <f aca="false">IF(ISBLANK($C51),"",IF(H51=Constants!$B$2, TRUE(), IF(H51=Constants!$B$3, FALSE(), TRUE())))</f>
        <v/>
      </c>
      <c r="S51" s="62" t="str">
        <f aca="false">IF(ISBLANK($C51),"",IF(I51=Constants!$B$2, TRUE(), IF(I51=Constants!$B$3, FALSE(), TRUE())))</f>
        <v/>
      </c>
      <c r="T51" s="62" t="str">
        <f aca="false">IF(ISBLANK($C51),"",IF(ISNUMBER(J51),IF(J51&gt;=0,J51,""),""))</f>
        <v/>
      </c>
      <c r="U51" s="62" t="str">
        <f aca="false">IF(ISBLANK($C51),"",IF(K51=Constants!$B$2, TRUE(), IF(K51=Constants!$B$3, FALSE(), TRUE())))</f>
        <v/>
      </c>
      <c r="V51" s="62" t="str">
        <f aca="false">IF(ISBLANK($C51),"",IF(L51=Constants!$B$2, TRUE(), IF(L51=Constants!$B$3, FALSE(), TRUE())))</f>
        <v/>
      </c>
      <c r="W51" s="62" t="str">
        <f aca="false">IF(ISBLANK($C51),"",IF(M51=Constants!$B$2, TRUE(), IF(M51=Constants!$B$3, FALSE(), FALSE())))</f>
        <v/>
      </c>
      <c r="X51" s="62" t="str">
        <f aca="false">IF(ISBLANK($C51),"",AND(Q51&lt;&gt;"",O51))</f>
        <v/>
      </c>
      <c r="Y51" s="62" t="str">
        <f aca="false">IF(ISBLANK($C51),"",AND(T51&lt;&gt;"",O51))</f>
        <v/>
      </c>
      <c r="Z51" s="62" t="str">
        <f aca="false">IF(ISBLANK($C51),"",IF(W51,Constants!$B$4,IF(COUNTA(E51:L51)=0,Constants!$B$5,IF(NOT(O51),Constants!$B$6,IF(AND(NOT(X51),NOT(Y51)),Constants!$B$6,Constants!$B$7)))))</f>
        <v/>
      </c>
      <c r="AA51" s="62" t="str">
        <f aca="false">IF(ISBLANK($C51),"",IF($Z51&lt;&gt;Constants!$B$7,$Z51,Constants!$B$20))</f>
        <v/>
      </c>
      <c r="AB51" s="62" t="str">
        <f aca="false">IF($Z51=Constants!$B$7,IF(X51,Q51,Constants!$B$13),"")</f>
        <v/>
      </c>
      <c r="AC51" s="62" t="str">
        <f aca="false">IF($Z51=Constants!$B$7,IF(X51,P51*IF(R51, 1, Constants!$B$11)*IF(S51, 1, Constants!$B$12),Constants!$B$13),"")</f>
        <v/>
      </c>
      <c r="AD51" s="62" t="str">
        <f aca="false">IF($Z51=Constants!$B$7,AB51*AC51,"")</f>
        <v/>
      </c>
      <c r="AE51" s="62" t="str">
        <f aca="false">IF($Z51=Constants!$B$7,IF(Y51,T51,Constants!$B$13),"")</f>
        <v/>
      </c>
      <c r="AF51" s="62" t="str">
        <f aca="false">IF($Z51=Constants!$B$7,IF(Y51,P51*IF(U51, 1, Constants!$B$11)*IF(V51, 1, Constants!$B$12),Constants!$B$13),"")</f>
        <v/>
      </c>
      <c r="AG51" s="62" t="str">
        <f aca="false">IF($Z51=Constants!$B$7,AE51*AF51,"")</f>
        <v/>
      </c>
      <c r="AH51" s="62" t="str">
        <f aca="false">IF($Z51=Constants!$B$7,IF(AG51&gt;AD51,2,1),"")</f>
        <v/>
      </c>
      <c r="AI51" s="62" t="str">
        <f aca="false">IF($Z51=Constants!$B$7,IF(AH51=1,2,1),"")</f>
        <v/>
      </c>
      <c r="AJ51" s="62" t="str">
        <f aca="false">IF(ISBLANK($C51),"",IF($Z51&lt;&gt;Constants!$B$7,$Z51,IF(AH51=1,AD51,AG51)))</f>
        <v/>
      </c>
      <c r="AK51" s="62" t="str">
        <f aca="false">IF(ISBLANK($C51),"",IF($Z51=Constants!$B$7,IF(ISNUMBER(AJ51),RANK(AJ51,$AJ$8:$AJ$507),Constants!$B$14),$Z51))</f>
        <v/>
      </c>
      <c r="AL51" s="62" t="str">
        <f aca="false">IF(ISBLANK($C51),"",IF($Z51=Constants!$B$7,IF(AI51=1,AD51,AG51),""))</f>
        <v/>
      </c>
      <c r="AM51" s="62" t="str">
        <f aca="false">IF(ISBLANK($C51),"",IF($Z51=Constants!$B$7,RANK(AL51,$AL$8:$AL$507),$Z51))</f>
        <v/>
      </c>
      <c r="AN51" s="62" t="str">
        <f aca="false">IF(ISBLANK($C51),"",IF($Z51=Constants!$B$7,IF(ISNUMBER(AK51),COUNTIFS($AK$8:$AK$507,"&lt;"&amp;$AK51)+COUNTIFS($AK$8:$AK$507,$AK51,$AM$8:$AM$507,"&lt;"&amp;$AM51)+1,Constants!$B$14),$Z51))</f>
        <v/>
      </c>
      <c r="AO51" s="62" t="str">
        <f aca="false">IF(ISBLANK($C51),"",IF($Z51=Constants!$B$7,IF(ISNUMBER(AK51),AK51-AN51,Constants!$B$14),$Z51))</f>
        <v/>
      </c>
      <c r="AP51" s="64"/>
      <c r="AQ51" s="65" t="str">
        <f aca="false">IF(ISBLANK($C51),"",IF($Z51&lt;&gt;Constants!$B$7,"",AH51))</f>
        <v/>
      </c>
      <c r="AR51" s="80" t="str">
        <f aca="false">IF(ISBLANK($C51),"",IF($Z51&lt;&gt;Constants!$B$7,"",IF(AH51=1,AB51,AE51)))</f>
        <v/>
      </c>
      <c r="AS51" s="67" t="str">
        <f aca="false">IF(ISBLANK($C51),"",IF($Z51&lt;&gt;Constants!$B$7,"",IF(AH51=1,AC51,AF51)))</f>
        <v/>
      </c>
      <c r="AT51" s="68" t="str">
        <f aca="false">IF(ISBLANK($C51),"",IF($Z51&lt;&gt;Constants!$B$7,$Z51,AJ51))</f>
        <v/>
      </c>
      <c r="AU51" s="69" t="str">
        <f aca="false">IF(ISBLANK($C51),"",IF($Z51&lt;&gt;Constants!$B$7,$Z51,AA51))</f>
        <v/>
      </c>
      <c r="AV51" s="70" t="str">
        <f aca="false">IF(ISBLANK($C51),"",AO51)</f>
        <v/>
      </c>
      <c r="AW51" s="70" t="str">
        <f aca="false">IF(ISBLANK($C51),"",AN51)</f>
        <v/>
      </c>
      <c r="AX51" s="71" t="str">
        <f aca="false">IF(ISBLANK($C51),"",IFERROR(_xlfn.SWITCH(AW51,Constants!$B$4,COUNTA($C$8:$C$507)+2,Constants!$B$5,COUNTA($C$8:$C$507)+1,Constants!$B$6,COUNTA($C$8:$C$507)),AW51))</f>
        <v/>
      </c>
      <c r="AY51" s="5"/>
      <c r="AZ51" s="72" t="n">
        <f aca="false">IF(OR(ISNUMBER(AW51),AW51=Constants!$B$4,AW51=Constants!$B$6,AW51=Constants!$B$5),1,0)</f>
        <v>0</v>
      </c>
      <c r="BA51" s="72" t="n">
        <v>44</v>
      </c>
      <c r="BB51" s="72" t="str">
        <f aca="false">IF(ISBLANK($C51),"",IF(ISNUMBER(AX51),AX51+ROW($B51)/1000,""))</f>
        <v/>
      </c>
      <c r="BC51" s="72" t="str">
        <f aca="false">IF(ISNUMBER(BB51),RANK(BB51,$BB$8:$BB$507,1),"")</f>
        <v/>
      </c>
      <c r="BD51" s="72" t="str">
        <f aca="false">IF(ISBLANK($C51),"",$B51)</f>
        <v/>
      </c>
      <c r="BE51" s="72" t="str">
        <f aca="false">IF(ISBLANK($C51),"",$C51)</f>
        <v/>
      </c>
      <c r="BF51" s="72" t="str">
        <f aca="false">IF(ISBLANK($C51),"",$D51)</f>
        <v/>
      </c>
      <c r="BG51" s="73" t="str">
        <f aca="false">AU51</f>
        <v/>
      </c>
      <c r="BH51" s="74" t="str">
        <f aca="false">AT51</f>
        <v/>
      </c>
      <c r="BI51" s="72" t="str">
        <f aca="false">IF(ISBLANK($C51),"",AW51)</f>
        <v/>
      </c>
      <c r="BJ51" s="75" t="str">
        <f aca="false">IF($BA51&gt;$AZ$7,"",VLOOKUP($BA51,$BC$8:$BI$507,7,FALSE()))</f>
        <v/>
      </c>
      <c r="BK51" s="76" t="str">
        <f aca="false">IF($BA51&gt;$AZ$7,"",VLOOKUP($BA51,$BC$8:$BI$507,2,FALSE()))</f>
        <v/>
      </c>
      <c r="BL51" s="76" t="str">
        <f aca="false">IF($BA51&gt;$AZ$7,"",VLOOKUP($BA51,$BC$8:$BI$507,3,FALSE()))</f>
        <v/>
      </c>
      <c r="BM51" s="76" t="str">
        <f aca="false">IF($BA51&gt;$AZ$7,"",VLOOKUP($BA51,$BC$8:$BI$507,4,FALSE()))</f>
        <v/>
      </c>
      <c r="BN51" s="76" t="str">
        <f aca="false">IF($BA51&gt;$AZ$7,"",VLOOKUP($BA51,$BC$8:$BI$507,5,FALSE()))</f>
        <v/>
      </c>
      <c r="BO51" s="77" t="str">
        <f aca="false">IF($BA51&gt;$AZ$7,"",VLOOKUP($BA51,$BC$8:$BI$507,6,FALSE()))</f>
        <v/>
      </c>
      <c r="BP51" s="52"/>
    </row>
    <row r="52" customFormat="false" ht="15.75" hidden="false" customHeight="false" outlineLevel="0" collapsed="false">
      <c r="A52" s="5"/>
      <c r="B52" s="118"/>
      <c r="C52" s="54"/>
      <c r="D52" s="55"/>
      <c r="E52" s="79"/>
      <c r="F52" s="57"/>
      <c r="G52" s="58"/>
      <c r="H52" s="58"/>
      <c r="I52" s="57"/>
      <c r="J52" s="58"/>
      <c r="K52" s="58"/>
      <c r="L52" s="57"/>
      <c r="M52" s="79"/>
      <c r="N52" s="60"/>
      <c r="O52" s="62" t="str">
        <f aca="false">IF(ISBLANK($C52),"",IF(E52=Constants!$B$2, TRUE(), IF(E52=Constants!$B$3, FALSE(), TRUE())))</f>
        <v/>
      </c>
      <c r="P52" s="62" t="str">
        <f aca="false">IF(ISBLANK($C52),"",IF(F52=Constants!$B$16,Constants!$B$9,IF(F52=Constants!$B$17,Constants!$B$10,Constants!$B$8)))</f>
        <v/>
      </c>
      <c r="Q52" s="62" t="str">
        <f aca="false">IF(ISBLANK($C52),"",IF(ISNUMBER(G52),IF(G52&gt;=0,G52,""),""))</f>
        <v/>
      </c>
      <c r="R52" s="62" t="str">
        <f aca="false">IF(ISBLANK($C52),"",IF(H52=Constants!$B$2, TRUE(), IF(H52=Constants!$B$3, FALSE(), TRUE())))</f>
        <v/>
      </c>
      <c r="S52" s="62" t="str">
        <f aca="false">IF(ISBLANK($C52),"",IF(I52=Constants!$B$2, TRUE(), IF(I52=Constants!$B$3, FALSE(), TRUE())))</f>
        <v/>
      </c>
      <c r="T52" s="62" t="str">
        <f aca="false">IF(ISBLANK($C52),"",IF(ISNUMBER(J52),IF(J52&gt;=0,J52,""),""))</f>
        <v/>
      </c>
      <c r="U52" s="62" t="str">
        <f aca="false">IF(ISBLANK($C52),"",IF(K52=Constants!$B$2, TRUE(), IF(K52=Constants!$B$3, FALSE(), TRUE())))</f>
        <v/>
      </c>
      <c r="V52" s="62" t="str">
        <f aca="false">IF(ISBLANK($C52),"",IF(L52=Constants!$B$2, TRUE(), IF(L52=Constants!$B$3, FALSE(), TRUE())))</f>
        <v/>
      </c>
      <c r="W52" s="62" t="str">
        <f aca="false">IF(ISBLANK($C52),"",IF(M52=Constants!$B$2, TRUE(), IF(M52=Constants!$B$3, FALSE(), FALSE())))</f>
        <v/>
      </c>
      <c r="X52" s="62" t="str">
        <f aca="false">IF(ISBLANK($C52),"",AND(Q52&lt;&gt;"",O52))</f>
        <v/>
      </c>
      <c r="Y52" s="62" t="str">
        <f aca="false">IF(ISBLANK($C52),"",AND(T52&lt;&gt;"",O52))</f>
        <v/>
      </c>
      <c r="Z52" s="62" t="str">
        <f aca="false">IF(ISBLANK($C52),"",IF(W52,Constants!$B$4,IF(COUNTA(E52:L52)=0,Constants!$B$5,IF(NOT(O52),Constants!$B$6,IF(AND(NOT(X52),NOT(Y52)),Constants!$B$6,Constants!$B$7)))))</f>
        <v/>
      </c>
      <c r="AA52" s="62" t="str">
        <f aca="false">IF(ISBLANK($C52),"",IF($Z52&lt;&gt;Constants!$B$7,$Z52,Constants!$B$20))</f>
        <v/>
      </c>
      <c r="AB52" s="62" t="str">
        <f aca="false">IF($Z52=Constants!$B$7,IF(X52,Q52,Constants!$B$13),"")</f>
        <v/>
      </c>
      <c r="AC52" s="62" t="str">
        <f aca="false">IF($Z52=Constants!$B$7,IF(X52,P52*IF(R52, 1, Constants!$B$11)*IF(S52, 1, Constants!$B$12),Constants!$B$13),"")</f>
        <v/>
      </c>
      <c r="AD52" s="62" t="str">
        <f aca="false">IF($Z52=Constants!$B$7,AB52*AC52,"")</f>
        <v/>
      </c>
      <c r="AE52" s="62" t="str">
        <f aca="false">IF($Z52=Constants!$B$7,IF(Y52,T52,Constants!$B$13),"")</f>
        <v/>
      </c>
      <c r="AF52" s="62" t="str">
        <f aca="false">IF($Z52=Constants!$B$7,IF(Y52,P52*IF(U52, 1, Constants!$B$11)*IF(V52, 1, Constants!$B$12),Constants!$B$13),"")</f>
        <v/>
      </c>
      <c r="AG52" s="62" t="str">
        <f aca="false">IF($Z52=Constants!$B$7,AE52*AF52,"")</f>
        <v/>
      </c>
      <c r="AH52" s="62" t="str">
        <f aca="false">IF($Z52=Constants!$B$7,IF(AG52&gt;AD52,2,1),"")</f>
        <v/>
      </c>
      <c r="AI52" s="62" t="str">
        <f aca="false">IF($Z52=Constants!$B$7,IF(AH52=1,2,1),"")</f>
        <v/>
      </c>
      <c r="AJ52" s="62" t="str">
        <f aca="false">IF(ISBLANK($C52),"",IF($Z52&lt;&gt;Constants!$B$7,$Z52,IF(AH52=1,AD52,AG52)))</f>
        <v/>
      </c>
      <c r="AK52" s="62" t="str">
        <f aca="false">IF(ISBLANK($C52),"",IF($Z52=Constants!$B$7,IF(ISNUMBER(AJ52),RANK(AJ52,$AJ$8:$AJ$507),Constants!$B$14),$Z52))</f>
        <v/>
      </c>
      <c r="AL52" s="62" t="str">
        <f aca="false">IF(ISBLANK($C52),"",IF($Z52=Constants!$B$7,IF(AI52=1,AD52,AG52),""))</f>
        <v/>
      </c>
      <c r="AM52" s="62" t="str">
        <f aca="false">IF(ISBLANK($C52),"",IF($Z52=Constants!$B$7,RANK(AL52,$AL$8:$AL$507),$Z52))</f>
        <v/>
      </c>
      <c r="AN52" s="62" t="str">
        <f aca="false">IF(ISBLANK($C52),"",IF($Z52=Constants!$B$7,IF(ISNUMBER(AK52),COUNTIFS($AK$8:$AK$507,"&lt;"&amp;$AK52)+COUNTIFS($AK$8:$AK$507,$AK52,$AM$8:$AM$507,"&lt;"&amp;$AM52)+1,Constants!$B$14),$Z52))</f>
        <v/>
      </c>
      <c r="AO52" s="62" t="str">
        <f aca="false">IF(ISBLANK($C52),"",IF($Z52=Constants!$B$7,IF(ISNUMBER(AK52),AK52-AN52,Constants!$B$14),$Z52))</f>
        <v/>
      </c>
      <c r="AP52" s="64"/>
      <c r="AQ52" s="65" t="str">
        <f aca="false">IF(ISBLANK($C52),"",IF($Z52&lt;&gt;Constants!$B$7,"",AH52))</f>
        <v/>
      </c>
      <c r="AR52" s="80" t="str">
        <f aca="false">IF(ISBLANK($C52),"",IF($Z52&lt;&gt;Constants!$B$7,"",IF(AH52=1,AB52,AE52)))</f>
        <v/>
      </c>
      <c r="AS52" s="67" t="str">
        <f aca="false">IF(ISBLANK($C52),"",IF($Z52&lt;&gt;Constants!$B$7,"",IF(AH52=1,AC52,AF52)))</f>
        <v/>
      </c>
      <c r="AT52" s="68" t="str">
        <f aca="false">IF(ISBLANK($C52),"",IF($Z52&lt;&gt;Constants!$B$7,$Z52,AJ52))</f>
        <v/>
      </c>
      <c r="AU52" s="69" t="str">
        <f aca="false">IF(ISBLANK($C52),"",IF($Z52&lt;&gt;Constants!$B$7,$Z52,AA52))</f>
        <v/>
      </c>
      <c r="AV52" s="70" t="str">
        <f aca="false">IF(ISBLANK($C52),"",AO52)</f>
        <v/>
      </c>
      <c r="AW52" s="70" t="str">
        <f aca="false">IF(ISBLANK($C52),"",AN52)</f>
        <v/>
      </c>
      <c r="AX52" s="71" t="str">
        <f aca="false">IF(ISBLANK($C52),"",IFERROR(_xlfn.SWITCH(AW52,Constants!$B$4,COUNTA($C$8:$C$507)+2,Constants!$B$5,COUNTA($C$8:$C$507)+1,Constants!$B$6,COUNTA($C$8:$C$507)),AW52))</f>
        <v/>
      </c>
      <c r="AY52" s="5"/>
      <c r="AZ52" s="72" t="n">
        <f aca="false">IF(OR(ISNUMBER(AW52),AW52=Constants!$B$4,AW52=Constants!$B$6,AW52=Constants!$B$5),1,0)</f>
        <v>0</v>
      </c>
      <c r="BA52" s="72" t="n">
        <v>45</v>
      </c>
      <c r="BB52" s="72" t="str">
        <f aca="false">IF(ISBLANK($C52),"",IF(ISNUMBER(AX52),AX52+ROW($B52)/1000,""))</f>
        <v/>
      </c>
      <c r="BC52" s="72" t="str">
        <f aca="false">IF(ISNUMBER(BB52),RANK(BB52,$BB$8:$BB$507,1),"")</f>
        <v/>
      </c>
      <c r="BD52" s="72" t="str">
        <f aca="false">IF(ISBLANK($C52),"",$B52)</f>
        <v/>
      </c>
      <c r="BE52" s="72" t="str">
        <f aca="false">IF(ISBLANK($C52),"",$C52)</f>
        <v/>
      </c>
      <c r="BF52" s="72" t="str">
        <f aca="false">IF(ISBLANK($C52),"",$D52)</f>
        <v/>
      </c>
      <c r="BG52" s="73" t="str">
        <f aca="false">AU52</f>
        <v/>
      </c>
      <c r="BH52" s="74" t="str">
        <f aca="false">AT52</f>
        <v/>
      </c>
      <c r="BI52" s="72" t="str">
        <f aca="false">IF(ISBLANK($C52),"",AW52)</f>
        <v/>
      </c>
      <c r="BJ52" s="75" t="str">
        <f aca="false">IF($BA52&gt;$AZ$7,"",VLOOKUP($BA52,$BC$8:$BI$507,7,FALSE()))</f>
        <v/>
      </c>
      <c r="BK52" s="76" t="str">
        <f aca="false">IF($BA52&gt;$AZ$7,"",VLOOKUP($BA52,$BC$8:$BI$507,2,FALSE()))</f>
        <v/>
      </c>
      <c r="BL52" s="76" t="str">
        <f aca="false">IF($BA52&gt;$AZ$7,"",VLOOKUP($BA52,$BC$8:$BI$507,3,FALSE()))</f>
        <v/>
      </c>
      <c r="BM52" s="76" t="str">
        <f aca="false">IF($BA52&gt;$AZ$7,"",VLOOKUP($BA52,$BC$8:$BI$507,4,FALSE()))</f>
        <v/>
      </c>
      <c r="BN52" s="76" t="str">
        <f aca="false">IF($BA52&gt;$AZ$7,"",VLOOKUP($BA52,$BC$8:$BI$507,5,FALSE()))</f>
        <v/>
      </c>
      <c r="BO52" s="77" t="str">
        <f aca="false">IF($BA52&gt;$AZ$7,"",VLOOKUP($BA52,$BC$8:$BI$507,6,FALSE()))</f>
        <v/>
      </c>
      <c r="BP52" s="52"/>
    </row>
    <row r="53" customFormat="false" ht="15.75" hidden="false" customHeight="false" outlineLevel="0" collapsed="false">
      <c r="A53" s="5"/>
      <c r="B53" s="114"/>
      <c r="C53" s="115"/>
      <c r="D53" s="106"/>
      <c r="E53" s="117"/>
      <c r="F53" s="87"/>
      <c r="G53" s="88"/>
      <c r="H53" s="88"/>
      <c r="I53" s="87"/>
      <c r="J53" s="88"/>
      <c r="K53" s="88"/>
      <c r="L53" s="87"/>
      <c r="M53" s="117"/>
      <c r="N53" s="90"/>
      <c r="O53" s="91" t="str">
        <f aca="false">IF(ISBLANK($C53),"",IF(E53=Constants!$B$2, TRUE(), IF(E53=Constants!$B$3, FALSE(), TRUE())))</f>
        <v/>
      </c>
      <c r="P53" s="91" t="str">
        <f aca="false">IF(ISBLANK($C53),"",IF(F53=Constants!$B$16,Constants!$B$9,IF(F53=Constants!$B$17,Constants!$B$10,Constants!$B$8)))</f>
        <v/>
      </c>
      <c r="Q53" s="91" t="str">
        <f aca="false">IF(ISBLANK($C53),"",IF(ISNUMBER(G53),IF(G53&gt;=0,G53,""),""))</f>
        <v/>
      </c>
      <c r="R53" s="91" t="str">
        <f aca="false">IF(ISBLANK($C53),"",IF(H53=Constants!$B$2, TRUE(), IF(H53=Constants!$B$3, FALSE(), TRUE())))</f>
        <v/>
      </c>
      <c r="S53" s="91" t="str">
        <f aca="false">IF(ISBLANK($C53),"",IF(I53=Constants!$B$2, TRUE(), IF(I53=Constants!$B$3, FALSE(), TRUE())))</f>
        <v/>
      </c>
      <c r="T53" s="91" t="str">
        <f aca="false">IF(ISBLANK($C53),"",IF(ISNUMBER(J53),IF(J53&gt;=0,J53,""),""))</f>
        <v/>
      </c>
      <c r="U53" s="91" t="str">
        <f aca="false">IF(ISBLANK($C53),"",IF(K53=Constants!$B$2, TRUE(), IF(K53=Constants!$B$3, FALSE(), TRUE())))</f>
        <v/>
      </c>
      <c r="V53" s="91" t="str">
        <f aca="false">IF(ISBLANK($C53),"",IF(L53=Constants!$B$2, TRUE(), IF(L53=Constants!$B$3, FALSE(), TRUE())))</f>
        <v/>
      </c>
      <c r="W53" s="91" t="str">
        <f aca="false">IF(ISBLANK($C53),"",IF(M53=Constants!$B$2, TRUE(), IF(M53=Constants!$B$3, FALSE(), FALSE())))</f>
        <v/>
      </c>
      <c r="X53" s="91" t="str">
        <f aca="false">IF(ISBLANK($C53),"",AND(Q53&lt;&gt;"",O53))</f>
        <v/>
      </c>
      <c r="Y53" s="91" t="str">
        <f aca="false">IF(ISBLANK($C53),"",AND(T53&lt;&gt;"",O53))</f>
        <v/>
      </c>
      <c r="Z53" s="91" t="str">
        <f aca="false">IF(ISBLANK($C53),"",IF(W53,Constants!$B$4,IF(COUNTA(E53:L53)=0,Constants!$B$5,IF(NOT(O53),Constants!$B$6,IF(AND(NOT(X53),NOT(Y53)),Constants!$B$6,Constants!$B$7)))))</f>
        <v/>
      </c>
      <c r="AA53" s="91" t="str">
        <f aca="false">IF(ISBLANK($C53),"",IF($Z53&lt;&gt;Constants!$B$7,$Z53,Constants!$B$20))</f>
        <v/>
      </c>
      <c r="AB53" s="91" t="str">
        <f aca="false">IF($Z53=Constants!$B$7,IF(X53,Q53,Constants!$B$13),"")</f>
        <v/>
      </c>
      <c r="AC53" s="91" t="str">
        <f aca="false">IF($Z53=Constants!$B$7,IF(X53,P53*IF(R53, 1, Constants!$B$11)*IF(S53, 1, Constants!$B$12),Constants!$B$13),"")</f>
        <v/>
      </c>
      <c r="AD53" s="91" t="str">
        <f aca="false">IF($Z53=Constants!$B$7,AB53*AC53,"")</f>
        <v/>
      </c>
      <c r="AE53" s="91" t="str">
        <f aca="false">IF($Z53=Constants!$B$7,IF(Y53,T53,Constants!$B$13),"")</f>
        <v/>
      </c>
      <c r="AF53" s="91" t="str">
        <f aca="false">IF($Z53=Constants!$B$7,IF(Y53,P53*IF(U53, 1, Constants!$B$11)*IF(V53, 1, Constants!$B$12),Constants!$B$13),"")</f>
        <v/>
      </c>
      <c r="AG53" s="91" t="str">
        <f aca="false">IF($Z53=Constants!$B$7,AE53*AF53,"")</f>
        <v/>
      </c>
      <c r="AH53" s="91" t="str">
        <f aca="false">IF($Z53=Constants!$B$7,IF(AG53&gt;AD53,2,1),"")</f>
        <v/>
      </c>
      <c r="AI53" s="91" t="str">
        <f aca="false">IF($Z53=Constants!$B$7,IF(AH53=1,2,1),"")</f>
        <v/>
      </c>
      <c r="AJ53" s="91" t="str">
        <f aca="false">IF(ISBLANK($C53),"",IF($Z53&lt;&gt;Constants!$B$7,$Z53,IF(AH53=1,AD53,AG53)))</f>
        <v/>
      </c>
      <c r="AK53" s="91" t="str">
        <f aca="false">IF(ISBLANK($C53),"",IF($Z53=Constants!$B$7,IF(ISNUMBER(AJ53),RANK(AJ53,$AJ$8:$AJ$507),Constants!$B$14),$Z53))</f>
        <v/>
      </c>
      <c r="AL53" s="91" t="str">
        <f aca="false">IF(ISBLANK($C53),"",IF($Z53=Constants!$B$7,IF(AI53=1,AD53,AG53),""))</f>
        <v/>
      </c>
      <c r="AM53" s="91" t="str">
        <f aca="false">IF(ISBLANK($C53),"",IF($Z53=Constants!$B$7,RANK(AL53,$AL$8:$AL$507),$Z53))</f>
        <v/>
      </c>
      <c r="AN53" s="91" t="str">
        <f aca="false">IF(ISBLANK($C53),"",IF($Z53=Constants!$B$7,IF(ISNUMBER(AK53),COUNTIFS($AK$8:$AK$507,"&lt;"&amp;$AK53)+COUNTIFS($AK$8:$AK$507,$AK53,$AM$8:$AM$507,"&lt;"&amp;$AM53)+1,Constants!$B$14),$Z53))</f>
        <v/>
      </c>
      <c r="AO53" s="91" t="str">
        <f aca="false">IF(ISBLANK($C53),"",IF($Z53=Constants!$B$7,IF(ISNUMBER(AK53),AK53-AN53,Constants!$B$14),$Z53))</f>
        <v/>
      </c>
      <c r="AP53" s="92"/>
      <c r="AQ53" s="93" t="str">
        <f aca="false">IF(ISBLANK($C53),"",IF($Z53&lt;&gt;Constants!$B$7,"",AH53))</f>
        <v/>
      </c>
      <c r="AR53" s="94" t="str">
        <f aca="false">IF(ISBLANK($C53),"",IF($Z53&lt;&gt;Constants!$B$7,"",IF(AH53=1,AB53,AE53)))</f>
        <v/>
      </c>
      <c r="AS53" s="95" t="str">
        <f aca="false">IF(ISBLANK($C53),"",IF($Z53&lt;&gt;Constants!$B$7,"",IF(AH53=1,AC53,AF53)))</f>
        <v/>
      </c>
      <c r="AT53" s="96" t="str">
        <f aca="false">IF(ISBLANK($C53),"",IF($Z53&lt;&gt;Constants!$B$7,$Z53,AJ53))</f>
        <v/>
      </c>
      <c r="AU53" s="97" t="str">
        <f aca="false">IF(ISBLANK($C53),"",IF($Z53&lt;&gt;Constants!$B$7,$Z53,AA53))</f>
        <v/>
      </c>
      <c r="AV53" s="98" t="str">
        <f aca="false">IF(ISBLANK($C53),"",AO53)</f>
        <v/>
      </c>
      <c r="AW53" s="98" t="str">
        <f aca="false">IF(ISBLANK($C53),"",AN53)</f>
        <v/>
      </c>
      <c r="AX53" s="99" t="str">
        <f aca="false">IF(ISBLANK($C53),"",IFERROR(_xlfn.SWITCH(AW53,Constants!$B$4,COUNTA($C$8:$C$507)+2,Constants!$B$5,COUNTA($C$8:$C$507)+1,Constants!$B$6,COUNTA($C$8:$C$507)),AW53))</f>
        <v/>
      </c>
      <c r="AY53" s="5"/>
      <c r="AZ53" s="100" t="n">
        <f aca="false">IF(OR(ISNUMBER(AW53),AW53=Constants!$B$4,AW53=Constants!$B$6,AW53=Constants!$B$5),1,0)</f>
        <v>0</v>
      </c>
      <c r="BA53" s="100" t="n">
        <v>46</v>
      </c>
      <c r="BB53" s="100" t="str">
        <f aca="false">IF(ISBLANK($C53),"",IF(ISNUMBER(AX53),AX53+ROW($B53)/1000,""))</f>
        <v/>
      </c>
      <c r="BC53" s="100" t="str">
        <f aca="false">IF(ISNUMBER(BB53),RANK(BB53,$BB$8:$BB$507,1),"")</f>
        <v/>
      </c>
      <c r="BD53" s="100" t="str">
        <f aca="false">IF(ISBLANK($C53),"",$B53)</f>
        <v/>
      </c>
      <c r="BE53" s="100" t="str">
        <f aca="false">IF(ISBLANK($C53),"",$C53)</f>
        <v/>
      </c>
      <c r="BF53" s="100" t="str">
        <f aca="false">IF(ISBLANK($C53),"",$D53)</f>
        <v/>
      </c>
      <c r="BG53" s="101" t="str">
        <f aca="false">AU53</f>
        <v/>
      </c>
      <c r="BH53" s="102" t="str">
        <f aca="false">AT53</f>
        <v/>
      </c>
      <c r="BI53" s="100" t="str">
        <f aca="false">IF(ISBLANK($C53),"",AW53)</f>
        <v/>
      </c>
      <c r="BJ53" s="103" t="str">
        <f aca="false">IF($BA53&gt;$AZ$7,"",VLOOKUP($BA53,$BC$8:$BI$507,7,FALSE()))</f>
        <v/>
      </c>
      <c r="BK53" s="104" t="str">
        <f aca="false">IF($BA53&gt;$AZ$7,"",VLOOKUP($BA53,$BC$8:$BI$507,2,FALSE()))</f>
        <v/>
      </c>
      <c r="BL53" s="104" t="str">
        <f aca="false">IF($BA53&gt;$AZ$7,"",VLOOKUP($BA53,$BC$8:$BI$507,3,FALSE()))</f>
        <v/>
      </c>
      <c r="BM53" s="104" t="str">
        <f aca="false">IF($BA53&gt;$AZ$7,"",VLOOKUP($BA53,$BC$8:$BI$507,4,FALSE()))</f>
        <v/>
      </c>
      <c r="BN53" s="104" t="str">
        <f aca="false">IF($BA53&gt;$AZ$7,"",VLOOKUP($BA53,$BC$8:$BI$507,5,FALSE()))</f>
        <v/>
      </c>
      <c r="BO53" s="105" t="str">
        <f aca="false">IF($BA53&gt;$AZ$7,"",VLOOKUP($BA53,$BC$8:$BI$507,6,FALSE()))</f>
        <v/>
      </c>
      <c r="BP53" s="52"/>
    </row>
    <row r="54" customFormat="false" ht="15.75" hidden="false" customHeight="false" outlineLevel="0" collapsed="false">
      <c r="A54" s="5"/>
      <c r="B54" s="114"/>
      <c r="C54" s="115"/>
      <c r="D54" s="106"/>
      <c r="E54" s="117"/>
      <c r="F54" s="87"/>
      <c r="G54" s="88"/>
      <c r="H54" s="88"/>
      <c r="I54" s="87"/>
      <c r="J54" s="88"/>
      <c r="K54" s="88"/>
      <c r="L54" s="87"/>
      <c r="M54" s="117"/>
      <c r="N54" s="90"/>
      <c r="O54" s="91" t="str">
        <f aca="false">IF(ISBLANK($C54),"",IF(E54=Constants!$B$2, TRUE(), IF(E54=Constants!$B$3, FALSE(), TRUE())))</f>
        <v/>
      </c>
      <c r="P54" s="91" t="str">
        <f aca="false">IF(ISBLANK($C54),"",IF(F54=Constants!$B$16,Constants!$B$9,IF(F54=Constants!$B$17,Constants!$B$10,Constants!$B$8)))</f>
        <v/>
      </c>
      <c r="Q54" s="91" t="str">
        <f aca="false">IF(ISBLANK($C54),"",IF(ISNUMBER(G54),IF(G54&gt;=0,G54,""),""))</f>
        <v/>
      </c>
      <c r="R54" s="91" t="str">
        <f aca="false">IF(ISBLANK($C54),"",IF(H54=Constants!$B$2, TRUE(), IF(H54=Constants!$B$3, FALSE(), TRUE())))</f>
        <v/>
      </c>
      <c r="S54" s="91" t="str">
        <f aca="false">IF(ISBLANK($C54),"",IF(I54=Constants!$B$2, TRUE(), IF(I54=Constants!$B$3, FALSE(), TRUE())))</f>
        <v/>
      </c>
      <c r="T54" s="91" t="str">
        <f aca="false">IF(ISBLANK($C54),"",IF(ISNUMBER(J54),IF(J54&gt;=0,J54,""),""))</f>
        <v/>
      </c>
      <c r="U54" s="91" t="str">
        <f aca="false">IF(ISBLANK($C54),"",IF(K54=Constants!$B$2, TRUE(), IF(K54=Constants!$B$3, FALSE(), TRUE())))</f>
        <v/>
      </c>
      <c r="V54" s="91" t="str">
        <f aca="false">IF(ISBLANK($C54),"",IF(L54=Constants!$B$2, TRUE(), IF(L54=Constants!$B$3, FALSE(), TRUE())))</f>
        <v/>
      </c>
      <c r="W54" s="91" t="str">
        <f aca="false">IF(ISBLANK($C54),"",IF(M54=Constants!$B$2, TRUE(), IF(M54=Constants!$B$3, FALSE(), FALSE())))</f>
        <v/>
      </c>
      <c r="X54" s="91" t="str">
        <f aca="false">IF(ISBLANK($C54),"",AND(Q54&lt;&gt;"",O54))</f>
        <v/>
      </c>
      <c r="Y54" s="91" t="str">
        <f aca="false">IF(ISBLANK($C54),"",AND(T54&lt;&gt;"",O54))</f>
        <v/>
      </c>
      <c r="Z54" s="91" t="str">
        <f aca="false">IF(ISBLANK($C54),"",IF(W54,Constants!$B$4,IF(COUNTA(E54:L54)=0,Constants!$B$5,IF(NOT(O54),Constants!$B$6,IF(AND(NOT(X54),NOT(Y54)),Constants!$B$6,Constants!$B$7)))))</f>
        <v/>
      </c>
      <c r="AA54" s="91" t="str">
        <f aca="false">IF(ISBLANK($C54),"",IF($Z54&lt;&gt;Constants!$B$7,$Z54,Constants!$B$20))</f>
        <v/>
      </c>
      <c r="AB54" s="91" t="str">
        <f aca="false">IF($Z54=Constants!$B$7,IF(X54,Q54,Constants!$B$13),"")</f>
        <v/>
      </c>
      <c r="AC54" s="91" t="str">
        <f aca="false">IF($Z54=Constants!$B$7,IF(X54,P54*IF(R54, 1, Constants!$B$11)*IF(S54, 1, Constants!$B$12),Constants!$B$13),"")</f>
        <v/>
      </c>
      <c r="AD54" s="91" t="str">
        <f aca="false">IF($Z54=Constants!$B$7,AB54*AC54,"")</f>
        <v/>
      </c>
      <c r="AE54" s="91" t="str">
        <f aca="false">IF($Z54=Constants!$B$7,IF(Y54,T54,Constants!$B$13),"")</f>
        <v/>
      </c>
      <c r="AF54" s="91" t="str">
        <f aca="false">IF($Z54=Constants!$B$7,IF(Y54,P54*IF(U54, 1, Constants!$B$11)*IF(V54, 1, Constants!$B$12),Constants!$B$13),"")</f>
        <v/>
      </c>
      <c r="AG54" s="91" t="str">
        <f aca="false">IF($Z54=Constants!$B$7,AE54*AF54,"")</f>
        <v/>
      </c>
      <c r="AH54" s="91" t="str">
        <f aca="false">IF($Z54=Constants!$B$7,IF(AG54&gt;AD54,2,1),"")</f>
        <v/>
      </c>
      <c r="AI54" s="91" t="str">
        <f aca="false">IF($Z54=Constants!$B$7,IF(AH54=1,2,1),"")</f>
        <v/>
      </c>
      <c r="AJ54" s="91" t="str">
        <f aca="false">IF(ISBLANK($C54),"",IF($Z54&lt;&gt;Constants!$B$7,$Z54,IF(AH54=1,AD54,AG54)))</f>
        <v/>
      </c>
      <c r="AK54" s="91" t="str">
        <f aca="false">IF(ISBLANK($C54),"",IF($Z54=Constants!$B$7,IF(ISNUMBER(AJ54),RANK(AJ54,$AJ$8:$AJ$507),Constants!$B$14),$Z54))</f>
        <v/>
      </c>
      <c r="AL54" s="91" t="str">
        <f aca="false">IF(ISBLANK($C54),"",IF($Z54=Constants!$B$7,IF(AI54=1,AD54,AG54),""))</f>
        <v/>
      </c>
      <c r="AM54" s="91" t="str">
        <f aca="false">IF(ISBLANK($C54),"",IF($Z54=Constants!$B$7,RANK(AL54,$AL$8:$AL$507),$Z54))</f>
        <v/>
      </c>
      <c r="AN54" s="91" t="str">
        <f aca="false">IF(ISBLANK($C54),"",IF($Z54=Constants!$B$7,IF(ISNUMBER(AK54),COUNTIFS($AK$8:$AK$507,"&lt;"&amp;$AK54)+COUNTIFS($AK$8:$AK$507,$AK54,$AM$8:$AM$507,"&lt;"&amp;$AM54)+1,Constants!$B$14),$Z54))</f>
        <v/>
      </c>
      <c r="AO54" s="91" t="str">
        <f aca="false">IF(ISBLANK($C54),"",IF($Z54=Constants!$B$7,IF(ISNUMBER(AK54),AK54-AN54,Constants!$B$14),$Z54))</f>
        <v/>
      </c>
      <c r="AP54" s="92"/>
      <c r="AQ54" s="93" t="str">
        <f aca="false">IF(ISBLANK($C54),"",IF($Z54&lt;&gt;Constants!$B$7,"",AH54))</f>
        <v/>
      </c>
      <c r="AR54" s="94" t="str">
        <f aca="false">IF(ISBLANK($C54),"",IF($Z54&lt;&gt;Constants!$B$7,"",IF(AH54=1,AB54,AE54)))</f>
        <v/>
      </c>
      <c r="AS54" s="95" t="str">
        <f aca="false">IF(ISBLANK($C54),"",IF($Z54&lt;&gt;Constants!$B$7,"",IF(AH54=1,AC54,AF54)))</f>
        <v/>
      </c>
      <c r="AT54" s="96" t="str">
        <f aca="false">IF(ISBLANK($C54),"",IF($Z54&lt;&gt;Constants!$B$7,$Z54,AJ54))</f>
        <v/>
      </c>
      <c r="AU54" s="97" t="str">
        <f aca="false">IF(ISBLANK($C54),"",IF($Z54&lt;&gt;Constants!$B$7,$Z54,AA54))</f>
        <v/>
      </c>
      <c r="AV54" s="98" t="str">
        <f aca="false">IF(ISBLANK($C54),"",AO54)</f>
        <v/>
      </c>
      <c r="AW54" s="98" t="str">
        <f aca="false">IF(ISBLANK($C54),"",AN54)</f>
        <v/>
      </c>
      <c r="AX54" s="99" t="str">
        <f aca="false">IF(ISBLANK($C54),"",IFERROR(_xlfn.SWITCH(AW54,Constants!$B$4,COUNTA($C$8:$C$507)+2,Constants!$B$5,COUNTA($C$8:$C$507)+1,Constants!$B$6,COUNTA($C$8:$C$507)),AW54))</f>
        <v/>
      </c>
      <c r="AY54" s="5"/>
      <c r="AZ54" s="100" t="n">
        <f aca="false">IF(OR(ISNUMBER(AW54),AW54=Constants!$B$4,AW54=Constants!$B$6,AW54=Constants!$B$5),1,0)</f>
        <v>0</v>
      </c>
      <c r="BA54" s="100" t="n">
        <v>47</v>
      </c>
      <c r="BB54" s="100" t="str">
        <f aca="false">IF(ISBLANK($C54),"",IF(ISNUMBER(AX54),AX54+ROW($B54)/1000,""))</f>
        <v/>
      </c>
      <c r="BC54" s="100" t="str">
        <f aca="false">IF(ISNUMBER(BB54),RANK(BB54,$BB$8:$BB$507,1),"")</f>
        <v/>
      </c>
      <c r="BD54" s="100" t="str">
        <f aca="false">IF(ISBLANK($C54),"",$B54)</f>
        <v/>
      </c>
      <c r="BE54" s="100" t="str">
        <f aca="false">IF(ISBLANK($C54),"",$C54)</f>
        <v/>
      </c>
      <c r="BF54" s="100" t="str">
        <f aca="false">IF(ISBLANK($C54),"",$D54)</f>
        <v/>
      </c>
      <c r="BG54" s="101" t="str">
        <f aca="false">AU54</f>
        <v/>
      </c>
      <c r="BH54" s="102" t="str">
        <f aca="false">AT54</f>
        <v/>
      </c>
      <c r="BI54" s="100" t="str">
        <f aca="false">IF(ISBLANK($C54),"",AW54)</f>
        <v/>
      </c>
      <c r="BJ54" s="103" t="str">
        <f aca="false">IF($BA54&gt;$AZ$7,"",VLOOKUP($BA54,$BC$8:$BI$507,7,FALSE()))</f>
        <v/>
      </c>
      <c r="BK54" s="104" t="str">
        <f aca="false">IF($BA54&gt;$AZ$7,"",VLOOKUP($BA54,$BC$8:$BI$507,2,FALSE()))</f>
        <v/>
      </c>
      <c r="BL54" s="104" t="str">
        <f aca="false">IF($BA54&gt;$AZ$7,"",VLOOKUP($BA54,$BC$8:$BI$507,3,FALSE()))</f>
        <v/>
      </c>
      <c r="BM54" s="104" t="str">
        <f aca="false">IF($BA54&gt;$AZ$7,"",VLOOKUP($BA54,$BC$8:$BI$507,4,FALSE()))</f>
        <v/>
      </c>
      <c r="BN54" s="104" t="str">
        <f aca="false">IF($BA54&gt;$AZ$7,"",VLOOKUP($BA54,$BC$8:$BI$507,5,FALSE()))</f>
        <v/>
      </c>
      <c r="BO54" s="105" t="str">
        <f aca="false">IF($BA54&gt;$AZ$7,"",VLOOKUP($BA54,$BC$8:$BI$507,6,FALSE()))</f>
        <v/>
      </c>
      <c r="BP54" s="52"/>
    </row>
    <row r="55" customFormat="false" ht="15.75" hidden="false" customHeight="false" outlineLevel="0" collapsed="false">
      <c r="A55" s="5"/>
      <c r="B55" s="114"/>
      <c r="C55" s="115"/>
      <c r="D55" s="106"/>
      <c r="E55" s="117"/>
      <c r="F55" s="87"/>
      <c r="G55" s="88"/>
      <c r="H55" s="88"/>
      <c r="I55" s="87"/>
      <c r="J55" s="88"/>
      <c r="K55" s="88"/>
      <c r="L55" s="87"/>
      <c r="M55" s="117"/>
      <c r="N55" s="90"/>
      <c r="O55" s="91" t="str">
        <f aca="false">IF(ISBLANK($C55),"",IF(E55=Constants!$B$2, TRUE(), IF(E55=Constants!$B$3, FALSE(), TRUE())))</f>
        <v/>
      </c>
      <c r="P55" s="91" t="str">
        <f aca="false">IF(ISBLANK($C55),"",IF(F55=Constants!$B$16,Constants!$B$9,IF(F55=Constants!$B$17,Constants!$B$10,Constants!$B$8)))</f>
        <v/>
      </c>
      <c r="Q55" s="91" t="str">
        <f aca="false">IF(ISBLANK($C55),"",IF(ISNUMBER(G55),IF(G55&gt;=0,G55,""),""))</f>
        <v/>
      </c>
      <c r="R55" s="91" t="str">
        <f aca="false">IF(ISBLANK($C55),"",IF(H55=Constants!$B$2, TRUE(), IF(H55=Constants!$B$3, FALSE(), TRUE())))</f>
        <v/>
      </c>
      <c r="S55" s="91" t="str">
        <f aca="false">IF(ISBLANK($C55),"",IF(I55=Constants!$B$2, TRUE(), IF(I55=Constants!$B$3, FALSE(), TRUE())))</f>
        <v/>
      </c>
      <c r="T55" s="91" t="str">
        <f aca="false">IF(ISBLANK($C55),"",IF(ISNUMBER(J55),IF(J55&gt;=0,J55,""),""))</f>
        <v/>
      </c>
      <c r="U55" s="91" t="str">
        <f aca="false">IF(ISBLANK($C55),"",IF(K55=Constants!$B$2, TRUE(), IF(K55=Constants!$B$3, FALSE(), TRUE())))</f>
        <v/>
      </c>
      <c r="V55" s="91" t="str">
        <f aca="false">IF(ISBLANK($C55),"",IF(L55=Constants!$B$2, TRUE(), IF(L55=Constants!$B$3, FALSE(), TRUE())))</f>
        <v/>
      </c>
      <c r="W55" s="91" t="str">
        <f aca="false">IF(ISBLANK($C55),"",IF(M55=Constants!$B$2, TRUE(), IF(M55=Constants!$B$3, FALSE(), FALSE())))</f>
        <v/>
      </c>
      <c r="X55" s="91" t="str">
        <f aca="false">IF(ISBLANK($C55),"",AND(Q55&lt;&gt;"",O55))</f>
        <v/>
      </c>
      <c r="Y55" s="91" t="str">
        <f aca="false">IF(ISBLANK($C55),"",AND(T55&lt;&gt;"",O55))</f>
        <v/>
      </c>
      <c r="Z55" s="91" t="str">
        <f aca="false">IF(ISBLANK($C55),"",IF(W55,Constants!$B$4,IF(COUNTA(E55:L55)=0,Constants!$B$5,IF(NOT(O55),Constants!$B$6,IF(AND(NOT(X55),NOT(Y55)),Constants!$B$6,Constants!$B$7)))))</f>
        <v/>
      </c>
      <c r="AA55" s="91" t="str">
        <f aca="false">IF(ISBLANK($C55),"",IF($Z55&lt;&gt;Constants!$B$7,$Z55,Constants!$B$20))</f>
        <v/>
      </c>
      <c r="AB55" s="91" t="str">
        <f aca="false">IF($Z55=Constants!$B$7,IF(X55,Q55,Constants!$B$13),"")</f>
        <v/>
      </c>
      <c r="AC55" s="91" t="str">
        <f aca="false">IF($Z55=Constants!$B$7,IF(X55,P55*IF(R55, 1, Constants!$B$11)*IF(S55, 1, Constants!$B$12),Constants!$B$13),"")</f>
        <v/>
      </c>
      <c r="AD55" s="91" t="str">
        <f aca="false">IF($Z55=Constants!$B$7,AB55*AC55,"")</f>
        <v/>
      </c>
      <c r="AE55" s="91" t="str">
        <f aca="false">IF($Z55=Constants!$B$7,IF(Y55,T55,Constants!$B$13),"")</f>
        <v/>
      </c>
      <c r="AF55" s="91" t="str">
        <f aca="false">IF($Z55=Constants!$B$7,IF(Y55,P55*IF(U55, 1, Constants!$B$11)*IF(V55, 1, Constants!$B$12),Constants!$B$13),"")</f>
        <v/>
      </c>
      <c r="AG55" s="91" t="str">
        <f aca="false">IF($Z55=Constants!$B$7,AE55*AF55,"")</f>
        <v/>
      </c>
      <c r="AH55" s="91" t="str">
        <f aca="false">IF($Z55=Constants!$B$7,IF(AG55&gt;AD55,2,1),"")</f>
        <v/>
      </c>
      <c r="AI55" s="91" t="str">
        <f aca="false">IF($Z55=Constants!$B$7,IF(AH55=1,2,1),"")</f>
        <v/>
      </c>
      <c r="AJ55" s="91" t="str">
        <f aca="false">IF(ISBLANK($C55),"",IF($Z55&lt;&gt;Constants!$B$7,$Z55,IF(AH55=1,AD55,AG55)))</f>
        <v/>
      </c>
      <c r="AK55" s="91" t="str">
        <f aca="false">IF(ISBLANK($C55),"",IF($Z55=Constants!$B$7,IF(ISNUMBER(AJ55),RANK(AJ55,$AJ$8:$AJ$507),Constants!$B$14),$Z55))</f>
        <v/>
      </c>
      <c r="AL55" s="91" t="str">
        <f aca="false">IF(ISBLANK($C55),"",IF($Z55=Constants!$B$7,IF(AI55=1,AD55,AG55),""))</f>
        <v/>
      </c>
      <c r="AM55" s="91" t="str">
        <f aca="false">IF(ISBLANK($C55),"",IF($Z55=Constants!$B$7,RANK(AL55,$AL$8:$AL$507),$Z55))</f>
        <v/>
      </c>
      <c r="AN55" s="91" t="str">
        <f aca="false">IF(ISBLANK($C55),"",IF($Z55=Constants!$B$7,IF(ISNUMBER(AK55),COUNTIFS($AK$8:$AK$507,"&lt;"&amp;$AK55)+COUNTIFS($AK$8:$AK$507,$AK55,$AM$8:$AM$507,"&lt;"&amp;$AM55)+1,Constants!$B$14),$Z55))</f>
        <v/>
      </c>
      <c r="AO55" s="91" t="str">
        <f aca="false">IF(ISBLANK($C55),"",IF($Z55=Constants!$B$7,IF(ISNUMBER(AK55),AK55-AN55,Constants!$B$14),$Z55))</f>
        <v/>
      </c>
      <c r="AP55" s="92"/>
      <c r="AQ55" s="93" t="str">
        <f aca="false">IF(ISBLANK($C55),"",IF($Z55&lt;&gt;Constants!$B$7,"",AH55))</f>
        <v/>
      </c>
      <c r="AR55" s="94" t="str">
        <f aca="false">IF(ISBLANK($C55),"",IF($Z55&lt;&gt;Constants!$B$7,"",IF(AH55=1,AB55,AE55)))</f>
        <v/>
      </c>
      <c r="AS55" s="95" t="str">
        <f aca="false">IF(ISBLANK($C55),"",IF($Z55&lt;&gt;Constants!$B$7,"",IF(AH55=1,AC55,AF55)))</f>
        <v/>
      </c>
      <c r="AT55" s="96" t="str">
        <f aca="false">IF(ISBLANK($C55),"",IF($Z55&lt;&gt;Constants!$B$7,$Z55,AJ55))</f>
        <v/>
      </c>
      <c r="AU55" s="97" t="str">
        <f aca="false">IF(ISBLANK($C55),"",IF($Z55&lt;&gt;Constants!$B$7,$Z55,AA55))</f>
        <v/>
      </c>
      <c r="AV55" s="98" t="str">
        <f aca="false">IF(ISBLANK($C55),"",AO55)</f>
        <v/>
      </c>
      <c r="AW55" s="98" t="str">
        <f aca="false">IF(ISBLANK($C55),"",AN55)</f>
        <v/>
      </c>
      <c r="AX55" s="99" t="str">
        <f aca="false">IF(ISBLANK($C55),"",IFERROR(_xlfn.SWITCH(AW55,Constants!$B$4,COUNTA($C$8:$C$507)+2,Constants!$B$5,COUNTA($C$8:$C$507)+1,Constants!$B$6,COUNTA($C$8:$C$507)),AW55))</f>
        <v/>
      </c>
      <c r="AY55" s="5"/>
      <c r="AZ55" s="100" t="n">
        <f aca="false">IF(OR(ISNUMBER(AW55),AW55=Constants!$B$4,AW55=Constants!$B$6,AW55=Constants!$B$5),1,0)</f>
        <v>0</v>
      </c>
      <c r="BA55" s="100" t="n">
        <v>48</v>
      </c>
      <c r="BB55" s="100" t="str">
        <f aca="false">IF(ISBLANK($C55),"",IF(ISNUMBER(AX55),AX55+ROW($B55)/1000,""))</f>
        <v/>
      </c>
      <c r="BC55" s="100" t="str">
        <f aca="false">IF(ISNUMBER(BB55),RANK(BB55,$BB$8:$BB$507,1),"")</f>
        <v/>
      </c>
      <c r="BD55" s="100" t="str">
        <f aca="false">IF(ISBLANK($C55),"",$B55)</f>
        <v/>
      </c>
      <c r="BE55" s="100" t="str">
        <f aca="false">IF(ISBLANK($C55),"",$C55)</f>
        <v/>
      </c>
      <c r="BF55" s="100" t="str">
        <f aca="false">IF(ISBLANK($C55),"",$D55)</f>
        <v/>
      </c>
      <c r="BG55" s="101" t="str">
        <f aca="false">AU55</f>
        <v/>
      </c>
      <c r="BH55" s="102" t="str">
        <f aca="false">AT55</f>
        <v/>
      </c>
      <c r="BI55" s="100" t="str">
        <f aca="false">IF(ISBLANK($C55),"",AW55)</f>
        <v/>
      </c>
      <c r="BJ55" s="103" t="str">
        <f aca="false">IF($BA55&gt;$AZ$7,"",VLOOKUP($BA55,$BC$8:$BI$507,7,FALSE()))</f>
        <v/>
      </c>
      <c r="BK55" s="104" t="str">
        <f aca="false">IF($BA55&gt;$AZ$7,"",VLOOKUP($BA55,$BC$8:$BI$507,2,FALSE()))</f>
        <v/>
      </c>
      <c r="BL55" s="104" t="str">
        <f aca="false">IF($BA55&gt;$AZ$7,"",VLOOKUP($BA55,$BC$8:$BI$507,3,FALSE()))</f>
        <v/>
      </c>
      <c r="BM55" s="104" t="str">
        <f aca="false">IF($BA55&gt;$AZ$7,"",VLOOKUP($BA55,$BC$8:$BI$507,4,FALSE()))</f>
        <v/>
      </c>
      <c r="BN55" s="104" t="str">
        <f aca="false">IF($BA55&gt;$AZ$7,"",VLOOKUP($BA55,$BC$8:$BI$507,5,FALSE()))</f>
        <v/>
      </c>
      <c r="BO55" s="105" t="str">
        <f aca="false">IF($BA55&gt;$AZ$7,"",VLOOKUP($BA55,$BC$8:$BI$507,6,FALSE()))</f>
        <v/>
      </c>
      <c r="BP55" s="52"/>
    </row>
    <row r="56" customFormat="false" ht="15.75" hidden="false" customHeight="false" outlineLevel="0" collapsed="false">
      <c r="A56" s="5"/>
      <c r="B56" s="118"/>
      <c r="C56" s="54"/>
      <c r="D56" s="55"/>
      <c r="E56" s="79"/>
      <c r="F56" s="57"/>
      <c r="G56" s="58"/>
      <c r="H56" s="58"/>
      <c r="I56" s="57"/>
      <c r="J56" s="58"/>
      <c r="K56" s="58"/>
      <c r="L56" s="57"/>
      <c r="M56" s="79"/>
      <c r="N56" s="60"/>
      <c r="O56" s="62" t="str">
        <f aca="false">IF(ISBLANK($C56),"",IF(E56=Constants!$B$2, TRUE(), IF(E56=Constants!$B$3, FALSE(), TRUE())))</f>
        <v/>
      </c>
      <c r="P56" s="62" t="str">
        <f aca="false">IF(ISBLANK($C56),"",IF(F56=Constants!$B$16,Constants!$B$9,IF(F56=Constants!$B$17,Constants!$B$10,Constants!$B$8)))</f>
        <v/>
      </c>
      <c r="Q56" s="62" t="str">
        <f aca="false">IF(ISBLANK($C56),"",IF(ISNUMBER(G56),IF(G56&gt;=0,G56,""),""))</f>
        <v/>
      </c>
      <c r="R56" s="62" t="str">
        <f aca="false">IF(ISBLANK($C56),"",IF(H56=Constants!$B$2, TRUE(), IF(H56=Constants!$B$3, FALSE(), TRUE())))</f>
        <v/>
      </c>
      <c r="S56" s="62" t="str">
        <f aca="false">IF(ISBLANK($C56),"",IF(I56=Constants!$B$2, TRUE(), IF(I56=Constants!$B$3, FALSE(), TRUE())))</f>
        <v/>
      </c>
      <c r="T56" s="62" t="str">
        <f aca="false">IF(ISBLANK($C56),"",IF(ISNUMBER(J56),IF(J56&gt;=0,J56,""),""))</f>
        <v/>
      </c>
      <c r="U56" s="62" t="str">
        <f aca="false">IF(ISBLANK($C56),"",IF(K56=Constants!$B$2, TRUE(), IF(K56=Constants!$B$3, FALSE(), TRUE())))</f>
        <v/>
      </c>
      <c r="V56" s="62" t="str">
        <f aca="false">IF(ISBLANK($C56),"",IF(L56=Constants!$B$2, TRUE(), IF(L56=Constants!$B$3, FALSE(), TRUE())))</f>
        <v/>
      </c>
      <c r="W56" s="62" t="str">
        <f aca="false">IF(ISBLANK($C56),"",IF(M56=Constants!$B$2, TRUE(), IF(M56=Constants!$B$3, FALSE(), FALSE())))</f>
        <v/>
      </c>
      <c r="X56" s="62" t="str">
        <f aca="false">IF(ISBLANK($C56),"",AND(Q56&lt;&gt;"",O56))</f>
        <v/>
      </c>
      <c r="Y56" s="62" t="str">
        <f aca="false">IF(ISBLANK($C56),"",AND(T56&lt;&gt;"",O56))</f>
        <v/>
      </c>
      <c r="Z56" s="62" t="str">
        <f aca="false">IF(ISBLANK($C56),"",IF(W56,Constants!$B$4,IF(COUNTA(E56:L56)=0,Constants!$B$5,IF(NOT(O56),Constants!$B$6,IF(AND(NOT(X56),NOT(Y56)),Constants!$B$6,Constants!$B$7)))))</f>
        <v/>
      </c>
      <c r="AA56" s="62" t="str">
        <f aca="false">IF(ISBLANK($C56),"",IF($Z56&lt;&gt;Constants!$B$7,$Z56,Constants!$B$20))</f>
        <v/>
      </c>
      <c r="AB56" s="62" t="str">
        <f aca="false">IF($Z56=Constants!$B$7,IF(X56,Q56,Constants!$B$13),"")</f>
        <v/>
      </c>
      <c r="AC56" s="62" t="str">
        <f aca="false">IF($Z56=Constants!$B$7,IF(X56,P56*IF(R56, 1, Constants!$B$11)*IF(S56, 1, Constants!$B$12),Constants!$B$13),"")</f>
        <v/>
      </c>
      <c r="AD56" s="62" t="str">
        <f aca="false">IF($Z56=Constants!$B$7,AB56*AC56,"")</f>
        <v/>
      </c>
      <c r="AE56" s="62" t="str">
        <f aca="false">IF($Z56=Constants!$B$7,IF(Y56,T56,Constants!$B$13),"")</f>
        <v/>
      </c>
      <c r="AF56" s="62" t="str">
        <f aca="false">IF($Z56=Constants!$B$7,IF(Y56,P56*IF(U56, 1, Constants!$B$11)*IF(V56, 1, Constants!$B$12),Constants!$B$13),"")</f>
        <v/>
      </c>
      <c r="AG56" s="62" t="str">
        <f aca="false">IF($Z56=Constants!$B$7,AE56*AF56,"")</f>
        <v/>
      </c>
      <c r="AH56" s="62" t="str">
        <f aca="false">IF($Z56=Constants!$B$7,IF(AG56&gt;AD56,2,1),"")</f>
        <v/>
      </c>
      <c r="AI56" s="62" t="str">
        <f aca="false">IF($Z56=Constants!$B$7,IF(AH56=1,2,1),"")</f>
        <v/>
      </c>
      <c r="AJ56" s="62" t="str">
        <f aca="false">IF(ISBLANK($C56),"",IF($Z56&lt;&gt;Constants!$B$7,$Z56,IF(AH56=1,AD56,AG56)))</f>
        <v/>
      </c>
      <c r="AK56" s="62" t="str">
        <f aca="false">IF(ISBLANK($C56),"",IF($Z56=Constants!$B$7,IF(ISNUMBER(AJ56),RANK(AJ56,$AJ$8:$AJ$507),Constants!$B$14),$Z56))</f>
        <v/>
      </c>
      <c r="AL56" s="62" t="str">
        <f aca="false">IF(ISBLANK($C56),"",IF($Z56=Constants!$B$7,IF(AI56=1,AD56,AG56),""))</f>
        <v/>
      </c>
      <c r="AM56" s="62" t="str">
        <f aca="false">IF(ISBLANK($C56),"",IF($Z56=Constants!$B$7,RANK(AL56,$AL$8:$AL$507),$Z56))</f>
        <v/>
      </c>
      <c r="AN56" s="62" t="str">
        <f aca="false">IF(ISBLANK($C56),"",IF($Z56=Constants!$B$7,IF(ISNUMBER(AK56),COUNTIFS($AK$8:$AK$507,"&lt;"&amp;$AK56)+COUNTIFS($AK$8:$AK$507,$AK56,$AM$8:$AM$507,"&lt;"&amp;$AM56)+1,Constants!$B$14),$Z56))</f>
        <v/>
      </c>
      <c r="AO56" s="62" t="str">
        <f aca="false">IF(ISBLANK($C56),"",IF($Z56=Constants!$B$7,IF(ISNUMBER(AK56),AK56-AN56,Constants!$B$14),$Z56))</f>
        <v/>
      </c>
      <c r="AP56" s="64"/>
      <c r="AQ56" s="65" t="str">
        <f aca="false">IF(ISBLANK($C56),"",IF($Z56&lt;&gt;Constants!$B$7,"",AH56))</f>
        <v/>
      </c>
      <c r="AR56" s="80" t="str">
        <f aca="false">IF(ISBLANK($C56),"",IF($Z56&lt;&gt;Constants!$B$7,"",IF(AH56=1,AB56,AE56)))</f>
        <v/>
      </c>
      <c r="AS56" s="67" t="str">
        <f aca="false">IF(ISBLANK($C56),"",IF($Z56&lt;&gt;Constants!$B$7,"",IF(AH56=1,AC56,AF56)))</f>
        <v/>
      </c>
      <c r="AT56" s="68" t="str">
        <f aca="false">IF(ISBLANK($C56),"",IF($Z56&lt;&gt;Constants!$B$7,$Z56,AJ56))</f>
        <v/>
      </c>
      <c r="AU56" s="69" t="str">
        <f aca="false">IF(ISBLANK($C56),"",IF($Z56&lt;&gt;Constants!$B$7,$Z56,AA56))</f>
        <v/>
      </c>
      <c r="AV56" s="70" t="str">
        <f aca="false">IF(ISBLANK($C56),"",AO56)</f>
        <v/>
      </c>
      <c r="AW56" s="70" t="str">
        <f aca="false">IF(ISBLANK($C56),"",AN56)</f>
        <v/>
      </c>
      <c r="AX56" s="71" t="str">
        <f aca="false">IF(ISBLANK($C56),"",IFERROR(_xlfn.SWITCH(AW56,Constants!$B$4,COUNTA($C$8:$C$507)+2,Constants!$B$5,COUNTA($C$8:$C$507)+1,Constants!$B$6,COUNTA($C$8:$C$507)),AW56))</f>
        <v/>
      </c>
      <c r="AY56" s="5"/>
      <c r="AZ56" s="72" t="n">
        <f aca="false">IF(OR(ISNUMBER(AW56),AW56=Constants!$B$4,AW56=Constants!$B$6,AW56=Constants!$B$5),1,0)</f>
        <v>0</v>
      </c>
      <c r="BA56" s="72" t="n">
        <v>49</v>
      </c>
      <c r="BB56" s="72" t="str">
        <f aca="false">IF(ISBLANK($C56),"",IF(ISNUMBER(AX56),AX56+ROW($B56)/1000,""))</f>
        <v/>
      </c>
      <c r="BC56" s="72" t="str">
        <f aca="false">IF(ISNUMBER(BB56),RANK(BB56,$BB$8:$BB$507,1),"")</f>
        <v/>
      </c>
      <c r="BD56" s="72" t="str">
        <f aca="false">IF(ISBLANK($C56),"",$B56)</f>
        <v/>
      </c>
      <c r="BE56" s="72" t="str">
        <f aca="false">IF(ISBLANK($C56),"",$C56)</f>
        <v/>
      </c>
      <c r="BF56" s="72" t="str">
        <f aca="false">IF(ISBLANK($C56),"",$D56)</f>
        <v/>
      </c>
      <c r="BG56" s="73" t="str">
        <f aca="false">AU56</f>
        <v/>
      </c>
      <c r="BH56" s="74" t="str">
        <f aca="false">AT56</f>
        <v/>
      </c>
      <c r="BI56" s="72" t="str">
        <f aca="false">IF(ISBLANK($C56),"",AW56)</f>
        <v/>
      </c>
      <c r="BJ56" s="75" t="str">
        <f aca="false">IF($BA56&gt;$AZ$7,"",VLOOKUP($BA56,$BC$8:$BI$507,7,FALSE()))</f>
        <v/>
      </c>
      <c r="BK56" s="76" t="str">
        <f aca="false">IF($BA56&gt;$AZ$7,"",VLOOKUP($BA56,$BC$8:$BI$507,2,FALSE()))</f>
        <v/>
      </c>
      <c r="BL56" s="76" t="str">
        <f aca="false">IF($BA56&gt;$AZ$7,"",VLOOKUP($BA56,$BC$8:$BI$507,3,FALSE()))</f>
        <v/>
      </c>
      <c r="BM56" s="76" t="str">
        <f aca="false">IF($BA56&gt;$AZ$7,"",VLOOKUP($BA56,$BC$8:$BI$507,4,FALSE()))</f>
        <v/>
      </c>
      <c r="BN56" s="76" t="str">
        <f aca="false">IF($BA56&gt;$AZ$7,"",VLOOKUP($BA56,$BC$8:$BI$507,5,FALSE()))</f>
        <v/>
      </c>
      <c r="BO56" s="77" t="str">
        <f aca="false">IF($BA56&gt;$AZ$7,"",VLOOKUP($BA56,$BC$8:$BI$507,6,FALSE()))</f>
        <v/>
      </c>
      <c r="BP56" s="52"/>
    </row>
    <row r="57" customFormat="false" ht="15.75" hidden="false" customHeight="false" outlineLevel="0" collapsed="false">
      <c r="A57" s="5"/>
      <c r="B57" s="118"/>
      <c r="C57" s="54"/>
      <c r="D57" s="55"/>
      <c r="E57" s="79"/>
      <c r="F57" s="57"/>
      <c r="G57" s="58"/>
      <c r="H57" s="58"/>
      <c r="I57" s="57"/>
      <c r="J57" s="58"/>
      <c r="K57" s="58"/>
      <c r="L57" s="57"/>
      <c r="M57" s="79"/>
      <c r="N57" s="60"/>
      <c r="O57" s="62" t="str">
        <f aca="false">IF(ISBLANK($C57),"",IF(E57=Constants!$B$2, TRUE(), IF(E57=Constants!$B$3, FALSE(), TRUE())))</f>
        <v/>
      </c>
      <c r="P57" s="62" t="str">
        <f aca="false">IF(ISBLANK($C57),"",IF(F57=Constants!$B$16,Constants!$B$9,IF(F57=Constants!$B$17,Constants!$B$10,Constants!$B$8)))</f>
        <v/>
      </c>
      <c r="Q57" s="62" t="str">
        <f aca="false">IF(ISBLANK($C57),"",IF(ISNUMBER(G57),IF(G57&gt;=0,G57,""),""))</f>
        <v/>
      </c>
      <c r="R57" s="62" t="str">
        <f aca="false">IF(ISBLANK($C57),"",IF(H57=Constants!$B$2, TRUE(), IF(H57=Constants!$B$3, FALSE(), TRUE())))</f>
        <v/>
      </c>
      <c r="S57" s="62" t="str">
        <f aca="false">IF(ISBLANK($C57),"",IF(I57=Constants!$B$2, TRUE(), IF(I57=Constants!$B$3, FALSE(), TRUE())))</f>
        <v/>
      </c>
      <c r="T57" s="62" t="str">
        <f aca="false">IF(ISBLANK($C57),"",IF(ISNUMBER(J57),IF(J57&gt;=0,J57,""),""))</f>
        <v/>
      </c>
      <c r="U57" s="62" t="str">
        <f aca="false">IF(ISBLANK($C57),"",IF(K57=Constants!$B$2, TRUE(), IF(K57=Constants!$B$3, FALSE(), TRUE())))</f>
        <v/>
      </c>
      <c r="V57" s="62" t="str">
        <f aca="false">IF(ISBLANK($C57),"",IF(L57=Constants!$B$2, TRUE(), IF(L57=Constants!$B$3, FALSE(), TRUE())))</f>
        <v/>
      </c>
      <c r="W57" s="62" t="str">
        <f aca="false">IF(ISBLANK($C57),"",IF(M57=Constants!$B$2, TRUE(), IF(M57=Constants!$B$3, FALSE(), FALSE())))</f>
        <v/>
      </c>
      <c r="X57" s="62" t="str">
        <f aca="false">IF(ISBLANK($C57),"",AND(Q57&lt;&gt;"",O57))</f>
        <v/>
      </c>
      <c r="Y57" s="62" t="str">
        <f aca="false">IF(ISBLANK($C57),"",AND(T57&lt;&gt;"",O57))</f>
        <v/>
      </c>
      <c r="Z57" s="62" t="str">
        <f aca="false">IF(ISBLANK($C57),"",IF(W57,Constants!$B$4,IF(COUNTA(E57:L57)=0,Constants!$B$5,IF(NOT(O57),Constants!$B$6,IF(AND(NOT(X57),NOT(Y57)),Constants!$B$6,Constants!$B$7)))))</f>
        <v/>
      </c>
      <c r="AA57" s="62" t="str">
        <f aca="false">IF(ISBLANK($C57),"",IF($Z57&lt;&gt;Constants!$B$7,$Z57,Constants!$B$20))</f>
        <v/>
      </c>
      <c r="AB57" s="62" t="str">
        <f aca="false">IF($Z57=Constants!$B$7,IF(X57,Q57,Constants!$B$13),"")</f>
        <v/>
      </c>
      <c r="AC57" s="62" t="str">
        <f aca="false">IF($Z57=Constants!$B$7,IF(X57,P57*IF(R57, 1, Constants!$B$11)*IF(S57, 1, Constants!$B$12),Constants!$B$13),"")</f>
        <v/>
      </c>
      <c r="AD57" s="62" t="str">
        <f aca="false">IF($Z57=Constants!$B$7,AB57*AC57,"")</f>
        <v/>
      </c>
      <c r="AE57" s="62" t="str">
        <f aca="false">IF($Z57=Constants!$B$7,IF(Y57,T57,Constants!$B$13),"")</f>
        <v/>
      </c>
      <c r="AF57" s="62" t="str">
        <f aca="false">IF($Z57=Constants!$B$7,IF(Y57,P57*IF(U57, 1, Constants!$B$11)*IF(V57, 1, Constants!$B$12),Constants!$B$13),"")</f>
        <v/>
      </c>
      <c r="AG57" s="62" t="str">
        <f aca="false">IF($Z57=Constants!$B$7,AE57*AF57,"")</f>
        <v/>
      </c>
      <c r="AH57" s="62" t="str">
        <f aca="false">IF($Z57=Constants!$B$7,IF(AG57&gt;AD57,2,1),"")</f>
        <v/>
      </c>
      <c r="AI57" s="62" t="str">
        <f aca="false">IF($Z57=Constants!$B$7,IF(AH57=1,2,1),"")</f>
        <v/>
      </c>
      <c r="AJ57" s="62" t="str">
        <f aca="false">IF(ISBLANK($C57),"",IF($Z57&lt;&gt;Constants!$B$7,$Z57,IF(AH57=1,AD57,AG57)))</f>
        <v/>
      </c>
      <c r="AK57" s="62" t="str">
        <f aca="false">IF(ISBLANK($C57),"",IF($Z57=Constants!$B$7,IF(ISNUMBER(AJ57),RANK(AJ57,$AJ$8:$AJ$507),Constants!$B$14),$Z57))</f>
        <v/>
      </c>
      <c r="AL57" s="62" t="str">
        <f aca="false">IF(ISBLANK($C57),"",IF($Z57=Constants!$B$7,IF(AI57=1,AD57,AG57),""))</f>
        <v/>
      </c>
      <c r="AM57" s="62" t="str">
        <f aca="false">IF(ISBLANK($C57),"",IF($Z57=Constants!$B$7,RANK(AL57,$AL$8:$AL$507),$Z57))</f>
        <v/>
      </c>
      <c r="AN57" s="62" t="str">
        <f aca="false">IF(ISBLANK($C57),"",IF($Z57=Constants!$B$7,IF(ISNUMBER(AK57),COUNTIFS($AK$8:$AK$507,"&lt;"&amp;$AK57)+COUNTIFS($AK$8:$AK$507,$AK57,$AM$8:$AM$507,"&lt;"&amp;$AM57)+1,Constants!$B$14),$Z57))</f>
        <v/>
      </c>
      <c r="AO57" s="62" t="str">
        <f aca="false">IF(ISBLANK($C57),"",IF($Z57=Constants!$B$7,IF(ISNUMBER(AK57),AK57-AN57,Constants!$B$14),$Z57))</f>
        <v/>
      </c>
      <c r="AP57" s="64"/>
      <c r="AQ57" s="65" t="str">
        <f aca="false">IF(ISBLANK($C57),"",IF($Z57&lt;&gt;Constants!$B$7,"",AH57))</f>
        <v/>
      </c>
      <c r="AR57" s="80" t="str">
        <f aca="false">IF(ISBLANK($C57),"",IF($Z57&lt;&gt;Constants!$B$7,"",IF(AH57=1,AB57,AE57)))</f>
        <v/>
      </c>
      <c r="AS57" s="67" t="str">
        <f aca="false">IF(ISBLANK($C57),"",IF($Z57&lt;&gt;Constants!$B$7,"",IF(AH57=1,AC57,AF57)))</f>
        <v/>
      </c>
      <c r="AT57" s="68" t="str">
        <f aca="false">IF(ISBLANK($C57),"",IF($Z57&lt;&gt;Constants!$B$7,$Z57,AJ57))</f>
        <v/>
      </c>
      <c r="AU57" s="69" t="str">
        <f aca="false">IF(ISBLANK($C57),"",IF($Z57&lt;&gt;Constants!$B$7,$Z57,AA57))</f>
        <v/>
      </c>
      <c r="AV57" s="70" t="str">
        <f aca="false">IF(ISBLANK($C57),"",AO57)</f>
        <v/>
      </c>
      <c r="AW57" s="70" t="str">
        <f aca="false">IF(ISBLANK($C57),"",AN57)</f>
        <v/>
      </c>
      <c r="AX57" s="71" t="str">
        <f aca="false">IF(ISBLANK($C57),"",IFERROR(_xlfn.SWITCH(AW57,Constants!$B$4,COUNTA($C$8:$C$507)+2,Constants!$B$5,COUNTA($C$8:$C$507)+1,Constants!$B$6,COUNTA($C$8:$C$507)),AW57))</f>
        <v/>
      </c>
      <c r="AY57" s="5"/>
      <c r="AZ57" s="72" t="n">
        <f aca="false">IF(OR(ISNUMBER(AW57),AW57=Constants!$B$4,AW57=Constants!$B$6,AW57=Constants!$B$5),1,0)</f>
        <v>0</v>
      </c>
      <c r="BA57" s="72" t="n">
        <v>50</v>
      </c>
      <c r="BB57" s="72" t="str">
        <f aca="false">IF(ISBLANK($C57),"",IF(ISNUMBER(AX57),AX57+ROW($B57)/1000,""))</f>
        <v/>
      </c>
      <c r="BC57" s="72" t="str">
        <f aca="false">IF(ISNUMBER(BB57),RANK(BB57,$BB$8:$BB$507,1),"")</f>
        <v/>
      </c>
      <c r="BD57" s="72" t="str">
        <f aca="false">IF(ISBLANK($C57),"",$B57)</f>
        <v/>
      </c>
      <c r="BE57" s="72" t="str">
        <f aca="false">IF(ISBLANK($C57),"",$C57)</f>
        <v/>
      </c>
      <c r="BF57" s="72" t="str">
        <f aca="false">IF(ISBLANK($C57),"",$D57)</f>
        <v/>
      </c>
      <c r="BG57" s="73" t="str">
        <f aca="false">AU57</f>
        <v/>
      </c>
      <c r="BH57" s="74" t="str">
        <f aca="false">AT57</f>
        <v/>
      </c>
      <c r="BI57" s="72" t="str">
        <f aca="false">IF(ISBLANK($C57),"",AW57)</f>
        <v/>
      </c>
      <c r="BJ57" s="75" t="str">
        <f aca="false">IF($BA57&gt;$AZ$7,"",VLOOKUP($BA57,$BC$8:$BI$507,7,FALSE()))</f>
        <v/>
      </c>
      <c r="BK57" s="76" t="str">
        <f aca="false">IF($BA57&gt;$AZ$7,"",VLOOKUP($BA57,$BC$8:$BI$507,2,FALSE()))</f>
        <v/>
      </c>
      <c r="BL57" s="76" t="str">
        <f aca="false">IF($BA57&gt;$AZ$7,"",VLOOKUP($BA57,$BC$8:$BI$507,3,FALSE()))</f>
        <v/>
      </c>
      <c r="BM57" s="76" t="str">
        <f aca="false">IF($BA57&gt;$AZ$7,"",VLOOKUP($BA57,$BC$8:$BI$507,4,FALSE()))</f>
        <v/>
      </c>
      <c r="BN57" s="76" t="str">
        <f aca="false">IF($BA57&gt;$AZ$7,"",VLOOKUP($BA57,$BC$8:$BI$507,5,FALSE()))</f>
        <v/>
      </c>
      <c r="BO57" s="77" t="str">
        <f aca="false">IF($BA57&gt;$AZ$7,"",VLOOKUP($BA57,$BC$8:$BI$507,6,FALSE()))</f>
        <v/>
      </c>
      <c r="BP57" s="52"/>
    </row>
    <row r="58" customFormat="false" ht="15.75" hidden="false" customHeight="false" outlineLevel="0" collapsed="false">
      <c r="A58" s="5"/>
      <c r="B58" s="118"/>
      <c r="C58" s="54"/>
      <c r="D58" s="55"/>
      <c r="E58" s="79"/>
      <c r="F58" s="57"/>
      <c r="G58" s="58"/>
      <c r="H58" s="58"/>
      <c r="I58" s="57"/>
      <c r="J58" s="58"/>
      <c r="K58" s="58"/>
      <c r="L58" s="57"/>
      <c r="M58" s="79"/>
      <c r="N58" s="60"/>
      <c r="O58" s="62" t="str">
        <f aca="false">IF(ISBLANK($C58),"",IF(E58=Constants!$B$2, TRUE(), IF(E58=Constants!$B$3, FALSE(), TRUE())))</f>
        <v/>
      </c>
      <c r="P58" s="62" t="str">
        <f aca="false">IF(ISBLANK($C58),"",IF(F58=Constants!$B$16,Constants!$B$9,IF(F58=Constants!$B$17,Constants!$B$10,Constants!$B$8)))</f>
        <v/>
      </c>
      <c r="Q58" s="62" t="str">
        <f aca="false">IF(ISBLANK($C58),"",IF(ISNUMBER(G58),IF(G58&gt;=0,G58,""),""))</f>
        <v/>
      </c>
      <c r="R58" s="62" t="str">
        <f aca="false">IF(ISBLANK($C58),"",IF(H58=Constants!$B$2, TRUE(), IF(H58=Constants!$B$3, FALSE(), TRUE())))</f>
        <v/>
      </c>
      <c r="S58" s="62" t="str">
        <f aca="false">IF(ISBLANK($C58),"",IF(I58=Constants!$B$2, TRUE(), IF(I58=Constants!$B$3, FALSE(), TRUE())))</f>
        <v/>
      </c>
      <c r="T58" s="62" t="str">
        <f aca="false">IF(ISBLANK($C58),"",IF(ISNUMBER(J58),IF(J58&gt;=0,J58,""),""))</f>
        <v/>
      </c>
      <c r="U58" s="62" t="str">
        <f aca="false">IF(ISBLANK($C58),"",IF(K58=Constants!$B$2, TRUE(), IF(K58=Constants!$B$3, FALSE(), TRUE())))</f>
        <v/>
      </c>
      <c r="V58" s="62" t="str">
        <f aca="false">IF(ISBLANK($C58),"",IF(L58=Constants!$B$2, TRUE(), IF(L58=Constants!$B$3, FALSE(), TRUE())))</f>
        <v/>
      </c>
      <c r="W58" s="62" t="str">
        <f aca="false">IF(ISBLANK($C58),"",IF(M58=Constants!$B$2, TRUE(), IF(M58=Constants!$B$3, FALSE(), FALSE())))</f>
        <v/>
      </c>
      <c r="X58" s="62" t="str">
        <f aca="false">IF(ISBLANK($C58),"",AND(Q58&lt;&gt;"",O58))</f>
        <v/>
      </c>
      <c r="Y58" s="62" t="str">
        <f aca="false">IF(ISBLANK($C58),"",AND(T58&lt;&gt;"",O58))</f>
        <v/>
      </c>
      <c r="Z58" s="62" t="str">
        <f aca="false">IF(ISBLANK($C58),"",IF(W58,Constants!$B$4,IF(COUNTA(E58:L58)=0,Constants!$B$5,IF(NOT(O58),Constants!$B$6,IF(AND(NOT(X58),NOT(Y58)),Constants!$B$6,Constants!$B$7)))))</f>
        <v/>
      </c>
      <c r="AA58" s="62" t="str">
        <f aca="false">IF(ISBLANK($C58),"",IF($Z58&lt;&gt;Constants!$B$7,$Z58,Constants!$B$20))</f>
        <v/>
      </c>
      <c r="AB58" s="62" t="str">
        <f aca="false">IF($Z58=Constants!$B$7,IF(X58,Q58,Constants!$B$13),"")</f>
        <v/>
      </c>
      <c r="AC58" s="62" t="str">
        <f aca="false">IF($Z58=Constants!$B$7,IF(X58,P58*IF(R58, 1, Constants!$B$11)*IF(S58, 1, Constants!$B$12),Constants!$B$13),"")</f>
        <v/>
      </c>
      <c r="AD58" s="62" t="str">
        <f aca="false">IF($Z58=Constants!$B$7,AB58*AC58,"")</f>
        <v/>
      </c>
      <c r="AE58" s="62" t="str">
        <f aca="false">IF($Z58=Constants!$B$7,IF(Y58,T58,Constants!$B$13),"")</f>
        <v/>
      </c>
      <c r="AF58" s="62" t="str">
        <f aca="false">IF($Z58=Constants!$B$7,IF(Y58,P58*IF(U58, 1, Constants!$B$11)*IF(V58, 1, Constants!$B$12),Constants!$B$13),"")</f>
        <v/>
      </c>
      <c r="AG58" s="62" t="str">
        <f aca="false">IF($Z58=Constants!$B$7,AE58*AF58,"")</f>
        <v/>
      </c>
      <c r="AH58" s="62" t="str">
        <f aca="false">IF($Z58=Constants!$B$7,IF(AG58&gt;AD58,2,1),"")</f>
        <v/>
      </c>
      <c r="AI58" s="62" t="str">
        <f aca="false">IF($Z58=Constants!$B$7,IF(AH58=1,2,1),"")</f>
        <v/>
      </c>
      <c r="AJ58" s="62" t="str">
        <f aca="false">IF(ISBLANK($C58),"",IF($Z58&lt;&gt;Constants!$B$7,$Z58,IF(AH58=1,AD58,AG58)))</f>
        <v/>
      </c>
      <c r="AK58" s="62" t="str">
        <f aca="false">IF(ISBLANK($C58),"",IF($Z58=Constants!$B$7,IF(ISNUMBER(AJ58),RANK(AJ58,$AJ$8:$AJ$507),Constants!$B$14),$Z58))</f>
        <v/>
      </c>
      <c r="AL58" s="62" t="str">
        <f aca="false">IF(ISBLANK($C58),"",IF($Z58=Constants!$B$7,IF(AI58=1,AD58,AG58),""))</f>
        <v/>
      </c>
      <c r="AM58" s="62" t="str">
        <f aca="false">IF(ISBLANK($C58),"",IF($Z58=Constants!$B$7,RANK(AL58,$AL$8:$AL$507),$Z58))</f>
        <v/>
      </c>
      <c r="AN58" s="62" t="str">
        <f aca="false">IF(ISBLANK($C58),"",IF($Z58=Constants!$B$7,IF(ISNUMBER(AK58),COUNTIFS($AK$8:$AK$507,"&lt;"&amp;$AK58)+COUNTIFS($AK$8:$AK$507,$AK58,$AM$8:$AM$507,"&lt;"&amp;$AM58)+1,Constants!$B$14),$Z58))</f>
        <v/>
      </c>
      <c r="AO58" s="62" t="str">
        <f aca="false">IF(ISBLANK($C58),"",IF($Z58=Constants!$B$7,IF(ISNUMBER(AK58),AK58-AN58,Constants!$B$14),$Z58))</f>
        <v/>
      </c>
      <c r="AP58" s="64"/>
      <c r="AQ58" s="65" t="str">
        <f aca="false">IF(ISBLANK($C58),"",IF($Z58&lt;&gt;Constants!$B$7,"",AH58))</f>
        <v/>
      </c>
      <c r="AR58" s="80" t="str">
        <f aca="false">IF(ISBLANK($C58),"",IF($Z58&lt;&gt;Constants!$B$7,"",IF(AH58=1,AB58,AE58)))</f>
        <v/>
      </c>
      <c r="AS58" s="67" t="str">
        <f aca="false">IF(ISBLANK($C58),"",IF($Z58&lt;&gt;Constants!$B$7,"",IF(AH58=1,AC58,AF58)))</f>
        <v/>
      </c>
      <c r="AT58" s="68" t="str">
        <f aca="false">IF(ISBLANK($C58),"",IF($Z58&lt;&gt;Constants!$B$7,$Z58,AJ58))</f>
        <v/>
      </c>
      <c r="AU58" s="69" t="str">
        <f aca="false">IF(ISBLANK($C58),"",IF($Z58&lt;&gt;Constants!$B$7,$Z58,AA58))</f>
        <v/>
      </c>
      <c r="AV58" s="70" t="str">
        <f aca="false">IF(ISBLANK($C58),"",AO58)</f>
        <v/>
      </c>
      <c r="AW58" s="70" t="str">
        <f aca="false">IF(ISBLANK($C58),"",AN58)</f>
        <v/>
      </c>
      <c r="AX58" s="71" t="str">
        <f aca="false">IF(ISBLANK($C58),"",IFERROR(_xlfn.SWITCH(AW58,Constants!$B$4,COUNTA($C$8:$C$507)+2,Constants!$B$5,COUNTA($C$8:$C$507)+1,Constants!$B$6,COUNTA($C$8:$C$507)),AW58))</f>
        <v/>
      </c>
      <c r="AY58" s="5"/>
      <c r="AZ58" s="72" t="n">
        <f aca="false">IF(OR(ISNUMBER(AW58),AW58=Constants!$B$4,AW58=Constants!$B$6,AW58=Constants!$B$5),1,0)</f>
        <v>0</v>
      </c>
      <c r="BA58" s="72" t="n">
        <v>51</v>
      </c>
      <c r="BB58" s="72" t="str">
        <f aca="false">IF(ISBLANK($C58),"",IF(ISNUMBER(AX58),AX58+ROW($B58)/1000,""))</f>
        <v/>
      </c>
      <c r="BC58" s="72" t="str">
        <f aca="false">IF(ISNUMBER(BB58),RANK(BB58,$BB$8:$BB$507,1),"")</f>
        <v/>
      </c>
      <c r="BD58" s="72" t="str">
        <f aca="false">IF(ISBLANK($C58),"",$B58)</f>
        <v/>
      </c>
      <c r="BE58" s="72" t="str">
        <f aca="false">IF(ISBLANK($C58),"",$C58)</f>
        <v/>
      </c>
      <c r="BF58" s="72" t="str">
        <f aca="false">IF(ISBLANK($C58),"",$D58)</f>
        <v/>
      </c>
      <c r="BG58" s="73" t="str">
        <f aca="false">AU58</f>
        <v/>
      </c>
      <c r="BH58" s="74" t="str">
        <f aca="false">AT58</f>
        <v/>
      </c>
      <c r="BI58" s="72" t="str">
        <f aca="false">IF(ISBLANK($C58),"",AW58)</f>
        <v/>
      </c>
      <c r="BJ58" s="75" t="str">
        <f aca="false">IF($BA58&gt;$AZ$7,"",VLOOKUP($BA58,$BC$8:$BI$507,7,FALSE()))</f>
        <v/>
      </c>
      <c r="BK58" s="76" t="str">
        <f aca="false">IF($BA58&gt;$AZ$7,"",VLOOKUP($BA58,$BC$8:$BI$507,2,FALSE()))</f>
        <v/>
      </c>
      <c r="BL58" s="76" t="str">
        <f aca="false">IF($BA58&gt;$AZ$7,"",VLOOKUP($BA58,$BC$8:$BI$507,3,FALSE()))</f>
        <v/>
      </c>
      <c r="BM58" s="76" t="str">
        <f aca="false">IF($BA58&gt;$AZ$7,"",VLOOKUP($BA58,$BC$8:$BI$507,4,FALSE()))</f>
        <v/>
      </c>
      <c r="BN58" s="76" t="str">
        <f aca="false">IF($BA58&gt;$AZ$7,"",VLOOKUP($BA58,$BC$8:$BI$507,5,FALSE()))</f>
        <v/>
      </c>
      <c r="BO58" s="77" t="str">
        <f aca="false">IF($BA58&gt;$AZ$7,"",VLOOKUP($BA58,$BC$8:$BI$507,6,FALSE()))</f>
        <v/>
      </c>
      <c r="BP58" s="52"/>
    </row>
    <row r="59" customFormat="false" ht="15.75" hidden="false" customHeight="false" outlineLevel="0" collapsed="false">
      <c r="A59" s="5"/>
      <c r="B59" s="114"/>
      <c r="C59" s="115"/>
      <c r="D59" s="106"/>
      <c r="E59" s="117"/>
      <c r="F59" s="87"/>
      <c r="G59" s="88"/>
      <c r="H59" s="88"/>
      <c r="I59" s="87"/>
      <c r="J59" s="88"/>
      <c r="K59" s="88"/>
      <c r="L59" s="87"/>
      <c r="M59" s="117"/>
      <c r="N59" s="90"/>
      <c r="O59" s="91" t="str">
        <f aca="false">IF(ISBLANK($C59),"",IF(E59=Constants!$B$2, TRUE(), IF(E59=Constants!$B$3, FALSE(), TRUE())))</f>
        <v/>
      </c>
      <c r="P59" s="91" t="str">
        <f aca="false">IF(ISBLANK($C59),"",IF(F59=Constants!$B$16,Constants!$B$9,IF(F59=Constants!$B$17,Constants!$B$10,Constants!$B$8)))</f>
        <v/>
      </c>
      <c r="Q59" s="91" t="str">
        <f aca="false">IF(ISBLANK($C59),"",IF(ISNUMBER(G59),IF(G59&gt;=0,G59,""),""))</f>
        <v/>
      </c>
      <c r="R59" s="91" t="str">
        <f aca="false">IF(ISBLANK($C59),"",IF(H59=Constants!$B$2, TRUE(), IF(H59=Constants!$B$3, FALSE(), TRUE())))</f>
        <v/>
      </c>
      <c r="S59" s="91" t="str">
        <f aca="false">IF(ISBLANK($C59),"",IF(I59=Constants!$B$2, TRUE(), IF(I59=Constants!$B$3, FALSE(), TRUE())))</f>
        <v/>
      </c>
      <c r="T59" s="91" t="str">
        <f aca="false">IF(ISBLANK($C59),"",IF(ISNUMBER(J59),IF(J59&gt;=0,J59,""),""))</f>
        <v/>
      </c>
      <c r="U59" s="91" t="str">
        <f aca="false">IF(ISBLANK($C59),"",IF(K59=Constants!$B$2, TRUE(), IF(K59=Constants!$B$3, FALSE(), TRUE())))</f>
        <v/>
      </c>
      <c r="V59" s="91" t="str">
        <f aca="false">IF(ISBLANK($C59),"",IF(L59=Constants!$B$2, TRUE(), IF(L59=Constants!$B$3, FALSE(), TRUE())))</f>
        <v/>
      </c>
      <c r="W59" s="91" t="str">
        <f aca="false">IF(ISBLANK($C59),"",IF(M59=Constants!$B$2, TRUE(), IF(M59=Constants!$B$3, FALSE(), FALSE())))</f>
        <v/>
      </c>
      <c r="X59" s="91" t="str">
        <f aca="false">IF(ISBLANK($C59),"",AND(Q59&lt;&gt;"",O59))</f>
        <v/>
      </c>
      <c r="Y59" s="91" t="str">
        <f aca="false">IF(ISBLANK($C59),"",AND(T59&lt;&gt;"",O59))</f>
        <v/>
      </c>
      <c r="Z59" s="91" t="str">
        <f aca="false">IF(ISBLANK($C59),"",IF(W59,Constants!$B$4,IF(COUNTA(E59:L59)=0,Constants!$B$5,IF(NOT(O59),Constants!$B$6,IF(AND(NOT(X59),NOT(Y59)),Constants!$B$6,Constants!$B$7)))))</f>
        <v/>
      </c>
      <c r="AA59" s="91" t="str">
        <f aca="false">IF(ISBLANK($C59),"",IF($Z59&lt;&gt;Constants!$B$7,$Z59,Constants!$B$20))</f>
        <v/>
      </c>
      <c r="AB59" s="91" t="str">
        <f aca="false">IF($Z59=Constants!$B$7,IF(X59,Q59,Constants!$B$13),"")</f>
        <v/>
      </c>
      <c r="AC59" s="91" t="str">
        <f aca="false">IF($Z59=Constants!$B$7,IF(X59,P59*IF(R59, 1, Constants!$B$11)*IF(S59, 1, Constants!$B$12),Constants!$B$13),"")</f>
        <v/>
      </c>
      <c r="AD59" s="91" t="str">
        <f aca="false">IF($Z59=Constants!$B$7,AB59*AC59,"")</f>
        <v/>
      </c>
      <c r="AE59" s="91" t="str">
        <f aca="false">IF($Z59=Constants!$B$7,IF(Y59,T59,Constants!$B$13),"")</f>
        <v/>
      </c>
      <c r="AF59" s="91" t="str">
        <f aca="false">IF($Z59=Constants!$B$7,IF(Y59,P59*IF(U59, 1, Constants!$B$11)*IF(V59, 1, Constants!$B$12),Constants!$B$13),"")</f>
        <v/>
      </c>
      <c r="AG59" s="91" t="str">
        <f aca="false">IF($Z59=Constants!$B$7,AE59*AF59,"")</f>
        <v/>
      </c>
      <c r="AH59" s="91" t="str">
        <f aca="false">IF($Z59=Constants!$B$7,IF(AG59&gt;AD59,2,1),"")</f>
        <v/>
      </c>
      <c r="AI59" s="91" t="str">
        <f aca="false">IF($Z59=Constants!$B$7,IF(AH59=1,2,1),"")</f>
        <v/>
      </c>
      <c r="AJ59" s="91" t="str">
        <f aca="false">IF(ISBLANK($C59),"",IF($Z59&lt;&gt;Constants!$B$7,$Z59,IF(AH59=1,AD59,AG59)))</f>
        <v/>
      </c>
      <c r="AK59" s="91" t="str">
        <f aca="false">IF(ISBLANK($C59),"",IF($Z59=Constants!$B$7,IF(ISNUMBER(AJ59),RANK(AJ59,$AJ$8:$AJ$507),Constants!$B$14),$Z59))</f>
        <v/>
      </c>
      <c r="AL59" s="91" t="str">
        <f aca="false">IF(ISBLANK($C59),"",IF($Z59=Constants!$B$7,IF(AI59=1,AD59,AG59),""))</f>
        <v/>
      </c>
      <c r="AM59" s="91" t="str">
        <f aca="false">IF(ISBLANK($C59),"",IF($Z59=Constants!$B$7,RANK(AL59,$AL$8:$AL$507),$Z59))</f>
        <v/>
      </c>
      <c r="AN59" s="91" t="str">
        <f aca="false">IF(ISBLANK($C59),"",IF($Z59=Constants!$B$7,IF(ISNUMBER(AK59),COUNTIFS($AK$8:$AK$507,"&lt;"&amp;$AK59)+COUNTIFS($AK$8:$AK$507,$AK59,$AM$8:$AM$507,"&lt;"&amp;$AM59)+1,Constants!$B$14),$Z59))</f>
        <v/>
      </c>
      <c r="AO59" s="91" t="str">
        <f aca="false">IF(ISBLANK($C59),"",IF($Z59=Constants!$B$7,IF(ISNUMBER(AK59),AK59-AN59,Constants!$B$14),$Z59))</f>
        <v/>
      </c>
      <c r="AP59" s="92"/>
      <c r="AQ59" s="93" t="str">
        <f aca="false">IF(ISBLANK($C59),"",IF($Z59&lt;&gt;Constants!$B$7,"",AH59))</f>
        <v/>
      </c>
      <c r="AR59" s="94" t="str">
        <f aca="false">IF(ISBLANK($C59),"",IF($Z59&lt;&gt;Constants!$B$7,"",IF(AH59=1,AB59,AE59)))</f>
        <v/>
      </c>
      <c r="AS59" s="95" t="str">
        <f aca="false">IF(ISBLANK($C59),"",IF($Z59&lt;&gt;Constants!$B$7,"",IF(AH59=1,AC59,AF59)))</f>
        <v/>
      </c>
      <c r="AT59" s="96" t="str">
        <f aca="false">IF(ISBLANK($C59),"",IF($Z59&lt;&gt;Constants!$B$7,$Z59,AJ59))</f>
        <v/>
      </c>
      <c r="AU59" s="97" t="str">
        <f aca="false">IF(ISBLANK($C59),"",IF($Z59&lt;&gt;Constants!$B$7,$Z59,AA59))</f>
        <v/>
      </c>
      <c r="AV59" s="98" t="str">
        <f aca="false">IF(ISBLANK($C59),"",AO59)</f>
        <v/>
      </c>
      <c r="AW59" s="98" t="str">
        <f aca="false">IF(ISBLANK($C59),"",AN59)</f>
        <v/>
      </c>
      <c r="AX59" s="99" t="str">
        <f aca="false">IF(ISBLANK($C59),"",IFERROR(_xlfn.SWITCH(AW59,Constants!$B$4,COUNTA($C$8:$C$507)+2,Constants!$B$5,COUNTA($C$8:$C$507)+1,Constants!$B$6,COUNTA($C$8:$C$507)),AW59))</f>
        <v/>
      </c>
      <c r="AY59" s="5"/>
      <c r="AZ59" s="100" t="n">
        <f aca="false">IF(OR(ISNUMBER(AW59),AW59=Constants!$B$4,AW59=Constants!$B$6,AW59=Constants!$B$5),1,0)</f>
        <v>0</v>
      </c>
      <c r="BA59" s="100" t="n">
        <v>52</v>
      </c>
      <c r="BB59" s="100" t="str">
        <f aca="false">IF(ISBLANK($C59),"",IF(ISNUMBER(AX59),AX59+ROW($B59)/1000,""))</f>
        <v/>
      </c>
      <c r="BC59" s="100" t="str">
        <f aca="false">IF(ISNUMBER(BB59),RANK(BB59,$BB$8:$BB$507,1),"")</f>
        <v/>
      </c>
      <c r="BD59" s="100" t="str">
        <f aca="false">IF(ISBLANK($C59),"",$B59)</f>
        <v/>
      </c>
      <c r="BE59" s="100" t="str">
        <f aca="false">IF(ISBLANK($C59),"",$C59)</f>
        <v/>
      </c>
      <c r="BF59" s="100" t="str">
        <f aca="false">IF(ISBLANK($C59),"",$D59)</f>
        <v/>
      </c>
      <c r="BG59" s="101" t="str">
        <f aca="false">AU59</f>
        <v/>
      </c>
      <c r="BH59" s="102" t="str">
        <f aca="false">AT59</f>
        <v/>
      </c>
      <c r="BI59" s="100" t="str">
        <f aca="false">IF(ISBLANK($C59),"",AW59)</f>
        <v/>
      </c>
      <c r="BJ59" s="103" t="str">
        <f aca="false">IF($BA59&gt;$AZ$7,"",VLOOKUP($BA59,$BC$8:$BI$507,7,FALSE()))</f>
        <v/>
      </c>
      <c r="BK59" s="104" t="str">
        <f aca="false">IF($BA59&gt;$AZ$7,"",VLOOKUP($BA59,$BC$8:$BI$507,2,FALSE()))</f>
        <v/>
      </c>
      <c r="BL59" s="104" t="str">
        <f aca="false">IF($BA59&gt;$AZ$7,"",VLOOKUP($BA59,$BC$8:$BI$507,3,FALSE()))</f>
        <v/>
      </c>
      <c r="BM59" s="104" t="str">
        <f aca="false">IF($BA59&gt;$AZ$7,"",VLOOKUP($BA59,$BC$8:$BI$507,4,FALSE()))</f>
        <v/>
      </c>
      <c r="BN59" s="104" t="str">
        <f aca="false">IF($BA59&gt;$AZ$7,"",VLOOKUP($BA59,$BC$8:$BI$507,5,FALSE()))</f>
        <v/>
      </c>
      <c r="BO59" s="105" t="str">
        <f aca="false">IF($BA59&gt;$AZ$7,"",VLOOKUP($BA59,$BC$8:$BI$507,6,FALSE()))</f>
        <v/>
      </c>
      <c r="BP59" s="52"/>
    </row>
    <row r="60" customFormat="false" ht="15.75" hidden="false" customHeight="false" outlineLevel="0" collapsed="false">
      <c r="A60" s="5"/>
      <c r="B60" s="114"/>
      <c r="C60" s="115"/>
      <c r="D60" s="106"/>
      <c r="E60" s="117"/>
      <c r="F60" s="87"/>
      <c r="G60" s="88"/>
      <c r="H60" s="88"/>
      <c r="I60" s="87"/>
      <c r="J60" s="88"/>
      <c r="K60" s="88"/>
      <c r="L60" s="87"/>
      <c r="M60" s="117"/>
      <c r="N60" s="90"/>
      <c r="O60" s="91" t="str">
        <f aca="false">IF(ISBLANK($C60),"",IF(E60=Constants!$B$2, TRUE(), IF(E60=Constants!$B$3, FALSE(), TRUE())))</f>
        <v/>
      </c>
      <c r="P60" s="91" t="str">
        <f aca="false">IF(ISBLANK($C60),"",IF(F60=Constants!$B$16,Constants!$B$9,IF(F60=Constants!$B$17,Constants!$B$10,Constants!$B$8)))</f>
        <v/>
      </c>
      <c r="Q60" s="91" t="str">
        <f aca="false">IF(ISBLANK($C60),"",IF(ISNUMBER(G60),IF(G60&gt;=0,G60,""),""))</f>
        <v/>
      </c>
      <c r="R60" s="91" t="str">
        <f aca="false">IF(ISBLANK($C60),"",IF(H60=Constants!$B$2, TRUE(), IF(H60=Constants!$B$3, FALSE(), TRUE())))</f>
        <v/>
      </c>
      <c r="S60" s="91" t="str">
        <f aca="false">IF(ISBLANK($C60),"",IF(I60=Constants!$B$2, TRUE(), IF(I60=Constants!$B$3, FALSE(), TRUE())))</f>
        <v/>
      </c>
      <c r="T60" s="91" t="str">
        <f aca="false">IF(ISBLANK($C60),"",IF(ISNUMBER(J60),IF(J60&gt;=0,J60,""),""))</f>
        <v/>
      </c>
      <c r="U60" s="91" t="str">
        <f aca="false">IF(ISBLANK($C60),"",IF(K60=Constants!$B$2, TRUE(), IF(K60=Constants!$B$3, FALSE(), TRUE())))</f>
        <v/>
      </c>
      <c r="V60" s="91" t="str">
        <f aca="false">IF(ISBLANK($C60),"",IF(L60=Constants!$B$2, TRUE(), IF(L60=Constants!$B$3, FALSE(), TRUE())))</f>
        <v/>
      </c>
      <c r="W60" s="91" t="str">
        <f aca="false">IF(ISBLANK($C60),"",IF(M60=Constants!$B$2, TRUE(), IF(M60=Constants!$B$3, FALSE(), FALSE())))</f>
        <v/>
      </c>
      <c r="X60" s="91" t="str">
        <f aca="false">IF(ISBLANK($C60),"",AND(Q60&lt;&gt;"",O60))</f>
        <v/>
      </c>
      <c r="Y60" s="91" t="str">
        <f aca="false">IF(ISBLANK($C60),"",AND(T60&lt;&gt;"",O60))</f>
        <v/>
      </c>
      <c r="Z60" s="91" t="str">
        <f aca="false">IF(ISBLANK($C60),"",IF(W60,Constants!$B$4,IF(COUNTA(E60:L60)=0,Constants!$B$5,IF(NOT(O60),Constants!$B$6,IF(AND(NOT(X60),NOT(Y60)),Constants!$B$6,Constants!$B$7)))))</f>
        <v/>
      </c>
      <c r="AA60" s="91" t="str">
        <f aca="false">IF(ISBLANK($C60),"",IF($Z60&lt;&gt;Constants!$B$7,$Z60,Constants!$B$20))</f>
        <v/>
      </c>
      <c r="AB60" s="91" t="str">
        <f aca="false">IF($Z60=Constants!$B$7,IF(X60,Q60,Constants!$B$13),"")</f>
        <v/>
      </c>
      <c r="AC60" s="91" t="str">
        <f aca="false">IF($Z60=Constants!$B$7,IF(X60,P60*IF(R60, 1, Constants!$B$11)*IF(S60, 1, Constants!$B$12),Constants!$B$13),"")</f>
        <v/>
      </c>
      <c r="AD60" s="91" t="str">
        <f aca="false">IF($Z60=Constants!$B$7,AB60*AC60,"")</f>
        <v/>
      </c>
      <c r="AE60" s="91" t="str">
        <f aca="false">IF($Z60=Constants!$B$7,IF(Y60,T60,Constants!$B$13),"")</f>
        <v/>
      </c>
      <c r="AF60" s="91" t="str">
        <f aca="false">IF($Z60=Constants!$B$7,IF(Y60,P60*IF(U60, 1, Constants!$B$11)*IF(V60, 1, Constants!$B$12),Constants!$B$13),"")</f>
        <v/>
      </c>
      <c r="AG60" s="91" t="str">
        <f aca="false">IF($Z60=Constants!$B$7,AE60*AF60,"")</f>
        <v/>
      </c>
      <c r="AH60" s="91" t="str">
        <f aca="false">IF($Z60=Constants!$B$7,IF(AG60&gt;AD60,2,1),"")</f>
        <v/>
      </c>
      <c r="AI60" s="91" t="str">
        <f aca="false">IF($Z60=Constants!$B$7,IF(AH60=1,2,1),"")</f>
        <v/>
      </c>
      <c r="AJ60" s="91" t="str">
        <f aca="false">IF(ISBLANK($C60),"",IF($Z60&lt;&gt;Constants!$B$7,$Z60,IF(AH60=1,AD60,AG60)))</f>
        <v/>
      </c>
      <c r="AK60" s="91" t="str">
        <f aca="false">IF(ISBLANK($C60),"",IF($Z60=Constants!$B$7,IF(ISNUMBER(AJ60),RANK(AJ60,$AJ$8:$AJ$507),Constants!$B$14),$Z60))</f>
        <v/>
      </c>
      <c r="AL60" s="91" t="str">
        <f aca="false">IF(ISBLANK($C60),"",IF($Z60=Constants!$B$7,IF(AI60=1,AD60,AG60),""))</f>
        <v/>
      </c>
      <c r="AM60" s="91" t="str">
        <f aca="false">IF(ISBLANK($C60),"",IF($Z60=Constants!$B$7,RANK(AL60,$AL$8:$AL$507),$Z60))</f>
        <v/>
      </c>
      <c r="AN60" s="91" t="str">
        <f aca="false">IF(ISBLANK($C60),"",IF($Z60=Constants!$B$7,IF(ISNUMBER(AK60),COUNTIFS($AK$8:$AK$507,"&lt;"&amp;$AK60)+COUNTIFS($AK$8:$AK$507,$AK60,$AM$8:$AM$507,"&lt;"&amp;$AM60)+1,Constants!$B$14),$Z60))</f>
        <v/>
      </c>
      <c r="AO60" s="91" t="str">
        <f aca="false">IF(ISBLANK($C60),"",IF($Z60=Constants!$B$7,IF(ISNUMBER(AK60),AK60-AN60,Constants!$B$14),$Z60))</f>
        <v/>
      </c>
      <c r="AP60" s="92"/>
      <c r="AQ60" s="93" t="str">
        <f aca="false">IF(ISBLANK($C60),"",IF($Z60&lt;&gt;Constants!$B$7,"",AH60))</f>
        <v/>
      </c>
      <c r="AR60" s="94" t="str">
        <f aca="false">IF(ISBLANK($C60),"",IF($Z60&lt;&gt;Constants!$B$7,"",IF(AH60=1,AB60,AE60)))</f>
        <v/>
      </c>
      <c r="AS60" s="95" t="str">
        <f aca="false">IF(ISBLANK($C60),"",IF($Z60&lt;&gt;Constants!$B$7,"",IF(AH60=1,AC60,AF60)))</f>
        <v/>
      </c>
      <c r="AT60" s="96" t="str">
        <f aca="false">IF(ISBLANK($C60),"",IF($Z60&lt;&gt;Constants!$B$7,$Z60,AJ60))</f>
        <v/>
      </c>
      <c r="AU60" s="97" t="str">
        <f aca="false">IF(ISBLANK($C60),"",IF($Z60&lt;&gt;Constants!$B$7,$Z60,AA60))</f>
        <v/>
      </c>
      <c r="AV60" s="98" t="str">
        <f aca="false">IF(ISBLANK($C60),"",AO60)</f>
        <v/>
      </c>
      <c r="AW60" s="98" t="str">
        <f aca="false">IF(ISBLANK($C60),"",AN60)</f>
        <v/>
      </c>
      <c r="AX60" s="99" t="str">
        <f aca="false">IF(ISBLANK($C60),"",IFERROR(_xlfn.SWITCH(AW60,Constants!$B$4,COUNTA($C$8:$C$507)+2,Constants!$B$5,COUNTA($C$8:$C$507)+1,Constants!$B$6,COUNTA($C$8:$C$507)),AW60))</f>
        <v/>
      </c>
      <c r="AY60" s="5"/>
      <c r="AZ60" s="100" t="n">
        <f aca="false">IF(OR(ISNUMBER(AW60),AW60=Constants!$B$4,AW60=Constants!$B$6,AW60=Constants!$B$5),1,0)</f>
        <v>0</v>
      </c>
      <c r="BA60" s="100" t="n">
        <v>53</v>
      </c>
      <c r="BB60" s="100" t="str">
        <f aca="false">IF(ISBLANK($C60),"",IF(ISNUMBER(AX60),AX60+ROW($B60)/1000,""))</f>
        <v/>
      </c>
      <c r="BC60" s="100" t="str">
        <f aca="false">IF(ISNUMBER(BB60),RANK(BB60,$BB$8:$BB$507,1),"")</f>
        <v/>
      </c>
      <c r="BD60" s="100" t="str">
        <f aca="false">IF(ISBLANK($C60),"",$B60)</f>
        <v/>
      </c>
      <c r="BE60" s="100" t="str">
        <f aca="false">IF(ISBLANK($C60),"",$C60)</f>
        <v/>
      </c>
      <c r="BF60" s="100" t="str">
        <f aca="false">IF(ISBLANK($C60),"",$D60)</f>
        <v/>
      </c>
      <c r="BG60" s="101" t="str">
        <f aca="false">AU60</f>
        <v/>
      </c>
      <c r="BH60" s="102" t="str">
        <f aca="false">AT60</f>
        <v/>
      </c>
      <c r="BI60" s="100" t="str">
        <f aca="false">IF(ISBLANK($C60),"",AW60)</f>
        <v/>
      </c>
      <c r="BJ60" s="103" t="str">
        <f aca="false">IF($BA60&gt;$AZ$7,"",VLOOKUP($BA60,$BC$8:$BI$507,7,FALSE()))</f>
        <v/>
      </c>
      <c r="BK60" s="104" t="str">
        <f aca="false">IF($BA60&gt;$AZ$7,"",VLOOKUP($BA60,$BC$8:$BI$507,2,FALSE()))</f>
        <v/>
      </c>
      <c r="BL60" s="104" t="str">
        <f aca="false">IF($BA60&gt;$AZ$7,"",VLOOKUP($BA60,$BC$8:$BI$507,3,FALSE()))</f>
        <v/>
      </c>
      <c r="BM60" s="104" t="str">
        <f aca="false">IF($BA60&gt;$AZ$7,"",VLOOKUP($BA60,$BC$8:$BI$507,4,FALSE()))</f>
        <v/>
      </c>
      <c r="BN60" s="104" t="str">
        <f aca="false">IF($BA60&gt;$AZ$7,"",VLOOKUP($BA60,$BC$8:$BI$507,5,FALSE()))</f>
        <v/>
      </c>
      <c r="BO60" s="105" t="str">
        <f aca="false">IF($BA60&gt;$AZ$7,"",VLOOKUP($BA60,$BC$8:$BI$507,6,FALSE()))</f>
        <v/>
      </c>
      <c r="BP60" s="52"/>
    </row>
    <row r="61" customFormat="false" ht="15.75" hidden="false" customHeight="false" outlineLevel="0" collapsed="false">
      <c r="A61" s="5"/>
      <c r="B61" s="114"/>
      <c r="C61" s="115"/>
      <c r="D61" s="106"/>
      <c r="E61" s="117"/>
      <c r="F61" s="87"/>
      <c r="G61" s="88"/>
      <c r="H61" s="88"/>
      <c r="I61" s="87"/>
      <c r="J61" s="88"/>
      <c r="K61" s="88"/>
      <c r="L61" s="87"/>
      <c r="M61" s="117"/>
      <c r="N61" s="90"/>
      <c r="O61" s="91" t="str">
        <f aca="false">IF(ISBLANK($C61),"",IF(E61=Constants!$B$2, TRUE(), IF(E61=Constants!$B$3, FALSE(), TRUE())))</f>
        <v/>
      </c>
      <c r="P61" s="91" t="str">
        <f aca="false">IF(ISBLANK($C61),"",IF(F61=Constants!$B$16,Constants!$B$9,IF(F61=Constants!$B$17,Constants!$B$10,Constants!$B$8)))</f>
        <v/>
      </c>
      <c r="Q61" s="91" t="str">
        <f aca="false">IF(ISBLANK($C61),"",IF(ISNUMBER(G61),IF(G61&gt;=0,G61,""),""))</f>
        <v/>
      </c>
      <c r="R61" s="91" t="str">
        <f aca="false">IF(ISBLANK($C61),"",IF(H61=Constants!$B$2, TRUE(), IF(H61=Constants!$B$3, FALSE(), TRUE())))</f>
        <v/>
      </c>
      <c r="S61" s="91" t="str">
        <f aca="false">IF(ISBLANK($C61),"",IF(I61=Constants!$B$2, TRUE(), IF(I61=Constants!$B$3, FALSE(), TRUE())))</f>
        <v/>
      </c>
      <c r="T61" s="91" t="str">
        <f aca="false">IF(ISBLANK($C61),"",IF(ISNUMBER(J61),IF(J61&gt;=0,J61,""),""))</f>
        <v/>
      </c>
      <c r="U61" s="91" t="str">
        <f aca="false">IF(ISBLANK($C61),"",IF(K61=Constants!$B$2, TRUE(), IF(K61=Constants!$B$3, FALSE(), TRUE())))</f>
        <v/>
      </c>
      <c r="V61" s="91" t="str">
        <f aca="false">IF(ISBLANK($C61),"",IF(L61=Constants!$B$2, TRUE(), IF(L61=Constants!$B$3, FALSE(), TRUE())))</f>
        <v/>
      </c>
      <c r="W61" s="91" t="str">
        <f aca="false">IF(ISBLANK($C61),"",IF(M61=Constants!$B$2, TRUE(), IF(M61=Constants!$B$3, FALSE(), FALSE())))</f>
        <v/>
      </c>
      <c r="X61" s="91" t="str">
        <f aca="false">IF(ISBLANK($C61),"",AND(Q61&lt;&gt;"",O61))</f>
        <v/>
      </c>
      <c r="Y61" s="91" t="str">
        <f aca="false">IF(ISBLANK($C61),"",AND(T61&lt;&gt;"",O61))</f>
        <v/>
      </c>
      <c r="Z61" s="91" t="str">
        <f aca="false">IF(ISBLANK($C61),"",IF(W61,Constants!$B$4,IF(COUNTA(E61:L61)=0,Constants!$B$5,IF(NOT(O61),Constants!$B$6,IF(AND(NOT(X61),NOT(Y61)),Constants!$B$6,Constants!$B$7)))))</f>
        <v/>
      </c>
      <c r="AA61" s="91" t="str">
        <f aca="false">IF(ISBLANK($C61),"",IF($Z61&lt;&gt;Constants!$B$7,$Z61,Constants!$B$20))</f>
        <v/>
      </c>
      <c r="AB61" s="91" t="str">
        <f aca="false">IF($Z61=Constants!$B$7,IF(X61,Q61,Constants!$B$13),"")</f>
        <v/>
      </c>
      <c r="AC61" s="91" t="str">
        <f aca="false">IF($Z61=Constants!$B$7,IF(X61,P61*IF(R61, 1, Constants!$B$11)*IF(S61, 1, Constants!$B$12),Constants!$B$13),"")</f>
        <v/>
      </c>
      <c r="AD61" s="91" t="str">
        <f aca="false">IF($Z61=Constants!$B$7,AB61*AC61,"")</f>
        <v/>
      </c>
      <c r="AE61" s="91" t="str">
        <f aca="false">IF($Z61=Constants!$B$7,IF(Y61,T61,Constants!$B$13),"")</f>
        <v/>
      </c>
      <c r="AF61" s="91" t="str">
        <f aca="false">IF($Z61=Constants!$B$7,IF(Y61,P61*IF(U61, 1, Constants!$B$11)*IF(V61, 1, Constants!$B$12),Constants!$B$13),"")</f>
        <v/>
      </c>
      <c r="AG61" s="91" t="str">
        <f aca="false">IF($Z61=Constants!$B$7,AE61*AF61,"")</f>
        <v/>
      </c>
      <c r="AH61" s="91" t="str">
        <f aca="false">IF($Z61=Constants!$B$7,IF(AG61&gt;AD61,2,1),"")</f>
        <v/>
      </c>
      <c r="AI61" s="91" t="str">
        <f aca="false">IF($Z61=Constants!$B$7,IF(AH61=1,2,1),"")</f>
        <v/>
      </c>
      <c r="AJ61" s="91" t="str">
        <f aca="false">IF(ISBLANK($C61),"",IF($Z61&lt;&gt;Constants!$B$7,$Z61,IF(AH61=1,AD61,AG61)))</f>
        <v/>
      </c>
      <c r="AK61" s="91" t="str">
        <f aca="false">IF(ISBLANK($C61),"",IF($Z61=Constants!$B$7,IF(ISNUMBER(AJ61),RANK(AJ61,$AJ$8:$AJ$507),Constants!$B$14),$Z61))</f>
        <v/>
      </c>
      <c r="AL61" s="91" t="str">
        <f aca="false">IF(ISBLANK($C61),"",IF($Z61=Constants!$B$7,IF(AI61=1,AD61,AG61),""))</f>
        <v/>
      </c>
      <c r="AM61" s="91" t="str">
        <f aca="false">IF(ISBLANK($C61),"",IF($Z61=Constants!$B$7,RANK(AL61,$AL$8:$AL$507),$Z61))</f>
        <v/>
      </c>
      <c r="AN61" s="91" t="str">
        <f aca="false">IF(ISBLANK($C61),"",IF($Z61=Constants!$B$7,IF(ISNUMBER(AK61),COUNTIFS($AK$8:$AK$507,"&lt;"&amp;$AK61)+COUNTIFS($AK$8:$AK$507,$AK61,$AM$8:$AM$507,"&lt;"&amp;$AM61)+1,Constants!$B$14),$Z61))</f>
        <v/>
      </c>
      <c r="AO61" s="91" t="str">
        <f aca="false">IF(ISBLANK($C61),"",IF($Z61=Constants!$B$7,IF(ISNUMBER(AK61),AK61-AN61,Constants!$B$14),$Z61))</f>
        <v/>
      </c>
      <c r="AP61" s="92"/>
      <c r="AQ61" s="93" t="str">
        <f aca="false">IF(ISBLANK($C61),"",IF($Z61&lt;&gt;Constants!$B$7,"",AH61))</f>
        <v/>
      </c>
      <c r="AR61" s="94" t="str">
        <f aca="false">IF(ISBLANK($C61),"",IF($Z61&lt;&gt;Constants!$B$7,"",IF(AH61=1,AB61,AE61)))</f>
        <v/>
      </c>
      <c r="AS61" s="95" t="str">
        <f aca="false">IF(ISBLANK($C61),"",IF($Z61&lt;&gt;Constants!$B$7,"",IF(AH61=1,AC61,AF61)))</f>
        <v/>
      </c>
      <c r="AT61" s="96" t="str">
        <f aca="false">IF(ISBLANK($C61),"",IF($Z61&lt;&gt;Constants!$B$7,$Z61,AJ61))</f>
        <v/>
      </c>
      <c r="AU61" s="97" t="str">
        <f aca="false">IF(ISBLANK($C61),"",IF($Z61&lt;&gt;Constants!$B$7,$Z61,AA61))</f>
        <v/>
      </c>
      <c r="AV61" s="98" t="str">
        <f aca="false">IF(ISBLANK($C61),"",AO61)</f>
        <v/>
      </c>
      <c r="AW61" s="98" t="str">
        <f aca="false">IF(ISBLANK($C61),"",AN61)</f>
        <v/>
      </c>
      <c r="AX61" s="99" t="str">
        <f aca="false">IF(ISBLANK($C61),"",IFERROR(_xlfn.SWITCH(AW61,Constants!$B$4,COUNTA($C$8:$C$507)+2,Constants!$B$5,COUNTA($C$8:$C$507)+1,Constants!$B$6,COUNTA($C$8:$C$507)),AW61))</f>
        <v/>
      </c>
      <c r="AY61" s="5"/>
      <c r="AZ61" s="100" t="n">
        <f aca="false">IF(OR(ISNUMBER(AW61),AW61=Constants!$B$4,AW61=Constants!$B$6,AW61=Constants!$B$5),1,0)</f>
        <v>0</v>
      </c>
      <c r="BA61" s="100" t="n">
        <v>54</v>
      </c>
      <c r="BB61" s="100" t="str">
        <f aca="false">IF(ISBLANK($C61),"",IF(ISNUMBER(AX61),AX61+ROW($B61)/1000,""))</f>
        <v/>
      </c>
      <c r="BC61" s="100" t="str">
        <f aca="false">IF(ISNUMBER(BB61),RANK(BB61,$BB$8:$BB$507,1),"")</f>
        <v/>
      </c>
      <c r="BD61" s="100" t="str">
        <f aca="false">IF(ISBLANK($C61),"",$B61)</f>
        <v/>
      </c>
      <c r="BE61" s="100" t="str">
        <f aca="false">IF(ISBLANK($C61),"",$C61)</f>
        <v/>
      </c>
      <c r="BF61" s="100" t="str">
        <f aca="false">IF(ISBLANK($C61),"",$D61)</f>
        <v/>
      </c>
      <c r="BG61" s="101" t="str">
        <f aca="false">AU61</f>
        <v/>
      </c>
      <c r="BH61" s="102" t="str">
        <f aca="false">AT61</f>
        <v/>
      </c>
      <c r="BI61" s="100" t="str">
        <f aca="false">IF(ISBLANK($C61),"",AW61)</f>
        <v/>
      </c>
      <c r="BJ61" s="103" t="str">
        <f aca="false">IF($BA61&gt;$AZ$7,"",VLOOKUP($BA61,$BC$8:$BI$507,7,FALSE()))</f>
        <v/>
      </c>
      <c r="BK61" s="104" t="str">
        <f aca="false">IF($BA61&gt;$AZ$7,"",VLOOKUP($BA61,$BC$8:$BI$507,2,FALSE()))</f>
        <v/>
      </c>
      <c r="BL61" s="104" t="str">
        <f aca="false">IF($BA61&gt;$AZ$7,"",VLOOKUP($BA61,$BC$8:$BI$507,3,FALSE()))</f>
        <v/>
      </c>
      <c r="BM61" s="104" t="str">
        <f aca="false">IF($BA61&gt;$AZ$7,"",VLOOKUP($BA61,$BC$8:$BI$507,4,FALSE()))</f>
        <v/>
      </c>
      <c r="BN61" s="104" t="str">
        <f aca="false">IF($BA61&gt;$AZ$7,"",VLOOKUP($BA61,$BC$8:$BI$507,5,FALSE()))</f>
        <v/>
      </c>
      <c r="BO61" s="105" t="str">
        <f aca="false">IF($BA61&gt;$AZ$7,"",VLOOKUP($BA61,$BC$8:$BI$507,6,FALSE()))</f>
        <v/>
      </c>
      <c r="BP61" s="52"/>
    </row>
    <row r="62" customFormat="false" ht="15.75" hidden="false" customHeight="false" outlineLevel="0" collapsed="false">
      <c r="A62" s="5"/>
      <c r="B62" s="118"/>
      <c r="C62" s="54"/>
      <c r="D62" s="55"/>
      <c r="E62" s="79"/>
      <c r="F62" s="57"/>
      <c r="G62" s="58"/>
      <c r="H62" s="58"/>
      <c r="I62" s="57"/>
      <c r="J62" s="58"/>
      <c r="K62" s="58"/>
      <c r="L62" s="57"/>
      <c r="M62" s="79"/>
      <c r="N62" s="60"/>
      <c r="O62" s="62" t="str">
        <f aca="false">IF(ISBLANK($C62),"",IF(E62=Constants!$B$2, TRUE(), IF(E62=Constants!$B$3, FALSE(), TRUE())))</f>
        <v/>
      </c>
      <c r="P62" s="62" t="str">
        <f aca="false">IF(ISBLANK($C62),"",IF(F62=Constants!$B$16,Constants!$B$9,IF(F62=Constants!$B$17,Constants!$B$10,Constants!$B$8)))</f>
        <v/>
      </c>
      <c r="Q62" s="62" t="str">
        <f aca="false">IF(ISBLANK($C62),"",IF(ISNUMBER(G62),IF(G62&gt;=0,G62,""),""))</f>
        <v/>
      </c>
      <c r="R62" s="62" t="str">
        <f aca="false">IF(ISBLANK($C62),"",IF(H62=Constants!$B$2, TRUE(), IF(H62=Constants!$B$3, FALSE(), TRUE())))</f>
        <v/>
      </c>
      <c r="S62" s="62" t="str">
        <f aca="false">IF(ISBLANK($C62),"",IF(I62=Constants!$B$2, TRUE(), IF(I62=Constants!$B$3, FALSE(), TRUE())))</f>
        <v/>
      </c>
      <c r="T62" s="62" t="str">
        <f aca="false">IF(ISBLANK($C62),"",IF(ISNUMBER(J62),IF(J62&gt;=0,J62,""),""))</f>
        <v/>
      </c>
      <c r="U62" s="62" t="str">
        <f aca="false">IF(ISBLANK($C62),"",IF(K62=Constants!$B$2, TRUE(), IF(K62=Constants!$B$3, FALSE(), TRUE())))</f>
        <v/>
      </c>
      <c r="V62" s="62" t="str">
        <f aca="false">IF(ISBLANK($C62),"",IF(L62=Constants!$B$2, TRUE(), IF(L62=Constants!$B$3, FALSE(), TRUE())))</f>
        <v/>
      </c>
      <c r="W62" s="62" t="str">
        <f aca="false">IF(ISBLANK($C62),"",IF(M62=Constants!$B$2, TRUE(), IF(M62=Constants!$B$3, FALSE(), FALSE())))</f>
        <v/>
      </c>
      <c r="X62" s="62" t="str">
        <f aca="false">IF(ISBLANK($C62),"",AND(Q62&lt;&gt;"",O62))</f>
        <v/>
      </c>
      <c r="Y62" s="62" t="str">
        <f aca="false">IF(ISBLANK($C62),"",AND(T62&lt;&gt;"",O62))</f>
        <v/>
      </c>
      <c r="Z62" s="62" t="str">
        <f aca="false">IF(ISBLANK($C62),"",IF(W62,Constants!$B$4,IF(COUNTA(E62:L62)=0,Constants!$B$5,IF(NOT(O62),Constants!$B$6,IF(AND(NOT(X62),NOT(Y62)),Constants!$B$6,Constants!$B$7)))))</f>
        <v/>
      </c>
      <c r="AA62" s="62" t="str">
        <f aca="false">IF(ISBLANK($C62),"",IF($Z62&lt;&gt;Constants!$B$7,$Z62,Constants!$B$20))</f>
        <v/>
      </c>
      <c r="AB62" s="62" t="str">
        <f aca="false">IF($Z62=Constants!$B$7,IF(X62,Q62,Constants!$B$13),"")</f>
        <v/>
      </c>
      <c r="AC62" s="62" t="str">
        <f aca="false">IF($Z62=Constants!$B$7,IF(X62,P62*IF(R62, 1, Constants!$B$11)*IF(S62, 1, Constants!$B$12),Constants!$B$13),"")</f>
        <v/>
      </c>
      <c r="AD62" s="62" t="str">
        <f aca="false">IF($Z62=Constants!$B$7,AB62*AC62,"")</f>
        <v/>
      </c>
      <c r="AE62" s="62" t="str">
        <f aca="false">IF($Z62=Constants!$B$7,IF(Y62,T62,Constants!$B$13),"")</f>
        <v/>
      </c>
      <c r="AF62" s="62" t="str">
        <f aca="false">IF($Z62=Constants!$B$7,IF(Y62,P62*IF(U62, 1, Constants!$B$11)*IF(V62, 1, Constants!$B$12),Constants!$B$13),"")</f>
        <v/>
      </c>
      <c r="AG62" s="62" t="str">
        <f aca="false">IF($Z62=Constants!$B$7,AE62*AF62,"")</f>
        <v/>
      </c>
      <c r="AH62" s="62" t="str">
        <f aca="false">IF($Z62=Constants!$B$7,IF(AG62&gt;AD62,2,1),"")</f>
        <v/>
      </c>
      <c r="AI62" s="62" t="str">
        <f aca="false">IF($Z62=Constants!$B$7,IF(AH62=1,2,1),"")</f>
        <v/>
      </c>
      <c r="AJ62" s="62" t="str">
        <f aca="false">IF(ISBLANK($C62),"",IF($Z62&lt;&gt;Constants!$B$7,$Z62,IF(AH62=1,AD62,AG62)))</f>
        <v/>
      </c>
      <c r="AK62" s="62" t="str">
        <f aca="false">IF(ISBLANK($C62),"",IF($Z62=Constants!$B$7,IF(ISNUMBER(AJ62),RANK(AJ62,$AJ$8:$AJ$507),Constants!$B$14),$Z62))</f>
        <v/>
      </c>
      <c r="AL62" s="62" t="str">
        <f aca="false">IF(ISBLANK($C62),"",IF($Z62=Constants!$B$7,IF(AI62=1,AD62,AG62),""))</f>
        <v/>
      </c>
      <c r="AM62" s="62" t="str">
        <f aca="false">IF(ISBLANK($C62),"",IF($Z62=Constants!$B$7,RANK(AL62,$AL$8:$AL$507),$Z62))</f>
        <v/>
      </c>
      <c r="AN62" s="62" t="str">
        <f aca="false">IF(ISBLANK($C62),"",IF($Z62=Constants!$B$7,IF(ISNUMBER(AK62),COUNTIFS($AK$8:$AK$507,"&lt;"&amp;$AK62)+COUNTIFS($AK$8:$AK$507,$AK62,$AM$8:$AM$507,"&lt;"&amp;$AM62)+1,Constants!$B$14),$Z62))</f>
        <v/>
      </c>
      <c r="AO62" s="62" t="str">
        <f aca="false">IF(ISBLANK($C62),"",IF($Z62=Constants!$B$7,IF(ISNUMBER(AK62),AK62-AN62,Constants!$B$14),$Z62))</f>
        <v/>
      </c>
      <c r="AP62" s="64"/>
      <c r="AQ62" s="65" t="str">
        <f aca="false">IF(ISBLANK($C62),"",IF($Z62&lt;&gt;Constants!$B$7,"",AH62))</f>
        <v/>
      </c>
      <c r="AR62" s="80" t="str">
        <f aca="false">IF(ISBLANK($C62),"",IF($Z62&lt;&gt;Constants!$B$7,"",IF(AH62=1,AB62,AE62)))</f>
        <v/>
      </c>
      <c r="AS62" s="67" t="str">
        <f aca="false">IF(ISBLANK($C62),"",IF($Z62&lt;&gt;Constants!$B$7,"",IF(AH62=1,AC62,AF62)))</f>
        <v/>
      </c>
      <c r="AT62" s="68" t="str">
        <f aca="false">IF(ISBLANK($C62),"",IF($Z62&lt;&gt;Constants!$B$7,$Z62,AJ62))</f>
        <v/>
      </c>
      <c r="AU62" s="69" t="str">
        <f aca="false">IF(ISBLANK($C62),"",IF($Z62&lt;&gt;Constants!$B$7,$Z62,AA62))</f>
        <v/>
      </c>
      <c r="AV62" s="70" t="str">
        <f aca="false">IF(ISBLANK($C62),"",AO62)</f>
        <v/>
      </c>
      <c r="AW62" s="70" t="str">
        <f aca="false">IF(ISBLANK($C62),"",AN62)</f>
        <v/>
      </c>
      <c r="AX62" s="71" t="str">
        <f aca="false">IF(ISBLANK($C62),"",IFERROR(_xlfn.SWITCH(AW62,Constants!$B$4,COUNTA($C$8:$C$507)+2,Constants!$B$5,COUNTA($C$8:$C$507)+1,Constants!$B$6,COUNTA($C$8:$C$507)),AW62))</f>
        <v/>
      </c>
      <c r="AY62" s="5"/>
      <c r="AZ62" s="72" t="n">
        <f aca="false">IF(OR(ISNUMBER(AW62),AW62=Constants!$B$4,AW62=Constants!$B$6,AW62=Constants!$B$5),1,0)</f>
        <v>0</v>
      </c>
      <c r="BA62" s="72" t="n">
        <v>55</v>
      </c>
      <c r="BB62" s="72" t="str">
        <f aca="false">IF(ISBLANK($C62),"",IF(ISNUMBER(AX62),AX62+ROW($B62)/1000,""))</f>
        <v/>
      </c>
      <c r="BC62" s="72" t="str">
        <f aca="false">IF(ISNUMBER(BB62),RANK(BB62,$BB$8:$BB$507,1),"")</f>
        <v/>
      </c>
      <c r="BD62" s="72" t="str">
        <f aca="false">IF(ISBLANK($C62),"",$B62)</f>
        <v/>
      </c>
      <c r="BE62" s="72" t="str">
        <f aca="false">IF(ISBLANK($C62),"",$C62)</f>
        <v/>
      </c>
      <c r="BF62" s="72" t="str">
        <f aca="false">IF(ISBLANK($C62),"",$D62)</f>
        <v/>
      </c>
      <c r="BG62" s="73" t="str">
        <f aca="false">AU62</f>
        <v/>
      </c>
      <c r="BH62" s="74" t="str">
        <f aca="false">AT62</f>
        <v/>
      </c>
      <c r="BI62" s="72" t="str">
        <f aca="false">IF(ISBLANK($C62),"",AW62)</f>
        <v/>
      </c>
      <c r="BJ62" s="75" t="str">
        <f aca="false">IF($BA62&gt;$AZ$7,"",VLOOKUP($BA62,$BC$8:$BI$507,7,FALSE()))</f>
        <v/>
      </c>
      <c r="BK62" s="76" t="str">
        <f aca="false">IF($BA62&gt;$AZ$7,"",VLOOKUP($BA62,$BC$8:$BI$507,2,FALSE()))</f>
        <v/>
      </c>
      <c r="BL62" s="76" t="str">
        <f aca="false">IF($BA62&gt;$AZ$7,"",VLOOKUP($BA62,$BC$8:$BI$507,3,FALSE()))</f>
        <v/>
      </c>
      <c r="BM62" s="76" t="str">
        <f aca="false">IF($BA62&gt;$AZ$7,"",VLOOKUP($BA62,$BC$8:$BI$507,4,FALSE()))</f>
        <v/>
      </c>
      <c r="BN62" s="76" t="str">
        <f aca="false">IF($BA62&gt;$AZ$7,"",VLOOKUP($BA62,$BC$8:$BI$507,5,FALSE()))</f>
        <v/>
      </c>
      <c r="BO62" s="77" t="str">
        <f aca="false">IF($BA62&gt;$AZ$7,"",VLOOKUP($BA62,$BC$8:$BI$507,6,FALSE()))</f>
        <v/>
      </c>
      <c r="BP62" s="52"/>
    </row>
    <row r="63" customFormat="false" ht="15.75" hidden="false" customHeight="false" outlineLevel="0" collapsed="false">
      <c r="A63" s="5"/>
      <c r="B63" s="118"/>
      <c r="C63" s="54"/>
      <c r="D63" s="55"/>
      <c r="E63" s="79"/>
      <c r="F63" s="57"/>
      <c r="G63" s="58"/>
      <c r="H63" s="58"/>
      <c r="I63" s="57"/>
      <c r="J63" s="58"/>
      <c r="K63" s="58"/>
      <c r="L63" s="57"/>
      <c r="M63" s="79"/>
      <c r="N63" s="60"/>
      <c r="O63" s="62" t="str">
        <f aca="false">IF(ISBLANK($C63),"",IF(E63=Constants!$B$2, TRUE(), IF(E63=Constants!$B$3, FALSE(), TRUE())))</f>
        <v/>
      </c>
      <c r="P63" s="62" t="str">
        <f aca="false">IF(ISBLANK($C63),"",IF(F63=Constants!$B$16,Constants!$B$9,IF(F63=Constants!$B$17,Constants!$B$10,Constants!$B$8)))</f>
        <v/>
      </c>
      <c r="Q63" s="62" t="str">
        <f aca="false">IF(ISBLANK($C63),"",IF(ISNUMBER(G63),IF(G63&gt;=0,G63,""),""))</f>
        <v/>
      </c>
      <c r="R63" s="62" t="str">
        <f aca="false">IF(ISBLANK($C63),"",IF(H63=Constants!$B$2, TRUE(), IF(H63=Constants!$B$3, FALSE(), TRUE())))</f>
        <v/>
      </c>
      <c r="S63" s="62" t="str">
        <f aca="false">IF(ISBLANK($C63),"",IF(I63=Constants!$B$2, TRUE(), IF(I63=Constants!$B$3, FALSE(), TRUE())))</f>
        <v/>
      </c>
      <c r="T63" s="62" t="str">
        <f aca="false">IF(ISBLANK($C63),"",IF(ISNUMBER(J63),IF(J63&gt;=0,J63,""),""))</f>
        <v/>
      </c>
      <c r="U63" s="62" t="str">
        <f aca="false">IF(ISBLANK($C63),"",IF(K63=Constants!$B$2, TRUE(), IF(K63=Constants!$B$3, FALSE(), TRUE())))</f>
        <v/>
      </c>
      <c r="V63" s="62" t="str">
        <f aca="false">IF(ISBLANK($C63),"",IF(L63=Constants!$B$2, TRUE(), IF(L63=Constants!$B$3, FALSE(), TRUE())))</f>
        <v/>
      </c>
      <c r="W63" s="62" t="str">
        <f aca="false">IF(ISBLANK($C63),"",IF(M63=Constants!$B$2, TRUE(), IF(M63=Constants!$B$3, FALSE(), FALSE())))</f>
        <v/>
      </c>
      <c r="X63" s="62" t="str">
        <f aca="false">IF(ISBLANK($C63),"",AND(Q63&lt;&gt;"",O63))</f>
        <v/>
      </c>
      <c r="Y63" s="62" t="str">
        <f aca="false">IF(ISBLANK($C63),"",AND(T63&lt;&gt;"",O63))</f>
        <v/>
      </c>
      <c r="Z63" s="62" t="str">
        <f aca="false">IF(ISBLANK($C63),"",IF(W63,Constants!$B$4,IF(COUNTA(E63:L63)=0,Constants!$B$5,IF(NOT(O63),Constants!$B$6,IF(AND(NOT(X63),NOT(Y63)),Constants!$B$6,Constants!$B$7)))))</f>
        <v/>
      </c>
      <c r="AA63" s="62" t="str">
        <f aca="false">IF(ISBLANK($C63),"",IF($Z63&lt;&gt;Constants!$B$7,$Z63,Constants!$B$20))</f>
        <v/>
      </c>
      <c r="AB63" s="62" t="str">
        <f aca="false">IF($Z63=Constants!$B$7,IF(X63,Q63,Constants!$B$13),"")</f>
        <v/>
      </c>
      <c r="AC63" s="62" t="str">
        <f aca="false">IF($Z63=Constants!$B$7,IF(X63,P63*IF(R63, 1, Constants!$B$11)*IF(S63, 1, Constants!$B$12),Constants!$B$13),"")</f>
        <v/>
      </c>
      <c r="AD63" s="62" t="str">
        <f aca="false">IF($Z63=Constants!$B$7,AB63*AC63,"")</f>
        <v/>
      </c>
      <c r="AE63" s="62" t="str">
        <f aca="false">IF($Z63=Constants!$B$7,IF(Y63,T63,Constants!$B$13),"")</f>
        <v/>
      </c>
      <c r="AF63" s="62" t="str">
        <f aca="false">IF($Z63=Constants!$B$7,IF(Y63,P63*IF(U63, 1, Constants!$B$11)*IF(V63, 1, Constants!$B$12),Constants!$B$13),"")</f>
        <v/>
      </c>
      <c r="AG63" s="62" t="str">
        <f aca="false">IF($Z63=Constants!$B$7,AE63*AF63,"")</f>
        <v/>
      </c>
      <c r="AH63" s="62" t="str">
        <f aca="false">IF($Z63=Constants!$B$7,IF(AG63&gt;AD63,2,1),"")</f>
        <v/>
      </c>
      <c r="AI63" s="62" t="str">
        <f aca="false">IF($Z63=Constants!$B$7,IF(AH63=1,2,1),"")</f>
        <v/>
      </c>
      <c r="AJ63" s="62" t="str">
        <f aca="false">IF(ISBLANK($C63),"",IF($Z63&lt;&gt;Constants!$B$7,$Z63,IF(AH63=1,AD63,AG63)))</f>
        <v/>
      </c>
      <c r="AK63" s="62" t="str">
        <f aca="false">IF(ISBLANK($C63),"",IF($Z63=Constants!$B$7,IF(ISNUMBER(AJ63),RANK(AJ63,$AJ$8:$AJ$507),Constants!$B$14),$Z63))</f>
        <v/>
      </c>
      <c r="AL63" s="62" t="str">
        <f aca="false">IF(ISBLANK($C63),"",IF($Z63=Constants!$B$7,IF(AI63=1,AD63,AG63),""))</f>
        <v/>
      </c>
      <c r="AM63" s="62" t="str">
        <f aca="false">IF(ISBLANK($C63),"",IF($Z63=Constants!$B$7,RANK(AL63,$AL$8:$AL$507),$Z63))</f>
        <v/>
      </c>
      <c r="AN63" s="62" t="str">
        <f aca="false">IF(ISBLANK($C63),"",IF($Z63=Constants!$B$7,IF(ISNUMBER(AK63),COUNTIFS($AK$8:$AK$507,"&lt;"&amp;$AK63)+COUNTIFS($AK$8:$AK$507,$AK63,$AM$8:$AM$507,"&lt;"&amp;$AM63)+1,Constants!$B$14),$Z63))</f>
        <v/>
      </c>
      <c r="AO63" s="62" t="str">
        <f aca="false">IF(ISBLANK($C63),"",IF($Z63=Constants!$B$7,IF(ISNUMBER(AK63),AK63-AN63,Constants!$B$14),$Z63))</f>
        <v/>
      </c>
      <c r="AP63" s="64"/>
      <c r="AQ63" s="65" t="str">
        <f aca="false">IF(ISBLANK($C63),"",IF($Z63&lt;&gt;Constants!$B$7,"",AH63))</f>
        <v/>
      </c>
      <c r="AR63" s="80" t="str">
        <f aca="false">IF(ISBLANK($C63),"",IF($Z63&lt;&gt;Constants!$B$7,"",IF(AH63=1,AB63,AE63)))</f>
        <v/>
      </c>
      <c r="AS63" s="67" t="str">
        <f aca="false">IF(ISBLANK($C63),"",IF($Z63&lt;&gt;Constants!$B$7,"",IF(AH63=1,AC63,AF63)))</f>
        <v/>
      </c>
      <c r="AT63" s="68" t="str">
        <f aca="false">IF(ISBLANK($C63),"",IF($Z63&lt;&gt;Constants!$B$7,$Z63,AJ63))</f>
        <v/>
      </c>
      <c r="AU63" s="69" t="str">
        <f aca="false">IF(ISBLANK($C63),"",IF($Z63&lt;&gt;Constants!$B$7,$Z63,AA63))</f>
        <v/>
      </c>
      <c r="AV63" s="70" t="str">
        <f aca="false">IF(ISBLANK($C63),"",AO63)</f>
        <v/>
      </c>
      <c r="AW63" s="70" t="str">
        <f aca="false">IF(ISBLANK($C63),"",AN63)</f>
        <v/>
      </c>
      <c r="AX63" s="71" t="str">
        <f aca="false">IF(ISBLANK($C63),"",IFERROR(_xlfn.SWITCH(AW63,Constants!$B$4,COUNTA($C$8:$C$507)+2,Constants!$B$5,COUNTA($C$8:$C$507)+1,Constants!$B$6,COUNTA($C$8:$C$507)),AW63))</f>
        <v/>
      </c>
      <c r="AY63" s="5"/>
      <c r="AZ63" s="72" t="n">
        <f aca="false">IF(OR(ISNUMBER(AW63),AW63=Constants!$B$4,AW63=Constants!$B$6,AW63=Constants!$B$5),1,0)</f>
        <v>0</v>
      </c>
      <c r="BA63" s="72" t="n">
        <v>56</v>
      </c>
      <c r="BB63" s="72" t="str">
        <f aca="false">IF(ISBLANK($C63),"",IF(ISNUMBER(AX63),AX63+ROW($B63)/1000,""))</f>
        <v/>
      </c>
      <c r="BC63" s="72" t="str">
        <f aca="false">IF(ISNUMBER(BB63),RANK(BB63,$BB$8:$BB$507,1),"")</f>
        <v/>
      </c>
      <c r="BD63" s="72" t="str">
        <f aca="false">IF(ISBLANK($C63),"",$B63)</f>
        <v/>
      </c>
      <c r="BE63" s="72" t="str">
        <f aca="false">IF(ISBLANK($C63),"",$C63)</f>
        <v/>
      </c>
      <c r="BF63" s="72" t="str">
        <f aca="false">IF(ISBLANK($C63),"",$D63)</f>
        <v/>
      </c>
      <c r="BG63" s="73" t="str">
        <f aca="false">AU63</f>
        <v/>
      </c>
      <c r="BH63" s="74" t="str">
        <f aca="false">AT63</f>
        <v/>
      </c>
      <c r="BI63" s="72" t="str">
        <f aca="false">IF(ISBLANK($C63),"",AW63)</f>
        <v/>
      </c>
      <c r="BJ63" s="75" t="str">
        <f aca="false">IF($BA63&gt;$AZ$7,"",VLOOKUP($BA63,$BC$8:$BI$507,7,FALSE()))</f>
        <v/>
      </c>
      <c r="BK63" s="76" t="str">
        <f aca="false">IF($BA63&gt;$AZ$7,"",VLOOKUP($BA63,$BC$8:$BI$507,2,FALSE()))</f>
        <v/>
      </c>
      <c r="BL63" s="76" t="str">
        <f aca="false">IF($BA63&gt;$AZ$7,"",VLOOKUP($BA63,$BC$8:$BI$507,3,FALSE()))</f>
        <v/>
      </c>
      <c r="BM63" s="76" t="str">
        <f aca="false">IF($BA63&gt;$AZ$7,"",VLOOKUP($BA63,$BC$8:$BI$507,4,FALSE()))</f>
        <v/>
      </c>
      <c r="BN63" s="76" t="str">
        <f aca="false">IF($BA63&gt;$AZ$7,"",VLOOKUP($BA63,$BC$8:$BI$507,5,FALSE()))</f>
        <v/>
      </c>
      <c r="BO63" s="77" t="str">
        <f aca="false">IF($BA63&gt;$AZ$7,"",VLOOKUP($BA63,$BC$8:$BI$507,6,FALSE()))</f>
        <v/>
      </c>
      <c r="BP63" s="52"/>
    </row>
    <row r="64" customFormat="false" ht="15.75" hidden="false" customHeight="false" outlineLevel="0" collapsed="false">
      <c r="A64" s="5"/>
      <c r="B64" s="118"/>
      <c r="C64" s="54"/>
      <c r="D64" s="55"/>
      <c r="E64" s="79"/>
      <c r="F64" s="57"/>
      <c r="G64" s="58"/>
      <c r="H64" s="58"/>
      <c r="I64" s="57"/>
      <c r="J64" s="58"/>
      <c r="K64" s="58"/>
      <c r="L64" s="57"/>
      <c r="M64" s="79"/>
      <c r="N64" s="60"/>
      <c r="O64" s="62" t="str">
        <f aca="false">IF(ISBLANK($C64),"",IF(E64=Constants!$B$2, TRUE(), IF(E64=Constants!$B$3, FALSE(), TRUE())))</f>
        <v/>
      </c>
      <c r="P64" s="62" t="str">
        <f aca="false">IF(ISBLANK($C64),"",IF(F64=Constants!$B$16,Constants!$B$9,IF(F64=Constants!$B$17,Constants!$B$10,Constants!$B$8)))</f>
        <v/>
      </c>
      <c r="Q64" s="62" t="str">
        <f aca="false">IF(ISBLANK($C64),"",IF(ISNUMBER(G64),IF(G64&gt;=0,G64,""),""))</f>
        <v/>
      </c>
      <c r="R64" s="62" t="str">
        <f aca="false">IF(ISBLANK($C64),"",IF(H64=Constants!$B$2, TRUE(), IF(H64=Constants!$B$3, FALSE(), TRUE())))</f>
        <v/>
      </c>
      <c r="S64" s="62" t="str">
        <f aca="false">IF(ISBLANK($C64),"",IF(I64=Constants!$B$2, TRUE(), IF(I64=Constants!$B$3, FALSE(), TRUE())))</f>
        <v/>
      </c>
      <c r="T64" s="62" t="str">
        <f aca="false">IF(ISBLANK($C64),"",IF(ISNUMBER(J64),IF(J64&gt;=0,J64,""),""))</f>
        <v/>
      </c>
      <c r="U64" s="62" t="str">
        <f aca="false">IF(ISBLANK($C64),"",IF(K64=Constants!$B$2, TRUE(), IF(K64=Constants!$B$3, FALSE(), TRUE())))</f>
        <v/>
      </c>
      <c r="V64" s="62" t="str">
        <f aca="false">IF(ISBLANK($C64),"",IF(L64=Constants!$B$2, TRUE(), IF(L64=Constants!$B$3, FALSE(), TRUE())))</f>
        <v/>
      </c>
      <c r="W64" s="62" t="str">
        <f aca="false">IF(ISBLANK($C64),"",IF(M64=Constants!$B$2, TRUE(), IF(M64=Constants!$B$3, FALSE(), FALSE())))</f>
        <v/>
      </c>
      <c r="X64" s="62" t="str">
        <f aca="false">IF(ISBLANK($C64),"",AND(Q64&lt;&gt;"",O64))</f>
        <v/>
      </c>
      <c r="Y64" s="62" t="str">
        <f aca="false">IF(ISBLANK($C64),"",AND(T64&lt;&gt;"",O64))</f>
        <v/>
      </c>
      <c r="Z64" s="62" t="str">
        <f aca="false">IF(ISBLANK($C64),"",IF(W64,Constants!$B$4,IF(COUNTA(E64:L64)=0,Constants!$B$5,IF(NOT(O64),Constants!$B$6,IF(AND(NOT(X64),NOT(Y64)),Constants!$B$6,Constants!$B$7)))))</f>
        <v/>
      </c>
      <c r="AA64" s="62" t="str">
        <f aca="false">IF(ISBLANK($C64),"",IF($Z64&lt;&gt;Constants!$B$7,$Z64,Constants!$B$20))</f>
        <v/>
      </c>
      <c r="AB64" s="62" t="str">
        <f aca="false">IF($Z64=Constants!$B$7,IF(X64,Q64,Constants!$B$13),"")</f>
        <v/>
      </c>
      <c r="AC64" s="62" t="str">
        <f aca="false">IF($Z64=Constants!$B$7,IF(X64,P64*IF(R64, 1, Constants!$B$11)*IF(S64, 1, Constants!$B$12),Constants!$B$13),"")</f>
        <v/>
      </c>
      <c r="AD64" s="62" t="str">
        <f aca="false">IF($Z64=Constants!$B$7,AB64*AC64,"")</f>
        <v/>
      </c>
      <c r="AE64" s="62" t="str">
        <f aca="false">IF($Z64=Constants!$B$7,IF(Y64,T64,Constants!$B$13),"")</f>
        <v/>
      </c>
      <c r="AF64" s="62" t="str">
        <f aca="false">IF($Z64=Constants!$B$7,IF(Y64,P64*IF(U64, 1, Constants!$B$11)*IF(V64, 1, Constants!$B$12),Constants!$B$13),"")</f>
        <v/>
      </c>
      <c r="AG64" s="62" t="str">
        <f aca="false">IF($Z64=Constants!$B$7,AE64*AF64,"")</f>
        <v/>
      </c>
      <c r="AH64" s="62" t="str">
        <f aca="false">IF($Z64=Constants!$B$7,IF(AG64&gt;AD64,2,1),"")</f>
        <v/>
      </c>
      <c r="AI64" s="62" t="str">
        <f aca="false">IF($Z64=Constants!$B$7,IF(AH64=1,2,1),"")</f>
        <v/>
      </c>
      <c r="AJ64" s="62" t="str">
        <f aca="false">IF(ISBLANK($C64),"",IF($Z64&lt;&gt;Constants!$B$7,$Z64,IF(AH64=1,AD64,AG64)))</f>
        <v/>
      </c>
      <c r="AK64" s="62" t="str">
        <f aca="false">IF(ISBLANK($C64),"",IF($Z64=Constants!$B$7,IF(ISNUMBER(AJ64),RANK(AJ64,$AJ$8:$AJ$507),Constants!$B$14),$Z64))</f>
        <v/>
      </c>
      <c r="AL64" s="62" t="str">
        <f aca="false">IF(ISBLANK($C64),"",IF($Z64=Constants!$B$7,IF(AI64=1,AD64,AG64),""))</f>
        <v/>
      </c>
      <c r="AM64" s="62" t="str">
        <f aca="false">IF(ISBLANK($C64),"",IF($Z64=Constants!$B$7,RANK(AL64,$AL$8:$AL$507),$Z64))</f>
        <v/>
      </c>
      <c r="AN64" s="62" t="str">
        <f aca="false">IF(ISBLANK($C64),"",IF($Z64=Constants!$B$7,IF(ISNUMBER(AK64),COUNTIFS($AK$8:$AK$507,"&lt;"&amp;$AK64)+COUNTIFS($AK$8:$AK$507,$AK64,$AM$8:$AM$507,"&lt;"&amp;$AM64)+1,Constants!$B$14),$Z64))</f>
        <v/>
      </c>
      <c r="AO64" s="62" t="str">
        <f aca="false">IF(ISBLANK($C64),"",IF($Z64=Constants!$B$7,IF(ISNUMBER(AK64),AK64-AN64,Constants!$B$14),$Z64))</f>
        <v/>
      </c>
      <c r="AP64" s="64"/>
      <c r="AQ64" s="65" t="str">
        <f aca="false">IF(ISBLANK($C64),"",IF($Z64&lt;&gt;Constants!$B$7,"",AH64))</f>
        <v/>
      </c>
      <c r="AR64" s="80" t="str">
        <f aca="false">IF(ISBLANK($C64),"",IF($Z64&lt;&gt;Constants!$B$7,"",IF(AH64=1,AB64,AE64)))</f>
        <v/>
      </c>
      <c r="AS64" s="67" t="str">
        <f aca="false">IF(ISBLANK($C64),"",IF($Z64&lt;&gt;Constants!$B$7,"",IF(AH64=1,AC64,AF64)))</f>
        <v/>
      </c>
      <c r="AT64" s="68" t="str">
        <f aca="false">IF(ISBLANK($C64),"",IF($Z64&lt;&gt;Constants!$B$7,$Z64,AJ64))</f>
        <v/>
      </c>
      <c r="AU64" s="69" t="str">
        <f aca="false">IF(ISBLANK($C64),"",IF($Z64&lt;&gt;Constants!$B$7,$Z64,AA64))</f>
        <v/>
      </c>
      <c r="AV64" s="70" t="str">
        <f aca="false">IF(ISBLANK($C64),"",AO64)</f>
        <v/>
      </c>
      <c r="AW64" s="70" t="str">
        <f aca="false">IF(ISBLANK($C64),"",AN64)</f>
        <v/>
      </c>
      <c r="AX64" s="71" t="str">
        <f aca="false">IF(ISBLANK($C64),"",IFERROR(_xlfn.SWITCH(AW64,Constants!$B$4,COUNTA($C$8:$C$507)+2,Constants!$B$5,COUNTA($C$8:$C$507)+1,Constants!$B$6,COUNTA($C$8:$C$507)),AW64))</f>
        <v/>
      </c>
      <c r="AY64" s="5"/>
      <c r="AZ64" s="72" t="n">
        <f aca="false">IF(OR(ISNUMBER(AW64),AW64=Constants!$B$4,AW64=Constants!$B$6,AW64=Constants!$B$5),1,0)</f>
        <v>0</v>
      </c>
      <c r="BA64" s="72" t="n">
        <v>57</v>
      </c>
      <c r="BB64" s="72" t="str">
        <f aca="false">IF(ISBLANK($C64),"",IF(ISNUMBER(AX64),AX64+ROW($B64)/1000,""))</f>
        <v/>
      </c>
      <c r="BC64" s="72" t="str">
        <f aca="false">IF(ISNUMBER(BB64),RANK(BB64,$BB$8:$BB$507,1),"")</f>
        <v/>
      </c>
      <c r="BD64" s="72" t="str">
        <f aca="false">IF(ISBLANK($C64),"",$B64)</f>
        <v/>
      </c>
      <c r="BE64" s="72" t="str">
        <f aca="false">IF(ISBLANK($C64),"",$C64)</f>
        <v/>
      </c>
      <c r="BF64" s="72" t="str">
        <f aca="false">IF(ISBLANK($C64),"",$D64)</f>
        <v/>
      </c>
      <c r="BG64" s="73" t="str">
        <f aca="false">AU64</f>
        <v/>
      </c>
      <c r="BH64" s="74" t="str">
        <f aca="false">AT64</f>
        <v/>
      </c>
      <c r="BI64" s="72" t="str">
        <f aca="false">IF(ISBLANK($C64),"",AW64)</f>
        <v/>
      </c>
      <c r="BJ64" s="75" t="str">
        <f aca="false">IF($BA64&gt;$AZ$7,"",VLOOKUP($BA64,$BC$8:$BI$507,7,FALSE()))</f>
        <v/>
      </c>
      <c r="BK64" s="76" t="str">
        <f aca="false">IF($BA64&gt;$AZ$7,"",VLOOKUP($BA64,$BC$8:$BI$507,2,FALSE()))</f>
        <v/>
      </c>
      <c r="BL64" s="76" t="str">
        <f aca="false">IF($BA64&gt;$AZ$7,"",VLOOKUP($BA64,$BC$8:$BI$507,3,FALSE()))</f>
        <v/>
      </c>
      <c r="BM64" s="76" t="str">
        <f aca="false">IF($BA64&gt;$AZ$7,"",VLOOKUP($BA64,$BC$8:$BI$507,4,FALSE()))</f>
        <v/>
      </c>
      <c r="BN64" s="76" t="str">
        <f aca="false">IF($BA64&gt;$AZ$7,"",VLOOKUP($BA64,$BC$8:$BI$507,5,FALSE()))</f>
        <v/>
      </c>
      <c r="BO64" s="77" t="str">
        <f aca="false">IF($BA64&gt;$AZ$7,"",VLOOKUP($BA64,$BC$8:$BI$507,6,FALSE()))</f>
        <v/>
      </c>
      <c r="BP64" s="52"/>
    </row>
    <row r="65" customFormat="false" ht="15.75" hidden="false" customHeight="false" outlineLevel="0" collapsed="false">
      <c r="A65" s="5"/>
      <c r="B65" s="114"/>
      <c r="C65" s="115"/>
      <c r="D65" s="106"/>
      <c r="E65" s="117"/>
      <c r="F65" s="87"/>
      <c r="G65" s="88"/>
      <c r="H65" s="88"/>
      <c r="I65" s="87"/>
      <c r="J65" s="88"/>
      <c r="K65" s="88"/>
      <c r="L65" s="87"/>
      <c r="M65" s="117"/>
      <c r="N65" s="90"/>
      <c r="O65" s="91" t="str">
        <f aca="false">IF(ISBLANK($C65),"",IF(E65=Constants!$B$2, TRUE(), IF(E65=Constants!$B$3, FALSE(), TRUE())))</f>
        <v/>
      </c>
      <c r="P65" s="91" t="str">
        <f aca="false">IF(ISBLANK($C65),"",IF(F65=Constants!$B$16,Constants!$B$9,IF(F65=Constants!$B$17,Constants!$B$10,Constants!$B$8)))</f>
        <v/>
      </c>
      <c r="Q65" s="91" t="str">
        <f aca="false">IF(ISBLANK($C65),"",IF(ISNUMBER(G65),IF(G65&gt;=0,G65,""),""))</f>
        <v/>
      </c>
      <c r="R65" s="91" t="str">
        <f aca="false">IF(ISBLANK($C65),"",IF(H65=Constants!$B$2, TRUE(), IF(H65=Constants!$B$3, FALSE(), TRUE())))</f>
        <v/>
      </c>
      <c r="S65" s="91" t="str">
        <f aca="false">IF(ISBLANK($C65),"",IF(I65=Constants!$B$2, TRUE(), IF(I65=Constants!$B$3, FALSE(), TRUE())))</f>
        <v/>
      </c>
      <c r="T65" s="91" t="str">
        <f aca="false">IF(ISBLANK($C65),"",IF(ISNUMBER(J65),IF(J65&gt;=0,J65,""),""))</f>
        <v/>
      </c>
      <c r="U65" s="91" t="str">
        <f aca="false">IF(ISBLANK($C65),"",IF(K65=Constants!$B$2, TRUE(), IF(K65=Constants!$B$3, FALSE(), TRUE())))</f>
        <v/>
      </c>
      <c r="V65" s="91" t="str">
        <f aca="false">IF(ISBLANK($C65),"",IF(L65=Constants!$B$2, TRUE(), IF(L65=Constants!$B$3, FALSE(), TRUE())))</f>
        <v/>
      </c>
      <c r="W65" s="91" t="str">
        <f aca="false">IF(ISBLANK($C65),"",IF(M65=Constants!$B$2, TRUE(), IF(M65=Constants!$B$3, FALSE(), FALSE())))</f>
        <v/>
      </c>
      <c r="X65" s="91" t="str">
        <f aca="false">IF(ISBLANK($C65),"",AND(Q65&lt;&gt;"",O65))</f>
        <v/>
      </c>
      <c r="Y65" s="91" t="str">
        <f aca="false">IF(ISBLANK($C65),"",AND(T65&lt;&gt;"",O65))</f>
        <v/>
      </c>
      <c r="Z65" s="91" t="str">
        <f aca="false">IF(ISBLANK($C65),"",IF(W65,Constants!$B$4,IF(COUNTA(E65:L65)=0,Constants!$B$5,IF(NOT(O65),Constants!$B$6,IF(AND(NOT(X65),NOT(Y65)),Constants!$B$6,Constants!$B$7)))))</f>
        <v/>
      </c>
      <c r="AA65" s="91" t="str">
        <f aca="false">IF(ISBLANK($C65),"",IF($Z65&lt;&gt;Constants!$B$7,$Z65,Constants!$B$20))</f>
        <v/>
      </c>
      <c r="AB65" s="91" t="str">
        <f aca="false">IF($Z65=Constants!$B$7,IF(X65,Q65,Constants!$B$13),"")</f>
        <v/>
      </c>
      <c r="AC65" s="91" t="str">
        <f aca="false">IF($Z65=Constants!$B$7,IF(X65,P65*IF(R65, 1, Constants!$B$11)*IF(S65, 1, Constants!$B$12),Constants!$B$13),"")</f>
        <v/>
      </c>
      <c r="AD65" s="91" t="str">
        <f aca="false">IF($Z65=Constants!$B$7,AB65*AC65,"")</f>
        <v/>
      </c>
      <c r="AE65" s="91" t="str">
        <f aca="false">IF($Z65=Constants!$B$7,IF(Y65,T65,Constants!$B$13),"")</f>
        <v/>
      </c>
      <c r="AF65" s="91" t="str">
        <f aca="false">IF($Z65=Constants!$B$7,IF(Y65,P65*IF(U65, 1, Constants!$B$11)*IF(V65, 1, Constants!$B$12),Constants!$B$13),"")</f>
        <v/>
      </c>
      <c r="AG65" s="91" t="str">
        <f aca="false">IF($Z65=Constants!$B$7,AE65*AF65,"")</f>
        <v/>
      </c>
      <c r="AH65" s="91" t="str">
        <f aca="false">IF($Z65=Constants!$B$7,IF(AG65&gt;AD65,2,1),"")</f>
        <v/>
      </c>
      <c r="AI65" s="91" t="str">
        <f aca="false">IF($Z65=Constants!$B$7,IF(AH65=1,2,1),"")</f>
        <v/>
      </c>
      <c r="AJ65" s="91" t="str">
        <f aca="false">IF(ISBLANK($C65),"",IF($Z65&lt;&gt;Constants!$B$7,$Z65,IF(AH65=1,AD65,AG65)))</f>
        <v/>
      </c>
      <c r="AK65" s="91" t="str">
        <f aca="false">IF(ISBLANK($C65),"",IF($Z65=Constants!$B$7,IF(ISNUMBER(AJ65),RANK(AJ65,$AJ$8:$AJ$507),Constants!$B$14),$Z65))</f>
        <v/>
      </c>
      <c r="AL65" s="91" t="str">
        <f aca="false">IF(ISBLANK($C65),"",IF($Z65=Constants!$B$7,IF(AI65=1,AD65,AG65),""))</f>
        <v/>
      </c>
      <c r="AM65" s="91" t="str">
        <f aca="false">IF(ISBLANK($C65),"",IF($Z65=Constants!$B$7,RANK(AL65,$AL$8:$AL$507),$Z65))</f>
        <v/>
      </c>
      <c r="AN65" s="91" t="str">
        <f aca="false">IF(ISBLANK($C65),"",IF($Z65=Constants!$B$7,IF(ISNUMBER(AK65),COUNTIFS($AK$8:$AK$507,"&lt;"&amp;$AK65)+COUNTIFS($AK$8:$AK$507,$AK65,$AM$8:$AM$507,"&lt;"&amp;$AM65)+1,Constants!$B$14),$Z65))</f>
        <v/>
      </c>
      <c r="AO65" s="91" t="str">
        <f aca="false">IF(ISBLANK($C65),"",IF($Z65=Constants!$B$7,IF(ISNUMBER(AK65),AK65-AN65,Constants!$B$14),$Z65))</f>
        <v/>
      </c>
      <c r="AP65" s="92"/>
      <c r="AQ65" s="93" t="str">
        <f aca="false">IF(ISBLANK($C65),"",IF($Z65&lt;&gt;Constants!$B$7,"",AH65))</f>
        <v/>
      </c>
      <c r="AR65" s="94" t="str">
        <f aca="false">IF(ISBLANK($C65),"",IF($Z65&lt;&gt;Constants!$B$7,"",IF(AH65=1,AB65,AE65)))</f>
        <v/>
      </c>
      <c r="AS65" s="95" t="str">
        <f aca="false">IF(ISBLANK($C65),"",IF($Z65&lt;&gt;Constants!$B$7,"",IF(AH65=1,AC65,AF65)))</f>
        <v/>
      </c>
      <c r="AT65" s="96" t="str">
        <f aca="false">IF(ISBLANK($C65),"",IF($Z65&lt;&gt;Constants!$B$7,$Z65,AJ65))</f>
        <v/>
      </c>
      <c r="AU65" s="97" t="str">
        <f aca="false">IF(ISBLANK($C65),"",IF($Z65&lt;&gt;Constants!$B$7,$Z65,AA65))</f>
        <v/>
      </c>
      <c r="AV65" s="98" t="str">
        <f aca="false">IF(ISBLANK($C65),"",AO65)</f>
        <v/>
      </c>
      <c r="AW65" s="98" t="str">
        <f aca="false">IF(ISBLANK($C65),"",AN65)</f>
        <v/>
      </c>
      <c r="AX65" s="99" t="str">
        <f aca="false">IF(ISBLANK($C65),"",IFERROR(_xlfn.SWITCH(AW65,Constants!$B$4,COUNTA($C$8:$C$507)+2,Constants!$B$5,COUNTA($C$8:$C$507)+1,Constants!$B$6,COUNTA($C$8:$C$507)),AW65))</f>
        <v/>
      </c>
      <c r="AY65" s="5"/>
      <c r="AZ65" s="100" t="n">
        <f aca="false">IF(OR(ISNUMBER(AW65),AW65=Constants!$B$4,AW65=Constants!$B$6,AW65=Constants!$B$5),1,0)</f>
        <v>0</v>
      </c>
      <c r="BA65" s="100" t="n">
        <v>58</v>
      </c>
      <c r="BB65" s="100" t="str">
        <f aca="false">IF(ISBLANK($C65),"",IF(ISNUMBER(AX65),AX65+ROW($B65)/1000,""))</f>
        <v/>
      </c>
      <c r="BC65" s="100" t="str">
        <f aca="false">IF(ISNUMBER(BB65),RANK(BB65,$BB$8:$BB$507,1),"")</f>
        <v/>
      </c>
      <c r="BD65" s="100" t="str">
        <f aca="false">IF(ISBLANK($C65),"",$B65)</f>
        <v/>
      </c>
      <c r="BE65" s="100" t="str">
        <f aca="false">IF(ISBLANK($C65),"",$C65)</f>
        <v/>
      </c>
      <c r="BF65" s="100" t="str">
        <f aca="false">IF(ISBLANK($C65),"",$D65)</f>
        <v/>
      </c>
      <c r="BG65" s="101" t="str">
        <f aca="false">AU65</f>
        <v/>
      </c>
      <c r="BH65" s="102" t="str">
        <f aca="false">AT65</f>
        <v/>
      </c>
      <c r="BI65" s="100" t="str">
        <f aca="false">IF(ISBLANK($C65),"",AW65)</f>
        <v/>
      </c>
      <c r="BJ65" s="103" t="str">
        <f aca="false">IF($BA65&gt;$AZ$7,"",VLOOKUP($BA65,$BC$8:$BI$507,7,FALSE()))</f>
        <v/>
      </c>
      <c r="BK65" s="104" t="str">
        <f aca="false">IF($BA65&gt;$AZ$7,"",VLOOKUP($BA65,$BC$8:$BI$507,2,FALSE()))</f>
        <v/>
      </c>
      <c r="BL65" s="104" t="str">
        <f aca="false">IF($BA65&gt;$AZ$7,"",VLOOKUP($BA65,$BC$8:$BI$507,3,FALSE()))</f>
        <v/>
      </c>
      <c r="BM65" s="104" t="str">
        <f aca="false">IF($BA65&gt;$AZ$7,"",VLOOKUP($BA65,$BC$8:$BI$507,4,FALSE()))</f>
        <v/>
      </c>
      <c r="BN65" s="104" t="str">
        <f aca="false">IF($BA65&gt;$AZ$7,"",VLOOKUP($BA65,$BC$8:$BI$507,5,FALSE()))</f>
        <v/>
      </c>
      <c r="BO65" s="105" t="str">
        <f aca="false">IF($BA65&gt;$AZ$7,"",VLOOKUP($BA65,$BC$8:$BI$507,6,FALSE()))</f>
        <v/>
      </c>
      <c r="BP65" s="52"/>
    </row>
    <row r="66" customFormat="false" ht="15.75" hidden="false" customHeight="false" outlineLevel="0" collapsed="false">
      <c r="A66" s="5"/>
      <c r="B66" s="114"/>
      <c r="C66" s="115"/>
      <c r="D66" s="106"/>
      <c r="E66" s="117"/>
      <c r="F66" s="87"/>
      <c r="G66" s="88"/>
      <c r="H66" s="88"/>
      <c r="I66" s="87"/>
      <c r="J66" s="88"/>
      <c r="K66" s="88"/>
      <c r="L66" s="87"/>
      <c r="M66" s="117"/>
      <c r="N66" s="90"/>
      <c r="O66" s="91" t="str">
        <f aca="false">IF(ISBLANK($C66),"",IF(E66=Constants!$B$2, TRUE(), IF(E66=Constants!$B$3, FALSE(), TRUE())))</f>
        <v/>
      </c>
      <c r="P66" s="91" t="str">
        <f aca="false">IF(ISBLANK($C66),"",IF(F66=Constants!$B$16,Constants!$B$9,IF(F66=Constants!$B$17,Constants!$B$10,Constants!$B$8)))</f>
        <v/>
      </c>
      <c r="Q66" s="91" t="str">
        <f aca="false">IF(ISBLANK($C66),"",IF(ISNUMBER(G66),IF(G66&gt;=0,G66,""),""))</f>
        <v/>
      </c>
      <c r="R66" s="91" t="str">
        <f aca="false">IF(ISBLANK($C66),"",IF(H66=Constants!$B$2, TRUE(), IF(H66=Constants!$B$3, FALSE(), TRUE())))</f>
        <v/>
      </c>
      <c r="S66" s="91" t="str">
        <f aca="false">IF(ISBLANK($C66),"",IF(I66=Constants!$B$2, TRUE(), IF(I66=Constants!$B$3, FALSE(), TRUE())))</f>
        <v/>
      </c>
      <c r="T66" s="91" t="str">
        <f aca="false">IF(ISBLANK($C66),"",IF(ISNUMBER(J66),IF(J66&gt;=0,J66,""),""))</f>
        <v/>
      </c>
      <c r="U66" s="91" t="str">
        <f aca="false">IF(ISBLANK($C66),"",IF(K66=Constants!$B$2, TRUE(), IF(K66=Constants!$B$3, FALSE(), TRUE())))</f>
        <v/>
      </c>
      <c r="V66" s="91" t="str">
        <f aca="false">IF(ISBLANK($C66),"",IF(L66=Constants!$B$2, TRUE(), IF(L66=Constants!$B$3, FALSE(), TRUE())))</f>
        <v/>
      </c>
      <c r="W66" s="91" t="str">
        <f aca="false">IF(ISBLANK($C66),"",IF(M66=Constants!$B$2, TRUE(), IF(M66=Constants!$B$3, FALSE(), FALSE())))</f>
        <v/>
      </c>
      <c r="X66" s="91" t="str">
        <f aca="false">IF(ISBLANK($C66),"",AND(Q66&lt;&gt;"",O66))</f>
        <v/>
      </c>
      <c r="Y66" s="91" t="str">
        <f aca="false">IF(ISBLANK($C66),"",AND(T66&lt;&gt;"",O66))</f>
        <v/>
      </c>
      <c r="Z66" s="91" t="str">
        <f aca="false">IF(ISBLANK($C66),"",IF(W66,Constants!$B$4,IF(COUNTA(E66:L66)=0,Constants!$B$5,IF(NOT(O66),Constants!$B$6,IF(AND(NOT(X66),NOT(Y66)),Constants!$B$6,Constants!$B$7)))))</f>
        <v/>
      </c>
      <c r="AA66" s="91" t="str">
        <f aca="false">IF(ISBLANK($C66),"",IF($Z66&lt;&gt;Constants!$B$7,$Z66,Constants!$B$20))</f>
        <v/>
      </c>
      <c r="AB66" s="91" t="str">
        <f aca="false">IF($Z66=Constants!$B$7,IF(X66,Q66,Constants!$B$13),"")</f>
        <v/>
      </c>
      <c r="AC66" s="91" t="str">
        <f aca="false">IF($Z66=Constants!$B$7,IF(X66,P66*IF(R66, 1, Constants!$B$11)*IF(S66, 1, Constants!$B$12),Constants!$B$13),"")</f>
        <v/>
      </c>
      <c r="AD66" s="91" t="str">
        <f aca="false">IF($Z66=Constants!$B$7,AB66*AC66,"")</f>
        <v/>
      </c>
      <c r="AE66" s="91" t="str">
        <f aca="false">IF($Z66=Constants!$B$7,IF(Y66,T66,Constants!$B$13),"")</f>
        <v/>
      </c>
      <c r="AF66" s="91" t="str">
        <f aca="false">IF($Z66=Constants!$B$7,IF(Y66,P66*IF(U66, 1, Constants!$B$11)*IF(V66, 1, Constants!$B$12),Constants!$B$13),"")</f>
        <v/>
      </c>
      <c r="AG66" s="91" t="str">
        <f aca="false">IF($Z66=Constants!$B$7,AE66*AF66,"")</f>
        <v/>
      </c>
      <c r="AH66" s="91" t="str">
        <f aca="false">IF($Z66=Constants!$B$7,IF(AG66&gt;AD66,2,1),"")</f>
        <v/>
      </c>
      <c r="AI66" s="91" t="str">
        <f aca="false">IF($Z66=Constants!$B$7,IF(AH66=1,2,1),"")</f>
        <v/>
      </c>
      <c r="AJ66" s="91" t="str">
        <f aca="false">IF(ISBLANK($C66),"",IF($Z66&lt;&gt;Constants!$B$7,$Z66,IF(AH66=1,AD66,AG66)))</f>
        <v/>
      </c>
      <c r="AK66" s="91" t="str">
        <f aca="false">IF(ISBLANK($C66),"",IF($Z66=Constants!$B$7,IF(ISNUMBER(AJ66),RANK(AJ66,$AJ$8:$AJ$507),Constants!$B$14),$Z66))</f>
        <v/>
      </c>
      <c r="AL66" s="91" t="str">
        <f aca="false">IF(ISBLANK($C66),"",IF($Z66=Constants!$B$7,IF(AI66=1,AD66,AG66),""))</f>
        <v/>
      </c>
      <c r="AM66" s="91" t="str">
        <f aca="false">IF(ISBLANK($C66),"",IF($Z66=Constants!$B$7,RANK(AL66,$AL$8:$AL$507),$Z66))</f>
        <v/>
      </c>
      <c r="AN66" s="91" t="str">
        <f aca="false">IF(ISBLANK($C66),"",IF($Z66=Constants!$B$7,IF(ISNUMBER(AK66),COUNTIFS($AK$8:$AK$507,"&lt;"&amp;$AK66)+COUNTIFS($AK$8:$AK$507,$AK66,$AM$8:$AM$507,"&lt;"&amp;$AM66)+1,Constants!$B$14),$Z66))</f>
        <v/>
      </c>
      <c r="AO66" s="91" t="str">
        <f aca="false">IF(ISBLANK($C66),"",IF($Z66=Constants!$B$7,IF(ISNUMBER(AK66),AK66-AN66,Constants!$B$14),$Z66))</f>
        <v/>
      </c>
      <c r="AP66" s="92"/>
      <c r="AQ66" s="93" t="str">
        <f aca="false">IF(ISBLANK($C66),"",IF($Z66&lt;&gt;Constants!$B$7,"",AH66))</f>
        <v/>
      </c>
      <c r="AR66" s="94" t="str">
        <f aca="false">IF(ISBLANK($C66),"",IF($Z66&lt;&gt;Constants!$B$7,"",IF(AH66=1,AB66,AE66)))</f>
        <v/>
      </c>
      <c r="AS66" s="95" t="str">
        <f aca="false">IF(ISBLANK($C66),"",IF($Z66&lt;&gt;Constants!$B$7,"",IF(AH66=1,AC66,AF66)))</f>
        <v/>
      </c>
      <c r="AT66" s="96" t="str">
        <f aca="false">IF(ISBLANK($C66),"",IF($Z66&lt;&gt;Constants!$B$7,$Z66,AJ66))</f>
        <v/>
      </c>
      <c r="AU66" s="97" t="str">
        <f aca="false">IF(ISBLANK($C66),"",IF($Z66&lt;&gt;Constants!$B$7,$Z66,AA66))</f>
        <v/>
      </c>
      <c r="AV66" s="98" t="str">
        <f aca="false">IF(ISBLANK($C66),"",AO66)</f>
        <v/>
      </c>
      <c r="AW66" s="98" t="str">
        <f aca="false">IF(ISBLANK($C66),"",AN66)</f>
        <v/>
      </c>
      <c r="AX66" s="99" t="str">
        <f aca="false">IF(ISBLANK($C66),"",IFERROR(_xlfn.SWITCH(AW66,Constants!$B$4,COUNTA($C$8:$C$507)+2,Constants!$B$5,COUNTA($C$8:$C$507)+1,Constants!$B$6,COUNTA($C$8:$C$507)),AW66))</f>
        <v/>
      </c>
      <c r="AY66" s="5"/>
      <c r="AZ66" s="100" t="n">
        <f aca="false">IF(OR(ISNUMBER(AW66),AW66=Constants!$B$4,AW66=Constants!$B$6,AW66=Constants!$B$5),1,0)</f>
        <v>0</v>
      </c>
      <c r="BA66" s="100" t="n">
        <v>59</v>
      </c>
      <c r="BB66" s="100" t="str">
        <f aca="false">IF(ISBLANK($C66),"",IF(ISNUMBER(AX66),AX66+ROW($B66)/1000,""))</f>
        <v/>
      </c>
      <c r="BC66" s="100" t="str">
        <f aca="false">IF(ISNUMBER(BB66),RANK(BB66,$BB$8:$BB$507,1),"")</f>
        <v/>
      </c>
      <c r="BD66" s="100" t="str">
        <f aca="false">IF(ISBLANK($C66),"",$B66)</f>
        <v/>
      </c>
      <c r="BE66" s="100" t="str">
        <f aca="false">IF(ISBLANK($C66),"",$C66)</f>
        <v/>
      </c>
      <c r="BF66" s="100" t="str">
        <f aca="false">IF(ISBLANK($C66),"",$D66)</f>
        <v/>
      </c>
      <c r="BG66" s="101" t="str">
        <f aca="false">AU66</f>
        <v/>
      </c>
      <c r="BH66" s="102" t="str">
        <f aca="false">AT66</f>
        <v/>
      </c>
      <c r="BI66" s="100" t="str">
        <f aca="false">IF(ISBLANK($C66),"",AW66)</f>
        <v/>
      </c>
      <c r="BJ66" s="103" t="str">
        <f aca="false">IF($BA66&gt;$AZ$7,"",VLOOKUP($BA66,$BC$8:$BI$507,7,FALSE()))</f>
        <v/>
      </c>
      <c r="BK66" s="104" t="str">
        <f aca="false">IF($BA66&gt;$AZ$7,"",VLOOKUP($BA66,$BC$8:$BI$507,2,FALSE()))</f>
        <v/>
      </c>
      <c r="BL66" s="104" t="str">
        <f aca="false">IF($BA66&gt;$AZ$7,"",VLOOKUP($BA66,$BC$8:$BI$507,3,FALSE()))</f>
        <v/>
      </c>
      <c r="BM66" s="104" t="str">
        <f aca="false">IF($BA66&gt;$AZ$7,"",VLOOKUP($BA66,$BC$8:$BI$507,4,FALSE()))</f>
        <v/>
      </c>
      <c r="BN66" s="104" t="str">
        <f aca="false">IF($BA66&gt;$AZ$7,"",VLOOKUP($BA66,$BC$8:$BI$507,5,FALSE()))</f>
        <v/>
      </c>
      <c r="BO66" s="105" t="str">
        <f aca="false">IF($BA66&gt;$AZ$7,"",VLOOKUP($BA66,$BC$8:$BI$507,6,FALSE()))</f>
        <v/>
      </c>
      <c r="BP66" s="52"/>
    </row>
    <row r="67" customFormat="false" ht="15.75" hidden="false" customHeight="false" outlineLevel="0" collapsed="false">
      <c r="A67" s="5"/>
      <c r="B67" s="114"/>
      <c r="C67" s="115"/>
      <c r="D67" s="106"/>
      <c r="E67" s="117"/>
      <c r="F67" s="87"/>
      <c r="G67" s="88"/>
      <c r="H67" s="88"/>
      <c r="I67" s="87"/>
      <c r="J67" s="88"/>
      <c r="K67" s="88"/>
      <c r="L67" s="87"/>
      <c r="M67" s="117"/>
      <c r="N67" s="90"/>
      <c r="O67" s="91" t="str">
        <f aca="false">IF(ISBLANK($C67),"",IF(E67=Constants!$B$2, TRUE(), IF(E67=Constants!$B$3, FALSE(), TRUE())))</f>
        <v/>
      </c>
      <c r="P67" s="91" t="str">
        <f aca="false">IF(ISBLANK($C67),"",IF(F67=Constants!$B$16,Constants!$B$9,IF(F67=Constants!$B$17,Constants!$B$10,Constants!$B$8)))</f>
        <v/>
      </c>
      <c r="Q67" s="91" t="str">
        <f aca="false">IF(ISBLANK($C67),"",IF(ISNUMBER(G67),IF(G67&gt;=0,G67,""),""))</f>
        <v/>
      </c>
      <c r="R67" s="91" t="str">
        <f aca="false">IF(ISBLANK($C67),"",IF(H67=Constants!$B$2, TRUE(), IF(H67=Constants!$B$3, FALSE(), TRUE())))</f>
        <v/>
      </c>
      <c r="S67" s="91" t="str">
        <f aca="false">IF(ISBLANK($C67),"",IF(I67=Constants!$B$2, TRUE(), IF(I67=Constants!$B$3, FALSE(), TRUE())))</f>
        <v/>
      </c>
      <c r="T67" s="91" t="str">
        <f aca="false">IF(ISBLANK($C67),"",IF(ISNUMBER(J67),IF(J67&gt;=0,J67,""),""))</f>
        <v/>
      </c>
      <c r="U67" s="91" t="str">
        <f aca="false">IF(ISBLANK($C67),"",IF(K67=Constants!$B$2, TRUE(), IF(K67=Constants!$B$3, FALSE(), TRUE())))</f>
        <v/>
      </c>
      <c r="V67" s="91" t="str">
        <f aca="false">IF(ISBLANK($C67),"",IF(L67=Constants!$B$2, TRUE(), IF(L67=Constants!$B$3, FALSE(), TRUE())))</f>
        <v/>
      </c>
      <c r="W67" s="91" t="str">
        <f aca="false">IF(ISBLANK($C67),"",IF(M67=Constants!$B$2, TRUE(), IF(M67=Constants!$B$3, FALSE(), FALSE())))</f>
        <v/>
      </c>
      <c r="X67" s="91" t="str">
        <f aca="false">IF(ISBLANK($C67),"",AND(Q67&lt;&gt;"",O67))</f>
        <v/>
      </c>
      <c r="Y67" s="91" t="str">
        <f aca="false">IF(ISBLANK($C67),"",AND(T67&lt;&gt;"",O67))</f>
        <v/>
      </c>
      <c r="Z67" s="91" t="str">
        <f aca="false">IF(ISBLANK($C67),"",IF(W67,Constants!$B$4,IF(COUNTA(E67:L67)=0,Constants!$B$5,IF(NOT(O67),Constants!$B$6,IF(AND(NOT(X67),NOT(Y67)),Constants!$B$6,Constants!$B$7)))))</f>
        <v/>
      </c>
      <c r="AA67" s="91" t="str">
        <f aca="false">IF(ISBLANK($C67),"",IF($Z67&lt;&gt;Constants!$B$7,$Z67,Constants!$B$20))</f>
        <v/>
      </c>
      <c r="AB67" s="91" t="str">
        <f aca="false">IF($Z67=Constants!$B$7,IF(X67,Q67,Constants!$B$13),"")</f>
        <v/>
      </c>
      <c r="AC67" s="91" t="str">
        <f aca="false">IF($Z67=Constants!$B$7,IF(X67,P67*IF(R67, 1, Constants!$B$11)*IF(S67, 1, Constants!$B$12),Constants!$B$13),"")</f>
        <v/>
      </c>
      <c r="AD67" s="91" t="str">
        <f aca="false">IF($Z67=Constants!$B$7,AB67*AC67,"")</f>
        <v/>
      </c>
      <c r="AE67" s="91" t="str">
        <f aca="false">IF($Z67=Constants!$B$7,IF(Y67,T67,Constants!$B$13),"")</f>
        <v/>
      </c>
      <c r="AF67" s="91" t="str">
        <f aca="false">IF($Z67=Constants!$B$7,IF(Y67,P67*IF(U67, 1, Constants!$B$11)*IF(V67, 1, Constants!$B$12),Constants!$B$13),"")</f>
        <v/>
      </c>
      <c r="AG67" s="91" t="str">
        <f aca="false">IF($Z67=Constants!$B$7,AE67*AF67,"")</f>
        <v/>
      </c>
      <c r="AH67" s="91" t="str">
        <f aca="false">IF($Z67=Constants!$B$7,IF(AG67&gt;AD67,2,1),"")</f>
        <v/>
      </c>
      <c r="AI67" s="91" t="str">
        <f aca="false">IF($Z67=Constants!$B$7,IF(AH67=1,2,1),"")</f>
        <v/>
      </c>
      <c r="AJ67" s="91" t="str">
        <f aca="false">IF(ISBLANK($C67),"",IF($Z67&lt;&gt;Constants!$B$7,$Z67,IF(AH67=1,AD67,AG67)))</f>
        <v/>
      </c>
      <c r="AK67" s="91" t="str">
        <f aca="false">IF(ISBLANK($C67),"",IF($Z67=Constants!$B$7,IF(ISNUMBER(AJ67),RANK(AJ67,$AJ$8:$AJ$507),Constants!$B$14),$Z67))</f>
        <v/>
      </c>
      <c r="AL67" s="91" t="str">
        <f aca="false">IF(ISBLANK($C67),"",IF($Z67=Constants!$B$7,IF(AI67=1,AD67,AG67),""))</f>
        <v/>
      </c>
      <c r="AM67" s="91" t="str">
        <f aca="false">IF(ISBLANK($C67),"",IF($Z67=Constants!$B$7,RANK(AL67,$AL$8:$AL$507),$Z67))</f>
        <v/>
      </c>
      <c r="AN67" s="91" t="str">
        <f aca="false">IF(ISBLANK($C67),"",IF($Z67=Constants!$B$7,IF(ISNUMBER(AK67),COUNTIFS($AK$8:$AK$507,"&lt;"&amp;$AK67)+COUNTIFS($AK$8:$AK$507,$AK67,$AM$8:$AM$507,"&lt;"&amp;$AM67)+1,Constants!$B$14),$Z67))</f>
        <v/>
      </c>
      <c r="AO67" s="91" t="str">
        <f aca="false">IF(ISBLANK($C67),"",IF($Z67=Constants!$B$7,IF(ISNUMBER(AK67),AK67-AN67,Constants!$B$14),$Z67))</f>
        <v/>
      </c>
      <c r="AP67" s="92"/>
      <c r="AQ67" s="93" t="str">
        <f aca="false">IF(ISBLANK($C67),"",IF($Z67&lt;&gt;Constants!$B$7,"",AH67))</f>
        <v/>
      </c>
      <c r="AR67" s="94" t="str">
        <f aca="false">IF(ISBLANK($C67),"",IF($Z67&lt;&gt;Constants!$B$7,"",IF(AH67=1,AB67,AE67)))</f>
        <v/>
      </c>
      <c r="AS67" s="95" t="str">
        <f aca="false">IF(ISBLANK($C67),"",IF($Z67&lt;&gt;Constants!$B$7,"",IF(AH67=1,AC67,AF67)))</f>
        <v/>
      </c>
      <c r="AT67" s="96" t="str">
        <f aca="false">IF(ISBLANK($C67),"",IF($Z67&lt;&gt;Constants!$B$7,$Z67,AJ67))</f>
        <v/>
      </c>
      <c r="AU67" s="97" t="str">
        <f aca="false">IF(ISBLANK($C67),"",IF($Z67&lt;&gt;Constants!$B$7,$Z67,AA67))</f>
        <v/>
      </c>
      <c r="AV67" s="98" t="str">
        <f aca="false">IF(ISBLANK($C67),"",AO67)</f>
        <v/>
      </c>
      <c r="AW67" s="98" t="str">
        <f aca="false">IF(ISBLANK($C67),"",AN67)</f>
        <v/>
      </c>
      <c r="AX67" s="99" t="str">
        <f aca="false">IF(ISBLANK($C67),"",IFERROR(_xlfn.SWITCH(AW67,Constants!$B$4,COUNTA($C$8:$C$507)+2,Constants!$B$5,COUNTA($C$8:$C$507)+1,Constants!$B$6,COUNTA($C$8:$C$507)),AW67))</f>
        <v/>
      </c>
      <c r="AY67" s="5"/>
      <c r="AZ67" s="100" t="n">
        <f aca="false">IF(OR(ISNUMBER(AW67),AW67=Constants!$B$4,AW67=Constants!$B$6,AW67=Constants!$B$5),1,0)</f>
        <v>0</v>
      </c>
      <c r="BA67" s="100" t="n">
        <v>60</v>
      </c>
      <c r="BB67" s="100" t="str">
        <f aca="false">IF(ISBLANK($C67),"",IF(ISNUMBER(AX67),AX67+ROW($B67)/1000,""))</f>
        <v/>
      </c>
      <c r="BC67" s="100" t="str">
        <f aca="false">IF(ISNUMBER(BB67),RANK(BB67,$BB$8:$BB$507,1),"")</f>
        <v/>
      </c>
      <c r="BD67" s="100" t="str">
        <f aca="false">IF(ISBLANK($C67),"",$B67)</f>
        <v/>
      </c>
      <c r="BE67" s="100" t="str">
        <f aca="false">IF(ISBLANK($C67),"",$C67)</f>
        <v/>
      </c>
      <c r="BF67" s="100" t="str">
        <f aca="false">IF(ISBLANK($C67),"",$D67)</f>
        <v/>
      </c>
      <c r="BG67" s="101" t="str">
        <f aca="false">AU67</f>
        <v/>
      </c>
      <c r="BH67" s="102" t="str">
        <f aca="false">AT67</f>
        <v/>
      </c>
      <c r="BI67" s="100" t="str">
        <f aca="false">IF(ISBLANK($C67),"",AW67)</f>
        <v/>
      </c>
      <c r="BJ67" s="103" t="str">
        <f aca="false">IF($BA67&gt;$AZ$7,"",VLOOKUP($BA67,$BC$8:$BI$507,7,FALSE()))</f>
        <v/>
      </c>
      <c r="BK67" s="104" t="str">
        <f aca="false">IF($BA67&gt;$AZ$7,"",VLOOKUP($BA67,$BC$8:$BI$507,2,FALSE()))</f>
        <v/>
      </c>
      <c r="BL67" s="104" t="str">
        <f aca="false">IF($BA67&gt;$AZ$7,"",VLOOKUP($BA67,$BC$8:$BI$507,3,FALSE()))</f>
        <v/>
      </c>
      <c r="BM67" s="104" t="str">
        <f aca="false">IF($BA67&gt;$AZ$7,"",VLOOKUP($BA67,$BC$8:$BI$507,4,FALSE()))</f>
        <v/>
      </c>
      <c r="BN67" s="104" t="str">
        <f aca="false">IF($BA67&gt;$AZ$7,"",VLOOKUP($BA67,$BC$8:$BI$507,5,FALSE()))</f>
        <v/>
      </c>
      <c r="BO67" s="105" t="str">
        <f aca="false">IF($BA67&gt;$AZ$7,"",VLOOKUP($BA67,$BC$8:$BI$507,6,FALSE()))</f>
        <v/>
      </c>
      <c r="BP67" s="52"/>
    </row>
    <row r="68" customFormat="false" ht="15.75" hidden="false" customHeight="false" outlineLevel="0" collapsed="false">
      <c r="A68" s="5"/>
      <c r="B68" s="118"/>
      <c r="C68" s="54"/>
      <c r="D68" s="55"/>
      <c r="E68" s="79"/>
      <c r="F68" s="57"/>
      <c r="G68" s="58"/>
      <c r="H68" s="58"/>
      <c r="I68" s="57"/>
      <c r="J68" s="58"/>
      <c r="K68" s="58"/>
      <c r="L68" s="57"/>
      <c r="M68" s="79"/>
      <c r="N68" s="60"/>
      <c r="O68" s="62" t="str">
        <f aca="false">IF(ISBLANK($C68),"",IF(E68=Constants!$B$2, TRUE(), IF(E68=Constants!$B$3, FALSE(), TRUE())))</f>
        <v/>
      </c>
      <c r="P68" s="62" t="str">
        <f aca="false">IF(ISBLANK($C68),"",IF(F68=Constants!$B$16,Constants!$B$9,IF(F68=Constants!$B$17,Constants!$B$10,Constants!$B$8)))</f>
        <v/>
      </c>
      <c r="Q68" s="62" t="str">
        <f aca="false">IF(ISBLANK($C68),"",IF(ISNUMBER(G68),IF(G68&gt;=0,G68,""),""))</f>
        <v/>
      </c>
      <c r="R68" s="62" t="str">
        <f aca="false">IF(ISBLANK($C68),"",IF(H68=Constants!$B$2, TRUE(), IF(H68=Constants!$B$3, FALSE(), TRUE())))</f>
        <v/>
      </c>
      <c r="S68" s="62" t="str">
        <f aca="false">IF(ISBLANK($C68),"",IF(I68=Constants!$B$2, TRUE(), IF(I68=Constants!$B$3, FALSE(), TRUE())))</f>
        <v/>
      </c>
      <c r="T68" s="62" t="str">
        <f aca="false">IF(ISBLANK($C68),"",IF(ISNUMBER(J68),IF(J68&gt;=0,J68,""),""))</f>
        <v/>
      </c>
      <c r="U68" s="62" t="str">
        <f aca="false">IF(ISBLANK($C68),"",IF(K68=Constants!$B$2, TRUE(), IF(K68=Constants!$B$3, FALSE(), TRUE())))</f>
        <v/>
      </c>
      <c r="V68" s="62" t="str">
        <f aca="false">IF(ISBLANK($C68),"",IF(L68=Constants!$B$2, TRUE(), IF(L68=Constants!$B$3, FALSE(), TRUE())))</f>
        <v/>
      </c>
      <c r="W68" s="62" t="str">
        <f aca="false">IF(ISBLANK($C68),"",IF(M68=Constants!$B$2, TRUE(), IF(M68=Constants!$B$3, FALSE(), FALSE())))</f>
        <v/>
      </c>
      <c r="X68" s="62" t="str">
        <f aca="false">IF(ISBLANK($C68),"",AND(Q68&lt;&gt;"",O68))</f>
        <v/>
      </c>
      <c r="Y68" s="62" t="str">
        <f aca="false">IF(ISBLANK($C68),"",AND(T68&lt;&gt;"",O68))</f>
        <v/>
      </c>
      <c r="Z68" s="62" t="str">
        <f aca="false">IF(ISBLANK($C68),"",IF(W68,Constants!$B$4,IF(COUNTA(E68:L68)=0,Constants!$B$5,IF(NOT(O68),Constants!$B$6,IF(AND(NOT(X68),NOT(Y68)),Constants!$B$6,Constants!$B$7)))))</f>
        <v/>
      </c>
      <c r="AA68" s="62" t="str">
        <f aca="false">IF(ISBLANK($C68),"",IF($Z68&lt;&gt;Constants!$B$7,$Z68,Constants!$B$20))</f>
        <v/>
      </c>
      <c r="AB68" s="62" t="str">
        <f aca="false">IF($Z68=Constants!$B$7,IF(X68,Q68,Constants!$B$13),"")</f>
        <v/>
      </c>
      <c r="AC68" s="62" t="str">
        <f aca="false">IF($Z68=Constants!$B$7,IF(X68,P68*IF(R68, 1, Constants!$B$11)*IF(S68, 1, Constants!$B$12),Constants!$B$13),"")</f>
        <v/>
      </c>
      <c r="AD68" s="62" t="str">
        <f aca="false">IF($Z68=Constants!$B$7,AB68*AC68,"")</f>
        <v/>
      </c>
      <c r="AE68" s="62" t="str">
        <f aca="false">IF($Z68=Constants!$B$7,IF(Y68,T68,Constants!$B$13),"")</f>
        <v/>
      </c>
      <c r="AF68" s="62" t="str">
        <f aca="false">IF($Z68=Constants!$B$7,IF(Y68,P68*IF(U68, 1, Constants!$B$11)*IF(V68, 1, Constants!$B$12),Constants!$B$13),"")</f>
        <v/>
      </c>
      <c r="AG68" s="62" t="str">
        <f aca="false">IF($Z68=Constants!$B$7,AE68*AF68,"")</f>
        <v/>
      </c>
      <c r="AH68" s="62" t="str">
        <f aca="false">IF($Z68=Constants!$B$7,IF(AG68&gt;AD68,2,1),"")</f>
        <v/>
      </c>
      <c r="AI68" s="62" t="str">
        <f aca="false">IF($Z68=Constants!$B$7,IF(AH68=1,2,1),"")</f>
        <v/>
      </c>
      <c r="AJ68" s="62" t="str">
        <f aca="false">IF(ISBLANK($C68),"",IF($Z68&lt;&gt;Constants!$B$7,$Z68,IF(AH68=1,AD68,AG68)))</f>
        <v/>
      </c>
      <c r="AK68" s="62" t="str">
        <f aca="false">IF(ISBLANK($C68),"",IF($Z68=Constants!$B$7,IF(ISNUMBER(AJ68),RANK(AJ68,$AJ$8:$AJ$507),Constants!$B$14),$Z68))</f>
        <v/>
      </c>
      <c r="AL68" s="62" t="str">
        <f aca="false">IF(ISBLANK($C68),"",IF($Z68=Constants!$B$7,IF(AI68=1,AD68,AG68),""))</f>
        <v/>
      </c>
      <c r="AM68" s="62" t="str">
        <f aca="false">IF(ISBLANK($C68),"",IF($Z68=Constants!$B$7,RANK(AL68,$AL$8:$AL$507),$Z68))</f>
        <v/>
      </c>
      <c r="AN68" s="62" t="str">
        <f aca="false">IF(ISBLANK($C68),"",IF($Z68=Constants!$B$7,IF(ISNUMBER(AK68),COUNTIFS($AK$8:$AK$507,"&lt;"&amp;$AK68)+COUNTIFS($AK$8:$AK$507,$AK68,$AM$8:$AM$507,"&lt;"&amp;$AM68)+1,Constants!$B$14),$Z68))</f>
        <v/>
      </c>
      <c r="AO68" s="62" t="str">
        <f aca="false">IF(ISBLANK($C68),"",IF($Z68=Constants!$B$7,IF(ISNUMBER(AK68),AK68-AN68,Constants!$B$14),$Z68))</f>
        <v/>
      </c>
      <c r="AP68" s="64"/>
      <c r="AQ68" s="65" t="str">
        <f aca="false">IF(ISBLANK($C68),"",IF($Z68&lt;&gt;Constants!$B$7,"",AH68))</f>
        <v/>
      </c>
      <c r="AR68" s="80" t="str">
        <f aca="false">IF(ISBLANK($C68),"",IF($Z68&lt;&gt;Constants!$B$7,"",IF(AH68=1,AB68,AE68)))</f>
        <v/>
      </c>
      <c r="AS68" s="67" t="str">
        <f aca="false">IF(ISBLANK($C68),"",IF($Z68&lt;&gt;Constants!$B$7,"",IF(AH68=1,AC68,AF68)))</f>
        <v/>
      </c>
      <c r="AT68" s="68" t="str">
        <f aca="false">IF(ISBLANK($C68),"",IF($Z68&lt;&gt;Constants!$B$7,$Z68,AJ68))</f>
        <v/>
      </c>
      <c r="AU68" s="69" t="str">
        <f aca="false">IF(ISBLANK($C68),"",IF($Z68&lt;&gt;Constants!$B$7,$Z68,AA68))</f>
        <v/>
      </c>
      <c r="AV68" s="70" t="str">
        <f aca="false">IF(ISBLANK($C68),"",AO68)</f>
        <v/>
      </c>
      <c r="AW68" s="70" t="str">
        <f aca="false">IF(ISBLANK($C68),"",AN68)</f>
        <v/>
      </c>
      <c r="AX68" s="71" t="str">
        <f aca="false">IF(ISBLANK($C68),"",IFERROR(_xlfn.SWITCH(AW68,Constants!$B$4,COUNTA($C$8:$C$507)+2,Constants!$B$5,COUNTA($C$8:$C$507)+1,Constants!$B$6,COUNTA($C$8:$C$507)),AW68))</f>
        <v/>
      </c>
      <c r="AY68" s="5"/>
      <c r="AZ68" s="72" t="n">
        <f aca="false">IF(OR(ISNUMBER(AW68),AW68=Constants!$B$4,AW68=Constants!$B$6,AW68=Constants!$B$5),1,0)</f>
        <v>0</v>
      </c>
      <c r="BA68" s="72" t="n">
        <v>61</v>
      </c>
      <c r="BB68" s="72" t="str">
        <f aca="false">IF(ISBLANK($C68),"",IF(ISNUMBER(AX68),AX68+ROW($B68)/1000,""))</f>
        <v/>
      </c>
      <c r="BC68" s="72" t="str">
        <f aca="false">IF(ISNUMBER(BB68),RANK(BB68,$BB$8:$BB$507,1),"")</f>
        <v/>
      </c>
      <c r="BD68" s="72" t="str">
        <f aca="false">IF(ISBLANK($C68),"",$B68)</f>
        <v/>
      </c>
      <c r="BE68" s="72" t="str">
        <f aca="false">IF(ISBLANK($C68),"",$C68)</f>
        <v/>
      </c>
      <c r="BF68" s="72" t="str">
        <f aca="false">IF(ISBLANK($C68),"",$D68)</f>
        <v/>
      </c>
      <c r="BG68" s="73" t="str">
        <f aca="false">AU68</f>
        <v/>
      </c>
      <c r="BH68" s="74" t="str">
        <f aca="false">AT68</f>
        <v/>
      </c>
      <c r="BI68" s="72" t="str">
        <f aca="false">IF(ISBLANK($C68),"",AW68)</f>
        <v/>
      </c>
      <c r="BJ68" s="75" t="str">
        <f aca="false">IF($BA68&gt;$AZ$7,"",VLOOKUP($BA68,$BC$8:$BI$507,7,FALSE()))</f>
        <v/>
      </c>
      <c r="BK68" s="76" t="str">
        <f aca="false">IF($BA68&gt;$AZ$7,"",VLOOKUP($BA68,$BC$8:$BI$507,2,FALSE()))</f>
        <v/>
      </c>
      <c r="BL68" s="76" t="str">
        <f aca="false">IF($BA68&gt;$AZ$7,"",VLOOKUP($BA68,$BC$8:$BI$507,3,FALSE()))</f>
        <v/>
      </c>
      <c r="BM68" s="76" t="str">
        <f aca="false">IF($BA68&gt;$AZ$7,"",VLOOKUP($BA68,$BC$8:$BI$507,4,FALSE()))</f>
        <v/>
      </c>
      <c r="BN68" s="76" t="str">
        <f aca="false">IF($BA68&gt;$AZ$7,"",VLOOKUP($BA68,$BC$8:$BI$507,5,FALSE()))</f>
        <v/>
      </c>
      <c r="BO68" s="77" t="str">
        <f aca="false">IF($BA68&gt;$AZ$7,"",VLOOKUP($BA68,$BC$8:$BI$507,6,FALSE()))</f>
        <v/>
      </c>
      <c r="BP68" s="52"/>
    </row>
    <row r="69" customFormat="false" ht="15.75" hidden="false" customHeight="false" outlineLevel="0" collapsed="false">
      <c r="A69" s="5"/>
      <c r="B69" s="118"/>
      <c r="C69" s="54"/>
      <c r="D69" s="55"/>
      <c r="E69" s="79"/>
      <c r="F69" s="57"/>
      <c r="G69" s="58"/>
      <c r="H69" s="58"/>
      <c r="I69" s="57"/>
      <c r="J69" s="58"/>
      <c r="K69" s="58"/>
      <c r="L69" s="57"/>
      <c r="M69" s="79"/>
      <c r="N69" s="60"/>
      <c r="O69" s="62" t="str">
        <f aca="false">IF(ISBLANK($C69),"",IF(E69=Constants!$B$2, TRUE(), IF(E69=Constants!$B$3, FALSE(), TRUE())))</f>
        <v/>
      </c>
      <c r="P69" s="62" t="str">
        <f aca="false">IF(ISBLANK($C69),"",IF(F69=Constants!$B$16,Constants!$B$9,IF(F69=Constants!$B$17,Constants!$B$10,Constants!$B$8)))</f>
        <v/>
      </c>
      <c r="Q69" s="62" t="str">
        <f aca="false">IF(ISBLANK($C69),"",IF(ISNUMBER(G69),IF(G69&gt;=0,G69,""),""))</f>
        <v/>
      </c>
      <c r="R69" s="62" t="str">
        <f aca="false">IF(ISBLANK($C69),"",IF(H69=Constants!$B$2, TRUE(), IF(H69=Constants!$B$3, FALSE(), TRUE())))</f>
        <v/>
      </c>
      <c r="S69" s="62" t="str">
        <f aca="false">IF(ISBLANK($C69),"",IF(I69=Constants!$B$2, TRUE(), IF(I69=Constants!$B$3, FALSE(), TRUE())))</f>
        <v/>
      </c>
      <c r="T69" s="62" t="str">
        <f aca="false">IF(ISBLANK($C69),"",IF(ISNUMBER(J69),IF(J69&gt;=0,J69,""),""))</f>
        <v/>
      </c>
      <c r="U69" s="62" t="str">
        <f aca="false">IF(ISBLANK($C69),"",IF(K69=Constants!$B$2, TRUE(), IF(K69=Constants!$B$3, FALSE(), TRUE())))</f>
        <v/>
      </c>
      <c r="V69" s="62" t="str">
        <f aca="false">IF(ISBLANK($C69),"",IF(L69=Constants!$B$2, TRUE(), IF(L69=Constants!$B$3, FALSE(), TRUE())))</f>
        <v/>
      </c>
      <c r="W69" s="62" t="str">
        <f aca="false">IF(ISBLANK($C69),"",IF(M69=Constants!$B$2, TRUE(), IF(M69=Constants!$B$3, FALSE(), FALSE())))</f>
        <v/>
      </c>
      <c r="X69" s="62" t="str">
        <f aca="false">IF(ISBLANK($C69),"",AND(Q69&lt;&gt;"",O69))</f>
        <v/>
      </c>
      <c r="Y69" s="62" t="str">
        <f aca="false">IF(ISBLANK($C69),"",AND(T69&lt;&gt;"",O69))</f>
        <v/>
      </c>
      <c r="Z69" s="62" t="str">
        <f aca="false">IF(ISBLANK($C69),"",IF(W69,Constants!$B$4,IF(COUNTA(E69:L69)=0,Constants!$B$5,IF(NOT(O69),Constants!$B$6,IF(AND(NOT(X69),NOT(Y69)),Constants!$B$6,Constants!$B$7)))))</f>
        <v/>
      </c>
      <c r="AA69" s="62" t="str">
        <f aca="false">IF(ISBLANK($C69),"",IF($Z69&lt;&gt;Constants!$B$7,$Z69,Constants!$B$20))</f>
        <v/>
      </c>
      <c r="AB69" s="62" t="str">
        <f aca="false">IF($Z69=Constants!$B$7,IF(X69,Q69,Constants!$B$13),"")</f>
        <v/>
      </c>
      <c r="AC69" s="62" t="str">
        <f aca="false">IF($Z69=Constants!$B$7,IF(X69,P69*IF(R69, 1, Constants!$B$11)*IF(S69, 1, Constants!$B$12),Constants!$B$13),"")</f>
        <v/>
      </c>
      <c r="AD69" s="62" t="str">
        <f aca="false">IF($Z69=Constants!$B$7,AB69*AC69,"")</f>
        <v/>
      </c>
      <c r="AE69" s="62" t="str">
        <f aca="false">IF($Z69=Constants!$B$7,IF(Y69,T69,Constants!$B$13),"")</f>
        <v/>
      </c>
      <c r="AF69" s="62" t="str">
        <f aca="false">IF($Z69=Constants!$B$7,IF(Y69,P69*IF(U69, 1, Constants!$B$11)*IF(V69, 1, Constants!$B$12),Constants!$B$13),"")</f>
        <v/>
      </c>
      <c r="AG69" s="62" t="str">
        <f aca="false">IF($Z69=Constants!$B$7,AE69*AF69,"")</f>
        <v/>
      </c>
      <c r="AH69" s="62" t="str">
        <f aca="false">IF($Z69=Constants!$B$7,IF(AG69&gt;AD69,2,1),"")</f>
        <v/>
      </c>
      <c r="AI69" s="62" t="str">
        <f aca="false">IF($Z69=Constants!$B$7,IF(AH69=1,2,1),"")</f>
        <v/>
      </c>
      <c r="AJ69" s="62" t="str">
        <f aca="false">IF(ISBLANK($C69),"",IF($Z69&lt;&gt;Constants!$B$7,$Z69,IF(AH69=1,AD69,AG69)))</f>
        <v/>
      </c>
      <c r="AK69" s="62" t="str">
        <f aca="false">IF(ISBLANK($C69),"",IF($Z69=Constants!$B$7,IF(ISNUMBER(AJ69),RANK(AJ69,$AJ$8:$AJ$507),Constants!$B$14),$Z69))</f>
        <v/>
      </c>
      <c r="AL69" s="62" t="str">
        <f aca="false">IF(ISBLANK($C69),"",IF($Z69=Constants!$B$7,IF(AI69=1,AD69,AG69),""))</f>
        <v/>
      </c>
      <c r="AM69" s="62" t="str">
        <f aca="false">IF(ISBLANK($C69),"",IF($Z69=Constants!$B$7,RANK(AL69,$AL$8:$AL$507),$Z69))</f>
        <v/>
      </c>
      <c r="AN69" s="62" t="str">
        <f aca="false">IF(ISBLANK($C69),"",IF($Z69=Constants!$B$7,IF(ISNUMBER(AK69),COUNTIFS($AK$8:$AK$507,"&lt;"&amp;$AK69)+COUNTIFS($AK$8:$AK$507,$AK69,$AM$8:$AM$507,"&lt;"&amp;$AM69)+1,Constants!$B$14),$Z69))</f>
        <v/>
      </c>
      <c r="AO69" s="62" t="str">
        <f aca="false">IF(ISBLANK($C69),"",IF($Z69=Constants!$B$7,IF(ISNUMBER(AK69),AK69-AN69,Constants!$B$14),$Z69))</f>
        <v/>
      </c>
      <c r="AP69" s="64"/>
      <c r="AQ69" s="65" t="str">
        <f aca="false">IF(ISBLANK($C69),"",IF($Z69&lt;&gt;Constants!$B$7,"",AH69))</f>
        <v/>
      </c>
      <c r="AR69" s="80" t="str">
        <f aca="false">IF(ISBLANK($C69),"",IF($Z69&lt;&gt;Constants!$B$7,"",IF(AH69=1,AB69,AE69)))</f>
        <v/>
      </c>
      <c r="AS69" s="67" t="str">
        <f aca="false">IF(ISBLANK($C69),"",IF($Z69&lt;&gt;Constants!$B$7,"",IF(AH69=1,AC69,AF69)))</f>
        <v/>
      </c>
      <c r="AT69" s="68" t="str">
        <f aca="false">IF(ISBLANK($C69),"",IF($Z69&lt;&gt;Constants!$B$7,$Z69,AJ69))</f>
        <v/>
      </c>
      <c r="AU69" s="69" t="str">
        <f aca="false">IF(ISBLANK($C69),"",IF($Z69&lt;&gt;Constants!$B$7,$Z69,AA69))</f>
        <v/>
      </c>
      <c r="AV69" s="70" t="str">
        <f aca="false">IF(ISBLANK($C69),"",AO69)</f>
        <v/>
      </c>
      <c r="AW69" s="70" t="str">
        <f aca="false">IF(ISBLANK($C69),"",AN69)</f>
        <v/>
      </c>
      <c r="AX69" s="71" t="str">
        <f aca="false">IF(ISBLANK($C69),"",IFERROR(_xlfn.SWITCH(AW69,Constants!$B$4,COUNTA($C$8:$C$507)+2,Constants!$B$5,COUNTA($C$8:$C$507)+1,Constants!$B$6,COUNTA($C$8:$C$507)),AW69))</f>
        <v/>
      </c>
      <c r="AY69" s="5"/>
      <c r="AZ69" s="72" t="n">
        <f aca="false">IF(OR(ISNUMBER(AW69),AW69=Constants!$B$4,AW69=Constants!$B$6,AW69=Constants!$B$5),1,0)</f>
        <v>0</v>
      </c>
      <c r="BA69" s="72" t="n">
        <v>62</v>
      </c>
      <c r="BB69" s="72" t="str">
        <f aca="false">IF(ISBLANK($C69),"",IF(ISNUMBER(AX69),AX69+ROW($B69)/1000,""))</f>
        <v/>
      </c>
      <c r="BC69" s="72" t="str">
        <f aca="false">IF(ISNUMBER(BB69),RANK(BB69,$BB$8:$BB$507,1),"")</f>
        <v/>
      </c>
      <c r="BD69" s="72" t="str">
        <f aca="false">IF(ISBLANK($C69),"",$B69)</f>
        <v/>
      </c>
      <c r="BE69" s="72" t="str">
        <f aca="false">IF(ISBLANK($C69),"",$C69)</f>
        <v/>
      </c>
      <c r="BF69" s="72" t="str">
        <f aca="false">IF(ISBLANK($C69),"",$D69)</f>
        <v/>
      </c>
      <c r="BG69" s="73" t="str">
        <f aca="false">AU69</f>
        <v/>
      </c>
      <c r="BH69" s="74" t="str">
        <f aca="false">AT69</f>
        <v/>
      </c>
      <c r="BI69" s="72" t="str">
        <f aca="false">IF(ISBLANK($C69),"",AW69)</f>
        <v/>
      </c>
      <c r="BJ69" s="75" t="str">
        <f aca="false">IF($BA69&gt;$AZ$7,"",VLOOKUP($BA69,$BC$8:$BI$507,7,FALSE()))</f>
        <v/>
      </c>
      <c r="BK69" s="76" t="str">
        <f aca="false">IF($BA69&gt;$AZ$7,"",VLOOKUP($BA69,$BC$8:$BI$507,2,FALSE()))</f>
        <v/>
      </c>
      <c r="BL69" s="76" t="str">
        <f aca="false">IF($BA69&gt;$AZ$7,"",VLOOKUP($BA69,$BC$8:$BI$507,3,FALSE()))</f>
        <v/>
      </c>
      <c r="BM69" s="76" t="str">
        <f aca="false">IF($BA69&gt;$AZ$7,"",VLOOKUP($BA69,$BC$8:$BI$507,4,FALSE()))</f>
        <v/>
      </c>
      <c r="BN69" s="76" t="str">
        <f aca="false">IF($BA69&gt;$AZ$7,"",VLOOKUP($BA69,$BC$8:$BI$507,5,FALSE()))</f>
        <v/>
      </c>
      <c r="BO69" s="77" t="str">
        <f aca="false">IF($BA69&gt;$AZ$7,"",VLOOKUP($BA69,$BC$8:$BI$507,6,FALSE()))</f>
        <v/>
      </c>
      <c r="BP69" s="52"/>
    </row>
    <row r="70" customFormat="false" ht="15.75" hidden="false" customHeight="false" outlineLevel="0" collapsed="false">
      <c r="A70" s="5"/>
      <c r="B70" s="118"/>
      <c r="C70" s="54"/>
      <c r="D70" s="55"/>
      <c r="E70" s="79"/>
      <c r="F70" s="57"/>
      <c r="G70" s="58"/>
      <c r="H70" s="58"/>
      <c r="I70" s="57"/>
      <c r="J70" s="58"/>
      <c r="K70" s="58"/>
      <c r="L70" s="57"/>
      <c r="M70" s="79"/>
      <c r="N70" s="60"/>
      <c r="O70" s="62" t="str">
        <f aca="false">IF(ISBLANK($C70),"",IF(E70=Constants!$B$2, TRUE(), IF(E70=Constants!$B$3, FALSE(), TRUE())))</f>
        <v/>
      </c>
      <c r="P70" s="62" t="str">
        <f aca="false">IF(ISBLANK($C70),"",IF(F70=Constants!$B$16,Constants!$B$9,IF(F70=Constants!$B$17,Constants!$B$10,Constants!$B$8)))</f>
        <v/>
      </c>
      <c r="Q70" s="62" t="str">
        <f aca="false">IF(ISBLANK($C70),"",IF(ISNUMBER(G70),IF(G70&gt;=0,G70,""),""))</f>
        <v/>
      </c>
      <c r="R70" s="62" t="str">
        <f aca="false">IF(ISBLANK($C70),"",IF(H70=Constants!$B$2, TRUE(), IF(H70=Constants!$B$3, FALSE(), TRUE())))</f>
        <v/>
      </c>
      <c r="S70" s="62" t="str">
        <f aca="false">IF(ISBLANK($C70),"",IF(I70=Constants!$B$2, TRUE(), IF(I70=Constants!$B$3, FALSE(), TRUE())))</f>
        <v/>
      </c>
      <c r="T70" s="62" t="str">
        <f aca="false">IF(ISBLANK($C70),"",IF(ISNUMBER(J70),IF(J70&gt;=0,J70,""),""))</f>
        <v/>
      </c>
      <c r="U70" s="62" t="str">
        <f aca="false">IF(ISBLANK($C70),"",IF(K70=Constants!$B$2, TRUE(), IF(K70=Constants!$B$3, FALSE(), TRUE())))</f>
        <v/>
      </c>
      <c r="V70" s="62" t="str">
        <f aca="false">IF(ISBLANK($C70),"",IF(L70=Constants!$B$2, TRUE(), IF(L70=Constants!$B$3, FALSE(), TRUE())))</f>
        <v/>
      </c>
      <c r="W70" s="62" t="str">
        <f aca="false">IF(ISBLANK($C70),"",IF(M70=Constants!$B$2, TRUE(), IF(M70=Constants!$B$3, FALSE(), FALSE())))</f>
        <v/>
      </c>
      <c r="X70" s="62" t="str">
        <f aca="false">IF(ISBLANK($C70),"",AND(Q70&lt;&gt;"",O70))</f>
        <v/>
      </c>
      <c r="Y70" s="62" t="str">
        <f aca="false">IF(ISBLANK($C70),"",AND(T70&lt;&gt;"",O70))</f>
        <v/>
      </c>
      <c r="Z70" s="62" t="str">
        <f aca="false">IF(ISBLANK($C70),"",IF(W70,Constants!$B$4,IF(COUNTA(E70:L70)=0,Constants!$B$5,IF(NOT(O70),Constants!$B$6,IF(AND(NOT(X70),NOT(Y70)),Constants!$B$6,Constants!$B$7)))))</f>
        <v/>
      </c>
      <c r="AA70" s="62" t="str">
        <f aca="false">IF(ISBLANK($C70),"",IF($Z70&lt;&gt;Constants!$B$7,$Z70,Constants!$B$20))</f>
        <v/>
      </c>
      <c r="AB70" s="62" t="str">
        <f aca="false">IF($Z70=Constants!$B$7,IF(X70,Q70,Constants!$B$13),"")</f>
        <v/>
      </c>
      <c r="AC70" s="62" t="str">
        <f aca="false">IF($Z70=Constants!$B$7,IF(X70,P70*IF(R70, 1, Constants!$B$11)*IF(S70, 1, Constants!$B$12),Constants!$B$13),"")</f>
        <v/>
      </c>
      <c r="AD70" s="62" t="str">
        <f aca="false">IF($Z70=Constants!$B$7,AB70*AC70,"")</f>
        <v/>
      </c>
      <c r="AE70" s="62" t="str">
        <f aca="false">IF($Z70=Constants!$B$7,IF(Y70,T70,Constants!$B$13),"")</f>
        <v/>
      </c>
      <c r="AF70" s="62" t="str">
        <f aca="false">IF($Z70=Constants!$B$7,IF(Y70,P70*IF(U70, 1, Constants!$B$11)*IF(V70, 1, Constants!$B$12),Constants!$B$13),"")</f>
        <v/>
      </c>
      <c r="AG70" s="62" t="str">
        <f aca="false">IF($Z70=Constants!$B$7,AE70*AF70,"")</f>
        <v/>
      </c>
      <c r="AH70" s="62" t="str">
        <f aca="false">IF($Z70=Constants!$B$7,IF(AG70&gt;AD70,2,1),"")</f>
        <v/>
      </c>
      <c r="AI70" s="62" t="str">
        <f aca="false">IF($Z70=Constants!$B$7,IF(AH70=1,2,1),"")</f>
        <v/>
      </c>
      <c r="AJ70" s="62" t="str">
        <f aca="false">IF(ISBLANK($C70),"",IF($Z70&lt;&gt;Constants!$B$7,$Z70,IF(AH70=1,AD70,AG70)))</f>
        <v/>
      </c>
      <c r="AK70" s="62" t="str">
        <f aca="false">IF(ISBLANK($C70),"",IF($Z70=Constants!$B$7,IF(ISNUMBER(AJ70),RANK(AJ70,$AJ$8:$AJ$507),Constants!$B$14),$Z70))</f>
        <v/>
      </c>
      <c r="AL70" s="62" t="str">
        <f aca="false">IF(ISBLANK($C70),"",IF($Z70=Constants!$B$7,IF(AI70=1,AD70,AG70),""))</f>
        <v/>
      </c>
      <c r="AM70" s="62" t="str">
        <f aca="false">IF(ISBLANK($C70),"",IF($Z70=Constants!$B$7,RANK(AL70,$AL$8:$AL$507),$Z70))</f>
        <v/>
      </c>
      <c r="AN70" s="62" t="str">
        <f aca="false">IF(ISBLANK($C70),"",IF($Z70=Constants!$B$7,IF(ISNUMBER(AK70),COUNTIFS($AK$8:$AK$507,"&lt;"&amp;$AK70)+COUNTIFS($AK$8:$AK$507,$AK70,$AM$8:$AM$507,"&lt;"&amp;$AM70)+1,Constants!$B$14),$Z70))</f>
        <v/>
      </c>
      <c r="AO70" s="62" t="str">
        <f aca="false">IF(ISBLANK($C70),"",IF($Z70=Constants!$B$7,IF(ISNUMBER(AK70),AK70-AN70,Constants!$B$14),$Z70))</f>
        <v/>
      </c>
      <c r="AP70" s="64"/>
      <c r="AQ70" s="65" t="str">
        <f aca="false">IF(ISBLANK($C70),"",IF($Z70&lt;&gt;Constants!$B$7,"",AH70))</f>
        <v/>
      </c>
      <c r="AR70" s="80" t="str">
        <f aca="false">IF(ISBLANK($C70),"",IF($Z70&lt;&gt;Constants!$B$7,"",IF(AH70=1,AB70,AE70)))</f>
        <v/>
      </c>
      <c r="AS70" s="67" t="str">
        <f aca="false">IF(ISBLANK($C70),"",IF($Z70&lt;&gt;Constants!$B$7,"",IF(AH70=1,AC70,AF70)))</f>
        <v/>
      </c>
      <c r="AT70" s="68" t="str">
        <f aca="false">IF(ISBLANK($C70),"",IF($Z70&lt;&gt;Constants!$B$7,$Z70,AJ70))</f>
        <v/>
      </c>
      <c r="AU70" s="69" t="str">
        <f aca="false">IF(ISBLANK($C70),"",IF($Z70&lt;&gt;Constants!$B$7,$Z70,AA70))</f>
        <v/>
      </c>
      <c r="AV70" s="70" t="str">
        <f aca="false">IF(ISBLANK($C70),"",AO70)</f>
        <v/>
      </c>
      <c r="AW70" s="70" t="str">
        <f aca="false">IF(ISBLANK($C70),"",AN70)</f>
        <v/>
      </c>
      <c r="AX70" s="71" t="str">
        <f aca="false">IF(ISBLANK($C70),"",IFERROR(_xlfn.SWITCH(AW70,Constants!$B$4,COUNTA($C$8:$C$507)+2,Constants!$B$5,COUNTA($C$8:$C$507)+1,Constants!$B$6,COUNTA($C$8:$C$507)),AW70))</f>
        <v/>
      </c>
      <c r="AY70" s="5"/>
      <c r="AZ70" s="72" t="n">
        <f aca="false">IF(OR(ISNUMBER(AW70),AW70=Constants!$B$4,AW70=Constants!$B$6,AW70=Constants!$B$5),1,0)</f>
        <v>0</v>
      </c>
      <c r="BA70" s="72" t="n">
        <v>63</v>
      </c>
      <c r="BB70" s="72" t="str">
        <f aca="false">IF(ISBLANK($C70),"",IF(ISNUMBER(AX70),AX70+ROW($B70)/1000,""))</f>
        <v/>
      </c>
      <c r="BC70" s="72" t="str">
        <f aca="false">IF(ISNUMBER(BB70),RANK(BB70,$BB$8:$BB$507,1),"")</f>
        <v/>
      </c>
      <c r="BD70" s="72" t="str">
        <f aca="false">IF(ISBLANK($C70),"",$B70)</f>
        <v/>
      </c>
      <c r="BE70" s="72" t="str">
        <f aca="false">IF(ISBLANK($C70),"",$C70)</f>
        <v/>
      </c>
      <c r="BF70" s="72" t="str">
        <f aca="false">IF(ISBLANK($C70),"",$D70)</f>
        <v/>
      </c>
      <c r="BG70" s="73" t="str">
        <f aca="false">AU70</f>
        <v/>
      </c>
      <c r="BH70" s="74" t="str">
        <f aca="false">AT70</f>
        <v/>
      </c>
      <c r="BI70" s="72" t="str">
        <f aca="false">IF(ISBLANK($C70),"",AW70)</f>
        <v/>
      </c>
      <c r="BJ70" s="75" t="str">
        <f aca="false">IF($BA70&gt;$AZ$7,"",VLOOKUP($BA70,$BC$8:$BI$507,7,FALSE()))</f>
        <v/>
      </c>
      <c r="BK70" s="76" t="str">
        <f aca="false">IF($BA70&gt;$AZ$7,"",VLOOKUP($BA70,$BC$8:$BI$507,2,FALSE()))</f>
        <v/>
      </c>
      <c r="BL70" s="76" t="str">
        <f aca="false">IF($BA70&gt;$AZ$7,"",VLOOKUP($BA70,$BC$8:$BI$507,3,FALSE()))</f>
        <v/>
      </c>
      <c r="BM70" s="76" t="str">
        <f aca="false">IF($BA70&gt;$AZ$7,"",VLOOKUP($BA70,$BC$8:$BI$507,4,FALSE()))</f>
        <v/>
      </c>
      <c r="BN70" s="76" t="str">
        <f aca="false">IF($BA70&gt;$AZ$7,"",VLOOKUP($BA70,$BC$8:$BI$507,5,FALSE()))</f>
        <v/>
      </c>
      <c r="BO70" s="77" t="str">
        <f aca="false">IF($BA70&gt;$AZ$7,"",VLOOKUP($BA70,$BC$8:$BI$507,6,FALSE()))</f>
        <v/>
      </c>
      <c r="BP70" s="52"/>
    </row>
    <row r="71" customFormat="false" ht="15.75" hidden="false" customHeight="false" outlineLevel="0" collapsed="false">
      <c r="A71" s="5"/>
      <c r="B71" s="114"/>
      <c r="C71" s="115"/>
      <c r="D71" s="106"/>
      <c r="E71" s="117"/>
      <c r="F71" s="87"/>
      <c r="G71" s="88"/>
      <c r="H71" s="88"/>
      <c r="I71" s="87"/>
      <c r="J71" s="88"/>
      <c r="K71" s="88"/>
      <c r="L71" s="87"/>
      <c r="M71" s="117"/>
      <c r="N71" s="90"/>
      <c r="O71" s="91" t="str">
        <f aca="false">IF(ISBLANK($C71),"",IF(E71=Constants!$B$2, TRUE(), IF(E71=Constants!$B$3, FALSE(), TRUE())))</f>
        <v/>
      </c>
      <c r="P71" s="91" t="str">
        <f aca="false">IF(ISBLANK($C71),"",IF(F71=Constants!$B$16,Constants!$B$9,IF(F71=Constants!$B$17,Constants!$B$10,Constants!$B$8)))</f>
        <v/>
      </c>
      <c r="Q71" s="91" t="str">
        <f aca="false">IF(ISBLANK($C71),"",IF(ISNUMBER(G71),IF(G71&gt;=0,G71,""),""))</f>
        <v/>
      </c>
      <c r="R71" s="91" t="str">
        <f aca="false">IF(ISBLANK($C71),"",IF(H71=Constants!$B$2, TRUE(), IF(H71=Constants!$B$3, FALSE(), TRUE())))</f>
        <v/>
      </c>
      <c r="S71" s="91" t="str">
        <f aca="false">IF(ISBLANK($C71),"",IF(I71=Constants!$B$2, TRUE(), IF(I71=Constants!$B$3, FALSE(), TRUE())))</f>
        <v/>
      </c>
      <c r="T71" s="91" t="str">
        <f aca="false">IF(ISBLANK($C71),"",IF(ISNUMBER(J71),IF(J71&gt;=0,J71,""),""))</f>
        <v/>
      </c>
      <c r="U71" s="91" t="str">
        <f aca="false">IF(ISBLANK($C71),"",IF(K71=Constants!$B$2, TRUE(), IF(K71=Constants!$B$3, FALSE(), TRUE())))</f>
        <v/>
      </c>
      <c r="V71" s="91" t="str">
        <f aca="false">IF(ISBLANK($C71),"",IF(L71=Constants!$B$2, TRUE(), IF(L71=Constants!$B$3, FALSE(), TRUE())))</f>
        <v/>
      </c>
      <c r="W71" s="91" t="str">
        <f aca="false">IF(ISBLANK($C71),"",IF(M71=Constants!$B$2, TRUE(), IF(M71=Constants!$B$3, FALSE(), FALSE())))</f>
        <v/>
      </c>
      <c r="X71" s="91" t="str">
        <f aca="false">IF(ISBLANK($C71),"",AND(Q71&lt;&gt;"",O71))</f>
        <v/>
      </c>
      <c r="Y71" s="91" t="str">
        <f aca="false">IF(ISBLANK($C71),"",AND(T71&lt;&gt;"",O71))</f>
        <v/>
      </c>
      <c r="Z71" s="91" t="str">
        <f aca="false">IF(ISBLANK($C71),"",IF(W71,Constants!$B$4,IF(COUNTA(E71:L71)=0,Constants!$B$5,IF(NOT(O71),Constants!$B$6,IF(AND(NOT(X71),NOT(Y71)),Constants!$B$6,Constants!$B$7)))))</f>
        <v/>
      </c>
      <c r="AA71" s="91" t="str">
        <f aca="false">IF(ISBLANK($C71),"",IF($Z71&lt;&gt;Constants!$B$7,$Z71,Constants!$B$20))</f>
        <v/>
      </c>
      <c r="AB71" s="91" t="str">
        <f aca="false">IF($Z71=Constants!$B$7,IF(X71,Q71,Constants!$B$13),"")</f>
        <v/>
      </c>
      <c r="AC71" s="91" t="str">
        <f aca="false">IF($Z71=Constants!$B$7,IF(X71,P71*IF(R71, 1, Constants!$B$11)*IF(S71, 1, Constants!$B$12),Constants!$B$13),"")</f>
        <v/>
      </c>
      <c r="AD71" s="91" t="str">
        <f aca="false">IF($Z71=Constants!$B$7,AB71*AC71,"")</f>
        <v/>
      </c>
      <c r="AE71" s="91" t="str">
        <f aca="false">IF($Z71=Constants!$B$7,IF(Y71,T71,Constants!$B$13),"")</f>
        <v/>
      </c>
      <c r="AF71" s="91" t="str">
        <f aca="false">IF($Z71=Constants!$B$7,IF(Y71,P71*IF(U71, 1, Constants!$B$11)*IF(V71, 1, Constants!$B$12),Constants!$B$13),"")</f>
        <v/>
      </c>
      <c r="AG71" s="91" t="str">
        <f aca="false">IF($Z71=Constants!$B$7,AE71*AF71,"")</f>
        <v/>
      </c>
      <c r="AH71" s="91" t="str">
        <f aca="false">IF($Z71=Constants!$B$7,IF(AG71&gt;AD71,2,1),"")</f>
        <v/>
      </c>
      <c r="AI71" s="91" t="str">
        <f aca="false">IF($Z71=Constants!$B$7,IF(AH71=1,2,1),"")</f>
        <v/>
      </c>
      <c r="AJ71" s="91" t="str">
        <f aca="false">IF(ISBLANK($C71),"",IF($Z71&lt;&gt;Constants!$B$7,$Z71,IF(AH71=1,AD71,AG71)))</f>
        <v/>
      </c>
      <c r="AK71" s="91" t="str">
        <f aca="false">IF(ISBLANK($C71),"",IF($Z71=Constants!$B$7,IF(ISNUMBER(AJ71),RANK(AJ71,$AJ$8:$AJ$507),Constants!$B$14),$Z71))</f>
        <v/>
      </c>
      <c r="AL71" s="91" t="str">
        <f aca="false">IF(ISBLANK($C71),"",IF($Z71=Constants!$B$7,IF(AI71=1,AD71,AG71),""))</f>
        <v/>
      </c>
      <c r="AM71" s="91" t="str">
        <f aca="false">IF(ISBLANK($C71),"",IF($Z71=Constants!$B$7,RANK(AL71,$AL$8:$AL$507),$Z71))</f>
        <v/>
      </c>
      <c r="AN71" s="91" t="str">
        <f aca="false">IF(ISBLANK($C71),"",IF($Z71=Constants!$B$7,IF(ISNUMBER(AK71),COUNTIFS($AK$8:$AK$507,"&lt;"&amp;$AK71)+COUNTIFS($AK$8:$AK$507,$AK71,$AM$8:$AM$507,"&lt;"&amp;$AM71)+1,Constants!$B$14),$Z71))</f>
        <v/>
      </c>
      <c r="AO71" s="91" t="str">
        <f aca="false">IF(ISBLANK($C71),"",IF($Z71=Constants!$B$7,IF(ISNUMBER(AK71),AK71-AN71,Constants!$B$14),$Z71))</f>
        <v/>
      </c>
      <c r="AP71" s="92"/>
      <c r="AQ71" s="93" t="str">
        <f aca="false">IF(ISBLANK($C71),"",IF($Z71&lt;&gt;Constants!$B$7,"",AH71))</f>
        <v/>
      </c>
      <c r="AR71" s="94" t="str">
        <f aca="false">IF(ISBLANK($C71),"",IF($Z71&lt;&gt;Constants!$B$7,"",IF(AH71=1,AB71,AE71)))</f>
        <v/>
      </c>
      <c r="AS71" s="95" t="str">
        <f aca="false">IF(ISBLANK($C71),"",IF($Z71&lt;&gt;Constants!$B$7,"",IF(AH71=1,AC71,AF71)))</f>
        <v/>
      </c>
      <c r="AT71" s="96" t="str">
        <f aca="false">IF(ISBLANK($C71),"",IF($Z71&lt;&gt;Constants!$B$7,$Z71,AJ71))</f>
        <v/>
      </c>
      <c r="AU71" s="97" t="str">
        <f aca="false">IF(ISBLANK($C71),"",IF($Z71&lt;&gt;Constants!$B$7,$Z71,AA71))</f>
        <v/>
      </c>
      <c r="AV71" s="98" t="str">
        <f aca="false">IF(ISBLANK($C71),"",AO71)</f>
        <v/>
      </c>
      <c r="AW71" s="98" t="str">
        <f aca="false">IF(ISBLANK($C71),"",AN71)</f>
        <v/>
      </c>
      <c r="AX71" s="99" t="str">
        <f aca="false">IF(ISBLANK($C71),"",IFERROR(_xlfn.SWITCH(AW71,Constants!$B$4,COUNTA($C$8:$C$507)+2,Constants!$B$5,COUNTA($C$8:$C$507)+1,Constants!$B$6,COUNTA($C$8:$C$507)),AW71))</f>
        <v/>
      </c>
      <c r="AY71" s="5"/>
      <c r="AZ71" s="100" t="n">
        <f aca="false">IF(OR(ISNUMBER(AW71),AW71=Constants!$B$4,AW71=Constants!$B$6,AW71=Constants!$B$5),1,0)</f>
        <v>0</v>
      </c>
      <c r="BA71" s="100" t="n">
        <v>64</v>
      </c>
      <c r="BB71" s="100" t="str">
        <f aca="false">IF(ISBLANK($C71),"",IF(ISNUMBER(AX71),AX71+ROW($B71)/1000,""))</f>
        <v/>
      </c>
      <c r="BC71" s="100" t="str">
        <f aca="false">IF(ISNUMBER(BB71),RANK(BB71,$BB$8:$BB$507,1),"")</f>
        <v/>
      </c>
      <c r="BD71" s="100" t="str">
        <f aca="false">IF(ISBLANK($C71),"",$B71)</f>
        <v/>
      </c>
      <c r="BE71" s="100" t="str">
        <f aca="false">IF(ISBLANK($C71),"",$C71)</f>
        <v/>
      </c>
      <c r="BF71" s="100" t="str">
        <f aca="false">IF(ISBLANK($C71),"",$D71)</f>
        <v/>
      </c>
      <c r="BG71" s="101" t="str">
        <f aca="false">AU71</f>
        <v/>
      </c>
      <c r="BH71" s="102" t="str">
        <f aca="false">AT71</f>
        <v/>
      </c>
      <c r="BI71" s="100" t="str">
        <f aca="false">IF(ISBLANK($C71),"",AW71)</f>
        <v/>
      </c>
      <c r="BJ71" s="103" t="str">
        <f aca="false">IF($BA71&gt;$AZ$7,"",VLOOKUP($BA71,$BC$8:$BI$507,7,FALSE()))</f>
        <v/>
      </c>
      <c r="BK71" s="104" t="str">
        <f aca="false">IF($BA71&gt;$AZ$7,"",VLOOKUP($BA71,$BC$8:$BI$507,2,FALSE()))</f>
        <v/>
      </c>
      <c r="BL71" s="104" t="str">
        <f aca="false">IF($BA71&gt;$AZ$7,"",VLOOKUP($BA71,$BC$8:$BI$507,3,FALSE()))</f>
        <v/>
      </c>
      <c r="BM71" s="104" t="str">
        <f aca="false">IF($BA71&gt;$AZ$7,"",VLOOKUP($BA71,$BC$8:$BI$507,4,FALSE()))</f>
        <v/>
      </c>
      <c r="BN71" s="104" t="str">
        <f aca="false">IF($BA71&gt;$AZ$7,"",VLOOKUP($BA71,$BC$8:$BI$507,5,FALSE()))</f>
        <v/>
      </c>
      <c r="BO71" s="105" t="str">
        <f aca="false">IF($BA71&gt;$AZ$7,"",VLOOKUP($BA71,$BC$8:$BI$507,6,FALSE()))</f>
        <v/>
      </c>
      <c r="BP71" s="52"/>
    </row>
    <row r="72" customFormat="false" ht="15.75" hidden="false" customHeight="false" outlineLevel="0" collapsed="false">
      <c r="A72" s="5"/>
      <c r="B72" s="114"/>
      <c r="C72" s="115"/>
      <c r="D72" s="106"/>
      <c r="E72" s="117"/>
      <c r="F72" s="87"/>
      <c r="G72" s="88"/>
      <c r="H72" s="88"/>
      <c r="I72" s="87"/>
      <c r="J72" s="88"/>
      <c r="K72" s="88"/>
      <c r="L72" s="87"/>
      <c r="M72" s="117"/>
      <c r="N72" s="90"/>
      <c r="O72" s="91" t="str">
        <f aca="false">IF(ISBLANK($C72),"",IF(E72=Constants!$B$2, TRUE(), IF(E72=Constants!$B$3, FALSE(), TRUE())))</f>
        <v/>
      </c>
      <c r="P72" s="91" t="str">
        <f aca="false">IF(ISBLANK($C72),"",IF(F72=Constants!$B$16,Constants!$B$9,IF(F72=Constants!$B$17,Constants!$B$10,Constants!$B$8)))</f>
        <v/>
      </c>
      <c r="Q72" s="91" t="str">
        <f aca="false">IF(ISBLANK($C72),"",IF(ISNUMBER(G72),IF(G72&gt;=0,G72,""),""))</f>
        <v/>
      </c>
      <c r="R72" s="91" t="str">
        <f aca="false">IF(ISBLANK($C72),"",IF(H72=Constants!$B$2, TRUE(), IF(H72=Constants!$B$3, FALSE(), TRUE())))</f>
        <v/>
      </c>
      <c r="S72" s="91" t="str">
        <f aca="false">IF(ISBLANK($C72),"",IF(I72=Constants!$B$2, TRUE(), IF(I72=Constants!$B$3, FALSE(), TRUE())))</f>
        <v/>
      </c>
      <c r="T72" s="91" t="str">
        <f aca="false">IF(ISBLANK($C72),"",IF(ISNUMBER(J72),IF(J72&gt;=0,J72,""),""))</f>
        <v/>
      </c>
      <c r="U72" s="91" t="str">
        <f aca="false">IF(ISBLANK($C72),"",IF(K72=Constants!$B$2, TRUE(), IF(K72=Constants!$B$3, FALSE(), TRUE())))</f>
        <v/>
      </c>
      <c r="V72" s="91" t="str">
        <f aca="false">IF(ISBLANK($C72),"",IF(L72=Constants!$B$2, TRUE(), IF(L72=Constants!$B$3, FALSE(), TRUE())))</f>
        <v/>
      </c>
      <c r="W72" s="91" t="str">
        <f aca="false">IF(ISBLANK($C72),"",IF(M72=Constants!$B$2, TRUE(), IF(M72=Constants!$B$3, FALSE(), FALSE())))</f>
        <v/>
      </c>
      <c r="X72" s="91" t="str">
        <f aca="false">IF(ISBLANK($C72),"",AND(Q72&lt;&gt;"",O72))</f>
        <v/>
      </c>
      <c r="Y72" s="91" t="str">
        <f aca="false">IF(ISBLANK($C72),"",AND(T72&lt;&gt;"",O72))</f>
        <v/>
      </c>
      <c r="Z72" s="91" t="str">
        <f aca="false">IF(ISBLANK($C72),"",IF(W72,Constants!$B$4,IF(COUNTA(E72:L72)=0,Constants!$B$5,IF(NOT(O72),Constants!$B$6,IF(AND(NOT(X72),NOT(Y72)),Constants!$B$6,Constants!$B$7)))))</f>
        <v/>
      </c>
      <c r="AA72" s="91" t="str">
        <f aca="false">IF(ISBLANK($C72),"",IF($Z72&lt;&gt;Constants!$B$7,$Z72,Constants!$B$20))</f>
        <v/>
      </c>
      <c r="AB72" s="91" t="str">
        <f aca="false">IF($Z72=Constants!$B$7,IF(X72,Q72,Constants!$B$13),"")</f>
        <v/>
      </c>
      <c r="AC72" s="91" t="str">
        <f aca="false">IF($Z72=Constants!$B$7,IF(X72,P72*IF(R72, 1, Constants!$B$11)*IF(S72, 1, Constants!$B$12),Constants!$B$13),"")</f>
        <v/>
      </c>
      <c r="AD72" s="91" t="str">
        <f aca="false">IF($Z72=Constants!$B$7,AB72*AC72,"")</f>
        <v/>
      </c>
      <c r="AE72" s="91" t="str">
        <f aca="false">IF($Z72=Constants!$B$7,IF(Y72,T72,Constants!$B$13),"")</f>
        <v/>
      </c>
      <c r="AF72" s="91" t="str">
        <f aca="false">IF($Z72=Constants!$B$7,IF(Y72,P72*IF(U72, 1, Constants!$B$11)*IF(V72, 1, Constants!$B$12),Constants!$B$13),"")</f>
        <v/>
      </c>
      <c r="AG72" s="91" t="str">
        <f aca="false">IF($Z72=Constants!$B$7,AE72*AF72,"")</f>
        <v/>
      </c>
      <c r="AH72" s="91" t="str">
        <f aca="false">IF($Z72=Constants!$B$7,IF(AG72&gt;AD72,2,1),"")</f>
        <v/>
      </c>
      <c r="AI72" s="91" t="str">
        <f aca="false">IF($Z72=Constants!$B$7,IF(AH72=1,2,1),"")</f>
        <v/>
      </c>
      <c r="AJ72" s="91" t="str">
        <f aca="false">IF(ISBLANK($C72),"",IF($Z72&lt;&gt;Constants!$B$7,$Z72,IF(AH72=1,AD72,AG72)))</f>
        <v/>
      </c>
      <c r="AK72" s="91" t="str">
        <f aca="false">IF(ISBLANK($C72),"",IF($Z72=Constants!$B$7,IF(ISNUMBER(AJ72),RANK(AJ72,$AJ$8:$AJ$507),Constants!$B$14),$Z72))</f>
        <v/>
      </c>
      <c r="AL72" s="91" t="str">
        <f aca="false">IF(ISBLANK($C72),"",IF($Z72=Constants!$B$7,IF(AI72=1,AD72,AG72),""))</f>
        <v/>
      </c>
      <c r="AM72" s="91" t="str">
        <f aca="false">IF(ISBLANK($C72),"",IF($Z72=Constants!$B$7,RANK(AL72,$AL$8:$AL$507),$Z72))</f>
        <v/>
      </c>
      <c r="AN72" s="91" t="str">
        <f aca="false">IF(ISBLANK($C72),"",IF($Z72=Constants!$B$7,IF(ISNUMBER(AK72),COUNTIFS($AK$8:$AK$507,"&lt;"&amp;$AK72)+COUNTIFS($AK$8:$AK$507,$AK72,$AM$8:$AM$507,"&lt;"&amp;$AM72)+1,Constants!$B$14),$Z72))</f>
        <v/>
      </c>
      <c r="AO72" s="91" t="str">
        <f aca="false">IF(ISBLANK($C72),"",IF($Z72=Constants!$B$7,IF(ISNUMBER(AK72),AK72-AN72,Constants!$B$14),$Z72))</f>
        <v/>
      </c>
      <c r="AP72" s="92"/>
      <c r="AQ72" s="93" t="str">
        <f aca="false">IF(ISBLANK($C72),"",IF($Z72&lt;&gt;Constants!$B$7,"",AH72))</f>
        <v/>
      </c>
      <c r="AR72" s="94" t="str">
        <f aca="false">IF(ISBLANK($C72),"",IF($Z72&lt;&gt;Constants!$B$7,"",IF(AH72=1,AB72,AE72)))</f>
        <v/>
      </c>
      <c r="AS72" s="95" t="str">
        <f aca="false">IF(ISBLANK($C72),"",IF($Z72&lt;&gt;Constants!$B$7,"",IF(AH72=1,AC72,AF72)))</f>
        <v/>
      </c>
      <c r="AT72" s="96" t="str">
        <f aca="false">IF(ISBLANK($C72),"",IF($Z72&lt;&gt;Constants!$B$7,$Z72,AJ72))</f>
        <v/>
      </c>
      <c r="AU72" s="97" t="str">
        <f aca="false">IF(ISBLANK($C72),"",IF($Z72&lt;&gt;Constants!$B$7,$Z72,AA72))</f>
        <v/>
      </c>
      <c r="AV72" s="98" t="str">
        <f aca="false">IF(ISBLANK($C72),"",AO72)</f>
        <v/>
      </c>
      <c r="AW72" s="98" t="str">
        <f aca="false">IF(ISBLANK($C72),"",AN72)</f>
        <v/>
      </c>
      <c r="AX72" s="99" t="str">
        <f aca="false">IF(ISBLANK($C72),"",IFERROR(_xlfn.SWITCH(AW72,Constants!$B$4,COUNTA($C$8:$C$507)+2,Constants!$B$5,COUNTA($C$8:$C$507)+1,Constants!$B$6,COUNTA($C$8:$C$507)),AW72))</f>
        <v/>
      </c>
      <c r="AY72" s="5"/>
      <c r="AZ72" s="100" t="n">
        <f aca="false">IF(OR(ISNUMBER(AW72),AW72=Constants!$B$4,AW72=Constants!$B$6,AW72=Constants!$B$5),1,0)</f>
        <v>0</v>
      </c>
      <c r="BA72" s="100" t="n">
        <v>65</v>
      </c>
      <c r="BB72" s="100" t="str">
        <f aca="false">IF(ISBLANK($C72),"",IF(ISNUMBER(AX72),AX72+ROW($B72)/1000,""))</f>
        <v/>
      </c>
      <c r="BC72" s="100" t="str">
        <f aca="false">IF(ISNUMBER(BB72),RANK(BB72,$BB$8:$BB$507,1),"")</f>
        <v/>
      </c>
      <c r="BD72" s="100" t="str">
        <f aca="false">IF(ISBLANK($C72),"",$B72)</f>
        <v/>
      </c>
      <c r="BE72" s="100" t="str">
        <f aca="false">IF(ISBLANK($C72),"",$C72)</f>
        <v/>
      </c>
      <c r="BF72" s="100" t="str">
        <f aca="false">IF(ISBLANK($C72),"",$D72)</f>
        <v/>
      </c>
      <c r="BG72" s="101" t="str">
        <f aca="false">AU72</f>
        <v/>
      </c>
      <c r="BH72" s="102" t="str">
        <f aca="false">AT72</f>
        <v/>
      </c>
      <c r="BI72" s="100" t="str">
        <f aca="false">IF(ISBLANK($C72),"",AW72)</f>
        <v/>
      </c>
      <c r="BJ72" s="103" t="str">
        <f aca="false">IF($BA72&gt;$AZ$7,"",VLOOKUP($BA72,$BC$8:$BI$507,7,FALSE()))</f>
        <v/>
      </c>
      <c r="BK72" s="104" t="str">
        <f aca="false">IF($BA72&gt;$AZ$7,"",VLOOKUP($BA72,$BC$8:$BI$507,2,FALSE()))</f>
        <v/>
      </c>
      <c r="BL72" s="104" t="str">
        <f aca="false">IF($BA72&gt;$AZ$7,"",VLOOKUP($BA72,$BC$8:$BI$507,3,FALSE()))</f>
        <v/>
      </c>
      <c r="BM72" s="104" t="str">
        <f aca="false">IF($BA72&gt;$AZ$7,"",VLOOKUP($BA72,$BC$8:$BI$507,4,FALSE()))</f>
        <v/>
      </c>
      <c r="BN72" s="104" t="str">
        <f aca="false">IF($BA72&gt;$AZ$7,"",VLOOKUP($BA72,$BC$8:$BI$507,5,FALSE()))</f>
        <v/>
      </c>
      <c r="BO72" s="105" t="str">
        <f aca="false">IF($BA72&gt;$AZ$7,"",VLOOKUP($BA72,$BC$8:$BI$507,6,FALSE()))</f>
        <v/>
      </c>
      <c r="BP72" s="52"/>
    </row>
    <row r="73" customFormat="false" ht="15.75" hidden="false" customHeight="false" outlineLevel="0" collapsed="false">
      <c r="A73" s="5"/>
      <c r="B73" s="114"/>
      <c r="C73" s="115"/>
      <c r="D73" s="106"/>
      <c r="E73" s="117"/>
      <c r="F73" s="87"/>
      <c r="G73" s="88"/>
      <c r="H73" s="88"/>
      <c r="I73" s="87"/>
      <c r="J73" s="88"/>
      <c r="K73" s="88"/>
      <c r="L73" s="87"/>
      <c r="M73" s="117"/>
      <c r="N73" s="90"/>
      <c r="O73" s="91" t="str">
        <f aca="false">IF(ISBLANK($C73),"",IF(E73=Constants!$B$2, TRUE(), IF(E73=Constants!$B$3, FALSE(), TRUE())))</f>
        <v/>
      </c>
      <c r="P73" s="91" t="str">
        <f aca="false">IF(ISBLANK($C73),"",IF(F73=Constants!$B$16,Constants!$B$9,IF(F73=Constants!$B$17,Constants!$B$10,Constants!$B$8)))</f>
        <v/>
      </c>
      <c r="Q73" s="91" t="str">
        <f aca="false">IF(ISBLANK($C73),"",IF(ISNUMBER(G73),IF(G73&gt;=0,G73,""),""))</f>
        <v/>
      </c>
      <c r="R73" s="91" t="str">
        <f aca="false">IF(ISBLANK($C73),"",IF(H73=Constants!$B$2, TRUE(), IF(H73=Constants!$B$3, FALSE(), TRUE())))</f>
        <v/>
      </c>
      <c r="S73" s="91" t="str">
        <f aca="false">IF(ISBLANK($C73),"",IF(I73=Constants!$B$2, TRUE(), IF(I73=Constants!$B$3, FALSE(), TRUE())))</f>
        <v/>
      </c>
      <c r="T73" s="91" t="str">
        <f aca="false">IF(ISBLANK($C73),"",IF(ISNUMBER(J73),IF(J73&gt;=0,J73,""),""))</f>
        <v/>
      </c>
      <c r="U73" s="91" t="str">
        <f aca="false">IF(ISBLANK($C73),"",IF(K73=Constants!$B$2, TRUE(), IF(K73=Constants!$B$3, FALSE(), TRUE())))</f>
        <v/>
      </c>
      <c r="V73" s="91" t="str">
        <f aca="false">IF(ISBLANK($C73),"",IF(L73=Constants!$B$2, TRUE(), IF(L73=Constants!$B$3, FALSE(), TRUE())))</f>
        <v/>
      </c>
      <c r="W73" s="91" t="str">
        <f aca="false">IF(ISBLANK($C73),"",IF(M73=Constants!$B$2, TRUE(), IF(M73=Constants!$B$3, FALSE(), FALSE())))</f>
        <v/>
      </c>
      <c r="X73" s="91" t="str">
        <f aca="false">IF(ISBLANK($C73),"",AND(Q73&lt;&gt;"",O73))</f>
        <v/>
      </c>
      <c r="Y73" s="91" t="str">
        <f aca="false">IF(ISBLANK($C73),"",AND(T73&lt;&gt;"",O73))</f>
        <v/>
      </c>
      <c r="Z73" s="91" t="str">
        <f aca="false">IF(ISBLANK($C73),"",IF(W73,Constants!$B$4,IF(COUNTA(E73:L73)=0,Constants!$B$5,IF(NOT(O73),Constants!$B$6,IF(AND(NOT(X73),NOT(Y73)),Constants!$B$6,Constants!$B$7)))))</f>
        <v/>
      </c>
      <c r="AA73" s="91" t="str">
        <f aca="false">IF(ISBLANK($C73),"",IF($Z73&lt;&gt;Constants!$B$7,$Z73,Constants!$B$20))</f>
        <v/>
      </c>
      <c r="AB73" s="91" t="str">
        <f aca="false">IF($Z73=Constants!$B$7,IF(X73,Q73,Constants!$B$13),"")</f>
        <v/>
      </c>
      <c r="AC73" s="91" t="str">
        <f aca="false">IF($Z73=Constants!$B$7,IF(X73,P73*IF(R73, 1, Constants!$B$11)*IF(S73, 1, Constants!$B$12),Constants!$B$13),"")</f>
        <v/>
      </c>
      <c r="AD73" s="91" t="str">
        <f aca="false">IF($Z73=Constants!$B$7,AB73*AC73,"")</f>
        <v/>
      </c>
      <c r="AE73" s="91" t="str">
        <f aca="false">IF($Z73=Constants!$B$7,IF(Y73,T73,Constants!$B$13),"")</f>
        <v/>
      </c>
      <c r="AF73" s="91" t="str">
        <f aca="false">IF($Z73=Constants!$B$7,IF(Y73,P73*IF(U73, 1, Constants!$B$11)*IF(V73, 1, Constants!$B$12),Constants!$B$13),"")</f>
        <v/>
      </c>
      <c r="AG73" s="91" t="str">
        <f aca="false">IF($Z73=Constants!$B$7,AE73*AF73,"")</f>
        <v/>
      </c>
      <c r="AH73" s="91" t="str">
        <f aca="false">IF($Z73=Constants!$B$7,IF(AG73&gt;AD73,2,1),"")</f>
        <v/>
      </c>
      <c r="AI73" s="91" t="str">
        <f aca="false">IF($Z73=Constants!$B$7,IF(AH73=1,2,1),"")</f>
        <v/>
      </c>
      <c r="AJ73" s="91" t="str">
        <f aca="false">IF(ISBLANK($C73),"",IF($Z73&lt;&gt;Constants!$B$7,$Z73,IF(AH73=1,AD73,AG73)))</f>
        <v/>
      </c>
      <c r="AK73" s="91" t="str">
        <f aca="false">IF(ISBLANK($C73),"",IF($Z73=Constants!$B$7,IF(ISNUMBER(AJ73),RANK(AJ73,$AJ$8:$AJ$507),Constants!$B$14),$Z73))</f>
        <v/>
      </c>
      <c r="AL73" s="91" t="str">
        <f aca="false">IF(ISBLANK($C73),"",IF($Z73=Constants!$B$7,IF(AI73=1,AD73,AG73),""))</f>
        <v/>
      </c>
      <c r="AM73" s="91" t="str">
        <f aca="false">IF(ISBLANK($C73),"",IF($Z73=Constants!$B$7,RANK(AL73,$AL$8:$AL$507),$Z73))</f>
        <v/>
      </c>
      <c r="AN73" s="91" t="str">
        <f aca="false">IF(ISBLANK($C73),"",IF($Z73=Constants!$B$7,IF(ISNUMBER(AK73),COUNTIFS($AK$8:$AK$507,"&lt;"&amp;$AK73)+COUNTIFS($AK$8:$AK$507,$AK73,$AM$8:$AM$507,"&lt;"&amp;$AM73)+1,Constants!$B$14),$Z73))</f>
        <v/>
      </c>
      <c r="AO73" s="91" t="str">
        <f aca="false">IF(ISBLANK($C73),"",IF($Z73=Constants!$B$7,IF(ISNUMBER(AK73),AK73-AN73,Constants!$B$14),$Z73))</f>
        <v/>
      </c>
      <c r="AP73" s="92"/>
      <c r="AQ73" s="93" t="str">
        <f aca="false">IF(ISBLANK($C73),"",IF($Z73&lt;&gt;Constants!$B$7,"",AH73))</f>
        <v/>
      </c>
      <c r="AR73" s="94" t="str">
        <f aca="false">IF(ISBLANK($C73),"",IF($Z73&lt;&gt;Constants!$B$7,"",IF(AH73=1,AB73,AE73)))</f>
        <v/>
      </c>
      <c r="AS73" s="95" t="str">
        <f aca="false">IF(ISBLANK($C73),"",IF($Z73&lt;&gt;Constants!$B$7,"",IF(AH73=1,AC73,AF73)))</f>
        <v/>
      </c>
      <c r="AT73" s="96" t="str">
        <f aca="false">IF(ISBLANK($C73),"",IF($Z73&lt;&gt;Constants!$B$7,$Z73,AJ73))</f>
        <v/>
      </c>
      <c r="AU73" s="97" t="str">
        <f aca="false">IF(ISBLANK($C73),"",IF($Z73&lt;&gt;Constants!$B$7,$Z73,AA73))</f>
        <v/>
      </c>
      <c r="AV73" s="98" t="str">
        <f aca="false">IF(ISBLANK($C73),"",AO73)</f>
        <v/>
      </c>
      <c r="AW73" s="98" t="str">
        <f aca="false">IF(ISBLANK($C73),"",AN73)</f>
        <v/>
      </c>
      <c r="AX73" s="99" t="str">
        <f aca="false">IF(ISBLANK($C73),"",IFERROR(_xlfn.SWITCH(AW73,Constants!$B$4,COUNTA($C$8:$C$507)+2,Constants!$B$5,COUNTA($C$8:$C$507)+1,Constants!$B$6,COUNTA($C$8:$C$507)),AW73))</f>
        <v/>
      </c>
      <c r="AY73" s="5"/>
      <c r="AZ73" s="100" t="n">
        <f aca="false">IF(OR(ISNUMBER(AW73),AW73=Constants!$B$4,AW73=Constants!$B$6,AW73=Constants!$B$5),1,0)</f>
        <v>0</v>
      </c>
      <c r="BA73" s="100" t="n">
        <v>66</v>
      </c>
      <c r="BB73" s="100" t="str">
        <f aca="false">IF(ISBLANK($C73),"",IF(ISNUMBER(AX73),AX73+ROW($B73)/1000,""))</f>
        <v/>
      </c>
      <c r="BC73" s="100" t="str">
        <f aca="false">IF(ISNUMBER(BB73),RANK(BB73,$BB$8:$BB$507,1),"")</f>
        <v/>
      </c>
      <c r="BD73" s="100" t="str">
        <f aca="false">IF(ISBLANK($C73),"",$B73)</f>
        <v/>
      </c>
      <c r="BE73" s="100" t="str">
        <f aca="false">IF(ISBLANK($C73),"",$C73)</f>
        <v/>
      </c>
      <c r="BF73" s="100" t="str">
        <f aca="false">IF(ISBLANK($C73),"",$D73)</f>
        <v/>
      </c>
      <c r="BG73" s="101" t="str">
        <f aca="false">AU73</f>
        <v/>
      </c>
      <c r="BH73" s="102" t="str">
        <f aca="false">AT73</f>
        <v/>
      </c>
      <c r="BI73" s="100" t="str">
        <f aca="false">IF(ISBLANK($C73),"",AW73)</f>
        <v/>
      </c>
      <c r="BJ73" s="103" t="str">
        <f aca="false">IF($BA73&gt;$AZ$7,"",VLOOKUP($BA73,$BC$8:$BI$507,7,FALSE()))</f>
        <v/>
      </c>
      <c r="BK73" s="104" t="str">
        <f aca="false">IF($BA73&gt;$AZ$7,"",VLOOKUP($BA73,$BC$8:$BI$507,2,FALSE()))</f>
        <v/>
      </c>
      <c r="BL73" s="104" t="str">
        <f aca="false">IF($BA73&gt;$AZ$7,"",VLOOKUP($BA73,$BC$8:$BI$507,3,FALSE()))</f>
        <v/>
      </c>
      <c r="BM73" s="104" t="str">
        <f aca="false">IF($BA73&gt;$AZ$7,"",VLOOKUP($BA73,$BC$8:$BI$507,4,FALSE()))</f>
        <v/>
      </c>
      <c r="BN73" s="104" t="str">
        <f aca="false">IF($BA73&gt;$AZ$7,"",VLOOKUP($BA73,$BC$8:$BI$507,5,FALSE()))</f>
        <v/>
      </c>
      <c r="BO73" s="105" t="str">
        <f aca="false">IF($BA73&gt;$AZ$7,"",VLOOKUP($BA73,$BC$8:$BI$507,6,FALSE()))</f>
        <v/>
      </c>
      <c r="BP73" s="52"/>
    </row>
    <row r="74" customFormat="false" ht="15.75" hidden="false" customHeight="false" outlineLevel="0" collapsed="false">
      <c r="A74" s="5"/>
      <c r="B74" s="118"/>
      <c r="C74" s="54"/>
      <c r="D74" s="55"/>
      <c r="E74" s="79"/>
      <c r="F74" s="57"/>
      <c r="G74" s="58"/>
      <c r="H74" s="58"/>
      <c r="I74" s="57"/>
      <c r="J74" s="58"/>
      <c r="K74" s="58"/>
      <c r="L74" s="57"/>
      <c r="M74" s="79"/>
      <c r="N74" s="60"/>
      <c r="O74" s="62" t="str">
        <f aca="false">IF(ISBLANK($C74),"",IF(E74=Constants!$B$2, TRUE(), IF(E74=Constants!$B$3, FALSE(), TRUE())))</f>
        <v/>
      </c>
      <c r="P74" s="62" t="str">
        <f aca="false">IF(ISBLANK($C74),"",IF(F74=Constants!$B$16,Constants!$B$9,IF(F74=Constants!$B$17,Constants!$B$10,Constants!$B$8)))</f>
        <v/>
      </c>
      <c r="Q74" s="62" t="str">
        <f aca="false">IF(ISBLANK($C74),"",IF(ISNUMBER(G74),IF(G74&gt;=0,G74,""),""))</f>
        <v/>
      </c>
      <c r="R74" s="62" t="str">
        <f aca="false">IF(ISBLANK($C74),"",IF(H74=Constants!$B$2, TRUE(), IF(H74=Constants!$B$3, FALSE(), TRUE())))</f>
        <v/>
      </c>
      <c r="S74" s="62" t="str">
        <f aca="false">IF(ISBLANK($C74),"",IF(I74=Constants!$B$2, TRUE(), IF(I74=Constants!$B$3, FALSE(), TRUE())))</f>
        <v/>
      </c>
      <c r="T74" s="62" t="str">
        <f aca="false">IF(ISBLANK($C74),"",IF(ISNUMBER(J74),IF(J74&gt;=0,J74,""),""))</f>
        <v/>
      </c>
      <c r="U74" s="62" t="str">
        <f aca="false">IF(ISBLANK($C74),"",IF(K74=Constants!$B$2, TRUE(), IF(K74=Constants!$B$3, FALSE(), TRUE())))</f>
        <v/>
      </c>
      <c r="V74" s="62" t="str">
        <f aca="false">IF(ISBLANK($C74),"",IF(L74=Constants!$B$2, TRUE(), IF(L74=Constants!$B$3, FALSE(), TRUE())))</f>
        <v/>
      </c>
      <c r="W74" s="62" t="str">
        <f aca="false">IF(ISBLANK($C74),"",IF(M74=Constants!$B$2, TRUE(), IF(M74=Constants!$B$3, FALSE(), FALSE())))</f>
        <v/>
      </c>
      <c r="X74" s="62" t="str">
        <f aca="false">IF(ISBLANK($C74),"",AND(Q74&lt;&gt;"",O74))</f>
        <v/>
      </c>
      <c r="Y74" s="62" t="str">
        <f aca="false">IF(ISBLANK($C74),"",AND(T74&lt;&gt;"",O74))</f>
        <v/>
      </c>
      <c r="Z74" s="62" t="str">
        <f aca="false">IF(ISBLANK($C74),"",IF(W74,Constants!$B$4,IF(COUNTA(E74:L74)=0,Constants!$B$5,IF(NOT(O74),Constants!$B$6,IF(AND(NOT(X74),NOT(Y74)),Constants!$B$6,Constants!$B$7)))))</f>
        <v/>
      </c>
      <c r="AA74" s="62" t="str">
        <f aca="false">IF(ISBLANK($C74),"",IF($Z74&lt;&gt;Constants!$B$7,$Z74,Constants!$B$20))</f>
        <v/>
      </c>
      <c r="AB74" s="62" t="str">
        <f aca="false">IF($Z74=Constants!$B$7,IF(X74,Q74,Constants!$B$13),"")</f>
        <v/>
      </c>
      <c r="AC74" s="62" t="str">
        <f aca="false">IF($Z74=Constants!$B$7,IF(X74,P74*IF(R74, 1, Constants!$B$11)*IF(S74, 1, Constants!$B$12),Constants!$B$13),"")</f>
        <v/>
      </c>
      <c r="AD74" s="62" t="str">
        <f aca="false">IF($Z74=Constants!$B$7,AB74*AC74,"")</f>
        <v/>
      </c>
      <c r="AE74" s="62" t="str">
        <f aca="false">IF($Z74=Constants!$B$7,IF(Y74,T74,Constants!$B$13),"")</f>
        <v/>
      </c>
      <c r="AF74" s="62" t="str">
        <f aca="false">IF($Z74=Constants!$B$7,IF(Y74,P74*IF(U74, 1, Constants!$B$11)*IF(V74, 1, Constants!$B$12),Constants!$B$13),"")</f>
        <v/>
      </c>
      <c r="AG74" s="62" t="str">
        <f aca="false">IF($Z74=Constants!$B$7,AE74*AF74,"")</f>
        <v/>
      </c>
      <c r="AH74" s="62" t="str">
        <f aca="false">IF($Z74=Constants!$B$7,IF(AG74&gt;AD74,2,1),"")</f>
        <v/>
      </c>
      <c r="AI74" s="62" t="str">
        <f aca="false">IF($Z74=Constants!$B$7,IF(AH74=1,2,1),"")</f>
        <v/>
      </c>
      <c r="AJ74" s="62" t="str">
        <f aca="false">IF(ISBLANK($C74),"",IF($Z74&lt;&gt;Constants!$B$7,$Z74,IF(AH74=1,AD74,AG74)))</f>
        <v/>
      </c>
      <c r="AK74" s="62" t="str">
        <f aca="false">IF(ISBLANK($C74),"",IF($Z74=Constants!$B$7,IF(ISNUMBER(AJ74),RANK(AJ74,$AJ$8:$AJ$507),Constants!$B$14),$Z74))</f>
        <v/>
      </c>
      <c r="AL74" s="62" t="str">
        <f aca="false">IF(ISBLANK($C74),"",IF($Z74=Constants!$B$7,IF(AI74=1,AD74,AG74),""))</f>
        <v/>
      </c>
      <c r="AM74" s="62" t="str">
        <f aca="false">IF(ISBLANK($C74),"",IF($Z74=Constants!$B$7,RANK(AL74,$AL$8:$AL$507),$Z74))</f>
        <v/>
      </c>
      <c r="AN74" s="62" t="str">
        <f aca="false">IF(ISBLANK($C74),"",IF($Z74=Constants!$B$7,IF(ISNUMBER(AK74),COUNTIFS($AK$8:$AK$507,"&lt;"&amp;$AK74)+COUNTIFS($AK$8:$AK$507,$AK74,$AM$8:$AM$507,"&lt;"&amp;$AM74)+1,Constants!$B$14),$Z74))</f>
        <v/>
      </c>
      <c r="AO74" s="62" t="str">
        <f aca="false">IF(ISBLANK($C74),"",IF($Z74=Constants!$B$7,IF(ISNUMBER(AK74),AK74-AN74,Constants!$B$14),$Z74))</f>
        <v/>
      </c>
      <c r="AP74" s="64"/>
      <c r="AQ74" s="65" t="str">
        <f aca="false">IF(ISBLANK($C74),"",IF($Z74&lt;&gt;Constants!$B$7,"",AH74))</f>
        <v/>
      </c>
      <c r="AR74" s="80" t="str">
        <f aca="false">IF(ISBLANK($C74),"",IF($Z74&lt;&gt;Constants!$B$7,"",IF(AH74=1,AB74,AE74)))</f>
        <v/>
      </c>
      <c r="AS74" s="67" t="str">
        <f aca="false">IF(ISBLANK($C74),"",IF($Z74&lt;&gt;Constants!$B$7,"",IF(AH74=1,AC74,AF74)))</f>
        <v/>
      </c>
      <c r="AT74" s="68" t="str">
        <f aca="false">IF(ISBLANK($C74),"",IF($Z74&lt;&gt;Constants!$B$7,$Z74,AJ74))</f>
        <v/>
      </c>
      <c r="AU74" s="69" t="str">
        <f aca="false">IF(ISBLANK($C74),"",IF($Z74&lt;&gt;Constants!$B$7,$Z74,AA74))</f>
        <v/>
      </c>
      <c r="AV74" s="70" t="str">
        <f aca="false">IF(ISBLANK($C74),"",AO74)</f>
        <v/>
      </c>
      <c r="AW74" s="70" t="str">
        <f aca="false">IF(ISBLANK($C74),"",AN74)</f>
        <v/>
      </c>
      <c r="AX74" s="71" t="str">
        <f aca="false">IF(ISBLANK($C74),"",IFERROR(_xlfn.SWITCH(AW74,Constants!$B$4,COUNTA($C$8:$C$507)+2,Constants!$B$5,COUNTA($C$8:$C$507)+1,Constants!$B$6,COUNTA($C$8:$C$507)),AW74))</f>
        <v/>
      </c>
      <c r="AY74" s="5"/>
      <c r="AZ74" s="72" t="n">
        <f aca="false">IF(OR(ISNUMBER(AW74),AW74=Constants!$B$4,AW74=Constants!$B$6,AW74=Constants!$B$5),1,0)</f>
        <v>0</v>
      </c>
      <c r="BA74" s="72" t="n">
        <v>67</v>
      </c>
      <c r="BB74" s="72" t="str">
        <f aca="false">IF(ISBLANK($C74),"",IF(ISNUMBER(AX74),AX74+ROW($B74)/1000,""))</f>
        <v/>
      </c>
      <c r="BC74" s="72" t="str">
        <f aca="false">IF(ISNUMBER(BB74),RANK(BB74,$BB$8:$BB$507,1),"")</f>
        <v/>
      </c>
      <c r="BD74" s="72" t="str">
        <f aca="false">IF(ISBLANK($C74),"",$B74)</f>
        <v/>
      </c>
      <c r="BE74" s="72" t="str">
        <f aca="false">IF(ISBLANK($C74),"",$C74)</f>
        <v/>
      </c>
      <c r="BF74" s="72" t="str">
        <f aca="false">IF(ISBLANK($C74),"",$D74)</f>
        <v/>
      </c>
      <c r="BG74" s="73" t="str">
        <f aca="false">AU74</f>
        <v/>
      </c>
      <c r="BH74" s="74" t="str">
        <f aca="false">AT74</f>
        <v/>
      </c>
      <c r="BI74" s="72" t="str">
        <f aca="false">IF(ISBLANK($C74),"",AW74)</f>
        <v/>
      </c>
      <c r="BJ74" s="75" t="str">
        <f aca="false">IF($BA74&gt;$AZ$7,"",VLOOKUP($BA74,$BC$8:$BI$507,7,FALSE()))</f>
        <v/>
      </c>
      <c r="BK74" s="76" t="str">
        <f aca="false">IF($BA74&gt;$AZ$7,"",VLOOKUP($BA74,$BC$8:$BI$507,2,FALSE()))</f>
        <v/>
      </c>
      <c r="BL74" s="76" t="str">
        <f aca="false">IF($BA74&gt;$AZ$7,"",VLOOKUP($BA74,$BC$8:$BI$507,3,FALSE()))</f>
        <v/>
      </c>
      <c r="BM74" s="76" t="str">
        <f aca="false">IF($BA74&gt;$AZ$7,"",VLOOKUP($BA74,$BC$8:$BI$507,4,FALSE()))</f>
        <v/>
      </c>
      <c r="BN74" s="76" t="str">
        <f aca="false">IF($BA74&gt;$AZ$7,"",VLOOKUP($BA74,$BC$8:$BI$507,5,FALSE()))</f>
        <v/>
      </c>
      <c r="BO74" s="77" t="str">
        <f aca="false">IF($BA74&gt;$AZ$7,"",VLOOKUP($BA74,$BC$8:$BI$507,6,FALSE()))</f>
        <v/>
      </c>
      <c r="BP74" s="52"/>
    </row>
    <row r="75" customFormat="false" ht="15.75" hidden="false" customHeight="false" outlineLevel="0" collapsed="false">
      <c r="A75" s="5"/>
      <c r="B75" s="118"/>
      <c r="C75" s="54"/>
      <c r="D75" s="55"/>
      <c r="E75" s="79"/>
      <c r="F75" s="57"/>
      <c r="G75" s="58"/>
      <c r="H75" s="58"/>
      <c r="I75" s="57"/>
      <c r="J75" s="58"/>
      <c r="K75" s="58"/>
      <c r="L75" s="57"/>
      <c r="M75" s="79"/>
      <c r="N75" s="60"/>
      <c r="O75" s="62" t="str">
        <f aca="false">IF(ISBLANK($C75),"",IF(E75=Constants!$B$2, TRUE(), IF(E75=Constants!$B$3, FALSE(), TRUE())))</f>
        <v/>
      </c>
      <c r="P75" s="62" t="str">
        <f aca="false">IF(ISBLANK($C75),"",IF(F75=Constants!$B$16,Constants!$B$9,IF(F75=Constants!$B$17,Constants!$B$10,Constants!$B$8)))</f>
        <v/>
      </c>
      <c r="Q75" s="62" t="str">
        <f aca="false">IF(ISBLANK($C75),"",IF(ISNUMBER(G75),IF(G75&gt;=0,G75,""),""))</f>
        <v/>
      </c>
      <c r="R75" s="62" t="str">
        <f aca="false">IF(ISBLANK($C75),"",IF(H75=Constants!$B$2, TRUE(), IF(H75=Constants!$B$3, FALSE(), TRUE())))</f>
        <v/>
      </c>
      <c r="S75" s="62" t="str">
        <f aca="false">IF(ISBLANK($C75),"",IF(I75=Constants!$B$2, TRUE(), IF(I75=Constants!$B$3, FALSE(), TRUE())))</f>
        <v/>
      </c>
      <c r="T75" s="62" t="str">
        <f aca="false">IF(ISBLANK($C75),"",IF(ISNUMBER(J75),IF(J75&gt;=0,J75,""),""))</f>
        <v/>
      </c>
      <c r="U75" s="62" t="str">
        <f aca="false">IF(ISBLANK($C75),"",IF(K75=Constants!$B$2, TRUE(), IF(K75=Constants!$B$3, FALSE(), TRUE())))</f>
        <v/>
      </c>
      <c r="V75" s="62" t="str">
        <f aca="false">IF(ISBLANK($C75),"",IF(L75=Constants!$B$2, TRUE(), IF(L75=Constants!$B$3, FALSE(), TRUE())))</f>
        <v/>
      </c>
      <c r="W75" s="62" t="str">
        <f aca="false">IF(ISBLANK($C75),"",IF(M75=Constants!$B$2, TRUE(), IF(M75=Constants!$B$3, FALSE(), FALSE())))</f>
        <v/>
      </c>
      <c r="X75" s="62" t="str">
        <f aca="false">IF(ISBLANK($C75),"",AND(Q75&lt;&gt;"",O75))</f>
        <v/>
      </c>
      <c r="Y75" s="62" t="str">
        <f aca="false">IF(ISBLANK($C75),"",AND(T75&lt;&gt;"",O75))</f>
        <v/>
      </c>
      <c r="Z75" s="62" t="str">
        <f aca="false">IF(ISBLANK($C75),"",IF(W75,Constants!$B$4,IF(COUNTA(E75:L75)=0,Constants!$B$5,IF(NOT(O75),Constants!$B$6,IF(AND(NOT(X75),NOT(Y75)),Constants!$B$6,Constants!$B$7)))))</f>
        <v/>
      </c>
      <c r="AA75" s="62" t="str">
        <f aca="false">IF(ISBLANK($C75),"",IF($Z75&lt;&gt;Constants!$B$7,$Z75,Constants!$B$20))</f>
        <v/>
      </c>
      <c r="AB75" s="62" t="str">
        <f aca="false">IF($Z75=Constants!$B$7,IF(X75,Q75,Constants!$B$13),"")</f>
        <v/>
      </c>
      <c r="AC75" s="62" t="str">
        <f aca="false">IF($Z75=Constants!$B$7,IF(X75,P75*IF(R75, 1, Constants!$B$11)*IF(S75, 1, Constants!$B$12),Constants!$B$13),"")</f>
        <v/>
      </c>
      <c r="AD75" s="62" t="str">
        <f aca="false">IF($Z75=Constants!$B$7,AB75*AC75,"")</f>
        <v/>
      </c>
      <c r="AE75" s="62" t="str">
        <f aca="false">IF($Z75=Constants!$B$7,IF(Y75,T75,Constants!$B$13),"")</f>
        <v/>
      </c>
      <c r="AF75" s="62" t="str">
        <f aca="false">IF($Z75=Constants!$B$7,IF(Y75,P75*IF(U75, 1, Constants!$B$11)*IF(V75, 1, Constants!$B$12),Constants!$B$13),"")</f>
        <v/>
      </c>
      <c r="AG75" s="62" t="str">
        <f aca="false">IF($Z75=Constants!$B$7,AE75*AF75,"")</f>
        <v/>
      </c>
      <c r="AH75" s="62" t="str">
        <f aca="false">IF($Z75=Constants!$B$7,IF(AG75&gt;AD75,2,1),"")</f>
        <v/>
      </c>
      <c r="AI75" s="62" t="str">
        <f aca="false">IF($Z75=Constants!$B$7,IF(AH75=1,2,1),"")</f>
        <v/>
      </c>
      <c r="AJ75" s="62" t="str">
        <f aca="false">IF(ISBLANK($C75),"",IF($Z75&lt;&gt;Constants!$B$7,$Z75,IF(AH75=1,AD75,AG75)))</f>
        <v/>
      </c>
      <c r="AK75" s="62" t="str">
        <f aca="false">IF(ISBLANK($C75),"",IF($Z75=Constants!$B$7,IF(ISNUMBER(AJ75),RANK(AJ75,$AJ$8:$AJ$507),Constants!$B$14),$Z75))</f>
        <v/>
      </c>
      <c r="AL75" s="62" t="str">
        <f aca="false">IF(ISBLANK($C75),"",IF($Z75=Constants!$B$7,IF(AI75=1,AD75,AG75),""))</f>
        <v/>
      </c>
      <c r="AM75" s="62" t="str">
        <f aca="false">IF(ISBLANK($C75),"",IF($Z75=Constants!$B$7,RANK(AL75,$AL$8:$AL$507),$Z75))</f>
        <v/>
      </c>
      <c r="AN75" s="62" t="str">
        <f aca="false">IF(ISBLANK($C75),"",IF($Z75=Constants!$B$7,IF(ISNUMBER(AK75),COUNTIFS($AK$8:$AK$507,"&lt;"&amp;$AK75)+COUNTIFS($AK$8:$AK$507,$AK75,$AM$8:$AM$507,"&lt;"&amp;$AM75)+1,Constants!$B$14),$Z75))</f>
        <v/>
      </c>
      <c r="AO75" s="62" t="str">
        <f aca="false">IF(ISBLANK($C75),"",IF($Z75=Constants!$B$7,IF(ISNUMBER(AK75),AK75-AN75,Constants!$B$14),$Z75))</f>
        <v/>
      </c>
      <c r="AP75" s="64"/>
      <c r="AQ75" s="65" t="str">
        <f aca="false">IF(ISBLANK($C75),"",IF($Z75&lt;&gt;Constants!$B$7,"",AH75))</f>
        <v/>
      </c>
      <c r="AR75" s="80" t="str">
        <f aca="false">IF(ISBLANK($C75),"",IF($Z75&lt;&gt;Constants!$B$7,"",IF(AH75=1,AB75,AE75)))</f>
        <v/>
      </c>
      <c r="AS75" s="67" t="str">
        <f aca="false">IF(ISBLANK($C75),"",IF($Z75&lt;&gt;Constants!$B$7,"",IF(AH75=1,AC75,AF75)))</f>
        <v/>
      </c>
      <c r="AT75" s="68" t="str">
        <f aca="false">IF(ISBLANK($C75),"",IF($Z75&lt;&gt;Constants!$B$7,$Z75,AJ75))</f>
        <v/>
      </c>
      <c r="AU75" s="69" t="str">
        <f aca="false">IF(ISBLANK($C75),"",IF($Z75&lt;&gt;Constants!$B$7,$Z75,AA75))</f>
        <v/>
      </c>
      <c r="AV75" s="70" t="str">
        <f aca="false">IF(ISBLANK($C75),"",AO75)</f>
        <v/>
      </c>
      <c r="AW75" s="70" t="str">
        <f aca="false">IF(ISBLANK($C75),"",AN75)</f>
        <v/>
      </c>
      <c r="AX75" s="71" t="str">
        <f aca="false">IF(ISBLANK($C75),"",IFERROR(_xlfn.SWITCH(AW75,Constants!$B$4,COUNTA($C$8:$C$507)+2,Constants!$B$5,COUNTA($C$8:$C$507)+1,Constants!$B$6,COUNTA($C$8:$C$507)),AW75))</f>
        <v/>
      </c>
      <c r="AY75" s="5"/>
      <c r="AZ75" s="72" t="n">
        <f aca="false">IF(OR(ISNUMBER(AW75),AW75=Constants!$B$4,AW75=Constants!$B$6,AW75=Constants!$B$5),1,0)</f>
        <v>0</v>
      </c>
      <c r="BA75" s="72" t="n">
        <v>68</v>
      </c>
      <c r="BB75" s="72" t="str">
        <f aca="false">IF(ISBLANK($C75),"",IF(ISNUMBER(AX75),AX75+ROW($B75)/1000,""))</f>
        <v/>
      </c>
      <c r="BC75" s="72" t="str">
        <f aca="false">IF(ISNUMBER(BB75),RANK(BB75,$BB$8:$BB$507,1),"")</f>
        <v/>
      </c>
      <c r="BD75" s="72" t="str">
        <f aca="false">IF(ISBLANK($C75),"",$B75)</f>
        <v/>
      </c>
      <c r="BE75" s="72" t="str">
        <f aca="false">IF(ISBLANK($C75),"",$C75)</f>
        <v/>
      </c>
      <c r="BF75" s="72" t="str">
        <f aca="false">IF(ISBLANK($C75),"",$D75)</f>
        <v/>
      </c>
      <c r="BG75" s="73" t="str">
        <f aca="false">AU75</f>
        <v/>
      </c>
      <c r="BH75" s="74" t="str">
        <f aca="false">AT75</f>
        <v/>
      </c>
      <c r="BI75" s="72" t="str">
        <f aca="false">IF(ISBLANK($C75),"",AW75)</f>
        <v/>
      </c>
      <c r="BJ75" s="75" t="str">
        <f aca="false">IF($BA75&gt;$AZ$7,"",VLOOKUP($BA75,$BC$8:$BI$507,7,FALSE()))</f>
        <v/>
      </c>
      <c r="BK75" s="76" t="str">
        <f aca="false">IF($BA75&gt;$AZ$7,"",VLOOKUP($BA75,$BC$8:$BI$507,2,FALSE()))</f>
        <v/>
      </c>
      <c r="BL75" s="76" t="str">
        <f aca="false">IF($BA75&gt;$AZ$7,"",VLOOKUP($BA75,$BC$8:$BI$507,3,FALSE()))</f>
        <v/>
      </c>
      <c r="BM75" s="76" t="str">
        <f aca="false">IF($BA75&gt;$AZ$7,"",VLOOKUP($BA75,$BC$8:$BI$507,4,FALSE()))</f>
        <v/>
      </c>
      <c r="BN75" s="76" t="str">
        <f aca="false">IF($BA75&gt;$AZ$7,"",VLOOKUP($BA75,$BC$8:$BI$507,5,FALSE()))</f>
        <v/>
      </c>
      <c r="BO75" s="77" t="str">
        <f aca="false">IF($BA75&gt;$AZ$7,"",VLOOKUP($BA75,$BC$8:$BI$507,6,FALSE()))</f>
        <v/>
      </c>
      <c r="BP75" s="52"/>
    </row>
    <row r="76" customFormat="false" ht="15.75" hidden="false" customHeight="false" outlineLevel="0" collapsed="false">
      <c r="A76" s="5"/>
      <c r="B76" s="118"/>
      <c r="C76" s="54"/>
      <c r="D76" s="55"/>
      <c r="E76" s="79"/>
      <c r="F76" s="57"/>
      <c r="G76" s="58"/>
      <c r="H76" s="58"/>
      <c r="I76" s="57"/>
      <c r="J76" s="58"/>
      <c r="K76" s="58"/>
      <c r="L76" s="57"/>
      <c r="M76" s="79"/>
      <c r="N76" s="60"/>
      <c r="O76" s="62" t="str">
        <f aca="false">IF(ISBLANK($C76),"",IF(E76=Constants!$B$2, TRUE(), IF(E76=Constants!$B$3, FALSE(), TRUE())))</f>
        <v/>
      </c>
      <c r="P76" s="62" t="str">
        <f aca="false">IF(ISBLANK($C76),"",IF(F76=Constants!$B$16,Constants!$B$9,IF(F76=Constants!$B$17,Constants!$B$10,Constants!$B$8)))</f>
        <v/>
      </c>
      <c r="Q76" s="62" t="str">
        <f aca="false">IF(ISBLANK($C76),"",IF(ISNUMBER(G76),IF(G76&gt;=0,G76,""),""))</f>
        <v/>
      </c>
      <c r="R76" s="62" t="str">
        <f aca="false">IF(ISBLANK($C76),"",IF(H76=Constants!$B$2, TRUE(), IF(H76=Constants!$B$3, FALSE(), TRUE())))</f>
        <v/>
      </c>
      <c r="S76" s="62" t="str">
        <f aca="false">IF(ISBLANK($C76),"",IF(I76=Constants!$B$2, TRUE(), IF(I76=Constants!$B$3, FALSE(), TRUE())))</f>
        <v/>
      </c>
      <c r="T76" s="62" t="str">
        <f aca="false">IF(ISBLANK($C76),"",IF(ISNUMBER(J76),IF(J76&gt;=0,J76,""),""))</f>
        <v/>
      </c>
      <c r="U76" s="62" t="str">
        <f aca="false">IF(ISBLANK($C76),"",IF(K76=Constants!$B$2, TRUE(), IF(K76=Constants!$B$3, FALSE(), TRUE())))</f>
        <v/>
      </c>
      <c r="V76" s="62" t="str">
        <f aca="false">IF(ISBLANK($C76),"",IF(L76=Constants!$B$2, TRUE(), IF(L76=Constants!$B$3, FALSE(), TRUE())))</f>
        <v/>
      </c>
      <c r="W76" s="62" t="str">
        <f aca="false">IF(ISBLANK($C76),"",IF(M76=Constants!$B$2, TRUE(), IF(M76=Constants!$B$3, FALSE(), FALSE())))</f>
        <v/>
      </c>
      <c r="X76" s="62" t="str">
        <f aca="false">IF(ISBLANK($C76),"",AND(Q76&lt;&gt;"",O76))</f>
        <v/>
      </c>
      <c r="Y76" s="62" t="str">
        <f aca="false">IF(ISBLANK($C76),"",AND(T76&lt;&gt;"",O76))</f>
        <v/>
      </c>
      <c r="Z76" s="62" t="str">
        <f aca="false">IF(ISBLANK($C76),"",IF(W76,Constants!$B$4,IF(COUNTA(E76:L76)=0,Constants!$B$5,IF(NOT(O76),Constants!$B$6,IF(AND(NOT(X76),NOT(Y76)),Constants!$B$6,Constants!$B$7)))))</f>
        <v/>
      </c>
      <c r="AA76" s="62" t="str">
        <f aca="false">IF(ISBLANK($C76),"",IF($Z76&lt;&gt;Constants!$B$7,$Z76,Constants!$B$20))</f>
        <v/>
      </c>
      <c r="AB76" s="62" t="str">
        <f aca="false">IF($Z76=Constants!$B$7,IF(X76,Q76,Constants!$B$13),"")</f>
        <v/>
      </c>
      <c r="AC76" s="62" t="str">
        <f aca="false">IF($Z76=Constants!$B$7,IF(X76,P76*IF(R76, 1, Constants!$B$11)*IF(S76, 1, Constants!$B$12),Constants!$B$13),"")</f>
        <v/>
      </c>
      <c r="AD76" s="62" t="str">
        <f aca="false">IF($Z76=Constants!$B$7,AB76*AC76,"")</f>
        <v/>
      </c>
      <c r="AE76" s="62" t="str">
        <f aca="false">IF($Z76=Constants!$B$7,IF(Y76,T76,Constants!$B$13),"")</f>
        <v/>
      </c>
      <c r="AF76" s="62" t="str">
        <f aca="false">IF($Z76=Constants!$B$7,IF(Y76,P76*IF(U76, 1, Constants!$B$11)*IF(V76, 1, Constants!$B$12),Constants!$B$13),"")</f>
        <v/>
      </c>
      <c r="AG76" s="62" t="str">
        <f aca="false">IF($Z76=Constants!$B$7,AE76*AF76,"")</f>
        <v/>
      </c>
      <c r="AH76" s="62" t="str">
        <f aca="false">IF($Z76=Constants!$B$7,IF(AG76&gt;AD76,2,1),"")</f>
        <v/>
      </c>
      <c r="AI76" s="62" t="str">
        <f aca="false">IF($Z76=Constants!$B$7,IF(AH76=1,2,1),"")</f>
        <v/>
      </c>
      <c r="AJ76" s="62" t="str">
        <f aca="false">IF(ISBLANK($C76),"",IF($Z76&lt;&gt;Constants!$B$7,$Z76,IF(AH76=1,AD76,AG76)))</f>
        <v/>
      </c>
      <c r="AK76" s="62" t="str">
        <f aca="false">IF(ISBLANK($C76),"",IF($Z76=Constants!$B$7,IF(ISNUMBER(AJ76),RANK(AJ76,$AJ$8:$AJ$507),Constants!$B$14),$Z76))</f>
        <v/>
      </c>
      <c r="AL76" s="62" t="str">
        <f aca="false">IF(ISBLANK($C76),"",IF($Z76=Constants!$B$7,IF(AI76=1,AD76,AG76),""))</f>
        <v/>
      </c>
      <c r="AM76" s="62" t="str">
        <f aca="false">IF(ISBLANK($C76),"",IF($Z76=Constants!$B$7,RANK(AL76,$AL$8:$AL$507),$Z76))</f>
        <v/>
      </c>
      <c r="AN76" s="62" t="str">
        <f aca="false">IF(ISBLANK($C76),"",IF($Z76=Constants!$B$7,IF(ISNUMBER(AK76),COUNTIFS($AK$8:$AK$507,"&lt;"&amp;$AK76)+COUNTIFS($AK$8:$AK$507,$AK76,$AM$8:$AM$507,"&lt;"&amp;$AM76)+1,Constants!$B$14),$Z76))</f>
        <v/>
      </c>
      <c r="AO76" s="62" t="str">
        <f aca="false">IF(ISBLANK($C76),"",IF($Z76=Constants!$B$7,IF(ISNUMBER(AK76),AK76-AN76,Constants!$B$14),$Z76))</f>
        <v/>
      </c>
      <c r="AP76" s="64"/>
      <c r="AQ76" s="65" t="str">
        <f aca="false">IF(ISBLANK($C76),"",IF($Z76&lt;&gt;Constants!$B$7,"",AH76))</f>
        <v/>
      </c>
      <c r="AR76" s="80" t="str">
        <f aca="false">IF(ISBLANK($C76),"",IF($Z76&lt;&gt;Constants!$B$7,"",IF(AH76=1,AB76,AE76)))</f>
        <v/>
      </c>
      <c r="AS76" s="67" t="str">
        <f aca="false">IF(ISBLANK($C76),"",IF($Z76&lt;&gt;Constants!$B$7,"",IF(AH76=1,AC76,AF76)))</f>
        <v/>
      </c>
      <c r="AT76" s="68" t="str">
        <f aca="false">IF(ISBLANK($C76),"",IF($Z76&lt;&gt;Constants!$B$7,$Z76,AJ76))</f>
        <v/>
      </c>
      <c r="AU76" s="69" t="str">
        <f aca="false">IF(ISBLANK($C76),"",IF($Z76&lt;&gt;Constants!$B$7,$Z76,AA76))</f>
        <v/>
      </c>
      <c r="AV76" s="70" t="str">
        <f aca="false">IF(ISBLANK($C76),"",AO76)</f>
        <v/>
      </c>
      <c r="AW76" s="70" t="str">
        <f aca="false">IF(ISBLANK($C76),"",AN76)</f>
        <v/>
      </c>
      <c r="AX76" s="71" t="str">
        <f aca="false">IF(ISBLANK($C76),"",IFERROR(_xlfn.SWITCH(AW76,Constants!$B$4,COUNTA($C$8:$C$507)+2,Constants!$B$5,COUNTA($C$8:$C$507)+1,Constants!$B$6,COUNTA($C$8:$C$507)),AW76))</f>
        <v/>
      </c>
      <c r="AY76" s="5"/>
      <c r="AZ76" s="72" t="n">
        <f aca="false">IF(OR(ISNUMBER(AW76),AW76=Constants!$B$4,AW76=Constants!$B$6,AW76=Constants!$B$5),1,0)</f>
        <v>0</v>
      </c>
      <c r="BA76" s="72" t="n">
        <v>69</v>
      </c>
      <c r="BB76" s="72" t="str">
        <f aca="false">IF(ISBLANK($C76),"",IF(ISNUMBER(AX76),AX76+ROW($B76)/1000,""))</f>
        <v/>
      </c>
      <c r="BC76" s="72" t="str">
        <f aca="false">IF(ISNUMBER(BB76),RANK(BB76,$BB$8:$BB$507,1),"")</f>
        <v/>
      </c>
      <c r="BD76" s="72" t="str">
        <f aca="false">IF(ISBLANK($C76),"",$B76)</f>
        <v/>
      </c>
      <c r="BE76" s="72" t="str">
        <f aca="false">IF(ISBLANK($C76),"",$C76)</f>
        <v/>
      </c>
      <c r="BF76" s="72" t="str">
        <f aca="false">IF(ISBLANK($C76),"",$D76)</f>
        <v/>
      </c>
      <c r="BG76" s="73" t="str">
        <f aca="false">AU76</f>
        <v/>
      </c>
      <c r="BH76" s="74" t="str">
        <f aca="false">AT76</f>
        <v/>
      </c>
      <c r="BI76" s="72" t="str">
        <f aca="false">IF(ISBLANK($C76),"",AW76)</f>
        <v/>
      </c>
      <c r="BJ76" s="75" t="str">
        <f aca="false">IF($BA76&gt;$AZ$7,"",VLOOKUP($BA76,$BC$8:$BI$507,7,FALSE()))</f>
        <v/>
      </c>
      <c r="BK76" s="76" t="str">
        <f aca="false">IF($BA76&gt;$AZ$7,"",VLOOKUP($BA76,$BC$8:$BI$507,2,FALSE()))</f>
        <v/>
      </c>
      <c r="BL76" s="76" t="str">
        <f aca="false">IF($BA76&gt;$AZ$7,"",VLOOKUP($BA76,$BC$8:$BI$507,3,FALSE()))</f>
        <v/>
      </c>
      <c r="BM76" s="76" t="str">
        <f aca="false">IF($BA76&gt;$AZ$7,"",VLOOKUP($BA76,$BC$8:$BI$507,4,FALSE()))</f>
        <v/>
      </c>
      <c r="BN76" s="76" t="str">
        <f aca="false">IF($BA76&gt;$AZ$7,"",VLOOKUP($BA76,$BC$8:$BI$507,5,FALSE()))</f>
        <v/>
      </c>
      <c r="BO76" s="77" t="str">
        <f aca="false">IF($BA76&gt;$AZ$7,"",VLOOKUP($BA76,$BC$8:$BI$507,6,FALSE()))</f>
        <v/>
      </c>
      <c r="BP76" s="52"/>
    </row>
    <row r="77" customFormat="false" ht="15.75" hidden="false" customHeight="false" outlineLevel="0" collapsed="false">
      <c r="A77" s="5"/>
      <c r="B77" s="114"/>
      <c r="C77" s="115"/>
      <c r="D77" s="106"/>
      <c r="E77" s="117"/>
      <c r="F77" s="87"/>
      <c r="G77" s="88"/>
      <c r="H77" s="88"/>
      <c r="I77" s="87"/>
      <c r="J77" s="88"/>
      <c r="K77" s="88"/>
      <c r="L77" s="87"/>
      <c r="M77" s="117"/>
      <c r="N77" s="90"/>
      <c r="O77" s="91" t="str">
        <f aca="false">IF(ISBLANK($C77),"",IF(E77=Constants!$B$2, TRUE(), IF(E77=Constants!$B$3, FALSE(), TRUE())))</f>
        <v/>
      </c>
      <c r="P77" s="91" t="str">
        <f aca="false">IF(ISBLANK($C77),"",IF(F77=Constants!$B$16,Constants!$B$9,IF(F77=Constants!$B$17,Constants!$B$10,Constants!$B$8)))</f>
        <v/>
      </c>
      <c r="Q77" s="91" t="str">
        <f aca="false">IF(ISBLANK($C77),"",IF(ISNUMBER(G77),IF(G77&gt;=0,G77,""),""))</f>
        <v/>
      </c>
      <c r="R77" s="91" t="str">
        <f aca="false">IF(ISBLANK($C77),"",IF(H77=Constants!$B$2, TRUE(), IF(H77=Constants!$B$3, FALSE(), TRUE())))</f>
        <v/>
      </c>
      <c r="S77" s="91" t="str">
        <f aca="false">IF(ISBLANK($C77),"",IF(I77=Constants!$B$2, TRUE(), IF(I77=Constants!$B$3, FALSE(), TRUE())))</f>
        <v/>
      </c>
      <c r="T77" s="91" t="str">
        <f aca="false">IF(ISBLANK($C77),"",IF(ISNUMBER(J77),IF(J77&gt;=0,J77,""),""))</f>
        <v/>
      </c>
      <c r="U77" s="91" t="str">
        <f aca="false">IF(ISBLANK($C77),"",IF(K77=Constants!$B$2, TRUE(), IF(K77=Constants!$B$3, FALSE(), TRUE())))</f>
        <v/>
      </c>
      <c r="V77" s="91" t="str">
        <f aca="false">IF(ISBLANK($C77),"",IF(L77=Constants!$B$2, TRUE(), IF(L77=Constants!$B$3, FALSE(), TRUE())))</f>
        <v/>
      </c>
      <c r="W77" s="91" t="str">
        <f aca="false">IF(ISBLANK($C77),"",IF(M77=Constants!$B$2, TRUE(), IF(M77=Constants!$B$3, FALSE(), FALSE())))</f>
        <v/>
      </c>
      <c r="X77" s="91" t="str">
        <f aca="false">IF(ISBLANK($C77),"",AND(Q77&lt;&gt;"",O77))</f>
        <v/>
      </c>
      <c r="Y77" s="91" t="str">
        <f aca="false">IF(ISBLANK($C77),"",AND(T77&lt;&gt;"",O77))</f>
        <v/>
      </c>
      <c r="Z77" s="91" t="str">
        <f aca="false">IF(ISBLANK($C77),"",IF(W77,Constants!$B$4,IF(COUNTA(E77:L77)=0,Constants!$B$5,IF(NOT(O77),Constants!$B$6,IF(AND(NOT(X77),NOT(Y77)),Constants!$B$6,Constants!$B$7)))))</f>
        <v/>
      </c>
      <c r="AA77" s="91" t="str">
        <f aca="false">IF(ISBLANK($C77),"",IF($Z77&lt;&gt;Constants!$B$7,$Z77,Constants!$B$20))</f>
        <v/>
      </c>
      <c r="AB77" s="91" t="str">
        <f aca="false">IF($Z77=Constants!$B$7,IF(X77,Q77,Constants!$B$13),"")</f>
        <v/>
      </c>
      <c r="AC77" s="91" t="str">
        <f aca="false">IF($Z77=Constants!$B$7,IF(X77,P77*IF(R77, 1, Constants!$B$11)*IF(S77, 1, Constants!$B$12),Constants!$B$13),"")</f>
        <v/>
      </c>
      <c r="AD77" s="91" t="str">
        <f aca="false">IF($Z77=Constants!$B$7,AB77*AC77,"")</f>
        <v/>
      </c>
      <c r="AE77" s="91" t="str">
        <f aca="false">IF($Z77=Constants!$B$7,IF(Y77,T77,Constants!$B$13),"")</f>
        <v/>
      </c>
      <c r="AF77" s="91" t="str">
        <f aca="false">IF($Z77=Constants!$B$7,IF(Y77,P77*IF(U77, 1, Constants!$B$11)*IF(V77, 1, Constants!$B$12),Constants!$B$13),"")</f>
        <v/>
      </c>
      <c r="AG77" s="91" t="str">
        <f aca="false">IF($Z77=Constants!$B$7,AE77*AF77,"")</f>
        <v/>
      </c>
      <c r="AH77" s="91" t="str">
        <f aca="false">IF($Z77=Constants!$B$7,IF(AG77&gt;AD77,2,1),"")</f>
        <v/>
      </c>
      <c r="AI77" s="91" t="str">
        <f aca="false">IF($Z77=Constants!$B$7,IF(AH77=1,2,1),"")</f>
        <v/>
      </c>
      <c r="AJ77" s="91" t="str">
        <f aca="false">IF(ISBLANK($C77),"",IF($Z77&lt;&gt;Constants!$B$7,$Z77,IF(AH77=1,AD77,AG77)))</f>
        <v/>
      </c>
      <c r="AK77" s="91" t="str">
        <f aca="false">IF(ISBLANK($C77),"",IF($Z77=Constants!$B$7,IF(ISNUMBER(AJ77),RANK(AJ77,$AJ$8:$AJ$507),Constants!$B$14),$Z77))</f>
        <v/>
      </c>
      <c r="AL77" s="91" t="str">
        <f aca="false">IF(ISBLANK($C77),"",IF($Z77=Constants!$B$7,IF(AI77=1,AD77,AG77),""))</f>
        <v/>
      </c>
      <c r="AM77" s="91" t="str">
        <f aca="false">IF(ISBLANK($C77),"",IF($Z77=Constants!$B$7,RANK(AL77,$AL$8:$AL$507),$Z77))</f>
        <v/>
      </c>
      <c r="AN77" s="91" t="str">
        <f aca="false">IF(ISBLANK($C77),"",IF($Z77=Constants!$B$7,IF(ISNUMBER(AK77),COUNTIFS($AK$8:$AK$507,"&lt;"&amp;$AK77)+COUNTIFS($AK$8:$AK$507,$AK77,$AM$8:$AM$507,"&lt;"&amp;$AM77)+1,Constants!$B$14),$Z77))</f>
        <v/>
      </c>
      <c r="AO77" s="91" t="str">
        <f aca="false">IF(ISBLANK($C77),"",IF($Z77=Constants!$B$7,IF(ISNUMBER(AK77),AK77-AN77,Constants!$B$14),$Z77))</f>
        <v/>
      </c>
      <c r="AP77" s="92"/>
      <c r="AQ77" s="93" t="str">
        <f aca="false">IF(ISBLANK($C77),"",IF($Z77&lt;&gt;Constants!$B$7,"",AH77))</f>
        <v/>
      </c>
      <c r="AR77" s="94" t="str">
        <f aca="false">IF(ISBLANK($C77),"",IF($Z77&lt;&gt;Constants!$B$7,"",IF(AH77=1,AB77,AE77)))</f>
        <v/>
      </c>
      <c r="AS77" s="95" t="str">
        <f aca="false">IF(ISBLANK($C77),"",IF($Z77&lt;&gt;Constants!$B$7,"",IF(AH77=1,AC77,AF77)))</f>
        <v/>
      </c>
      <c r="AT77" s="96" t="str">
        <f aca="false">IF(ISBLANK($C77),"",IF($Z77&lt;&gt;Constants!$B$7,$Z77,AJ77))</f>
        <v/>
      </c>
      <c r="AU77" s="97" t="str">
        <f aca="false">IF(ISBLANK($C77),"",IF($Z77&lt;&gt;Constants!$B$7,$Z77,AA77))</f>
        <v/>
      </c>
      <c r="AV77" s="98" t="str">
        <f aca="false">IF(ISBLANK($C77),"",AO77)</f>
        <v/>
      </c>
      <c r="AW77" s="98" t="str">
        <f aca="false">IF(ISBLANK($C77),"",AN77)</f>
        <v/>
      </c>
      <c r="AX77" s="99" t="str">
        <f aca="false">IF(ISBLANK($C77),"",IFERROR(_xlfn.SWITCH(AW77,Constants!$B$4,COUNTA($C$8:$C$507)+2,Constants!$B$5,COUNTA($C$8:$C$507)+1,Constants!$B$6,COUNTA($C$8:$C$507)),AW77))</f>
        <v/>
      </c>
      <c r="AY77" s="5"/>
      <c r="AZ77" s="100" t="n">
        <f aca="false">IF(OR(ISNUMBER(AW77),AW77=Constants!$B$4,AW77=Constants!$B$6,AW77=Constants!$B$5),1,0)</f>
        <v>0</v>
      </c>
      <c r="BA77" s="100" t="n">
        <v>70</v>
      </c>
      <c r="BB77" s="100" t="str">
        <f aca="false">IF(ISBLANK($C77),"",IF(ISNUMBER(AX77),AX77+ROW($B77)/1000,""))</f>
        <v/>
      </c>
      <c r="BC77" s="100" t="str">
        <f aca="false">IF(ISNUMBER(BB77),RANK(BB77,$BB$8:$BB$507,1),"")</f>
        <v/>
      </c>
      <c r="BD77" s="100" t="str">
        <f aca="false">IF(ISBLANK($C77),"",$B77)</f>
        <v/>
      </c>
      <c r="BE77" s="100" t="str">
        <f aca="false">IF(ISBLANK($C77),"",$C77)</f>
        <v/>
      </c>
      <c r="BF77" s="100" t="str">
        <f aca="false">IF(ISBLANK($C77),"",$D77)</f>
        <v/>
      </c>
      <c r="BG77" s="101" t="str">
        <f aca="false">AU77</f>
        <v/>
      </c>
      <c r="BH77" s="102" t="str">
        <f aca="false">AT77</f>
        <v/>
      </c>
      <c r="BI77" s="100" t="str">
        <f aca="false">IF(ISBLANK($C77),"",AW77)</f>
        <v/>
      </c>
      <c r="BJ77" s="103" t="str">
        <f aca="false">IF($BA77&gt;$AZ$7,"",VLOOKUP($BA77,$BC$8:$BI$507,7,FALSE()))</f>
        <v/>
      </c>
      <c r="BK77" s="104" t="str">
        <f aca="false">IF($BA77&gt;$AZ$7,"",VLOOKUP($BA77,$BC$8:$BI$507,2,FALSE()))</f>
        <v/>
      </c>
      <c r="BL77" s="104" t="str">
        <f aca="false">IF($BA77&gt;$AZ$7,"",VLOOKUP($BA77,$BC$8:$BI$507,3,FALSE()))</f>
        <v/>
      </c>
      <c r="BM77" s="104" t="str">
        <f aca="false">IF($BA77&gt;$AZ$7,"",VLOOKUP($BA77,$BC$8:$BI$507,4,FALSE()))</f>
        <v/>
      </c>
      <c r="BN77" s="104" t="str">
        <f aca="false">IF($BA77&gt;$AZ$7,"",VLOOKUP($BA77,$BC$8:$BI$507,5,FALSE()))</f>
        <v/>
      </c>
      <c r="BO77" s="105" t="str">
        <f aca="false">IF($BA77&gt;$AZ$7,"",VLOOKUP($BA77,$BC$8:$BI$507,6,FALSE()))</f>
        <v/>
      </c>
      <c r="BP77" s="52"/>
    </row>
    <row r="78" customFormat="false" ht="15.75" hidden="false" customHeight="false" outlineLevel="0" collapsed="false">
      <c r="A78" s="5"/>
      <c r="B78" s="114"/>
      <c r="C78" s="115"/>
      <c r="D78" s="106"/>
      <c r="E78" s="117"/>
      <c r="F78" s="87"/>
      <c r="G78" s="88"/>
      <c r="H78" s="88"/>
      <c r="I78" s="87"/>
      <c r="J78" s="88"/>
      <c r="K78" s="88"/>
      <c r="L78" s="87"/>
      <c r="M78" s="117"/>
      <c r="N78" s="90"/>
      <c r="O78" s="91" t="str">
        <f aca="false">IF(ISBLANK($C78),"",IF(E78=Constants!$B$2, TRUE(), IF(E78=Constants!$B$3, FALSE(), TRUE())))</f>
        <v/>
      </c>
      <c r="P78" s="91" t="str">
        <f aca="false">IF(ISBLANK($C78),"",IF(F78=Constants!$B$16,Constants!$B$9,IF(F78=Constants!$B$17,Constants!$B$10,Constants!$B$8)))</f>
        <v/>
      </c>
      <c r="Q78" s="91" t="str">
        <f aca="false">IF(ISBLANK($C78),"",IF(ISNUMBER(G78),IF(G78&gt;=0,G78,""),""))</f>
        <v/>
      </c>
      <c r="R78" s="91" t="str">
        <f aca="false">IF(ISBLANK($C78),"",IF(H78=Constants!$B$2, TRUE(), IF(H78=Constants!$B$3, FALSE(), TRUE())))</f>
        <v/>
      </c>
      <c r="S78" s="91" t="str">
        <f aca="false">IF(ISBLANK($C78),"",IF(I78=Constants!$B$2, TRUE(), IF(I78=Constants!$B$3, FALSE(), TRUE())))</f>
        <v/>
      </c>
      <c r="T78" s="91" t="str">
        <f aca="false">IF(ISBLANK($C78),"",IF(ISNUMBER(J78),IF(J78&gt;=0,J78,""),""))</f>
        <v/>
      </c>
      <c r="U78" s="91" t="str">
        <f aca="false">IF(ISBLANK($C78),"",IF(K78=Constants!$B$2, TRUE(), IF(K78=Constants!$B$3, FALSE(), TRUE())))</f>
        <v/>
      </c>
      <c r="V78" s="91" t="str">
        <f aca="false">IF(ISBLANK($C78),"",IF(L78=Constants!$B$2, TRUE(), IF(L78=Constants!$B$3, FALSE(), TRUE())))</f>
        <v/>
      </c>
      <c r="W78" s="91" t="str">
        <f aca="false">IF(ISBLANK($C78),"",IF(M78=Constants!$B$2, TRUE(), IF(M78=Constants!$B$3, FALSE(), FALSE())))</f>
        <v/>
      </c>
      <c r="X78" s="91" t="str">
        <f aca="false">IF(ISBLANK($C78),"",AND(Q78&lt;&gt;"",O78))</f>
        <v/>
      </c>
      <c r="Y78" s="91" t="str">
        <f aca="false">IF(ISBLANK($C78),"",AND(T78&lt;&gt;"",O78))</f>
        <v/>
      </c>
      <c r="Z78" s="91" t="str">
        <f aca="false">IF(ISBLANK($C78),"",IF(W78,Constants!$B$4,IF(COUNTA(E78:L78)=0,Constants!$B$5,IF(NOT(O78),Constants!$B$6,IF(AND(NOT(X78),NOT(Y78)),Constants!$B$6,Constants!$B$7)))))</f>
        <v/>
      </c>
      <c r="AA78" s="91" t="str">
        <f aca="false">IF(ISBLANK($C78),"",IF($Z78&lt;&gt;Constants!$B$7,$Z78,Constants!$B$20))</f>
        <v/>
      </c>
      <c r="AB78" s="91" t="str">
        <f aca="false">IF($Z78=Constants!$B$7,IF(X78,Q78,Constants!$B$13),"")</f>
        <v/>
      </c>
      <c r="AC78" s="91" t="str">
        <f aca="false">IF($Z78=Constants!$B$7,IF(X78,P78*IF(R78, 1, Constants!$B$11)*IF(S78, 1, Constants!$B$12),Constants!$B$13),"")</f>
        <v/>
      </c>
      <c r="AD78" s="91" t="str">
        <f aca="false">IF($Z78=Constants!$B$7,AB78*AC78,"")</f>
        <v/>
      </c>
      <c r="AE78" s="91" t="str">
        <f aca="false">IF($Z78=Constants!$B$7,IF(Y78,T78,Constants!$B$13),"")</f>
        <v/>
      </c>
      <c r="AF78" s="91" t="str">
        <f aca="false">IF($Z78=Constants!$B$7,IF(Y78,P78*IF(U78, 1, Constants!$B$11)*IF(V78, 1, Constants!$B$12),Constants!$B$13),"")</f>
        <v/>
      </c>
      <c r="AG78" s="91" t="str">
        <f aca="false">IF($Z78=Constants!$B$7,AE78*AF78,"")</f>
        <v/>
      </c>
      <c r="AH78" s="91" t="str">
        <f aca="false">IF($Z78=Constants!$B$7,IF(AG78&gt;AD78,2,1),"")</f>
        <v/>
      </c>
      <c r="AI78" s="91" t="str">
        <f aca="false">IF($Z78=Constants!$B$7,IF(AH78=1,2,1),"")</f>
        <v/>
      </c>
      <c r="AJ78" s="91" t="str">
        <f aca="false">IF(ISBLANK($C78),"",IF($Z78&lt;&gt;Constants!$B$7,$Z78,IF(AH78=1,AD78,AG78)))</f>
        <v/>
      </c>
      <c r="AK78" s="91" t="str">
        <f aca="false">IF(ISBLANK($C78),"",IF($Z78=Constants!$B$7,IF(ISNUMBER(AJ78),RANK(AJ78,$AJ$8:$AJ$507),Constants!$B$14),$Z78))</f>
        <v/>
      </c>
      <c r="AL78" s="91" t="str">
        <f aca="false">IF(ISBLANK($C78),"",IF($Z78=Constants!$B$7,IF(AI78=1,AD78,AG78),""))</f>
        <v/>
      </c>
      <c r="AM78" s="91" t="str">
        <f aca="false">IF(ISBLANK($C78),"",IF($Z78=Constants!$B$7,RANK(AL78,$AL$8:$AL$507),$Z78))</f>
        <v/>
      </c>
      <c r="AN78" s="91" t="str">
        <f aca="false">IF(ISBLANK($C78),"",IF($Z78=Constants!$B$7,IF(ISNUMBER(AK78),COUNTIFS($AK$8:$AK$507,"&lt;"&amp;$AK78)+COUNTIFS($AK$8:$AK$507,$AK78,$AM$8:$AM$507,"&lt;"&amp;$AM78)+1,Constants!$B$14),$Z78))</f>
        <v/>
      </c>
      <c r="AO78" s="91" t="str">
        <f aca="false">IF(ISBLANK($C78),"",IF($Z78=Constants!$B$7,IF(ISNUMBER(AK78),AK78-AN78,Constants!$B$14),$Z78))</f>
        <v/>
      </c>
      <c r="AP78" s="92"/>
      <c r="AQ78" s="93" t="str">
        <f aca="false">IF(ISBLANK($C78),"",IF($Z78&lt;&gt;Constants!$B$7,"",AH78))</f>
        <v/>
      </c>
      <c r="AR78" s="94" t="str">
        <f aca="false">IF(ISBLANK($C78),"",IF($Z78&lt;&gt;Constants!$B$7,"",IF(AH78=1,AB78,AE78)))</f>
        <v/>
      </c>
      <c r="AS78" s="95" t="str">
        <f aca="false">IF(ISBLANK($C78),"",IF($Z78&lt;&gt;Constants!$B$7,"",IF(AH78=1,AC78,AF78)))</f>
        <v/>
      </c>
      <c r="AT78" s="96" t="str">
        <f aca="false">IF(ISBLANK($C78),"",IF($Z78&lt;&gt;Constants!$B$7,$Z78,AJ78))</f>
        <v/>
      </c>
      <c r="AU78" s="97" t="str">
        <f aca="false">IF(ISBLANK($C78),"",IF($Z78&lt;&gt;Constants!$B$7,$Z78,AA78))</f>
        <v/>
      </c>
      <c r="AV78" s="98" t="str">
        <f aca="false">IF(ISBLANK($C78),"",AO78)</f>
        <v/>
      </c>
      <c r="AW78" s="98" t="str">
        <f aca="false">IF(ISBLANK($C78),"",AN78)</f>
        <v/>
      </c>
      <c r="AX78" s="99" t="str">
        <f aca="false">IF(ISBLANK($C78),"",IFERROR(_xlfn.SWITCH(AW78,Constants!$B$4,COUNTA($C$8:$C$507)+2,Constants!$B$5,COUNTA($C$8:$C$507)+1,Constants!$B$6,COUNTA($C$8:$C$507)),AW78))</f>
        <v/>
      </c>
      <c r="AY78" s="5"/>
      <c r="AZ78" s="100" t="n">
        <f aca="false">IF(OR(ISNUMBER(AW78),AW78=Constants!$B$4,AW78=Constants!$B$6,AW78=Constants!$B$5),1,0)</f>
        <v>0</v>
      </c>
      <c r="BA78" s="100" t="n">
        <v>71</v>
      </c>
      <c r="BB78" s="100" t="str">
        <f aca="false">IF(ISBLANK($C78),"",IF(ISNUMBER(AX78),AX78+ROW($B78)/1000,""))</f>
        <v/>
      </c>
      <c r="BC78" s="100" t="str">
        <f aca="false">IF(ISNUMBER(BB78),RANK(BB78,$BB$8:$BB$507,1),"")</f>
        <v/>
      </c>
      <c r="BD78" s="100" t="str">
        <f aca="false">IF(ISBLANK($C78),"",$B78)</f>
        <v/>
      </c>
      <c r="BE78" s="100" t="str">
        <f aca="false">IF(ISBLANK($C78),"",$C78)</f>
        <v/>
      </c>
      <c r="BF78" s="100" t="str">
        <f aca="false">IF(ISBLANK($C78),"",$D78)</f>
        <v/>
      </c>
      <c r="BG78" s="101" t="str">
        <f aca="false">AU78</f>
        <v/>
      </c>
      <c r="BH78" s="102" t="str">
        <f aca="false">AT78</f>
        <v/>
      </c>
      <c r="BI78" s="100" t="str">
        <f aca="false">IF(ISBLANK($C78),"",AW78)</f>
        <v/>
      </c>
      <c r="BJ78" s="103" t="str">
        <f aca="false">IF($BA78&gt;$AZ$7,"",VLOOKUP($BA78,$BC$8:$BI$507,7,FALSE()))</f>
        <v/>
      </c>
      <c r="BK78" s="104" t="str">
        <f aca="false">IF($BA78&gt;$AZ$7,"",VLOOKUP($BA78,$BC$8:$BI$507,2,FALSE()))</f>
        <v/>
      </c>
      <c r="BL78" s="104" t="str">
        <f aca="false">IF($BA78&gt;$AZ$7,"",VLOOKUP($BA78,$BC$8:$BI$507,3,FALSE()))</f>
        <v/>
      </c>
      <c r="BM78" s="104" t="str">
        <f aca="false">IF($BA78&gt;$AZ$7,"",VLOOKUP($BA78,$BC$8:$BI$507,4,FALSE()))</f>
        <v/>
      </c>
      <c r="BN78" s="104" t="str">
        <f aca="false">IF($BA78&gt;$AZ$7,"",VLOOKUP($BA78,$BC$8:$BI$507,5,FALSE()))</f>
        <v/>
      </c>
      <c r="BO78" s="105" t="str">
        <f aca="false">IF($BA78&gt;$AZ$7,"",VLOOKUP($BA78,$BC$8:$BI$507,6,FALSE()))</f>
        <v/>
      </c>
      <c r="BP78" s="52"/>
    </row>
    <row r="79" customFormat="false" ht="15.75" hidden="false" customHeight="false" outlineLevel="0" collapsed="false">
      <c r="A79" s="5"/>
      <c r="B79" s="114"/>
      <c r="C79" s="115"/>
      <c r="D79" s="106"/>
      <c r="E79" s="117"/>
      <c r="F79" s="87"/>
      <c r="G79" s="88"/>
      <c r="H79" s="88"/>
      <c r="I79" s="87"/>
      <c r="J79" s="88"/>
      <c r="K79" s="88"/>
      <c r="L79" s="87"/>
      <c r="M79" s="117"/>
      <c r="N79" s="90"/>
      <c r="O79" s="91" t="str">
        <f aca="false">IF(ISBLANK($C79),"",IF(E79=Constants!$B$2, TRUE(), IF(E79=Constants!$B$3, FALSE(), TRUE())))</f>
        <v/>
      </c>
      <c r="P79" s="91" t="str">
        <f aca="false">IF(ISBLANK($C79),"",IF(F79=Constants!$B$16,Constants!$B$9,IF(F79=Constants!$B$17,Constants!$B$10,Constants!$B$8)))</f>
        <v/>
      </c>
      <c r="Q79" s="91" t="str">
        <f aca="false">IF(ISBLANK($C79),"",IF(ISNUMBER(G79),IF(G79&gt;=0,G79,""),""))</f>
        <v/>
      </c>
      <c r="R79" s="91" t="str">
        <f aca="false">IF(ISBLANK($C79),"",IF(H79=Constants!$B$2, TRUE(), IF(H79=Constants!$B$3, FALSE(), TRUE())))</f>
        <v/>
      </c>
      <c r="S79" s="91" t="str">
        <f aca="false">IF(ISBLANK($C79),"",IF(I79=Constants!$B$2, TRUE(), IF(I79=Constants!$B$3, FALSE(), TRUE())))</f>
        <v/>
      </c>
      <c r="T79" s="91" t="str">
        <f aca="false">IF(ISBLANK($C79),"",IF(ISNUMBER(J79),IF(J79&gt;=0,J79,""),""))</f>
        <v/>
      </c>
      <c r="U79" s="91" t="str">
        <f aca="false">IF(ISBLANK($C79),"",IF(K79=Constants!$B$2, TRUE(), IF(K79=Constants!$B$3, FALSE(), TRUE())))</f>
        <v/>
      </c>
      <c r="V79" s="91" t="str">
        <f aca="false">IF(ISBLANK($C79),"",IF(L79=Constants!$B$2, TRUE(), IF(L79=Constants!$B$3, FALSE(), TRUE())))</f>
        <v/>
      </c>
      <c r="W79" s="91" t="str">
        <f aca="false">IF(ISBLANK($C79),"",IF(M79=Constants!$B$2, TRUE(), IF(M79=Constants!$B$3, FALSE(), FALSE())))</f>
        <v/>
      </c>
      <c r="X79" s="91" t="str">
        <f aca="false">IF(ISBLANK($C79),"",AND(Q79&lt;&gt;"",O79))</f>
        <v/>
      </c>
      <c r="Y79" s="91" t="str">
        <f aca="false">IF(ISBLANK($C79),"",AND(T79&lt;&gt;"",O79))</f>
        <v/>
      </c>
      <c r="Z79" s="91" t="str">
        <f aca="false">IF(ISBLANK($C79),"",IF(W79,Constants!$B$4,IF(COUNTA(E79:L79)=0,Constants!$B$5,IF(NOT(O79),Constants!$B$6,IF(AND(NOT(X79),NOT(Y79)),Constants!$B$6,Constants!$B$7)))))</f>
        <v/>
      </c>
      <c r="AA79" s="91" t="str">
        <f aca="false">IF(ISBLANK($C79),"",IF($Z79&lt;&gt;Constants!$B$7,$Z79,Constants!$B$20))</f>
        <v/>
      </c>
      <c r="AB79" s="91" t="str">
        <f aca="false">IF($Z79=Constants!$B$7,IF(X79,Q79,Constants!$B$13),"")</f>
        <v/>
      </c>
      <c r="AC79" s="91" t="str">
        <f aca="false">IF($Z79=Constants!$B$7,IF(X79,P79*IF(R79, 1, Constants!$B$11)*IF(S79, 1, Constants!$B$12),Constants!$B$13),"")</f>
        <v/>
      </c>
      <c r="AD79" s="91" t="str">
        <f aca="false">IF($Z79=Constants!$B$7,AB79*AC79,"")</f>
        <v/>
      </c>
      <c r="AE79" s="91" t="str">
        <f aca="false">IF($Z79=Constants!$B$7,IF(Y79,T79,Constants!$B$13),"")</f>
        <v/>
      </c>
      <c r="AF79" s="91" t="str">
        <f aca="false">IF($Z79=Constants!$B$7,IF(Y79,P79*IF(U79, 1, Constants!$B$11)*IF(V79, 1, Constants!$B$12),Constants!$B$13),"")</f>
        <v/>
      </c>
      <c r="AG79" s="91" t="str">
        <f aca="false">IF($Z79=Constants!$B$7,AE79*AF79,"")</f>
        <v/>
      </c>
      <c r="AH79" s="91" t="str">
        <f aca="false">IF($Z79=Constants!$B$7,IF(AG79&gt;AD79,2,1),"")</f>
        <v/>
      </c>
      <c r="AI79" s="91" t="str">
        <f aca="false">IF($Z79=Constants!$B$7,IF(AH79=1,2,1),"")</f>
        <v/>
      </c>
      <c r="AJ79" s="91" t="str">
        <f aca="false">IF(ISBLANK($C79),"",IF($Z79&lt;&gt;Constants!$B$7,$Z79,IF(AH79=1,AD79,AG79)))</f>
        <v/>
      </c>
      <c r="AK79" s="91" t="str">
        <f aca="false">IF(ISBLANK($C79),"",IF($Z79=Constants!$B$7,IF(ISNUMBER(AJ79),RANK(AJ79,$AJ$8:$AJ$507),Constants!$B$14),$Z79))</f>
        <v/>
      </c>
      <c r="AL79" s="91" t="str">
        <f aca="false">IF(ISBLANK($C79),"",IF($Z79=Constants!$B$7,IF(AI79=1,AD79,AG79),""))</f>
        <v/>
      </c>
      <c r="AM79" s="91" t="str">
        <f aca="false">IF(ISBLANK($C79),"",IF($Z79=Constants!$B$7,RANK(AL79,$AL$8:$AL$507),$Z79))</f>
        <v/>
      </c>
      <c r="AN79" s="91" t="str">
        <f aca="false">IF(ISBLANK($C79),"",IF($Z79=Constants!$B$7,IF(ISNUMBER(AK79),COUNTIFS($AK$8:$AK$507,"&lt;"&amp;$AK79)+COUNTIFS($AK$8:$AK$507,$AK79,$AM$8:$AM$507,"&lt;"&amp;$AM79)+1,Constants!$B$14),$Z79))</f>
        <v/>
      </c>
      <c r="AO79" s="91" t="str">
        <f aca="false">IF(ISBLANK($C79),"",IF($Z79=Constants!$B$7,IF(ISNUMBER(AK79),AK79-AN79,Constants!$B$14),$Z79))</f>
        <v/>
      </c>
      <c r="AP79" s="92"/>
      <c r="AQ79" s="93" t="str">
        <f aca="false">IF(ISBLANK($C79),"",IF($Z79&lt;&gt;Constants!$B$7,"",AH79))</f>
        <v/>
      </c>
      <c r="AR79" s="94" t="str">
        <f aca="false">IF(ISBLANK($C79),"",IF($Z79&lt;&gt;Constants!$B$7,"",IF(AH79=1,AB79,AE79)))</f>
        <v/>
      </c>
      <c r="AS79" s="95" t="str">
        <f aca="false">IF(ISBLANK($C79),"",IF($Z79&lt;&gt;Constants!$B$7,"",IF(AH79=1,AC79,AF79)))</f>
        <v/>
      </c>
      <c r="AT79" s="96" t="str">
        <f aca="false">IF(ISBLANK($C79),"",IF($Z79&lt;&gt;Constants!$B$7,$Z79,AJ79))</f>
        <v/>
      </c>
      <c r="AU79" s="97" t="str">
        <f aca="false">IF(ISBLANK($C79),"",IF($Z79&lt;&gt;Constants!$B$7,$Z79,AA79))</f>
        <v/>
      </c>
      <c r="AV79" s="98" t="str">
        <f aca="false">IF(ISBLANK($C79),"",AO79)</f>
        <v/>
      </c>
      <c r="AW79" s="98" t="str">
        <f aca="false">IF(ISBLANK($C79),"",AN79)</f>
        <v/>
      </c>
      <c r="AX79" s="99" t="str">
        <f aca="false">IF(ISBLANK($C79),"",IFERROR(_xlfn.SWITCH(AW79,Constants!$B$4,COUNTA($C$8:$C$507)+2,Constants!$B$5,COUNTA($C$8:$C$507)+1,Constants!$B$6,COUNTA($C$8:$C$507)),AW79))</f>
        <v/>
      </c>
      <c r="AY79" s="5"/>
      <c r="AZ79" s="100" t="n">
        <f aca="false">IF(OR(ISNUMBER(AW79),AW79=Constants!$B$4,AW79=Constants!$B$6,AW79=Constants!$B$5),1,0)</f>
        <v>0</v>
      </c>
      <c r="BA79" s="100" t="n">
        <v>72</v>
      </c>
      <c r="BB79" s="100" t="str">
        <f aca="false">IF(ISBLANK($C79),"",IF(ISNUMBER(AX79),AX79+ROW($B79)/1000,""))</f>
        <v/>
      </c>
      <c r="BC79" s="100" t="str">
        <f aca="false">IF(ISNUMBER(BB79),RANK(BB79,$BB$8:$BB$507,1),"")</f>
        <v/>
      </c>
      <c r="BD79" s="100" t="str">
        <f aca="false">IF(ISBLANK($C79),"",$B79)</f>
        <v/>
      </c>
      <c r="BE79" s="100" t="str">
        <f aca="false">IF(ISBLANK($C79),"",$C79)</f>
        <v/>
      </c>
      <c r="BF79" s="100" t="str">
        <f aca="false">IF(ISBLANK($C79),"",$D79)</f>
        <v/>
      </c>
      <c r="BG79" s="101" t="str">
        <f aca="false">AU79</f>
        <v/>
      </c>
      <c r="BH79" s="102" t="str">
        <f aca="false">AT79</f>
        <v/>
      </c>
      <c r="BI79" s="100" t="str">
        <f aca="false">IF(ISBLANK($C79),"",AW79)</f>
        <v/>
      </c>
      <c r="BJ79" s="103" t="str">
        <f aca="false">IF($BA79&gt;$AZ$7,"",VLOOKUP($BA79,$BC$8:$BI$507,7,FALSE()))</f>
        <v/>
      </c>
      <c r="BK79" s="104" t="str">
        <f aca="false">IF($BA79&gt;$AZ$7,"",VLOOKUP($BA79,$BC$8:$BI$507,2,FALSE()))</f>
        <v/>
      </c>
      <c r="BL79" s="104" t="str">
        <f aca="false">IF($BA79&gt;$AZ$7,"",VLOOKUP($BA79,$BC$8:$BI$507,3,FALSE()))</f>
        <v/>
      </c>
      <c r="BM79" s="104" t="str">
        <f aca="false">IF($BA79&gt;$AZ$7,"",VLOOKUP($BA79,$BC$8:$BI$507,4,FALSE()))</f>
        <v/>
      </c>
      <c r="BN79" s="104" t="str">
        <f aca="false">IF($BA79&gt;$AZ$7,"",VLOOKUP($BA79,$BC$8:$BI$507,5,FALSE()))</f>
        <v/>
      </c>
      <c r="BO79" s="105" t="str">
        <f aca="false">IF($BA79&gt;$AZ$7,"",VLOOKUP($BA79,$BC$8:$BI$507,6,FALSE()))</f>
        <v/>
      </c>
      <c r="BP79" s="52"/>
    </row>
    <row r="80" customFormat="false" ht="15.75" hidden="false" customHeight="false" outlineLevel="0" collapsed="false">
      <c r="A80" s="5"/>
      <c r="B80" s="118"/>
      <c r="C80" s="54"/>
      <c r="D80" s="55"/>
      <c r="E80" s="79"/>
      <c r="F80" s="57"/>
      <c r="G80" s="58"/>
      <c r="H80" s="58"/>
      <c r="I80" s="57"/>
      <c r="J80" s="58"/>
      <c r="K80" s="58"/>
      <c r="L80" s="57"/>
      <c r="M80" s="79"/>
      <c r="N80" s="60"/>
      <c r="O80" s="62" t="str">
        <f aca="false">IF(ISBLANK($C80),"",IF(E80=Constants!$B$2, TRUE(), IF(E80=Constants!$B$3, FALSE(), TRUE())))</f>
        <v/>
      </c>
      <c r="P80" s="62" t="str">
        <f aca="false">IF(ISBLANK($C80),"",IF(F80=Constants!$B$16,Constants!$B$9,IF(F80=Constants!$B$17,Constants!$B$10,Constants!$B$8)))</f>
        <v/>
      </c>
      <c r="Q80" s="62" t="str">
        <f aca="false">IF(ISBLANK($C80),"",IF(ISNUMBER(G80),IF(G80&gt;=0,G80,""),""))</f>
        <v/>
      </c>
      <c r="R80" s="62" t="str">
        <f aca="false">IF(ISBLANK($C80),"",IF(H80=Constants!$B$2, TRUE(), IF(H80=Constants!$B$3, FALSE(), TRUE())))</f>
        <v/>
      </c>
      <c r="S80" s="62" t="str">
        <f aca="false">IF(ISBLANK($C80),"",IF(I80=Constants!$B$2, TRUE(), IF(I80=Constants!$B$3, FALSE(), TRUE())))</f>
        <v/>
      </c>
      <c r="T80" s="62" t="str">
        <f aca="false">IF(ISBLANK($C80),"",IF(ISNUMBER(J80),IF(J80&gt;=0,J80,""),""))</f>
        <v/>
      </c>
      <c r="U80" s="62" t="str">
        <f aca="false">IF(ISBLANK($C80),"",IF(K80=Constants!$B$2, TRUE(), IF(K80=Constants!$B$3, FALSE(), TRUE())))</f>
        <v/>
      </c>
      <c r="V80" s="62" t="str">
        <f aca="false">IF(ISBLANK($C80),"",IF(L80=Constants!$B$2, TRUE(), IF(L80=Constants!$B$3, FALSE(), TRUE())))</f>
        <v/>
      </c>
      <c r="W80" s="62" t="str">
        <f aca="false">IF(ISBLANK($C80),"",IF(M80=Constants!$B$2, TRUE(), IF(M80=Constants!$B$3, FALSE(), FALSE())))</f>
        <v/>
      </c>
      <c r="X80" s="62" t="str">
        <f aca="false">IF(ISBLANK($C80),"",AND(Q80&lt;&gt;"",O80))</f>
        <v/>
      </c>
      <c r="Y80" s="62" t="str">
        <f aca="false">IF(ISBLANK($C80),"",AND(T80&lt;&gt;"",O80))</f>
        <v/>
      </c>
      <c r="Z80" s="62" t="str">
        <f aca="false">IF(ISBLANK($C80),"",IF(W80,Constants!$B$4,IF(COUNTA(E80:L80)=0,Constants!$B$5,IF(NOT(O80),Constants!$B$6,IF(AND(NOT(X80),NOT(Y80)),Constants!$B$6,Constants!$B$7)))))</f>
        <v/>
      </c>
      <c r="AA80" s="62" t="str">
        <f aca="false">IF(ISBLANK($C80),"",IF($Z80&lt;&gt;Constants!$B$7,$Z80,Constants!$B$20))</f>
        <v/>
      </c>
      <c r="AB80" s="62" t="str">
        <f aca="false">IF($Z80=Constants!$B$7,IF(X80,Q80,Constants!$B$13),"")</f>
        <v/>
      </c>
      <c r="AC80" s="62" t="str">
        <f aca="false">IF($Z80=Constants!$B$7,IF(X80,P80*IF(R80, 1, Constants!$B$11)*IF(S80, 1, Constants!$B$12),Constants!$B$13),"")</f>
        <v/>
      </c>
      <c r="AD80" s="62" t="str">
        <f aca="false">IF($Z80=Constants!$B$7,AB80*AC80,"")</f>
        <v/>
      </c>
      <c r="AE80" s="62" t="str">
        <f aca="false">IF($Z80=Constants!$B$7,IF(Y80,T80,Constants!$B$13),"")</f>
        <v/>
      </c>
      <c r="AF80" s="62" t="str">
        <f aca="false">IF($Z80=Constants!$B$7,IF(Y80,P80*IF(U80, 1, Constants!$B$11)*IF(V80, 1, Constants!$B$12),Constants!$B$13),"")</f>
        <v/>
      </c>
      <c r="AG80" s="62" t="str">
        <f aca="false">IF($Z80=Constants!$B$7,AE80*AF80,"")</f>
        <v/>
      </c>
      <c r="AH80" s="62" t="str">
        <f aca="false">IF($Z80=Constants!$B$7,IF(AG80&gt;AD80,2,1),"")</f>
        <v/>
      </c>
      <c r="AI80" s="62" t="str">
        <f aca="false">IF($Z80=Constants!$B$7,IF(AH80=1,2,1),"")</f>
        <v/>
      </c>
      <c r="AJ80" s="62" t="str">
        <f aca="false">IF(ISBLANK($C80),"",IF($Z80&lt;&gt;Constants!$B$7,$Z80,IF(AH80=1,AD80,AG80)))</f>
        <v/>
      </c>
      <c r="AK80" s="62" t="str">
        <f aca="false">IF(ISBLANK($C80),"",IF($Z80=Constants!$B$7,IF(ISNUMBER(AJ80),RANK(AJ80,$AJ$8:$AJ$507),Constants!$B$14),$Z80))</f>
        <v/>
      </c>
      <c r="AL80" s="62" t="str">
        <f aca="false">IF(ISBLANK($C80),"",IF($Z80=Constants!$B$7,IF(AI80=1,AD80,AG80),""))</f>
        <v/>
      </c>
      <c r="AM80" s="62" t="str">
        <f aca="false">IF(ISBLANK($C80),"",IF($Z80=Constants!$B$7,RANK(AL80,$AL$8:$AL$507),$Z80))</f>
        <v/>
      </c>
      <c r="AN80" s="62" t="str">
        <f aca="false">IF(ISBLANK($C80),"",IF($Z80=Constants!$B$7,IF(ISNUMBER(AK80),COUNTIFS($AK$8:$AK$507,"&lt;"&amp;$AK80)+COUNTIFS($AK$8:$AK$507,$AK80,$AM$8:$AM$507,"&lt;"&amp;$AM80)+1,Constants!$B$14),$Z80))</f>
        <v/>
      </c>
      <c r="AO80" s="62" t="str">
        <f aca="false">IF(ISBLANK($C80),"",IF($Z80=Constants!$B$7,IF(ISNUMBER(AK80),AK80-AN80,Constants!$B$14),$Z80))</f>
        <v/>
      </c>
      <c r="AP80" s="64"/>
      <c r="AQ80" s="65" t="str">
        <f aca="false">IF(ISBLANK($C80),"",IF($Z80&lt;&gt;Constants!$B$7,"",AH80))</f>
        <v/>
      </c>
      <c r="AR80" s="80" t="str">
        <f aca="false">IF(ISBLANK($C80),"",IF($Z80&lt;&gt;Constants!$B$7,"",IF(AH80=1,AB80,AE80)))</f>
        <v/>
      </c>
      <c r="AS80" s="67" t="str">
        <f aca="false">IF(ISBLANK($C80),"",IF($Z80&lt;&gt;Constants!$B$7,"",IF(AH80=1,AC80,AF80)))</f>
        <v/>
      </c>
      <c r="AT80" s="68" t="str">
        <f aca="false">IF(ISBLANK($C80),"",IF($Z80&lt;&gt;Constants!$B$7,$Z80,AJ80))</f>
        <v/>
      </c>
      <c r="AU80" s="69" t="str">
        <f aca="false">IF(ISBLANK($C80),"",IF($Z80&lt;&gt;Constants!$B$7,$Z80,AA80))</f>
        <v/>
      </c>
      <c r="AV80" s="70" t="str">
        <f aca="false">IF(ISBLANK($C80),"",AO80)</f>
        <v/>
      </c>
      <c r="AW80" s="70" t="str">
        <f aca="false">IF(ISBLANK($C80),"",AN80)</f>
        <v/>
      </c>
      <c r="AX80" s="71" t="str">
        <f aca="false">IF(ISBLANK($C80),"",IFERROR(_xlfn.SWITCH(AW80,Constants!$B$4,COUNTA($C$8:$C$507)+2,Constants!$B$5,COUNTA($C$8:$C$507)+1,Constants!$B$6,COUNTA($C$8:$C$507)),AW80))</f>
        <v/>
      </c>
      <c r="AY80" s="5"/>
      <c r="AZ80" s="72" t="n">
        <f aca="false">IF(OR(ISNUMBER(AW80),AW80=Constants!$B$4,AW80=Constants!$B$6,AW80=Constants!$B$5),1,0)</f>
        <v>0</v>
      </c>
      <c r="BA80" s="72" t="n">
        <v>73</v>
      </c>
      <c r="BB80" s="72" t="str">
        <f aca="false">IF(ISBLANK($C80),"",IF(ISNUMBER(AX80),AX80+ROW($B80)/1000,""))</f>
        <v/>
      </c>
      <c r="BC80" s="72" t="str">
        <f aca="false">IF(ISNUMBER(BB80),RANK(BB80,$BB$8:$BB$507,1),"")</f>
        <v/>
      </c>
      <c r="BD80" s="72" t="str">
        <f aca="false">IF(ISBLANK($C80),"",$B80)</f>
        <v/>
      </c>
      <c r="BE80" s="72" t="str">
        <f aca="false">IF(ISBLANK($C80),"",$C80)</f>
        <v/>
      </c>
      <c r="BF80" s="72" t="str">
        <f aca="false">IF(ISBLANK($C80),"",$D80)</f>
        <v/>
      </c>
      <c r="BG80" s="73" t="str">
        <f aca="false">AU80</f>
        <v/>
      </c>
      <c r="BH80" s="74" t="str">
        <f aca="false">AT80</f>
        <v/>
      </c>
      <c r="BI80" s="72" t="str">
        <f aca="false">IF(ISBLANK($C80),"",AW80)</f>
        <v/>
      </c>
      <c r="BJ80" s="75" t="str">
        <f aca="false">IF($BA80&gt;$AZ$7,"",VLOOKUP($BA80,$BC$8:$BI$507,7,FALSE()))</f>
        <v/>
      </c>
      <c r="BK80" s="76" t="str">
        <f aca="false">IF($BA80&gt;$AZ$7,"",VLOOKUP($BA80,$BC$8:$BI$507,2,FALSE()))</f>
        <v/>
      </c>
      <c r="BL80" s="76" t="str">
        <f aca="false">IF($BA80&gt;$AZ$7,"",VLOOKUP($BA80,$BC$8:$BI$507,3,FALSE()))</f>
        <v/>
      </c>
      <c r="BM80" s="76" t="str">
        <f aca="false">IF($BA80&gt;$AZ$7,"",VLOOKUP($BA80,$BC$8:$BI$507,4,FALSE()))</f>
        <v/>
      </c>
      <c r="BN80" s="76" t="str">
        <f aca="false">IF($BA80&gt;$AZ$7,"",VLOOKUP($BA80,$BC$8:$BI$507,5,FALSE()))</f>
        <v/>
      </c>
      <c r="BO80" s="77" t="str">
        <f aca="false">IF($BA80&gt;$AZ$7,"",VLOOKUP($BA80,$BC$8:$BI$507,6,FALSE()))</f>
        <v/>
      </c>
      <c r="BP80" s="52"/>
    </row>
    <row r="81" customFormat="false" ht="15.75" hidden="false" customHeight="false" outlineLevel="0" collapsed="false">
      <c r="A81" s="5"/>
      <c r="B81" s="118"/>
      <c r="C81" s="54"/>
      <c r="D81" s="55"/>
      <c r="E81" s="79"/>
      <c r="F81" s="57"/>
      <c r="G81" s="58"/>
      <c r="H81" s="58"/>
      <c r="I81" s="57"/>
      <c r="J81" s="58"/>
      <c r="K81" s="58"/>
      <c r="L81" s="57"/>
      <c r="M81" s="79"/>
      <c r="N81" s="60"/>
      <c r="O81" s="62" t="str">
        <f aca="false">IF(ISBLANK($C81),"",IF(E81=Constants!$B$2, TRUE(), IF(E81=Constants!$B$3, FALSE(), TRUE())))</f>
        <v/>
      </c>
      <c r="P81" s="62" t="str">
        <f aca="false">IF(ISBLANK($C81),"",IF(F81=Constants!$B$16,Constants!$B$9,IF(F81=Constants!$B$17,Constants!$B$10,Constants!$B$8)))</f>
        <v/>
      </c>
      <c r="Q81" s="62" t="str">
        <f aca="false">IF(ISBLANK($C81),"",IF(ISNUMBER(G81),IF(G81&gt;=0,G81,""),""))</f>
        <v/>
      </c>
      <c r="R81" s="62" t="str">
        <f aca="false">IF(ISBLANK($C81),"",IF(H81=Constants!$B$2, TRUE(), IF(H81=Constants!$B$3, FALSE(), TRUE())))</f>
        <v/>
      </c>
      <c r="S81" s="62" t="str">
        <f aca="false">IF(ISBLANK($C81),"",IF(I81=Constants!$B$2, TRUE(), IF(I81=Constants!$B$3, FALSE(), TRUE())))</f>
        <v/>
      </c>
      <c r="T81" s="62" t="str">
        <f aca="false">IF(ISBLANK($C81),"",IF(ISNUMBER(J81),IF(J81&gt;=0,J81,""),""))</f>
        <v/>
      </c>
      <c r="U81" s="62" t="str">
        <f aca="false">IF(ISBLANK($C81),"",IF(K81=Constants!$B$2, TRUE(), IF(K81=Constants!$B$3, FALSE(), TRUE())))</f>
        <v/>
      </c>
      <c r="V81" s="62" t="str">
        <f aca="false">IF(ISBLANK($C81),"",IF(L81=Constants!$B$2, TRUE(), IF(L81=Constants!$B$3, FALSE(), TRUE())))</f>
        <v/>
      </c>
      <c r="W81" s="62" t="str">
        <f aca="false">IF(ISBLANK($C81),"",IF(M81=Constants!$B$2, TRUE(), IF(M81=Constants!$B$3, FALSE(), FALSE())))</f>
        <v/>
      </c>
      <c r="X81" s="62" t="str">
        <f aca="false">IF(ISBLANK($C81),"",AND(Q81&lt;&gt;"",O81))</f>
        <v/>
      </c>
      <c r="Y81" s="62" t="str">
        <f aca="false">IF(ISBLANK($C81),"",AND(T81&lt;&gt;"",O81))</f>
        <v/>
      </c>
      <c r="Z81" s="62" t="str">
        <f aca="false">IF(ISBLANK($C81),"",IF(W81,Constants!$B$4,IF(COUNTA(E81:L81)=0,Constants!$B$5,IF(NOT(O81),Constants!$B$6,IF(AND(NOT(X81),NOT(Y81)),Constants!$B$6,Constants!$B$7)))))</f>
        <v/>
      </c>
      <c r="AA81" s="62" t="str">
        <f aca="false">IF(ISBLANK($C81),"",IF($Z81&lt;&gt;Constants!$B$7,$Z81,Constants!$B$20))</f>
        <v/>
      </c>
      <c r="AB81" s="62" t="str">
        <f aca="false">IF($Z81=Constants!$B$7,IF(X81,Q81,Constants!$B$13),"")</f>
        <v/>
      </c>
      <c r="AC81" s="62" t="str">
        <f aca="false">IF($Z81=Constants!$B$7,IF(X81,P81*IF(R81, 1, Constants!$B$11)*IF(S81, 1, Constants!$B$12),Constants!$B$13),"")</f>
        <v/>
      </c>
      <c r="AD81" s="62" t="str">
        <f aca="false">IF($Z81=Constants!$B$7,AB81*AC81,"")</f>
        <v/>
      </c>
      <c r="AE81" s="62" t="str">
        <f aca="false">IF($Z81=Constants!$B$7,IF(Y81,T81,Constants!$B$13),"")</f>
        <v/>
      </c>
      <c r="AF81" s="62" t="str">
        <f aca="false">IF($Z81=Constants!$B$7,IF(Y81,P81*IF(U81, 1, Constants!$B$11)*IF(V81, 1, Constants!$B$12),Constants!$B$13),"")</f>
        <v/>
      </c>
      <c r="AG81" s="62" t="str">
        <f aca="false">IF($Z81=Constants!$B$7,AE81*AF81,"")</f>
        <v/>
      </c>
      <c r="AH81" s="62" t="str">
        <f aca="false">IF($Z81=Constants!$B$7,IF(AG81&gt;AD81,2,1),"")</f>
        <v/>
      </c>
      <c r="AI81" s="62" t="str">
        <f aca="false">IF($Z81=Constants!$B$7,IF(AH81=1,2,1),"")</f>
        <v/>
      </c>
      <c r="AJ81" s="62" t="str">
        <f aca="false">IF(ISBLANK($C81),"",IF($Z81&lt;&gt;Constants!$B$7,$Z81,IF(AH81=1,AD81,AG81)))</f>
        <v/>
      </c>
      <c r="AK81" s="62" t="str">
        <f aca="false">IF(ISBLANK($C81),"",IF($Z81=Constants!$B$7,IF(ISNUMBER(AJ81),RANK(AJ81,$AJ$8:$AJ$507),Constants!$B$14),$Z81))</f>
        <v/>
      </c>
      <c r="AL81" s="62" t="str">
        <f aca="false">IF(ISBLANK($C81),"",IF($Z81=Constants!$B$7,IF(AI81=1,AD81,AG81),""))</f>
        <v/>
      </c>
      <c r="AM81" s="62" t="str">
        <f aca="false">IF(ISBLANK($C81),"",IF($Z81=Constants!$B$7,RANK(AL81,$AL$8:$AL$507),$Z81))</f>
        <v/>
      </c>
      <c r="AN81" s="62" t="str">
        <f aca="false">IF(ISBLANK($C81),"",IF($Z81=Constants!$B$7,IF(ISNUMBER(AK81),COUNTIFS($AK$8:$AK$507,"&lt;"&amp;$AK81)+COUNTIFS($AK$8:$AK$507,$AK81,$AM$8:$AM$507,"&lt;"&amp;$AM81)+1,Constants!$B$14),$Z81))</f>
        <v/>
      </c>
      <c r="AO81" s="62" t="str">
        <f aca="false">IF(ISBLANK($C81),"",IF($Z81=Constants!$B$7,IF(ISNUMBER(AK81),AK81-AN81,Constants!$B$14),$Z81))</f>
        <v/>
      </c>
      <c r="AP81" s="64"/>
      <c r="AQ81" s="65" t="str">
        <f aca="false">IF(ISBLANK($C81),"",IF($Z81&lt;&gt;Constants!$B$7,"",AH81))</f>
        <v/>
      </c>
      <c r="AR81" s="80" t="str">
        <f aca="false">IF(ISBLANK($C81),"",IF($Z81&lt;&gt;Constants!$B$7,"",IF(AH81=1,AB81,AE81)))</f>
        <v/>
      </c>
      <c r="AS81" s="67" t="str">
        <f aca="false">IF(ISBLANK($C81),"",IF($Z81&lt;&gt;Constants!$B$7,"",IF(AH81=1,AC81,AF81)))</f>
        <v/>
      </c>
      <c r="AT81" s="68" t="str">
        <f aca="false">IF(ISBLANK($C81),"",IF($Z81&lt;&gt;Constants!$B$7,$Z81,AJ81))</f>
        <v/>
      </c>
      <c r="AU81" s="69" t="str">
        <f aca="false">IF(ISBLANK($C81),"",IF($Z81&lt;&gt;Constants!$B$7,$Z81,AA81))</f>
        <v/>
      </c>
      <c r="AV81" s="70" t="str">
        <f aca="false">IF(ISBLANK($C81),"",AO81)</f>
        <v/>
      </c>
      <c r="AW81" s="70" t="str">
        <f aca="false">IF(ISBLANK($C81),"",AN81)</f>
        <v/>
      </c>
      <c r="AX81" s="71" t="str">
        <f aca="false">IF(ISBLANK($C81),"",IFERROR(_xlfn.SWITCH(AW81,Constants!$B$4,COUNTA($C$8:$C$507)+2,Constants!$B$5,COUNTA($C$8:$C$507)+1,Constants!$B$6,COUNTA($C$8:$C$507)),AW81))</f>
        <v/>
      </c>
      <c r="AY81" s="5"/>
      <c r="AZ81" s="72" t="n">
        <f aca="false">IF(OR(ISNUMBER(AW81),AW81=Constants!$B$4,AW81=Constants!$B$6,AW81=Constants!$B$5),1,0)</f>
        <v>0</v>
      </c>
      <c r="BA81" s="72" t="n">
        <v>74</v>
      </c>
      <c r="BB81" s="72" t="str">
        <f aca="false">IF(ISBLANK($C81),"",IF(ISNUMBER(AX81),AX81+ROW($B81)/1000,""))</f>
        <v/>
      </c>
      <c r="BC81" s="72" t="str">
        <f aca="false">IF(ISNUMBER(BB81),RANK(BB81,$BB$8:$BB$507,1),"")</f>
        <v/>
      </c>
      <c r="BD81" s="72" t="str">
        <f aca="false">IF(ISBLANK($C81),"",$B81)</f>
        <v/>
      </c>
      <c r="BE81" s="72" t="str">
        <f aca="false">IF(ISBLANK($C81),"",$C81)</f>
        <v/>
      </c>
      <c r="BF81" s="72" t="str">
        <f aca="false">IF(ISBLANK($C81),"",$D81)</f>
        <v/>
      </c>
      <c r="BG81" s="73" t="str">
        <f aca="false">AU81</f>
        <v/>
      </c>
      <c r="BH81" s="74" t="str">
        <f aca="false">AT81</f>
        <v/>
      </c>
      <c r="BI81" s="72" t="str">
        <f aca="false">IF(ISBLANK($C81),"",AW81)</f>
        <v/>
      </c>
      <c r="BJ81" s="75" t="str">
        <f aca="false">IF($BA81&gt;$AZ$7,"",VLOOKUP($BA81,$BC$8:$BI$507,7,FALSE()))</f>
        <v/>
      </c>
      <c r="BK81" s="76" t="str">
        <f aca="false">IF($BA81&gt;$AZ$7,"",VLOOKUP($BA81,$BC$8:$BI$507,2,FALSE()))</f>
        <v/>
      </c>
      <c r="BL81" s="76" t="str">
        <f aca="false">IF($BA81&gt;$AZ$7,"",VLOOKUP($BA81,$BC$8:$BI$507,3,FALSE()))</f>
        <v/>
      </c>
      <c r="BM81" s="76" t="str">
        <f aca="false">IF($BA81&gt;$AZ$7,"",VLOOKUP($BA81,$BC$8:$BI$507,4,FALSE()))</f>
        <v/>
      </c>
      <c r="BN81" s="76" t="str">
        <f aca="false">IF($BA81&gt;$AZ$7,"",VLOOKUP($BA81,$BC$8:$BI$507,5,FALSE()))</f>
        <v/>
      </c>
      <c r="BO81" s="77" t="str">
        <f aca="false">IF($BA81&gt;$AZ$7,"",VLOOKUP($BA81,$BC$8:$BI$507,6,FALSE()))</f>
        <v/>
      </c>
      <c r="BP81" s="52"/>
    </row>
    <row r="82" customFormat="false" ht="15.75" hidden="false" customHeight="false" outlineLevel="0" collapsed="false">
      <c r="A82" s="5"/>
      <c r="B82" s="118"/>
      <c r="C82" s="54"/>
      <c r="D82" s="55"/>
      <c r="E82" s="79"/>
      <c r="F82" s="57"/>
      <c r="G82" s="58"/>
      <c r="H82" s="58"/>
      <c r="I82" s="57"/>
      <c r="J82" s="58"/>
      <c r="K82" s="58"/>
      <c r="L82" s="57"/>
      <c r="M82" s="79"/>
      <c r="N82" s="60"/>
      <c r="O82" s="62" t="str">
        <f aca="false">IF(ISBLANK($C82),"",IF(E82=Constants!$B$2, TRUE(), IF(E82=Constants!$B$3, FALSE(), TRUE())))</f>
        <v/>
      </c>
      <c r="P82" s="62" t="str">
        <f aca="false">IF(ISBLANK($C82),"",IF(F82=Constants!$B$16,Constants!$B$9,IF(F82=Constants!$B$17,Constants!$B$10,Constants!$B$8)))</f>
        <v/>
      </c>
      <c r="Q82" s="62" t="str">
        <f aca="false">IF(ISBLANK($C82),"",IF(ISNUMBER(G82),IF(G82&gt;=0,G82,""),""))</f>
        <v/>
      </c>
      <c r="R82" s="62" t="str">
        <f aca="false">IF(ISBLANK($C82),"",IF(H82=Constants!$B$2, TRUE(), IF(H82=Constants!$B$3, FALSE(), TRUE())))</f>
        <v/>
      </c>
      <c r="S82" s="62" t="str">
        <f aca="false">IF(ISBLANK($C82),"",IF(I82=Constants!$B$2, TRUE(), IF(I82=Constants!$B$3, FALSE(), TRUE())))</f>
        <v/>
      </c>
      <c r="T82" s="62" t="str">
        <f aca="false">IF(ISBLANK($C82),"",IF(ISNUMBER(J82),IF(J82&gt;=0,J82,""),""))</f>
        <v/>
      </c>
      <c r="U82" s="62" t="str">
        <f aca="false">IF(ISBLANK($C82),"",IF(K82=Constants!$B$2, TRUE(), IF(K82=Constants!$B$3, FALSE(), TRUE())))</f>
        <v/>
      </c>
      <c r="V82" s="62" t="str">
        <f aca="false">IF(ISBLANK($C82),"",IF(L82=Constants!$B$2, TRUE(), IF(L82=Constants!$B$3, FALSE(), TRUE())))</f>
        <v/>
      </c>
      <c r="W82" s="62" t="str">
        <f aca="false">IF(ISBLANK($C82),"",IF(M82=Constants!$B$2, TRUE(), IF(M82=Constants!$B$3, FALSE(), FALSE())))</f>
        <v/>
      </c>
      <c r="X82" s="62" t="str">
        <f aca="false">IF(ISBLANK($C82),"",AND(Q82&lt;&gt;"",O82))</f>
        <v/>
      </c>
      <c r="Y82" s="62" t="str">
        <f aca="false">IF(ISBLANK($C82),"",AND(T82&lt;&gt;"",O82))</f>
        <v/>
      </c>
      <c r="Z82" s="62" t="str">
        <f aca="false">IF(ISBLANK($C82),"",IF(W82,Constants!$B$4,IF(COUNTA(E82:L82)=0,Constants!$B$5,IF(NOT(O82),Constants!$B$6,IF(AND(NOT(X82),NOT(Y82)),Constants!$B$6,Constants!$B$7)))))</f>
        <v/>
      </c>
      <c r="AA82" s="62" t="str">
        <f aca="false">IF(ISBLANK($C82),"",IF($Z82&lt;&gt;Constants!$B$7,$Z82,Constants!$B$20))</f>
        <v/>
      </c>
      <c r="AB82" s="62" t="str">
        <f aca="false">IF($Z82=Constants!$B$7,IF(X82,Q82,Constants!$B$13),"")</f>
        <v/>
      </c>
      <c r="AC82" s="62" t="str">
        <f aca="false">IF($Z82=Constants!$B$7,IF(X82,P82*IF(R82, 1, Constants!$B$11)*IF(S82, 1, Constants!$B$12),Constants!$B$13),"")</f>
        <v/>
      </c>
      <c r="AD82" s="62" t="str">
        <f aca="false">IF($Z82=Constants!$B$7,AB82*AC82,"")</f>
        <v/>
      </c>
      <c r="AE82" s="62" t="str">
        <f aca="false">IF($Z82=Constants!$B$7,IF(Y82,T82,Constants!$B$13),"")</f>
        <v/>
      </c>
      <c r="AF82" s="62" t="str">
        <f aca="false">IF($Z82=Constants!$B$7,IF(Y82,P82*IF(U82, 1, Constants!$B$11)*IF(V82, 1, Constants!$B$12),Constants!$B$13),"")</f>
        <v/>
      </c>
      <c r="AG82" s="62" t="str">
        <f aca="false">IF($Z82=Constants!$B$7,AE82*AF82,"")</f>
        <v/>
      </c>
      <c r="AH82" s="62" t="str">
        <f aca="false">IF($Z82=Constants!$B$7,IF(AG82&gt;AD82,2,1),"")</f>
        <v/>
      </c>
      <c r="AI82" s="62" t="str">
        <f aca="false">IF($Z82=Constants!$B$7,IF(AH82=1,2,1),"")</f>
        <v/>
      </c>
      <c r="AJ82" s="62" t="str">
        <f aca="false">IF(ISBLANK($C82),"",IF($Z82&lt;&gt;Constants!$B$7,$Z82,IF(AH82=1,AD82,AG82)))</f>
        <v/>
      </c>
      <c r="AK82" s="62" t="str">
        <f aca="false">IF(ISBLANK($C82),"",IF($Z82=Constants!$B$7,IF(ISNUMBER(AJ82),RANK(AJ82,$AJ$8:$AJ$507),Constants!$B$14),$Z82))</f>
        <v/>
      </c>
      <c r="AL82" s="62" t="str">
        <f aca="false">IF(ISBLANK($C82),"",IF($Z82=Constants!$B$7,IF(AI82=1,AD82,AG82),""))</f>
        <v/>
      </c>
      <c r="AM82" s="62" t="str">
        <f aca="false">IF(ISBLANK($C82),"",IF($Z82=Constants!$B$7,RANK(AL82,$AL$8:$AL$507),$Z82))</f>
        <v/>
      </c>
      <c r="AN82" s="62" t="str">
        <f aca="false">IF(ISBLANK($C82),"",IF($Z82=Constants!$B$7,IF(ISNUMBER(AK82),COUNTIFS($AK$8:$AK$507,"&lt;"&amp;$AK82)+COUNTIFS($AK$8:$AK$507,$AK82,$AM$8:$AM$507,"&lt;"&amp;$AM82)+1,Constants!$B$14),$Z82))</f>
        <v/>
      </c>
      <c r="AO82" s="62" t="str">
        <f aca="false">IF(ISBLANK($C82),"",IF($Z82=Constants!$B$7,IF(ISNUMBER(AK82),AK82-AN82,Constants!$B$14),$Z82))</f>
        <v/>
      </c>
      <c r="AP82" s="64"/>
      <c r="AQ82" s="65" t="str">
        <f aca="false">IF(ISBLANK($C82),"",IF($Z82&lt;&gt;Constants!$B$7,"",AH82))</f>
        <v/>
      </c>
      <c r="AR82" s="80" t="str">
        <f aca="false">IF(ISBLANK($C82),"",IF($Z82&lt;&gt;Constants!$B$7,"",IF(AH82=1,AB82,AE82)))</f>
        <v/>
      </c>
      <c r="AS82" s="67" t="str">
        <f aca="false">IF(ISBLANK($C82),"",IF($Z82&lt;&gt;Constants!$B$7,"",IF(AH82=1,AC82,AF82)))</f>
        <v/>
      </c>
      <c r="AT82" s="68" t="str">
        <f aca="false">IF(ISBLANK($C82),"",IF($Z82&lt;&gt;Constants!$B$7,$Z82,AJ82))</f>
        <v/>
      </c>
      <c r="AU82" s="69" t="str">
        <f aca="false">IF(ISBLANK($C82),"",IF($Z82&lt;&gt;Constants!$B$7,$Z82,AA82))</f>
        <v/>
      </c>
      <c r="AV82" s="70" t="str">
        <f aca="false">IF(ISBLANK($C82),"",AO82)</f>
        <v/>
      </c>
      <c r="AW82" s="70" t="str">
        <f aca="false">IF(ISBLANK($C82),"",AN82)</f>
        <v/>
      </c>
      <c r="AX82" s="71" t="str">
        <f aca="false">IF(ISBLANK($C82),"",IFERROR(_xlfn.SWITCH(AW82,Constants!$B$4,COUNTA($C$8:$C$507)+2,Constants!$B$5,COUNTA($C$8:$C$507)+1,Constants!$B$6,COUNTA($C$8:$C$507)),AW82))</f>
        <v/>
      </c>
      <c r="AY82" s="5"/>
      <c r="AZ82" s="72" t="n">
        <f aca="false">IF(OR(ISNUMBER(AW82),AW82=Constants!$B$4,AW82=Constants!$B$6,AW82=Constants!$B$5),1,0)</f>
        <v>0</v>
      </c>
      <c r="BA82" s="72" t="n">
        <v>75</v>
      </c>
      <c r="BB82" s="72" t="str">
        <f aca="false">IF(ISBLANK($C82),"",IF(ISNUMBER(AX82),AX82+ROW($B82)/1000,""))</f>
        <v/>
      </c>
      <c r="BC82" s="72" t="str">
        <f aca="false">IF(ISNUMBER(BB82),RANK(BB82,$BB$8:$BB$507,1),"")</f>
        <v/>
      </c>
      <c r="BD82" s="72" t="str">
        <f aca="false">IF(ISBLANK($C82),"",$B82)</f>
        <v/>
      </c>
      <c r="BE82" s="72" t="str">
        <f aca="false">IF(ISBLANK($C82),"",$C82)</f>
        <v/>
      </c>
      <c r="BF82" s="72" t="str">
        <f aca="false">IF(ISBLANK($C82),"",$D82)</f>
        <v/>
      </c>
      <c r="BG82" s="73" t="str">
        <f aca="false">AU82</f>
        <v/>
      </c>
      <c r="BH82" s="74" t="str">
        <f aca="false">AT82</f>
        <v/>
      </c>
      <c r="BI82" s="72" t="str">
        <f aca="false">IF(ISBLANK($C82),"",AW82)</f>
        <v/>
      </c>
      <c r="BJ82" s="75" t="str">
        <f aca="false">IF($BA82&gt;$AZ$7,"",VLOOKUP($BA82,$BC$8:$BI$507,7,FALSE()))</f>
        <v/>
      </c>
      <c r="BK82" s="76" t="str">
        <f aca="false">IF($BA82&gt;$AZ$7,"",VLOOKUP($BA82,$BC$8:$BI$507,2,FALSE()))</f>
        <v/>
      </c>
      <c r="BL82" s="76" t="str">
        <f aca="false">IF($BA82&gt;$AZ$7,"",VLOOKUP($BA82,$BC$8:$BI$507,3,FALSE()))</f>
        <v/>
      </c>
      <c r="BM82" s="76" t="str">
        <f aca="false">IF($BA82&gt;$AZ$7,"",VLOOKUP($BA82,$BC$8:$BI$507,4,FALSE()))</f>
        <v/>
      </c>
      <c r="BN82" s="76" t="str">
        <f aca="false">IF($BA82&gt;$AZ$7,"",VLOOKUP($BA82,$BC$8:$BI$507,5,FALSE()))</f>
        <v/>
      </c>
      <c r="BO82" s="77" t="str">
        <f aca="false">IF($BA82&gt;$AZ$7,"",VLOOKUP($BA82,$BC$8:$BI$507,6,FALSE()))</f>
        <v/>
      </c>
      <c r="BP82" s="52"/>
    </row>
    <row r="83" customFormat="false" ht="15.75" hidden="false" customHeight="false" outlineLevel="0" collapsed="false">
      <c r="A83" s="5"/>
      <c r="B83" s="114"/>
      <c r="C83" s="115"/>
      <c r="D83" s="106"/>
      <c r="E83" s="117"/>
      <c r="F83" s="87"/>
      <c r="G83" s="88"/>
      <c r="H83" s="88"/>
      <c r="I83" s="87"/>
      <c r="J83" s="88"/>
      <c r="K83" s="88"/>
      <c r="L83" s="87"/>
      <c r="M83" s="117"/>
      <c r="N83" s="90"/>
      <c r="O83" s="91" t="str">
        <f aca="false">IF(ISBLANK($C83),"",IF(E83=Constants!$B$2, TRUE(), IF(E83=Constants!$B$3, FALSE(), TRUE())))</f>
        <v/>
      </c>
      <c r="P83" s="91" t="str">
        <f aca="false">IF(ISBLANK($C83),"",IF(F83=Constants!$B$16,Constants!$B$9,IF(F83=Constants!$B$17,Constants!$B$10,Constants!$B$8)))</f>
        <v/>
      </c>
      <c r="Q83" s="91" t="str">
        <f aca="false">IF(ISBLANK($C83),"",IF(ISNUMBER(G83),IF(G83&gt;=0,G83,""),""))</f>
        <v/>
      </c>
      <c r="R83" s="91" t="str">
        <f aca="false">IF(ISBLANK($C83),"",IF(H83=Constants!$B$2, TRUE(), IF(H83=Constants!$B$3, FALSE(), TRUE())))</f>
        <v/>
      </c>
      <c r="S83" s="91" t="str">
        <f aca="false">IF(ISBLANK($C83),"",IF(I83=Constants!$B$2, TRUE(), IF(I83=Constants!$B$3, FALSE(), TRUE())))</f>
        <v/>
      </c>
      <c r="T83" s="91" t="str">
        <f aca="false">IF(ISBLANK($C83),"",IF(ISNUMBER(J83),IF(J83&gt;=0,J83,""),""))</f>
        <v/>
      </c>
      <c r="U83" s="91" t="str">
        <f aca="false">IF(ISBLANK($C83),"",IF(K83=Constants!$B$2, TRUE(), IF(K83=Constants!$B$3, FALSE(), TRUE())))</f>
        <v/>
      </c>
      <c r="V83" s="91" t="str">
        <f aca="false">IF(ISBLANK($C83),"",IF(L83=Constants!$B$2, TRUE(), IF(L83=Constants!$B$3, FALSE(), TRUE())))</f>
        <v/>
      </c>
      <c r="W83" s="91" t="str">
        <f aca="false">IF(ISBLANK($C83),"",IF(M83=Constants!$B$2, TRUE(), IF(M83=Constants!$B$3, FALSE(), FALSE())))</f>
        <v/>
      </c>
      <c r="X83" s="91" t="str">
        <f aca="false">IF(ISBLANK($C83),"",AND(Q83&lt;&gt;"",O83))</f>
        <v/>
      </c>
      <c r="Y83" s="91" t="str">
        <f aca="false">IF(ISBLANK($C83),"",AND(T83&lt;&gt;"",O83))</f>
        <v/>
      </c>
      <c r="Z83" s="91" t="str">
        <f aca="false">IF(ISBLANK($C83),"",IF(W83,Constants!$B$4,IF(COUNTA(E83:L83)=0,Constants!$B$5,IF(NOT(O83),Constants!$B$6,IF(AND(NOT(X83),NOT(Y83)),Constants!$B$6,Constants!$B$7)))))</f>
        <v/>
      </c>
      <c r="AA83" s="91" t="str">
        <f aca="false">IF(ISBLANK($C83),"",IF($Z83&lt;&gt;Constants!$B$7,$Z83,Constants!$B$20))</f>
        <v/>
      </c>
      <c r="AB83" s="91" t="str">
        <f aca="false">IF($Z83=Constants!$B$7,IF(X83,Q83,Constants!$B$13),"")</f>
        <v/>
      </c>
      <c r="AC83" s="91" t="str">
        <f aca="false">IF($Z83=Constants!$B$7,IF(X83,P83*IF(R83, 1, Constants!$B$11)*IF(S83, 1, Constants!$B$12),Constants!$B$13),"")</f>
        <v/>
      </c>
      <c r="AD83" s="91" t="str">
        <f aca="false">IF($Z83=Constants!$B$7,AB83*AC83,"")</f>
        <v/>
      </c>
      <c r="AE83" s="91" t="str">
        <f aca="false">IF($Z83=Constants!$B$7,IF(Y83,T83,Constants!$B$13),"")</f>
        <v/>
      </c>
      <c r="AF83" s="91" t="str">
        <f aca="false">IF($Z83=Constants!$B$7,IF(Y83,P83*IF(U83, 1, Constants!$B$11)*IF(V83, 1, Constants!$B$12),Constants!$B$13),"")</f>
        <v/>
      </c>
      <c r="AG83" s="91" t="str">
        <f aca="false">IF($Z83=Constants!$B$7,AE83*AF83,"")</f>
        <v/>
      </c>
      <c r="AH83" s="91" t="str">
        <f aca="false">IF($Z83=Constants!$B$7,IF(AG83&gt;AD83,2,1),"")</f>
        <v/>
      </c>
      <c r="AI83" s="91" t="str">
        <f aca="false">IF($Z83=Constants!$B$7,IF(AH83=1,2,1),"")</f>
        <v/>
      </c>
      <c r="AJ83" s="91" t="str">
        <f aca="false">IF(ISBLANK($C83),"",IF($Z83&lt;&gt;Constants!$B$7,$Z83,IF(AH83=1,AD83,AG83)))</f>
        <v/>
      </c>
      <c r="AK83" s="91" t="str">
        <f aca="false">IF(ISBLANK($C83),"",IF($Z83=Constants!$B$7,IF(ISNUMBER(AJ83),RANK(AJ83,$AJ$8:$AJ$507),Constants!$B$14),$Z83))</f>
        <v/>
      </c>
      <c r="AL83" s="91" t="str">
        <f aca="false">IF(ISBLANK($C83),"",IF($Z83=Constants!$B$7,IF(AI83=1,AD83,AG83),""))</f>
        <v/>
      </c>
      <c r="AM83" s="91" t="str">
        <f aca="false">IF(ISBLANK($C83),"",IF($Z83=Constants!$B$7,RANK(AL83,$AL$8:$AL$507),$Z83))</f>
        <v/>
      </c>
      <c r="AN83" s="91" t="str">
        <f aca="false">IF(ISBLANK($C83),"",IF($Z83=Constants!$B$7,IF(ISNUMBER(AK83),COUNTIFS($AK$8:$AK$507,"&lt;"&amp;$AK83)+COUNTIFS($AK$8:$AK$507,$AK83,$AM$8:$AM$507,"&lt;"&amp;$AM83)+1,Constants!$B$14),$Z83))</f>
        <v/>
      </c>
      <c r="AO83" s="91" t="str">
        <f aca="false">IF(ISBLANK($C83),"",IF($Z83=Constants!$B$7,IF(ISNUMBER(AK83),AK83-AN83,Constants!$B$14),$Z83))</f>
        <v/>
      </c>
      <c r="AP83" s="92"/>
      <c r="AQ83" s="93" t="str">
        <f aca="false">IF(ISBLANK($C83),"",IF($Z83&lt;&gt;Constants!$B$7,"",AH83))</f>
        <v/>
      </c>
      <c r="AR83" s="94" t="str">
        <f aca="false">IF(ISBLANK($C83),"",IF($Z83&lt;&gt;Constants!$B$7,"",IF(AH83=1,AB83,AE83)))</f>
        <v/>
      </c>
      <c r="AS83" s="95" t="str">
        <f aca="false">IF(ISBLANK($C83),"",IF($Z83&lt;&gt;Constants!$B$7,"",IF(AH83=1,AC83,AF83)))</f>
        <v/>
      </c>
      <c r="AT83" s="96" t="str">
        <f aca="false">IF(ISBLANK($C83),"",IF($Z83&lt;&gt;Constants!$B$7,$Z83,AJ83))</f>
        <v/>
      </c>
      <c r="AU83" s="97" t="str">
        <f aca="false">IF(ISBLANK($C83),"",IF($Z83&lt;&gt;Constants!$B$7,$Z83,AA83))</f>
        <v/>
      </c>
      <c r="AV83" s="98" t="str">
        <f aca="false">IF(ISBLANK($C83),"",AO83)</f>
        <v/>
      </c>
      <c r="AW83" s="98" t="str">
        <f aca="false">IF(ISBLANK($C83),"",AN83)</f>
        <v/>
      </c>
      <c r="AX83" s="99" t="str">
        <f aca="false">IF(ISBLANK($C83),"",IFERROR(_xlfn.SWITCH(AW83,Constants!$B$4,COUNTA($C$8:$C$507)+2,Constants!$B$5,COUNTA($C$8:$C$507)+1,Constants!$B$6,COUNTA($C$8:$C$507)),AW83))</f>
        <v/>
      </c>
      <c r="AY83" s="5"/>
      <c r="AZ83" s="100" t="n">
        <f aca="false">IF(OR(ISNUMBER(AW83),AW83=Constants!$B$4,AW83=Constants!$B$6,AW83=Constants!$B$5),1,0)</f>
        <v>0</v>
      </c>
      <c r="BA83" s="100" t="n">
        <v>76</v>
      </c>
      <c r="BB83" s="100" t="str">
        <f aca="false">IF(ISBLANK($C83),"",IF(ISNUMBER(AX83),AX83+ROW($B83)/1000,""))</f>
        <v/>
      </c>
      <c r="BC83" s="100" t="str">
        <f aca="false">IF(ISNUMBER(BB83),RANK(BB83,$BB$8:$BB$507,1),"")</f>
        <v/>
      </c>
      <c r="BD83" s="100" t="str">
        <f aca="false">IF(ISBLANK($C83),"",$B83)</f>
        <v/>
      </c>
      <c r="BE83" s="100" t="str">
        <f aca="false">IF(ISBLANK($C83),"",$C83)</f>
        <v/>
      </c>
      <c r="BF83" s="100" t="str">
        <f aca="false">IF(ISBLANK($C83),"",$D83)</f>
        <v/>
      </c>
      <c r="BG83" s="101" t="str">
        <f aca="false">AU83</f>
        <v/>
      </c>
      <c r="BH83" s="102" t="str">
        <f aca="false">AT83</f>
        <v/>
      </c>
      <c r="BI83" s="100" t="str">
        <f aca="false">IF(ISBLANK($C83),"",AW83)</f>
        <v/>
      </c>
      <c r="BJ83" s="103" t="str">
        <f aca="false">IF($BA83&gt;$AZ$7,"",VLOOKUP($BA83,$BC$8:$BI$507,7,FALSE()))</f>
        <v/>
      </c>
      <c r="BK83" s="104" t="str">
        <f aca="false">IF($BA83&gt;$AZ$7,"",VLOOKUP($BA83,$BC$8:$BI$507,2,FALSE()))</f>
        <v/>
      </c>
      <c r="BL83" s="104" t="str">
        <f aca="false">IF($BA83&gt;$AZ$7,"",VLOOKUP($BA83,$BC$8:$BI$507,3,FALSE()))</f>
        <v/>
      </c>
      <c r="BM83" s="104" t="str">
        <f aca="false">IF($BA83&gt;$AZ$7,"",VLOOKUP($BA83,$BC$8:$BI$507,4,FALSE()))</f>
        <v/>
      </c>
      <c r="BN83" s="104" t="str">
        <f aca="false">IF($BA83&gt;$AZ$7,"",VLOOKUP($BA83,$BC$8:$BI$507,5,FALSE()))</f>
        <v/>
      </c>
      <c r="BO83" s="105" t="str">
        <f aca="false">IF($BA83&gt;$AZ$7,"",VLOOKUP($BA83,$BC$8:$BI$507,6,FALSE()))</f>
        <v/>
      </c>
      <c r="BP83" s="52"/>
    </row>
    <row r="84" customFormat="false" ht="15.75" hidden="false" customHeight="false" outlineLevel="0" collapsed="false">
      <c r="A84" s="5"/>
      <c r="B84" s="114"/>
      <c r="C84" s="115"/>
      <c r="D84" s="106"/>
      <c r="E84" s="117"/>
      <c r="F84" s="87"/>
      <c r="G84" s="88"/>
      <c r="H84" s="88"/>
      <c r="I84" s="87"/>
      <c r="J84" s="88"/>
      <c r="K84" s="88"/>
      <c r="L84" s="87"/>
      <c r="M84" s="117"/>
      <c r="N84" s="90"/>
      <c r="O84" s="91" t="str">
        <f aca="false">IF(ISBLANK($C84),"",IF(E84=Constants!$B$2, TRUE(), IF(E84=Constants!$B$3, FALSE(), TRUE())))</f>
        <v/>
      </c>
      <c r="P84" s="91" t="str">
        <f aca="false">IF(ISBLANK($C84),"",IF(F84=Constants!$B$16,Constants!$B$9,IF(F84=Constants!$B$17,Constants!$B$10,Constants!$B$8)))</f>
        <v/>
      </c>
      <c r="Q84" s="91" t="str">
        <f aca="false">IF(ISBLANK($C84),"",IF(ISNUMBER(G84),IF(G84&gt;=0,G84,""),""))</f>
        <v/>
      </c>
      <c r="R84" s="91" t="str">
        <f aca="false">IF(ISBLANK($C84),"",IF(H84=Constants!$B$2, TRUE(), IF(H84=Constants!$B$3, FALSE(), TRUE())))</f>
        <v/>
      </c>
      <c r="S84" s="91" t="str">
        <f aca="false">IF(ISBLANK($C84),"",IF(I84=Constants!$B$2, TRUE(), IF(I84=Constants!$B$3, FALSE(), TRUE())))</f>
        <v/>
      </c>
      <c r="T84" s="91" t="str">
        <f aca="false">IF(ISBLANK($C84),"",IF(ISNUMBER(J84),IF(J84&gt;=0,J84,""),""))</f>
        <v/>
      </c>
      <c r="U84" s="91" t="str">
        <f aca="false">IF(ISBLANK($C84),"",IF(K84=Constants!$B$2, TRUE(), IF(K84=Constants!$B$3, FALSE(), TRUE())))</f>
        <v/>
      </c>
      <c r="V84" s="91" t="str">
        <f aca="false">IF(ISBLANK($C84),"",IF(L84=Constants!$B$2, TRUE(), IF(L84=Constants!$B$3, FALSE(), TRUE())))</f>
        <v/>
      </c>
      <c r="W84" s="91" t="str">
        <f aca="false">IF(ISBLANK($C84),"",IF(M84=Constants!$B$2, TRUE(), IF(M84=Constants!$B$3, FALSE(), FALSE())))</f>
        <v/>
      </c>
      <c r="X84" s="91" t="str">
        <f aca="false">IF(ISBLANK($C84),"",AND(Q84&lt;&gt;"",O84))</f>
        <v/>
      </c>
      <c r="Y84" s="91" t="str">
        <f aca="false">IF(ISBLANK($C84),"",AND(T84&lt;&gt;"",O84))</f>
        <v/>
      </c>
      <c r="Z84" s="91" t="str">
        <f aca="false">IF(ISBLANK($C84),"",IF(W84,Constants!$B$4,IF(COUNTA(E84:L84)=0,Constants!$B$5,IF(NOT(O84),Constants!$B$6,IF(AND(NOT(X84),NOT(Y84)),Constants!$B$6,Constants!$B$7)))))</f>
        <v/>
      </c>
      <c r="AA84" s="91" t="str">
        <f aca="false">IF(ISBLANK($C84),"",IF($Z84&lt;&gt;Constants!$B$7,$Z84,Constants!$B$20))</f>
        <v/>
      </c>
      <c r="AB84" s="91" t="str">
        <f aca="false">IF($Z84=Constants!$B$7,IF(X84,Q84,Constants!$B$13),"")</f>
        <v/>
      </c>
      <c r="AC84" s="91" t="str">
        <f aca="false">IF($Z84=Constants!$B$7,IF(X84,P84*IF(R84, 1, Constants!$B$11)*IF(S84, 1, Constants!$B$12),Constants!$B$13),"")</f>
        <v/>
      </c>
      <c r="AD84" s="91" t="str">
        <f aca="false">IF($Z84=Constants!$B$7,AB84*AC84,"")</f>
        <v/>
      </c>
      <c r="AE84" s="91" t="str">
        <f aca="false">IF($Z84=Constants!$B$7,IF(Y84,T84,Constants!$B$13),"")</f>
        <v/>
      </c>
      <c r="AF84" s="91" t="str">
        <f aca="false">IF($Z84=Constants!$B$7,IF(Y84,P84*IF(U84, 1, Constants!$B$11)*IF(V84, 1, Constants!$B$12),Constants!$B$13),"")</f>
        <v/>
      </c>
      <c r="AG84" s="91" t="str">
        <f aca="false">IF($Z84=Constants!$B$7,AE84*AF84,"")</f>
        <v/>
      </c>
      <c r="AH84" s="91" t="str">
        <f aca="false">IF($Z84=Constants!$B$7,IF(AG84&gt;AD84,2,1),"")</f>
        <v/>
      </c>
      <c r="AI84" s="91" t="str">
        <f aca="false">IF($Z84=Constants!$B$7,IF(AH84=1,2,1),"")</f>
        <v/>
      </c>
      <c r="AJ84" s="91" t="str">
        <f aca="false">IF(ISBLANK($C84),"",IF($Z84&lt;&gt;Constants!$B$7,$Z84,IF(AH84=1,AD84,AG84)))</f>
        <v/>
      </c>
      <c r="AK84" s="91" t="str">
        <f aca="false">IF(ISBLANK($C84),"",IF($Z84=Constants!$B$7,IF(ISNUMBER(AJ84),RANK(AJ84,$AJ$8:$AJ$507),Constants!$B$14),$Z84))</f>
        <v/>
      </c>
      <c r="AL84" s="91" t="str">
        <f aca="false">IF(ISBLANK($C84),"",IF($Z84=Constants!$B$7,IF(AI84=1,AD84,AG84),""))</f>
        <v/>
      </c>
      <c r="AM84" s="91" t="str">
        <f aca="false">IF(ISBLANK($C84),"",IF($Z84=Constants!$B$7,RANK(AL84,$AL$8:$AL$507),$Z84))</f>
        <v/>
      </c>
      <c r="AN84" s="91" t="str">
        <f aca="false">IF(ISBLANK($C84),"",IF($Z84=Constants!$B$7,IF(ISNUMBER(AK84),COUNTIFS($AK$8:$AK$507,"&lt;"&amp;$AK84)+COUNTIFS($AK$8:$AK$507,$AK84,$AM$8:$AM$507,"&lt;"&amp;$AM84)+1,Constants!$B$14),$Z84))</f>
        <v/>
      </c>
      <c r="AO84" s="91" t="str">
        <f aca="false">IF(ISBLANK($C84),"",IF($Z84=Constants!$B$7,IF(ISNUMBER(AK84),AK84-AN84,Constants!$B$14),$Z84))</f>
        <v/>
      </c>
      <c r="AP84" s="92"/>
      <c r="AQ84" s="93" t="str">
        <f aca="false">IF(ISBLANK($C84),"",IF($Z84&lt;&gt;Constants!$B$7,"",AH84))</f>
        <v/>
      </c>
      <c r="AR84" s="94" t="str">
        <f aca="false">IF(ISBLANK($C84),"",IF($Z84&lt;&gt;Constants!$B$7,"",IF(AH84=1,AB84,AE84)))</f>
        <v/>
      </c>
      <c r="AS84" s="95" t="str">
        <f aca="false">IF(ISBLANK($C84),"",IF($Z84&lt;&gt;Constants!$B$7,"",IF(AH84=1,AC84,AF84)))</f>
        <v/>
      </c>
      <c r="AT84" s="96" t="str">
        <f aca="false">IF(ISBLANK($C84),"",IF($Z84&lt;&gt;Constants!$B$7,$Z84,AJ84))</f>
        <v/>
      </c>
      <c r="AU84" s="97" t="str">
        <f aca="false">IF(ISBLANK($C84),"",IF($Z84&lt;&gt;Constants!$B$7,$Z84,AA84))</f>
        <v/>
      </c>
      <c r="AV84" s="98" t="str">
        <f aca="false">IF(ISBLANK($C84),"",AO84)</f>
        <v/>
      </c>
      <c r="AW84" s="98" t="str">
        <f aca="false">IF(ISBLANK($C84),"",AN84)</f>
        <v/>
      </c>
      <c r="AX84" s="99" t="str">
        <f aca="false">IF(ISBLANK($C84),"",IFERROR(_xlfn.SWITCH(AW84,Constants!$B$4,COUNTA($C$8:$C$507)+2,Constants!$B$5,COUNTA($C$8:$C$507)+1,Constants!$B$6,COUNTA($C$8:$C$507)),AW84))</f>
        <v/>
      </c>
      <c r="AY84" s="5"/>
      <c r="AZ84" s="100" t="n">
        <f aca="false">IF(OR(ISNUMBER(AW84),AW84=Constants!$B$4,AW84=Constants!$B$6,AW84=Constants!$B$5),1,0)</f>
        <v>0</v>
      </c>
      <c r="BA84" s="100" t="n">
        <v>77</v>
      </c>
      <c r="BB84" s="100" t="str">
        <f aca="false">IF(ISBLANK($C84),"",IF(ISNUMBER(AX84),AX84+ROW($B84)/1000,""))</f>
        <v/>
      </c>
      <c r="BC84" s="100" t="str">
        <f aca="false">IF(ISNUMBER(BB84),RANK(BB84,$BB$8:$BB$507,1),"")</f>
        <v/>
      </c>
      <c r="BD84" s="100" t="str">
        <f aca="false">IF(ISBLANK($C84),"",$B84)</f>
        <v/>
      </c>
      <c r="BE84" s="100" t="str">
        <f aca="false">IF(ISBLANK($C84),"",$C84)</f>
        <v/>
      </c>
      <c r="BF84" s="100" t="str">
        <f aca="false">IF(ISBLANK($C84),"",$D84)</f>
        <v/>
      </c>
      <c r="BG84" s="101" t="str">
        <f aca="false">AU84</f>
        <v/>
      </c>
      <c r="BH84" s="102" t="str">
        <f aca="false">AT84</f>
        <v/>
      </c>
      <c r="BI84" s="100" t="str">
        <f aca="false">IF(ISBLANK($C84),"",AW84)</f>
        <v/>
      </c>
      <c r="BJ84" s="103" t="str">
        <f aca="false">IF($BA84&gt;$AZ$7,"",VLOOKUP($BA84,$BC$8:$BI$507,7,FALSE()))</f>
        <v/>
      </c>
      <c r="BK84" s="104" t="str">
        <f aca="false">IF($BA84&gt;$AZ$7,"",VLOOKUP($BA84,$BC$8:$BI$507,2,FALSE()))</f>
        <v/>
      </c>
      <c r="BL84" s="104" t="str">
        <f aca="false">IF($BA84&gt;$AZ$7,"",VLOOKUP($BA84,$BC$8:$BI$507,3,FALSE()))</f>
        <v/>
      </c>
      <c r="BM84" s="104" t="str">
        <f aca="false">IF($BA84&gt;$AZ$7,"",VLOOKUP($BA84,$BC$8:$BI$507,4,FALSE()))</f>
        <v/>
      </c>
      <c r="BN84" s="104" t="str">
        <f aca="false">IF($BA84&gt;$AZ$7,"",VLOOKUP($BA84,$BC$8:$BI$507,5,FALSE()))</f>
        <v/>
      </c>
      <c r="BO84" s="105" t="str">
        <f aca="false">IF($BA84&gt;$AZ$7,"",VLOOKUP($BA84,$BC$8:$BI$507,6,FALSE()))</f>
        <v/>
      </c>
      <c r="BP84" s="52"/>
    </row>
    <row r="85" customFormat="false" ht="15.75" hidden="false" customHeight="false" outlineLevel="0" collapsed="false">
      <c r="A85" s="5"/>
      <c r="B85" s="114"/>
      <c r="C85" s="115"/>
      <c r="D85" s="106"/>
      <c r="E85" s="117"/>
      <c r="F85" s="87"/>
      <c r="G85" s="88"/>
      <c r="H85" s="88"/>
      <c r="I85" s="87"/>
      <c r="J85" s="88"/>
      <c r="K85" s="88"/>
      <c r="L85" s="87"/>
      <c r="M85" s="117"/>
      <c r="N85" s="90"/>
      <c r="O85" s="91" t="str">
        <f aca="false">IF(ISBLANK($C85),"",IF(E85=Constants!$B$2, TRUE(), IF(E85=Constants!$B$3, FALSE(), TRUE())))</f>
        <v/>
      </c>
      <c r="P85" s="91" t="str">
        <f aca="false">IF(ISBLANK($C85),"",IF(F85=Constants!$B$16,Constants!$B$9,IF(F85=Constants!$B$17,Constants!$B$10,Constants!$B$8)))</f>
        <v/>
      </c>
      <c r="Q85" s="91" t="str">
        <f aca="false">IF(ISBLANK($C85),"",IF(ISNUMBER(G85),IF(G85&gt;=0,G85,""),""))</f>
        <v/>
      </c>
      <c r="R85" s="91" t="str">
        <f aca="false">IF(ISBLANK($C85),"",IF(H85=Constants!$B$2, TRUE(), IF(H85=Constants!$B$3, FALSE(), TRUE())))</f>
        <v/>
      </c>
      <c r="S85" s="91" t="str">
        <f aca="false">IF(ISBLANK($C85),"",IF(I85=Constants!$B$2, TRUE(), IF(I85=Constants!$B$3, FALSE(), TRUE())))</f>
        <v/>
      </c>
      <c r="T85" s="91" t="str">
        <f aca="false">IF(ISBLANK($C85),"",IF(ISNUMBER(J85),IF(J85&gt;=0,J85,""),""))</f>
        <v/>
      </c>
      <c r="U85" s="91" t="str">
        <f aca="false">IF(ISBLANK($C85),"",IF(K85=Constants!$B$2, TRUE(), IF(K85=Constants!$B$3, FALSE(), TRUE())))</f>
        <v/>
      </c>
      <c r="V85" s="91" t="str">
        <f aca="false">IF(ISBLANK($C85),"",IF(L85=Constants!$B$2, TRUE(), IF(L85=Constants!$B$3, FALSE(), TRUE())))</f>
        <v/>
      </c>
      <c r="W85" s="91" t="str">
        <f aca="false">IF(ISBLANK($C85),"",IF(M85=Constants!$B$2, TRUE(), IF(M85=Constants!$B$3, FALSE(), FALSE())))</f>
        <v/>
      </c>
      <c r="X85" s="91" t="str">
        <f aca="false">IF(ISBLANK($C85),"",AND(Q85&lt;&gt;"",O85))</f>
        <v/>
      </c>
      <c r="Y85" s="91" t="str">
        <f aca="false">IF(ISBLANK($C85),"",AND(T85&lt;&gt;"",O85))</f>
        <v/>
      </c>
      <c r="Z85" s="91" t="str">
        <f aca="false">IF(ISBLANK($C85),"",IF(W85,Constants!$B$4,IF(COUNTA(E85:L85)=0,Constants!$B$5,IF(NOT(O85),Constants!$B$6,IF(AND(NOT(X85),NOT(Y85)),Constants!$B$6,Constants!$B$7)))))</f>
        <v/>
      </c>
      <c r="AA85" s="91" t="str">
        <f aca="false">IF(ISBLANK($C85),"",IF($Z85&lt;&gt;Constants!$B$7,$Z85,Constants!$B$20))</f>
        <v/>
      </c>
      <c r="AB85" s="91" t="str">
        <f aca="false">IF($Z85=Constants!$B$7,IF(X85,Q85,Constants!$B$13),"")</f>
        <v/>
      </c>
      <c r="AC85" s="91" t="str">
        <f aca="false">IF($Z85=Constants!$B$7,IF(X85,P85*IF(R85, 1, Constants!$B$11)*IF(S85, 1, Constants!$B$12),Constants!$B$13),"")</f>
        <v/>
      </c>
      <c r="AD85" s="91" t="str">
        <f aca="false">IF($Z85=Constants!$B$7,AB85*AC85,"")</f>
        <v/>
      </c>
      <c r="AE85" s="91" t="str">
        <f aca="false">IF($Z85=Constants!$B$7,IF(Y85,T85,Constants!$B$13),"")</f>
        <v/>
      </c>
      <c r="AF85" s="91" t="str">
        <f aca="false">IF($Z85=Constants!$B$7,IF(Y85,P85*IF(U85, 1, Constants!$B$11)*IF(V85, 1, Constants!$B$12),Constants!$B$13),"")</f>
        <v/>
      </c>
      <c r="AG85" s="91" t="str">
        <f aca="false">IF($Z85=Constants!$B$7,AE85*AF85,"")</f>
        <v/>
      </c>
      <c r="AH85" s="91" t="str">
        <f aca="false">IF($Z85=Constants!$B$7,IF(AG85&gt;AD85,2,1),"")</f>
        <v/>
      </c>
      <c r="AI85" s="91" t="str">
        <f aca="false">IF($Z85=Constants!$B$7,IF(AH85=1,2,1),"")</f>
        <v/>
      </c>
      <c r="AJ85" s="91" t="str">
        <f aca="false">IF(ISBLANK($C85),"",IF($Z85&lt;&gt;Constants!$B$7,$Z85,IF(AH85=1,AD85,AG85)))</f>
        <v/>
      </c>
      <c r="AK85" s="91" t="str">
        <f aca="false">IF(ISBLANK($C85),"",IF($Z85=Constants!$B$7,IF(ISNUMBER(AJ85),RANK(AJ85,$AJ$8:$AJ$507),Constants!$B$14),$Z85))</f>
        <v/>
      </c>
      <c r="AL85" s="91" t="str">
        <f aca="false">IF(ISBLANK($C85),"",IF($Z85=Constants!$B$7,IF(AI85=1,AD85,AG85),""))</f>
        <v/>
      </c>
      <c r="AM85" s="91" t="str">
        <f aca="false">IF(ISBLANK($C85),"",IF($Z85=Constants!$B$7,RANK(AL85,$AL$8:$AL$507),$Z85))</f>
        <v/>
      </c>
      <c r="AN85" s="91" t="str">
        <f aca="false">IF(ISBLANK($C85),"",IF($Z85=Constants!$B$7,IF(ISNUMBER(AK85),COUNTIFS($AK$8:$AK$507,"&lt;"&amp;$AK85)+COUNTIFS($AK$8:$AK$507,$AK85,$AM$8:$AM$507,"&lt;"&amp;$AM85)+1,Constants!$B$14),$Z85))</f>
        <v/>
      </c>
      <c r="AO85" s="91" t="str">
        <f aca="false">IF(ISBLANK($C85),"",IF($Z85=Constants!$B$7,IF(ISNUMBER(AK85),AK85-AN85,Constants!$B$14),$Z85))</f>
        <v/>
      </c>
      <c r="AP85" s="92"/>
      <c r="AQ85" s="93" t="str">
        <f aca="false">IF(ISBLANK($C85),"",IF($Z85&lt;&gt;Constants!$B$7,"",AH85))</f>
        <v/>
      </c>
      <c r="AR85" s="94" t="str">
        <f aca="false">IF(ISBLANK($C85),"",IF($Z85&lt;&gt;Constants!$B$7,"",IF(AH85=1,AB85,AE85)))</f>
        <v/>
      </c>
      <c r="AS85" s="95" t="str">
        <f aca="false">IF(ISBLANK($C85),"",IF($Z85&lt;&gt;Constants!$B$7,"",IF(AH85=1,AC85,AF85)))</f>
        <v/>
      </c>
      <c r="AT85" s="96" t="str">
        <f aca="false">IF(ISBLANK($C85),"",IF($Z85&lt;&gt;Constants!$B$7,$Z85,AJ85))</f>
        <v/>
      </c>
      <c r="AU85" s="97" t="str">
        <f aca="false">IF(ISBLANK($C85),"",IF($Z85&lt;&gt;Constants!$B$7,$Z85,AA85))</f>
        <v/>
      </c>
      <c r="AV85" s="98" t="str">
        <f aca="false">IF(ISBLANK($C85),"",AO85)</f>
        <v/>
      </c>
      <c r="AW85" s="98" t="str">
        <f aca="false">IF(ISBLANK($C85),"",AN85)</f>
        <v/>
      </c>
      <c r="AX85" s="99" t="str">
        <f aca="false">IF(ISBLANK($C85),"",IFERROR(_xlfn.SWITCH(AW85,Constants!$B$4,COUNTA($C$8:$C$507)+2,Constants!$B$5,COUNTA($C$8:$C$507)+1,Constants!$B$6,COUNTA($C$8:$C$507)),AW85))</f>
        <v/>
      </c>
      <c r="AY85" s="5"/>
      <c r="AZ85" s="100" t="n">
        <f aca="false">IF(OR(ISNUMBER(AW85),AW85=Constants!$B$4,AW85=Constants!$B$6,AW85=Constants!$B$5),1,0)</f>
        <v>0</v>
      </c>
      <c r="BA85" s="100" t="n">
        <v>78</v>
      </c>
      <c r="BB85" s="100" t="str">
        <f aca="false">IF(ISBLANK($C85),"",IF(ISNUMBER(AX85),AX85+ROW($B85)/1000,""))</f>
        <v/>
      </c>
      <c r="BC85" s="100" t="str">
        <f aca="false">IF(ISNUMBER(BB85),RANK(BB85,$BB$8:$BB$507,1),"")</f>
        <v/>
      </c>
      <c r="BD85" s="100" t="str">
        <f aca="false">IF(ISBLANK($C85),"",$B85)</f>
        <v/>
      </c>
      <c r="BE85" s="100" t="str">
        <f aca="false">IF(ISBLANK($C85),"",$C85)</f>
        <v/>
      </c>
      <c r="BF85" s="100" t="str">
        <f aca="false">IF(ISBLANK($C85),"",$D85)</f>
        <v/>
      </c>
      <c r="BG85" s="101" t="str">
        <f aca="false">AU85</f>
        <v/>
      </c>
      <c r="BH85" s="102" t="str">
        <f aca="false">AT85</f>
        <v/>
      </c>
      <c r="BI85" s="100" t="str">
        <f aca="false">IF(ISBLANK($C85),"",AW85)</f>
        <v/>
      </c>
      <c r="BJ85" s="103" t="str">
        <f aca="false">IF($BA85&gt;$AZ$7,"",VLOOKUP($BA85,$BC$8:$BI$507,7,FALSE()))</f>
        <v/>
      </c>
      <c r="BK85" s="104" t="str">
        <f aca="false">IF($BA85&gt;$AZ$7,"",VLOOKUP($BA85,$BC$8:$BI$507,2,FALSE()))</f>
        <v/>
      </c>
      <c r="BL85" s="104" t="str">
        <f aca="false">IF($BA85&gt;$AZ$7,"",VLOOKUP($BA85,$BC$8:$BI$507,3,FALSE()))</f>
        <v/>
      </c>
      <c r="BM85" s="104" t="str">
        <f aca="false">IF($BA85&gt;$AZ$7,"",VLOOKUP($BA85,$BC$8:$BI$507,4,FALSE()))</f>
        <v/>
      </c>
      <c r="BN85" s="104" t="str">
        <f aca="false">IF($BA85&gt;$AZ$7,"",VLOOKUP($BA85,$BC$8:$BI$507,5,FALSE()))</f>
        <v/>
      </c>
      <c r="BO85" s="105" t="str">
        <f aca="false">IF($BA85&gt;$AZ$7,"",VLOOKUP($BA85,$BC$8:$BI$507,6,FALSE()))</f>
        <v/>
      </c>
      <c r="BP85" s="52"/>
    </row>
    <row r="86" customFormat="false" ht="15.75" hidden="false" customHeight="false" outlineLevel="0" collapsed="false">
      <c r="A86" s="5"/>
      <c r="B86" s="118"/>
      <c r="C86" s="54"/>
      <c r="D86" s="55"/>
      <c r="E86" s="79"/>
      <c r="F86" s="57"/>
      <c r="G86" s="58"/>
      <c r="H86" s="58"/>
      <c r="I86" s="57"/>
      <c r="J86" s="58"/>
      <c r="K86" s="58"/>
      <c r="L86" s="57"/>
      <c r="M86" s="79"/>
      <c r="N86" s="60"/>
      <c r="O86" s="62" t="str">
        <f aca="false">IF(ISBLANK($C86),"",IF(E86=Constants!$B$2, TRUE(), IF(E86=Constants!$B$3, FALSE(), TRUE())))</f>
        <v/>
      </c>
      <c r="P86" s="62" t="str">
        <f aca="false">IF(ISBLANK($C86),"",IF(F86=Constants!$B$16,Constants!$B$9,IF(F86=Constants!$B$17,Constants!$B$10,Constants!$B$8)))</f>
        <v/>
      </c>
      <c r="Q86" s="62" t="str">
        <f aca="false">IF(ISBLANK($C86),"",IF(ISNUMBER(G86),IF(G86&gt;=0,G86,""),""))</f>
        <v/>
      </c>
      <c r="R86" s="62" t="str">
        <f aca="false">IF(ISBLANK($C86),"",IF(H86=Constants!$B$2, TRUE(), IF(H86=Constants!$B$3, FALSE(), TRUE())))</f>
        <v/>
      </c>
      <c r="S86" s="62" t="str">
        <f aca="false">IF(ISBLANK($C86),"",IF(I86=Constants!$B$2, TRUE(), IF(I86=Constants!$B$3, FALSE(), TRUE())))</f>
        <v/>
      </c>
      <c r="T86" s="62" t="str">
        <f aca="false">IF(ISBLANK($C86),"",IF(ISNUMBER(J86),IF(J86&gt;=0,J86,""),""))</f>
        <v/>
      </c>
      <c r="U86" s="62" t="str">
        <f aca="false">IF(ISBLANK($C86),"",IF(K86=Constants!$B$2, TRUE(), IF(K86=Constants!$B$3, FALSE(), TRUE())))</f>
        <v/>
      </c>
      <c r="V86" s="62" t="str">
        <f aca="false">IF(ISBLANK($C86),"",IF(L86=Constants!$B$2, TRUE(), IF(L86=Constants!$B$3, FALSE(), TRUE())))</f>
        <v/>
      </c>
      <c r="W86" s="62" t="str">
        <f aca="false">IF(ISBLANK($C86),"",IF(M86=Constants!$B$2, TRUE(), IF(M86=Constants!$B$3, FALSE(), FALSE())))</f>
        <v/>
      </c>
      <c r="X86" s="62" t="str">
        <f aca="false">IF(ISBLANK($C86),"",AND(Q86&lt;&gt;"",O86))</f>
        <v/>
      </c>
      <c r="Y86" s="62" t="str">
        <f aca="false">IF(ISBLANK($C86),"",AND(T86&lt;&gt;"",O86))</f>
        <v/>
      </c>
      <c r="Z86" s="62" t="str">
        <f aca="false">IF(ISBLANK($C86),"",IF(W86,Constants!$B$4,IF(COUNTA(E86:L86)=0,Constants!$B$5,IF(NOT(O86),Constants!$B$6,IF(AND(NOT(X86),NOT(Y86)),Constants!$B$6,Constants!$B$7)))))</f>
        <v/>
      </c>
      <c r="AA86" s="62" t="str">
        <f aca="false">IF(ISBLANK($C86),"",IF($Z86&lt;&gt;Constants!$B$7,$Z86,Constants!$B$20))</f>
        <v/>
      </c>
      <c r="AB86" s="62" t="str">
        <f aca="false">IF($Z86=Constants!$B$7,IF(X86,Q86,Constants!$B$13),"")</f>
        <v/>
      </c>
      <c r="AC86" s="62" t="str">
        <f aca="false">IF($Z86=Constants!$B$7,IF(X86,P86*IF(R86, 1, Constants!$B$11)*IF(S86, 1, Constants!$B$12),Constants!$B$13),"")</f>
        <v/>
      </c>
      <c r="AD86" s="62" t="str">
        <f aca="false">IF($Z86=Constants!$B$7,AB86*AC86,"")</f>
        <v/>
      </c>
      <c r="AE86" s="62" t="str">
        <f aca="false">IF($Z86=Constants!$B$7,IF(Y86,T86,Constants!$B$13),"")</f>
        <v/>
      </c>
      <c r="AF86" s="62" t="str">
        <f aca="false">IF($Z86=Constants!$B$7,IF(Y86,P86*IF(U86, 1, Constants!$B$11)*IF(V86, 1, Constants!$B$12),Constants!$B$13),"")</f>
        <v/>
      </c>
      <c r="AG86" s="62" t="str">
        <f aca="false">IF($Z86=Constants!$B$7,AE86*AF86,"")</f>
        <v/>
      </c>
      <c r="AH86" s="62" t="str">
        <f aca="false">IF($Z86=Constants!$B$7,IF(AG86&gt;AD86,2,1),"")</f>
        <v/>
      </c>
      <c r="AI86" s="62" t="str">
        <f aca="false">IF($Z86=Constants!$B$7,IF(AH86=1,2,1),"")</f>
        <v/>
      </c>
      <c r="AJ86" s="62" t="str">
        <f aca="false">IF(ISBLANK($C86),"",IF($Z86&lt;&gt;Constants!$B$7,$Z86,IF(AH86=1,AD86,AG86)))</f>
        <v/>
      </c>
      <c r="AK86" s="62" t="str">
        <f aca="false">IF(ISBLANK($C86),"",IF($Z86=Constants!$B$7,IF(ISNUMBER(AJ86),RANK(AJ86,$AJ$8:$AJ$507),Constants!$B$14),$Z86))</f>
        <v/>
      </c>
      <c r="AL86" s="62" t="str">
        <f aca="false">IF(ISBLANK($C86),"",IF($Z86=Constants!$B$7,IF(AI86=1,AD86,AG86),""))</f>
        <v/>
      </c>
      <c r="AM86" s="62" t="str">
        <f aca="false">IF(ISBLANK($C86),"",IF($Z86=Constants!$B$7,RANK(AL86,$AL$8:$AL$507),$Z86))</f>
        <v/>
      </c>
      <c r="AN86" s="62" t="str">
        <f aca="false">IF(ISBLANK($C86),"",IF($Z86=Constants!$B$7,IF(ISNUMBER(AK86),COUNTIFS($AK$8:$AK$507,"&lt;"&amp;$AK86)+COUNTIFS($AK$8:$AK$507,$AK86,$AM$8:$AM$507,"&lt;"&amp;$AM86)+1,Constants!$B$14),$Z86))</f>
        <v/>
      </c>
      <c r="AO86" s="62" t="str">
        <f aca="false">IF(ISBLANK($C86),"",IF($Z86=Constants!$B$7,IF(ISNUMBER(AK86),AK86-AN86,Constants!$B$14),$Z86))</f>
        <v/>
      </c>
      <c r="AP86" s="64"/>
      <c r="AQ86" s="65" t="str">
        <f aca="false">IF(ISBLANK($C86),"",IF($Z86&lt;&gt;Constants!$B$7,"",AH86))</f>
        <v/>
      </c>
      <c r="AR86" s="80" t="str">
        <f aca="false">IF(ISBLANK($C86),"",IF($Z86&lt;&gt;Constants!$B$7,"",IF(AH86=1,AB86,AE86)))</f>
        <v/>
      </c>
      <c r="AS86" s="67" t="str">
        <f aca="false">IF(ISBLANK($C86),"",IF($Z86&lt;&gt;Constants!$B$7,"",IF(AH86=1,AC86,AF86)))</f>
        <v/>
      </c>
      <c r="AT86" s="68" t="str">
        <f aca="false">IF(ISBLANK($C86),"",IF($Z86&lt;&gt;Constants!$B$7,$Z86,AJ86))</f>
        <v/>
      </c>
      <c r="AU86" s="69" t="str">
        <f aca="false">IF(ISBLANK($C86),"",IF($Z86&lt;&gt;Constants!$B$7,$Z86,AA86))</f>
        <v/>
      </c>
      <c r="AV86" s="70" t="str">
        <f aca="false">IF(ISBLANK($C86),"",AO86)</f>
        <v/>
      </c>
      <c r="AW86" s="70" t="str">
        <f aca="false">IF(ISBLANK($C86),"",AN86)</f>
        <v/>
      </c>
      <c r="AX86" s="71" t="str">
        <f aca="false">IF(ISBLANK($C86),"",IFERROR(_xlfn.SWITCH(AW86,Constants!$B$4,COUNTA($C$8:$C$507)+2,Constants!$B$5,COUNTA($C$8:$C$507)+1,Constants!$B$6,COUNTA($C$8:$C$507)),AW86))</f>
        <v/>
      </c>
      <c r="AY86" s="5"/>
      <c r="AZ86" s="72" t="n">
        <f aca="false">IF(OR(ISNUMBER(AW86),AW86=Constants!$B$4,AW86=Constants!$B$6,AW86=Constants!$B$5),1,0)</f>
        <v>0</v>
      </c>
      <c r="BA86" s="72" t="n">
        <v>79</v>
      </c>
      <c r="BB86" s="72" t="str">
        <f aca="false">IF(ISBLANK($C86),"",IF(ISNUMBER(AX86),AX86+ROW($B86)/1000,""))</f>
        <v/>
      </c>
      <c r="BC86" s="72" t="str">
        <f aca="false">IF(ISNUMBER(BB86),RANK(BB86,$BB$8:$BB$507,1),"")</f>
        <v/>
      </c>
      <c r="BD86" s="72" t="str">
        <f aca="false">IF(ISBLANK($C86),"",$B86)</f>
        <v/>
      </c>
      <c r="BE86" s="72" t="str">
        <f aca="false">IF(ISBLANK($C86),"",$C86)</f>
        <v/>
      </c>
      <c r="BF86" s="72" t="str">
        <f aca="false">IF(ISBLANK($C86),"",$D86)</f>
        <v/>
      </c>
      <c r="BG86" s="73" t="str">
        <f aca="false">AU86</f>
        <v/>
      </c>
      <c r="BH86" s="74" t="str">
        <f aca="false">AT86</f>
        <v/>
      </c>
      <c r="BI86" s="72" t="str">
        <f aca="false">IF(ISBLANK($C86),"",AW86)</f>
        <v/>
      </c>
      <c r="BJ86" s="75" t="str">
        <f aca="false">IF($BA86&gt;$AZ$7,"",VLOOKUP($BA86,$BC$8:$BI$507,7,FALSE()))</f>
        <v/>
      </c>
      <c r="BK86" s="76" t="str">
        <f aca="false">IF($BA86&gt;$AZ$7,"",VLOOKUP($BA86,$BC$8:$BI$507,2,FALSE()))</f>
        <v/>
      </c>
      <c r="BL86" s="76" t="str">
        <f aca="false">IF($BA86&gt;$AZ$7,"",VLOOKUP($BA86,$BC$8:$BI$507,3,FALSE()))</f>
        <v/>
      </c>
      <c r="BM86" s="76" t="str">
        <f aca="false">IF($BA86&gt;$AZ$7,"",VLOOKUP($BA86,$BC$8:$BI$507,4,FALSE()))</f>
        <v/>
      </c>
      <c r="BN86" s="76" t="str">
        <f aca="false">IF($BA86&gt;$AZ$7,"",VLOOKUP($BA86,$BC$8:$BI$507,5,FALSE()))</f>
        <v/>
      </c>
      <c r="BO86" s="77" t="str">
        <f aca="false">IF($BA86&gt;$AZ$7,"",VLOOKUP($BA86,$BC$8:$BI$507,6,FALSE()))</f>
        <v/>
      </c>
      <c r="BP86" s="52"/>
    </row>
    <row r="87" customFormat="false" ht="15.75" hidden="false" customHeight="false" outlineLevel="0" collapsed="false">
      <c r="A87" s="5"/>
      <c r="B87" s="118"/>
      <c r="C87" s="54"/>
      <c r="D87" s="55"/>
      <c r="E87" s="79"/>
      <c r="F87" s="57"/>
      <c r="G87" s="58"/>
      <c r="H87" s="58"/>
      <c r="I87" s="57"/>
      <c r="J87" s="58"/>
      <c r="K87" s="58"/>
      <c r="L87" s="57"/>
      <c r="M87" s="79"/>
      <c r="N87" s="60"/>
      <c r="O87" s="62" t="str">
        <f aca="false">IF(ISBLANK($C87),"",IF(E87=Constants!$B$2, TRUE(), IF(E87=Constants!$B$3, FALSE(), TRUE())))</f>
        <v/>
      </c>
      <c r="P87" s="62" t="str">
        <f aca="false">IF(ISBLANK($C87),"",IF(F87=Constants!$B$16,Constants!$B$9,IF(F87=Constants!$B$17,Constants!$B$10,Constants!$B$8)))</f>
        <v/>
      </c>
      <c r="Q87" s="62" t="str">
        <f aca="false">IF(ISBLANK($C87),"",IF(ISNUMBER(G87),IF(G87&gt;=0,G87,""),""))</f>
        <v/>
      </c>
      <c r="R87" s="62" t="str">
        <f aca="false">IF(ISBLANK($C87),"",IF(H87=Constants!$B$2, TRUE(), IF(H87=Constants!$B$3, FALSE(), TRUE())))</f>
        <v/>
      </c>
      <c r="S87" s="62" t="str">
        <f aca="false">IF(ISBLANK($C87),"",IF(I87=Constants!$B$2, TRUE(), IF(I87=Constants!$B$3, FALSE(), TRUE())))</f>
        <v/>
      </c>
      <c r="T87" s="62" t="str">
        <f aca="false">IF(ISBLANK($C87),"",IF(ISNUMBER(J87),IF(J87&gt;=0,J87,""),""))</f>
        <v/>
      </c>
      <c r="U87" s="62" t="str">
        <f aca="false">IF(ISBLANK($C87),"",IF(K87=Constants!$B$2, TRUE(), IF(K87=Constants!$B$3, FALSE(), TRUE())))</f>
        <v/>
      </c>
      <c r="V87" s="62" t="str">
        <f aca="false">IF(ISBLANK($C87),"",IF(L87=Constants!$B$2, TRUE(), IF(L87=Constants!$B$3, FALSE(), TRUE())))</f>
        <v/>
      </c>
      <c r="W87" s="62" t="str">
        <f aca="false">IF(ISBLANK($C87),"",IF(M87=Constants!$B$2, TRUE(), IF(M87=Constants!$B$3, FALSE(), FALSE())))</f>
        <v/>
      </c>
      <c r="X87" s="62" t="str">
        <f aca="false">IF(ISBLANK($C87),"",AND(Q87&lt;&gt;"",O87))</f>
        <v/>
      </c>
      <c r="Y87" s="62" t="str">
        <f aca="false">IF(ISBLANK($C87),"",AND(T87&lt;&gt;"",O87))</f>
        <v/>
      </c>
      <c r="Z87" s="62" t="str">
        <f aca="false">IF(ISBLANK($C87),"",IF(W87,Constants!$B$4,IF(COUNTA(E87:L87)=0,Constants!$B$5,IF(NOT(O87),Constants!$B$6,IF(AND(NOT(X87),NOT(Y87)),Constants!$B$6,Constants!$B$7)))))</f>
        <v/>
      </c>
      <c r="AA87" s="62" t="str">
        <f aca="false">IF(ISBLANK($C87),"",IF($Z87&lt;&gt;Constants!$B$7,$Z87,Constants!$B$20))</f>
        <v/>
      </c>
      <c r="AB87" s="62" t="str">
        <f aca="false">IF($Z87=Constants!$B$7,IF(X87,Q87,Constants!$B$13),"")</f>
        <v/>
      </c>
      <c r="AC87" s="62" t="str">
        <f aca="false">IF($Z87=Constants!$B$7,IF(X87,P87*IF(R87, 1, Constants!$B$11)*IF(S87, 1, Constants!$B$12),Constants!$B$13),"")</f>
        <v/>
      </c>
      <c r="AD87" s="62" t="str">
        <f aca="false">IF($Z87=Constants!$B$7,AB87*AC87,"")</f>
        <v/>
      </c>
      <c r="AE87" s="62" t="str">
        <f aca="false">IF($Z87=Constants!$B$7,IF(Y87,T87,Constants!$B$13),"")</f>
        <v/>
      </c>
      <c r="AF87" s="62" t="str">
        <f aca="false">IF($Z87=Constants!$B$7,IF(Y87,P87*IF(U87, 1, Constants!$B$11)*IF(V87, 1, Constants!$B$12),Constants!$B$13),"")</f>
        <v/>
      </c>
      <c r="AG87" s="62" t="str">
        <f aca="false">IF($Z87=Constants!$B$7,AE87*AF87,"")</f>
        <v/>
      </c>
      <c r="AH87" s="62" t="str">
        <f aca="false">IF($Z87=Constants!$B$7,IF(AG87&gt;AD87,2,1),"")</f>
        <v/>
      </c>
      <c r="AI87" s="62" t="str">
        <f aca="false">IF($Z87=Constants!$B$7,IF(AH87=1,2,1),"")</f>
        <v/>
      </c>
      <c r="AJ87" s="62" t="str">
        <f aca="false">IF(ISBLANK($C87),"",IF($Z87&lt;&gt;Constants!$B$7,$Z87,IF(AH87=1,AD87,AG87)))</f>
        <v/>
      </c>
      <c r="AK87" s="62" t="str">
        <f aca="false">IF(ISBLANK($C87),"",IF($Z87=Constants!$B$7,IF(ISNUMBER(AJ87),RANK(AJ87,$AJ$8:$AJ$507),Constants!$B$14),$Z87))</f>
        <v/>
      </c>
      <c r="AL87" s="62" t="str">
        <f aca="false">IF(ISBLANK($C87),"",IF($Z87=Constants!$B$7,IF(AI87=1,AD87,AG87),""))</f>
        <v/>
      </c>
      <c r="AM87" s="62" t="str">
        <f aca="false">IF(ISBLANK($C87),"",IF($Z87=Constants!$B$7,RANK(AL87,$AL$8:$AL$507),$Z87))</f>
        <v/>
      </c>
      <c r="AN87" s="62" t="str">
        <f aca="false">IF(ISBLANK($C87),"",IF($Z87=Constants!$B$7,IF(ISNUMBER(AK87),COUNTIFS($AK$8:$AK$507,"&lt;"&amp;$AK87)+COUNTIFS($AK$8:$AK$507,$AK87,$AM$8:$AM$507,"&lt;"&amp;$AM87)+1,Constants!$B$14),$Z87))</f>
        <v/>
      </c>
      <c r="AO87" s="62" t="str">
        <f aca="false">IF(ISBLANK($C87),"",IF($Z87=Constants!$B$7,IF(ISNUMBER(AK87),AK87-AN87,Constants!$B$14),$Z87))</f>
        <v/>
      </c>
      <c r="AP87" s="64"/>
      <c r="AQ87" s="65" t="str">
        <f aca="false">IF(ISBLANK($C87),"",IF($Z87&lt;&gt;Constants!$B$7,"",AH87))</f>
        <v/>
      </c>
      <c r="AR87" s="80" t="str">
        <f aca="false">IF(ISBLANK($C87),"",IF($Z87&lt;&gt;Constants!$B$7,"",IF(AH87=1,AB87,AE87)))</f>
        <v/>
      </c>
      <c r="AS87" s="67" t="str">
        <f aca="false">IF(ISBLANK($C87),"",IF($Z87&lt;&gt;Constants!$B$7,"",IF(AH87=1,AC87,AF87)))</f>
        <v/>
      </c>
      <c r="AT87" s="68" t="str">
        <f aca="false">IF(ISBLANK($C87),"",IF($Z87&lt;&gt;Constants!$B$7,$Z87,AJ87))</f>
        <v/>
      </c>
      <c r="AU87" s="69" t="str">
        <f aca="false">IF(ISBLANK($C87),"",IF($Z87&lt;&gt;Constants!$B$7,$Z87,AA87))</f>
        <v/>
      </c>
      <c r="AV87" s="70" t="str">
        <f aca="false">IF(ISBLANK($C87),"",AO87)</f>
        <v/>
      </c>
      <c r="AW87" s="70" t="str">
        <f aca="false">IF(ISBLANK($C87),"",AN87)</f>
        <v/>
      </c>
      <c r="AX87" s="71" t="str">
        <f aca="false">IF(ISBLANK($C87),"",IFERROR(_xlfn.SWITCH(AW87,Constants!$B$4,COUNTA($C$8:$C$507)+2,Constants!$B$5,COUNTA($C$8:$C$507)+1,Constants!$B$6,COUNTA($C$8:$C$507)),AW87))</f>
        <v/>
      </c>
      <c r="AY87" s="5"/>
      <c r="AZ87" s="72" t="n">
        <f aca="false">IF(OR(ISNUMBER(AW87),AW87=Constants!$B$4,AW87=Constants!$B$6,AW87=Constants!$B$5),1,0)</f>
        <v>0</v>
      </c>
      <c r="BA87" s="72" t="n">
        <v>80</v>
      </c>
      <c r="BB87" s="72" t="str">
        <f aca="false">IF(ISBLANK($C87),"",IF(ISNUMBER(AX87),AX87+ROW($B87)/1000,""))</f>
        <v/>
      </c>
      <c r="BC87" s="72" t="str">
        <f aca="false">IF(ISNUMBER(BB87),RANK(BB87,$BB$8:$BB$507,1),"")</f>
        <v/>
      </c>
      <c r="BD87" s="72" t="str">
        <f aca="false">IF(ISBLANK($C87),"",$B87)</f>
        <v/>
      </c>
      <c r="BE87" s="72" t="str">
        <f aca="false">IF(ISBLANK($C87),"",$C87)</f>
        <v/>
      </c>
      <c r="BF87" s="72" t="str">
        <f aca="false">IF(ISBLANK($C87),"",$D87)</f>
        <v/>
      </c>
      <c r="BG87" s="73" t="str">
        <f aca="false">AU87</f>
        <v/>
      </c>
      <c r="BH87" s="74" t="str">
        <f aca="false">AT87</f>
        <v/>
      </c>
      <c r="BI87" s="72" t="str">
        <f aca="false">IF(ISBLANK($C87),"",AW87)</f>
        <v/>
      </c>
      <c r="BJ87" s="75" t="str">
        <f aca="false">IF($BA87&gt;$AZ$7,"",VLOOKUP($BA87,$BC$8:$BI$507,7,FALSE()))</f>
        <v/>
      </c>
      <c r="BK87" s="76" t="str">
        <f aca="false">IF($BA87&gt;$AZ$7,"",VLOOKUP($BA87,$BC$8:$BI$507,2,FALSE()))</f>
        <v/>
      </c>
      <c r="BL87" s="76" t="str">
        <f aca="false">IF($BA87&gt;$AZ$7,"",VLOOKUP($BA87,$BC$8:$BI$507,3,FALSE()))</f>
        <v/>
      </c>
      <c r="BM87" s="76" t="str">
        <f aca="false">IF($BA87&gt;$AZ$7,"",VLOOKUP($BA87,$BC$8:$BI$507,4,FALSE()))</f>
        <v/>
      </c>
      <c r="BN87" s="76" t="str">
        <f aca="false">IF($BA87&gt;$AZ$7,"",VLOOKUP($BA87,$BC$8:$BI$507,5,FALSE()))</f>
        <v/>
      </c>
      <c r="BO87" s="77" t="str">
        <f aca="false">IF($BA87&gt;$AZ$7,"",VLOOKUP($BA87,$BC$8:$BI$507,6,FALSE()))</f>
        <v/>
      </c>
      <c r="BP87" s="52"/>
    </row>
    <row r="88" customFormat="false" ht="15.75" hidden="false" customHeight="false" outlineLevel="0" collapsed="false">
      <c r="A88" s="5"/>
      <c r="B88" s="118"/>
      <c r="C88" s="54"/>
      <c r="D88" s="55"/>
      <c r="E88" s="79"/>
      <c r="F88" s="57"/>
      <c r="G88" s="58"/>
      <c r="H88" s="58"/>
      <c r="I88" s="57"/>
      <c r="J88" s="58"/>
      <c r="K88" s="58"/>
      <c r="L88" s="57"/>
      <c r="M88" s="79"/>
      <c r="N88" s="60"/>
      <c r="O88" s="62" t="str">
        <f aca="false">IF(ISBLANK($C88),"",IF(E88=Constants!$B$2, TRUE(), IF(E88=Constants!$B$3, FALSE(), TRUE())))</f>
        <v/>
      </c>
      <c r="P88" s="62" t="str">
        <f aca="false">IF(ISBLANK($C88),"",IF(F88=Constants!$B$16,Constants!$B$9,IF(F88=Constants!$B$17,Constants!$B$10,Constants!$B$8)))</f>
        <v/>
      </c>
      <c r="Q88" s="62" t="str">
        <f aca="false">IF(ISBLANK($C88),"",IF(ISNUMBER(G88),IF(G88&gt;=0,G88,""),""))</f>
        <v/>
      </c>
      <c r="R88" s="62" t="str">
        <f aca="false">IF(ISBLANK($C88),"",IF(H88=Constants!$B$2, TRUE(), IF(H88=Constants!$B$3, FALSE(), TRUE())))</f>
        <v/>
      </c>
      <c r="S88" s="62" t="str">
        <f aca="false">IF(ISBLANK($C88),"",IF(I88=Constants!$B$2, TRUE(), IF(I88=Constants!$B$3, FALSE(), TRUE())))</f>
        <v/>
      </c>
      <c r="T88" s="62" t="str">
        <f aca="false">IF(ISBLANK($C88),"",IF(ISNUMBER(J88),IF(J88&gt;=0,J88,""),""))</f>
        <v/>
      </c>
      <c r="U88" s="62" t="str">
        <f aca="false">IF(ISBLANK($C88),"",IF(K88=Constants!$B$2, TRUE(), IF(K88=Constants!$B$3, FALSE(), TRUE())))</f>
        <v/>
      </c>
      <c r="V88" s="62" t="str">
        <f aca="false">IF(ISBLANK($C88),"",IF(L88=Constants!$B$2, TRUE(), IF(L88=Constants!$B$3, FALSE(), TRUE())))</f>
        <v/>
      </c>
      <c r="W88" s="62" t="str">
        <f aca="false">IF(ISBLANK($C88),"",IF(M88=Constants!$B$2, TRUE(), IF(M88=Constants!$B$3, FALSE(), FALSE())))</f>
        <v/>
      </c>
      <c r="X88" s="62" t="str">
        <f aca="false">IF(ISBLANK($C88),"",AND(Q88&lt;&gt;"",O88))</f>
        <v/>
      </c>
      <c r="Y88" s="62" t="str">
        <f aca="false">IF(ISBLANK($C88),"",AND(T88&lt;&gt;"",O88))</f>
        <v/>
      </c>
      <c r="Z88" s="62" t="str">
        <f aca="false">IF(ISBLANK($C88),"",IF(W88,Constants!$B$4,IF(COUNTA(E88:L88)=0,Constants!$B$5,IF(NOT(O88),Constants!$B$6,IF(AND(NOT(X88),NOT(Y88)),Constants!$B$6,Constants!$B$7)))))</f>
        <v/>
      </c>
      <c r="AA88" s="62" t="str">
        <f aca="false">IF(ISBLANK($C88),"",IF($Z88&lt;&gt;Constants!$B$7,$Z88,Constants!$B$20))</f>
        <v/>
      </c>
      <c r="AB88" s="62" t="str">
        <f aca="false">IF($Z88=Constants!$B$7,IF(X88,Q88,Constants!$B$13),"")</f>
        <v/>
      </c>
      <c r="AC88" s="62" t="str">
        <f aca="false">IF($Z88=Constants!$B$7,IF(X88,P88*IF(R88, 1, Constants!$B$11)*IF(S88, 1, Constants!$B$12),Constants!$B$13),"")</f>
        <v/>
      </c>
      <c r="AD88" s="62" t="str">
        <f aca="false">IF($Z88=Constants!$B$7,AB88*AC88,"")</f>
        <v/>
      </c>
      <c r="AE88" s="62" t="str">
        <f aca="false">IF($Z88=Constants!$B$7,IF(Y88,T88,Constants!$B$13),"")</f>
        <v/>
      </c>
      <c r="AF88" s="62" t="str">
        <f aca="false">IF($Z88=Constants!$B$7,IF(Y88,P88*IF(U88, 1, Constants!$B$11)*IF(V88, 1, Constants!$B$12),Constants!$B$13),"")</f>
        <v/>
      </c>
      <c r="AG88" s="62" t="str">
        <f aca="false">IF($Z88=Constants!$B$7,AE88*AF88,"")</f>
        <v/>
      </c>
      <c r="AH88" s="62" t="str">
        <f aca="false">IF($Z88=Constants!$B$7,IF(AG88&gt;AD88,2,1),"")</f>
        <v/>
      </c>
      <c r="AI88" s="62" t="str">
        <f aca="false">IF($Z88=Constants!$B$7,IF(AH88=1,2,1),"")</f>
        <v/>
      </c>
      <c r="AJ88" s="62" t="str">
        <f aca="false">IF(ISBLANK($C88),"",IF($Z88&lt;&gt;Constants!$B$7,$Z88,IF(AH88=1,AD88,AG88)))</f>
        <v/>
      </c>
      <c r="AK88" s="62" t="str">
        <f aca="false">IF(ISBLANK($C88),"",IF($Z88=Constants!$B$7,IF(ISNUMBER(AJ88),RANK(AJ88,$AJ$8:$AJ$507),Constants!$B$14),$Z88))</f>
        <v/>
      </c>
      <c r="AL88" s="62" t="str">
        <f aca="false">IF(ISBLANK($C88),"",IF($Z88=Constants!$B$7,IF(AI88=1,AD88,AG88),""))</f>
        <v/>
      </c>
      <c r="AM88" s="62" t="str">
        <f aca="false">IF(ISBLANK($C88),"",IF($Z88=Constants!$B$7,RANK(AL88,$AL$8:$AL$507),$Z88))</f>
        <v/>
      </c>
      <c r="AN88" s="62" t="str">
        <f aca="false">IF(ISBLANK($C88),"",IF($Z88=Constants!$B$7,IF(ISNUMBER(AK88),COUNTIFS($AK$8:$AK$507,"&lt;"&amp;$AK88)+COUNTIFS($AK$8:$AK$507,$AK88,$AM$8:$AM$507,"&lt;"&amp;$AM88)+1,Constants!$B$14),$Z88))</f>
        <v/>
      </c>
      <c r="AO88" s="62" t="str">
        <f aca="false">IF(ISBLANK($C88),"",IF($Z88=Constants!$B$7,IF(ISNUMBER(AK88),AK88-AN88,Constants!$B$14),$Z88))</f>
        <v/>
      </c>
      <c r="AP88" s="64"/>
      <c r="AQ88" s="65" t="str">
        <f aca="false">IF(ISBLANK($C88),"",IF($Z88&lt;&gt;Constants!$B$7,"",AH88))</f>
        <v/>
      </c>
      <c r="AR88" s="80" t="str">
        <f aca="false">IF(ISBLANK($C88),"",IF($Z88&lt;&gt;Constants!$B$7,"",IF(AH88=1,AB88,AE88)))</f>
        <v/>
      </c>
      <c r="AS88" s="67" t="str">
        <f aca="false">IF(ISBLANK($C88),"",IF($Z88&lt;&gt;Constants!$B$7,"",IF(AH88=1,AC88,AF88)))</f>
        <v/>
      </c>
      <c r="AT88" s="68" t="str">
        <f aca="false">IF(ISBLANK($C88),"",IF($Z88&lt;&gt;Constants!$B$7,$Z88,AJ88))</f>
        <v/>
      </c>
      <c r="AU88" s="69" t="str">
        <f aca="false">IF(ISBLANK($C88),"",IF($Z88&lt;&gt;Constants!$B$7,$Z88,AA88))</f>
        <v/>
      </c>
      <c r="AV88" s="70" t="str">
        <f aca="false">IF(ISBLANK($C88),"",AO88)</f>
        <v/>
      </c>
      <c r="AW88" s="70" t="str">
        <f aca="false">IF(ISBLANK($C88),"",AN88)</f>
        <v/>
      </c>
      <c r="AX88" s="71" t="str">
        <f aca="false">IF(ISBLANK($C88),"",IFERROR(_xlfn.SWITCH(AW88,Constants!$B$4,COUNTA($C$8:$C$507)+2,Constants!$B$5,COUNTA($C$8:$C$507)+1,Constants!$B$6,COUNTA($C$8:$C$507)),AW88))</f>
        <v/>
      </c>
      <c r="AY88" s="5"/>
      <c r="AZ88" s="72" t="n">
        <f aca="false">IF(OR(ISNUMBER(AW88),AW88=Constants!$B$4,AW88=Constants!$B$6,AW88=Constants!$B$5),1,0)</f>
        <v>0</v>
      </c>
      <c r="BA88" s="72" t="n">
        <v>81</v>
      </c>
      <c r="BB88" s="72" t="str">
        <f aca="false">IF(ISBLANK($C88),"",IF(ISNUMBER(AX88),AX88+ROW($B88)/1000,""))</f>
        <v/>
      </c>
      <c r="BC88" s="72" t="str">
        <f aca="false">IF(ISNUMBER(BB88),RANK(BB88,$BB$8:$BB$507,1),"")</f>
        <v/>
      </c>
      <c r="BD88" s="72" t="str">
        <f aca="false">IF(ISBLANK($C88),"",$B88)</f>
        <v/>
      </c>
      <c r="BE88" s="72" t="str">
        <f aca="false">IF(ISBLANK($C88),"",$C88)</f>
        <v/>
      </c>
      <c r="BF88" s="72" t="str">
        <f aca="false">IF(ISBLANK($C88),"",$D88)</f>
        <v/>
      </c>
      <c r="BG88" s="73" t="str">
        <f aca="false">AU88</f>
        <v/>
      </c>
      <c r="BH88" s="74" t="str">
        <f aca="false">AT88</f>
        <v/>
      </c>
      <c r="BI88" s="72" t="str">
        <f aca="false">IF(ISBLANK($C88),"",AW88)</f>
        <v/>
      </c>
      <c r="BJ88" s="75" t="str">
        <f aca="false">IF($BA88&gt;$AZ$7,"",VLOOKUP($BA88,$BC$8:$BI$507,7,FALSE()))</f>
        <v/>
      </c>
      <c r="BK88" s="76" t="str">
        <f aca="false">IF($BA88&gt;$AZ$7,"",VLOOKUP($BA88,$BC$8:$BI$507,2,FALSE()))</f>
        <v/>
      </c>
      <c r="BL88" s="76" t="str">
        <f aca="false">IF($BA88&gt;$AZ$7,"",VLOOKUP($BA88,$BC$8:$BI$507,3,FALSE()))</f>
        <v/>
      </c>
      <c r="BM88" s="76" t="str">
        <f aca="false">IF($BA88&gt;$AZ$7,"",VLOOKUP($BA88,$BC$8:$BI$507,4,FALSE()))</f>
        <v/>
      </c>
      <c r="BN88" s="76" t="str">
        <f aca="false">IF($BA88&gt;$AZ$7,"",VLOOKUP($BA88,$BC$8:$BI$507,5,FALSE()))</f>
        <v/>
      </c>
      <c r="BO88" s="77" t="str">
        <f aca="false">IF($BA88&gt;$AZ$7,"",VLOOKUP($BA88,$BC$8:$BI$507,6,FALSE()))</f>
        <v/>
      </c>
      <c r="BP88" s="52"/>
    </row>
    <row r="89" customFormat="false" ht="15.75" hidden="false" customHeight="false" outlineLevel="0" collapsed="false">
      <c r="A89" s="5"/>
      <c r="B89" s="114"/>
      <c r="C89" s="115"/>
      <c r="D89" s="106"/>
      <c r="E89" s="117"/>
      <c r="F89" s="87"/>
      <c r="G89" s="88"/>
      <c r="H89" s="88"/>
      <c r="I89" s="87"/>
      <c r="J89" s="88"/>
      <c r="K89" s="88"/>
      <c r="L89" s="87"/>
      <c r="M89" s="117"/>
      <c r="N89" s="90"/>
      <c r="O89" s="91" t="str">
        <f aca="false">IF(ISBLANK($C89),"",IF(E89=Constants!$B$2, TRUE(), IF(E89=Constants!$B$3, FALSE(), TRUE())))</f>
        <v/>
      </c>
      <c r="P89" s="91" t="str">
        <f aca="false">IF(ISBLANK($C89),"",IF(F89=Constants!$B$16,Constants!$B$9,IF(F89=Constants!$B$17,Constants!$B$10,Constants!$B$8)))</f>
        <v/>
      </c>
      <c r="Q89" s="91" t="str">
        <f aca="false">IF(ISBLANK($C89),"",IF(ISNUMBER(G89),IF(G89&gt;=0,G89,""),""))</f>
        <v/>
      </c>
      <c r="R89" s="91" t="str">
        <f aca="false">IF(ISBLANK($C89),"",IF(H89=Constants!$B$2, TRUE(), IF(H89=Constants!$B$3, FALSE(), TRUE())))</f>
        <v/>
      </c>
      <c r="S89" s="91" t="str">
        <f aca="false">IF(ISBLANK($C89),"",IF(I89=Constants!$B$2, TRUE(), IF(I89=Constants!$B$3, FALSE(), TRUE())))</f>
        <v/>
      </c>
      <c r="T89" s="91" t="str">
        <f aca="false">IF(ISBLANK($C89),"",IF(ISNUMBER(J89),IF(J89&gt;=0,J89,""),""))</f>
        <v/>
      </c>
      <c r="U89" s="91" t="str">
        <f aca="false">IF(ISBLANK($C89),"",IF(K89=Constants!$B$2, TRUE(), IF(K89=Constants!$B$3, FALSE(), TRUE())))</f>
        <v/>
      </c>
      <c r="V89" s="91" t="str">
        <f aca="false">IF(ISBLANK($C89),"",IF(L89=Constants!$B$2, TRUE(), IF(L89=Constants!$B$3, FALSE(), TRUE())))</f>
        <v/>
      </c>
      <c r="W89" s="91" t="str">
        <f aca="false">IF(ISBLANK($C89),"",IF(M89=Constants!$B$2, TRUE(), IF(M89=Constants!$B$3, FALSE(), FALSE())))</f>
        <v/>
      </c>
      <c r="X89" s="91" t="str">
        <f aca="false">IF(ISBLANK($C89),"",AND(Q89&lt;&gt;"",O89))</f>
        <v/>
      </c>
      <c r="Y89" s="91" t="str">
        <f aca="false">IF(ISBLANK($C89),"",AND(T89&lt;&gt;"",O89))</f>
        <v/>
      </c>
      <c r="Z89" s="91" t="str">
        <f aca="false">IF(ISBLANK($C89),"",IF(W89,Constants!$B$4,IF(COUNTA(E89:L89)=0,Constants!$B$5,IF(NOT(O89),Constants!$B$6,IF(AND(NOT(X89),NOT(Y89)),Constants!$B$6,Constants!$B$7)))))</f>
        <v/>
      </c>
      <c r="AA89" s="91" t="str">
        <f aca="false">IF(ISBLANK($C89),"",IF($Z89&lt;&gt;Constants!$B$7,$Z89,Constants!$B$20))</f>
        <v/>
      </c>
      <c r="AB89" s="91" t="str">
        <f aca="false">IF($Z89=Constants!$B$7,IF(X89,Q89,Constants!$B$13),"")</f>
        <v/>
      </c>
      <c r="AC89" s="91" t="str">
        <f aca="false">IF($Z89=Constants!$B$7,IF(X89,P89*IF(R89, 1, Constants!$B$11)*IF(S89, 1, Constants!$B$12),Constants!$B$13),"")</f>
        <v/>
      </c>
      <c r="AD89" s="91" t="str">
        <f aca="false">IF($Z89=Constants!$B$7,AB89*AC89,"")</f>
        <v/>
      </c>
      <c r="AE89" s="91" t="str">
        <f aca="false">IF($Z89=Constants!$B$7,IF(Y89,T89,Constants!$B$13),"")</f>
        <v/>
      </c>
      <c r="AF89" s="91" t="str">
        <f aca="false">IF($Z89=Constants!$B$7,IF(Y89,P89*IF(U89, 1, Constants!$B$11)*IF(V89, 1, Constants!$B$12),Constants!$B$13),"")</f>
        <v/>
      </c>
      <c r="AG89" s="91" t="str">
        <f aca="false">IF($Z89=Constants!$B$7,AE89*AF89,"")</f>
        <v/>
      </c>
      <c r="AH89" s="91" t="str">
        <f aca="false">IF($Z89=Constants!$B$7,IF(AG89&gt;AD89,2,1),"")</f>
        <v/>
      </c>
      <c r="AI89" s="91" t="str">
        <f aca="false">IF($Z89=Constants!$B$7,IF(AH89=1,2,1),"")</f>
        <v/>
      </c>
      <c r="AJ89" s="91" t="str">
        <f aca="false">IF(ISBLANK($C89),"",IF($Z89&lt;&gt;Constants!$B$7,$Z89,IF(AH89=1,AD89,AG89)))</f>
        <v/>
      </c>
      <c r="AK89" s="91" t="str">
        <f aca="false">IF(ISBLANK($C89),"",IF($Z89=Constants!$B$7,IF(ISNUMBER(AJ89),RANK(AJ89,$AJ$8:$AJ$507),Constants!$B$14),$Z89))</f>
        <v/>
      </c>
      <c r="AL89" s="91" t="str">
        <f aca="false">IF(ISBLANK($C89),"",IF($Z89=Constants!$B$7,IF(AI89=1,AD89,AG89),""))</f>
        <v/>
      </c>
      <c r="AM89" s="91" t="str">
        <f aca="false">IF(ISBLANK($C89),"",IF($Z89=Constants!$B$7,RANK(AL89,$AL$8:$AL$507),$Z89))</f>
        <v/>
      </c>
      <c r="AN89" s="91" t="str">
        <f aca="false">IF(ISBLANK($C89),"",IF($Z89=Constants!$B$7,IF(ISNUMBER(AK89),COUNTIFS($AK$8:$AK$507,"&lt;"&amp;$AK89)+COUNTIFS($AK$8:$AK$507,$AK89,$AM$8:$AM$507,"&lt;"&amp;$AM89)+1,Constants!$B$14),$Z89))</f>
        <v/>
      </c>
      <c r="AO89" s="91" t="str">
        <f aca="false">IF(ISBLANK($C89),"",IF($Z89=Constants!$B$7,IF(ISNUMBER(AK89),AK89-AN89,Constants!$B$14),$Z89))</f>
        <v/>
      </c>
      <c r="AP89" s="92"/>
      <c r="AQ89" s="93" t="str">
        <f aca="false">IF(ISBLANK($C89),"",IF($Z89&lt;&gt;Constants!$B$7,"",AH89))</f>
        <v/>
      </c>
      <c r="AR89" s="94" t="str">
        <f aca="false">IF(ISBLANK($C89),"",IF($Z89&lt;&gt;Constants!$B$7,"",IF(AH89=1,AB89,AE89)))</f>
        <v/>
      </c>
      <c r="AS89" s="95" t="str">
        <f aca="false">IF(ISBLANK($C89),"",IF($Z89&lt;&gt;Constants!$B$7,"",IF(AH89=1,AC89,AF89)))</f>
        <v/>
      </c>
      <c r="AT89" s="96" t="str">
        <f aca="false">IF(ISBLANK($C89),"",IF($Z89&lt;&gt;Constants!$B$7,$Z89,AJ89))</f>
        <v/>
      </c>
      <c r="AU89" s="97" t="str">
        <f aca="false">IF(ISBLANK($C89),"",IF($Z89&lt;&gt;Constants!$B$7,$Z89,AA89))</f>
        <v/>
      </c>
      <c r="AV89" s="98" t="str">
        <f aca="false">IF(ISBLANK($C89),"",AO89)</f>
        <v/>
      </c>
      <c r="AW89" s="98" t="str">
        <f aca="false">IF(ISBLANK($C89),"",AN89)</f>
        <v/>
      </c>
      <c r="AX89" s="99" t="str">
        <f aca="false">IF(ISBLANK($C89),"",IFERROR(_xlfn.SWITCH(AW89,Constants!$B$4,COUNTA($C$8:$C$507)+2,Constants!$B$5,COUNTA($C$8:$C$507)+1,Constants!$B$6,COUNTA($C$8:$C$507)),AW89))</f>
        <v/>
      </c>
      <c r="AY89" s="5"/>
      <c r="AZ89" s="100" t="n">
        <f aca="false">IF(OR(ISNUMBER(AW89),AW89=Constants!$B$4,AW89=Constants!$B$6,AW89=Constants!$B$5),1,0)</f>
        <v>0</v>
      </c>
      <c r="BA89" s="100" t="n">
        <v>82</v>
      </c>
      <c r="BB89" s="100" t="str">
        <f aca="false">IF(ISBLANK($C89),"",IF(ISNUMBER(AX89),AX89+ROW($B89)/1000,""))</f>
        <v/>
      </c>
      <c r="BC89" s="100" t="str">
        <f aca="false">IF(ISNUMBER(BB89),RANK(BB89,$BB$8:$BB$507,1),"")</f>
        <v/>
      </c>
      <c r="BD89" s="100" t="str">
        <f aca="false">IF(ISBLANK($C89),"",$B89)</f>
        <v/>
      </c>
      <c r="BE89" s="100" t="str">
        <f aca="false">IF(ISBLANK($C89),"",$C89)</f>
        <v/>
      </c>
      <c r="BF89" s="100" t="str">
        <f aca="false">IF(ISBLANK($C89),"",$D89)</f>
        <v/>
      </c>
      <c r="BG89" s="101" t="str">
        <f aca="false">AU89</f>
        <v/>
      </c>
      <c r="BH89" s="102" t="str">
        <f aca="false">AT89</f>
        <v/>
      </c>
      <c r="BI89" s="100" t="str">
        <f aca="false">IF(ISBLANK($C89),"",AW89)</f>
        <v/>
      </c>
      <c r="BJ89" s="103" t="str">
        <f aca="false">IF($BA89&gt;$AZ$7,"",VLOOKUP($BA89,$BC$8:$BI$507,7,FALSE()))</f>
        <v/>
      </c>
      <c r="BK89" s="104" t="str">
        <f aca="false">IF($BA89&gt;$AZ$7,"",VLOOKUP($BA89,$BC$8:$BI$507,2,FALSE()))</f>
        <v/>
      </c>
      <c r="BL89" s="104" t="str">
        <f aca="false">IF($BA89&gt;$AZ$7,"",VLOOKUP($BA89,$BC$8:$BI$507,3,FALSE()))</f>
        <v/>
      </c>
      <c r="BM89" s="104" t="str">
        <f aca="false">IF($BA89&gt;$AZ$7,"",VLOOKUP($BA89,$BC$8:$BI$507,4,FALSE()))</f>
        <v/>
      </c>
      <c r="BN89" s="104" t="str">
        <f aca="false">IF($BA89&gt;$AZ$7,"",VLOOKUP($BA89,$BC$8:$BI$507,5,FALSE()))</f>
        <v/>
      </c>
      <c r="BO89" s="105" t="str">
        <f aca="false">IF($BA89&gt;$AZ$7,"",VLOOKUP($BA89,$BC$8:$BI$507,6,FALSE()))</f>
        <v/>
      </c>
      <c r="BP89" s="52"/>
    </row>
    <row r="90" customFormat="false" ht="15.75" hidden="false" customHeight="false" outlineLevel="0" collapsed="false">
      <c r="A90" s="5"/>
      <c r="B90" s="114"/>
      <c r="C90" s="115"/>
      <c r="D90" s="106"/>
      <c r="E90" s="117"/>
      <c r="F90" s="87"/>
      <c r="G90" s="88"/>
      <c r="H90" s="88"/>
      <c r="I90" s="87"/>
      <c r="J90" s="88"/>
      <c r="K90" s="88"/>
      <c r="L90" s="87"/>
      <c r="M90" s="117"/>
      <c r="N90" s="90"/>
      <c r="O90" s="91" t="str">
        <f aca="false">IF(ISBLANK($C90),"",IF(E90=Constants!$B$2, TRUE(), IF(E90=Constants!$B$3, FALSE(), TRUE())))</f>
        <v/>
      </c>
      <c r="P90" s="91" t="str">
        <f aca="false">IF(ISBLANK($C90),"",IF(F90=Constants!$B$16,Constants!$B$9,IF(F90=Constants!$B$17,Constants!$B$10,Constants!$B$8)))</f>
        <v/>
      </c>
      <c r="Q90" s="91" t="str">
        <f aca="false">IF(ISBLANK($C90),"",IF(ISNUMBER(G90),IF(G90&gt;=0,G90,""),""))</f>
        <v/>
      </c>
      <c r="R90" s="91" t="str">
        <f aca="false">IF(ISBLANK($C90),"",IF(H90=Constants!$B$2, TRUE(), IF(H90=Constants!$B$3, FALSE(), TRUE())))</f>
        <v/>
      </c>
      <c r="S90" s="91" t="str">
        <f aca="false">IF(ISBLANK($C90),"",IF(I90=Constants!$B$2, TRUE(), IF(I90=Constants!$B$3, FALSE(), TRUE())))</f>
        <v/>
      </c>
      <c r="T90" s="91" t="str">
        <f aca="false">IF(ISBLANK($C90),"",IF(ISNUMBER(J90),IF(J90&gt;=0,J90,""),""))</f>
        <v/>
      </c>
      <c r="U90" s="91" t="str">
        <f aca="false">IF(ISBLANK($C90),"",IF(K90=Constants!$B$2, TRUE(), IF(K90=Constants!$B$3, FALSE(), TRUE())))</f>
        <v/>
      </c>
      <c r="V90" s="91" t="str">
        <f aca="false">IF(ISBLANK($C90),"",IF(L90=Constants!$B$2, TRUE(), IF(L90=Constants!$B$3, FALSE(), TRUE())))</f>
        <v/>
      </c>
      <c r="W90" s="91" t="str">
        <f aca="false">IF(ISBLANK($C90),"",IF(M90=Constants!$B$2, TRUE(), IF(M90=Constants!$B$3, FALSE(), FALSE())))</f>
        <v/>
      </c>
      <c r="X90" s="91" t="str">
        <f aca="false">IF(ISBLANK($C90),"",AND(Q90&lt;&gt;"",O90))</f>
        <v/>
      </c>
      <c r="Y90" s="91" t="str">
        <f aca="false">IF(ISBLANK($C90),"",AND(T90&lt;&gt;"",O90))</f>
        <v/>
      </c>
      <c r="Z90" s="91" t="str">
        <f aca="false">IF(ISBLANK($C90),"",IF(W90,Constants!$B$4,IF(COUNTA(E90:L90)=0,Constants!$B$5,IF(NOT(O90),Constants!$B$6,IF(AND(NOT(X90),NOT(Y90)),Constants!$B$6,Constants!$B$7)))))</f>
        <v/>
      </c>
      <c r="AA90" s="91" t="str">
        <f aca="false">IF(ISBLANK($C90),"",IF($Z90&lt;&gt;Constants!$B$7,$Z90,Constants!$B$20))</f>
        <v/>
      </c>
      <c r="AB90" s="91" t="str">
        <f aca="false">IF($Z90=Constants!$B$7,IF(X90,Q90,Constants!$B$13),"")</f>
        <v/>
      </c>
      <c r="AC90" s="91" t="str">
        <f aca="false">IF($Z90=Constants!$B$7,IF(X90,P90*IF(R90, 1, Constants!$B$11)*IF(S90, 1, Constants!$B$12),Constants!$B$13),"")</f>
        <v/>
      </c>
      <c r="AD90" s="91" t="str">
        <f aca="false">IF($Z90=Constants!$B$7,AB90*AC90,"")</f>
        <v/>
      </c>
      <c r="AE90" s="91" t="str">
        <f aca="false">IF($Z90=Constants!$B$7,IF(Y90,T90,Constants!$B$13),"")</f>
        <v/>
      </c>
      <c r="AF90" s="91" t="str">
        <f aca="false">IF($Z90=Constants!$B$7,IF(Y90,P90*IF(U90, 1, Constants!$B$11)*IF(V90, 1, Constants!$B$12),Constants!$B$13),"")</f>
        <v/>
      </c>
      <c r="AG90" s="91" t="str">
        <f aca="false">IF($Z90=Constants!$B$7,AE90*AF90,"")</f>
        <v/>
      </c>
      <c r="AH90" s="91" t="str">
        <f aca="false">IF($Z90=Constants!$B$7,IF(AG90&gt;AD90,2,1),"")</f>
        <v/>
      </c>
      <c r="AI90" s="91" t="str">
        <f aca="false">IF($Z90=Constants!$B$7,IF(AH90=1,2,1),"")</f>
        <v/>
      </c>
      <c r="AJ90" s="91" t="str">
        <f aca="false">IF(ISBLANK($C90),"",IF($Z90&lt;&gt;Constants!$B$7,$Z90,IF(AH90=1,AD90,AG90)))</f>
        <v/>
      </c>
      <c r="AK90" s="91" t="str">
        <f aca="false">IF(ISBLANK($C90),"",IF($Z90=Constants!$B$7,IF(ISNUMBER(AJ90),RANK(AJ90,$AJ$8:$AJ$507),Constants!$B$14),$Z90))</f>
        <v/>
      </c>
      <c r="AL90" s="91" t="str">
        <f aca="false">IF(ISBLANK($C90),"",IF($Z90=Constants!$B$7,IF(AI90=1,AD90,AG90),""))</f>
        <v/>
      </c>
      <c r="AM90" s="91" t="str">
        <f aca="false">IF(ISBLANK($C90),"",IF($Z90=Constants!$B$7,RANK(AL90,$AL$8:$AL$507),$Z90))</f>
        <v/>
      </c>
      <c r="AN90" s="91" t="str">
        <f aca="false">IF(ISBLANK($C90),"",IF($Z90=Constants!$B$7,IF(ISNUMBER(AK90),COUNTIFS($AK$8:$AK$507,"&lt;"&amp;$AK90)+COUNTIFS($AK$8:$AK$507,$AK90,$AM$8:$AM$507,"&lt;"&amp;$AM90)+1,Constants!$B$14),$Z90))</f>
        <v/>
      </c>
      <c r="AO90" s="91" t="str">
        <f aca="false">IF(ISBLANK($C90),"",IF($Z90=Constants!$B$7,IF(ISNUMBER(AK90),AK90-AN90,Constants!$B$14),$Z90))</f>
        <v/>
      </c>
      <c r="AP90" s="92"/>
      <c r="AQ90" s="93" t="str">
        <f aca="false">IF(ISBLANK($C90),"",IF($Z90&lt;&gt;Constants!$B$7,"",AH90))</f>
        <v/>
      </c>
      <c r="AR90" s="94" t="str">
        <f aca="false">IF(ISBLANK($C90),"",IF($Z90&lt;&gt;Constants!$B$7,"",IF(AH90=1,AB90,AE90)))</f>
        <v/>
      </c>
      <c r="AS90" s="95" t="str">
        <f aca="false">IF(ISBLANK($C90),"",IF($Z90&lt;&gt;Constants!$B$7,"",IF(AH90=1,AC90,AF90)))</f>
        <v/>
      </c>
      <c r="AT90" s="96" t="str">
        <f aca="false">IF(ISBLANK($C90),"",IF($Z90&lt;&gt;Constants!$B$7,$Z90,AJ90))</f>
        <v/>
      </c>
      <c r="AU90" s="97" t="str">
        <f aca="false">IF(ISBLANK($C90),"",IF($Z90&lt;&gt;Constants!$B$7,$Z90,AA90))</f>
        <v/>
      </c>
      <c r="AV90" s="98" t="str">
        <f aca="false">IF(ISBLANK($C90),"",AO90)</f>
        <v/>
      </c>
      <c r="AW90" s="98" t="str">
        <f aca="false">IF(ISBLANK($C90),"",AN90)</f>
        <v/>
      </c>
      <c r="AX90" s="99" t="str">
        <f aca="false">IF(ISBLANK($C90),"",IFERROR(_xlfn.SWITCH(AW90,Constants!$B$4,COUNTA($C$8:$C$507)+2,Constants!$B$5,COUNTA($C$8:$C$507)+1,Constants!$B$6,COUNTA($C$8:$C$507)),AW90))</f>
        <v/>
      </c>
      <c r="AY90" s="5"/>
      <c r="AZ90" s="100" t="n">
        <f aca="false">IF(OR(ISNUMBER(AW90),AW90=Constants!$B$4,AW90=Constants!$B$6,AW90=Constants!$B$5),1,0)</f>
        <v>0</v>
      </c>
      <c r="BA90" s="100" t="n">
        <v>83</v>
      </c>
      <c r="BB90" s="100" t="str">
        <f aca="false">IF(ISBLANK($C90),"",IF(ISNUMBER(AX90),AX90+ROW($B90)/1000,""))</f>
        <v/>
      </c>
      <c r="BC90" s="100" t="str">
        <f aca="false">IF(ISNUMBER(BB90),RANK(BB90,$BB$8:$BB$507,1),"")</f>
        <v/>
      </c>
      <c r="BD90" s="100" t="str">
        <f aca="false">IF(ISBLANK($C90),"",$B90)</f>
        <v/>
      </c>
      <c r="BE90" s="100" t="str">
        <f aca="false">IF(ISBLANK($C90),"",$C90)</f>
        <v/>
      </c>
      <c r="BF90" s="100" t="str">
        <f aca="false">IF(ISBLANK($C90),"",$D90)</f>
        <v/>
      </c>
      <c r="BG90" s="101" t="str">
        <f aca="false">AU90</f>
        <v/>
      </c>
      <c r="BH90" s="102" t="str">
        <f aca="false">AT90</f>
        <v/>
      </c>
      <c r="BI90" s="100" t="str">
        <f aca="false">IF(ISBLANK($C90),"",AW90)</f>
        <v/>
      </c>
      <c r="BJ90" s="103" t="str">
        <f aca="false">IF($BA90&gt;$AZ$7,"",VLOOKUP($BA90,$BC$8:$BI$507,7,FALSE()))</f>
        <v/>
      </c>
      <c r="BK90" s="104" t="str">
        <f aca="false">IF($BA90&gt;$AZ$7,"",VLOOKUP($BA90,$BC$8:$BI$507,2,FALSE()))</f>
        <v/>
      </c>
      <c r="BL90" s="104" t="str">
        <f aca="false">IF($BA90&gt;$AZ$7,"",VLOOKUP($BA90,$BC$8:$BI$507,3,FALSE()))</f>
        <v/>
      </c>
      <c r="BM90" s="104" t="str">
        <f aca="false">IF($BA90&gt;$AZ$7,"",VLOOKUP($BA90,$BC$8:$BI$507,4,FALSE()))</f>
        <v/>
      </c>
      <c r="BN90" s="104" t="str">
        <f aca="false">IF($BA90&gt;$AZ$7,"",VLOOKUP($BA90,$BC$8:$BI$507,5,FALSE()))</f>
        <v/>
      </c>
      <c r="BO90" s="105" t="str">
        <f aca="false">IF($BA90&gt;$AZ$7,"",VLOOKUP($BA90,$BC$8:$BI$507,6,FALSE()))</f>
        <v/>
      </c>
      <c r="BP90" s="52"/>
    </row>
    <row r="91" customFormat="false" ht="15.75" hidden="false" customHeight="false" outlineLevel="0" collapsed="false">
      <c r="A91" s="5"/>
      <c r="B91" s="114"/>
      <c r="C91" s="115"/>
      <c r="D91" s="106"/>
      <c r="E91" s="117"/>
      <c r="F91" s="87"/>
      <c r="G91" s="88"/>
      <c r="H91" s="88"/>
      <c r="I91" s="87"/>
      <c r="J91" s="88"/>
      <c r="K91" s="88"/>
      <c r="L91" s="87"/>
      <c r="M91" s="117"/>
      <c r="N91" s="90"/>
      <c r="O91" s="91" t="str">
        <f aca="false">IF(ISBLANK($C91),"",IF(E91=Constants!$B$2, TRUE(), IF(E91=Constants!$B$3, FALSE(), TRUE())))</f>
        <v/>
      </c>
      <c r="P91" s="91" t="str">
        <f aca="false">IF(ISBLANK($C91),"",IF(F91=Constants!$B$16,Constants!$B$9,IF(F91=Constants!$B$17,Constants!$B$10,Constants!$B$8)))</f>
        <v/>
      </c>
      <c r="Q91" s="91" t="str">
        <f aca="false">IF(ISBLANK($C91),"",IF(ISNUMBER(G91),IF(G91&gt;=0,G91,""),""))</f>
        <v/>
      </c>
      <c r="R91" s="91" t="str">
        <f aca="false">IF(ISBLANK($C91),"",IF(H91=Constants!$B$2, TRUE(), IF(H91=Constants!$B$3, FALSE(), TRUE())))</f>
        <v/>
      </c>
      <c r="S91" s="91" t="str">
        <f aca="false">IF(ISBLANK($C91),"",IF(I91=Constants!$B$2, TRUE(), IF(I91=Constants!$B$3, FALSE(), TRUE())))</f>
        <v/>
      </c>
      <c r="T91" s="91" t="str">
        <f aca="false">IF(ISBLANK($C91),"",IF(ISNUMBER(J91),IF(J91&gt;=0,J91,""),""))</f>
        <v/>
      </c>
      <c r="U91" s="91" t="str">
        <f aca="false">IF(ISBLANK($C91),"",IF(K91=Constants!$B$2, TRUE(), IF(K91=Constants!$B$3, FALSE(), TRUE())))</f>
        <v/>
      </c>
      <c r="V91" s="91" t="str">
        <f aca="false">IF(ISBLANK($C91),"",IF(L91=Constants!$B$2, TRUE(), IF(L91=Constants!$B$3, FALSE(), TRUE())))</f>
        <v/>
      </c>
      <c r="W91" s="91" t="str">
        <f aca="false">IF(ISBLANK($C91),"",IF(M91=Constants!$B$2, TRUE(), IF(M91=Constants!$B$3, FALSE(), FALSE())))</f>
        <v/>
      </c>
      <c r="X91" s="91" t="str">
        <f aca="false">IF(ISBLANK($C91),"",AND(Q91&lt;&gt;"",O91))</f>
        <v/>
      </c>
      <c r="Y91" s="91" t="str">
        <f aca="false">IF(ISBLANK($C91),"",AND(T91&lt;&gt;"",O91))</f>
        <v/>
      </c>
      <c r="Z91" s="91" t="str">
        <f aca="false">IF(ISBLANK($C91),"",IF(W91,Constants!$B$4,IF(COUNTA(E91:L91)=0,Constants!$B$5,IF(NOT(O91),Constants!$B$6,IF(AND(NOT(X91),NOT(Y91)),Constants!$B$6,Constants!$B$7)))))</f>
        <v/>
      </c>
      <c r="AA91" s="91" t="str">
        <f aca="false">IF(ISBLANK($C91),"",IF($Z91&lt;&gt;Constants!$B$7,$Z91,Constants!$B$20))</f>
        <v/>
      </c>
      <c r="AB91" s="91" t="str">
        <f aca="false">IF($Z91=Constants!$B$7,IF(X91,Q91,Constants!$B$13),"")</f>
        <v/>
      </c>
      <c r="AC91" s="91" t="str">
        <f aca="false">IF($Z91=Constants!$B$7,IF(X91,P91*IF(R91, 1, Constants!$B$11)*IF(S91, 1, Constants!$B$12),Constants!$B$13),"")</f>
        <v/>
      </c>
      <c r="AD91" s="91" t="str">
        <f aca="false">IF($Z91=Constants!$B$7,AB91*AC91,"")</f>
        <v/>
      </c>
      <c r="AE91" s="91" t="str">
        <f aca="false">IF($Z91=Constants!$B$7,IF(Y91,T91,Constants!$B$13),"")</f>
        <v/>
      </c>
      <c r="AF91" s="91" t="str">
        <f aca="false">IF($Z91=Constants!$B$7,IF(Y91,P91*IF(U91, 1, Constants!$B$11)*IF(V91, 1, Constants!$B$12),Constants!$B$13),"")</f>
        <v/>
      </c>
      <c r="AG91" s="91" t="str">
        <f aca="false">IF($Z91=Constants!$B$7,AE91*AF91,"")</f>
        <v/>
      </c>
      <c r="AH91" s="91" t="str">
        <f aca="false">IF($Z91=Constants!$B$7,IF(AG91&gt;AD91,2,1),"")</f>
        <v/>
      </c>
      <c r="AI91" s="91" t="str">
        <f aca="false">IF($Z91=Constants!$B$7,IF(AH91=1,2,1),"")</f>
        <v/>
      </c>
      <c r="AJ91" s="91" t="str">
        <f aca="false">IF(ISBLANK($C91),"",IF($Z91&lt;&gt;Constants!$B$7,$Z91,IF(AH91=1,AD91,AG91)))</f>
        <v/>
      </c>
      <c r="AK91" s="91" t="str">
        <f aca="false">IF(ISBLANK($C91),"",IF($Z91=Constants!$B$7,IF(ISNUMBER(AJ91),RANK(AJ91,$AJ$8:$AJ$507),Constants!$B$14),$Z91))</f>
        <v/>
      </c>
      <c r="AL91" s="91" t="str">
        <f aca="false">IF(ISBLANK($C91),"",IF($Z91=Constants!$B$7,IF(AI91=1,AD91,AG91),""))</f>
        <v/>
      </c>
      <c r="AM91" s="91" t="str">
        <f aca="false">IF(ISBLANK($C91),"",IF($Z91=Constants!$B$7,RANK(AL91,$AL$8:$AL$507),$Z91))</f>
        <v/>
      </c>
      <c r="AN91" s="91" t="str">
        <f aca="false">IF(ISBLANK($C91),"",IF($Z91=Constants!$B$7,IF(ISNUMBER(AK91),COUNTIFS($AK$8:$AK$507,"&lt;"&amp;$AK91)+COUNTIFS($AK$8:$AK$507,$AK91,$AM$8:$AM$507,"&lt;"&amp;$AM91)+1,Constants!$B$14),$Z91))</f>
        <v/>
      </c>
      <c r="AO91" s="91" t="str">
        <f aca="false">IF(ISBLANK($C91),"",IF($Z91=Constants!$B$7,IF(ISNUMBER(AK91),AK91-AN91,Constants!$B$14),$Z91))</f>
        <v/>
      </c>
      <c r="AP91" s="92"/>
      <c r="AQ91" s="93" t="str">
        <f aca="false">IF(ISBLANK($C91),"",IF($Z91&lt;&gt;Constants!$B$7,"",AH91))</f>
        <v/>
      </c>
      <c r="AR91" s="94" t="str">
        <f aca="false">IF(ISBLANK($C91),"",IF($Z91&lt;&gt;Constants!$B$7,"",IF(AH91=1,AB91,AE91)))</f>
        <v/>
      </c>
      <c r="AS91" s="95" t="str">
        <f aca="false">IF(ISBLANK($C91),"",IF($Z91&lt;&gt;Constants!$B$7,"",IF(AH91=1,AC91,AF91)))</f>
        <v/>
      </c>
      <c r="AT91" s="96" t="str">
        <f aca="false">IF(ISBLANK($C91),"",IF($Z91&lt;&gt;Constants!$B$7,$Z91,AJ91))</f>
        <v/>
      </c>
      <c r="AU91" s="97" t="str">
        <f aca="false">IF(ISBLANK($C91),"",IF($Z91&lt;&gt;Constants!$B$7,$Z91,AA91))</f>
        <v/>
      </c>
      <c r="AV91" s="98" t="str">
        <f aca="false">IF(ISBLANK($C91),"",AO91)</f>
        <v/>
      </c>
      <c r="AW91" s="98" t="str">
        <f aca="false">IF(ISBLANK($C91),"",AN91)</f>
        <v/>
      </c>
      <c r="AX91" s="99" t="str">
        <f aca="false">IF(ISBLANK($C91),"",IFERROR(_xlfn.SWITCH(AW91,Constants!$B$4,COUNTA($C$8:$C$507)+2,Constants!$B$5,COUNTA($C$8:$C$507)+1,Constants!$B$6,COUNTA($C$8:$C$507)),AW91))</f>
        <v/>
      </c>
      <c r="AY91" s="5"/>
      <c r="AZ91" s="100" t="n">
        <f aca="false">IF(OR(ISNUMBER(AW91),AW91=Constants!$B$4,AW91=Constants!$B$6,AW91=Constants!$B$5),1,0)</f>
        <v>0</v>
      </c>
      <c r="BA91" s="100" t="n">
        <v>84</v>
      </c>
      <c r="BB91" s="100" t="str">
        <f aca="false">IF(ISBLANK($C91),"",IF(ISNUMBER(AX91),AX91+ROW($B91)/1000,""))</f>
        <v/>
      </c>
      <c r="BC91" s="100" t="str">
        <f aca="false">IF(ISNUMBER(BB91),RANK(BB91,$BB$8:$BB$507,1),"")</f>
        <v/>
      </c>
      <c r="BD91" s="100" t="str">
        <f aca="false">IF(ISBLANK($C91),"",$B91)</f>
        <v/>
      </c>
      <c r="BE91" s="100" t="str">
        <f aca="false">IF(ISBLANK($C91),"",$C91)</f>
        <v/>
      </c>
      <c r="BF91" s="100" t="str">
        <f aca="false">IF(ISBLANK($C91),"",$D91)</f>
        <v/>
      </c>
      <c r="BG91" s="101" t="str">
        <f aca="false">AU91</f>
        <v/>
      </c>
      <c r="BH91" s="102" t="str">
        <f aca="false">AT91</f>
        <v/>
      </c>
      <c r="BI91" s="100" t="str">
        <f aca="false">IF(ISBLANK($C91),"",AW91)</f>
        <v/>
      </c>
      <c r="BJ91" s="103" t="str">
        <f aca="false">IF($BA91&gt;$AZ$7,"",VLOOKUP($BA91,$BC$8:$BI$507,7,FALSE()))</f>
        <v/>
      </c>
      <c r="BK91" s="104" t="str">
        <f aca="false">IF($BA91&gt;$AZ$7,"",VLOOKUP($BA91,$BC$8:$BI$507,2,FALSE()))</f>
        <v/>
      </c>
      <c r="BL91" s="104" t="str">
        <f aca="false">IF($BA91&gt;$AZ$7,"",VLOOKUP($BA91,$BC$8:$BI$507,3,FALSE()))</f>
        <v/>
      </c>
      <c r="BM91" s="104" t="str">
        <f aca="false">IF($BA91&gt;$AZ$7,"",VLOOKUP($BA91,$BC$8:$BI$507,4,FALSE()))</f>
        <v/>
      </c>
      <c r="BN91" s="104" t="str">
        <f aca="false">IF($BA91&gt;$AZ$7,"",VLOOKUP($BA91,$BC$8:$BI$507,5,FALSE()))</f>
        <v/>
      </c>
      <c r="BO91" s="105" t="str">
        <f aca="false">IF($BA91&gt;$AZ$7,"",VLOOKUP($BA91,$BC$8:$BI$507,6,FALSE()))</f>
        <v/>
      </c>
      <c r="BP91" s="52"/>
    </row>
    <row r="92" customFormat="false" ht="15.75" hidden="false" customHeight="false" outlineLevel="0" collapsed="false">
      <c r="A92" s="5"/>
      <c r="B92" s="118"/>
      <c r="C92" s="54"/>
      <c r="D92" s="55"/>
      <c r="E92" s="79"/>
      <c r="F92" s="57"/>
      <c r="G92" s="58"/>
      <c r="H92" s="58"/>
      <c r="I92" s="57"/>
      <c r="J92" s="58"/>
      <c r="K92" s="58"/>
      <c r="L92" s="57"/>
      <c r="M92" s="79"/>
      <c r="N92" s="60"/>
      <c r="O92" s="62" t="str">
        <f aca="false">IF(ISBLANK($C92),"",IF(E92=Constants!$B$2, TRUE(), IF(E92=Constants!$B$3, FALSE(), TRUE())))</f>
        <v/>
      </c>
      <c r="P92" s="62" t="str">
        <f aca="false">IF(ISBLANK($C92),"",IF(F92=Constants!$B$16,Constants!$B$9,IF(F92=Constants!$B$17,Constants!$B$10,Constants!$B$8)))</f>
        <v/>
      </c>
      <c r="Q92" s="62" t="str">
        <f aca="false">IF(ISBLANK($C92),"",IF(ISNUMBER(G92),IF(G92&gt;=0,G92,""),""))</f>
        <v/>
      </c>
      <c r="R92" s="62" t="str">
        <f aca="false">IF(ISBLANK($C92),"",IF(H92=Constants!$B$2, TRUE(), IF(H92=Constants!$B$3, FALSE(), TRUE())))</f>
        <v/>
      </c>
      <c r="S92" s="62" t="str">
        <f aca="false">IF(ISBLANK($C92),"",IF(I92=Constants!$B$2, TRUE(), IF(I92=Constants!$B$3, FALSE(), TRUE())))</f>
        <v/>
      </c>
      <c r="T92" s="62" t="str">
        <f aca="false">IF(ISBLANK($C92),"",IF(ISNUMBER(J92),IF(J92&gt;=0,J92,""),""))</f>
        <v/>
      </c>
      <c r="U92" s="62" t="str">
        <f aca="false">IF(ISBLANK($C92),"",IF(K92=Constants!$B$2, TRUE(), IF(K92=Constants!$B$3, FALSE(), TRUE())))</f>
        <v/>
      </c>
      <c r="V92" s="62" t="str">
        <f aca="false">IF(ISBLANK($C92),"",IF(L92=Constants!$B$2, TRUE(), IF(L92=Constants!$B$3, FALSE(), TRUE())))</f>
        <v/>
      </c>
      <c r="W92" s="62" t="str">
        <f aca="false">IF(ISBLANK($C92),"",IF(M92=Constants!$B$2, TRUE(), IF(M92=Constants!$B$3, FALSE(), FALSE())))</f>
        <v/>
      </c>
      <c r="X92" s="62" t="str">
        <f aca="false">IF(ISBLANK($C92),"",AND(Q92&lt;&gt;"",O92))</f>
        <v/>
      </c>
      <c r="Y92" s="62" t="str">
        <f aca="false">IF(ISBLANK($C92),"",AND(T92&lt;&gt;"",O92))</f>
        <v/>
      </c>
      <c r="Z92" s="62" t="str">
        <f aca="false">IF(ISBLANK($C92),"",IF(W92,Constants!$B$4,IF(COUNTA(E92:L92)=0,Constants!$B$5,IF(NOT(O92),Constants!$B$6,IF(AND(NOT(X92),NOT(Y92)),Constants!$B$6,Constants!$B$7)))))</f>
        <v/>
      </c>
      <c r="AA92" s="62" t="str">
        <f aca="false">IF(ISBLANK($C92),"",IF($Z92&lt;&gt;Constants!$B$7,$Z92,Constants!$B$20))</f>
        <v/>
      </c>
      <c r="AB92" s="62" t="str">
        <f aca="false">IF($Z92=Constants!$B$7,IF(X92,Q92,Constants!$B$13),"")</f>
        <v/>
      </c>
      <c r="AC92" s="62" t="str">
        <f aca="false">IF($Z92=Constants!$B$7,IF(X92,P92*IF(R92, 1, Constants!$B$11)*IF(S92, 1, Constants!$B$12),Constants!$B$13),"")</f>
        <v/>
      </c>
      <c r="AD92" s="62" t="str">
        <f aca="false">IF($Z92=Constants!$B$7,AB92*AC92,"")</f>
        <v/>
      </c>
      <c r="AE92" s="62" t="str">
        <f aca="false">IF($Z92=Constants!$B$7,IF(Y92,T92,Constants!$B$13),"")</f>
        <v/>
      </c>
      <c r="AF92" s="62" t="str">
        <f aca="false">IF($Z92=Constants!$B$7,IF(Y92,P92*IF(U92, 1, Constants!$B$11)*IF(V92, 1, Constants!$B$12),Constants!$B$13),"")</f>
        <v/>
      </c>
      <c r="AG92" s="62" t="str">
        <f aca="false">IF($Z92=Constants!$B$7,AE92*AF92,"")</f>
        <v/>
      </c>
      <c r="AH92" s="62" t="str">
        <f aca="false">IF($Z92=Constants!$B$7,IF(AG92&gt;AD92,2,1),"")</f>
        <v/>
      </c>
      <c r="AI92" s="62" t="str">
        <f aca="false">IF($Z92=Constants!$B$7,IF(AH92=1,2,1),"")</f>
        <v/>
      </c>
      <c r="AJ92" s="62" t="str">
        <f aca="false">IF(ISBLANK($C92),"",IF($Z92&lt;&gt;Constants!$B$7,$Z92,IF(AH92=1,AD92,AG92)))</f>
        <v/>
      </c>
      <c r="AK92" s="62" t="str">
        <f aca="false">IF(ISBLANK($C92),"",IF($Z92=Constants!$B$7,IF(ISNUMBER(AJ92),RANK(AJ92,$AJ$8:$AJ$507),Constants!$B$14),$Z92))</f>
        <v/>
      </c>
      <c r="AL92" s="62" t="str">
        <f aca="false">IF(ISBLANK($C92),"",IF($Z92=Constants!$B$7,IF(AI92=1,AD92,AG92),""))</f>
        <v/>
      </c>
      <c r="AM92" s="62" t="str">
        <f aca="false">IF(ISBLANK($C92),"",IF($Z92=Constants!$B$7,RANK(AL92,$AL$8:$AL$507),$Z92))</f>
        <v/>
      </c>
      <c r="AN92" s="62" t="str">
        <f aca="false">IF(ISBLANK($C92),"",IF($Z92=Constants!$B$7,IF(ISNUMBER(AK92),COUNTIFS($AK$8:$AK$507,"&lt;"&amp;$AK92)+COUNTIFS($AK$8:$AK$507,$AK92,$AM$8:$AM$507,"&lt;"&amp;$AM92)+1,Constants!$B$14),$Z92))</f>
        <v/>
      </c>
      <c r="AO92" s="62" t="str">
        <f aca="false">IF(ISBLANK($C92),"",IF($Z92=Constants!$B$7,IF(ISNUMBER(AK92),AK92-AN92,Constants!$B$14),$Z92))</f>
        <v/>
      </c>
      <c r="AP92" s="64"/>
      <c r="AQ92" s="65" t="str">
        <f aca="false">IF(ISBLANK($C92),"",IF($Z92&lt;&gt;Constants!$B$7,"",AH92))</f>
        <v/>
      </c>
      <c r="AR92" s="80" t="str">
        <f aca="false">IF(ISBLANK($C92),"",IF($Z92&lt;&gt;Constants!$B$7,"",IF(AH92=1,AB92,AE92)))</f>
        <v/>
      </c>
      <c r="AS92" s="67" t="str">
        <f aca="false">IF(ISBLANK($C92),"",IF($Z92&lt;&gt;Constants!$B$7,"",IF(AH92=1,AC92,AF92)))</f>
        <v/>
      </c>
      <c r="AT92" s="68" t="str">
        <f aca="false">IF(ISBLANK($C92),"",IF($Z92&lt;&gt;Constants!$B$7,$Z92,AJ92))</f>
        <v/>
      </c>
      <c r="AU92" s="69" t="str">
        <f aca="false">IF(ISBLANK($C92),"",IF($Z92&lt;&gt;Constants!$B$7,$Z92,AA92))</f>
        <v/>
      </c>
      <c r="AV92" s="70" t="str">
        <f aca="false">IF(ISBLANK($C92),"",AO92)</f>
        <v/>
      </c>
      <c r="AW92" s="70" t="str">
        <f aca="false">IF(ISBLANK($C92),"",AN92)</f>
        <v/>
      </c>
      <c r="AX92" s="71" t="str">
        <f aca="false">IF(ISBLANK($C92),"",IFERROR(_xlfn.SWITCH(AW92,Constants!$B$4,COUNTA($C$8:$C$507)+2,Constants!$B$5,COUNTA($C$8:$C$507)+1,Constants!$B$6,COUNTA($C$8:$C$507)),AW92))</f>
        <v/>
      </c>
      <c r="AY92" s="5"/>
      <c r="AZ92" s="72" t="n">
        <f aca="false">IF(OR(ISNUMBER(AW92),AW92=Constants!$B$4,AW92=Constants!$B$6,AW92=Constants!$B$5),1,0)</f>
        <v>0</v>
      </c>
      <c r="BA92" s="72" t="n">
        <v>85</v>
      </c>
      <c r="BB92" s="72" t="str">
        <f aca="false">IF(ISBLANK($C92),"",IF(ISNUMBER(AX92),AX92+ROW($B92)/1000,""))</f>
        <v/>
      </c>
      <c r="BC92" s="72" t="str">
        <f aca="false">IF(ISNUMBER(BB92),RANK(BB92,$BB$8:$BB$507,1),"")</f>
        <v/>
      </c>
      <c r="BD92" s="72" t="str">
        <f aca="false">IF(ISBLANK($C92),"",$B92)</f>
        <v/>
      </c>
      <c r="BE92" s="72" t="str">
        <f aca="false">IF(ISBLANK($C92),"",$C92)</f>
        <v/>
      </c>
      <c r="BF92" s="72" t="str">
        <f aca="false">IF(ISBLANK($C92),"",$D92)</f>
        <v/>
      </c>
      <c r="BG92" s="73" t="str">
        <f aca="false">AU92</f>
        <v/>
      </c>
      <c r="BH92" s="74" t="str">
        <f aca="false">AT92</f>
        <v/>
      </c>
      <c r="BI92" s="72" t="str">
        <f aca="false">IF(ISBLANK($C92),"",AW92)</f>
        <v/>
      </c>
      <c r="BJ92" s="75" t="str">
        <f aca="false">IF($BA92&gt;$AZ$7,"",VLOOKUP($BA92,$BC$8:$BI$507,7,FALSE()))</f>
        <v/>
      </c>
      <c r="BK92" s="76" t="str">
        <f aca="false">IF($BA92&gt;$AZ$7,"",VLOOKUP($BA92,$BC$8:$BI$507,2,FALSE()))</f>
        <v/>
      </c>
      <c r="BL92" s="76" t="str">
        <f aca="false">IF($BA92&gt;$AZ$7,"",VLOOKUP($BA92,$BC$8:$BI$507,3,FALSE()))</f>
        <v/>
      </c>
      <c r="BM92" s="76" t="str">
        <f aca="false">IF($BA92&gt;$AZ$7,"",VLOOKUP($BA92,$BC$8:$BI$507,4,FALSE()))</f>
        <v/>
      </c>
      <c r="BN92" s="76" t="str">
        <f aca="false">IF($BA92&gt;$AZ$7,"",VLOOKUP($BA92,$BC$8:$BI$507,5,FALSE()))</f>
        <v/>
      </c>
      <c r="BO92" s="77" t="str">
        <f aca="false">IF($BA92&gt;$AZ$7,"",VLOOKUP($BA92,$BC$8:$BI$507,6,FALSE()))</f>
        <v/>
      </c>
      <c r="BP92" s="52"/>
    </row>
    <row r="93" customFormat="false" ht="15.75" hidden="false" customHeight="false" outlineLevel="0" collapsed="false">
      <c r="A93" s="5"/>
      <c r="B93" s="118"/>
      <c r="C93" s="54"/>
      <c r="D93" s="55"/>
      <c r="E93" s="79"/>
      <c r="F93" s="57"/>
      <c r="G93" s="58"/>
      <c r="H93" s="58"/>
      <c r="I93" s="57"/>
      <c r="J93" s="58"/>
      <c r="K93" s="58"/>
      <c r="L93" s="57"/>
      <c r="M93" s="79"/>
      <c r="N93" s="60"/>
      <c r="O93" s="62" t="str">
        <f aca="false">IF(ISBLANK($C93),"",IF(E93=Constants!$B$2, TRUE(), IF(E93=Constants!$B$3, FALSE(), TRUE())))</f>
        <v/>
      </c>
      <c r="P93" s="62" t="str">
        <f aca="false">IF(ISBLANK($C93),"",IF(F93=Constants!$B$16,Constants!$B$9,IF(F93=Constants!$B$17,Constants!$B$10,Constants!$B$8)))</f>
        <v/>
      </c>
      <c r="Q93" s="62" t="str">
        <f aca="false">IF(ISBLANK($C93),"",IF(ISNUMBER(G93),IF(G93&gt;=0,G93,""),""))</f>
        <v/>
      </c>
      <c r="R93" s="62" t="str">
        <f aca="false">IF(ISBLANK($C93),"",IF(H93=Constants!$B$2, TRUE(), IF(H93=Constants!$B$3, FALSE(), TRUE())))</f>
        <v/>
      </c>
      <c r="S93" s="62" t="str">
        <f aca="false">IF(ISBLANK($C93),"",IF(I93=Constants!$B$2, TRUE(), IF(I93=Constants!$B$3, FALSE(), TRUE())))</f>
        <v/>
      </c>
      <c r="T93" s="62" t="str">
        <f aca="false">IF(ISBLANK($C93),"",IF(ISNUMBER(J93),IF(J93&gt;=0,J93,""),""))</f>
        <v/>
      </c>
      <c r="U93" s="62" t="str">
        <f aca="false">IF(ISBLANK($C93),"",IF(K93=Constants!$B$2, TRUE(), IF(K93=Constants!$B$3, FALSE(), TRUE())))</f>
        <v/>
      </c>
      <c r="V93" s="62" t="str">
        <f aca="false">IF(ISBLANK($C93),"",IF(L93=Constants!$B$2, TRUE(), IF(L93=Constants!$B$3, FALSE(), TRUE())))</f>
        <v/>
      </c>
      <c r="W93" s="62" t="str">
        <f aca="false">IF(ISBLANK($C93),"",IF(M93=Constants!$B$2, TRUE(), IF(M93=Constants!$B$3, FALSE(), FALSE())))</f>
        <v/>
      </c>
      <c r="X93" s="62" t="str">
        <f aca="false">IF(ISBLANK($C93),"",AND(Q93&lt;&gt;"",O93))</f>
        <v/>
      </c>
      <c r="Y93" s="62" t="str">
        <f aca="false">IF(ISBLANK($C93),"",AND(T93&lt;&gt;"",O93))</f>
        <v/>
      </c>
      <c r="Z93" s="62" t="str">
        <f aca="false">IF(ISBLANK($C93),"",IF(W93,Constants!$B$4,IF(COUNTA(E93:L93)=0,Constants!$B$5,IF(NOT(O93),Constants!$B$6,IF(AND(NOT(X93),NOT(Y93)),Constants!$B$6,Constants!$B$7)))))</f>
        <v/>
      </c>
      <c r="AA93" s="62" t="str">
        <f aca="false">IF(ISBLANK($C93),"",IF($Z93&lt;&gt;Constants!$B$7,$Z93,Constants!$B$20))</f>
        <v/>
      </c>
      <c r="AB93" s="62" t="str">
        <f aca="false">IF($Z93=Constants!$B$7,IF(X93,Q93,Constants!$B$13),"")</f>
        <v/>
      </c>
      <c r="AC93" s="62" t="str">
        <f aca="false">IF($Z93=Constants!$B$7,IF(X93,P93*IF(R93, 1, Constants!$B$11)*IF(S93, 1, Constants!$B$12),Constants!$B$13),"")</f>
        <v/>
      </c>
      <c r="AD93" s="62" t="str">
        <f aca="false">IF($Z93=Constants!$B$7,AB93*AC93,"")</f>
        <v/>
      </c>
      <c r="AE93" s="62" t="str">
        <f aca="false">IF($Z93=Constants!$B$7,IF(Y93,T93,Constants!$B$13),"")</f>
        <v/>
      </c>
      <c r="AF93" s="62" t="str">
        <f aca="false">IF($Z93=Constants!$B$7,IF(Y93,P93*IF(U93, 1, Constants!$B$11)*IF(V93, 1, Constants!$B$12),Constants!$B$13),"")</f>
        <v/>
      </c>
      <c r="AG93" s="62" t="str">
        <f aca="false">IF($Z93=Constants!$B$7,AE93*AF93,"")</f>
        <v/>
      </c>
      <c r="AH93" s="62" t="str">
        <f aca="false">IF($Z93=Constants!$B$7,IF(AG93&gt;AD93,2,1),"")</f>
        <v/>
      </c>
      <c r="AI93" s="62" t="str">
        <f aca="false">IF($Z93=Constants!$B$7,IF(AH93=1,2,1),"")</f>
        <v/>
      </c>
      <c r="AJ93" s="62" t="str">
        <f aca="false">IF(ISBLANK($C93),"",IF($Z93&lt;&gt;Constants!$B$7,$Z93,IF(AH93=1,AD93,AG93)))</f>
        <v/>
      </c>
      <c r="AK93" s="62" t="str">
        <f aca="false">IF(ISBLANK($C93),"",IF($Z93=Constants!$B$7,IF(ISNUMBER(AJ93),RANK(AJ93,$AJ$8:$AJ$507),Constants!$B$14),$Z93))</f>
        <v/>
      </c>
      <c r="AL93" s="62" t="str">
        <f aca="false">IF(ISBLANK($C93),"",IF($Z93=Constants!$B$7,IF(AI93=1,AD93,AG93),""))</f>
        <v/>
      </c>
      <c r="AM93" s="62" t="str">
        <f aca="false">IF(ISBLANK($C93),"",IF($Z93=Constants!$B$7,RANK(AL93,$AL$8:$AL$507),$Z93))</f>
        <v/>
      </c>
      <c r="AN93" s="62" t="str">
        <f aca="false">IF(ISBLANK($C93),"",IF($Z93=Constants!$B$7,IF(ISNUMBER(AK93),COUNTIFS($AK$8:$AK$507,"&lt;"&amp;$AK93)+COUNTIFS($AK$8:$AK$507,$AK93,$AM$8:$AM$507,"&lt;"&amp;$AM93)+1,Constants!$B$14),$Z93))</f>
        <v/>
      </c>
      <c r="AO93" s="62" t="str">
        <f aca="false">IF(ISBLANK($C93),"",IF($Z93=Constants!$B$7,IF(ISNUMBER(AK93),AK93-AN93,Constants!$B$14),$Z93))</f>
        <v/>
      </c>
      <c r="AP93" s="64"/>
      <c r="AQ93" s="65" t="str">
        <f aca="false">IF(ISBLANK($C93),"",IF($Z93&lt;&gt;Constants!$B$7,"",AH93))</f>
        <v/>
      </c>
      <c r="AR93" s="80" t="str">
        <f aca="false">IF(ISBLANK($C93),"",IF($Z93&lt;&gt;Constants!$B$7,"",IF(AH93=1,AB93,AE93)))</f>
        <v/>
      </c>
      <c r="AS93" s="67" t="str">
        <f aca="false">IF(ISBLANK($C93),"",IF($Z93&lt;&gt;Constants!$B$7,"",IF(AH93=1,AC93,AF93)))</f>
        <v/>
      </c>
      <c r="AT93" s="68" t="str">
        <f aca="false">IF(ISBLANK($C93),"",IF($Z93&lt;&gt;Constants!$B$7,$Z93,AJ93))</f>
        <v/>
      </c>
      <c r="AU93" s="69" t="str">
        <f aca="false">IF(ISBLANK($C93),"",IF($Z93&lt;&gt;Constants!$B$7,$Z93,AA93))</f>
        <v/>
      </c>
      <c r="AV93" s="70" t="str">
        <f aca="false">IF(ISBLANK($C93),"",AO93)</f>
        <v/>
      </c>
      <c r="AW93" s="70" t="str">
        <f aca="false">IF(ISBLANK($C93),"",AN93)</f>
        <v/>
      </c>
      <c r="AX93" s="71" t="str">
        <f aca="false">IF(ISBLANK($C93),"",IFERROR(_xlfn.SWITCH(AW93,Constants!$B$4,COUNTA($C$8:$C$507)+2,Constants!$B$5,COUNTA($C$8:$C$507)+1,Constants!$B$6,COUNTA($C$8:$C$507)),AW93))</f>
        <v/>
      </c>
      <c r="AY93" s="5"/>
      <c r="AZ93" s="72" t="n">
        <f aca="false">IF(OR(ISNUMBER(AW93),AW93=Constants!$B$4,AW93=Constants!$B$6,AW93=Constants!$B$5),1,0)</f>
        <v>0</v>
      </c>
      <c r="BA93" s="72" t="n">
        <v>86</v>
      </c>
      <c r="BB93" s="72" t="str">
        <f aca="false">IF(ISBLANK($C93),"",IF(ISNUMBER(AX93),AX93+ROW($B93)/1000,""))</f>
        <v/>
      </c>
      <c r="BC93" s="72" t="str">
        <f aca="false">IF(ISNUMBER(BB93),RANK(BB93,$BB$8:$BB$507,1),"")</f>
        <v/>
      </c>
      <c r="BD93" s="72" t="str">
        <f aca="false">IF(ISBLANK($C93),"",$B93)</f>
        <v/>
      </c>
      <c r="BE93" s="72" t="str">
        <f aca="false">IF(ISBLANK($C93),"",$C93)</f>
        <v/>
      </c>
      <c r="BF93" s="72" t="str">
        <f aca="false">IF(ISBLANK($C93),"",$D93)</f>
        <v/>
      </c>
      <c r="BG93" s="73" t="str">
        <f aca="false">AU93</f>
        <v/>
      </c>
      <c r="BH93" s="74" t="str">
        <f aca="false">AT93</f>
        <v/>
      </c>
      <c r="BI93" s="72" t="str">
        <f aca="false">IF(ISBLANK($C93),"",AW93)</f>
        <v/>
      </c>
      <c r="BJ93" s="75" t="str">
        <f aca="false">IF($BA93&gt;$AZ$7,"",VLOOKUP($BA93,$BC$8:$BI$507,7,FALSE()))</f>
        <v/>
      </c>
      <c r="BK93" s="76" t="str">
        <f aca="false">IF($BA93&gt;$AZ$7,"",VLOOKUP($BA93,$BC$8:$BI$507,2,FALSE()))</f>
        <v/>
      </c>
      <c r="BL93" s="76" t="str">
        <f aca="false">IF($BA93&gt;$AZ$7,"",VLOOKUP($BA93,$BC$8:$BI$507,3,FALSE()))</f>
        <v/>
      </c>
      <c r="BM93" s="76" t="str">
        <f aca="false">IF($BA93&gt;$AZ$7,"",VLOOKUP($BA93,$BC$8:$BI$507,4,FALSE()))</f>
        <v/>
      </c>
      <c r="BN93" s="76" t="str">
        <f aca="false">IF($BA93&gt;$AZ$7,"",VLOOKUP($BA93,$BC$8:$BI$507,5,FALSE()))</f>
        <v/>
      </c>
      <c r="BO93" s="77" t="str">
        <f aca="false">IF($BA93&gt;$AZ$7,"",VLOOKUP($BA93,$BC$8:$BI$507,6,FALSE()))</f>
        <v/>
      </c>
      <c r="BP93" s="52"/>
    </row>
    <row r="94" customFormat="false" ht="15.75" hidden="false" customHeight="false" outlineLevel="0" collapsed="false">
      <c r="A94" s="5"/>
      <c r="B94" s="118"/>
      <c r="C94" s="54"/>
      <c r="D94" s="55"/>
      <c r="E94" s="79"/>
      <c r="F94" s="57"/>
      <c r="G94" s="58"/>
      <c r="H94" s="58"/>
      <c r="I94" s="57"/>
      <c r="J94" s="58"/>
      <c r="K94" s="58"/>
      <c r="L94" s="57"/>
      <c r="M94" s="79"/>
      <c r="N94" s="60"/>
      <c r="O94" s="62" t="str">
        <f aca="false">IF(ISBLANK($C94),"",IF(E94=Constants!$B$2, TRUE(), IF(E94=Constants!$B$3, FALSE(), TRUE())))</f>
        <v/>
      </c>
      <c r="P94" s="62" t="str">
        <f aca="false">IF(ISBLANK($C94),"",IF(F94=Constants!$B$16,Constants!$B$9,IF(F94=Constants!$B$17,Constants!$B$10,Constants!$B$8)))</f>
        <v/>
      </c>
      <c r="Q94" s="62" t="str">
        <f aca="false">IF(ISBLANK($C94),"",IF(ISNUMBER(G94),IF(G94&gt;=0,G94,""),""))</f>
        <v/>
      </c>
      <c r="R94" s="62" t="str">
        <f aca="false">IF(ISBLANK($C94),"",IF(H94=Constants!$B$2, TRUE(), IF(H94=Constants!$B$3, FALSE(), TRUE())))</f>
        <v/>
      </c>
      <c r="S94" s="62" t="str">
        <f aca="false">IF(ISBLANK($C94),"",IF(I94=Constants!$B$2, TRUE(), IF(I94=Constants!$B$3, FALSE(), TRUE())))</f>
        <v/>
      </c>
      <c r="T94" s="62" t="str">
        <f aca="false">IF(ISBLANK($C94),"",IF(ISNUMBER(J94),IF(J94&gt;=0,J94,""),""))</f>
        <v/>
      </c>
      <c r="U94" s="62" t="str">
        <f aca="false">IF(ISBLANK($C94),"",IF(K94=Constants!$B$2, TRUE(), IF(K94=Constants!$B$3, FALSE(), TRUE())))</f>
        <v/>
      </c>
      <c r="V94" s="62" t="str">
        <f aca="false">IF(ISBLANK($C94),"",IF(L94=Constants!$B$2, TRUE(), IF(L94=Constants!$B$3, FALSE(), TRUE())))</f>
        <v/>
      </c>
      <c r="W94" s="62" t="str">
        <f aca="false">IF(ISBLANK($C94),"",IF(M94=Constants!$B$2, TRUE(), IF(M94=Constants!$B$3, FALSE(), FALSE())))</f>
        <v/>
      </c>
      <c r="X94" s="62" t="str">
        <f aca="false">IF(ISBLANK($C94),"",AND(Q94&lt;&gt;"",O94))</f>
        <v/>
      </c>
      <c r="Y94" s="62" t="str">
        <f aca="false">IF(ISBLANK($C94),"",AND(T94&lt;&gt;"",O94))</f>
        <v/>
      </c>
      <c r="Z94" s="62" t="str">
        <f aca="false">IF(ISBLANK($C94),"",IF(W94,Constants!$B$4,IF(COUNTA(E94:L94)=0,Constants!$B$5,IF(NOT(O94),Constants!$B$6,IF(AND(NOT(X94),NOT(Y94)),Constants!$B$6,Constants!$B$7)))))</f>
        <v/>
      </c>
      <c r="AA94" s="62" t="str">
        <f aca="false">IF(ISBLANK($C94),"",IF($Z94&lt;&gt;Constants!$B$7,$Z94,Constants!$B$20))</f>
        <v/>
      </c>
      <c r="AB94" s="62" t="str">
        <f aca="false">IF($Z94=Constants!$B$7,IF(X94,Q94,Constants!$B$13),"")</f>
        <v/>
      </c>
      <c r="AC94" s="62" t="str">
        <f aca="false">IF($Z94=Constants!$B$7,IF(X94,P94*IF(R94, 1, Constants!$B$11)*IF(S94, 1, Constants!$B$12),Constants!$B$13),"")</f>
        <v/>
      </c>
      <c r="AD94" s="62" t="str">
        <f aca="false">IF($Z94=Constants!$B$7,AB94*AC94,"")</f>
        <v/>
      </c>
      <c r="AE94" s="62" t="str">
        <f aca="false">IF($Z94=Constants!$B$7,IF(Y94,T94,Constants!$B$13),"")</f>
        <v/>
      </c>
      <c r="AF94" s="62" t="str">
        <f aca="false">IF($Z94=Constants!$B$7,IF(Y94,P94*IF(U94, 1, Constants!$B$11)*IF(V94, 1, Constants!$B$12),Constants!$B$13),"")</f>
        <v/>
      </c>
      <c r="AG94" s="62" t="str">
        <f aca="false">IF($Z94=Constants!$B$7,AE94*AF94,"")</f>
        <v/>
      </c>
      <c r="AH94" s="62" t="str">
        <f aca="false">IF($Z94=Constants!$B$7,IF(AG94&gt;AD94,2,1),"")</f>
        <v/>
      </c>
      <c r="AI94" s="62" t="str">
        <f aca="false">IF($Z94=Constants!$B$7,IF(AH94=1,2,1),"")</f>
        <v/>
      </c>
      <c r="AJ94" s="62" t="str">
        <f aca="false">IF(ISBLANK($C94),"",IF($Z94&lt;&gt;Constants!$B$7,$Z94,IF(AH94=1,AD94,AG94)))</f>
        <v/>
      </c>
      <c r="AK94" s="62" t="str">
        <f aca="false">IF(ISBLANK($C94),"",IF($Z94=Constants!$B$7,IF(ISNUMBER(AJ94),RANK(AJ94,$AJ$8:$AJ$507),Constants!$B$14),$Z94))</f>
        <v/>
      </c>
      <c r="AL94" s="62" t="str">
        <f aca="false">IF(ISBLANK($C94),"",IF($Z94=Constants!$B$7,IF(AI94=1,AD94,AG94),""))</f>
        <v/>
      </c>
      <c r="AM94" s="62" t="str">
        <f aca="false">IF(ISBLANK($C94),"",IF($Z94=Constants!$B$7,RANK(AL94,$AL$8:$AL$507),$Z94))</f>
        <v/>
      </c>
      <c r="AN94" s="62" t="str">
        <f aca="false">IF(ISBLANK($C94),"",IF($Z94=Constants!$B$7,IF(ISNUMBER(AK94),COUNTIFS($AK$8:$AK$507,"&lt;"&amp;$AK94)+COUNTIFS($AK$8:$AK$507,$AK94,$AM$8:$AM$507,"&lt;"&amp;$AM94)+1,Constants!$B$14),$Z94))</f>
        <v/>
      </c>
      <c r="AO94" s="62" t="str">
        <f aca="false">IF(ISBLANK($C94),"",IF($Z94=Constants!$B$7,IF(ISNUMBER(AK94),AK94-AN94,Constants!$B$14),$Z94))</f>
        <v/>
      </c>
      <c r="AP94" s="64"/>
      <c r="AQ94" s="65" t="str">
        <f aca="false">IF(ISBLANK($C94),"",IF($Z94&lt;&gt;Constants!$B$7,"",AH94))</f>
        <v/>
      </c>
      <c r="AR94" s="80" t="str">
        <f aca="false">IF(ISBLANK($C94),"",IF($Z94&lt;&gt;Constants!$B$7,"",IF(AH94=1,AB94,AE94)))</f>
        <v/>
      </c>
      <c r="AS94" s="67" t="str">
        <f aca="false">IF(ISBLANK($C94),"",IF($Z94&lt;&gt;Constants!$B$7,"",IF(AH94=1,AC94,AF94)))</f>
        <v/>
      </c>
      <c r="AT94" s="68" t="str">
        <f aca="false">IF(ISBLANK($C94),"",IF($Z94&lt;&gt;Constants!$B$7,$Z94,AJ94))</f>
        <v/>
      </c>
      <c r="AU94" s="69" t="str">
        <f aca="false">IF(ISBLANK($C94),"",IF($Z94&lt;&gt;Constants!$B$7,$Z94,AA94))</f>
        <v/>
      </c>
      <c r="AV94" s="70" t="str">
        <f aca="false">IF(ISBLANK($C94),"",AO94)</f>
        <v/>
      </c>
      <c r="AW94" s="70" t="str">
        <f aca="false">IF(ISBLANK($C94),"",AN94)</f>
        <v/>
      </c>
      <c r="AX94" s="71" t="str">
        <f aca="false">IF(ISBLANK($C94),"",IFERROR(_xlfn.SWITCH(AW94,Constants!$B$4,COUNTA($C$8:$C$507)+2,Constants!$B$5,COUNTA($C$8:$C$507)+1,Constants!$B$6,COUNTA($C$8:$C$507)),AW94))</f>
        <v/>
      </c>
      <c r="AY94" s="5"/>
      <c r="AZ94" s="72" t="n">
        <f aca="false">IF(OR(ISNUMBER(AW94),AW94=Constants!$B$4,AW94=Constants!$B$6,AW94=Constants!$B$5),1,0)</f>
        <v>0</v>
      </c>
      <c r="BA94" s="72" t="n">
        <v>87</v>
      </c>
      <c r="BB94" s="72" t="str">
        <f aca="false">IF(ISBLANK($C94),"",IF(ISNUMBER(AX94),AX94+ROW($B94)/1000,""))</f>
        <v/>
      </c>
      <c r="BC94" s="72" t="str">
        <f aca="false">IF(ISNUMBER(BB94),RANK(BB94,$BB$8:$BB$507,1),"")</f>
        <v/>
      </c>
      <c r="BD94" s="72" t="str">
        <f aca="false">IF(ISBLANK($C94),"",$B94)</f>
        <v/>
      </c>
      <c r="BE94" s="72" t="str">
        <f aca="false">IF(ISBLANK($C94),"",$C94)</f>
        <v/>
      </c>
      <c r="BF94" s="72" t="str">
        <f aca="false">IF(ISBLANK($C94),"",$D94)</f>
        <v/>
      </c>
      <c r="BG94" s="73" t="str">
        <f aca="false">AU94</f>
        <v/>
      </c>
      <c r="BH94" s="74" t="str">
        <f aca="false">AT94</f>
        <v/>
      </c>
      <c r="BI94" s="72" t="str">
        <f aca="false">IF(ISBLANK($C94),"",AW94)</f>
        <v/>
      </c>
      <c r="BJ94" s="75" t="str">
        <f aca="false">IF($BA94&gt;$AZ$7,"",VLOOKUP($BA94,$BC$8:$BI$507,7,FALSE()))</f>
        <v/>
      </c>
      <c r="BK94" s="76" t="str">
        <f aca="false">IF($BA94&gt;$AZ$7,"",VLOOKUP($BA94,$BC$8:$BI$507,2,FALSE()))</f>
        <v/>
      </c>
      <c r="BL94" s="76" t="str">
        <f aca="false">IF($BA94&gt;$AZ$7,"",VLOOKUP($BA94,$BC$8:$BI$507,3,FALSE()))</f>
        <v/>
      </c>
      <c r="BM94" s="76" t="str">
        <f aca="false">IF($BA94&gt;$AZ$7,"",VLOOKUP($BA94,$BC$8:$BI$507,4,FALSE()))</f>
        <v/>
      </c>
      <c r="BN94" s="76" t="str">
        <f aca="false">IF($BA94&gt;$AZ$7,"",VLOOKUP($BA94,$BC$8:$BI$507,5,FALSE()))</f>
        <v/>
      </c>
      <c r="BO94" s="77" t="str">
        <f aca="false">IF($BA94&gt;$AZ$7,"",VLOOKUP($BA94,$BC$8:$BI$507,6,FALSE()))</f>
        <v/>
      </c>
      <c r="BP94" s="52"/>
    </row>
    <row r="95" customFormat="false" ht="15.75" hidden="false" customHeight="false" outlineLevel="0" collapsed="false">
      <c r="A95" s="5"/>
      <c r="B95" s="114"/>
      <c r="C95" s="115"/>
      <c r="D95" s="106"/>
      <c r="E95" s="117"/>
      <c r="F95" s="87"/>
      <c r="G95" s="88"/>
      <c r="H95" s="88"/>
      <c r="I95" s="87"/>
      <c r="J95" s="88"/>
      <c r="K95" s="88"/>
      <c r="L95" s="87"/>
      <c r="M95" s="117"/>
      <c r="N95" s="90"/>
      <c r="O95" s="91" t="str">
        <f aca="false">IF(ISBLANK($C95),"",IF(E95=Constants!$B$2, TRUE(), IF(E95=Constants!$B$3, FALSE(), TRUE())))</f>
        <v/>
      </c>
      <c r="P95" s="91" t="str">
        <f aca="false">IF(ISBLANK($C95),"",IF(F95=Constants!$B$16,Constants!$B$9,IF(F95=Constants!$B$17,Constants!$B$10,Constants!$B$8)))</f>
        <v/>
      </c>
      <c r="Q95" s="91" t="str">
        <f aca="false">IF(ISBLANK($C95),"",IF(ISNUMBER(G95),IF(G95&gt;=0,G95,""),""))</f>
        <v/>
      </c>
      <c r="R95" s="91" t="str">
        <f aca="false">IF(ISBLANK($C95),"",IF(H95=Constants!$B$2, TRUE(), IF(H95=Constants!$B$3, FALSE(), TRUE())))</f>
        <v/>
      </c>
      <c r="S95" s="91" t="str">
        <f aca="false">IF(ISBLANK($C95),"",IF(I95=Constants!$B$2, TRUE(), IF(I95=Constants!$B$3, FALSE(), TRUE())))</f>
        <v/>
      </c>
      <c r="T95" s="91" t="str">
        <f aca="false">IF(ISBLANK($C95),"",IF(ISNUMBER(J95),IF(J95&gt;=0,J95,""),""))</f>
        <v/>
      </c>
      <c r="U95" s="91" t="str">
        <f aca="false">IF(ISBLANK($C95),"",IF(K95=Constants!$B$2, TRUE(), IF(K95=Constants!$B$3, FALSE(), TRUE())))</f>
        <v/>
      </c>
      <c r="V95" s="91" t="str">
        <f aca="false">IF(ISBLANK($C95),"",IF(L95=Constants!$B$2, TRUE(), IF(L95=Constants!$B$3, FALSE(), TRUE())))</f>
        <v/>
      </c>
      <c r="W95" s="91" t="str">
        <f aca="false">IF(ISBLANK($C95),"",IF(M95=Constants!$B$2, TRUE(), IF(M95=Constants!$B$3, FALSE(), FALSE())))</f>
        <v/>
      </c>
      <c r="X95" s="91" t="str">
        <f aca="false">IF(ISBLANK($C95),"",AND(Q95&lt;&gt;"",O95))</f>
        <v/>
      </c>
      <c r="Y95" s="91" t="str">
        <f aca="false">IF(ISBLANK($C95),"",AND(T95&lt;&gt;"",O95))</f>
        <v/>
      </c>
      <c r="Z95" s="91" t="str">
        <f aca="false">IF(ISBLANK($C95),"",IF(W95,Constants!$B$4,IF(COUNTA(E95:L95)=0,Constants!$B$5,IF(NOT(O95),Constants!$B$6,IF(AND(NOT(X95),NOT(Y95)),Constants!$B$6,Constants!$B$7)))))</f>
        <v/>
      </c>
      <c r="AA95" s="91" t="str">
        <f aca="false">IF(ISBLANK($C95),"",IF($Z95&lt;&gt;Constants!$B$7,$Z95,Constants!$B$20))</f>
        <v/>
      </c>
      <c r="AB95" s="91" t="str">
        <f aca="false">IF($Z95=Constants!$B$7,IF(X95,Q95,Constants!$B$13),"")</f>
        <v/>
      </c>
      <c r="AC95" s="91" t="str">
        <f aca="false">IF($Z95=Constants!$B$7,IF(X95,P95*IF(R95, 1, Constants!$B$11)*IF(S95, 1, Constants!$B$12),Constants!$B$13),"")</f>
        <v/>
      </c>
      <c r="AD95" s="91" t="str">
        <f aca="false">IF($Z95=Constants!$B$7,AB95*AC95,"")</f>
        <v/>
      </c>
      <c r="AE95" s="91" t="str">
        <f aca="false">IF($Z95=Constants!$B$7,IF(Y95,T95,Constants!$B$13),"")</f>
        <v/>
      </c>
      <c r="AF95" s="91" t="str">
        <f aca="false">IF($Z95=Constants!$B$7,IF(Y95,P95*IF(U95, 1, Constants!$B$11)*IF(V95, 1, Constants!$B$12),Constants!$B$13),"")</f>
        <v/>
      </c>
      <c r="AG95" s="91" t="str">
        <f aca="false">IF($Z95=Constants!$B$7,AE95*AF95,"")</f>
        <v/>
      </c>
      <c r="AH95" s="91" t="str">
        <f aca="false">IF($Z95=Constants!$B$7,IF(AG95&gt;AD95,2,1),"")</f>
        <v/>
      </c>
      <c r="AI95" s="91" t="str">
        <f aca="false">IF($Z95=Constants!$B$7,IF(AH95=1,2,1),"")</f>
        <v/>
      </c>
      <c r="AJ95" s="91" t="str">
        <f aca="false">IF(ISBLANK($C95),"",IF($Z95&lt;&gt;Constants!$B$7,$Z95,IF(AH95=1,AD95,AG95)))</f>
        <v/>
      </c>
      <c r="AK95" s="91" t="str">
        <f aca="false">IF(ISBLANK($C95),"",IF($Z95=Constants!$B$7,IF(ISNUMBER(AJ95),RANK(AJ95,$AJ$8:$AJ$507),Constants!$B$14),$Z95))</f>
        <v/>
      </c>
      <c r="AL95" s="91" t="str">
        <f aca="false">IF(ISBLANK($C95),"",IF($Z95=Constants!$B$7,IF(AI95=1,AD95,AG95),""))</f>
        <v/>
      </c>
      <c r="AM95" s="91" t="str">
        <f aca="false">IF(ISBLANK($C95),"",IF($Z95=Constants!$B$7,RANK(AL95,$AL$8:$AL$507),$Z95))</f>
        <v/>
      </c>
      <c r="AN95" s="91" t="str">
        <f aca="false">IF(ISBLANK($C95),"",IF($Z95=Constants!$B$7,IF(ISNUMBER(AK95),COUNTIFS($AK$8:$AK$507,"&lt;"&amp;$AK95)+COUNTIFS($AK$8:$AK$507,$AK95,$AM$8:$AM$507,"&lt;"&amp;$AM95)+1,Constants!$B$14),$Z95))</f>
        <v/>
      </c>
      <c r="AO95" s="91" t="str">
        <f aca="false">IF(ISBLANK($C95),"",IF($Z95=Constants!$B$7,IF(ISNUMBER(AK95),AK95-AN95,Constants!$B$14),$Z95))</f>
        <v/>
      </c>
      <c r="AP95" s="92"/>
      <c r="AQ95" s="93" t="str">
        <f aca="false">IF(ISBLANK($C95),"",IF($Z95&lt;&gt;Constants!$B$7,"",AH95))</f>
        <v/>
      </c>
      <c r="AR95" s="94" t="str">
        <f aca="false">IF(ISBLANK($C95),"",IF($Z95&lt;&gt;Constants!$B$7,"",IF(AH95=1,AB95,AE95)))</f>
        <v/>
      </c>
      <c r="AS95" s="95" t="str">
        <f aca="false">IF(ISBLANK($C95),"",IF($Z95&lt;&gt;Constants!$B$7,"",IF(AH95=1,AC95,AF95)))</f>
        <v/>
      </c>
      <c r="AT95" s="96" t="str">
        <f aca="false">IF(ISBLANK($C95),"",IF($Z95&lt;&gt;Constants!$B$7,$Z95,AJ95))</f>
        <v/>
      </c>
      <c r="AU95" s="97" t="str">
        <f aca="false">IF(ISBLANK($C95),"",IF($Z95&lt;&gt;Constants!$B$7,$Z95,AA95))</f>
        <v/>
      </c>
      <c r="AV95" s="98" t="str">
        <f aca="false">IF(ISBLANK($C95),"",AO95)</f>
        <v/>
      </c>
      <c r="AW95" s="98" t="str">
        <f aca="false">IF(ISBLANK($C95),"",AN95)</f>
        <v/>
      </c>
      <c r="AX95" s="99" t="str">
        <f aca="false">IF(ISBLANK($C95),"",IFERROR(_xlfn.SWITCH(AW95,Constants!$B$4,COUNTA($C$8:$C$507)+2,Constants!$B$5,COUNTA($C$8:$C$507)+1,Constants!$B$6,COUNTA($C$8:$C$507)),AW95))</f>
        <v/>
      </c>
      <c r="AY95" s="5"/>
      <c r="AZ95" s="100" t="n">
        <f aca="false">IF(OR(ISNUMBER(AW95),AW95=Constants!$B$4,AW95=Constants!$B$6,AW95=Constants!$B$5),1,0)</f>
        <v>0</v>
      </c>
      <c r="BA95" s="100" t="n">
        <v>88</v>
      </c>
      <c r="BB95" s="100" t="str">
        <f aca="false">IF(ISBLANK($C95),"",IF(ISNUMBER(AX95),AX95+ROW($B95)/1000,""))</f>
        <v/>
      </c>
      <c r="BC95" s="100" t="str">
        <f aca="false">IF(ISNUMBER(BB95),RANK(BB95,$BB$8:$BB$507,1),"")</f>
        <v/>
      </c>
      <c r="BD95" s="100" t="str">
        <f aca="false">IF(ISBLANK($C95),"",$B95)</f>
        <v/>
      </c>
      <c r="BE95" s="100" t="str">
        <f aca="false">IF(ISBLANK($C95),"",$C95)</f>
        <v/>
      </c>
      <c r="BF95" s="100" t="str">
        <f aca="false">IF(ISBLANK($C95),"",$D95)</f>
        <v/>
      </c>
      <c r="BG95" s="101" t="str">
        <f aca="false">AU95</f>
        <v/>
      </c>
      <c r="BH95" s="102" t="str">
        <f aca="false">AT95</f>
        <v/>
      </c>
      <c r="BI95" s="100" t="str">
        <f aca="false">IF(ISBLANK($C95),"",AW95)</f>
        <v/>
      </c>
      <c r="BJ95" s="103" t="str">
        <f aca="false">IF($BA95&gt;$AZ$7,"",VLOOKUP($BA95,$BC$8:$BI$507,7,FALSE()))</f>
        <v/>
      </c>
      <c r="BK95" s="104" t="str">
        <f aca="false">IF($BA95&gt;$AZ$7,"",VLOOKUP($BA95,$BC$8:$BI$507,2,FALSE()))</f>
        <v/>
      </c>
      <c r="BL95" s="104" t="str">
        <f aca="false">IF($BA95&gt;$AZ$7,"",VLOOKUP($BA95,$BC$8:$BI$507,3,FALSE()))</f>
        <v/>
      </c>
      <c r="BM95" s="104" t="str">
        <f aca="false">IF($BA95&gt;$AZ$7,"",VLOOKUP($BA95,$BC$8:$BI$507,4,FALSE()))</f>
        <v/>
      </c>
      <c r="BN95" s="104" t="str">
        <f aca="false">IF($BA95&gt;$AZ$7,"",VLOOKUP($BA95,$BC$8:$BI$507,5,FALSE()))</f>
        <v/>
      </c>
      <c r="BO95" s="105" t="str">
        <f aca="false">IF($BA95&gt;$AZ$7,"",VLOOKUP($BA95,$BC$8:$BI$507,6,FALSE()))</f>
        <v/>
      </c>
      <c r="BP95" s="52"/>
    </row>
    <row r="96" customFormat="false" ht="15.75" hidden="false" customHeight="false" outlineLevel="0" collapsed="false">
      <c r="A96" s="5"/>
      <c r="B96" s="114"/>
      <c r="C96" s="115"/>
      <c r="D96" s="106"/>
      <c r="E96" s="117"/>
      <c r="F96" s="87"/>
      <c r="G96" s="88"/>
      <c r="H96" s="88"/>
      <c r="I96" s="87"/>
      <c r="J96" s="88"/>
      <c r="K96" s="88"/>
      <c r="L96" s="87"/>
      <c r="M96" s="117"/>
      <c r="N96" s="90"/>
      <c r="O96" s="91" t="str">
        <f aca="false">IF(ISBLANK($C96),"",IF(E96=Constants!$B$2, TRUE(), IF(E96=Constants!$B$3, FALSE(), TRUE())))</f>
        <v/>
      </c>
      <c r="P96" s="91" t="str">
        <f aca="false">IF(ISBLANK($C96),"",IF(F96=Constants!$B$16,Constants!$B$9,IF(F96=Constants!$B$17,Constants!$B$10,Constants!$B$8)))</f>
        <v/>
      </c>
      <c r="Q96" s="91" t="str">
        <f aca="false">IF(ISBLANK($C96),"",IF(ISNUMBER(G96),IF(G96&gt;=0,G96,""),""))</f>
        <v/>
      </c>
      <c r="R96" s="91" t="str">
        <f aca="false">IF(ISBLANK($C96),"",IF(H96=Constants!$B$2, TRUE(), IF(H96=Constants!$B$3, FALSE(), TRUE())))</f>
        <v/>
      </c>
      <c r="S96" s="91" t="str">
        <f aca="false">IF(ISBLANK($C96),"",IF(I96=Constants!$B$2, TRUE(), IF(I96=Constants!$B$3, FALSE(), TRUE())))</f>
        <v/>
      </c>
      <c r="T96" s="91" t="str">
        <f aca="false">IF(ISBLANK($C96),"",IF(ISNUMBER(J96),IF(J96&gt;=0,J96,""),""))</f>
        <v/>
      </c>
      <c r="U96" s="91" t="str">
        <f aca="false">IF(ISBLANK($C96),"",IF(K96=Constants!$B$2, TRUE(), IF(K96=Constants!$B$3, FALSE(), TRUE())))</f>
        <v/>
      </c>
      <c r="V96" s="91" t="str">
        <f aca="false">IF(ISBLANK($C96),"",IF(L96=Constants!$B$2, TRUE(), IF(L96=Constants!$B$3, FALSE(), TRUE())))</f>
        <v/>
      </c>
      <c r="W96" s="91" t="str">
        <f aca="false">IF(ISBLANK($C96),"",IF(M96=Constants!$B$2, TRUE(), IF(M96=Constants!$B$3, FALSE(), FALSE())))</f>
        <v/>
      </c>
      <c r="X96" s="91" t="str">
        <f aca="false">IF(ISBLANK($C96),"",AND(Q96&lt;&gt;"",O96))</f>
        <v/>
      </c>
      <c r="Y96" s="91" t="str">
        <f aca="false">IF(ISBLANK($C96),"",AND(T96&lt;&gt;"",O96))</f>
        <v/>
      </c>
      <c r="Z96" s="91" t="str">
        <f aca="false">IF(ISBLANK($C96),"",IF(W96,Constants!$B$4,IF(COUNTA(E96:L96)=0,Constants!$B$5,IF(NOT(O96),Constants!$B$6,IF(AND(NOT(X96),NOT(Y96)),Constants!$B$6,Constants!$B$7)))))</f>
        <v/>
      </c>
      <c r="AA96" s="91" t="str">
        <f aca="false">IF(ISBLANK($C96),"",IF($Z96&lt;&gt;Constants!$B$7,$Z96,Constants!$B$20))</f>
        <v/>
      </c>
      <c r="AB96" s="91" t="str">
        <f aca="false">IF($Z96=Constants!$B$7,IF(X96,Q96,Constants!$B$13),"")</f>
        <v/>
      </c>
      <c r="AC96" s="91" t="str">
        <f aca="false">IF($Z96=Constants!$B$7,IF(X96,P96*IF(R96, 1, Constants!$B$11)*IF(S96, 1, Constants!$B$12),Constants!$B$13),"")</f>
        <v/>
      </c>
      <c r="AD96" s="91" t="str">
        <f aca="false">IF($Z96=Constants!$B$7,AB96*AC96,"")</f>
        <v/>
      </c>
      <c r="AE96" s="91" t="str">
        <f aca="false">IF($Z96=Constants!$B$7,IF(Y96,T96,Constants!$B$13),"")</f>
        <v/>
      </c>
      <c r="AF96" s="91" t="str">
        <f aca="false">IF($Z96=Constants!$B$7,IF(Y96,P96*IF(U96, 1, Constants!$B$11)*IF(V96, 1, Constants!$B$12),Constants!$B$13),"")</f>
        <v/>
      </c>
      <c r="AG96" s="91" t="str">
        <f aca="false">IF($Z96=Constants!$B$7,AE96*AF96,"")</f>
        <v/>
      </c>
      <c r="AH96" s="91" t="str">
        <f aca="false">IF($Z96=Constants!$B$7,IF(AG96&gt;AD96,2,1),"")</f>
        <v/>
      </c>
      <c r="AI96" s="91" t="str">
        <f aca="false">IF($Z96=Constants!$B$7,IF(AH96=1,2,1),"")</f>
        <v/>
      </c>
      <c r="AJ96" s="91" t="str">
        <f aca="false">IF(ISBLANK($C96),"",IF($Z96&lt;&gt;Constants!$B$7,$Z96,IF(AH96=1,AD96,AG96)))</f>
        <v/>
      </c>
      <c r="AK96" s="91" t="str">
        <f aca="false">IF(ISBLANK($C96),"",IF($Z96=Constants!$B$7,IF(ISNUMBER(AJ96),RANK(AJ96,$AJ$8:$AJ$507),Constants!$B$14),$Z96))</f>
        <v/>
      </c>
      <c r="AL96" s="91" t="str">
        <f aca="false">IF(ISBLANK($C96),"",IF($Z96=Constants!$B$7,IF(AI96=1,AD96,AG96),""))</f>
        <v/>
      </c>
      <c r="AM96" s="91" t="str">
        <f aca="false">IF(ISBLANK($C96),"",IF($Z96=Constants!$B$7,RANK(AL96,$AL$8:$AL$507),$Z96))</f>
        <v/>
      </c>
      <c r="AN96" s="91" t="str">
        <f aca="false">IF(ISBLANK($C96),"",IF($Z96=Constants!$B$7,IF(ISNUMBER(AK96),COUNTIFS($AK$8:$AK$507,"&lt;"&amp;$AK96)+COUNTIFS($AK$8:$AK$507,$AK96,$AM$8:$AM$507,"&lt;"&amp;$AM96)+1,Constants!$B$14),$Z96))</f>
        <v/>
      </c>
      <c r="AO96" s="91" t="str">
        <f aca="false">IF(ISBLANK($C96),"",IF($Z96=Constants!$B$7,IF(ISNUMBER(AK96),AK96-AN96,Constants!$B$14),$Z96))</f>
        <v/>
      </c>
      <c r="AP96" s="92"/>
      <c r="AQ96" s="93" t="str">
        <f aca="false">IF(ISBLANK($C96),"",IF($Z96&lt;&gt;Constants!$B$7,"",AH96))</f>
        <v/>
      </c>
      <c r="AR96" s="94" t="str">
        <f aca="false">IF(ISBLANK($C96),"",IF($Z96&lt;&gt;Constants!$B$7,"",IF(AH96=1,AB96,AE96)))</f>
        <v/>
      </c>
      <c r="AS96" s="95" t="str">
        <f aca="false">IF(ISBLANK($C96),"",IF($Z96&lt;&gt;Constants!$B$7,"",IF(AH96=1,AC96,AF96)))</f>
        <v/>
      </c>
      <c r="AT96" s="96" t="str">
        <f aca="false">IF(ISBLANK($C96),"",IF($Z96&lt;&gt;Constants!$B$7,$Z96,AJ96))</f>
        <v/>
      </c>
      <c r="AU96" s="97" t="str">
        <f aca="false">IF(ISBLANK($C96),"",IF($Z96&lt;&gt;Constants!$B$7,$Z96,AA96))</f>
        <v/>
      </c>
      <c r="AV96" s="98" t="str">
        <f aca="false">IF(ISBLANK($C96),"",AO96)</f>
        <v/>
      </c>
      <c r="AW96" s="98" t="str">
        <f aca="false">IF(ISBLANK($C96),"",AN96)</f>
        <v/>
      </c>
      <c r="AX96" s="99" t="str">
        <f aca="false">IF(ISBLANK($C96),"",IFERROR(_xlfn.SWITCH(AW96,Constants!$B$4,COUNTA($C$8:$C$507)+2,Constants!$B$5,COUNTA($C$8:$C$507)+1,Constants!$B$6,COUNTA($C$8:$C$507)),AW96))</f>
        <v/>
      </c>
      <c r="AY96" s="5"/>
      <c r="AZ96" s="100" t="n">
        <f aca="false">IF(OR(ISNUMBER(AW96),AW96=Constants!$B$4,AW96=Constants!$B$6,AW96=Constants!$B$5),1,0)</f>
        <v>0</v>
      </c>
      <c r="BA96" s="100" t="n">
        <v>89</v>
      </c>
      <c r="BB96" s="100" t="str">
        <f aca="false">IF(ISBLANK($C96),"",IF(ISNUMBER(AX96),AX96+ROW($B96)/1000,""))</f>
        <v/>
      </c>
      <c r="BC96" s="100" t="str">
        <f aca="false">IF(ISNUMBER(BB96),RANK(BB96,$BB$8:$BB$507,1),"")</f>
        <v/>
      </c>
      <c r="BD96" s="100" t="str">
        <f aca="false">IF(ISBLANK($C96),"",$B96)</f>
        <v/>
      </c>
      <c r="BE96" s="100" t="str">
        <f aca="false">IF(ISBLANK($C96),"",$C96)</f>
        <v/>
      </c>
      <c r="BF96" s="100" t="str">
        <f aca="false">IF(ISBLANK($C96),"",$D96)</f>
        <v/>
      </c>
      <c r="BG96" s="101" t="str">
        <f aca="false">AU96</f>
        <v/>
      </c>
      <c r="BH96" s="102" t="str">
        <f aca="false">AT96</f>
        <v/>
      </c>
      <c r="BI96" s="100" t="str">
        <f aca="false">IF(ISBLANK($C96),"",AW96)</f>
        <v/>
      </c>
      <c r="BJ96" s="103" t="str">
        <f aca="false">IF($BA96&gt;$AZ$7,"",VLOOKUP($BA96,$BC$8:$BI$507,7,FALSE()))</f>
        <v/>
      </c>
      <c r="BK96" s="104" t="str">
        <f aca="false">IF($BA96&gt;$AZ$7,"",VLOOKUP($BA96,$BC$8:$BI$507,2,FALSE()))</f>
        <v/>
      </c>
      <c r="BL96" s="104" t="str">
        <f aca="false">IF($BA96&gt;$AZ$7,"",VLOOKUP($BA96,$BC$8:$BI$507,3,FALSE()))</f>
        <v/>
      </c>
      <c r="BM96" s="104" t="str">
        <f aca="false">IF($BA96&gt;$AZ$7,"",VLOOKUP($BA96,$BC$8:$BI$507,4,FALSE()))</f>
        <v/>
      </c>
      <c r="BN96" s="104" t="str">
        <f aca="false">IF($BA96&gt;$AZ$7,"",VLOOKUP($BA96,$BC$8:$BI$507,5,FALSE()))</f>
        <v/>
      </c>
      <c r="BO96" s="105" t="str">
        <f aca="false">IF($BA96&gt;$AZ$7,"",VLOOKUP($BA96,$BC$8:$BI$507,6,FALSE()))</f>
        <v/>
      </c>
      <c r="BP96" s="52"/>
    </row>
    <row r="97" customFormat="false" ht="15.75" hidden="false" customHeight="false" outlineLevel="0" collapsed="false">
      <c r="A97" s="5"/>
      <c r="B97" s="114"/>
      <c r="C97" s="115"/>
      <c r="D97" s="106"/>
      <c r="E97" s="117"/>
      <c r="F97" s="87"/>
      <c r="G97" s="88"/>
      <c r="H97" s="88"/>
      <c r="I97" s="87"/>
      <c r="J97" s="88"/>
      <c r="K97" s="88"/>
      <c r="L97" s="87"/>
      <c r="M97" s="117"/>
      <c r="N97" s="90"/>
      <c r="O97" s="91" t="str">
        <f aca="false">IF(ISBLANK($C97),"",IF(E97=Constants!$B$2, TRUE(), IF(E97=Constants!$B$3, FALSE(), TRUE())))</f>
        <v/>
      </c>
      <c r="P97" s="91" t="str">
        <f aca="false">IF(ISBLANK($C97),"",IF(F97=Constants!$B$16,Constants!$B$9,IF(F97=Constants!$B$17,Constants!$B$10,Constants!$B$8)))</f>
        <v/>
      </c>
      <c r="Q97" s="91" t="str">
        <f aca="false">IF(ISBLANK($C97),"",IF(ISNUMBER(G97),IF(G97&gt;=0,G97,""),""))</f>
        <v/>
      </c>
      <c r="R97" s="91" t="str">
        <f aca="false">IF(ISBLANK($C97),"",IF(H97=Constants!$B$2, TRUE(), IF(H97=Constants!$B$3, FALSE(), TRUE())))</f>
        <v/>
      </c>
      <c r="S97" s="91" t="str">
        <f aca="false">IF(ISBLANK($C97),"",IF(I97=Constants!$B$2, TRUE(), IF(I97=Constants!$B$3, FALSE(), TRUE())))</f>
        <v/>
      </c>
      <c r="T97" s="91" t="str">
        <f aca="false">IF(ISBLANK($C97),"",IF(ISNUMBER(J97),IF(J97&gt;=0,J97,""),""))</f>
        <v/>
      </c>
      <c r="U97" s="91" t="str">
        <f aca="false">IF(ISBLANK($C97),"",IF(K97=Constants!$B$2, TRUE(), IF(K97=Constants!$B$3, FALSE(), TRUE())))</f>
        <v/>
      </c>
      <c r="V97" s="91" t="str">
        <f aca="false">IF(ISBLANK($C97),"",IF(L97=Constants!$B$2, TRUE(), IF(L97=Constants!$B$3, FALSE(), TRUE())))</f>
        <v/>
      </c>
      <c r="W97" s="91" t="str">
        <f aca="false">IF(ISBLANK($C97),"",IF(M97=Constants!$B$2, TRUE(), IF(M97=Constants!$B$3, FALSE(), FALSE())))</f>
        <v/>
      </c>
      <c r="X97" s="91" t="str">
        <f aca="false">IF(ISBLANK($C97),"",AND(Q97&lt;&gt;"",O97))</f>
        <v/>
      </c>
      <c r="Y97" s="91" t="str">
        <f aca="false">IF(ISBLANK($C97),"",AND(T97&lt;&gt;"",O97))</f>
        <v/>
      </c>
      <c r="Z97" s="91" t="str">
        <f aca="false">IF(ISBLANK($C97),"",IF(W97,Constants!$B$4,IF(COUNTA(E97:L97)=0,Constants!$B$5,IF(NOT(O97),Constants!$B$6,IF(AND(NOT(X97),NOT(Y97)),Constants!$B$6,Constants!$B$7)))))</f>
        <v/>
      </c>
      <c r="AA97" s="91" t="str">
        <f aca="false">IF(ISBLANK($C97),"",IF($Z97&lt;&gt;Constants!$B$7,$Z97,Constants!$B$20))</f>
        <v/>
      </c>
      <c r="AB97" s="91" t="str">
        <f aca="false">IF($Z97=Constants!$B$7,IF(X97,Q97,Constants!$B$13),"")</f>
        <v/>
      </c>
      <c r="AC97" s="91" t="str">
        <f aca="false">IF($Z97=Constants!$B$7,IF(X97,P97*IF(R97, 1, Constants!$B$11)*IF(S97, 1, Constants!$B$12),Constants!$B$13),"")</f>
        <v/>
      </c>
      <c r="AD97" s="91" t="str">
        <f aca="false">IF($Z97=Constants!$B$7,AB97*AC97,"")</f>
        <v/>
      </c>
      <c r="AE97" s="91" t="str">
        <f aca="false">IF($Z97=Constants!$B$7,IF(Y97,T97,Constants!$B$13),"")</f>
        <v/>
      </c>
      <c r="AF97" s="91" t="str">
        <f aca="false">IF($Z97=Constants!$B$7,IF(Y97,P97*IF(U97, 1, Constants!$B$11)*IF(V97, 1, Constants!$B$12),Constants!$B$13),"")</f>
        <v/>
      </c>
      <c r="AG97" s="91" t="str">
        <f aca="false">IF($Z97=Constants!$B$7,AE97*AF97,"")</f>
        <v/>
      </c>
      <c r="AH97" s="91" t="str">
        <f aca="false">IF($Z97=Constants!$B$7,IF(AG97&gt;AD97,2,1),"")</f>
        <v/>
      </c>
      <c r="AI97" s="91" t="str">
        <f aca="false">IF($Z97=Constants!$B$7,IF(AH97=1,2,1),"")</f>
        <v/>
      </c>
      <c r="AJ97" s="91" t="str">
        <f aca="false">IF(ISBLANK($C97),"",IF($Z97&lt;&gt;Constants!$B$7,$Z97,IF(AH97=1,AD97,AG97)))</f>
        <v/>
      </c>
      <c r="AK97" s="91" t="str">
        <f aca="false">IF(ISBLANK($C97),"",IF($Z97=Constants!$B$7,IF(ISNUMBER(AJ97),RANK(AJ97,$AJ$8:$AJ$507),Constants!$B$14),$Z97))</f>
        <v/>
      </c>
      <c r="AL97" s="91" t="str">
        <f aca="false">IF(ISBLANK($C97),"",IF($Z97=Constants!$B$7,IF(AI97=1,AD97,AG97),""))</f>
        <v/>
      </c>
      <c r="AM97" s="91" t="str">
        <f aca="false">IF(ISBLANK($C97),"",IF($Z97=Constants!$B$7,RANK(AL97,$AL$8:$AL$507),$Z97))</f>
        <v/>
      </c>
      <c r="AN97" s="91" t="str">
        <f aca="false">IF(ISBLANK($C97),"",IF($Z97=Constants!$B$7,IF(ISNUMBER(AK97),COUNTIFS($AK$8:$AK$507,"&lt;"&amp;$AK97)+COUNTIFS($AK$8:$AK$507,$AK97,$AM$8:$AM$507,"&lt;"&amp;$AM97)+1,Constants!$B$14),$Z97))</f>
        <v/>
      </c>
      <c r="AO97" s="91" t="str">
        <f aca="false">IF(ISBLANK($C97),"",IF($Z97=Constants!$B$7,IF(ISNUMBER(AK97),AK97-AN97,Constants!$B$14),$Z97))</f>
        <v/>
      </c>
      <c r="AP97" s="92"/>
      <c r="AQ97" s="93" t="str">
        <f aca="false">IF(ISBLANK($C97),"",IF($Z97&lt;&gt;Constants!$B$7,"",AH97))</f>
        <v/>
      </c>
      <c r="AR97" s="94" t="str">
        <f aca="false">IF(ISBLANK($C97),"",IF($Z97&lt;&gt;Constants!$B$7,"",IF(AH97=1,AB97,AE97)))</f>
        <v/>
      </c>
      <c r="AS97" s="95" t="str">
        <f aca="false">IF(ISBLANK($C97),"",IF($Z97&lt;&gt;Constants!$B$7,"",IF(AH97=1,AC97,AF97)))</f>
        <v/>
      </c>
      <c r="AT97" s="96" t="str">
        <f aca="false">IF(ISBLANK($C97),"",IF($Z97&lt;&gt;Constants!$B$7,$Z97,AJ97))</f>
        <v/>
      </c>
      <c r="AU97" s="97" t="str">
        <f aca="false">IF(ISBLANK($C97),"",IF($Z97&lt;&gt;Constants!$B$7,$Z97,AA97))</f>
        <v/>
      </c>
      <c r="AV97" s="98" t="str">
        <f aca="false">IF(ISBLANK($C97),"",AO97)</f>
        <v/>
      </c>
      <c r="AW97" s="98" t="str">
        <f aca="false">IF(ISBLANK($C97),"",AN97)</f>
        <v/>
      </c>
      <c r="AX97" s="99" t="str">
        <f aca="false">IF(ISBLANK($C97),"",IFERROR(_xlfn.SWITCH(AW97,Constants!$B$4,COUNTA($C$8:$C$507)+2,Constants!$B$5,COUNTA($C$8:$C$507)+1,Constants!$B$6,COUNTA($C$8:$C$507)),AW97))</f>
        <v/>
      </c>
      <c r="AY97" s="5"/>
      <c r="AZ97" s="100" t="n">
        <f aca="false">IF(OR(ISNUMBER(AW97),AW97=Constants!$B$4,AW97=Constants!$B$6,AW97=Constants!$B$5),1,0)</f>
        <v>0</v>
      </c>
      <c r="BA97" s="100" t="n">
        <v>90</v>
      </c>
      <c r="BB97" s="100" t="str">
        <f aca="false">IF(ISBLANK($C97),"",IF(ISNUMBER(AX97),AX97+ROW($B97)/1000,""))</f>
        <v/>
      </c>
      <c r="BC97" s="100" t="str">
        <f aca="false">IF(ISNUMBER(BB97),RANK(BB97,$BB$8:$BB$507,1),"")</f>
        <v/>
      </c>
      <c r="BD97" s="100" t="str">
        <f aca="false">IF(ISBLANK($C97),"",$B97)</f>
        <v/>
      </c>
      <c r="BE97" s="100" t="str">
        <f aca="false">IF(ISBLANK($C97),"",$C97)</f>
        <v/>
      </c>
      <c r="BF97" s="100" t="str">
        <f aca="false">IF(ISBLANK($C97),"",$D97)</f>
        <v/>
      </c>
      <c r="BG97" s="101" t="str">
        <f aca="false">AU97</f>
        <v/>
      </c>
      <c r="BH97" s="102" t="str">
        <f aca="false">AT97</f>
        <v/>
      </c>
      <c r="BI97" s="100" t="str">
        <f aca="false">IF(ISBLANK($C97),"",AW97)</f>
        <v/>
      </c>
      <c r="BJ97" s="103" t="str">
        <f aca="false">IF($BA97&gt;$AZ$7,"",VLOOKUP($BA97,$BC$8:$BI$507,7,FALSE()))</f>
        <v/>
      </c>
      <c r="BK97" s="104" t="str">
        <f aca="false">IF($BA97&gt;$AZ$7,"",VLOOKUP($BA97,$BC$8:$BI$507,2,FALSE()))</f>
        <v/>
      </c>
      <c r="BL97" s="104" t="str">
        <f aca="false">IF($BA97&gt;$AZ$7,"",VLOOKUP($BA97,$BC$8:$BI$507,3,FALSE()))</f>
        <v/>
      </c>
      <c r="BM97" s="104" t="str">
        <f aca="false">IF($BA97&gt;$AZ$7,"",VLOOKUP($BA97,$BC$8:$BI$507,4,FALSE()))</f>
        <v/>
      </c>
      <c r="BN97" s="104" t="str">
        <f aca="false">IF($BA97&gt;$AZ$7,"",VLOOKUP($BA97,$BC$8:$BI$507,5,FALSE()))</f>
        <v/>
      </c>
      <c r="BO97" s="105" t="str">
        <f aca="false">IF($BA97&gt;$AZ$7,"",VLOOKUP($BA97,$BC$8:$BI$507,6,FALSE()))</f>
        <v/>
      </c>
      <c r="BP97" s="52"/>
    </row>
    <row r="98" customFormat="false" ht="15.75" hidden="false" customHeight="false" outlineLevel="0" collapsed="false">
      <c r="A98" s="5"/>
      <c r="B98" s="118"/>
      <c r="C98" s="54"/>
      <c r="D98" s="55"/>
      <c r="E98" s="79"/>
      <c r="F98" s="57"/>
      <c r="G98" s="58"/>
      <c r="H98" s="58"/>
      <c r="I98" s="57"/>
      <c r="J98" s="58"/>
      <c r="K98" s="58"/>
      <c r="L98" s="57"/>
      <c r="M98" s="79"/>
      <c r="N98" s="60"/>
      <c r="O98" s="62" t="str">
        <f aca="false">IF(ISBLANK($C98),"",IF(E98=Constants!$B$2, TRUE(), IF(E98=Constants!$B$3, FALSE(), TRUE())))</f>
        <v/>
      </c>
      <c r="P98" s="62" t="str">
        <f aca="false">IF(ISBLANK($C98),"",IF(F98=Constants!$B$16,Constants!$B$9,IF(F98=Constants!$B$17,Constants!$B$10,Constants!$B$8)))</f>
        <v/>
      </c>
      <c r="Q98" s="62" t="str">
        <f aca="false">IF(ISBLANK($C98),"",IF(ISNUMBER(G98),IF(G98&gt;=0,G98,""),""))</f>
        <v/>
      </c>
      <c r="R98" s="62" t="str">
        <f aca="false">IF(ISBLANK($C98),"",IF(H98=Constants!$B$2, TRUE(), IF(H98=Constants!$B$3, FALSE(), TRUE())))</f>
        <v/>
      </c>
      <c r="S98" s="62" t="str">
        <f aca="false">IF(ISBLANK($C98),"",IF(I98=Constants!$B$2, TRUE(), IF(I98=Constants!$B$3, FALSE(), TRUE())))</f>
        <v/>
      </c>
      <c r="T98" s="62" t="str">
        <f aca="false">IF(ISBLANK($C98),"",IF(ISNUMBER(J98),IF(J98&gt;=0,J98,""),""))</f>
        <v/>
      </c>
      <c r="U98" s="62" t="str">
        <f aca="false">IF(ISBLANK($C98),"",IF(K98=Constants!$B$2, TRUE(), IF(K98=Constants!$B$3, FALSE(), TRUE())))</f>
        <v/>
      </c>
      <c r="V98" s="62" t="str">
        <f aca="false">IF(ISBLANK($C98),"",IF(L98=Constants!$B$2, TRUE(), IF(L98=Constants!$B$3, FALSE(), TRUE())))</f>
        <v/>
      </c>
      <c r="W98" s="62" t="str">
        <f aca="false">IF(ISBLANK($C98),"",IF(M98=Constants!$B$2, TRUE(), IF(M98=Constants!$B$3, FALSE(), FALSE())))</f>
        <v/>
      </c>
      <c r="X98" s="62" t="str">
        <f aca="false">IF(ISBLANK($C98),"",AND(Q98&lt;&gt;"",O98))</f>
        <v/>
      </c>
      <c r="Y98" s="62" t="str">
        <f aca="false">IF(ISBLANK($C98),"",AND(T98&lt;&gt;"",O98))</f>
        <v/>
      </c>
      <c r="Z98" s="62" t="str">
        <f aca="false">IF(ISBLANK($C98),"",IF(W98,Constants!$B$4,IF(COUNTA(E98:L98)=0,Constants!$B$5,IF(NOT(O98),Constants!$B$6,IF(AND(NOT(X98),NOT(Y98)),Constants!$B$6,Constants!$B$7)))))</f>
        <v/>
      </c>
      <c r="AA98" s="62" t="str">
        <f aca="false">IF(ISBLANK($C98),"",IF($Z98&lt;&gt;Constants!$B$7,$Z98,Constants!$B$20))</f>
        <v/>
      </c>
      <c r="AB98" s="62" t="str">
        <f aca="false">IF($Z98=Constants!$B$7,IF(X98,Q98,Constants!$B$13),"")</f>
        <v/>
      </c>
      <c r="AC98" s="62" t="str">
        <f aca="false">IF($Z98=Constants!$B$7,IF(X98,P98*IF(R98, 1, Constants!$B$11)*IF(S98, 1, Constants!$B$12),Constants!$B$13),"")</f>
        <v/>
      </c>
      <c r="AD98" s="62" t="str">
        <f aca="false">IF($Z98=Constants!$B$7,AB98*AC98,"")</f>
        <v/>
      </c>
      <c r="AE98" s="62" t="str">
        <f aca="false">IF($Z98=Constants!$B$7,IF(Y98,T98,Constants!$B$13),"")</f>
        <v/>
      </c>
      <c r="AF98" s="62" t="str">
        <f aca="false">IF($Z98=Constants!$B$7,IF(Y98,P98*IF(U98, 1, Constants!$B$11)*IF(V98, 1, Constants!$B$12),Constants!$B$13),"")</f>
        <v/>
      </c>
      <c r="AG98" s="62" t="str">
        <f aca="false">IF($Z98=Constants!$B$7,AE98*AF98,"")</f>
        <v/>
      </c>
      <c r="AH98" s="62" t="str">
        <f aca="false">IF($Z98=Constants!$B$7,IF(AG98&gt;AD98,2,1),"")</f>
        <v/>
      </c>
      <c r="AI98" s="62" t="str">
        <f aca="false">IF($Z98=Constants!$B$7,IF(AH98=1,2,1),"")</f>
        <v/>
      </c>
      <c r="AJ98" s="62" t="str">
        <f aca="false">IF(ISBLANK($C98),"",IF($Z98&lt;&gt;Constants!$B$7,$Z98,IF(AH98=1,AD98,AG98)))</f>
        <v/>
      </c>
      <c r="AK98" s="62" t="str">
        <f aca="false">IF(ISBLANK($C98),"",IF($Z98=Constants!$B$7,IF(ISNUMBER(AJ98),RANK(AJ98,$AJ$8:$AJ$507),Constants!$B$14),$Z98))</f>
        <v/>
      </c>
      <c r="AL98" s="62" t="str">
        <f aca="false">IF(ISBLANK($C98),"",IF($Z98=Constants!$B$7,IF(AI98=1,AD98,AG98),""))</f>
        <v/>
      </c>
      <c r="AM98" s="62" t="str">
        <f aca="false">IF(ISBLANK($C98),"",IF($Z98=Constants!$B$7,RANK(AL98,$AL$8:$AL$507),$Z98))</f>
        <v/>
      </c>
      <c r="AN98" s="62" t="str">
        <f aca="false">IF(ISBLANK($C98),"",IF($Z98=Constants!$B$7,IF(ISNUMBER(AK98),COUNTIFS($AK$8:$AK$507,"&lt;"&amp;$AK98)+COUNTIFS($AK$8:$AK$507,$AK98,$AM$8:$AM$507,"&lt;"&amp;$AM98)+1,Constants!$B$14),$Z98))</f>
        <v/>
      </c>
      <c r="AO98" s="62" t="str">
        <f aca="false">IF(ISBLANK($C98),"",IF($Z98=Constants!$B$7,IF(ISNUMBER(AK98),AK98-AN98,Constants!$B$14),$Z98))</f>
        <v/>
      </c>
      <c r="AP98" s="64"/>
      <c r="AQ98" s="65" t="str">
        <f aca="false">IF(ISBLANK($C98),"",IF($Z98&lt;&gt;Constants!$B$7,"",AH98))</f>
        <v/>
      </c>
      <c r="AR98" s="80" t="str">
        <f aca="false">IF(ISBLANK($C98),"",IF($Z98&lt;&gt;Constants!$B$7,"",IF(AH98=1,AB98,AE98)))</f>
        <v/>
      </c>
      <c r="AS98" s="67" t="str">
        <f aca="false">IF(ISBLANK($C98),"",IF($Z98&lt;&gt;Constants!$B$7,"",IF(AH98=1,AC98,AF98)))</f>
        <v/>
      </c>
      <c r="AT98" s="68" t="str">
        <f aca="false">IF(ISBLANK($C98),"",IF($Z98&lt;&gt;Constants!$B$7,$Z98,AJ98))</f>
        <v/>
      </c>
      <c r="AU98" s="69" t="str">
        <f aca="false">IF(ISBLANK($C98),"",IF($Z98&lt;&gt;Constants!$B$7,$Z98,AA98))</f>
        <v/>
      </c>
      <c r="AV98" s="70" t="str">
        <f aca="false">IF(ISBLANK($C98),"",AO98)</f>
        <v/>
      </c>
      <c r="AW98" s="70" t="str">
        <f aca="false">IF(ISBLANK($C98),"",AN98)</f>
        <v/>
      </c>
      <c r="AX98" s="71" t="str">
        <f aca="false">IF(ISBLANK($C98),"",IFERROR(_xlfn.SWITCH(AW98,Constants!$B$4,COUNTA($C$8:$C$507)+2,Constants!$B$5,COUNTA($C$8:$C$507)+1,Constants!$B$6,COUNTA($C$8:$C$507)),AW98))</f>
        <v/>
      </c>
      <c r="AY98" s="5"/>
      <c r="AZ98" s="72" t="n">
        <f aca="false">IF(OR(ISNUMBER(AW98),AW98=Constants!$B$4,AW98=Constants!$B$6,AW98=Constants!$B$5),1,0)</f>
        <v>0</v>
      </c>
      <c r="BA98" s="72" t="n">
        <v>91</v>
      </c>
      <c r="BB98" s="72" t="str">
        <f aca="false">IF(ISBLANK($C98),"",IF(ISNUMBER(AX98),AX98+ROW($B98)/1000,""))</f>
        <v/>
      </c>
      <c r="BC98" s="72" t="str">
        <f aca="false">IF(ISNUMBER(BB98),RANK(BB98,$BB$8:$BB$507,1),"")</f>
        <v/>
      </c>
      <c r="BD98" s="72" t="str">
        <f aca="false">IF(ISBLANK($C98),"",$B98)</f>
        <v/>
      </c>
      <c r="BE98" s="72" t="str">
        <f aca="false">IF(ISBLANK($C98),"",$C98)</f>
        <v/>
      </c>
      <c r="BF98" s="72" t="str">
        <f aca="false">IF(ISBLANK($C98),"",$D98)</f>
        <v/>
      </c>
      <c r="BG98" s="73" t="str">
        <f aca="false">AU98</f>
        <v/>
      </c>
      <c r="BH98" s="74" t="str">
        <f aca="false">AT98</f>
        <v/>
      </c>
      <c r="BI98" s="72" t="str">
        <f aca="false">IF(ISBLANK($C98),"",AW98)</f>
        <v/>
      </c>
      <c r="BJ98" s="75" t="str">
        <f aca="false">IF($BA98&gt;$AZ$7,"",VLOOKUP($BA98,$BC$8:$BI$507,7,FALSE()))</f>
        <v/>
      </c>
      <c r="BK98" s="76" t="str">
        <f aca="false">IF($BA98&gt;$AZ$7,"",VLOOKUP($BA98,$BC$8:$BI$507,2,FALSE()))</f>
        <v/>
      </c>
      <c r="BL98" s="76" t="str">
        <f aca="false">IF($BA98&gt;$AZ$7,"",VLOOKUP($BA98,$BC$8:$BI$507,3,FALSE()))</f>
        <v/>
      </c>
      <c r="BM98" s="76" t="str">
        <f aca="false">IF($BA98&gt;$AZ$7,"",VLOOKUP($BA98,$BC$8:$BI$507,4,FALSE()))</f>
        <v/>
      </c>
      <c r="BN98" s="76" t="str">
        <f aca="false">IF($BA98&gt;$AZ$7,"",VLOOKUP($BA98,$BC$8:$BI$507,5,FALSE()))</f>
        <v/>
      </c>
      <c r="BO98" s="77" t="str">
        <f aca="false">IF($BA98&gt;$AZ$7,"",VLOOKUP($BA98,$BC$8:$BI$507,6,FALSE()))</f>
        <v/>
      </c>
      <c r="BP98" s="52"/>
    </row>
    <row r="99" customFormat="false" ht="15.75" hidden="false" customHeight="false" outlineLevel="0" collapsed="false">
      <c r="A99" s="5"/>
      <c r="B99" s="118"/>
      <c r="C99" s="54"/>
      <c r="D99" s="55"/>
      <c r="E99" s="79"/>
      <c r="F99" s="57"/>
      <c r="G99" s="58"/>
      <c r="H99" s="58"/>
      <c r="I99" s="57"/>
      <c r="J99" s="58"/>
      <c r="K99" s="58"/>
      <c r="L99" s="57"/>
      <c r="M99" s="79"/>
      <c r="N99" s="60"/>
      <c r="O99" s="62" t="str">
        <f aca="false">IF(ISBLANK($C99),"",IF(E99=Constants!$B$2, TRUE(), IF(E99=Constants!$B$3, FALSE(), TRUE())))</f>
        <v/>
      </c>
      <c r="P99" s="62" t="str">
        <f aca="false">IF(ISBLANK($C99),"",IF(F99=Constants!$B$16,Constants!$B$9,IF(F99=Constants!$B$17,Constants!$B$10,Constants!$B$8)))</f>
        <v/>
      </c>
      <c r="Q99" s="62" t="str">
        <f aca="false">IF(ISBLANK($C99),"",IF(ISNUMBER(G99),IF(G99&gt;=0,G99,""),""))</f>
        <v/>
      </c>
      <c r="R99" s="62" t="str">
        <f aca="false">IF(ISBLANK($C99),"",IF(H99=Constants!$B$2, TRUE(), IF(H99=Constants!$B$3, FALSE(), TRUE())))</f>
        <v/>
      </c>
      <c r="S99" s="62" t="str">
        <f aca="false">IF(ISBLANK($C99),"",IF(I99=Constants!$B$2, TRUE(), IF(I99=Constants!$B$3, FALSE(), TRUE())))</f>
        <v/>
      </c>
      <c r="T99" s="62" t="str">
        <f aca="false">IF(ISBLANK($C99),"",IF(ISNUMBER(J99),IF(J99&gt;=0,J99,""),""))</f>
        <v/>
      </c>
      <c r="U99" s="62" t="str">
        <f aca="false">IF(ISBLANK($C99),"",IF(K99=Constants!$B$2, TRUE(), IF(K99=Constants!$B$3, FALSE(), TRUE())))</f>
        <v/>
      </c>
      <c r="V99" s="62" t="str">
        <f aca="false">IF(ISBLANK($C99),"",IF(L99=Constants!$B$2, TRUE(), IF(L99=Constants!$B$3, FALSE(), TRUE())))</f>
        <v/>
      </c>
      <c r="W99" s="62" t="str">
        <f aca="false">IF(ISBLANK($C99),"",IF(M99=Constants!$B$2, TRUE(), IF(M99=Constants!$B$3, FALSE(), FALSE())))</f>
        <v/>
      </c>
      <c r="X99" s="62" t="str">
        <f aca="false">IF(ISBLANK($C99),"",AND(Q99&lt;&gt;"",O99))</f>
        <v/>
      </c>
      <c r="Y99" s="62" t="str">
        <f aca="false">IF(ISBLANK($C99),"",AND(T99&lt;&gt;"",O99))</f>
        <v/>
      </c>
      <c r="Z99" s="62" t="str">
        <f aca="false">IF(ISBLANK($C99),"",IF(W99,Constants!$B$4,IF(COUNTA(E99:L99)=0,Constants!$B$5,IF(NOT(O99),Constants!$B$6,IF(AND(NOT(X99),NOT(Y99)),Constants!$B$6,Constants!$B$7)))))</f>
        <v/>
      </c>
      <c r="AA99" s="62" t="str">
        <f aca="false">IF(ISBLANK($C99),"",IF($Z99&lt;&gt;Constants!$B$7,$Z99,Constants!$B$20))</f>
        <v/>
      </c>
      <c r="AB99" s="62" t="str">
        <f aca="false">IF($Z99=Constants!$B$7,IF(X99,Q99,Constants!$B$13),"")</f>
        <v/>
      </c>
      <c r="AC99" s="62" t="str">
        <f aca="false">IF($Z99=Constants!$B$7,IF(X99,P99*IF(R99, 1, Constants!$B$11)*IF(S99, 1, Constants!$B$12),Constants!$B$13),"")</f>
        <v/>
      </c>
      <c r="AD99" s="62" t="str">
        <f aca="false">IF($Z99=Constants!$B$7,AB99*AC99,"")</f>
        <v/>
      </c>
      <c r="AE99" s="62" t="str">
        <f aca="false">IF($Z99=Constants!$B$7,IF(Y99,T99,Constants!$B$13),"")</f>
        <v/>
      </c>
      <c r="AF99" s="62" t="str">
        <f aca="false">IF($Z99=Constants!$B$7,IF(Y99,P99*IF(U99, 1, Constants!$B$11)*IF(V99, 1, Constants!$B$12),Constants!$B$13),"")</f>
        <v/>
      </c>
      <c r="AG99" s="62" t="str">
        <f aca="false">IF($Z99=Constants!$B$7,AE99*AF99,"")</f>
        <v/>
      </c>
      <c r="AH99" s="62" t="str">
        <f aca="false">IF($Z99=Constants!$B$7,IF(AG99&gt;AD99,2,1),"")</f>
        <v/>
      </c>
      <c r="AI99" s="62" t="str">
        <f aca="false">IF($Z99=Constants!$B$7,IF(AH99=1,2,1),"")</f>
        <v/>
      </c>
      <c r="AJ99" s="62" t="str">
        <f aca="false">IF(ISBLANK($C99),"",IF($Z99&lt;&gt;Constants!$B$7,$Z99,IF(AH99=1,AD99,AG99)))</f>
        <v/>
      </c>
      <c r="AK99" s="62" t="str">
        <f aca="false">IF(ISBLANK($C99),"",IF($Z99=Constants!$B$7,IF(ISNUMBER(AJ99),RANK(AJ99,$AJ$8:$AJ$507),Constants!$B$14),$Z99))</f>
        <v/>
      </c>
      <c r="AL99" s="62" t="str">
        <f aca="false">IF(ISBLANK($C99),"",IF($Z99=Constants!$B$7,IF(AI99=1,AD99,AG99),""))</f>
        <v/>
      </c>
      <c r="AM99" s="62" t="str">
        <f aca="false">IF(ISBLANK($C99),"",IF($Z99=Constants!$B$7,RANK(AL99,$AL$8:$AL$507),$Z99))</f>
        <v/>
      </c>
      <c r="AN99" s="62" t="str">
        <f aca="false">IF(ISBLANK($C99),"",IF($Z99=Constants!$B$7,IF(ISNUMBER(AK99),COUNTIFS($AK$8:$AK$507,"&lt;"&amp;$AK99)+COUNTIFS($AK$8:$AK$507,$AK99,$AM$8:$AM$507,"&lt;"&amp;$AM99)+1,Constants!$B$14),$Z99))</f>
        <v/>
      </c>
      <c r="AO99" s="62" t="str">
        <f aca="false">IF(ISBLANK($C99),"",IF($Z99=Constants!$B$7,IF(ISNUMBER(AK99),AK99-AN99,Constants!$B$14),$Z99))</f>
        <v/>
      </c>
      <c r="AP99" s="64"/>
      <c r="AQ99" s="65" t="str">
        <f aca="false">IF(ISBLANK($C99),"",IF($Z99&lt;&gt;Constants!$B$7,"",AH99))</f>
        <v/>
      </c>
      <c r="AR99" s="80" t="str">
        <f aca="false">IF(ISBLANK($C99),"",IF($Z99&lt;&gt;Constants!$B$7,"",IF(AH99=1,AB99,AE99)))</f>
        <v/>
      </c>
      <c r="AS99" s="67" t="str">
        <f aca="false">IF(ISBLANK($C99),"",IF($Z99&lt;&gt;Constants!$B$7,"",IF(AH99=1,AC99,AF99)))</f>
        <v/>
      </c>
      <c r="AT99" s="68" t="str">
        <f aca="false">IF(ISBLANK($C99),"",IF($Z99&lt;&gt;Constants!$B$7,$Z99,AJ99))</f>
        <v/>
      </c>
      <c r="AU99" s="69" t="str">
        <f aca="false">IF(ISBLANK($C99),"",IF($Z99&lt;&gt;Constants!$B$7,$Z99,AA99))</f>
        <v/>
      </c>
      <c r="AV99" s="70" t="str">
        <f aca="false">IF(ISBLANK($C99),"",AO99)</f>
        <v/>
      </c>
      <c r="AW99" s="70" t="str">
        <f aca="false">IF(ISBLANK($C99),"",AN99)</f>
        <v/>
      </c>
      <c r="AX99" s="71" t="str">
        <f aca="false">IF(ISBLANK($C99),"",IFERROR(_xlfn.SWITCH(AW99,Constants!$B$4,COUNTA($C$8:$C$507)+2,Constants!$B$5,COUNTA($C$8:$C$507)+1,Constants!$B$6,COUNTA($C$8:$C$507)),AW99))</f>
        <v/>
      </c>
      <c r="AY99" s="5"/>
      <c r="AZ99" s="72" t="n">
        <f aca="false">IF(OR(ISNUMBER(AW99),AW99=Constants!$B$4,AW99=Constants!$B$6,AW99=Constants!$B$5),1,0)</f>
        <v>0</v>
      </c>
      <c r="BA99" s="72" t="n">
        <v>92</v>
      </c>
      <c r="BB99" s="72" t="str">
        <f aca="false">IF(ISBLANK($C99),"",IF(ISNUMBER(AX99),AX99+ROW($B99)/1000,""))</f>
        <v/>
      </c>
      <c r="BC99" s="72" t="str">
        <f aca="false">IF(ISNUMBER(BB99),RANK(BB99,$BB$8:$BB$507,1),"")</f>
        <v/>
      </c>
      <c r="BD99" s="72" t="str">
        <f aca="false">IF(ISBLANK($C99),"",$B99)</f>
        <v/>
      </c>
      <c r="BE99" s="72" t="str">
        <f aca="false">IF(ISBLANK($C99),"",$C99)</f>
        <v/>
      </c>
      <c r="BF99" s="72" t="str">
        <f aca="false">IF(ISBLANK($C99),"",$D99)</f>
        <v/>
      </c>
      <c r="BG99" s="73" t="str">
        <f aca="false">AU99</f>
        <v/>
      </c>
      <c r="BH99" s="74" t="str">
        <f aca="false">AT99</f>
        <v/>
      </c>
      <c r="BI99" s="72" t="str">
        <f aca="false">IF(ISBLANK($C99),"",AW99)</f>
        <v/>
      </c>
      <c r="BJ99" s="75" t="str">
        <f aca="false">IF($BA99&gt;$AZ$7,"",VLOOKUP($BA99,$BC$8:$BI$507,7,FALSE()))</f>
        <v/>
      </c>
      <c r="BK99" s="76" t="str">
        <f aca="false">IF($BA99&gt;$AZ$7,"",VLOOKUP($BA99,$BC$8:$BI$507,2,FALSE()))</f>
        <v/>
      </c>
      <c r="BL99" s="76" t="str">
        <f aca="false">IF($BA99&gt;$AZ$7,"",VLOOKUP($BA99,$BC$8:$BI$507,3,FALSE()))</f>
        <v/>
      </c>
      <c r="BM99" s="76" t="str">
        <f aca="false">IF($BA99&gt;$AZ$7,"",VLOOKUP($BA99,$BC$8:$BI$507,4,FALSE()))</f>
        <v/>
      </c>
      <c r="BN99" s="76" t="str">
        <f aca="false">IF($BA99&gt;$AZ$7,"",VLOOKUP($BA99,$BC$8:$BI$507,5,FALSE()))</f>
        <v/>
      </c>
      <c r="BO99" s="77" t="str">
        <f aca="false">IF($BA99&gt;$AZ$7,"",VLOOKUP($BA99,$BC$8:$BI$507,6,FALSE()))</f>
        <v/>
      </c>
      <c r="BP99" s="52"/>
    </row>
    <row r="100" customFormat="false" ht="15.75" hidden="false" customHeight="false" outlineLevel="0" collapsed="false">
      <c r="A100" s="5"/>
      <c r="B100" s="118"/>
      <c r="C100" s="54"/>
      <c r="D100" s="55"/>
      <c r="E100" s="79"/>
      <c r="F100" s="57"/>
      <c r="G100" s="58"/>
      <c r="H100" s="58"/>
      <c r="I100" s="57"/>
      <c r="J100" s="58"/>
      <c r="K100" s="58"/>
      <c r="L100" s="57"/>
      <c r="M100" s="79"/>
      <c r="N100" s="60"/>
      <c r="O100" s="62" t="str">
        <f aca="false">IF(ISBLANK($C100),"",IF(E100=Constants!$B$2, TRUE(), IF(E100=Constants!$B$3, FALSE(), TRUE())))</f>
        <v/>
      </c>
      <c r="P100" s="62" t="str">
        <f aca="false">IF(ISBLANK($C100),"",IF(F100=Constants!$B$16,Constants!$B$9,IF(F100=Constants!$B$17,Constants!$B$10,Constants!$B$8)))</f>
        <v/>
      </c>
      <c r="Q100" s="62" t="str">
        <f aca="false">IF(ISBLANK($C100),"",IF(ISNUMBER(G100),IF(G100&gt;=0,G100,""),""))</f>
        <v/>
      </c>
      <c r="R100" s="62" t="str">
        <f aca="false">IF(ISBLANK($C100),"",IF(H100=Constants!$B$2, TRUE(), IF(H100=Constants!$B$3, FALSE(), TRUE())))</f>
        <v/>
      </c>
      <c r="S100" s="62" t="str">
        <f aca="false">IF(ISBLANK($C100),"",IF(I100=Constants!$B$2, TRUE(), IF(I100=Constants!$B$3, FALSE(), TRUE())))</f>
        <v/>
      </c>
      <c r="T100" s="62" t="str">
        <f aca="false">IF(ISBLANK($C100),"",IF(ISNUMBER(J100),IF(J100&gt;=0,J100,""),""))</f>
        <v/>
      </c>
      <c r="U100" s="62" t="str">
        <f aca="false">IF(ISBLANK($C100),"",IF(K100=Constants!$B$2, TRUE(), IF(K100=Constants!$B$3, FALSE(), TRUE())))</f>
        <v/>
      </c>
      <c r="V100" s="62" t="str">
        <f aca="false">IF(ISBLANK($C100),"",IF(L100=Constants!$B$2, TRUE(), IF(L100=Constants!$B$3, FALSE(), TRUE())))</f>
        <v/>
      </c>
      <c r="W100" s="62" t="str">
        <f aca="false">IF(ISBLANK($C100),"",IF(M100=Constants!$B$2, TRUE(), IF(M100=Constants!$B$3, FALSE(), FALSE())))</f>
        <v/>
      </c>
      <c r="X100" s="62" t="str">
        <f aca="false">IF(ISBLANK($C100),"",AND(Q100&lt;&gt;"",O100))</f>
        <v/>
      </c>
      <c r="Y100" s="62" t="str">
        <f aca="false">IF(ISBLANK($C100),"",AND(T100&lt;&gt;"",O100))</f>
        <v/>
      </c>
      <c r="Z100" s="62" t="str">
        <f aca="false">IF(ISBLANK($C100),"",IF(W100,Constants!$B$4,IF(COUNTA(E100:L100)=0,Constants!$B$5,IF(NOT(O100),Constants!$B$6,IF(AND(NOT(X100),NOT(Y100)),Constants!$B$6,Constants!$B$7)))))</f>
        <v/>
      </c>
      <c r="AA100" s="62" t="str">
        <f aca="false">IF(ISBLANK($C100),"",IF($Z100&lt;&gt;Constants!$B$7,$Z100,Constants!$B$20))</f>
        <v/>
      </c>
      <c r="AB100" s="62" t="str">
        <f aca="false">IF($Z100=Constants!$B$7,IF(X100,Q100,Constants!$B$13),"")</f>
        <v/>
      </c>
      <c r="AC100" s="62" t="str">
        <f aca="false">IF($Z100=Constants!$B$7,IF(X100,P100*IF(R100, 1, Constants!$B$11)*IF(S100, 1, Constants!$B$12),Constants!$B$13),"")</f>
        <v/>
      </c>
      <c r="AD100" s="62" t="str">
        <f aca="false">IF($Z100=Constants!$B$7,AB100*AC100,"")</f>
        <v/>
      </c>
      <c r="AE100" s="62" t="str">
        <f aca="false">IF($Z100=Constants!$B$7,IF(Y100,T100,Constants!$B$13),"")</f>
        <v/>
      </c>
      <c r="AF100" s="62" t="str">
        <f aca="false">IF($Z100=Constants!$B$7,IF(Y100,P100*IF(U100, 1, Constants!$B$11)*IF(V100, 1, Constants!$B$12),Constants!$B$13),"")</f>
        <v/>
      </c>
      <c r="AG100" s="62" t="str">
        <f aca="false">IF($Z100=Constants!$B$7,AE100*AF100,"")</f>
        <v/>
      </c>
      <c r="AH100" s="62" t="str">
        <f aca="false">IF($Z100=Constants!$B$7,IF(AG100&gt;AD100,2,1),"")</f>
        <v/>
      </c>
      <c r="AI100" s="62" t="str">
        <f aca="false">IF($Z100=Constants!$B$7,IF(AH100=1,2,1),"")</f>
        <v/>
      </c>
      <c r="AJ100" s="62" t="str">
        <f aca="false">IF(ISBLANK($C100),"",IF($Z100&lt;&gt;Constants!$B$7,$Z100,IF(AH100=1,AD100,AG100)))</f>
        <v/>
      </c>
      <c r="AK100" s="62" t="str">
        <f aca="false">IF(ISBLANK($C100),"",IF($Z100=Constants!$B$7,IF(ISNUMBER(AJ100),RANK(AJ100,$AJ$8:$AJ$507),Constants!$B$14),$Z100))</f>
        <v/>
      </c>
      <c r="AL100" s="62" t="str">
        <f aca="false">IF(ISBLANK($C100),"",IF($Z100=Constants!$B$7,IF(AI100=1,AD100,AG100),""))</f>
        <v/>
      </c>
      <c r="AM100" s="62" t="str">
        <f aca="false">IF(ISBLANK($C100),"",IF($Z100=Constants!$B$7,RANK(AL100,$AL$8:$AL$507),$Z100))</f>
        <v/>
      </c>
      <c r="AN100" s="62" t="str">
        <f aca="false">IF(ISBLANK($C100),"",IF($Z100=Constants!$B$7,IF(ISNUMBER(AK100),COUNTIFS($AK$8:$AK$507,"&lt;"&amp;$AK100)+COUNTIFS($AK$8:$AK$507,$AK100,$AM$8:$AM$507,"&lt;"&amp;$AM100)+1,Constants!$B$14),$Z100))</f>
        <v/>
      </c>
      <c r="AO100" s="62" t="str">
        <f aca="false">IF(ISBLANK($C100),"",IF($Z100=Constants!$B$7,IF(ISNUMBER(AK100),AK100-AN100,Constants!$B$14),$Z100))</f>
        <v/>
      </c>
      <c r="AP100" s="64"/>
      <c r="AQ100" s="65" t="str">
        <f aca="false">IF(ISBLANK($C100),"",IF($Z100&lt;&gt;Constants!$B$7,"",AH100))</f>
        <v/>
      </c>
      <c r="AR100" s="80" t="str">
        <f aca="false">IF(ISBLANK($C100),"",IF($Z100&lt;&gt;Constants!$B$7,"",IF(AH100=1,AB100,AE100)))</f>
        <v/>
      </c>
      <c r="AS100" s="67" t="str">
        <f aca="false">IF(ISBLANK($C100),"",IF($Z100&lt;&gt;Constants!$B$7,"",IF(AH100=1,AC100,AF100)))</f>
        <v/>
      </c>
      <c r="AT100" s="68" t="str">
        <f aca="false">IF(ISBLANK($C100),"",IF($Z100&lt;&gt;Constants!$B$7,$Z100,AJ100))</f>
        <v/>
      </c>
      <c r="AU100" s="69" t="str">
        <f aca="false">IF(ISBLANK($C100),"",IF($Z100&lt;&gt;Constants!$B$7,$Z100,AA100))</f>
        <v/>
      </c>
      <c r="AV100" s="70" t="str">
        <f aca="false">IF(ISBLANK($C100),"",AO100)</f>
        <v/>
      </c>
      <c r="AW100" s="70" t="str">
        <f aca="false">IF(ISBLANK($C100),"",AN100)</f>
        <v/>
      </c>
      <c r="AX100" s="71" t="str">
        <f aca="false">IF(ISBLANK($C100),"",IFERROR(_xlfn.SWITCH(AW100,Constants!$B$4,COUNTA($C$8:$C$507)+2,Constants!$B$5,COUNTA($C$8:$C$507)+1,Constants!$B$6,COUNTA($C$8:$C$507)),AW100))</f>
        <v/>
      </c>
      <c r="AY100" s="5"/>
      <c r="AZ100" s="72" t="n">
        <f aca="false">IF(OR(ISNUMBER(AW100),AW100=Constants!$B$4,AW100=Constants!$B$6,AW100=Constants!$B$5),1,0)</f>
        <v>0</v>
      </c>
      <c r="BA100" s="72" t="n">
        <v>93</v>
      </c>
      <c r="BB100" s="72" t="str">
        <f aca="false">IF(ISBLANK($C100),"",IF(ISNUMBER(AX100),AX100+ROW($B100)/1000,""))</f>
        <v/>
      </c>
      <c r="BC100" s="72" t="str">
        <f aca="false">IF(ISNUMBER(BB100),RANK(BB100,$BB$8:$BB$507,1),"")</f>
        <v/>
      </c>
      <c r="BD100" s="72" t="str">
        <f aca="false">IF(ISBLANK($C100),"",$B100)</f>
        <v/>
      </c>
      <c r="BE100" s="72" t="str">
        <f aca="false">IF(ISBLANK($C100),"",$C100)</f>
        <v/>
      </c>
      <c r="BF100" s="72" t="str">
        <f aca="false">IF(ISBLANK($C100),"",$D100)</f>
        <v/>
      </c>
      <c r="BG100" s="73" t="str">
        <f aca="false">AU100</f>
        <v/>
      </c>
      <c r="BH100" s="74" t="str">
        <f aca="false">AT100</f>
        <v/>
      </c>
      <c r="BI100" s="72" t="str">
        <f aca="false">IF(ISBLANK($C100),"",AW100)</f>
        <v/>
      </c>
      <c r="BJ100" s="75" t="str">
        <f aca="false">IF($BA100&gt;$AZ$7,"",VLOOKUP($BA100,$BC$8:$BI$507,7,FALSE()))</f>
        <v/>
      </c>
      <c r="BK100" s="76" t="str">
        <f aca="false">IF($BA100&gt;$AZ$7,"",VLOOKUP($BA100,$BC$8:$BI$507,2,FALSE()))</f>
        <v/>
      </c>
      <c r="BL100" s="76" t="str">
        <f aca="false">IF($BA100&gt;$AZ$7,"",VLOOKUP($BA100,$BC$8:$BI$507,3,FALSE()))</f>
        <v/>
      </c>
      <c r="BM100" s="76" t="str">
        <f aca="false">IF($BA100&gt;$AZ$7,"",VLOOKUP($BA100,$BC$8:$BI$507,4,FALSE()))</f>
        <v/>
      </c>
      <c r="BN100" s="76" t="str">
        <f aca="false">IF($BA100&gt;$AZ$7,"",VLOOKUP($BA100,$BC$8:$BI$507,5,FALSE()))</f>
        <v/>
      </c>
      <c r="BO100" s="77" t="str">
        <f aca="false">IF($BA100&gt;$AZ$7,"",VLOOKUP($BA100,$BC$8:$BI$507,6,FALSE()))</f>
        <v/>
      </c>
      <c r="BP100" s="52"/>
    </row>
    <row r="101" customFormat="false" ht="15.75" hidden="false" customHeight="false" outlineLevel="0" collapsed="false">
      <c r="A101" s="5"/>
      <c r="B101" s="114"/>
      <c r="C101" s="115"/>
      <c r="D101" s="106"/>
      <c r="E101" s="117"/>
      <c r="F101" s="87"/>
      <c r="G101" s="88"/>
      <c r="H101" s="88"/>
      <c r="I101" s="87"/>
      <c r="J101" s="88"/>
      <c r="K101" s="88"/>
      <c r="L101" s="87"/>
      <c r="M101" s="117"/>
      <c r="N101" s="90"/>
      <c r="O101" s="91" t="str">
        <f aca="false">IF(ISBLANK($C101),"",IF(E101=Constants!$B$2, TRUE(), IF(E101=Constants!$B$3, FALSE(), TRUE())))</f>
        <v/>
      </c>
      <c r="P101" s="91" t="str">
        <f aca="false">IF(ISBLANK($C101),"",IF(F101=Constants!$B$16,Constants!$B$9,IF(F101=Constants!$B$17,Constants!$B$10,Constants!$B$8)))</f>
        <v/>
      </c>
      <c r="Q101" s="91" t="str">
        <f aca="false">IF(ISBLANK($C101),"",IF(ISNUMBER(G101),IF(G101&gt;=0,G101,""),""))</f>
        <v/>
      </c>
      <c r="R101" s="91" t="str">
        <f aca="false">IF(ISBLANK($C101),"",IF(H101=Constants!$B$2, TRUE(), IF(H101=Constants!$B$3, FALSE(), TRUE())))</f>
        <v/>
      </c>
      <c r="S101" s="91" t="str">
        <f aca="false">IF(ISBLANK($C101),"",IF(I101=Constants!$B$2, TRUE(), IF(I101=Constants!$B$3, FALSE(), TRUE())))</f>
        <v/>
      </c>
      <c r="T101" s="91" t="str">
        <f aca="false">IF(ISBLANK($C101),"",IF(ISNUMBER(J101),IF(J101&gt;=0,J101,""),""))</f>
        <v/>
      </c>
      <c r="U101" s="91" t="str">
        <f aca="false">IF(ISBLANK($C101),"",IF(K101=Constants!$B$2, TRUE(), IF(K101=Constants!$B$3, FALSE(), TRUE())))</f>
        <v/>
      </c>
      <c r="V101" s="91" t="str">
        <f aca="false">IF(ISBLANK($C101),"",IF(L101=Constants!$B$2, TRUE(), IF(L101=Constants!$B$3, FALSE(), TRUE())))</f>
        <v/>
      </c>
      <c r="W101" s="91" t="str">
        <f aca="false">IF(ISBLANK($C101),"",IF(M101=Constants!$B$2, TRUE(), IF(M101=Constants!$B$3, FALSE(), FALSE())))</f>
        <v/>
      </c>
      <c r="X101" s="91" t="str">
        <f aca="false">IF(ISBLANK($C101),"",AND(Q101&lt;&gt;"",O101))</f>
        <v/>
      </c>
      <c r="Y101" s="91" t="str">
        <f aca="false">IF(ISBLANK($C101),"",AND(T101&lt;&gt;"",O101))</f>
        <v/>
      </c>
      <c r="Z101" s="91" t="str">
        <f aca="false">IF(ISBLANK($C101),"",IF(W101,Constants!$B$4,IF(COUNTA(E101:L101)=0,Constants!$B$5,IF(NOT(O101),Constants!$B$6,IF(AND(NOT(X101),NOT(Y101)),Constants!$B$6,Constants!$B$7)))))</f>
        <v/>
      </c>
      <c r="AA101" s="91" t="str">
        <f aca="false">IF(ISBLANK($C101),"",IF($Z101&lt;&gt;Constants!$B$7,$Z101,Constants!$B$20))</f>
        <v/>
      </c>
      <c r="AB101" s="91" t="str">
        <f aca="false">IF($Z101=Constants!$B$7,IF(X101,Q101,Constants!$B$13),"")</f>
        <v/>
      </c>
      <c r="AC101" s="91" t="str">
        <f aca="false">IF($Z101=Constants!$B$7,IF(X101,P101*IF(R101, 1, Constants!$B$11)*IF(S101, 1, Constants!$B$12),Constants!$B$13),"")</f>
        <v/>
      </c>
      <c r="AD101" s="91" t="str">
        <f aca="false">IF($Z101=Constants!$B$7,AB101*AC101,"")</f>
        <v/>
      </c>
      <c r="AE101" s="91" t="str">
        <f aca="false">IF($Z101=Constants!$B$7,IF(Y101,T101,Constants!$B$13),"")</f>
        <v/>
      </c>
      <c r="AF101" s="91" t="str">
        <f aca="false">IF($Z101=Constants!$B$7,IF(Y101,P101*IF(U101, 1, Constants!$B$11)*IF(V101, 1, Constants!$B$12),Constants!$B$13),"")</f>
        <v/>
      </c>
      <c r="AG101" s="91" t="str">
        <f aca="false">IF($Z101=Constants!$B$7,AE101*AF101,"")</f>
        <v/>
      </c>
      <c r="AH101" s="91" t="str">
        <f aca="false">IF($Z101=Constants!$B$7,IF(AG101&gt;AD101,2,1),"")</f>
        <v/>
      </c>
      <c r="AI101" s="91" t="str">
        <f aca="false">IF($Z101=Constants!$B$7,IF(AH101=1,2,1),"")</f>
        <v/>
      </c>
      <c r="AJ101" s="91" t="str">
        <f aca="false">IF(ISBLANK($C101),"",IF($Z101&lt;&gt;Constants!$B$7,$Z101,IF(AH101=1,AD101,AG101)))</f>
        <v/>
      </c>
      <c r="AK101" s="91" t="str">
        <f aca="false">IF(ISBLANK($C101),"",IF($Z101=Constants!$B$7,IF(ISNUMBER(AJ101),RANK(AJ101,$AJ$8:$AJ$507),Constants!$B$14),$Z101))</f>
        <v/>
      </c>
      <c r="AL101" s="91" t="str">
        <f aca="false">IF(ISBLANK($C101),"",IF($Z101=Constants!$B$7,IF(AI101=1,AD101,AG101),""))</f>
        <v/>
      </c>
      <c r="AM101" s="91" t="str">
        <f aca="false">IF(ISBLANK($C101),"",IF($Z101=Constants!$B$7,RANK(AL101,$AL$8:$AL$507),$Z101))</f>
        <v/>
      </c>
      <c r="AN101" s="91" t="str">
        <f aca="false">IF(ISBLANK($C101),"",IF($Z101=Constants!$B$7,IF(ISNUMBER(AK101),COUNTIFS($AK$8:$AK$507,"&lt;"&amp;$AK101)+COUNTIFS($AK$8:$AK$507,$AK101,$AM$8:$AM$507,"&lt;"&amp;$AM101)+1,Constants!$B$14),$Z101))</f>
        <v/>
      </c>
      <c r="AO101" s="91" t="str">
        <f aca="false">IF(ISBLANK($C101),"",IF($Z101=Constants!$B$7,IF(ISNUMBER(AK101),AK101-AN101,Constants!$B$14),$Z101))</f>
        <v/>
      </c>
      <c r="AP101" s="92"/>
      <c r="AQ101" s="93" t="str">
        <f aca="false">IF(ISBLANK($C101),"",IF($Z101&lt;&gt;Constants!$B$7,"",AH101))</f>
        <v/>
      </c>
      <c r="AR101" s="94" t="str">
        <f aca="false">IF(ISBLANK($C101),"",IF($Z101&lt;&gt;Constants!$B$7,"",IF(AH101=1,AB101,AE101)))</f>
        <v/>
      </c>
      <c r="AS101" s="95" t="str">
        <f aca="false">IF(ISBLANK($C101),"",IF($Z101&lt;&gt;Constants!$B$7,"",IF(AH101=1,AC101,AF101)))</f>
        <v/>
      </c>
      <c r="AT101" s="96" t="str">
        <f aca="false">IF(ISBLANK($C101),"",IF($Z101&lt;&gt;Constants!$B$7,$Z101,AJ101))</f>
        <v/>
      </c>
      <c r="AU101" s="97" t="str">
        <f aca="false">IF(ISBLANK($C101),"",IF($Z101&lt;&gt;Constants!$B$7,$Z101,AA101))</f>
        <v/>
      </c>
      <c r="AV101" s="98" t="str">
        <f aca="false">IF(ISBLANK($C101),"",AO101)</f>
        <v/>
      </c>
      <c r="AW101" s="98" t="str">
        <f aca="false">IF(ISBLANK($C101),"",AN101)</f>
        <v/>
      </c>
      <c r="AX101" s="99" t="str">
        <f aca="false">IF(ISBLANK($C101),"",IFERROR(_xlfn.SWITCH(AW101,Constants!$B$4,COUNTA($C$8:$C$507)+2,Constants!$B$5,COUNTA($C$8:$C$507)+1,Constants!$B$6,COUNTA($C$8:$C$507)),AW101))</f>
        <v/>
      </c>
      <c r="AY101" s="5"/>
      <c r="AZ101" s="100" t="n">
        <f aca="false">IF(OR(ISNUMBER(AW101),AW101=Constants!$B$4,AW101=Constants!$B$6,AW101=Constants!$B$5),1,0)</f>
        <v>0</v>
      </c>
      <c r="BA101" s="100" t="n">
        <v>94</v>
      </c>
      <c r="BB101" s="100" t="str">
        <f aca="false">IF(ISBLANK($C101),"",IF(ISNUMBER(AX101),AX101+ROW($B101)/1000,""))</f>
        <v/>
      </c>
      <c r="BC101" s="100" t="str">
        <f aca="false">IF(ISNUMBER(BB101),RANK(BB101,$BB$8:$BB$507,1),"")</f>
        <v/>
      </c>
      <c r="BD101" s="100" t="str">
        <f aca="false">IF(ISBLANK($C101),"",$B101)</f>
        <v/>
      </c>
      <c r="BE101" s="100" t="str">
        <f aca="false">IF(ISBLANK($C101),"",$C101)</f>
        <v/>
      </c>
      <c r="BF101" s="100" t="str">
        <f aca="false">IF(ISBLANK($C101),"",$D101)</f>
        <v/>
      </c>
      <c r="BG101" s="101" t="str">
        <f aca="false">AU101</f>
        <v/>
      </c>
      <c r="BH101" s="102" t="str">
        <f aca="false">AT101</f>
        <v/>
      </c>
      <c r="BI101" s="100" t="str">
        <f aca="false">IF(ISBLANK($C101),"",AW101)</f>
        <v/>
      </c>
      <c r="BJ101" s="103" t="str">
        <f aca="false">IF($BA101&gt;$AZ$7,"",VLOOKUP($BA101,$BC$8:$BI$507,7,FALSE()))</f>
        <v/>
      </c>
      <c r="BK101" s="104" t="str">
        <f aca="false">IF($BA101&gt;$AZ$7,"",VLOOKUP($BA101,$BC$8:$BI$507,2,FALSE()))</f>
        <v/>
      </c>
      <c r="BL101" s="104" t="str">
        <f aca="false">IF($BA101&gt;$AZ$7,"",VLOOKUP($BA101,$BC$8:$BI$507,3,FALSE()))</f>
        <v/>
      </c>
      <c r="BM101" s="104" t="str">
        <f aca="false">IF($BA101&gt;$AZ$7,"",VLOOKUP($BA101,$BC$8:$BI$507,4,FALSE()))</f>
        <v/>
      </c>
      <c r="BN101" s="104" t="str">
        <f aca="false">IF($BA101&gt;$AZ$7,"",VLOOKUP($BA101,$BC$8:$BI$507,5,FALSE()))</f>
        <v/>
      </c>
      <c r="BO101" s="105" t="str">
        <f aca="false">IF($BA101&gt;$AZ$7,"",VLOOKUP($BA101,$BC$8:$BI$507,6,FALSE()))</f>
        <v/>
      </c>
      <c r="BP101" s="52"/>
    </row>
    <row r="102" customFormat="false" ht="15.75" hidden="false" customHeight="false" outlineLevel="0" collapsed="false">
      <c r="A102" s="5"/>
      <c r="B102" s="114"/>
      <c r="C102" s="115"/>
      <c r="D102" s="106"/>
      <c r="E102" s="117"/>
      <c r="F102" s="87"/>
      <c r="G102" s="88"/>
      <c r="H102" s="88"/>
      <c r="I102" s="87"/>
      <c r="J102" s="88"/>
      <c r="K102" s="88"/>
      <c r="L102" s="87"/>
      <c r="M102" s="117"/>
      <c r="N102" s="90"/>
      <c r="O102" s="91" t="str">
        <f aca="false">IF(ISBLANK($C102),"",IF(E102=Constants!$B$2, TRUE(), IF(E102=Constants!$B$3, FALSE(), TRUE())))</f>
        <v/>
      </c>
      <c r="P102" s="91" t="str">
        <f aca="false">IF(ISBLANK($C102),"",IF(F102=Constants!$B$16,Constants!$B$9,IF(F102=Constants!$B$17,Constants!$B$10,Constants!$B$8)))</f>
        <v/>
      </c>
      <c r="Q102" s="91" t="str">
        <f aca="false">IF(ISBLANK($C102),"",IF(ISNUMBER(G102),IF(G102&gt;=0,G102,""),""))</f>
        <v/>
      </c>
      <c r="R102" s="91" t="str">
        <f aca="false">IF(ISBLANK($C102),"",IF(H102=Constants!$B$2, TRUE(), IF(H102=Constants!$B$3, FALSE(), TRUE())))</f>
        <v/>
      </c>
      <c r="S102" s="91" t="str">
        <f aca="false">IF(ISBLANK($C102),"",IF(I102=Constants!$B$2, TRUE(), IF(I102=Constants!$B$3, FALSE(), TRUE())))</f>
        <v/>
      </c>
      <c r="T102" s="91" t="str">
        <f aca="false">IF(ISBLANK($C102),"",IF(ISNUMBER(J102),IF(J102&gt;=0,J102,""),""))</f>
        <v/>
      </c>
      <c r="U102" s="91" t="str">
        <f aca="false">IF(ISBLANK($C102),"",IF(K102=Constants!$B$2, TRUE(), IF(K102=Constants!$B$3, FALSE(), TRUE())))</f>
        <v/>
      </c>
      <c r="V102" s="91" t="str">
        <f aca="false">IF(ISBLANK($C102),"",IF(L102=Constants!$B$2, TRUE(), IF(L102=Constants!$B$3, FALSE(), TRUE())))</f>
        <v/>
      </c>
      <c r="W102" s="91" t="str">
        <f aca="false">IF(ISBLANK($C102),"",IF(M102=Constants!$B$2, TRUE(), IF(M102=Constants!$B$3, FALSE(), FALSE())))</f>
        <v/>
      </c>
      <c r="X102" s="91" t="str">
        <f aca="false">IF(ISBLANK($C102),"",AND(Q102&lt;&gt;"",O102))</f>
        <v/>
      </c>
      <c r="Y102" s="91" t="str">
        <f aca="false">IF(ISBLANK($C102),"",AND(T102&lt;&gt;"",O102))</f>
        <v/>
      </c>
      <c r="Z102" s="91" t="str">
        <f aca="false">IF(ISBLANK($C102),"",IF(W102,Constants!$B$4,IF(COUNTA(E102:L102)=0,Constants!$B$5,IF(NOT(O102),Constants!$B$6,IF(AND(NOT(X102),NOT(Y102)),Constants!$B$6,Constants!$B$7)))))</f>
        <v/>
      </c>
      <c r="AA102" s="91" t="str">
        <f aca="false">IF(ISBLANK($C102),"",IF($Z102&lt;&gt;Constants!$B$7,$Z102,Constants!$B$20))</f>
        <v/>
      </c>
      <c r="AB102" s="91" t="str">
        <f aca="false">IF($Z102=Constants!$B$7,IF(X102,Q102,Constants!$B$13),"")</f>
        <v/>
      </c>
      <c r="AC102" s="91" t="str">
        <f aca="false">IF($Z102=Constants!$B$7,IF(X102,P102*IF(R102, 1, Constants!$B$11)*IF(S102, 1, Constants!$B$12),Constants!$B$13),"")</f>
        <v/>
      </c>
      <c r="AD102" s="91" t="str">
        <f aca="false">IF($Z102=Constants!$B$7,AB102*AC102,"")</f>
        <v/>
      </c>
      <c r="AE102" s="91" t="str">
        <f aca="false">IF($Z102=Constants!$B$7,IF(Y102,T102,Constants!$B$13),"")</f>
        <v/>
      </c>
      <c r="AF102" s="91" t="str">
        <f aca="false">IF($Z102=Constants!$B$7,IF(Y102,P102*IF(U102, 1, Constants!$B$11)*IF(V102, 1, Constants!$B$12),Constants!$B$13),"")</f>
        <v/>
      </c>
      <c r="AG102" s="91" t="str">
        <f aca="false">IF($Z102=Constants!$B$7,AE102*AF102,"")</f>
        <v/>
      </c>
      <c r="AH102" s="91" t="str">
        <f aca="false">IF($Z102=Constants!$B$7,IF(AG102&gt;AD102,2,1),"")</f>
        <v/>
      </c>
      <c r="AI102" s="91" t="str">
        <f aca="false">IF($Z102=Constants!$B$7,IF(AH102=1,2,1),"")</f>
        <v/>
      </c>
      <c r="AJ102" s="91" t="str">
        <f aca="false">IF(ISBLANK($C102),"",IF($Z102&lt;&gt;Constants!$B$7,$Z102,IF(AH102=1,AD102,AG102)))</f>
        <v/>
      </c>
      <c r="AK102" s="91" t="str">
        <f aca="false">IF(ISBLANK($C102),"",IF($Z102=Constants!$B$7,IF(ISNUMBER(AJ102),RANK(AJ102,$AJ$8:$AJ$507),Constants!$B$14),$Z102))</f>
        <v/>
      </c>
      <c r="AL102" s="91" t="str">
        <f aca="false">IF(ISBLANK($C102),"",IF($Z102=Constants!$B$7,IF(AI102=1,AD102,AG102),""))</f>
        <v/>
      </c>
      <c r="AM102" s="91" t="str">
        <f aca="false">IF(ISBLANK($C102),"",IF($Z102=Constants!$B$7,RANK(AL102,$AL$8:$AL$507),$Z102))</f>
        <v/>
      </c>
      <c r="AN102" s="91" t="str">
        <f aca="false">IF(ISBLANK($C102),"",IF($Z102=Constants!$B$7,IF(ISNUMBER(AK102),COUNTIFS($AK$8:$AK$507,"&lt;"&amp;$AK102)+COUNTIFS($AK$8:$AK$507,$AK102,$AM$8:$AM$507,"&lt;"&amp;$AM102)+1,Constants!$B$14),$Z102))</f>
        <v/>
      </c>
      <c r="AO102" s="91" t="str">
        <f aca="false">IF(ISBLANK($C102),"",IF($Z102=Constants!$B$7,IF(ISNUMBER(AK102),AK102-AN102,Constants!$B$14),$Z102))</f>
        <v/>
      </c>
      <c r="AP102" s="92"/>
      <c r="AQ102" s="93" t="str">
        <f aca="false">IF(ISBLANK($C102),"",IF($Z102&lt;&gt;Constants!$B$7,"",AH102))</f>
        <v/>
      </c>
      <c r="AR102" s="94" t="str">
        <f aca="false">IF(ISBLANK($C102),"",IF($Z102&lt;&gt;Constants!$B$7,"",IF(AH102=1,AB102,AE102)))</f>
        <v/>
      </c>
      <c r="AS102" s="95" t="str">
        <f aca="false">IF(ISBLANK($C102),"",IF($Z102&lt;&gt;Constants!$B$7,"",IF(AH102=1,AC102,AF102)))</f>
        <v/>
      </c>
      <c r="AT102" s="96" t="str">
        <f aca="false">IF(ISBLANK($C102),"",IF($Z102&lt;&gt;Constants!$B$7,$Z102,AJ102))</f>
        <v/>
      </c>
      <c r="AU102" s="97" t="str">
        <f aca="false">IF(ISBLANK($C102),"",IF($Z102&lt;&gt;Constants!$B$7,$Z102,AA102))</f>
        <v/>
      </c>
      <c r="AV102" s="98" t="str">
        <f aca="false">IF(ISBLANK($C102),"",AO102)</f>
        <v/>
      </c>
      <c r="AW102" s="98" t="str">
        <f aca="false">IF(ISBLANK($C102),"",AN102)</f>
        <v/>
      </c>
      <c r="AX102" s="99" t="str">
        <f aca="false">IF(ISBLANK($C102),"",IFERROR(_xlfn.SWITCH(AW102,Constants!$B$4,COUNTA($C$8:$C$507)+2,Constants!$B$5,COUNTA($C$8:$C$507)+1,Constants!$B$6,COUNTA($C$8:$C$507)),AW102))</f>
        <v/>
      </c>
      <c r="AY102" s="5"/>
      <c r="AZ102" s="100" t="n">
        <f aca="false">IF(OR(ISNUMBER(AW102),AW102=Constants!$B$4,AW102=Constants!$B$6,AW102=Constants!$B$5),1,0)</f>
        <v>0</v>
      </c>
      <c r="BA102" s="100" t="n">
        <v>95</v>
      </c>
      <c r="BB102" s="100" t="str">
        <f aca="false">IF(ISBLANK($C102),"",IF(ISNUMBER(AX102),AX102+ROW($B102)/1000,""))</f>
        <v/>
      </c>
      <c r="BC102" s="100" t="str">
        <f aca="false">IF(ISNUMBER(BB102),RANK(BB102,$BB$8:$BB$507,1),"")</f>
        <v/>
      </c>
      <c r="BD102" s="100" t="str">
        <f aca="false">IF(ISBLANK($C102),"",$B102)</f>
        <v/>
      </c>
      <c r="BE102" s="100" t="str">
        <f aca="false">IF(ISBLANK($C102),"",$C102)</f>
        <v/>
      </c>
      <c r="BF102" s="100" t="str">
        <f aca="false">IF(ISBLANK($C102),"",$D102)</f>
        <v/>
      </c>
      <c r="BG102" s="101" t="str">
        <f aca="false">AU102</f>
        <v/>
      </c>
      <c r="BH102" s="102" t="str">
        <f aca="false">AT102</f>
        <v/>
      </c>
      <c r="BI102" s="100" t="str">
        <f aca="false">IF(ISBLANK($C102),"",AW102)</f>
        <v/>
      </c>
      <c r="BJ102" s="103" t="str">
        <f aca="false">IF($BA102&gt;$AZ$7,"",VLOOKUP($BA102,$BC$8:$BI$507,7,FALSE()))</f>
        <v/>
      </c>
      <c r="BK102" s="104" t="str">
        <f aca="false">IF($BA102&gt;$AZ$7,"",VLOOKUP($BA102,$BC$8:$BI$507,2,FALSE()))</f>
        <v/>
      </c>
      <c r="BL102" s="104" t="str">
        <f aca="false">IF($BA102&gt;$AZ$7,"",VLOOKUP($BA102,$BC$8:$BI$507,3,FALSE()))</f>
        <v/>
      </c>
      <c r="BM102" s="104" t="str">
        <f aca="false">IF($BA102&gt;$AZ$7,"",VLOOKUP($BA102,$BC$8:$BI$507,4,FALSE()))</f>
        <v/>
      </c>
      <c r="BN102" s="104" t="str">
        <f aca="false">IF($BA102&gt;$AZ$7,"",VLOOKUP($BA102,$BC$8:$BI$507,5,FALSE()))</f>
        <v/>
      </c>
      <c r="BO102" s="105" t="str">
        <f aca="false">IF($BA102&gt;$AZ$7,"",VLOOKUP($BA102,$BC$8:$BI$507,6,FALSE()))</f>
        <v/>
      </c>
      <c r="BP102" s="52"/>
    </row>
    <row r="103" customFormat="false" ht="15.75" hidden="false" customHeight="false" outlineLevel="0" collapsed="false">
      <c r="A103" s="5"/>
      <c r="B103" s="114"/>
      <c r="C103" s="115"/>
      <c r="D103" s="106"/>
      <c r="E103" s="117"/>
      <c r="F103" s="87"/>
      <c r="G103" s="88"/>
      <c r="H103" s="88"/>
      <c r="I103" s="87"/>
      <c r="J103" s="88"/>
      <c r="K103" s="88"/>
      <c r="L103" s="87"/>
      <c r="M103" s="117"/>
      <c r="N103" s="90"/>
      <c r="O103" s="91" t="str">
        <f aca="false">IF(ISBLANK($C103),"",IF(E103=Constants!$B$2, TRUE(), IF(E103=Constants!$B$3, FALSE(), TRUE())))</f>
        <v/>
      </c>
      <c r="P103" s="91" t="str">
        <f aca="false">IF(ISBLANK($C103),"",IF(F103=Constants!$B$16,Constants!$B$9,IF(F103=Constants!$B$17,Constants!$B$10,Constants!$B$8)))</f>
        <v/>
      </c>
      <c r="Q103" s="91" t="str">
        <f aca="false">IF(ISBLANK($C103),"",IF(ISNUMBER(G103),IF(G103&gt;=0,G103,""),""))</f>
        <v/>
      </c>
      <c r="R103" s="91" t="str">
        <f aca="false">IF(ISBLANK($C103),"",IF(H103=Constants!$B$2, TRUE(), IF(H103=Constants!$B$3, FALSE(), TRUE())))</f>
        <v/>
      </c>
      <c r="S103" s="91" t="str">
        <f aca="false">IF(ISBLANK($C103),"",IF(I103=Constants!$B$2, TRUE(), IF(I103=Constants!$B$3, FALSE(), TRUE())))</f>
        <v/>
      </c>
      <c r="T103" s="91" t="str">
        <f aca="false">IF(ISBLANK($C103),"",IF(ISNUMBER(J103),IF(J103&gt;=0,J103,""),""))</f>
        <v/>
      </c>
      <c r="U103" s="91" t="str">
        <f aca="false">IF(ISBLANK($C103),"",IF(K103=Constants!$B$2, TRUE(), IF(K103=Constants!$B$3, FALSE(), TRUE())))</f>
        <v/>
      </c>
      <c r="V103" s="91" t="str">
        <f aca="false">IF(ISBLANK($C103),"",IF(L103=Constants!$B$2, TRUE(), IF(L103=Constants!$B$3, FALSE(), TRUE())))</f>
        <v/>
      </c>
      <c r="W103" s="91" t="str">
        <f aca="false">IF(ISBLANK($C103),"",IF(M103=Constants!$B$2, TRUE(), IF(M103=Constants!$B$3, FALSE(), FALSE())))</f>
        <v/>
      </c>
      <c r="X103" s="91" t="str">
        <f aca="false">IF(ISBLANK($C103),"",AND(Q103&lt;&gt;"",O103))</f>
        <v/>
      </c>
      <c r="Y103" s="91" t="str">
        <f aca="false">IF(ISBLANK($C103),"",AND(T103&lt;&gt;"",O103))</f>
        <v/>
      </c>
      <c r="Z103" s="91" t="str">
        <f aca="false">IF(ISBLANK($C103),"",IF(W103,Constants!$B$4,IF(COUNTA(E103:L103)=0,Constants!$B$5,IF(NOT(O103),Constants!$B$6,IF(AND(NOT(X103),NOT(Y103)),Constants!$B$6,Constants!$B$7)))))</f>
        <v/>
      </c>
      <c r="AA103" s="91" t="str">
        <f aca="false">IF(ISBLANK($C103),"",IF($Z103&lt;&gt;Constants!$B$7,$Z103,Constants!$B$20))</f>
        <v/>
      </c>
      <c r="AB103" s="91" t="str">
        <f aca="false">IF($Z103=Constants!$B$7,IF(X103,Q103,Constants!$B$13),"")</f>
        <v/>
      </c>
      <c r="AC103" s="91" t="str">
        <f aca="false">IF($Z103=Constants!$B$7,IF(X103,P103*IF(R103, 1, Constants!$B$11)*IF(S103, 1, Constants!$B$12),Constants!$B$13),"")</f>
        <v/>
      </c>
      <c r="AD103" s="91" t="str">
        <f aca="false">IF($Z103=Constants!$B$7,AB103*AC103,"")</f>
        <v/>
      </c>
      <c r="AE103" s="91" t="str">
        <f aca="false">IF($Z103=Constants!$B$7,IF(Y103,T103,Constants!$B$13),"")</f>
        <v/>
      </c>
      <c r="AF103" s="91" t="str">
        <f aca="false">IF($Z103=Constants!$B$7,IF(Y103,P103*IF(U103, 1, Constants!$B$11)*IF(V103, 1, Constants!$B$12),Constants!$B$13),"")</f>
        <v/>
      </c>
      <c r="AG103" s="91" t="str">
        <f aca="false">IF($Z103=Constants!$B$7,AE103*AF103,"")</f>
        <v/>
      </c>
      <c r="AH103" s="91" t="str">
        <f aca="false">IF($Z103=Constants!$B$7,IF(AG103&gt;AD103,2,1),"")</f>
        <v/>
      </c>
      <c r="AI103" s="91" t="str">
        <f aca="false">IF($Z103=Constants!$B$7,IF(AH103=1,2,1),"")</f>
        <v/>
      </c>
      <c r="AJ103" s="91" t="str">
        <f aca="false">IF(ISBLANK($C103),"",IF($Z103&lt;&gt;Constants!$B$7,$Z103,IF(AH103=1,AD103,AG103)))</f>
        <v/>
      </c>
      <c r="AK103" s="91" t="str">
        <f aca="false">IF(ISBLANK($C103),"",IF($Z103=Constants!$B$7,IF(ISNUMBER(AJ103),RANK(AJ103,$AJ$8:$AJ$507),Constants!$B$14),$Z103))</f>
        <v/>
      </c>
      <c r="AL103" s="91" t="str">
        <f aca="false">IF(ISBLANK($C103),"",IF($Z103=Constants!$B$7,IF(AI103=1,AD103,AG103),""))</f>
        <v/>
      </c>
      <c r="AM103" s="91" t="str">
        <f aca="false">IF(ISBLANK($C103),"",IF($Z103=Constants!$B$7,RANK(AL103,$AL$8:$AL$507),$Z103))</f>
        <v/>
      </c>
      <c r="AN103" s="91" t="str">
        <f aca="false">IF(ISBLANK($C103),"",IF($Z103=Constants!$B$7,IF(ISNUMBER(AK103),COUNTIFS($AK$8:$AK$507,"&lt;"&amp;$AK103)+COUNTIFS($AK$8:$AK$507,$AK103,$AM$8:$AM$507,"&lt;"&amp;$AM103)+1,Constants!$B$14),$Z103))</f>
        <v/>
      </c>
      <c r="AO103" s="91" t="str">
        <f aca="false">IF(ISBLANK($C103),"",IF($Z103=Constants!$B$7,IF(ISNUMBER(AK103),AK103-AN103,Constants!$B$14),$Z103))</f>
        <v/>
      </c>
      <c r="AP103" s="92"/>
      <c r="AQ103" s="93" t="str">
        <f aca="false">IF(ISBLANK($C103),"",IF($Z103&lt;&gt;Constants!$B$7,"",AH103))</f>
        <v/>
      </c>
      <c r="AR103" s="94" t="str">
        <f aca="false">IF(ISBLANK($C103),"",IF($Z103&lt;&gt;Constants!$B$7,"",IF(AH103=1,AB103,AE103)))</f>
        <v/>
      </c>
      <c r="AS103" s="95" t="str">
        <f aca="false">IF(ISBLANK($C103),"",IF($Z103&lt;&gt;Constants!$B$7,"",IF(AH103=1,AC103,AF103)))</f>
        <v/>
      </c>
      <c r="AT103" s="96" t="str">
        <f aca="false">IF(ISBLANK($C103),"",IF($Z103&lt;&gt;Constants!$B$7,$Z103,AJ103))</f>
        <v/>
      </c>
      <c r="AU103" s="97" t="str">
        <f aca="false">IF(ISBLANK($C103),"",IF($Z103&lt;&gt;Constants!$B$7,$Z103,AA103))</f>
        <v/>
      </c>
      <c r="AV103" s="98" t="str">
        <f aca="false">IF(ISBLANK($C103),"",AO103)</f>
        <v/>
      </c>
      <c r="AW103" s="98" t="str">
        <f aca="false">IF(ISBLANK($C103),"",AN103)</f>
        <v/>
      </c>
      <c r="AX103" s="99" t="str">
        <f aca="false">IF(ISBLANK($C103),"",IFERROR(_xlfn.SWITCH(AW103,Constants!$B$4,COUNTA($C$8:$C$507)+2,Constants!$B$5,COUNTA($C$8:$C$507)+1,Constants!$B$6,COUNTA($C$8:$C$507)),AW103))</f>
        <v/>
      </c>
      <c r="AY103" s="5"/>
      <c r="AZ103" s="100" t="n">
        <f aca="false">IF(OR(ISNUMBER(AW103),AW103=Constants!$B$4,AW103=Constants!$B$6,AW103=Constants!$B$5),1,0)</f>
        <v>0</v>
      </c>
      <c r="BA103" s="100" t="n">
        <v>96</v>
      </c>
      <c r="BB103" s="100" t="str">
        <f aca="false">IF(ISBLANK($C103),"",IF(ISNUMBER(AX103),AX103+ROW($B103)/1000,""))</f>
        <v/>
      </c>
      <c r="BC103" s="100" t="str">
        <f aca="false">IF(ISNUMBER(BB103),RANK(BB103,$BB$8:$BB$507,1),"")</f>
        <v/>
      </c>
      <c r="BD103" s="100" t="str">
        <f aca="false">IF(ISBLANK($C103),"",$B103)</f>
        <v/>
      </c>
      <c r="BE103" s="100" t="str">
        <f aca="false">IF(ISBLANK($C103),"",$C103)</f>
        <v/>
      </c>
      <c r="BF103" s="100" t="str">
        <f aca="false">IF(ISBLANK($C103),"",$D103)</f>
        <v/>
      </c>
      <c r="BG103" s="101" t="str">
        <f aca="false">AU103</f>
        <v/>
      </c>
      <c r="BH103" s="102" t="str">
        <f aca="false">AT103</f>
        <v/>
      </c>
      <c r="BI103" s="100" t="str">
        <f aca="false">IF(ISBLANK($C103),"",AW103)</f>
        <v/>
      </c>
      <c r="BJ103" s="103" t="str">
        <f aca="false">IF($BA103&gt;$AZ$7,"",VLOOKUP($BA103,$BC$8:$BI$507,7,FALSE()))</f>
        <v/>
      </c>
      <c r="BK103" s="104" t="str">
        <f aca="false">IF($BA103&gt;$AZ$7,"",VLOOKUP($BA103,$BC$8:$BI$507,2,FALSE()))</f>
        <v/>
      </c>
      <c r="BL103" s="104" t="str">
        <f aca="false">IF($BA103&gt;$AZ$7,"",VLOOKUP($BA103,$BC$8:$BI$507,3,FALSE()))</f>
        <v/>
      </c>
      <c r="BM103" s="104" t="str">
        <f aca="false">IF($BA103&gt;$AZ$7,"",VLOOKUP($BA103,$BC$8:$BI$507,4,FALSE()))</f>
        <v/>
      </c>
      <c r="BN103" s="104" t="str">
        <f aca="false">IF($BA103&gt;$AZ$7,"",VLOOKUP($BA103,$BC$8:$BI$507,5,FALSE()))</f>
        <v/>
      </c>
      <c r="BO103" s="105" t="str">
        <f aca="false">IF($BA103&gt;$AZ$7,"",VLOOKUP($BA103,$BC$8:$BI$507,6,FALSE()))</f>
        <v/>
      </c>
      <c r="BP103" s="52"/>
    </row>
    <row r="104" customFormat="false" ht="15.75" hidden="false" customHeight="false" outlineLevel="0" collapsed="false">
      <c r="A104" s="5"/>
      <c r="B104" s="118"/>
      <c r="C104" s="54"/>
      <c r="D104" s="55"/>
      <c r="E104" s="79"/>
      <c r="F104" s="57"/>
      <c r="G104" s="58"/>
      <c r="H104" s="58"/>
      <c r="I104" s="57"/>
      <c r="J104" s="58"/>
      <c r="K104" s="58"/>
      <c r="L104" s="57"/>
      <c r="M104" s="79"/>
      <c r="N104" s="60"/>
      <c r="O104" s="62" t="str">
        <f aca="false">IF(ISBLANK($C104),"",IF(E104=Constants!$B$2, TRUE(), IF(E104=Constants!$B$3, FALSE(), TRUE())))</f>
        <v/>
      </c>
      <c r="P104" s="62" t="str">
        <f aca="false">IF(ISBLANK($C104),"",IF(F104=Constants!$B$16,Constants!$B$9,IF(F104=Constants!$B$17,Constants!$B$10,Constants!$B$8)))</f>
        <v/>
      </c>
      <c r="Q104" s="62" t="str">
        <f aca="false">IF(ISBLANK($C104),"",IF(ISNUMBER(G104),IF(G104&gt;=0,G104,""),""))</f>
        <v/>
      </c>
      <c r="R104" s="62" t="str">
        <f aca="false">IF(ISBLANK($C104),"",IF(H104=Constants!$B$2, TRUE(), IF(H104=Constants!$B$3, FALSE(), TRUE())))</f>
        <v/>
      </c>
      <c r="S104" s="62" t="str">
        <f aca="false">IF(ISBLANK($C104),"",IF(I104=Constants!$B$2, TRUE(), IF(I104=Constants!$B$3, FALSE(), TRUE())))</f>
        <v/>
      </c>
      <c r="T104" s="62" t="str">
        <f aca="false">IF(ISBLANK($C104),"",IF(ISNUMBER(J104),IF(J104&gt;=0,J104,""),""))</f>
        <v/>
      </c>
      <c r="U104" s="62" t="str">
        <f aca="false">IF(ISBLANK($C104),"",IF(K104=Constants!$B$2, TRUE(), IF(K104=Constants!$B$3, FALSE(), TRUE())))</f>
        <v/>
      </c>
      <c r="V104" s="62" t="str">
        <f aca="false">IF(ISBLANK($C104),"",IF(L104=Constants!$B$2, TRUE(), IF(L104=Constants!$B$3, FALSE(), TRUE())))</f>
        <v/>
      </c>
      <c r="W104" s="62" t="str">
        <f aca="false">IF(ISBLANK($C104),"",IF(M104=Constants!$B$2, TRUE(), IF(M104=Constants!$B$3, FALSE(), FALSE())))</f>
        <v/>
      </c>
      <c r="X104" s="62" t="str">
        <f aca="false">IF(ISBLANK($C104),"",AND(Q104&lt;&gt;"",O104))</f>
        <v/>
      </c>
      <c r="Y104" s="62" t="str">
        <f aca="false">IF(ISBLANK($C104),"",AND(T104&lt;&gt;"",O104))</f>
        <v/>
      </c>
      <c r="Z104" s="62" t="str">
        <f aca="false">IF(ISBLANK($C104),"",IF(W104,Constants!$B$4,IF(COUNTA(E104:L104)=0,Constants!$B$5,IF(NOT(O104),Constants!$B$6,IF(AND(NOT(X104),NOT(Y104)),Constants!$B$6,Constants!$B$7)))))</f>
        <v/>
      </c>
      <c r="AA104" s="62" t="str">
        <f aca="false">IF(ISBLANK($C104),"",IF($Z104&lt;&gt;Constants!$B$7,$Z104,Constants!$B$20))</f>
        <v/>
      </c>
      <c r="AB104" s="62" t="str">
        <f aca="false">IF($Z104=Constants!$B$7,IF(X104,Q104,Constants!$B$13),"")</f>
        <v/>
      </c>
      <c r="AC104" s="62" t="str">
        <f aca="false">IF($Z104=Constants!$B$7,IF(X104,P104*IF(R104, 1, Constants!$B$11)*IF(S104, 1, Constants!$B$12),Constants!$B$13),"")</f>
        <v/>
      </c>
      <c r="AD104" s="62" t="str">
        <f aca="false">IF($Z104=Constants!$B$7,AB104*AC104,"")</f>
        <v/>
      </c>
      <c r="AE104" s="62" t="str">
        <f aca="false">IF($Z104=Constants!$B$7,IF(Y104,T104,Constants!$B$13),"")</f>
        <v/>
      </c>
      <c r="AF104" s="62" t="str">
        <f aca="false">IF($Z104=Constants!$B$7,IF(Y104,P104*IF(U104, 1, Constants!$B$11)*IF(V104, 1, Constants!$B$12),Constants!$B$13),"")</f>
        <v/>
      </c>
      <c r="AG104" s="62" t="str">
        <f aca="false">IF($Z104=Constants!$B$7,AE104*AF104,"")</f>
        <v/>
      </c>
      <c r="AH104" s="62" t="str">
        <f aca="false">IF($Z104=Constants!$B$7,IF(AG104&gt;AD104,2,1),"")</f>
        <v/>
      </c>
      <c r="AI104" s="62" t="str">
        <f aca="false">IF($Z104=Constants!$B$7,IF(AH104=1,2,1),"")</f>
        <v/>
      </c>
      <c r="AJ104" s="62" t="str">
        <f aca="false">IF(ISBLANK($C104),"",IF($Z104&lt;&gt;Constants!$B$7,$Z104,IF(AH104=1,AD104,AG104)))</f>
        <v/>
      </c>
      <c r="AK104" s="62" t="str">
        <f aca="false">IF(ISBLANK($C104),"",IF($Z104=Constants!$B$7,IF(ISNUMBER(AJ104),RANK(AJ104,$AJ$8:$AJ$507),Constants!$B$14),$Z104))</f>
        <v/>
      </c>
      <c r="AL104" s="62" t="str">
        <f aca="false">IF(ISBLANK($C104),"",IF($Z104=Constants!$B$7,IF(AI104=1,AD104,AG104),""))</f>
        <v/>
      </c>
      <c r="AM104" s="62" t="str">
        <f aca="false">IF(ISBLANK($C104),"",IF($Z104=Constants!$B$7,RANK(AL104,$AL$8:$AL$507),$Z104))</f>
        <v/>
      </c>
      <c r="AN104" s="62" t="str">
        <f aca="false">IF(ISBLANK($C104),"",IF($Z104=Constants!$B$7,IF(ISNUMBER(AK104),COUNTIFS($AK$8:$AK$507,"&lt;"&amp;$AK104)+COUNTIFS($AK$8:$AK$507,$AK104,$AM$8:$AM$507,"&lt;"&amp;$AM104)+1,Constants!$B$14),$Z104))</f>
        <v/>
      </c>
      <c r="AO104" s="62" t="str">
        <f aca="false">IF(ISBLANK($C104),"",IF($Z104=Constants!$B$7,IF(ISNUMBER(AK104),AK104-AN104,Constants!$B$14),$Z104))</f>
        <v/>
      </c>
      <c r="AP104" s="64"/>
      <c r="AQ104" s="65" t="str">
        <f aca="false">IF(ISBLANK($C104),"",IF($Z104&lt;&gt;Constants!$B$7,"",AH104))</f>
        <v/>
      </c>
      <c r="AR104" s="80" t="str">
        <f aca="false">IF(ISBLANK($C104),"",IF($Z104&lt;&gt;Constants!$B$7,"",IF(AH104=1,AB104,AE104)))</f>
        <v/>
      </c>
      <c r="AS104" s="67" t="str">
        <f aca="false">IF(ISBLANK($C104),"",IF($Z104&lt;&gt;Constants!$B$7,"",IF(AH104=1,AC104,AF104)))</f>
        <v/>
      </c>
      <c r="AT104" s="68" t="str">
        <f aca="false">IF(ISBLANK($C104),"",IF($Z104&lt;&gt;Constants!$B$7,$Z104,AJ104))</f>
        <v/>
      </c>
      <c r="AU104" s="69" t="str">
        <f aca="false">IF(ISBLANK($C104),"",IF($Z104&lt;&gt;Constants!$B$7,$Z104,AA104))</f>
        <v/>
      </c>
      <c r="AV104" s="70" t="str">
        <f aca="false">IF(ISBLANK($C104),"",AO104)</f>
        <v/>
      </c>
      <c r="AW104" s="70" t="str">
        <f aca="false">IF(ISBLANK($C104),"",AN104)</f>
        <v/>
      </c>
      <c r="AX104" s="71" t="str">
        <f aca="false">IF(ISBLANK($C104),"",IFERROR(_xlfn.SWITCH(AW104,Constants!$B$4,COUNTA($C$8:$C$507)+2,Constants!$B$5,COUNTA($C$8:$C$507)+1,Constants!$B$6,COUNTA($C$8:$C$507)),AW104))</f>
        <v/>
      </c>
      <c r="AY104" s="5"/>
      <c r="AZ104" s="72" t="n">
        <f aca="false">IF(OR(ISNUMBER(AW104),AW104=Constants!$B$4,AW104=Constants!$B$6,AW104=Constants!$B$5),1,0)</f>
        <v>0</v>
      </c>
      <c r="BA104" s="72" t="n">
        <v>97</v>
      </c>
      <c r="BB104" s="72" t="str">
        <f aca="false">IF(ISBLANK($C104),"",IF(ISNUMBER(AX104),AX104+ROW($B104)/1000,""))</f>
        <v/>
      </c>
      <c r="BC104" s="72" t="str">
        <f aca="false">IF(ISNUMBER(BB104),RANK(BB104,$BB$8:$BB$507,1),"")</f>
        <v/>
      </c>
      <c r="BD104" s="72" t="str">
        <f aca="false">IF(ISBLANK($C104),"",$B104)</f>
        <v/>
      </c>
      <c r="BE104" s="72" t="str">
        <f aca="false">IF(ISBLANK($C104),"",$C104)</f>
        <v/>
      </c>
      <c r="BF104" s="72" t="str">
        <f aca="false">IF(ISBLANK($C104),"",$D104)</f>
        <v/>
      </c>
      <c r="BG104" s="73" t="str">
        <f aca="false">AU104</f>
        <v/>
      </c>
      <c r="BH104" s="74" t="str">
        <f aca="false">AT104</f>
        <v/>
      </c>
      <c r="BI104" s="72" t="str">
        <f aca="false">IF(ISBLANK($C104),"",AW104)</f>
        <v/>
      </c>
      <c r="BJ104" s="75" t="str">
        <f aca="false">IF($BA104&gt;$AZ$7,"",VLOOKUP($BA104,$BC$8:$BI$507,7,FALSE()))</f>
        <v/>
      </c>
      <c r="BK104" s="76" t="str">
        <f aca="false">IF($BA104&gt;$AZ$7,"",VLOOKUP($BA104,$BC$8:$BI$507,2,FALSE()))</f>
        <v/>
      </c>
      <c r="BL104" s="76" t="str">
        <f aca="false">IF($BA104&gt;$AZ$7,"",VLOOKUP($BA104,$BC$8:$BI$507,3,FALSE()))</f>
        <v/>
      </c>
      <c r="BM104" s="76" t="str">
        <f aca="false">IF($BA104&gt;$AZ$7,"",VLOOKUP($BA104,$BC$8:$BI$507,4,FALSE()))</f>
        <v/>
      </c>
      <c r="BN104" s="76" t="str">
        <f aca="false">IF($BA104&gt;$AZ$7,"",VLOOKUP($BA104,$BC$8:$BI$507,5,FALSE()))</f>
        <v/>
      </c>
      <c r="BO104" s="77" t="str">
        <f aca="false">IF($BA104&gt;$AZ$7,"",VLOOKUP($BA104,$BC$8:$BI$507,6,FALSE()))</f>
        <v/>
      </c>
      <c r="BP104" s="52"/>
    </row>
    <row r="105" customFormat="false" ht="15.75" hidden="false" customHeight="false" outlineLevel="0" collapsed="false">
      <c r="A105" s="5"/>
      <c r="B105" s="118"/>
      <c r="C105" s="54"/>
      <c r="D105" s="55"/>
      <c r="E105" s="79"/>
      <c r="F105" s="57"/>
      <c r="G105" s="58"/>
      <c r="H105" s="58"/>
      <c r="I105" s="57"/>
      <c r="J105" s="58"/>
      <c r="K105" s="58"/>
      <c r="L105" s="57"/>
      <c r="M105" s="79"/>
      <c r="N105" s="60"/>
      <c r="O105" s="62" t="str">
        <f aca="false">IF(ISBLANK($C105),"",IF(E105=Constants!$B$2, TRUE(), IF(E105=Constants!$B$3, FALSE(), TRUE())))</f>
        <v/>
      </c>
      <c r="P105" s="62" t="str">
        <f aca="false">IF(ISBLANK($C105),"",IF(F105=Constants!$B$16,Constants!$B$9,IF(F105=Constants!$B$17,Constants!$B$10,Constants!$B$8)))</f>
        <v/>
      </c>
      <c r="Q105" s="62" t="str">
        <f aca="false">IF(ISBLANK($C105),"",IF(ISNUMBER(G105),IF(G105&gt;=0,G105,""),""))</f>
        <v/>
      </c>
      <c r="R105" s="62" t="str">
        <f aca="false">IF(ISBLANK($C105),"",IF(H105=Constants!$B$2, TRUE(), IF(H105=Constants!$B$3, FALSE(), TRUE())))</f>
        <v/>
      </c>
      <c r="S105" s="62" t="str">
        <f aca="false">IF(ISBLANK($C105),"",IF(I105=Constants!$B$2, TRUE(), IF(I105=Constants!$B$3, FALSE(), TRUE())))</f>
        <v/>
      </c>
      <c r="T105" s="62" t="str">
        <f aca="false">IF(ISBLANK($C105),"",IF(ISNUMBER(J105),IF(J105&gt;=0,J105,""),""))</f>
        <v/>
      </c>
      <c r="U105" s="62" t="str">
        <f aca="false">IF(ISBLANK($C105),"",IF(K105=Constants!$B$2, TRUE(), IF(K105=Constants!$B$3, FALSE(), TRUE())))</f>
        <v/>
      </c>
      <c r="V105" s="62" t="str">
        <f aca="false">IF(ISBLANK($C105),"",IF(L105=Constants!$B$2, TRUE(), IF(L105=Constants!$B$3, FALSE(), TRUE())))</f>
        <v/>
      </c>
      <c r="W105" s="62" t="str">
        <f aca="false">IF(ISBLANK($C105),"",IF(M105=Constants!$B$2, TRUE(), IF(M105=Constants!$B$3, FALSE(), FALSE())))</f>
        <v/>
      </c>
      <c r="X105" s="62" t="str">
        <f aca="false">IF(ISBLANK($C105),"",AND(Q105&lt;&gt;"",O105))</f>
        <v/>
      </c>
      <c r="Y105" s="62" t="str">
        <f aca="false">IF(ISBLANK($C105),"",AND(T105&lt;&gt;"",O105))</f>
        <v/>
      </c>
      <c r="Z105" s="62" t="str">
        <f aca="false">IF(ISBLANK($C105),"",IF(W105,Constants!$B$4,IF(COUNTA(E105:L105)=0,Constants!$B$5,IF(NOT(O105),Constants!$B$6,IF(AND(NOT(X105),NOT(Y105)),Constants!$B$6,Constants!$B$7)))))</f>
        <v/>
      </c>
      <c r="AA105" s="62" t="str">
        <f aca="false">IF(ISBLANK($C105),"",IF($Z105&lt;&gt;Constants!$B$7,$Z105,Constants!$B$20))</f>
        <v/>
      </c>
      <c r="AB105" s="62" t="str">
        <f aca="false">IF($Z105=Constants!$B$7,IF(X105,Q105,Constants!$B$13),"")</f>
        <v/>
      </c>
      <c r="AC105" s="62" t="str">
        <f aca="false">IF($Z105=Constants!$B$7,IF(X105,P105*IF(R105, 1, Constants!$B$11)*IF(S105, 1, Constants!$B$12),Constants!$B$13),"")</f>
        <v/>
      </c>
      <c r="AD105" s="62" t="str">
        <f aca="false">IF($Z105=Constants!$B$7,AB105*AC105,"")</f>
        <v/>
      </c>
      <c r="AE105" s="62" t="str">
        <f aca="false">IF($Z105=Constants!$B$7,IF(Y105,T105,Constants!$B$13),"")</f>
        <v/>
      </c>
      <c r="AF105" s="62" t="str">
        <f aca="false">IF($Z105=Constants!$B$7,IF(Y105,P105*IF(U105, 1, Constants!$B$11)*IF(V105, 1, Constants!$B$12),Constants!$B$13),"")</f>
        <v/>
      </c>
      <c r="AG105" s="62" t="str">
        <f aca="false">IF($Z105=Constants!$B$7,AE105*AF105,"")</f>
        <v/>
      </c>
      <c r="AH105" s="62" t="str">
        <f aca="false">IF($Z105=Constants!$B$7,IF(AG105&gt;AD105,2,1),"")</f>
        <v/>
      </c>
      <c r="AI105" s="62" t="str">
        <f aca="false">IF($Z105=Constants!$B$7,IF(AH105=1,2,1),"")</f>
        <v/>
      </c>
      <c r="AJ105" s="62" t="str">
        <f aca="false">IF(ISBLANK($C105),"",IF($Z105&lt;&gt;Constants!$B$7,$Z105,IF(AH105=1,AD105,AG105)))</f>
        <v/>
      </c>
      <c r="AK105" s="62" t="str">
        <f aca="false">IF(ISBLANK($C105),"",IF($Z105=Constants!$B$7,IF(ISNUMBER(AJ105),RANK(AJ105,$AJ$8:$AJ$507),Constants!$B$14),$Z105))</f>
        <v/>
      </c>
      <c r="AL105" s="62" t="str">
        <f aca="false">IF(ISBLANK($C105),"",IF($Z105=Constants!$B$7,IF(AI105=1,AD105,AG105),""))</f>
        <v/>
      </c>
      <c r="AM105" s="62" t="str">
        <f aca="false">IF(ISBLANK($C105),"",IF($Z105=Constants!$B$7,RANK(AL105,$AL$8:$AL$507),$Z105))</f>
        <v/>
      </c>
      <c r="AN105" s="62" t="str">
        <f aca="false">IF(ISBLANK($C105),"",IF($Z105=Constants!$B$7,IF(ISNUMBER(AK105),COUNTIFS($AK$8:$AK$507,"&lt;"&amp;$AK105)+COUNTIFS($AK$8:$AK$507,$AK105,$AM$8:$AM$507,"&lt;"&amp;$AM105)+1,Constants!$B$14),$Z105))</f>
        <v/>
      </c>
      <c r="AO105" s="62" t="str">
        <f aca="false">IF(ISBLANK($C105),"",IF($Z105=Constants!$B$7,IF(ISNUMBER(AK105),AK105-AN105,Constants!$B$14),$Z105))</f>
        <v/>
      </c>
      <c r="AP105" s="64"/>
      <c r="AQ105" s="65" t="str">
        <f aca="false">IF(ISBLANK($C105),"",IF($Z105&lt;&gt;Constants!$B$7,"",AH105))</f>
        <v/>
      </c>
      <c r="AR105" s="80" t="str">
        <f aca="false">IF(ISBLANK($C105),"",IF($Z105&lt;&gt;Constants!$B$7,"",IF(AH105=1,AB105,AE105)))</f>
        <v/>
      </c>
      <c r="AS105" s="67" t="str">
        <f aca="false">IF(ISBLANK($C105),"",IF($Z105&lt;&gt;Constants!$B$7,"",IF(AH105=1,AC105,AF105)))</f>
        <v/>
      </c>
      <c r="AT105" s="68" t="str">
        <f aca="false">IF(ISBLANK($C105),"",IF($Z105&lt;&gt;Constants!$B$7,$Z105,AJ105))</f>
        <v/>
      </c>
      <c r="AU105" s="69" t="str">
        <f aca="false">IF(ISBLANK($C105),"",IF($Z105&lt;&gt;Constants!$B$7,$Z105,AA105))</f>
        <v/>
      </c>
      <c r="AV105" s="70" t="str">
        <f aca="false">IF(ISBLANK($C105),"",AO105)</f>
        <v/>
      </c>
      <c r="AW105" s="70" t="str">
        <f aca="false">IF(ISBLANK($C105),"",AN105)</f>
        <v/>
      </c>
      <c r="AX105" s="71" t="str">
        <f aca="false">IF(ISBLANK($C105),"",IFERROR(_xlfn.SWITCH(AW105,Constants!$B$4,COUNTA($C$8:$C$507)+2,Constants!$B$5,COUNTA($C$8:$C$507)+1,Constants!$B$6,COUNTA($C$8:$C$507)),AW105))</f>
        <v/>
      </c>
      <c r="AY105" s="5"/>
      <c r="AZ105" s="72" t="n">
        <f aca="false">IF(OR(ISNUMBER(AW105),AW105=Constants!$B$4,AW105=Constants!$B$6,AW105=Constants!$B$5),1,0)</f>
        <v>0</v>
      </c>
      <c r="BA105" s="72" t="n">
        <v>98</v>
      </c>
      <c r="BB105" s="72" t="str">
        <f aca="false">IF(ISBLANK($C105),"",IF(ISNUMBER(AX105),AX105+ROW($B105)/1000,""))</f>
        <v/>
      </c>
      <c r="BC105" s="72" t="str">
        <f aca="false">IF(ISNUMBER(BB105),RANK(BB105,$BB$8:$BB$507,1),"")</f>
        <v/>
      </c>
      <c r="BD105" s="72" t="str">
        <f aca="false">IF(ISBLANK($C105),"",$B105)</f>
        <v/>
      </c>
      <c r="BE105" s="72" t="str">
        <f aca="false">IF(ISBLANK($C105),"",$C105)</f>
        <v/>
      </c>
      <c r="BF105" s="72" t="str">
        <f aca="false">IF(ISBLANK($C105),"",$D105)</f>
        <v/>
      </c>
      <c r="BG105" s="73" t="str">
        <f aca="false">AU105</f>
        <v/>
      </c>
      <c r="BH105" s="74" t="str">
        <f aca="false">AT105</f>
        <v/>
      </c>
      <c r="BI105" s="72" t="str">
        <f aca="false">IF(ISBLANK($C105),"",AW105)</f>
        <v/>
      </c>
      <c r="BJ105" s="75" t="str">
        <f aca="false">IF($BA105&gt;$AZ$7,"",VLOOKUP($BA105,$BC$8:$BI$507,7,FALSE()))</f>
        <v/>
      </c>
      <c r="BK105" s="76" t="str">
        <f aca="false">IF($BA105&gt;$AZ$7,"",VLOOKUP($BA105,$BC$8:$BI$507,2,FALSE()))</f>
        <v/>
      </c>
      <c r="BL105" s="76" t="str">
        <f aca="false">IF($BA105&gt;$AZ$7,"",VLOOKUP($BA105,$BC$8:$BI$507,3,FALSE()))</f>
        <v/>
      </c>
      <c r="BM105" s="76" t="str">
        <f aca="false">IF($BA105&gt;$AZ$7,"",VLOOKUP($BA105,$BC$8:$BI$507,4,FALSE()))</f>
        <v/>
      </c>
      <c r="BN105" s="76" t="str">
        <f aca="false">IF($BA105&gt;$AZ$7,"",VLOOKUP($BA105,$BC$8:$BI$507,5,FALSE()))</f>
        <v/>
      </c>
      <c r="BO105" s="77" t="str">
        <f aca="false">IF($BA105&gt;$AZ$7,"",VLOOKUP($BA105,$BC$8:$BI$507,6,FALSE()))</f>
        <v/>
      </c>
      <c r="BP105" s="52"/>
    </row>
    <row r="106" customFormat="false" ht="15.75" hidden="false" customHeight="false" outlineLevel="0" collapsed="false">
      <c r="A106" s="5"/>
      <c r="B106" s="118"/>
      <c r="C106" s="54"/>
      <c r="D106" s="55"/>
      <c r="E106" s="79"/>
      <c r="F106" s="57"/>
      <c r="G106" s="58"/>
      <c r="H106" s="58"/>
      <c r="I106" s="57"/>
      <c r="J106" s="58"/>
      <c r="K106" s="58"/>
      <c r="L106" s="57"/>
      <c r="M106" s="79"/>
      <c r="N106" s="60"/>
      <c r="O106" s="62" t="str">
        <f aca="false">IF(ISBLANK($C106),"",IF(E106=Constants!$B$2, TRUE(), IF(E106=Constants!$B$3, FALSE(), TRUE())))</f>
        <v/>
      </c>
      <c r="P106" s="62" t="str">
        <f aca="false">IF(ISBLANK($C106),"",IF(F106=Constants!$B$16,Constants!$B$9,IF(F106=Constants!$B$17,Constants!$B$10,Constants!$B$8)))</f>
        <v/>
      </c>
      <c r="Q106" s="62" t="str">
        <f aca="false">IF(ISBLANK($C106),"",IF(ISNUMBER(G106),IF(G106&gt;=0,G106,""),""))</f>
        <v/>
      </c>
      <c r="R106" s="62" t="str">
        <f aca="false">IF(ISBLANK($C106),"",IF(H106=Constants!$B$2, TRUE(), IF(H106=Constants!$B$3, FALSE(), TRUE())))</f>
        <v/>
      </c>
      <c r="S106" s="62" t="str">
        <f aca="false">IF(ISBLANK($C106),"",IF(I106=Constants!$B$2, TRUE(), IF(I106=Constants!$B$3, FALSE(), TRUE())))</f>
        <v/>
      </c>
      <c r="T106" s="62" t="str">
        <f aca="false">IF(ISBLANK($C106),"",IF(ISNUMBER(J106),IF(J106&gt;=0,J106,""),""))</f>
        <v/>
      </c>
      <c r="U106" s="62" t="str">
        <f aca="false">IF(ISBLANK($C106),"",IF(K106=Constants!$B$2, TRUE(), IF(K106=Constants!$B$3, FALSE(), TRUE())))</f>
        <v/>
      </c>
      <c r="V106" s="62" t="str">
        <f aca="false">IF(ISBLANK($C106),"",IF(L106=Constants!$B$2, TRUE(), IF(L106=Constants!$B$3, FALSE(), TRUE())))</f>
        <v/>
      </c>
      <c r="W106" s="62" t="str">
        <f aca="false">IF(ISBLANK($C106),"",IF(M106=Constants!$B$2, TRUE(), IF(M106=Constants!$B$3, FALSE(), FALSE())))</f>
        <v/>
      </c>
      <c r="X106" s="62" t="str">
        <f aca="false">IF(ISBLANK($C106),"",AND(Q106&lt;&gt;"",O106))</f>
        <v/>
      </c>
      <c r="Y106" s="62" t="str">
        <f aca="false">IF(ISBLANK($C106),"",AND(T106&lt;&gt;"",O106))</f>
        <v/>
      </c>
      <c r="Z106" s="62" t="str">
        <f aca="false">IF(ISBLANK($C106),"",IF(W106,Constants!$B$4,IF(COUNTA(E106:L106)=0,Constants!$B$5,IF(NOT(O106),Constants!$B$6,IF(AND(NOT(X106),NOT(Y106)),Constants!$B$6,Constants!$B$7)))))</f>
        <v/>
      </c>
      <c r="AA106" s="62" t="str">
        <f aca="false">IF(ISBLANK($C106),"",IF($Z106&lt;&gt;Constants!$B$7,$Z106,Constants!$B$20))</f>
        <v/>
      </c>
      <c r="AB106" s="62" t="str">
        <f aca="false">IF($Z106=Constants!$B$7,IF(X106,Q106,Constants!$B$13),"")</f>
        <v/>
      </c>
      <c r="AC106" s="62" t="str">
        <f aca="false">IF($Z106=Constants!$B$7,IF(X106,P106*IF(R106, 1, Constants!$B$11)*IF(S106, 1, Constants!$B$12),Constants!$B$13),"")</f>
        <v/>
      </c>
      <c r="AD106" s="62" t="str">
        <f aca="false">IF($Z106=Constants!$B$7,AB106*AC106,"")</f>
        <v/>
      </c>
      <c r="AE106" s="62" t="str">
        <f aca="false">IF($Z106=Constants!$B$7,IF(Y106,T106,Constants!$B$13),"")</f>
        <v/>
      </c>
      <c r="AF106" s="62" t="str">
        <f aca="false">IF($Z106=Constants!$B$7,IF(Y106,P106*IF(U106, 1, Constants!$B$11)*IF(V106, 1, Constants!$B$12),Constants!$B$13),"")</f>
        <v/>
      </c>
      <c r="AG106" s="62" t="str">
        <f aca="false">IF($Z106=Constants!$B$7,AE106*AF106,"")</f>
        <v/>
      </c>
      <c r="AH106" s="62" t="str">
        <f aca="false">IF($Z106=Constants!$B$7,IF(AG106&gt;AD106,2,1),"")</f>
        <v/>
      </c>
      <c r="AI106" s="62" t="str">
        <f aca="false">IF($Z106=Constants!$B$7,IF(AH106=1,2,1),"")</f>
        <v/>
      </c>
      <c r="AJ106" s="62" t="str">
        <f aca="false">IF(ISBLANK($C106),"",IF($Z106&lt;&gt;Constants!$B$7,$Z106,IF(AH106=1,AD106,AG106)))</f>
        <v/>
      </c>
      <c r="AK106" s="62" t="str">
        <f aca="false">IF(ISBLANK($C106),"",IF($Z106=Constants!$B$7,IF(ISNUMBER(AJ106),RANK(AJ106,$AJ$8:$AJ$507),Constants!$B$14),$Z106))</f>
        <v/>
      </c>
      <c r="AL106" s="62" t="str">
        <f aca="false">IF(ISBLANK($C106),"",IF($Z106=Constants!$B$7,IF(AI106=1,AD106,AG106),""))</f>
        <v/>
      </c>
      <c r="AM106" s="62" t="str">
        <f aca="false">IF(ISBLANK($C106),"",IF($Z106=Constants!$B$7,RANK(AL106,$AL$8:$AL$507),$Z106))</f>
        <v/>
      </c>
      <c r="AN106" s="62" t="str">
        <f aca="false">IF(ISBLANK($C106),"",IF($Z106=Constants!$B$7,IF(ISNUMBER(AK106),COUNTIFS($AK$8:$AK$507,"&lt;"&amp;$AK106)+COUNTIFS($AK$8:$AK$507,$AK106,$AM$8:$AM$507,"&lt;"&amp;$AM106)+1,Constants!$B$14),$Z106))</f>
        <v/>
      </c>
      <c r="AO106" s="62" t="str">
        <f aca="false">IF(ISBLANK($C106),"",IF($Z106=Constants!$B$7,IF(ISNUMBER(AK106),AK106-AN106,Constants!$B$14),$Z106))</f>
        <v/>
      </c>
      <c r="AP106" s="64"/>
      <c r="AQ106" s="65" t="str">
        <f aca="false">IF(ISBLANK($C106),"",IF($Z106&lt;&gt;Constants!$B$7,"",AH106))</f>
        <v/>
      </c>
      <c r="AR106" s="80" t="str">
        <f aca="false">IF(ISBLANK($C106),"",IF($Z106&lt;&gt;Constants!$B$7,"",IF(AH106=1,AB106,AE106)))</f>
        <v/>
      </c>
      <c r="AS106" s="67" t="str">
        <f aca="false">IF(ISBLANK($C106),"",IF($Z106&lt;&gt;Constants!$B$7,"",IF(AH106=1,AC106,AF106)))</f>
        <v/>
      </c>
      <c r="AT106" s="68" t="str">
        <f aca="false">IF(ISBLANK($C106),"",IF($Z106&lt;&gt;Constants!$B$7,$Z106,AJ106))</f>
        <v/>
      </c>
      <c r="AU106" s="69" t="str">
        <f aca="false">IF(ISBLANK($C106),"",IF($Z106&lt;&gt;Constants!$B$7,$Z106,AA106))</f>
        <v/>
      </c>
      <c r="AV106" s="70" t="str">
        <f aca="false">IF(ISBLANK($C106),"",AO106)</f>
        <v/>
      </c>
      <c r="AW106" s="70" t="str">
        <f aca="false">IF(ISBLANK($C106),"",AN106)</f>
        <v/>
      </c>
      <c r="AX106" s="71" t="str">
        <f aca="false">IF(ISBLANK($C106),"",IFERROR(_xlfn.SWITCH(AW106,Constants!$B$4,COUNTA($C$8:$C$507)+2,Constants!$B$5,COUNTA($C$8:$C$507)+1,Constants!$B$6,COUNTA($C$8:$C$507)),AW106))</f>
        <v/>
      </c>
      <c r="AY106" s="5"/>
      <c r="AZ106" s="72" t="n">
        <f aca="false">IF(OR(ISNUMBER(AW106),AW106=Constants!$B$4,AW106=Constants!$B$6,AW106=Constants!$B$5),1,0)</f>
        <v>0</v>
      </c>
      <c r="BA106" s="72" t="n">
        <v>99</v>
      </c>
      <c r="BB106" s="72" t="str">
        <f aca="false">IF(ISBLANK($C106),"",IF(ISNUMBER(AX106),AX106+ROW($B106)/1000,""))</f>
        <v/>
      </c>
      <c r="BC106" s="72" t="str">
        <f aca="false">IF(ISNUMBER(BB106),RANK(BB106,$BB$8:$BB$507,1),"")</f>
        <v/>
      </c>
      <c r="BD106" s="72" t="str">
        <f aca="false">IF(ISBLANK($C106),"",$B106)</f>
        <v/>
      </c>
      <c r="BE106" s="72" t="str">
        <f aca="false">IF(ISBLANK($C106),"",$C106)</f>
        <v/>
      </c>
      <c r="BF106" s="72" t="str">
        <f aca="false">IF(ISBLANK($C106),"",$D106)</f>
        <v/>
      </c>
      <c r="BG106" s="73" t="str">
        <f aca="false">AU106</f>
        <v/>
      </c>
      <c r="BH106" s="74" t="str">
        <f aca="false">AT106</f>
        <v/>
      </c>
      <c r="BI106" s="72" t="str">
        <f aca="false">IF(ISBLANK($C106),"",AW106)</f>
        <v/>
      </c>
      <c r="BJ106" s="75" t="str">
        <f aca="false">IF($BA106&gt;$AZ$7,"",VLOOKUP($BA106,$BC$8:$BI$507,7,FALSE()))</f>
        <v/>
      </c>
      <c r="BK106" s="76" t="str">
        <f aca="false">IF($BA106&gt;$AZ$7,"",VLOOKUP($BA106,$BC$8:$BI$507,2,FALSE()))</f>
        <v/>
      </c>
      <c r="BL106" s="76" t="str">
        <f aca="false">IF($BA106&gt;$AZ$7,"",VLOOKUP($BA106,$BC$8:$BI$507,3,FALSE()))</f>
        <v/>
      </c>
      <c r="BM106" s="76" t="str">
        <f aca="false">IF($BA106&gt;$AZ$7,"",VLOOKUP($BA106,$BC$8:$BI$507,4,FALSE()))</f>
        <v/>
      </c>
      <c r="BN106" s="76" t="str">
        <f aca="false">IF($BA106&gt;$AZ$7,"",VLOOKUP($BA106,$BC$8:$BI$507,5,FALSE()))</f>
        <v/>
      </c>
      <c r="BO106" s="77" t="str">
        <f aca="false">IF($BA106&gt;$AZ$7,"",VLOOKUP($BA106,$BC$8:$BI$507,6,FALSE()))</f>
        <v/>
      </c>
      <c r="BP106" s="52"/>
    </row>
    <row r="107" customFormat="false" ht="15.75" hidden="false" customHeight="false" outlineLevel="0" collapsed="false">
      <c r="A107" s="5"/>
      <c r="B107" s="114"/>
      <c r="C107" s="115"/>
      <c r="D107" s="106"/>
      <c r="E107" s="117"/>
      <c r="F107" s="87"/>
      <c r="G107" s="88"/>
      <c r="H107" s="88"/>
      <c r="I107" s="87"/>
      <c r="J107" s="88"/>
      <c r="K107" s="88"/>
      <c r="L107" s="87"/>
      <c r="M107" s="117"/>
      <c r="N107" s="90"/>
      <c r="O107" s="91" t="str">
        <f aca="false">IF(ISBLANK($C107),"",IF(E107=Constants!$B$2, TRUE(), IF(E107=Constants!$B$3, FALSE(), TRUE())))</f>
        <v/>
      </c>
      <c r="P107" s="91" t="str">
        <f aca="false">IF(ISBLANK($C107),"",IF(F107=Constants!$B$16,Constants!$B$9,IF(F107=Constants!$B$17,Constants!$B$10,Constants!$B$8)))</f>
        <v/>
      </c>
      <c r="Q107" s="91" t="str">
        <f aca="false">IF(ISBLANK($C107),"",IF(ISNUMBER(G107),IF(G107&gt;=0,G107,""),""))</f>
        <v/>
      </c>
      <c r="R107" s="91" t="str">
        <f aca="false">IF(ISBLANK($C107),"",IF(H107=Constants!$B$2, TRUE(), IF(H107=Constants!$B$3, FALSE(), TRUE())))</f>
        <v/>
      </c>
      <c r="S107" s="91" t="str">
        <f aca="false">IF(ISBLANK($C107),"",IF(I107=Constants!$B$2, TRUE(), IF(I107=Constants!$B$3, FALSE(), TRUE())))</f>
        <v/>
      </c>
      <c r="T107" s="91" t="str">
        <f aca="false">IF(ISBLANK($C107),"",IF(ISNUMBER(J107),IF(J107&gt;=0,J107,""),""))</f>
        <v/>
      </c>
      <c r="U107" s="91" t="str">
        <f aca="false">IF(ISBLANK($C107),"",IF(K107=Constants!$B$2, TRUE(), IF(K107=Constants!$B$3, FALSE(), TRUE())))</f>
        <v/>
      </c>
      <c r="V107" s="91" t="str">
        <f aca="false">IF(ISBLANK($C107),"",IF(L107=Constants!$B$2, TRUE(), IF(L107=Constants!$B$3, FALSE(), TRUE())))</f>
        <v/>
      </c>
      <c r="W107" s="91" t="str">
        <f aca="false">IF(ISBLANK($C107),"",IF(M107=Constants!$B$2, TRUE(), IF(M107=Constants!$B$3, FALSE(), FALSE())))</f>
        <v/>
      </c>
      <c r="X107" s="91" t="str">
        <f aca="false">IF(ISBLANK($C107),"",AND(Q107&lt;&gt;"",O107))</f>
        <v/>
      </c>
      <c r="Y107" s="91" t="str">
        <f aca="false">IF(ISBLANK($C107),"",AND(T107&lt;&gt;"",O107))</f>
        <v/>
      </c>
      <c r="Z107" s="91" t="str">
        <f aca="false">IF(ISBLANK($C107),"",IF(W107,Constants!$B$4,IF(COUNTA(E107:L107)=0,Constants!$B$5,IF(NOT(O107),Constants!$B$6,IF(AND(NOT(X107),NOT(Y107)),Constants!$B$6,Constants!$B$7)))))</f>
        <v/>
      </c>
      <c r="AA107" s="91" t="str">
        <f aca="false">IF(ISBLANK($C107),"",IF($Z107&lt;&gt;Constants!$B$7,$Z107,Constants!$B$20))</f>
        <v/>
      </c>
      <c r="AB107" s="91" t="str">
        <f aca="false">IF($Z107=Constants!$B$7,IF(X107,Q107,Constants!$B$13),"")</f>
        <v/>
      </c>
      <c r="AC107" s="91" t="str">
        <f aca="false">IF($Z107=Constants!$B$7,IF(X107,P107*IF(R107, 1, Constants!$B$11)*IF(S107, 1, Constants!$B$12),Constants!$B$13),"")</f>
        <v/>
      </c>
      <c r="AD107" s="91" t="str">
        <f aca="false">IF($Z107=Constants!$B$7,AB107*AC107,"")</f>
        <v/>
      </c>
      <c r="AE107" s="91" t="str">
        <f aca="false">IF($Z107=Constants!$B$7,IF(Y107,T107,Constants!$B$13),"")</f>
        <v/>
      </c>
      <c r="AF107" s="91" t="str">
        <f aca="false">IF($Z107=Constants!$B$7,IF(Y107,P107*IF(U107, 1, Constants!$B$11)*IF(V107, 1, Constants!$B$12),Constants!$B$13),"")</f>
        <v/>
      </c>
      <c r="AG107" s="91" t="str">
        <f aca="false">IF($Z107=Constants!$B$7,AE107*AF107,"")</f>
        <v/>
      </c>
      <c r="AH107" s="91" t="str">
        <f aca="false">IF($Z107=Constants!$B$7,IF(AG107&gt;AD107,2,1),"")</f>
        <v/>
      </c>
      <c r="AI107" s="91" t="str">
        <f aca="false">IF($Z107=Constants!$B$7,IF(AH107=1,2,1),"")</f>
        <v/>
      </c>
      <c r="AJ107" s="91" t="str">
        <f aca="false">IF(ISBLANK($C107),"",IF($Z107&lt;&gt;Constants!$B$7,$Z107,IF(AH107=1,AD107,AG107)))</f>
        <v/>
      </c>
      <c r="AK107" s="91" t="str">
        <f aca="false">IF(ISBLANK($C107),"",IF($Z107=Constants!$B$7,IF(ISNUMBER(AJ107),RANK(AJ107,$AJ$8:$AJ$507),Constants!$B$14),$Z107))</f>
        <v/>
      </c>
      <c r="AL107" s="91" t="str">
        <f aca="false">IF(ISBLANK($C107),"",IF($Z107=Constants!$B$7,IF(AI107=1,AD107,AG107),""))</f>
        <v/>
      </c>
      <c r="AM107" s="91" t="str">
        <f aca="false">IF(ISBLANK($C107),"",IF($Z107=Constants!$B$7,RANK(AL107,$AL$8:$AL$507),$Z107))</f>
        <v/>
      </c>
      <c r="AN107" s="91" t="str">
        <f aca="false">IF(ISBLANK($C107),"",IF($Z107=Constants!$B$7,IF(ISNUMBER(AK107),COUNTIFS($AK$8:$AK$507,"&lt;"&amp;$AK107)+COUNTIFS($AK$8:$AK$507,$AK107,$AM$8:$AM$507,"&lt;"&amp;$AM107)+1,Constants!$B$14),$Z107))</f>
        <v/>
      </c>
      <c r="AO107" s="91" t="str">
        <f aca="false">IF(ISBLANK($C107),"",IF($Z107=Constants!$B$7,IF(ISNUMBER(AK107),AK107-AN107,Constants!$B$14),$Z107))</f>
        <v/>
      </c>
      <c r="AP107" s="92"/>
      <c r="AQ107" s="93" t="str">
        <f aca="false">IF(ISBLANK($C107),"",IF($Z107&lt;&gt;Constants!$B$7,"",AH107))</f>
        <v/>
      </c>
      <c r="AR107" s="94" t="str">
        <f aca="false">IF(ISBLANK($C107),"",IF($Z107&lt;&gt;Constants!$B$7,"",IF(AH107=1,AB107,AE107)))</f>
        <v/>
      </c>
      <c r="AS107" s="95" t="str">
        <f aca="false">IF(ISBLANK($C107),"",IF($Z107&lt;&gt;Constants!$B$7,"",IF(AH107=1,AC107,AF107)))</f>
        <v/>
      </c>
      <c r="AT107" s="96" t="str">
        <f aca="false">IF(ISBLANK($C107),"",IF($Z107&lt;&gt;Constants!$B$7,$Z107,AJ107))</f>
        <v/>
      </c>
      <c r="AU107" s="97" t="str">
        <f aca="false">IF(ISBLANK($C107),"",IF($Z107&lt;&gt;Constants!$B$7,$Z107,AA107))</f>
        <v/>
      </c>
      <c r="AV107" s="98" t="str">
        <f aca="false">IF(ISBLANK($C107),"",AO107)</f>
        <v/>
      </c>
      <c r="AW107" s="98" t="str">
        <f aca="false">IF(ISBLANK($C107),"",AN107)</f>
        <v/>
      </c>
      <c r="AX107" s="99" t="str">
        <f aca="false">IF(ISBLANK($C107),"",IFERROR(_xlfn.SWITCH(AW107,Constants!$B$4,COUNTA($C$8:$C$507)+2,Constants!$B$5,COUNTA($C$8:$C$507)+1,Constants!$B$6,COUNTA($C$8:$C$507)),AW107))</f>
        <v/>
      </c>
      <c r="AY107" s="5"/>
      <c r="AZ107" s="100" t="n">
        <f aca="false">IF(OR(ISNUMBER(AW107),AW107=Constants!$B$4,AW107=Constants!$B$6,AW107=Constants!$B$5),1,0)</f>
        <v>0</v>
      </c>
      <c r="BA107" s="100" t="n">
        <v>100</v>
      </c>
      <c r="BB107" s="100" t="str">
        <f aca="false">IF(ISBLANK($C107),"",IF(ISNUMBER(AX107),AX107+ROW($B107)/1000,""))</f>
        <v/>
      </c>
      <c r="BC107" s="100" t="str">
        <f aca="false">IF(ISNUMBER(BB107),RANK(BB107,$BB$8:$BB$507,1),"")</f>
        <v/>
      </c>
      <c r="BD107" s="100" t="str">
        <f aca="false">IF(ISBLANK($C107),"",$B107)</f>
        <v/>
      </c>
      <c r="BE107" s="100" t="str">
        <f aca="false">IF(ISBLANK($C107),"",$C107)</f>
        <v/>
      </c>
      <c r="BF107" s="100" t="str">
        <f aca="false">IF(ISBLANK($C107),"",$D107)</f>
        <v/>
      </c>
      <c r="BG107" s="101" t="str">
        <f aca="false">AU107</f>
        <v/>
      </c>
      <c r="BH107" s="102" t="str">
        <f aca="false">AT107</f>
        <v/>
      </c>
      <c r="BI107" s="100" t="str">
        <f aca="false">IF(ISBLANK($C107),"",AW107)</f>
        <v/>
      </c>
      <c r="BJ107" s="103" t="str">
        <f aca="false">IF($BA107&gt;$AZ$7,"",VLOOKUP($BA107,$BC$8:$BI$507,7,FALSE()))</f>
        <v/>
      </c>
      <c r="BK107" s="104" t="str">
        <f aca="false">IF($BA107&gt;$AZ$7,"",VLOOKUP($BA107,$BC$8:$BI$507,2,FALSE()))</f>
        <v/>
      </c>
      <c r="BL107" s="104" t="str">
        <f aca="false">IF($BA107&gt;$AZ$7,"",VLOOKUP($BA107,$BC$8:$BI$507,3,FALSE()))</f>
        <v/>
      </c>
      <c r="BM107" s="104" t="str">
        <f aca="false">IF($BA107&gt;$AZ$7,"",VLOOKUP($BA107,$BC$8:$BI$507,4,FALSE()))</f>
        <v/>
      </c>
      <c r="BN107" s="104" t="str">
        <f aca="false">IF($BA107&gt;$AZ$7,"",VLOOKUP($BA107,$BC$8:$BI$507,5,FALSE()))</f>
        <v/>
      </c>
      <c r="BO107" s="105" t="str">
        <f aca="false">IF($BA107&gt;$AZ$7,"",VLOOKUP($BA107,$BC$8:$BI$507,6,FALSE()))</f>
        <v/>
      </c>
      <c r="BP107" s="52"/>
    </row>
    <row r="108" customFormat="false" ht="15.75" hidden="false" customHeight="false" outlineLevel="0" collapsed="false">
      <c r="A108" s="5"/>
      <c r="B108" s="114"/>
      <c r="C108" s="115"/>
      <c r="D108" s="106"/>
      <c r="E108" s="117"/>
      <c r="F108" s="87"/>
      <c r="G108" s="88"/>
      <c r="H108" s="88"/>
      <c r="I108" s="87"/>
      <c r="J108" s="88"/>
      <c r="K108" s="88"/>
      <c r="L108" s="87"/>
      <c r="M108" s="117"/>
      <c r="N108" s="90"/>
      <c r="O108" s="91" t="str">
        <f aca="false">IF(ISBLANK($C108),"",IF(E108=Constants!$B$2, TRUE(), IF(E108=Constants!$B$3, FALSE(), TRUE())))</f>
        <v/>
      </c>
      <c r="P108" s="91" t="str">
        <f aca="false">IF(ISBLANK($C108),"",IF(F108=Constants!$B$16,Constants!$B$9,IF(F108=Constants!$B$17,Constants!$B$10,Constants!$B$8)))</f>
        <v/>
      </c>
      <c r="Q108" s="91" t="str">
        <f aca="false">IF(ISBLANK($C108),"",IF(ISNUMBER(G108),IF(G108&gt;=0,G108,""),""))</f>
        <v/>
      </c>
      <c r="R108" s="91" t="str">
        <f aca="false">IF(ISBLANK($C108),"",IF(H108=Constants!$B$2, TRUE(), IF(H108=Constants!$B$3, FALSE(), TRUE())))</f>
        <v/>
      </c>
      <c r="S108" s="91" t="str">
        <f aca="false">IF(ISBLANK($C108),"",IF(I108=Constants!$B$2, TRUE(), IF(I108=Constants!$B$3, FALSE(), TRUE())))</f>
        <v/>
      </c>
      <c r="T108" s="91" t="str">
        <f aca="false">IF(ISBLANK($C108),"",IF(ISNUMBER(J108),IF(J108&gt;=0,J108,""),""))</f>
        <v/>
      </c>
      <c r="U108" s="91" t="str">
        <f aca="false">IF(ISBLANK($C108),"",IF(K108=Constants!$B$2, TRUE(), IF(K108=Constants!$B$3, FALSE(), TRUE())))</f>
        <v/>
      </c>
      <c r="V108" s="91" t="str">
        <f aca="false">IF(ISBLANK($C108),"",IF(L108=Constants!$B$2, TRUE(), IF(L108=Constants!$B$3, FALSE(), TRUE())))</f>
        <v/>
      </c>
      <c r="W108" s="91" t="str">
        <f aca="false">IF(ISBLANK($C108),"",IF(M108=Constants!$B$2, TRUE(), IF(M108=Constants!$B$3, FALSE(), FALSE())))</f>
        <v/>
      </c>
      <c r="X108" s="91" t="str">
        <f aca="false">IF(ISBLANK($C108),"",AND(Q108&lt;&gt;"",O108))</f>
        <v/>
      </c>
      <c r="Y108" s="91" t="str">
        <f aca="false">IF(ISBLANK($C108),"",AND(T108&lt;&gt;"",O108))</f>
        <v/>
      </c>
      <c r="Z108" s="91" t="str">
        <f aca="false">IF(ISBLANK($C108),"",IF(W108,Constants!$B$4,IF(COUNTA(E108:L108)=0,Constants!$B$5,IF(NOT(O108),Constants!$B$6,IF(AND(NOT(X108),NOT(Y108)),Constants!$B$6,Constants!$B$7)))))</f>
        <v/>
      </c>
      <c r="AA108" s="91" t="str">
        <f aca="false">IF(ISBLANK($C108),"",IF($Z108&lt;&gt;Constants!$B$7,$Z108,Constants!$B$20))</f>
        <v/>
      </c>
      <c r="AB108" s="91" t="str">
        <f aca="false">IF($Z108=Constants!$B$7,IF(X108,Q108,Constants!$B$13),"")</f>
        <v/>
      </c>
      <c r="AC108" s="91" t="str">
        <f aca="false">IF($Z108=Constants!$B$7,IF(X108,P108*IF(R108, 1, Constants!$B$11)*IF(S108, 1, Constants!$B$12),Constants!$B$13),"")</f>
        <v/>
      </c>
      <c r="AD108" s="91" t="str">
        <f aca="false">IF($Z108=Constants!$B$7,AB108*AC108,"")</f>
        <v/>
      </c>
      <c r="AE108" s="91" t="str">
        <f aca="false">IF($Z108=Constants!$B$7,IF(Y108,T108,Constants!$B$13),"")</f>
        <v/>
      </c>
      <c r="AF108" s="91" t="str">
        <f aca="false">IF($Z108=Constants!$B$7,IF(Y108,P108*IF(U108, 1, Constants!$B$11)*IF(V108, 1, Constants!$B$12),Constants!$B$13),"")</f>
        <v/>
      </c>
      <c r="AG108" s="91" t="str">
        <f aca="false">IF($Z108=Constants!$B$7,AE108*AF108,"")</f>
        <v/>
      </c>
      <c r="AH108" s="91" t="str">
        <f aca="false">IF($Z108=Constants!$B$7,IF(AG108&gt;AD108,2,1),"")</f>
        <v/>
      </c>
      <c r="AI108" s="91" t="str">
        <f aca="false">IF($Z108=Constants!$B$7,IF(AH108=1,2,1),"")</f>
        <v/>
      </c>
      <c r="AJ108" s="91" t="str">
        <f aca="false">IF(ISBLANK($C108),"",IF($Z108&lt;&gt;Constants!$B$7,$Z108,IF(AH108=1,AD108,AG108)))</f>
        <v/>
      </c>
      <c r="AK108" s="91" t="str">
        <f aca="false">IF(ISBLANK($C108),"",IF($Z108=Constants!$B$7,IF(ISNUMBER(AJ108),RANK(AJ108,$AJ$8:$AJ$507),Constants!$B$14),$Z108))</f>
        <v/>
      </c>
      <c r="AL108" s="91" t="str">
        <f aca="false">IF(ISBLANK($C108),"",IF($Z108=Constants!$B$7,IF(AI108=1,AD108,AG108),""))</f>
        <v/>
      </c>
      <c r="AM108" s="91" t="str">
        <f aca="false">IF(ISBLANK($C108),"",IF($Z108=Constants!$B$7,RANK(AL108,$AL$8:$AL$507),$Z108))</f>
        <v/>
      </c>
      <c r="AN108" s="91" t="str">
        <f aca="false">IF(ISBLANK($C108),"",IF($Z108=Constants!$B$7,IF(ISNUMBER(AK108),COUNTIFS($AK$8:$AK$507,"&lt;"&amp;$AK108)+COUNTIFS($AK$8:$AK$507,$AK108,$AM$8:$AM$507,"&lt;"&amp;$AM108)+1,Constants!$B$14),$Z108))</f>
        <v/>
      </c>
      <c r="AO108" s="91" t="str">
        <f aca="false">IF(ISBLANK($C108),"",IF($Z108=Constants!$B$7,IF(ISNUMBER(AK108),AK108-AN108,Constants!$B$14),$Z108))</f>
        <v/>
      </c>
      <c r="AP108" s="92"/>
      <c r="AQ108" s="93" t="str">
        <f aca="false">IF(ISBLANK($C108),"",IF($Z108&lt;&gt;Constants!$B$7,"",AH108))</f>
        <v/>
      </c>
      <c r="AR108" s="94" t="str">
        <f aca="false">IF(ISBLANK($C108),"",IF($Z108&lt;&gt;Constants!$B$7,"",IF(AH108=1,AB108,AE108)))</f>
        <v/>
      </c>
      <c r="AS108" s="95" t="str">
        <f aca="false">IF(ISBLANK($C108),"",IF($Z108&lt;&gt;Constants!$B$7,"",IF(AH108=1,AC108,AF108)))</f>
        <v/>
      </c>
      <c r="AT108" s="96" t="str">
        <f aca="false">IF(ISBLANK($C108),"",IF($Z108&lt;&gt;Constants!$B$7,$Z108,AJ108))</f>
        <v/>
      </c>
      <c r="AU108" s="97" t="str">
        <f aca="false">IF(ISBLANK($C108),"",IF($Z108&lt;&gt;Constants!$B$7,$Z108,AA108))</f>
        <v/>
      </c>
      <c r="AV108" s="98" t="str">
        <f aca="false">IF(ISBLANK($C108),"",AO108)</f>
        <v/>
      </c>
      <c r="AW108" s="98" t="str">
        <f aca="false">IF(ISBLANK($C108),"",AN108)</f>
        <v/>
      </c>
      <c r="AX108" s="99" t="str">
        <f aca="false">IF(ISBLANK($C108),"",IFERROR(_xlfn.SWITCH(AW108,Constants!$B$4,COUNTA($C$8:$C$507)+2,Constants!$B$5,COUNTA($C$8:$C$507)+1,Constants!$B$6,COUNTA($C$8:$C$507)),AW108))</f>
        <v/>
      </c>
      <c r="AY108" s="5"/>
      <c r="AZ108" s="100" t="n">
        <f aca="false">IF(OR(ISNUMBER(AW108),AW108=Constants!$B$4,AW108=Constants!$B$6,AW108=Constants!$B$5),1,0)</f>
        <v>0</v>
      </c>
      <c r="BA108" s="100" t="n">
        <v>101</v>
      </c>
      <c r="BB108" s="100" t="str">
        <f aca="false">IF(ISBLANK($C108),"",IF(ISNUMBER(AX108),AX108+ROW($B108)/1000,""))</f>
        <v/>
      </c>
      <c r="BC108" s="100" t="str">
        <f aca="false">IF(ISNUMBER(BB108),RANK(BB108,$BB$8:$BB$507,1),"")</f>
        <v/>
      </c>
      <c r="BD108" s="100" t="str">
        <f aca="false">IF(ISBLANK($C108),"",$B108)</f>
        <v/>
      </c>
      <c r="BE108" s="100" t="str">
        <f aca="false">IF(ISBLANK($C108),"",$C108)</f>
        <v/>
      </c>
      <c r="BF108" s="100" t="str">
        <f aca="false">IF(ISBLANK($C108),"",$D108)</f>
        <v/>
      </c>
      <c r="BG108" s="101" t="str">
        <f aca="false">AU108</f>
        <v/>
      </c>
      <c r="BH108" s="102" t="str">
        <f aca="false">AT108</f>
        <v/>
      </c>
      <c r="BI108" s="100" t="str">
        <f aca="false">IF(ISBLANK($C108),"",AW108)</f>
        <v/>
      </c>
      <c r="BJ108" s="103" t="str">
        <f aca="false">IF($BA108&gt;$AZ$7,"",VLOOKUP($BA108,$BC$8:$BI$507,7,FALSE()))</f>
        <v/>
      </c>
      <c r="BK108" s="104" t="str">
        <f aca="false">IF($BA108&gt;$AZ$7,"",VLOOKUP($BA108,$BC$8:$BI$507,2,FALSE()))</f>
        <v/>
      </c>
      <c r="BL108" s="104" t="str">
        <f aca="false">IF($BA108&gt;$AZ$7,"",VLOOKUP($BA108,$BC$8:$BI$507,3,FALSE()))</f>
        <v/>
      </c>
      <c r="BM108" s="104" t="str">
        <f aca="false">IF($BA108&gt;$AZ$7,"",VLOOKUP($BA108,$BC$8:$BI$507,4,FALSE()))</f>
        <v/>
      </c>
      <c r="BN108" s="104" t="str">
        <f aca="false">IF($BA108&gt;$AZ$7,"",VLOOKUP($BA108,$BC$8:$BI$507,5,FALSE()))</f>
        <v/>
      </c>
      <c r="BO108" s="105" t="str">
        <f aca="false">IF($BA108&gt;$AZ$7,"",VLOOKUP($BA108,$BC$8:$BI$507,6,FALSE()))</f>
        <v/>
      </c>
      <c r="BP108" s="52"/>
    </row>
    <row r="109" customFormat="false" ht="15.75" hidden="false" customHeight="false" outlineLevel="0" collapsed="false">
      <c r="A109" s="5"/>
      <c r="B109" s="114"/>
      <c r="C109" s="115"/>
      <c r="D109" s="106"/>
      <c r="E109" s="117"/>
      <c r="F109" s="87"/>
      <c r="G109" s="88"/>
      <c r="H109" s="88"/>
      <c r="I109" s="87"/>
      <c r="J109" s="88"/>
      <c r="K109" s="88"/>
      <c r="L109" s="87"/>
      <c r="M109" s="117"/>
      <c r="N109" s="90"/>
      <c r="O109" s="91" t="str">
        <f aca="false">IF(ISBLANK($C109),"",IF(E109=Constants!$B$2, TRUE(), IF(E109=Constants!$B$3, FALSE(), TRUE())))</f>
        <v/>
      </c>
      <c r="P109" s="91" t="str">
        <f aca="false">IF(ISBLANK($C109),"",IF(F109=Constants!$B$16,Constants!$B$9,IF(F109=Constants!$B$17,Constants!$B$10,Constants!$B$8)))</f>
        <v/>
      </c>
      <c r="Q109" s="91" t="str">
        <f aca="false">IF(ISBLANK($C109),"",IF(ISNUMBER(G109),IF(G109&gt;=0,G109,""),""))</f>
        <v/>
      </c>
      <c r="R109" s="91" t="str">
        <f aca="false">IF(ISBLANK($C109),"",IF(H109=Constants!$B$2, TRUE(), IF(H109=Constants!$B$3, FALSE(), TRUE())))</f>
        <v/>
      </c>
      <c r="S109" s="91" t="str">
        <f aca="false">IF(ISBLANK($C109),"",IF(I109=Constants!$B$2, TRUE(), IF(I109=Constants!$B$3, FALSE(), TRUE())))</f>
        <v/>
      </c>
      <c r="T109" s="91" t="str">
        <f aca="false">IF(ISBLANK($C109),"",IF(ISNUMBER(J109),IF(J109&gt;=0,J109,""),""))</f>
        <v/>
      </c>
      <c r="U109" s="91" t="str">
        <f aca="false">IF(ISBLANK($C109),"",IF(K109=Constants!$B$2, TRUE(), IF(K109=Constants!$B$3, FALSE(), TRUE())))</f>
        <v/>
      </c>
      <c r="V109" s="91" t="str">
        <f aca="false">IF(ISBLANK($C109),"",IF(L109=Constants!$B$2, TRUE(), IF(L109=Constants!$B$3, FALSE(), TRUE())))</f>
        <v/>
      </c>
      <c r="W109" s="91" t="str">
        <f aca="false">IF(ISBLANK($C109),"",IF(M109=Constants!$B$2, TRUE(), IF(M109=Constants!$B$3, FALSE(), FALSE())))</f>
        <v/>
      </c>
      <c r="X109" s="91" t="str">
        <f aca="false">IF(ISBLANK($C109),"",AND(Q109&lt;&gt;"",O109))</f>
        <v/>
      </c>
      <c r="Y109" s="91" t="str">
        <f aca="false">IF(ISBLANK($C109),"",AND(T109&lt;&gt;"",O109))</f>
        <v/>
      </c>
      <c r="Z109" s="91" t="str">
        <f aca="false">IF(ISBLANK($C109),"",IF(W109,Constants!$B$4,IF(COUNTA(E109:L109)=0,Constants!$B$5,IF(NOT(O109),Constants!$B$6,IF(AND(NOT(X109),NOT(Y109)),Constants!$B$6,Constants!$B$7)))))</f>
        <v/>
      </c>
      <c r="AA109" s="91" t="str">
        <f aca="false">IF(ISBLANK($C109),"",IF($Z109&lt;&gt;Constants!$B$7,$Z109,Constants!$B$20))</f>
        <v/>
      </c>
      <c r="AB109" s="91" t="str">
        <f aca="false">IF($Z109=Constants!$B$7,IF(X109,Q109,Constants!$B$13),"")</f>
        <v/>
      </c>
      <c r="AC109" s="91" t="str">
        <f aca="false">IF($Z109=Constants!$B$7,IF(X109,P109*IF(R109, 1, Constants!$B$11)*IF(S109, 1, Constants!$B$12),Constants!$B$13),"")</f>
        <v/>
      </c>
      <c r="AD109" s="91" t="str">
        <f aca="false">IF($Z109=Constants!$B$7,AB109*AC109,"")</f>
        <v/>
      </c>
      <c r="AE109" s="91" t="str">
        <f aca="false">IF($Z109=Constants!$B$7,IF(Y109,T109,Constants!$B$13),"")</f>
        <v/>
      </c>
      <c r="AF109" s="91" t="str">
        <f aca="false">IF($Z109=Constants!$B$7,IF(Y109,P109*IF(U109, 1, Constants!$B$11)*IF(V109, 1, Constants!$B$12),Constants!$B$13),"")</f>
        <v/>
      </c>
      <c r="AG109" s="91" t="str">
        <f aca="false">IF($Z109=Constants!$B$7,AE109*AF109,"")</f>
        <v/>
      </c>
      <c r="AH109" s="91" t="str">
        <f aca="false">IF($Z109=Constants!$B$7,IF(AG109&gt;AD109,2,1),"")</f>
        <v/>
      </c>
      <c r="AI109" s="91" t="str">
        <f aca="false">IF($Z109=Constants!$B$7,IF(AH109=1,2,1),"")</f>
        <v/>
      </c>
      <c r="AJ109" s="91" t="str">
        <f aca="false">IF(ISBLANK($C109),"",IF($Z109&lt;&gt;Constants!$B$7,$Z109,IF(AH109=1,AD109,AG109)))</f>
        <v/>
      </c>
      <c r="AK109" s="91" t="str">
        <f aca="false">IF(ISBLANK($C109),"",IF($Z109=Constants!$B$7,IF(ISNUMBER(AJ109),RANK(AJ109,$AJ$8:$AJ$507),Constants!$B$14),$Z109))</f>
        <v/>
      </c>
      <c r="AL109" s="91" t="str">
        <f aca="false">IF(ISBLANK($C109),"",IF($Z109=Constants!$B$7,IF(AI109=1,AD109,AG109),""))</f>
        <v/>
      </c>
      <c r="AM109" s="91" t="str">
        <f aca="false">IF(ISBLANK($C109),"",IF($Z109=Constants!$B$7,RANK(AL109,$AL$8:$AL$507),$Z109))</f>
        <v/>
      </c>
      <c r="AN109" s="91" t="str">
        <f aca="false">IF(ISBLANK($C109),"",IF($Z109=Constants!$B$7,IF(ISNUMBER(AK109),COUNTIFS($AK$8:$AK$507,"&lt;"&amp;$AK109)+COUNTIFS($AK$8:$AK$507,$AK109,$AM$8:$AM$507,"&lt;"&amp;$AM109)+1,Constants!$B$14),$Z109))</f>
        <v/>
      </c>
      <c r="AO109" s="91" t="str">
        <f aca="false">IF(ISBLANK($C109),"",IF($Z109=Constants!$B$7,IF(ISNUMBER(AK109),AK109-AN109,Constants!$B$14),$Z109))</f>
        <v/>
      </c>
      <c r="AP109" s="92"/>
      <c r="AQ109" s="93" t="str">
        <f aca="false">IF(ISBLANK($C109),"",IF($Z109&lt;&gt;Constants!$B$7,"",AH109))</f>
        <v/>
      </c>
      <c r="AR109" s="94" t="str">
        <f aca="false">IF(ISBLANK($C109),"",IF($Z109&lt;&gt;Constants!$B$7,"",IF(AH109=1,AB109,AE109)))</f>
        <v/>
      </c>
      <c r="AS109" s="95" t="str">
        <f aca="false">IF(ISBLANK($C109),"",IF($Z109&lt;&gt;Constants!$B$7,"",IF(AH109=1,AC109,AF109)))</f>
        <v/>
      </c>
      <c r="AT109" s="96" t="str">
        <f aca="false">IF(ISBLANK($C109),"",IF($Z109&lt;&gt;Constants!$B$7,$Z109,AJ109))</f>
        <v/>
      </c>
      <c r="AU109" s="97" t="str">
        <f aca="false">IF(ISBLANK($C109),"",IF($Z109&lt;&gt;Constants!$B$7,$Z109,AA109))</f>
        <v/>
      </c>
      <c r="AV109" s="98" t="str">
        <f aca="false">IF(ISBLANK($C109),"",AO109)</f>
        <v/>
      </c>
      <c r="AW109" s="98" t="str">
        <f aca="false">IF(ISBLANK($C109),"",AN109)</f>
        <v/>
      </c>
      <c r="AX109" s="99" t="str">
        <f aca="false">IF(ISBLANK($C109),"",IFERROR(_xlfn.SWITCH(AW109,Constants!$B$4,COUNTA($C$8:$C$507)+2,Constants!$B$5,COUNTA($C$8:$C$507)+1,Constants!$B$6,COUNTA($C$8:$C$507)),AW109))</f>
        <v/>
      </c>
      <c r="AY109" s="5"/>
      <c r="AZ109" s="100" t="n">
        <f aca="false">IF(OR(ISNUMBER(AW109),AW109=Constants!$B$4,AW109=Constants!$B$6,AW109=Constants!$B$5),1,0)</f>
        <v>0</v>
      </c>
      <c r="BA109" s="100" t="n">
        <v>102</v>
      </c>
      <c r="BB109" s="100" t="str">
        <f aca="false">IF(ISBLANK($C109),"",IF(ISNUMBER(AX109),AX109+ROW($B109)/1000,""))</f>
        <v/>
      </c>
      <c r="BC109" s="100" t="str">
        <f aca="false">IF(ISNUMBER(BB109),RANK(BB109,$BB$8:$BB$507,1),"")</f>
        <v/>
      </c>
      <c r="BD109" s="100" t="str">
        <f aca="false">IF(ISBLANK($C109),"",$B109)</f>
        <v/>
      </c>
      <c r="BE109" s="100" t="str">
        <f aca="false">IF(ISBLANK($C109),"",$C109)</f>
        <v/>
      </c>
      <c r="BF109" s="100" t="str">
        <f aca="false">IF(ISBLANK($C109),"",$D109)</f>
        <v/>
      </c>
      <c r="BG109" s="101" t="str">
        <f aca="false">AU109</f>
        <v/>
      </c>
      <c r="BH109" s="102" t="str">
        <f aca="false">AT109</f>
        <v/>
      </c>
      <c r="BI109" s="100" t="str">
        <f aca="false">IF(ISBLANK($C109),"",AW109)</f>
        <v/>
      </c>
      <c r="BJ109" s="103" t="str">
        <f aca="false">IF($BA109&gt;$AZ$7,"",VLOOKUP($BA109,$BC$8:$BI$507,7,FALSE()))</f>
        <v/>
      </c>
      <c r="BK109" s="104" t="str">
        <f aca="false">IF($BA109&gt;$AZ$7,"",VLOOKUP($BA109,$BC$8:$BI$507,2,FALSE()))</f>
        <v/>
      </c>
      <c r="BL109" s="104" t="str">
        <f aca="false">IF($BA109&gt;$AZ$7,"",VLOOKUP($BA109,$BC$8:$BI$507,3,FALSE()))</f>
        <v/>
      </c>
      <c r="BM109" s="104" t="str">
        <f aca="false">IF($BA109&gt;$AZ$7,"",VLOOKUP($BA109,$BC$8:$BI$507,4,FALSE()))</f>
        <v/>
      </c>
      <c r="BN109" s="104" t="str">
        <f aca="false">IF($BA109&gt;$AZ$7,"",VLOOKUP($BA109,$BC$8:$BI$507,5,FALSE()))</f>
        <v/>
      </c>
      <c r="BO109" s="105" t="str">
        <f aca="false">IF($BA109&gt;$AZ$7,"",VLOOKUP($BA109,$BC$8:$BI$507,6,FALSE()))</f>
        <v/>
      </c>
      <c r="BP109" s="52"/>
    </row>
    <row r="110" customFormat="false" ht="15.75" hidden="false" customHeight="false" outlineLevel="0" collapsed="false">
      <c r="A110" s="5"/>
      <c r="B110" s="118"/>
      <c r="C110" s="54"/>
      <c r="D110" s="55"/>
      <c r="E110" s="79"/>
      <c r="F110" s="57"/>
      <c r="G110" s="58"/>
      <c r="H110" s="58"/>
      <c r="I110" s="57"/>
      <c r="J110" s="58"/>
      <c r="K110" s="58"/>
      <c r="L110" s="57"/>
      <c r="M110" s="79"/>
      <c r="N110" s="60"/>
      <c r="O110" s="62" t="str">
        <f aca="false">IF(ISBLANK($C110),"",IF(E110=Constants!$B$2, TRUE(), IF(E110=Constants!$B$3, FALSE(), TRUE())))</f>
        <v/>
      </c>
      <c r="P110" s="62" t="str">
        <f aca="false">IF(ISBLANK($C110),"",IF(F110=Constants!$B$16,Constants!$B$9,IF(F110=Constants!$B$17,Constants!$B$10,Constants!$B$8)))</f>
        <v/>
      </c>
      <c r="Q110" s="62" t="str">
        <f aca="false">IF(ISBLANK($C110),"",IF(ISNUMBER(G110),IF(G110&gt;=0,G110,""),""))</f>
        <v/>
      </c>
      <c r="R110" s="62" t="str">
        <f aca="false">IF(ISBLANK($C110),"",IF(H110=Constants!$B$2, TRUE(), IF(H110=Constants!$B$3, FALSE(), TRUE())))</f>
        <v/>
      </c>
      <c r="S110" s="62" t="str">
        <f aca="false">IF(ISBLANK($C110),"",IF(I110=Constants!$B$2, TRUE(), IF(I110=Constants!$B$3, FALSE(), TRUE())))</f>
        <v/>
      </c>
      <c r="T110" s="62" t="str">
        <f aca="false">IF(ISBLANK($C110),"",IF(ISNUMBER(J110),IF(J110&gt;=0,J110,""),""))</f>
        <v/>
      </c>
      <c r="U110" s="62" t="str">
        <f aca="false">IF(ISBLANK($C110),"",IF(K110=Constants!$B$2, TRUE(), IF(K110=Constants!$B$3, FALSE(), TRUE())))</f>
        <v/>
      </c>
      <c r="V110" s="62" t="str">
        <f aca="false">IF(ISBLANK($C110),"",IF(L110=Constants!$B$2, TRUE(), IF(L110=Constants!$B$3, FALSE(), TRUE())))</f>
        <v/>
      </c>
      <c r="W110" s="62" t="str">
        <f aca="false">IF(ISBLANK($C110),"",IF(M110=Constants!$B$2, TRUE(), IF(M110=Constants!$B$3, FALSE(), FALSE())))</f>
        <v/>
      </c>
      <c r="X110" s="62" t="str">
        <f aca="false">IF(ISBLANK($C110),"",AND(Q110&lt;&gt;"",O110))</f>
        <v/>
      </c>
      <c r="Y110" s="62" t="str">
        <f aca="false">IF(ISBLANK($C110),"",AND(T110&lt;&gt;"",O110))</f>
        <v/>
      </c>
      <c r="Z110" s="62" t="str">
        <f aca="false">IF(ISBLANK($C110),"",IF(W110,Constants!$B$4,IF(COUNTA(E110:L110)=0,Constants!$B$5,IF(NOT(O110),Constants!$B$6,IF(AND(NOT(X110),NOT(Y110)),Constants!$B$6,Constants!$B$7)))))</f>
        <v/>
      </c>
      <c r="AA110" s="62" t="str">
        <f aca="false">IF(ISBLANK($C110),"",IF($Z110&lt;&gt;Constants!$B$7,$Z110,Constants!$B$20))</f>
        <v/>
      </c>
      <c r="AB110" s="62" t="str">
        <f aca="false">IF($Z110=Constants!$B$7,IF(X110,Q110,Constants!$B$13),"")</f>
        <v/>
      </c>
      <c r="AC110" s="62" t="str">
        <f aca="false">IF($Z110=Constants!$B$7,IF(X110,P110*IF(R110, 1, Constants!$B$11)*IF(S110, 1, Constants!$B$12),Constants!$B$13),"")</f>
        <v/>
      </c>
      <c r="AD110" s="62" t="str">
        <f aca="false">IF($Z110=Constants!$B$7,AB110*AC110,"")</f>
        <v/>
      </c>
      <c r="AE110" s="62" t="str">
        <f aca="false">IF($Z110=Constants!$B$7,IF(Y110,T110,Constants!$B$13),"")</f>
        <v/>
      </c>
      <c r="AF110" s="62" t="str">
        <f aca="false">IF($Z110=Constants!$B$7,IF(Y110,P110*IF(U110, 1, Constants!$B$11)*IF(V110, 1, Constants!$B$12),Constants!$B$13),"")</f>
        <v/>
      </c>
      <c r="AG110" s="62" t="str">
        <f aca="false">IF($Z110=Constants!$B$7,AE110*AF110,"")</f>
        <v/>
      </c>
      <c r="AH110" s="62" t="str">
        <f aca="false">IF($Z110=Constants!$B$7,IF(AG110&gt;AD110,2,1),"")</f>
        <v/>
      </c>
      <c r="AI110" s="62" t="str">
        <f aca="false">IF($Z110=Constants!$B$7,IF(AH110=1,2,1),"")</f>
        <v/>
      </c>
      <c r="AJ110" s="62" t="str">
        <f aca="false">IF(ISBLANK($C110),"",IF($Z110&lt;&gt;Constants!$B$7,$Z110,IF(AH110=1,AD110,AG110)))</f>
        <v/>
      </c>
      <c r="AK110" s="62" t="str">
        <f aca="false">IF(ISBLANK($C110),"",IF($Z110=Constants!$B$7,IF(ISNUMBER(AJ110),RANK(AJ110,$AJ$8:$AJ$507),Constants!$B$14),$Z110))</f>
        <v/>
      </c>
      <c r="AL110" s="62" t="str">
        <f aca="false">IF(ISBLANK($C110),"",IF($Z110=Constants!$B$7,IF(AI110=1,AD110,AG110),""))</f>
        <v/>
      </c>
      <c r="AM110" s="62" t="str">
        <f aca="false">IF(ISBLANK($C110),"",IF($Z110=Constants!$B$7,RANK(AL110,$AL$8:$AL$507),$Z110))</f>
        <v/>
      </c>
      <c r="AN110" s="62" t="str">
        <f aca="false">IF(ISBLANK($C110),"",IF($Z110=Constants!$B$7,IF(ISNUMBER(AK110),COUNTIFS($AK$8:$AK$507,"&lt;"&amp;$AK110)+COUNTIFS($AK$8:$AK$507,$AK110,$AM$8:$AM$507,"&lt;"&amp;$AM110)+1,Constants!$B$14),$Z110))</f>
        <v/>
      </c>
      <c r="AO110" s="62" t="str">
        <f aca="false">IF(ISBLANK($C110),"",IF($Z110=Constants!$B$7,IF(ISNUMBER(AK110),AK110-AN110,Constants!$B$14),$Z110))</f>
        <v/>
      </c>
      <c r="AP110" s="64"/>
      <c r="AQ110" s="65" t="str">
        <f aca="false">IF(ISBLANK($C110),"",IF($Z110&lt;&gt;Constants!$B$7,"",AH110))</f>
        <v/>
      </c>
      <c r="AR110" s="80" t="str">
        <f aca="false">IF(ISBLANK($C110),"",IF($Z110&lt;&gt;Constants!$B$7,"",IF(AH110=1,AB110,AE110)))</f>
        <v/>
      </c>
      <c r="AS110" s="67" t="str">
        <f aca="false">IF(ISBLANK($C110),"",IF($Z110&lt;&gt;Constants!$B$7,"",IF(AH110=1,AC110,AF110)))</f>
        <v/>
      </c>
      <c r="AT110" s="68" t="str">
        <f aca="false">IF(ISBLANK($C110),"",IF($Z110&lt;&gt;Constants!$B$7,$Z110,AJ110))</f>
        <v/>
      </c>
      <c r="AU110" s="69" t="str">
        <f aca="false">IF(ISBLANK($C110),"",IF($Z110&lt;&gt;Constants!$B$7,$Z110,AA110))</f>
        <v/>
      </c>
      <c r="AV110" s="70" t="str">
        <f aca="false">IF(ISBLANK($C110),"",AO110)</f>
        <v/>
      </c>
      <c r="AW110" s="70" t="str">
        <f aca="false">IF(ISBLANK($C110),"",AN110)</f>
        <v/>
      </c>
      <c r="AX110" s="71" t="str">
        <f aca="false">IF(ISBLANK($C110),"",IFERROR(_xlfn.SWITCH(AW110,Constants!$B$4,COUNTA($C$8:$C$507)+2,Constants!$B$5,COUNTA($C$8:$C$507)+1,Constants!$B$6,COUNTA($C$8:$C$507)),AW110))</f>
        <v/>
      </c>
      <c r="AY110" s="5"/>
      <c r="AZ110" s="72" t="n">
        <f aca="false">IF(OR(ISNUMBER(AW110),AW110=Constants!$B$4,AW110=Constants!$B$6,AW110=Constants!$B$5),1,0)</f>
        <v>0</v>
      </c>
      <c r="BA110" s="72" t="n">
        <v>103</v>
      </c>
      <c r="BB110" s="72" t="str">
        <f aca="false">IF(ISBLANK($C110),"",IF(ISNUMBER(AX110),AX110+ROW($B110)/1000,""))</f>
        <v/>
      </c>
      <c r="BC110" s="72" t="str">
        <f aca="false">IF(ISNUMBER(BB110),RANK(BB110,$BB$8:$BB$507,1),"")</f>
        <v/>
      </c>
      <c r="BD110" s="72" t="str">
        <f aca="false">IF(ISBLANK($C110),"",$B110)</f>
        <v/>
      </c>
      <c r="BE110" s="72" t="str">
        <f aca="false">IF(ISBLANK($C110),"",$C110)</f>
        <v/>
      </c>
      <c r="BF110" s="72" t="str">
        <f aca="false">IF(ISBLANK($C110),"",$D110)</f>
        <v/>
      </c>
      <c r="BG110" s="73" t="str">
        <f aca="false">AU110</f>
        <v/>
      </c>
      <c r="BH110" s="74" t="str">
        <f aca="false">AT110</f>
        <v/>
      </c>
      <c r="BI110" s="72" t="str">
        <f aca="false">IF(ISBLANK($C110),"",AW110)</f>
        <v/>
      </c>
      <c r="BJ110" s="75" t="str">
        <f aca="false">IF($BA110&gt;$AZ$7,"",VLOOKUP($BA110,$BC$8:$BI$507,7,FALSE()))</f>
        <v/>
      </c>
      <c r="BK110" s="76" t="str">
        <f aca="false">IF($BA110&gt;$AZ$7,"",VLOOKUP($BA110,$BC$8:$BI$507,2,FALSE()))</f>
        <v/>
      </c>
      <c r="BL110" s="76" t="str">
        <f aca="false">IF($BA110&gt;$AZ$7,"",VLOOKUP($BA110,$BC$8:$BI$507,3,FALSE()))</f>
        <v/>
      </c>
      <c r="BM110" s="76" t="str">
        <f aca="false">IF($BA110&gt;$AZ$7,"",VLOOKUP($BA110,$BC$8:$BI$507,4,FALSE()))</f>
        <v/>
      </c>
      <c r="BN110" s="76" t="str">
        <f aca="false">IF($BA110&gt;$AZ$7,"",VLOOKUP($BA110,$BC$8:$BI$507,5,FALSE()))</f>
        <v/>
      </c>
      <c r="BO110" s="77" t="str">
        <f aca="false">IF($BA110&gt;$AZ$7,"",VLOOKUP($BA110,$BC$8:$BI$507,6,FALSE()))</f>
        <v/>
      </c>
      <c r="BP110" s="52"/>
    </row>
    <row r="111" customFormat="false" ht="15.75" hidden="false" customHeight="false" outlineLevel="0" collapsed="false">
      <c r="A111" s="5"/>
      <c r="B111" s="118"/>
      <c r="C111" s="54"/>
      <c r="D111" s="55"/>
      <c r="E111" s="79"/>
      <c r="F111" s="57"/>
      <c r="G111" s="58"/>
      <c r="H111" s="58"/>
      <c r="I111" s="57"/>
      <c r="J111" s="58"/>
      <c r="K111" s="58"/>
      <c r="L111" s="57"/>
      <c r="M111" s="79"/>
      <c r="N111" s="60"/>
      <c r="O111" s="62" t="str">
        <f aca="false">IF(ISBLANK($C111),"",IF(E111=Constants!$B$2, TRUE(), IF(E111=Constants!$B$3, FALSE(), TRUE())))</f>
        <v/>
      </c>
      <c r="P111" s="62" t="str">
        <f aca="false">IF(ISBLANK($C111),"",IF(F111=Constants!$B$16,Constants!$B$9,IF(F111=Constants!$B$17,Constants!$B$10,Constants!$B$8)))</f>
        <v/>
      </c>
      <c r="Q111" s="62" t="str">
        <f aca="false">IF(ISBLANK($C111),"",IF(ISNUMBER(G111),IF(G111&gt;=0,G111,""),""))</f>
        <v/>
      </c>
      <c r="R111" s="62" t="str">
        <f aca="false">IF(ISBLANK($C111),"",IF(H111=Constants!$B$2, TRUE(), IF(H111=Constants!$B$3, FALSE(), TRUE())))</f>
        <v/>
      </c>
      <c r="S111" s="62" t="str">
        <f aca="false">IF(ISBLANK($C111),"",IF(I111=Constants!$B$2, TRUE(), IF(I111=Constants!$B$3, FALSE(), TRUE())))</f>
        <v/>
      </c>
      <c r="T111" s="62" t="str">
        <f aca="false">IF(ISBLANK($C111),"",IF(ISNUMBER(J111),IF(J111&gt;=0,J111,""),""))</f>
        <v/>
      </c>
      <c r="U111" s="62" t="str">
        <f aca="false">IF(ISBLANK($C111),"",IF(K111=Constants!$B$2, TRUE(), IF(K111=Constants!$B$3, FALSE(), TRUE())))</f>
        <v/>
      </c>
      <c r="V111" s="62" t="str">
        <f aca="false">IF(ISBLANK($C111),"",IF(L111=Constants!$B$2, TRUE(), IF(L111=Constants!$B$3, FALSE(), TRUE())))</f>
        <v/>
      </c>
      <c r="W111" s="62" t="str">
        <f aca="false">IF(ISBLANK($C111),"",IF(M111=Constants!$B$2, TRUE(), IF(M111=Constants!$B$3, FALSE(), FALSE())))</f>
        <v/>
      </c>
      <c r="X111" s="62" t="str">
        <f aca="false">IF(ISBLANK($C111),"",AND(Q111&lt;&gt;"",O111))</f>
        <v/>
      </c>
      <c r="Y111" s="62" t="str">
        <f aca="false">IF(ISBLANK($C111),"",AND(T111&lt;&gt;"",O111))</f>
        <v/>
      </c>
      <c r="Z111" s="62" t="str">
        <f aca="false">IF(ISBLANK($C111),"",IF(W111,Constants!$B$4,IF(COUNTA(E111:L111)=0,Constants!$B$5,IF(NOT(O111),Constants!$B$6,IF(AND(NOT(X111),NOT(Y111)),Constants!$B$6,Constants!$B$7)))))</f>
        <v/>
      </c>
      <c r="AA111" s="62" t="str">
        <f aca="false">IF(ISBLANK($C111),"",IF($Z111&lt;&gt;Constants!$B$7,$Z111,Constants!$B$20))</f>
        <v/>
      </c>
      <c r="AB111" s="62" t="str">
        <f aca="false">IF($Z111=Constants!$B$7,IF(X111,Q111,Constants!$B$13),"")</f>
        <v/>
      </c>
      <c r="AC111" s="62" t="str">
        <f aca="false">IF($Z111=Constants!$B$7,IF(X111,P111*IF(R111, 1, Constants!$B$11)*IF(S111, 1, Constants!$B$12),Constants!$B$13),"")</f>
        <v/>
      </c>
      <c r="AD111" s="62" t="str">
        <f aca="false">IF($Z111=Constants!$B$7,AB111*AC111,"")</f>
        <v/>
      </c>
      <c r="AE111" s="62" t="str">
        <f aca="false">IF($Z111=Constants!$B$7,IF(Y111,T111,Constants!$B$13),"")</f>
        <v/>
      </c>
      <c r="AF111" s="62" t="str">
        <f aca="false">IF($Z111=Constants!$B$7,IF(Y111,P111*IF(U111, 1, Constants!$B$11)*IF(V111, 1, Constants!$B$12),Constants!$B$13),"")</f>
        <v/>
      </c>
      <c r="AG111" s="62" t="str">
        <f aca="false">IF($Z111=Constants!$B$7,AE111*AF111,"")</f>
        <v/>
      </c>
      <c r="AH111" s="62" t="str">
        <f aca="false">IF($Z111=Constants!$B$7,IF(AG111&gt;AD111,2,1),"")</f>
        <v/>
      </c>
      <c r="AI111" s="62" t="str">
        <f aca="false">IF($Z111=Constants!$B$7,IF(AH111=1,2,1),"")</f>
        <v/>
      </c>
      <c r="AJ111" s="62" t="str">
        <f aca="false">IF(ISBLANK($C111),"",IF($Z111&lt;&gt;Constants!$B$7,$Z111,IF(AH111=1,AD111,AG111)))</f>
        <v/>
      </c>
      <c r="AK111" s="62" t="str">
        <f aca="false">IF(ISBLANK($C111),"",IF($Z111=Constants!$B$7,IF(ISNUMBER(AJ111),RANK(AJ111,$AJ$8:$AJ$507),Constants!$B$14),$Z111))</f>
        <v/>
      </c>
      <c r="AL111" s="62" t="str">
        <f aca="false">IF(ISBLANK($C111),"",IF($Z111=Constants!$B$7,IF(AI111=1,AD111,AG111),""))</f>
        <v/>
      </c>
      <c r="AM111" s="62" t="str">
        <f aca="false">IF(ISBLANK($C111),"",IF($Z111=Constants!$B$7,RANK(AL111,$AL$8:$AL$507),$Z111))</f>
        <v/>
      </c>
      <c r="AN111" s="62" t="str">
        <f aca="false">IF(ISBLANK($C111),"",IF($Z111=Constants!$B$7,IF(ISNUMBER(AK111),COUNTIFS($AK$8:$AK$507,"&lt;"&amp;$AK111)+COUNTIFS($AK$8:$AK$507,$AK111,$AM$8:$AM$507,"&lt;"&amp;$AM111)+1,Constants!$B$14),$Z111))</f>
        <v/>
      </c>
      <c r="AO111" s="62" t="str">
        <f aca="false">IF(ISBLANK($C111),"",IF($Z111=Constants!$B$7,IF(ISNUMBER(AK111),AK111-AN111,Constants!$B$14),$Z111))</f>
        <v/>
      </c>
      <c r="AP111" s="64"/>
      <c r="AQ111" s="65" t="str">
        <f aca="false">IF(ISBLANK($C111),"",IF($Z111&lt;&gt;Constants!$B$7,"",AH111))</f>
        <v/>
      </c>
      <c r="AR111" s="80" t="str">
        <f aca="false">IF(ISBLANK($C111),"",IF($Z111&lt;&gt;Constants!$B$7,"",IF(AH111=1,AB111,AE111)))</f>
        <v/>
      </c>
      <c r="AS111" s="67" t="str">
        <f aca="false">IF(ISBLANK($C111),"",IF($Z111&lt;&gt;Constants!$B$7,"",IF(AH111=1,AC111,AF111)))</f>
        <v/>
      </c>
      <c r="AT111" s="68" t="str">
        <f aca="false">IF(ISBLANK($C111),"",IF($Z111&lt;&gt;Constants!$B$7,$Z111,AJ111))</f>
        <v/>
      </c>
      <c r="AU111" s="69" t="str">
        <f aca="false">IF(ISBLANK($C111),"",IF($Z111&lt;&gt;Constants!$B$7,$Z111,AA111))</f>
        <v/>
      </c>
      <c r="AV111" s="70" t="str">
        <f aca="false">IF(ISBLANK($C111),"",AO111)</f>
        <v/>
      </c>
      <c r="AW111" s="70" t="str">
        <f aca="false">IF(ISBLANK($C111),"",AN111)</f>
        <v/>
      </c>
      <c r="AX111" s="71" t="str">
        <f aca="false">IF(ISBLANK($C111),"",IFERROR(_xlfn.SWITCH(AW111,Constants!$B$4,COUNTA($C$8:$C$507)+2,Constants!$B$5,COUNTA($C$8:$C$507)+1,Constants!$B$6,COUNTA($C$8:$C$507)),AW111))</f>
        <v/>
      </c>
      <c r="AY111" s="5"/>
      <c r="AZ111" s="72" t="n">
        <f aca="false">IF(OR(ISNUMBER(AW111),AW111=Constants!$B$4,AW111=Constants!$B$6,AW111=Constants!$B$5),1,0)</f>
        <v>0</v>
      </c>
      <c r="BA111" s="72" t="n">
        <v>104</v>
      </c>
      <c r="BB111" s="72" t="str">
        <f aca="false">IF(ISBLANK($C111),"",IF(ISNUMBER(AX111),AX111+ROW($B111)/1000,""))</f>
        <v/>
      </c>
      <c r="BC111" s="72" t="str">
        <f aca="false">IF(ISNUMBER(BB111),RANK(BB111,$BB$8:$BB$507,1),"")</f>
        <v/>
      </c>
      <c r="BD111" s="72" t="str">
        <f aca="false">IF(ISBLANK($C111),"",$B111)</f>
        <v/>
      </c>
      <c r="BE111" s="72" t="str">
        <f aca="false">IF(ISBLANK($C111),"",$C111)</f>
        <v/>
      </c>
      <c r="BF111" s="72" t="str">
        <f aca="false">IF(ISBLANK($C111),"",$D111)</f>
        <v/>
      </c>
      <c r="BG111" s="73" t="str">
        <f aca="false">AU111</f>
        <v/>
      </c>
      <c r="BH111" s="74" t="str">
        <f aca="false">AT111</f>
        <v/>
      </c>
      <c r="BI111" s="72" t="str">
        <f aca="false">IF(ISBLANK($C111),"",AW111)</f>
        <v/>
      </c>
      <c r="BJ111" s="75" t="str">
        <f aca="false">IF($BA111&gt;$AZ$7,"",VLOOKUP($BA111,$BC$8:$BI$507,7,FALSE()))</f>
        <v/>
      </c>
      <c r="BK111" s="76" t="str">
        <f aca="false">IF($BA111&gt;$AZ$7,"",VLOOKUP($BA111,$BC$8:$BI$507,2,FALSE()))</f>
        <v/>
      </c>
      <c r="BL111" s="76" t="str">
        <f aca="false">IF($BA111&gt;$AZ$7,"",VLOOKUP($BA111,$BC$8:$BI$507,3,FALSE()))</f>
        <v/>
      </c>
      <c r="BM111" s="76" t="str">
        <f aca="false">IF($BA111&gt;$AZ$7,"",VLOOKUP($BA111,$BC$8:$BI$507,4,FALSE()))</f>
        <v/>
      </c>
      <c r="BN111" s="76" t="str">
        <f aca="false">IF($BA111&gt;$AZ$7,"",VLOOKUP($BA111,$BC$8:$BI$507,5,FALSE()))</f>
        <v/>
      </c>
      <c r="BO111" s="77" t="str">
        <f aca="false">IF($BA111&gt;$AZ$7,"",VLOOKUP($BA111,$BC$8:$BI$507,6,FALSE()))</f>
        <v/>
      </c>
      <c r="BP111" s="52"/>
    </row>
    <row r="112" customFormat="false" ht="15.75" hidden="false" customHeight="false" outlineLevel="0" collapsed="false">
      <c r="A112" s="5"/>
      <c r="B112" s="118"/>
      <c r="C112" s="54"/>
      <c r="D112" s="55"/>
      <c r="E112" s="79"/>
      <c r="F112" s="57"/>
      <c r="G112" s="58"/>
      <c r="H112" s="58"/>
      <c r="I112" s="57"/>
      <c r="J112" s="58"/>
      <c r="K112" s="58"/>
      <c r="L112" s="57"/>
      <c r="M112" s="79"/>
      <c r="N112" s="60"/>
      <c r="O112" s="62" t="str">
        <f aca="false">IF(ISBLANK($C112),"",IF(E112=Constants!$B$2, TRUE(), IF(E112=Constants!$B$3, FALSE(), TRUE())))</f>
        <v/>
      </c>
      <c r="P112" s="62" t="str">
        <f aca="false">IF(ISBLANK($C112),"",IF(F112=Constants!$B$16,Constants!$B$9,IF(F112=Constants!$B$17,Constants!$B$10,Constants!$B$8)))</f>
        <v/>
      </c>
      <c r="Q112" s="62" t="str">
        <f aca="false">IF(ISBLANK($C112),"",IF(ISNUMBER(G112),IF(G112&gt;=0,G112,""),""))</f>
        <v/>
      </c>
      <c r="R112" s="62" t="str">
        <f aca="false">IF(ISBLANK($C112),"",IF(H112=Constants!$B$2, TRUE(), IF(H112=Constants!$B$3, FALSE(), TRUE())))</f>
        <v/>
      </c>
      <c r="S112" s="62" t="str">
        <f aca="false">IF(ISBLANK($C112),"",IF(I112=Constants!$B$2, TRUE(), IF(I112=Constants!$B$3, FALSE(), TRUE())))</f>
        <v/>
      </c>
      <c r="T112" s="62" t="str">
        <f aca="false">IF(ISBLANK($C112),"",IF(ISNUMBER(J112),IF(J112&gt;=0,J112,""),""))</f>
        <v/>
      </c>
      <c r="U112" s="62" t="str">
        <f aca="false">IF(ISBLANK($C112),"",IF(K112=Constants!$B$2, TRUE(), IF(K112=Constants!$B$3, FALSE(), TRUE())))</f>
        <v/>
      </c>
      <c r="V112" s="62" t="str">
        <f aca="false">IF(ISBLANK($C112),"",IF(L112=Constants!$B$2, TRUE(), IF(L112=Constants!$B$3, FALSE(), TRUE())))</f>
        <v/>
      </c>
      <c r="W112" s="62" t="str">
        <f aca="false">IF(ISBLANK($C112),"",IF(M112=Constants!$B$2, TRUE(), IF(M112=Constants!$B$3, FALSE(), FALSE())))</f>
        <v/>
      </c>
      <c r="X112" s="62" t="str">
        <f aca="false">IF(ISBLANK($C112),"",AND(Q112&lt;&gt;"",O112))</f>
        <v/>
      </c>
      <c r="Y112" s="62" t="str">
        <f aca="false">IF(ISBLANK($C112),"",AND(T112&lt;&gt;"",O112))</f>
        <v/>
      </c>
      <c r="Z112" s="62" t="str">
        <f aca="false">IF(ISBLANK($C112),"",IF(W112,Constants!$B$4,IF(COUNTA(E112:L112)=0,Constants!$B$5,IF(NOT(O112),Constants!$B$6,IF(AND(NOT(X112),NOT(Y112)),Constants!$B$6,Constants!$B$7)))))</f>
        <v/>
      </c>
      <c r="AA112" s="62" t="str">
        <f aca="false">IF(ISBLANK($C112),"",IF($Z112&lt;&gt;Constants!$B$7,$Z112,Constants!$B$20))</f>
        <v/>
      </c>
      <c r="AB112" s="62" t="str">
        <f aca="false">IF($Z112=Constants!$B$7,IF(X112,Q112,Constants!$B$13),"")</f>
        <v/>
      </c>
      <c r="AC112" s="62" t="str">
        <f aca="false">IF($Z112=Constants!$B$7,IF(X112,P112*IF(R112, 1, Constants!$B$11)*IF(S112, 1, Constants!$B$12),Constants!$B$13),"")</f>
        <v/>
      </c>
      <c r="AD112" s="62" t="str">
        <f aca="false">IF($Z112=Constants!$B$7,AB112*AC112,"")</f>
        <v/>
      </c>
      <c r="AE112" s="62" t="str">
        <f aca="false">IF($Z112=Constants!$B$7,IF(Y112,T112,Constants!$B$13),"")</f>
        <v/>
      </c>
      <c r="AF112" s="62" t="str">
        <f aca="false">IF($Z112=Constants!$B$7,IF(Y112,P112*IF(U112, 1, Constants!$B$11)*IF(V112, 1, Constants!$B$12),Constants!$B$13),"")</f>
        <v/>
      </c>
      <c r="AG112" s="62" t="str">
        <f aca="false">IF($Z112=Constants!$B$7,AE112*AF112,"")</f>
        <v/>
      </c>
      <c r="AH112" s="62" t="str">
        <f aca="false">IF($Z112=Constants!$B$7,IF(AG112&gt;AD112,2,1),"")</f>
        <v/>
      </c>
      <c r="AI112" s="62" t="str">
        <f aca="false">IF($Z112=Constants!$B$7,IF(AH112=1,2,1),"")</f>
        <v/>
      </c>
      <c r="AJ112" s="62" t="str">
        <f aca="false">IF(ISBLANK($C112),"",IF($Z112&lt;&gt;Constants!$B$7,$Z112,IF(AH112=1,AD112,AG112)))</f>
        <v/>
      </c>
      <c r="AK112" s="62" t="str">
        <f aca="false">IF(ISBLANK($C112),"",IF($Z112=Constants!$B$7,IF(ISNUMBER(AJ112),RANK(AJ112,$AJ$8:$AJ$507),Constants!$B$14),$Z112))</f>
        <v/>
      </c>
      <c r="AL112" s="62" t="str">
        <f aca="false">IF(ISBLANK($C112),"",IF($Z112=Constants!$B$7,IF(AI112=1,AD112,AG112),""))</f>
        <v/>
      </c>
      <c r="AM112" s="62" t="str">
        <f aca="false">IF(ISBLANK($C112),"",IF($Z112=Constants!$B$7,RANK(AL112,$AL$8:$AL$507),$Z112))</f>
        <v/>
      </c>
      <c r="AN112" s="62" t="str">
        <f aca="false">IF(ISBLANK($C112),"",IF($Z112=Constants!$B$7,IF(ISNUMBER(AK112),COUNTIFS($AK$8:$AK$507,"&lt;"&amp;$AK112)+COUNTIFS($AK$8:$AK$507,$AK112,$AM$8:$AM$507,"&lt;"&amp;$AM112)+1,Constants!$B$14),$Z112))</f>
        <v/>
      </c>
      <c r="AO112" s="62" t="str">
        <f aca="false">IF(ISBLANK($C112),"",IF($Z112=Constants!$B$7,IF(ISNUMBER(AK112),AK112-AN112,Constants!$B$14),$Z112))</f>
        <v/>
      </c>
      <c r="AP112" s="64"/>
      <c r="AQ112" s="65" t="str">
        <f aca="false">IF(ISBLANK($C112),"",IF($Z112&lt;&gt;Constants!$B$7,"",AH112))</f>
        <v/>
      </c>
      <c r="AR112" s="80" t="str">
        <f aca="false">IF(ISBLANK($C112),"",IF($Z112&lt;&gt;Constants!$B$7,"",IF(AH112=1,AB112,AE112)))</f>
        <v/>
      </c>
      <c r="AS112" s="67" t="str">
        <f aca="false">IF(ISBLANK($C112),"",IF($Z112&lt;&gt;Constants!$B$7,"",IF(AH112=1,AC112,AF112)))</f>
        <v/>
      </c>
      <c r="AT112" s="68" t="str">
        <f aca="false">IF(ISBLANK($C112),"",IF($Z112&lt;&gt;Constants!$B$7,$Z112,AJ112))</f>
        <v/>
      </c>
      <c r="AU112" s="69" t="str">
        <f aca="false">IF(ISBLANK($C112),"",IF($Z112&lt;&gt;Constants!$B$7,$Z112,AA112))</f>
        <v/>
      </c>
      <c r="AV112" s="70" t="str">
        <f aca="false">IF(ISBLANK($C112),"",AO112)</f>
        <v/>
      </c>
      <c r="AW112" s="70" t="str">
        <f aca="false">IF(ISBLANK($C112),"",AN112)</f>
        <v/>
      </c>
      <c r="AX112" s="71" t="str">
        <f aca="false">IF(ISBLANK($C112),"",IFERROR(_xlfn.SWITCH(AW112,Constants!$B$4,COUNTA($C$8:$C$507)+2,Constants!$B$5,COUNTA($C$8:$C$507)+1,Constants!$B$6,COUNTA($C$8:$C$507)),AW112))</f>
        <v/>
      </c>
      <c r="AY112" s="5"/>
      <c r="AZ112" s="72" t="n">
        <f aca="false">IF(OR(ISNUMBER(AW112),AW112=Constants!$B$4,AW112=Constants!$B$6,AW112=Constants!$B$5),1,0)</f>
        <v>0</v>
      </c>
      <c r="BA112" s="72" t="n">
        <v>105</v>
      </c>
      <c r="BB112" s="72" t="str">
        <f aca="false">IF(ISBLANK($C112),"",IF(ISNUMBER(AX112),AX112+ROW($B112)/1000,""))</f>
        <v/>
      </c>
      <c r="BC112" s="72" t="str">
        <f aca="false">IF(ISNUMBER(BB112),RANK(BB112,$BB$8:$BB$507,1),"")</f>
        <v/>
      </c>
      <c r="BD112" s="72" t="str">
        <f aca="false">IF(ISBLANK($C112),"",$B112)</f>
        <v/>
      </c>
      <c r="BE112" s="72" t="str">
        <f aca="false">IF(ISBLANK($C112),"",$C112)</f>
        <v/>
      </c>
      <c r="BF112" s="72" t="str">
        <f aca="false">IF(ISBLANK($C112),"",$D112)</f>
        <v/>
      </c>
      <c r="BG112" s="73" t="str">
        <f aca="false">AU112</f>
        <v/>
      </c>
      <c r="BH112" s="74" t="str">
        <f aca="false">AT112</f>
        <v/>
      </c>
      <c r="BI112" s="72" t="str">
        <f aca="false">IF(ISBLANK($C112),"",AW112)</f>
        <v/>
      </c>
      <c r="BJ112" s="75" t="str">
        <f aca="false">IF($BA112&gt;$AZ$7,"",VLOOKUP($BA112,$BC$8:$BI$507,7,FALSE()))</f>
        <v/>
      </c>
      <c r="BK112" s="76" t="str">
        <f aca="false">IF($BA112&gt;$AZ$7,"",VLOOKUP($BA112,$BC$8:$BI$507,2,FALSE()))</f>
        <v/>
      </c>
      <c r="BL112" s="76" t="str">
        <f aca="false">IF($BA112&gt;$AZ$7,"",VLOOKUP($BA112,$BC$8:$BI$507,3,FALSE()))</f>
        <v/>
      </c>
      <c r="BM112" s="76" t="str">
        <f aca="false">IF($BA112&gt;$AZ$7,"",VLOOKUP($BA112,$BC$8:$BI$507,4,FALSE()))</f>
        <v/>
      </c>
      <c r="BN112" s="76" t="str">
        <f aca="false">IF($BA112&gt;$AZ$7,"",VLOOKUP($BA112,$BC$8:$BI$507,5,FALSE()))</f>
        <v/>
      </c>
      <c r="BO112" s="77" t="str">
        <f aca="false">IF($BA112&gt;$AZ$7,"",VLOOKUP($BA112,$BC$8:$BI$507,6,FALSE()))</f>
        <v/>
      </c>
      <c r="BP112" s="52"/>
    </row>
    <row r="113" customFormat="false" ht="15.75" hidden="false" customHeight="false" outlineLevel="0" collapsed="false">
      <c r="A113" s="5"/>
      <c r="B113" s="114"/>
      <c r="C113" s="115"/>
      <c r="D113" s="106"/>
      <c r="E113" s="117"/>
      <c r="F113" s="87"/>
      <c r="G113" s="88"/>
      <c r="H113" s="88"/>
      <c r="I113" s="87"/>
      <c r="J113" s="88"/>
      <c r="K113" s="88"/>
      <c r="L113" s="87"/>
      <c r="M113" s="117"/>
      <c r="N113" s="90"/>
      <c r="O113" s="91" t="str">
        <f aca="false">IF(ISBLANK($C113),"",IF(E113=Constants!$B$2, TRUE(), IF(E113=Constants!$B$3, FALSE(), TRUE())))</f>
        <v/>
      </c>
      <c r="P113" s="91" t="str">
        <f aca="false">IF(ISBLANK($C113),"",IF(F113=Constants!$B$16,Constants!$B$9,IF(F113=Constants!$B$17,Constants!$B$10,Constants!$B$8)))</f>
        <v/>
      </c>
      <c r="Q113" s="91" t="str">
        <f aca="false">IF(ISBLANK($C113),"",IF(ISNUMBER(G113),IF(G113&gt;=0,G113,""),""))</f>
        <v/>
      </c>
      <c r="R113" s="91" t="str">
        <f aca="false">IF(ISBLANK($C113),"",IF(H113=Constants!$B$2, TRUE(), IF(H113=Constants!$B$3, FALSE(), TRUE())))</f>
        <v/>
      </c>
      <c r="S113" s="91" t="str">
        <f aca="false">IF(ISBLANK($C113),"",IF(I113=Constants!$B$2, TRUE(), IF(I113=Constants!$B$3, FALSE(), TRUE())))</f>
        <v/>
      </c>
      <c r="T113" s="91" t="str">
        <f aca="false">IF(ISBLANK($C113),"",IF(ISNUMBER(J113),IF(J113&gt;=0,J113,""),""))</f>
        <v/>
      </c>
      <c r="U113" s="91" t="str">
        <f aca="false">IF(ISBLANK($C113),"",IF(K113=Constants!$B$2, TRUE(), IF(K113=Constants!$B$3, FALSE(), TRUE())))</f>
        <v/>
      </c>
      <c r="V113" s="91" t="str">
        <f aca="false">IF(ISBLANK($C113),"",IF(L113=Constants!$B$2, TRUE(), IF(L113=Constants!$B$3, FALSE(), TRUE())))</f>
        <v/>
      </c>
      <c r="W113" s="91" t="str">
        <f aca="false">IF(ISBLANK($C113),"",IF(M113=Constants!$B$2, TRUE(), IF(M113=Constants!$B$3, FALSE(), FALSE())))</f>
        <v/>
      </c>
      <c r="X113" s="91" t="str">
        <f aca="false">IF(ISBLANK($C113),"",AND(Q113&lt;&gt;"",O113))</f>
        <v/>
      </c>
      <c r="Y113" s="91" t="str">
        <f aca="false">IF(ISBLANK($C113),"",AND(T113&lt;&gt;"",O113))</f>
        <v/>
      </c>
      <c r="Z113" s="91" t="str">
        <f aca="false">IF(ISBLANK($C113),"",IF(W113,Constants!$B$4,IF(COUNTA(E113:L113)=0,Constants!$B$5,IF(NOT(O113),Constants!$B$6,IF(AND(NOT(X113),NOT(Y113)),Constants!$B$6,Constants!$B$7)))))</f>
        <v/>
      </c>
      <c r="AA113" s="91" t="str">
        <f aca="false">IF(ISBLANK($C113),"",IF($Z113&lt;&gt;Constants!$B$7,$Z113,Constants!$B$20))</f>
        <v/>
      </c>
      <c r="AB113" s="91" t="str">
        <f aca="false">IF($Z113=Constants!$B$7,IF(X113,Q113,Constants!$B$13),"")</f>
        <v/>
      </c>
      <c r="AC113" s="91" t="str">
        <f aca="false">IF($Z113=Constants!$B$7,IF(X113,P113*IF(R113, 1, Constants!$B$11)*IF(S113, 1, Constants!$B$12),Constants!$B$13),"")</f>
        <v/>
      </c>
      <c r="AD113" s="91" t="str">
        <f aca="false">IF($Z113=Constants!$B$7,AB113*AC113,"")</f>
        <v/>
      </c>
      <c r="AE113" s="91" t="str">
        <f aca="false">IF($Z113=Constants!$B$7,IF(Y113,T113,Constants!$B$13),"")</f>
        <v/>
      </c>
      <c r="AF113" s="91" t="str">
        <f aca="false">IF($Z113=Constants!$B$7,IF(Y113,P113*IF(U113, 1, Constants!$B$11)*IF(V113, 1, Constants!$B$12),Constants!$B$13),"")</f>
        <v/>
      </c>
      <c r="AG113" s="91" t="str">
        <f aca="false">IF($Z113=Constants!$B$7,AE113*AF113,"")</f>
        <v/>
      </c>
      <c r="AH113" s="91" t="str">
        <f aca="false">IF($Z113=Constants!$B$7,IF(AG113&gt;AD113,2,1),"")</f>
        <v/>
      </c>
      <c r="AI113" s="91" t="str">
        <f aca="false">IF($Z113=Constants!$B$7,IF(AH113=1,2,1),"")</f>
        <v/>
      </c>
      <c r="AJ113" s="91" t="str">
        <f aca="false">IF(ISBLANK($C113),"",IF($Z113&lt;&gt;Constants!$B$7,$Z113,IF(AH113=1,AD113,AG113)))</f>
        <v/>
      </c>
      <c r="AK113" s="91" t="str">
        <f aca="false">IF(ISBLANK($C113),"",IF($Z113=Constants!$B$7,IF(ISNUMBER(AJ113),RANK(AJ113,$AJ$8:$AJ$507),Constants!$B$14),$Z113))</f>
        <v/>
      </c>
      <c r="AL113" s="91" t="str">
        <f aca="false">IF(ISBLANK($C113),"",IF($Z113=Constants!$B$7,IF(AI113=1,AD113,AG113),""))</f>
        <v/>
      </c>
      <c r="AM113" s="91" t="str">
        <f aca="false">IF(ISBLANK($C113),"",IF($Z113=Constants!$B$7,RANK(AL113,$AL$8:$AL$507),$Z113))</f>
        <v/>
      </c>
      <c r="AN113" s="91" t="str">
        <f aca="false">IF(ISBLANK($C113),"",IF($Z113=Constants!$B$7,IF(ISNUMBER(AK113),COUNTIFS($AK$8:$AK$507,"&lt;"&amp;$AK113)+COUNTIFS($AK$8:$AK$507,$AK113,$AM$8:$AM$507,"&lt;"&amp;$AM113)+1,Constants!$B$14),$Z113))</f>
        <v/>
      </c>
      <c r="AO113" s="91" t="str">
        <f aca="false">IF(ISBLANK($C113),"",IF($Z113=Constants!$B$7,IF(ISNUMBER(AK113),AK113-AN113,Constants!$B$14),$Z113))</f>
        <v/>
      </c>
      <c r="AP113" s="92"/>
      <c r="AQ113" s="93" t="str">
        <f aca="false">IF(ISBLANK($C113),"",IF($Z113&lt;&gt;Constants!$B$7,"",AH113))</f>
        <v/>
      </c>
      <c r="AR113" s="94" t="str">
        <f aca="false">IF(ISBLANK($C113),"",IF($Z113&lt;&gt;Constants!$B$7,"",IF(AH113=1,AB113,AE113)))</f>
        <v/>
      </c>
      <c r="AS113" s="95" t="str">
        <f aca="false">IF(ISBLANK($C113),"",IF($Z113&lt;&gt;Constants!$B$7,"",IF(AH113=1,AC113,AF113)))</f>
        <v/>
      </c>
      <c r="AT113" s="96" t="str">
        <f aca="false">IF(ISBLANK($C113),"",IF($Z113&lt;&gt;Constants!$B$7,$Z113,AJ113))</f>
        <v/>
      </c>
      <c r="AU113" s="97" t="str">
        <f aca="false">IF(ISBLANK($C113),"",IF($Z113&lt;&gt;Constants!$B$7,$Z113,AA113))</f>
        <v/>
      </c>
      <c r="AV113" s="98" t="str">
        <f aca="false">IF(ISBLANK($C113),"",AO113)</f>
        <v/>
      </c>
      <c r="AW113" s="98" t="str">
        <f aca="false">IF(ISBLANK($C113),"",AN113)</f>
        <v/>
      </c>
      <c r="AX113" s="99" t="str">
        <f aca="false">IF(ISBLANK($C113),"",IFERROR(_xlfn.SWITCH(AW113,Constants!$B$4,COUNTA($C$8:$C$507)+2,Constants!$B$5,COUNTA($C$8:$C$507)+1,Constants!$B$6,COUNTA($C$8:$C$507)),AW113))</f>
        <v/>
      </c>
      <c r="AY113" s="5"/>
      <c r="AZ113" s="100" t="n">
        <f aca="false">IF(OR(ISNUMBER(AW113),AW113=Constants!$B$4,AW113=Constants!$B$6,AW113=Constants!$B$5),1,0)</f>
        <v>0</v>
      </c>
      <c r="BA113" s="100" t="n">
        <v>106</v>
      </c>
      <c r="BB113" s="100" t="str">
        <f aca="false">IF(ISBLANK($C113),"",IF(ISNUMBER(AX113),AX113+ROW($B113)/1000,""))</f>
        <v/>
      </c>
      <c r="BC113" s="100" t="str">
        <f aca="false">IF(ISNUMBER(BB113),RANK(BB113,$BB$8:$BB$507,1),"")</f>
        <v/>
      </c>
      <c r="BD113" s="100" t="str">
        <f aca="false">IF(ISBLANK($C113),"",$B113)</f>
        <v/>
      </c>
      <c r="BE113" s="100" t="str">
        <f aca="false">IF(ISBLANK($C113),"",$C113)</f>
        <v/>
      </c>
      <c r="BF113" s="100" t="str">
        <f aca="false">IF(ISBLANK($C113),"",$D113)</f>
        <v/>
      </c>
      <c r="BG113" s="101" t="str">
        <f aca="false">AU113</f>
        <v/>
      </c>
      <c r="BH113" s="102" t="str">
        <f aca="false">AT113</f>
        <v/>
      </c>
      <c r="BI113" s="100" t="str">
        <f aca="false">IF(ISBLANK($C113),"",AW113)</f>
        <v/>
      </c>
      <c r="BJ113" s="103" t="str">
        <f aca="false">IF($BA113&gt;$AZ$7,"",VLOOKUP($BA113,$BC$8:$BI$507,7,FALSE()))</f>
        <v/>
      </c>
      <c r="BK113" s="104" t="str">
        <f aca="false">IF($BA113&gt;$AZ$7,"",VLOOKUP($BA113,$BC$8:$BI$507,2,FALSE()))</f>
        <v/>
      </c>
      <c r="BL113" s="104" t="str">
        <f aca="false">IF($BA113&gt;$AZ$7,"",VLOOKUP($BA113,$BC$8:$BI$507,3,FALSE()))</f>
        <v/>
      </c>
      <c r="BM113" s="104" t="str">
        <f aca="false">IF($BA113&gt;$AZ$7,"",VLOOKUP($BA113,$BC$8:$BI$507,4,FALSE()))</f>
        <v/>
      </c>
      <c r="BN113" s="104" t="str">
        <f aca="false">IF($BA113&gt;$AZ$7,"",VLOOKUP($BA113,$BC$8:$BI$507,5,FALSE()))</f>
        <v/>
      </c>
      <c r="BO113" s="105" t="str">
        <f aca="false">IF($BA113&gt;$AZ$7,"",VLOOKUP($BA113,$BC$8:$BI$507,6,FALSE()))</f>
        <v/>
      </c>
      <c r="BP113" s="52"/>
    </row>
    <row r="114" customFormat="false" ht="15.75" hidden="false" customHeight="false" outlineLevel="0" collapsed="false">
      <c r="A114" s="5"/>
      <c r="B114" s="114"/>
      <c r="C114" s="115"/>
      <c r="D114" s="106"/>
      <c r="E114" s="117"/>
      <c r="F114" s="87"/>
      <c r="G114" s="88"/>
      <c r="H114" s="88"/>
      <c r="I114" s="87"/>
      <c r="J114" s="88"/>
      <c r="K114" s="88"/>
      <c r="L114" s="87"/>
      <c r="M114" s="117"/>
      <c r="N114" s="90"/>
      <c r="O114" s="91" t="str">
        <f aca="false">IF(ISBLANK($C114),"",IF(E114=Constants!$B$2, TRUE(), IF(E114=Constants!$B$3, FALSE(), TRUE())))</f>
        <v/>
      </c>
      <c r="P114" s="91" t="str">
        <f aca="false">IF(ISBLANK($C114),"",IF(F114=Constants!$B$16,Constants!$B$9,IF(F114=Constants!$B$17,Constants!$B$10,Constants!$B$8)))</f>
        <v/>
      </c>
      <c r="Q114" s="91" t="str">
        <f aca="false">IF(ISBLANK($C114),"",IF(ISNUMBER(G114),IF(G114&gt;=0,G114,""),""))</f>
        <v/>
      </c>
      <c r="R114" s="91" t="str">
        <f aca="false">IF(ISBLANK($C114),"",IF(H114=Constants!$B$2, TRUE(), IF(H114=Constants!$B$3, FALSE(), TRUE())))</f>
        <v/>
      </c>
      <c r="S114" s="91" t="str">
        <f aca="false">IF(ISBLANK($C114),"",IF(I114=Constants!$B$2, TRUE(), IF(I114=Constants!$B$3, FALSE(), TRUE())))</f>
        <v/>
      </c>
      <c r="T114" s="91" t="str">
        <f aca="false">IF(ISBLANK($C114),"",IF(ISNUMBER(J114),IF(J114&gt;=0,J114,""),""))</f>
        <v/>
      </c>
      <c r="U114" s="91" t="str">
        <f aca="false">IF(ISBLANK($C114),"",IF(K114=Constants!$B$2, TRUE(), IF(K114=Constants!$B$3, FALSE(), TRUE())))</f>
        <v/>
      </c>
      <c r="V114" s="91" t="str">
        <f aca="false">IF(ISBLANK($C114),"",IF(L114=Constants!$B$2, TRUE(), IF(L114=Constants!$B$3, FALSE(), TRUE())))</f>
        <v/>
      </c>
      <c r="W114" s="91" t="str">
        <f aca="false">IF(ISBLANK($C114),"",IF(M114=Constants!$B$2, TRUE(), IF(M114=Constants!$B$3, FALSE(), FALSE())))</f>
        <v/>
      </c>
      <c r="X114" s="91" t="str">
        <f aca="false">IF(ISBLANK($C114),"",AND(Q114&lt;&gt;"",O114))</f>
        <v/>
      </c>
      <c r="Y114" s="91" t="str">
        <f aca="false">IF(ISBLANK($C114),"",AND(T114&lt;&gt;"",O114))</f>
        <v/>
      </c>
      <c r="Z114" s="91" t="str">
        <f aca="false">IF(ISBLANK($C114),"",IF(W114,Constants!$B$4,IF(COUNTA(E114:L114)=0,Constants!$B$5,IF(NOT(O114),Constants!$B$6,IF(AND(NOT(X114),NOT(Y114)),Constants!$B$6,Constants!$B$7)))))</f>
        <v/>
      </c>
      <c r="AA114" s="91" t="str">
        <f aca="false">IF(ISBLANK($C114),"",IF($Z114&lt;&gt;Constants!$B$7,$Z114,Constants!$B$20))</f>
        <v/>
      </c>
      <c r="AB114" s="91" t="str">
        <f aca="false">IF($Z114=Constants!$B$7,IF(X114,Q114,Constants!$B$13),"")</f>
        <v/>
      </c>
      <c r="AC114" s="91" t="str">
        <f aca="false">IF($Z114=Constants!$B$7,IF(X114,P114*IF(R114, 1, Constants!$B$11)*IF(S114, 1, Constants!$B$12),Constants!$B$13),"")</f>
        <v/>
      </c>
      <c r="AD114" s="91" t="str">
        <f aca="false">IF($Z114=Constants!$B$7,AB114*AC114,"")</f>
        <v/>
      </c>
      <c r="AE114" s="91" t="str">
        <f aca="false">IF($Z114=Constants!$B$7,IF(Y114,T114,Constants!$B$13),"")</f>
        <v/>
      </c>
      <c r="AF114" s="91" t="str">
        <f aca="false">IF($Z114=Constants!$B$7,IF(Y114,P114*IF(U114, 1, Constants!$B$11)*IF(V114, 1, Constants!$B$12),Constants!$B$13),"")</f>
        <v/>
      </c>
      <c r="AG114" s="91" t="str">
        <f aca="false">IF($Z114=Constants!$B$7,AE114*AF114,"")</f>
        <v/>
      </c>
      <c r="AH114" s="91" t="str">
        <f aca="false">IF($Z114=Constants!$B$7,IF(AG114&gt;AD114,2,1),"")</f>
        <v/>
      </c>
      <c r="AI114" s="91" t="str">
        <f aca="false">IF($Z114=Constants!$B$7,IF(AH114=1,2,1),"")</f>
        <v/>
      </c>
      <c r="AJ114" s="91" t="str">
        <f aca="false">IF(ISBLANK($C114),"",IF($Z114&lt;&gt;Constants!$B$7,$Z114,IF(AH114=1,AD114,AG114)))</f>
        <v/>
      </c>
      <c r="AK114" s="91" t="str">
        <f aca="false">IF(ISBLANK($C114),"",IF($Z114=Constants!$B$7,IF(ISNUMBER(AJ114),RANK(AJ114,$AJ$8:$AJ$507),Constants!$B$14),$Z114))</f>
        <v/>
      </c>
      <c r="AL114" s="91" t="str">
        <f aca="false">IF(ISBLANK($C114),"",IF($Z114=Constants!$B$7,IF(AI114=1,AD114,AG114),""))</f>
        <v/>
      </c>
      <c r="AM114" s="91" t="str">
        <f aca="false">IF(ISBLANK($C114),"",IF($Z114=Constants!$B$7,RANK(AL114,$AL$8:$AL$507),$Z114))</f>
        <v/>
      </c>
      <c r="AN114" s="91" t="str">
        <f aca="false">IF(ISBLANK($C114),"",IF($Z114=Constants!$B$7,IF(ISNUMBER(AK114),COUNTIFS($AK$8:$AK$507,"&lt;"&amp;$AK114)+COUNTIFS($AK$8:$AK$507,$AK114,$AM$8:$AM$507,"&lt;"&amp;$AM114)+1,Constants!$B$14),$Z114))</f>
        <v/>
      </c>
      <c r="AO114" s="91" t="str">
        <f aca="false">IF(ISBLANK($C114),"",IF($Z114=Constants!$B$7,IF(ISNUMBER(AK114),AK114-AN114,Constants!$B$14),$Z114))</f>
        <v/>
      </c>
      <c r="AP114" s="92"/>
      <c r="AQ114" s="93" t="str">
        <f aca="false">IF(ISBLANK($C114),"",IF($Z114&lt;&gt;Constants!$B$7,"",AH114))</f>
        <v/>
      </c>
      <c r="AR114" s="94" t="str">
        <f aca="false">IF(ISBLANK($C114),"",IF($Z114&lt;&gt;Constants!$B$7,"",IF(AH114=1,AB114,AE114)))</f>
        <v/>
      </c>
      <c r="AS114" s="95" t="str">
        <f aca="false">IF(ISBLANK($C114),"",IF($Z114&lt;&gt;Constants!$B$7,"",IF(AH114=1,AC114,AF114)))</f>
        <v/>
      </c>
      <c r="AT114" s="96" t="str">
        <f aca="false">IF(ISBLANK($C114),"",IF($Z114&lt;&gt;Constants!$B$7,$Z114,AJ114))</f>
        <v/>
      </c>
      <c r="AU114" s="97" t="str">
        <f aca="false">IF(ISBLANK($C114),"",IF($Z114&lt;&gt;Constants!$B$7,$Z114,AA114))</f>
        <v/>
      </c>
      <c r="AV114" s="98" t="str">
        <f aca="false">IF(ISBLANK($C114),"",AO114)</f>
        <v/>
      </c>
      <c r="AW114" s="98" t="str">
        <f aca="false">IF(ISBLANK($C114),"",AN114)</f>
        <v/>
      </c>
      <c r="AX114" s="99" t="str">
        <f aca="false">IF(ISBLANK($C114),"",IFERROR(_xlfn.SWITCH(AW114,Constants!$B$4,COUNTA($C$8:$C$507)+2,Constants!$B$5,COUNTA($C$8:$C$507)+1,Constants!$B$6,COUNTA($C$8:$C$507)),AW114))</f>
        <v/>
      </c>
      <c r="AY114" s="5"/>
      <c r="AZ114" s="100" t="n">
        <f aca="false">IF(OR(ISNUMBER(AW114),AW114=Constants!$B$4,AW114=Constants!$B$6,AW114=Constants!$B$5),1,0)</f>
        <v>0</v>
      </c>
      <c r="BA114" s="100" t="n">
        <v>107</v>
      </c>
      <c r="BB114" s="100" t="str">
        <f aca="false">IF(ISBLANK($C114),"",IF(ISNUMBER(AX114),AX114+ROW($B114)/1000,""))</f>
        <v/>
      </c>
      <c r="BC114" s="100" t="str">
        <f aca="false">IF(ISNUMBER(BB114),RANK(BB114,$BB$8:$BB$507,1),"")</f>
        <v/>
      </c>
      <c r="BD114" s="100" t="str">
        <f aca="false">IF(ISBLANK($C114),"",$B114)</f>
        <v/>
      </c>
      <c r="BE114" s="100" t="str">
        <f aca="false">IF(ISBLANK($C114),"",$C114)</f>
        <v/>
      </c>
      <c r="BF114" s="100" t="str">
        <f aca="false">IF(ISBLANK($C114),"",$D114)</f>
        <v/>
      </c>
      <c r="BG114" s="101" t="str">
        <f aca="false">AU114</f>
        <v/>
      </c>
      <c r="BH114" s="102" t="str">
        <f aca="false">AT114</f>
        <v/>
      </c>
      <c r="BI114" s="100" t="str">
        <f aca="false">IF(ISBLANK($C114),"",AW114)</f>
        <v/>
      </c>
      <c r="BJ114" s="103" t="str">
        <f aca="false">IF($BA114&gt;$AZ$7,"",VLOOKUP($BA114,$BC$8:$BI$507,7,FALSE()))</f>
        <v/>
      </c>
      <c r="BK114" s="104" t="str">
        <f aca="false">IF($BA114&gt;$AZ$7,"",VLOOKUP($BA114,$BC$8:$BI$507,2,FALSE()))</f>
        <v/>
      </c>
      <c r="BL114" s="104" t="str">
        <f aca="false">IF($BA114&gt;$AZ$7,"",VLOOKUP($BA114,$BC$8:$BI$507,3,FALSE()))</f>
        <v/>
      </c>
      <c r="BM114" s="104" t="str">
        <f aca="false">IF($BA114&gt;$AZ$7,"",VLOOKUP($BA114,$BC$8:$BI$507,4,FALSE()))</f>
        <v/>
      </c>
      <c r="BN114" s="104" t="str">
        <f aca="false">IF($BA114&gt;$AZ$7,"",VLOOKUP($BA114,$BC$8:$BI$507,5,FALSE()))</f>
        <v/>
      </c>
      <c r="BO114" s="105" t="str">
        <f aca="false">IF($BA114&gt;$AZ$7,"",VLOOKUP($BA114,$BC$8:$BI$507,6,FALSE()))</f>
        <v/>
      </c>
      <c r="BP114" s="52"/>
    </row>
    <row r="115" customFormat="false" ht="15.75" hidden="false" customHeight="false" outlineLevel="0" collapsed="false">
      <c r="A115" s="5"/>
      <c r="B115" s="114"/>
      <c r="C115" s="115"/>
      <c r="D115" s="106"/>
      <c r="E115" s="117"/>
      <c r="F115" s="87"/>
      <c r="G115" s="88"/>
      <c r="H115" s="88"/>
      <c r="I115" s="87"/>
      <c r="J115" s="88"/>
      <c r="K115" s="88"/>
      <c r="L115" s="87"/>
      <c r="M115" s="117"/>
      <c r="N115" s="90"/>
      <c r="O115" s="91" t="str">
        <f aca="false">IF(ISBLANK($C115),"",IF(E115=Constants!$B$2, TRUE(), IF(E115=Constants!$B$3, FALSE(), TRUE())))</f>
        <v/>
      </c>
      <c r="P115" s="91" t="str">
        <f aca="false">IF(ISBLANK($C115),"",IF(F115=Constants!$B$16,Constants!$B$9,IF(F115=Constants!$B$17,Constants!$B$10,Constants!$B$8)))</f>
        <v/>
      </c>
      <c r="Q115" s="91" t="str">
        <f aca="false">IF(ISBLANK($C115),"",IF(ISNUMBER(G115),IF(G115&gt;=0,G115,""),""))</f>
        <v/>
      </c>
      <c r="R115" s="91" t="str">
        <f aca="false">IF(ISBLANK($C115),"",IF(H115=Constants!$B$2, TRUE(), IF(H115=Constants!$B$3, FALSE(), TRUE())))</f>
        <v/>
      </c>
      <c r="S115" s="91" t="str">
        <f aca="false">IF(ISBLANK($C115),"",IF(I115=Constants!$B$2, TRUE(), IF(I115=Constants!$B$3, FALSE(), TRUE())))</f>
        <v/>
      </c>
      <c r="T115" s="91" t="str">
        <f aca="false">IF(ISBLANK($C115),"",IF(ISNUMBER(J115),IF(J115&gt;=0,J115,""),""))</f>
        <v/>
      </c>
      <c r="U115" s="91" t="str">
        <f aca="false">IF(ISBLANK($C115),"",IF(K115=Constants!$B$2, TRUE(), IF(K115=Constants!$B$3, FALSE(), TRUE())))</f>
        <v/>
      </c>
      <c r="V115" s="91" t="str">
        <f aca="false">IF(ISBLANK($C115),"",IF(L115=Constants!$B$2, TRUE(), IF(L115=Constants!$B$3, FALSE(), TRUE())))</f>
        <v/>
      </c>
      <c r="W115" s="91" t="str">
        <f aca="false">IF(ISBLANK($C115),"",IF(M115=Constants!$B$2, TRUE(), IF(M115=Constants!$B$3, FALSE(), FALSE())))</f>
        <v/>
      </c>
      <c r="X115" s="91" t="str">
        <f aca="false">IF(ISBLANK($C115),"",AND(Q115&lt;&gt;"",O115))</f>
        <v/>
      </c>
      <c r="Y115" s="91" t="str">
        <f aca="false">IF(ISBLANK($C115),"",AND(T115&lt;&gt;"",O115))</f>
        <v/>
      </c>
      <c r="Z115" s="91" t="str">
        <f aca="false">IF(ISBLANK($C115),"",IF(W115,Constants!$B$4,IF(COUNTA(E115:L115)=0,Constants!$B$5,IF(NOT(O115),Constants!$B$6,IF(AND(NOT(X115),NOT(Y115)),Constants!$B$6,Constants!$B$7)))))</f>
        <v/>
      </c>
      <c r="AA115" s="91" t="str">
        <f aca="false">IF(ISBLANK($C115),"",IF($Z115&lt;&gt;Constants!$B$7,$Z115,Constants!$B$20))</f>
        <v/>
      </c>
      <c r="AB115" s="91" t="str">
        <f aca="false">IF($Z115=Constants!$B$7,IF(X115,Q115,Constants!$B$13),"")</f>
        <v/>
      </c>
      <c r="AC115" s="91" t="str">
        <f aca="false">IF($Z115=Constants!$B$7,IF(X115,P115*IF(R115, 1, Constants!$B$11)*IF(S115, 1, Constants!$B$12),Constants!$B$13),"")</f>
        <v/>
      </c>
      <c r="AD115" s="91" t="str">
        <f aca="false">IF($Z115=Constants!$B$7,AB115*AC115,"")</f>
        <v/>
      </c>
      <c r="AE115" s="91" t="str">
        <f aca="false">IF($Z115=Constants!$B$7,IF(Y115,T115,Constants!$B$13),"")</f>
        <v/>
      </c>
      <c r="AF115" s="91" t="str">
        <f aca="false">IF($Z115=Constants!$B$7,IF(Y115,P115*IF(U115, 1, Constants!$B$11)*IF(V115, 1, Constants!$B$12),Constants!$B$13),"")</f>
        <v/>
      </c>
      <c r="AG115" s="91" t="str">
        <f aca="false">IF($Z115=Constants!$B$7,AE115*AF115,"")</f>
        <v/>
      </c>
      <c r="AH115" s="91" t="str">
        <f aca="false">IF($Z115=Constants!$B$7,IF(AG115&gt;AD115,2,1),"")</f>
        <v/>
      </c>
      <c r="AI115" s="91" t="str">
        <f aca="false">IF($Z115=Constants!$B$7,IF(AH115=1,2,1),"")</f>
        <v/>
      </c>
      <c r="AJ115" s="91" t="str">
        <f aca="false">IF(ISBLANK($C115),"",IF($Z115&lt;&gt;Constants!$B$7,$Z115,IF(AH115=1,AD115,AG115)))</f>
        <v/>
      </c>
      <c r="AK115" s="91" t="str">
        <f aca="false">IF(ISBLANK($C115),"",IF($Z115=Constants!$B$7,IF(ISNUMBER(AJ115),RANK(AJ115,$AJ$8:$AJ$507),Constants!$B$14),$Z115))</f>
        <v/>
      </c>
      <c r="AL115" s="91" t="str">
        <f aca="false">IF(ISBLANK($C115),"",IF($Z115=Constants!$B$7,IF(AI115=1,AD115,AG115),""))</f>
        <v/>
      </c>
      <c r="AM115" s="91" t="str">
        <f aca="false">IF(ISBLANK($C115),"",IF($Z115=Constants!$B$7,RANK(AL115,$AL$8:$AL$507),$Z115))</f>
        <v/>
      </c>
      <c r="AN115" s="91" t="str">
        <f aca="false">IF(ISBLANK($C115),"",IF($Z115=Constants!$B$7,IF(ISNUMBER(AK115),COUNTIFS($AK$8:$AK$507,"&lt;"&amp;$AK115)+COUNTIFS($AK$8:$AK$507,$AK115,$AM$8:$AM$507,"&lt;"&amp;$AM115)+1,Constants!$B$14),$Z115))</f>
        <v/>
      </c>
      <c r="AO115" s="91" t="str">
        <f aca="false">IF(ISBLANK($C115),"",IF($Z115=Constants!$B$7,IF(ISNUMBER(AK115),AK115-AN115,Constants!$B$14),$Z115))</f>
        <v/>
      </c>
      <c r="AP115" s="92"/>
      <c r="AQ115" s="93" t="str">
        <f aca="false">IF(ISBLANK($C115),"",IF($Z115&lt;&gt;Constants!$B$7,"",AH115))</f>
        <v/>
      </c>
      <c r="AR115" s="94" t="str">
        <f aca="false">IF(ISBLANK($C115),"",IF($Z115&lt;&gt;Constants!$B$7,"",IF(AH115=1,AB115,AE115)))</f>
        <v/>
      </c>
      <c r="AS115" s="95" t="str">
        <f aca="false">IF(ISBLANK($C115),"",IF($Z115&lt;&gt;Constants!$B$7,"",IF(AH115=1,AC115,AF115)))</f>
        <v/>
      </c>
      <c r="AT115" s="96" t="str">
        <f aca="false">IF(ISBLANK($C115),"",IF($Z115&lt;&gt;Constants!$B$7,$Z115,AJ115))</f>
        <v/>
      </c>
      <c r="AU115" s="97" t="str">
        <f aca="false">IF(ISBLANK($C115),"",IF($Z115&lt;&gt;Constants!$B$7,$Z115,AA115))</f>
        <v/>
      </c>
      <c r="AV115" s="98" t="str">
        <f aca="false">IF(ISBLANK($C115),"",AO115)</f>
        <v/>
      </c>
      <c r="AW115" s="98" t="str">
        <f aca="false">IF(ISBLANK($C115),"",AN115)</f>
        <v/>
      </c>
      <c r="AX115" s="99" t="str">
        <f aca="false">IF(ISBLANK($C115),"",IFERROR(_xlfn.SWITCH(AW115,Constants!$B$4,COUNTA($C$8:$C$507)+2,Constants!$B$5,COUNTA($C$8:$C$507)+1,Constants!$B$6,COUNTA($C$8:$C$507)),AW115))</f>
        <v/>
      </c>
      <c r="AY115" s="5"/>
      <c r="AZ115" s="100" t="n">
        <f aca="false">IF(OR(ISNUMBER(AW115),AW115=Constants!$B$4,AW115=Constants!$B$6,AW115=Constants!$B$5),1,0)</f>
        <v>0</v>
      </c>
      <c r="BA115" s="100" t="n">
        <v>108</v>
      </c>
      <c r="BB115" s="100" t="str">
        <f aca="false">IF(ISBLANK($C115),"",IF(ISNUMBER(AX115),AX115+ROW($B115)/1000,""))</f>
        <v/>
      </c>
      <c r="BC115" s="100" t="str">
        <f aca="false">IF(ISNUMBER(BB115),RANK(BB115,$BB$8:$BB$507,1),"")</f>
        <v/>
      </c>
      <c r="BD115" s="100" t="str">
        <f aca="false">IF(ISBLANK($C115),"",$B115)</f>
        <v/>
      </c>
      <c r="BE115" s="100" t="str">
        <f aca="false">IF(ISBLANK($C115),"",$C115)</f>
        <v/>
      </c>
      <c r="BF115" s="100" t="str">
        <f aca="false">IF(ISBLANK($C115),"",$D115)</f>
        <v/>
      </c>
      <c r="BG115" s="101" t="str">
        <f aca="false">AU115</f>
        <v/>
      </c>
      <c r="BH115" s="102" t="str">
        <f aca="false">AT115</f>
        <v/>
      </c>
      <c r="BI115" s="100" t="str">
        <f aca="false">IF(ISBLANK($C115),"",AW115)</f>
        <v/>
      </c>
      <c r="BJ115" s="103" t="str">
        <f aca="false">IF($BA115&gt;$AZ$7,"",VLOOKUP($BA115,$BC$8:$BI$507,7,FALSE()))</f>
        <v/>
      </c>
      <c r="BK115" s="104" t="str">
        <f aca="false">IF($BA115&gt;$AZ$7,"",VLOOKUP($BA115,$BC$8:$BI$507,2,FALSE()))</f>
        <v/>
      </c>
      <c r="BL115" s="104" t="str">
        <f aca="false">IF($BA115&gt;$AZ$7,"",VLOOKUP($BA115,$BC$8:$BI$507,3,FALSE()))</f>
        <v/>
      </c>
      <c r="BM115" s="104" t="str">
        <f aca="false">IF($BA115&gt;$AZ$7,"",VLOOKUP($BA115,$BC$8:$BI$507,4,FALSE()))</f>
        <v/>
      </c>
      <c r="BN115" s="104" t="str">
        <f aca="false">IF($BA115&gt;$AZ$7,"",VLOOKUP($BA115,$BC$8:$BI$507,5,FALSE()))</f>
        <v/>
      </c>
      <c r="BO115" s="105" t="str">
        <f aca="false">IF($BA115&gt;$AZ$7,"",VLOOKUP($BA115,$BC$8:$BI$507,6,FALSE()))</f>
        <v/>
      </c>
      <c r="BP115" s="52"/>
    </row>
    <row r="116" customFormat="false" ht="15.75" hidden="false" customHeight="false" outlineLevel="0" collapsed="false">
      <c r="A116" s="5"/>
      <c r="B116" s="118"/>
      <c r="C116" s="54"/>
      <c r="D116" s="55"/>
      <c r="E116" s="79"/>
      <c r="F116" s="57"/>
      <c r="G116" s="58"/>
      <c r="H116" s="58"/>
      <c r="I116" s="57"/>
      <c r="J116" s="58"/>
      <c r="K116" s="58"/>
      <c r="L116" s="57"/>
      <c r="M116" s="79"/>
      <c r="N116" s="60"/>
      <c r="O116" s="62" t="str">
        <f aca="false">IF(ISBLANK($C116),"",IF(E116=Constants!$B$2, TRUE(), IF(E116=Constants!$B$3, FALSE(), TRUE())))</f>
        <v/>
      </c>
      <c r="P116" s="62" t="str">
        <f aca="false">IF(ISBLANK($C116),"",IF(F116=Constants!$B$16,Constants!$B$9,IF(F116=Constants!$B$17,Constants!$B$10,Constants!$B$8)))</f>
        <v/>
      </c>
      <c r="Q116" s="62" t="str">
        <f aca="false">IF(ISBLANK($C116),"",IF(ISNUMBER(G116),IF(G116&gt;=0,G116,""),""))</f>
        <v/>
      </c>
      <c r="R116" s="62" t="str">
        <f aca="false">IF(ISBLANK($C116),"",IF(H116=Constants!$B$2, TRUE(), IF(H116=Constants!$B$3, FALSE(), TRUE())))</f>
        <v/>
      </c>
      <c r="S116" s="62" t="str">
        <f aca="false">IF(ISBLANK($C116),"",IF(I116=Constants!$B$2, TRUE(), IF(I116=Constants!$B$3, FALSE(), TRUE())))</f>
        <v/>
      </c>
      <c r="T116" s="62" t="str">
        <f aca="false">IF(ISBLANK($C116),"",IF(ISNUMBER(J116),IF(J116&gt;=0,J116,""),""))</f>
        <v/>
      </c>
      <c r="U116" s="62" t="str">
        <f aca="false">IF(ISBLANK($C116),"",IF(K116=Constants!$B$2, TRUE(), IF(K116=Constants!$B$3, FALSE(), TRUE())))</f>
        <v/>
      </c>
      <c r="V116" s="62" t="str">
        <f aca="false">IF(ISBLANK($C116),"",IF(L116=Constants!$B$2, TRUE(), IF(L116=Constants!$B$3, FALSE(), TRUE())))</f>
        <v/>
      </c>
      <c r="W116" s="62" t="str">
        <f aca="false">IF(ISBLANK($C116),"",IF(M116=Constants!$B$2, TRUE(), IF(M116=Constants!$B$3, FALSE(), FALSE())))</f>
        <v/>
      </c>
      <c r="X116" s="62" t="str">
        <f aca="false">IF(ISBLANK($C116),"",AND(Q116&lt;&gt;"",O116))</f>
        <v/>
      </c>
      <c r="Y116" s="62" t="str">
        <f aca="false">IF(ISBLANK($C116),"",AND(T116&lt;&gt;"",O116))</f>
        <v/>
      </c>
      <c r="Z116" s="62" t="str">
        <f aca="false">IF(ISBLANK($C116),"",IF(W116,Constants!$B$4,IF(COUNTA(E116:L116)=0,Constants!$B$5,IF(NOT(O116),Constants!$B$6,IF(AND(NOT(X116),NOT(Y116)),Constants!$B$6,Constants!$B$7)))))</f>
        <v/>
      </c>
      <c r="AA116" s="62" t="str">
        <f aca="false">IF(ISBLANK($C116),"",IF($Z116&lt;&gt;Constants!$B$7,$Z116,Constants!$B$20))</f>
        <v/>
      </c>
      <c r="AB116" s="62" t="str">
        <f aca="false">IF($Z116=Constants!$B$7,IF(X116,Q116,Constants!$B$13),"")</f>
        <v/>
      </c>
      <c r="AC116" s="62" t="str">
        <f aca="false">IF($Z116=Constants!$B$7,IF(X116,P116*IF(R116, 1, Constants!$B$11)*IF(S116, 1, Constants!$B$12),Constants!$B$13),"")</f>
        <v/>
      </c>
      <c r="AD116" s="62" t="str">
        <f aca="false">IF($Z116=Constants!$B$7,AB116*AC116,"")</f>
        <v/>
      </c>
      <c r="AE116" s="62" t="str">
        <f aca="false">IF($Z116=Constants!$B$7,IF(Y116,T116,Constants!$B$13),"")</f>
        <v/>
      </c>
      <c r="AF116" s="62" t="str">
        <f aca="false">IF($Z116=Constants!$B$7,IF(Y116,P116*IF(U116, 1, Constants!$B$11)*IF(V116, 1, Constants!$B$12),Constants!$B$13),"")</f>
        <v/>
      </c>
      <c r="AG116" s="62" t="str">
        <f aca="false">IF($Z116=Constants!$B$7,AE116*AF116,"")</f>
        <v/>
      </c>
      <c r="AH116" s="62" t="str">
        <f aca="false">IF($Z116=Constants!$B$7,IF(AG116&gt;AD116,2,1),"")</f>
        <v/>
      </c>
      <c r="AI116" s="62" t="str">
        <f aca="false">IF($Z116=Constants!$B$7,IF(AH116=1,2,1),"")</f>
        <v/>
      </c>
      <c r="AJ116" s="62" t="str">
        <f aca="false">IF(ISBLANK($C116),"",IF($Z116&lt;&gt;Constants!$B$7,$Z116,IF(AH116=1,AD116,AG116)))</f>
        <v/>
      </c>
      <c r="AK116" s="62" t="str">
        <f aca="false">IF(ISBLANK($C116),"",IF($Z116=Constants!$B$7,IF(ISNUMBER(AJ116),RANK(AJ116,$AJ$8:$AJ$507),Constants!$B$14),$Z116))</f>
        <v/>
      </c>
      <c r="AL116" s="62" t="str">
        <f aca="false">IF(ISBLANK($C116),"",IF($Z116=Constants!$B$7,IF(AI116=1,AD116,AG116),""))</f>
        <v/>
      </c>
      <c r="AM116" s="62" t="str">
        <f aca="false">IF(ISBLANK($C116),"",IF($Z116=Constants!$B$7,RANK(AL116,$AL$8:$AL$507),$Z116))</f>
        <v/>
      </c>
      <c r="AN116" s="62" t="str">
        <f aca="false">IF(ISBLANK($C116),"",IF($Z116=Constants!$B$7,IF(ISNUMBER(AK116),COUNTIFS($AK$8:$AK$507,"&lt;"&amp;$AK116)+COUNTIFS($AK$8:$AK$507,$AK116,$AM$8:$AM$507,"&lt;"&amp;$AM116)+1,Constants!$B$14),$Z116))</f>
        <v/>
      </c>
      <c r="AO116" s="62" t="str">
        <f aca="false">IF(ISBLANK($C116),"",IF($Z116=Constants!$B$7,IF(ISNUMBER(AK116),AK116-AN116,Constants!$B$14),$Z116))</f>
        <v/>
      </c>
      <c r="AP116" s="64"/>
      <c r="AQ116" s="65" t="str">
        <f aca="false">IF(ISBLANK($C116),"",IF($Z116&lt;&gt;Constants!$B$7,"",AH116))</f>
        <v/>
      </c>
      <c r="AR116" s="80" t="str">
        <f aca="false">IF(ISBLANK($C116),"",IF($Z116&lt;&gt;Constants!$B$7,"",IF(AH116=1,AB116,AE116)))</f>
        <v/>
      </c>
      <c r="AS116" s="67" t="str">
        <f aca="false">IF(ISBLANK($C116),"",IF($Z116&lt;&gt;Constants!$B$7,"",IF(AH116=1,AC116,AF116)))</f>
        <v/>
      </c>
      <c r="AT116" s="68" t="str">
        <f aca="false">IF(ISBLANK($C116),"",IF($Z116&lt;&gt;Constants!$B$7,$Z116,AJ116))</f>
        <v/>
      </c>
      <c r="AU116" s="69" t="str">
        <f aca="false">IF(ISBLANK($C116),"",IF($Z116&lt;&gt;Constants!$B$7,$Z116,AA116))</f>
        <v/>
      </c>
      <c r="AV116" s="70" t="str">
        <f aca="false">IF(ISBLANK($C116),"",AO116)</f>
        <v/>
      </c>
      <c r="AW116" s="70" t="str">
        <f aca="false">IF(ISBLANK($C116),"",AN116)</f>
        <v/>
      </c>
      <c r="AX116" s="71" t="str">
        <f aca="false">IF(ISBLANK($C116),"",IFERROR(_xlfn.SWITCH(AW116,Constants!$B$4,COUNTA($C$8:$C$507)+2,Constants!$B$5,COUNTA($C$8:$C$507)+1,Constants!$B$6,COUNTA($C$8:$C$507)),AW116))</f>
        <v/>
      </c>
      <c r="AY116" s="5"/>
      <c r="AZ116" s="72" t="n">
        <f aca="false">IF(OR(ISNUMBER(AW116),AW116=Constants!$B$4,AW116=Constants!$B$6,AW116=Constants!$B$5),1,0)</f>
        <v>0</v>
      </c>
      <c r="BA116" s="72" t="n">
        <v>109</v>
      </c>
      <c r="BB116" s="72" t="str">
        <f aca="false">IF(ISBLANK($C116),"",IF(ISNUMBER(AX116),AX116+ROW($B116)/1000,""))</f>
        <v/>
      </c>
      <c r="BC116" s="72" t="str">
        <f aca="false">IF(ISNUMBER(BB116),RANK(BB116,$BB$8:$BB$507,1),"")</f>
        <v/>
      </c>
      <c r="BD116" s="72" t="str">
        <f aca="false">IF(ISBLANK($C116),"",$B116)</f>
        <v/>
      </c>
      <c r="BE116" s="72" t="str">
        <f aca="false">IF(ISBLANK($C116),"",$C116)</f>
        <v/>
      </c>
      <c r="BF116" s="72" t="str">
        <f aca="false">IF(ISBLANK($C116),"",$D116)</f>
        <v/>
      </c>
      <c r="BG116" s="73" t="str">
        <f aca="false">AU116</f>
        <v/>
      </c>
      <c r="BH116" s="74" t="str">
        <f aca="false">AT116</f>
        <v/>
      </c>
      <c r="BI116" s="72" t="str">
        <f aca="false">IF(ISBLANK($C116),"",AW116)</f>
        <v/>
      </c>
      <c r="BJ116" s="75" t="str">
        <f aca="false">IF($BA116&gt;$AZ$7,"",VLOOKUP($BA116,$BC$8:$BI$507,7,FALSE()))</f>
        <v/>
      </c>
      <c r="BK116" s="76" t="str">
        <f aca="false">IF($BA116&gt;$AZ$7,"",VLOOKUP($BA116,$BC$8:$BI$507,2,FALSE()))</f>
        <v/>
      </c>
      <c r="BL116" s="76" t="str">
        <f aca="false">IF($BA116&gt;$AZ$7,"",VLOOKUP($BA116,$BC$8:$BI$507,3,FALSE()))</f>
        <v/>
      </c>
      <c r="BM116" s="76" t="str">
        <f aca="false">IF($BA116&gt;$AZ$7,"",VLOOKUP($BA116,$BC$8:$BI$507,4,FALSE()))</f>
        <v/>
      </c>
      <c r="BN116" s="76" t="str">
        <f aca="false">IF($BA116&gt;$AZ$7,"",VLOOKUP($BA116,$BC$8:$BI$507,5,FALSE()))</f>
        <v/>
      </c>
      <c r="BO116" s="77" t="str">
        <f aca="false">IF($BA116&gt;$AZ$7,"",VLOOKUP($BA116,$BC$8:$BI$507,6,FALSE()))</f>
        <v/>
      </c>
      <c r="BP116" s="52"/>
    </row>
    <row r="117" customFormat="false" ht="15.75" hidden="false" customHeight="false" outlineLevel="0" collapsed="false">
      <c r="A117" s="5"/>
      <c r="B117" s="118"/>
      <c r="C117" s="54"/>
      <c r="D117" s="55"/>
      <c r="E117" s="79"/>
      <c r="F117" s="57"/>
      <c r="G117" s="58"/>
      <c r="H117" s="58"/>
      <c r="I117" s="57"/>
      <c r="J117" s="58"/>
      <c r="K117" s="58"/>
      <c r="L117" s="57"/>
      <c r="M117" s="79"/>
      <c r="N117" s="60"/>
      <c r="O117" s="62" t="str">
        <f aca="false">IF(ISBLANK($C117),"",IF(E117=Constants!$B$2, TRUE(), IF(E117=Constants!$B$3, FALSE(), TRUE())))</f>
        <v/>
      </c>
      <c r="P117" s="62" t="str">
        <f aca="false">IF(ISBLANK($C117),"",IF(F117=Constants!$B$16,Constants!$B$9,IF(F117=Constants!$B$17,Constants!$B$10,Constants!$B$8)))</f>
        <v/>
      </c>
      <c r="Q117" s="62" t="str">
        <f aca="false">IF(ISBLANK($C117),"",IF(ISNUMBER(G117),IF(G117&gt;=0,G117,""),""))</f>
        <v/>
      </c>
      <c r="R117" s="62" t="str">
        <f aca="false">IF(ISBLANK($C117),"",IF(H117=Constants!$B$2, TRUE(), IF(H117=Constants!$B$3, FALSE(), TRUE())))</f>
        <v/>
      </c>
      <c r="S117" s="62" t="str">
        <f aca="false">IF(ISBLANK($C117),"",IF(I117=Constants!$B$2, TRUE(), IF(I117=Constants!$B$3, FALSE(), TRUE())))</f>
        <v/>
      </c>
      <c r="T117" s="62" t="str">
        <f aca="false">IF(ISBLANK($C117),"",IF(ISNUMBER(J117),IF(J117&gt;=0,J117,""),""))</f>
        <v/>
      </c>
      <c r="U117" s="62" t="str">
        <f aca="false">IF(ISBLANK($C117),"",IF(K117=Constants!$B$2, TRUE(), IF(K117=Constants!$B$3, FALSE(), TRUE())))</f>
        <v/>
      </c>
      <c r="V117" s="62" t="str">
        <f aca="false">IF(ISBLANK($C117),"",IF(L117=Constants!$B$2, TRUE(), IF(L117=Constants!$B$3, FALSE(), TRUE())))</f>
        <v/>
      </c>
      <c r="W117" s="62" t="str">
        <f aca="false">IF(ISBLANK($C117),"",IF(M117=Constants!$B$2, TRUE(), IF(M117=Constants!$B$3, FALSE(), FALSE())))</f>
        <v/>
      </c>
      <c r="X117" s="62" t="str">
        <f aca="false">IF(ISBLANK($C117),"",AND(Q117&lt;&gt;"",O117))</f>
        <v/>
      </c>
      <c r="Y117" s="62" t="str">
        <f aca="false">IF(ISBLANK($C117),"",AND(T117&lt;&gt;"",O117))</f>
        <v/>
      </c>
      <c r="Z117" s="62" t="str">
        <f aca="false">IF(ISBLANK($C117),"",IF(W117,Constants!$B$4,IF(COUNTA(E117:L117)=0,Constants!$B$5,IF(NOT(O117),Constants!$B$6,IF(AND(NOT(X117),NOT(Y117)),Constants!$B$6,Constants!$B$7)))))</f>
        <v/>
      </c>
      <c r="AA117" s="62" t="str">
        <f aca="false">IF(ISBLANK($C117),"",IF($Z117&lt;&gt;Constants!$B$7,$Z117,Constants!$B$20))</f>
        <v/>
      </c>
      <c r="AB117" s="62" t="str">
        <f aca="false">IF($Z117=Constants!$B$7,IF(X117,Q117,Constants!$B$13),"")</f>
        <v/>
      </c>
      <c r="AC117" s="62" t="str">
        <f aca="false">IF($Z117=Constants!$B$7,IF(X117,P117*IF(R117, 1, Constants!$B$11)*IF(S117, 1, Constants!$B$12),Constants!$B$13),"")</f>
        <v/>
      </c>
      <c r="AD117" s="62" t="str">
        <f aca="false">IF($Z117=Constants!$B$7,AB117*AC117,"")</f>
        <v/>
      </c>
      <c r="AE117" s="62" t="str">
        <f aca="false">IF($Z117=Constants!$B$7,IF(Y117,T117,Constants!$B$13),"")</f>
        <v/>
      </c>
      <c r="AF117" s="62" t="str">
        <f aca="false">IF($Z117=Constants!$B$7,IF(Y117,P117*IF(U117, 1, Constants!$B$11)*IF(V117, 1, Constants!$B$12),Constants!$B$13),"")</f>
        <v/>
      </c>
      <c r="AG117" s="62" t="str">
        <f aca="false">IF($Z117=Constants!$B$7,AE117*AF117,"")</f>
        <v/>
      </c>
      <c r="AH117" s="62" t="str">
        <f aca="false">IF($Z117=Constants!$B$7,IF(AG117&gt;AD117,2,1),"")</f>
        <v/>
      </c>
      <c r="AI117" s="62" t="str">
        <f aca="false">IF($Z117=Constants!$B$7,IF(AH117=1,2,1),"")</f>
        <v/>
      </c>
      <c r="AJ117" s="62" t="str">
        <f aca="false">IF(ISBLANK($C117),"",IF($Z117&lt;&gt;Constants!$B$7,$Z117,IF(AH117=1,AD117,AG117)))</f>
        <v/>
      </c>
      <c r="AK117" s="62" t="str">
        <f aca="false">IF(ISBLANK($C117),"",IF($Z117=Constants!$B$7,IF(ISNUMBER(AJ117),RANK(AJ117,$AJ$8:$AJ$507),Constants!$B$14),$Z117))</f>
        <v/>
      </c>
      <c r="AL117" s="62" t="str">
        <f aca="false">IF(ISBLANK($C117),"",IF($Z117=Constants!$B$7,IF(AI117=1,AD117,AG117),""))</f>
        <v/>
      </c>
      <c r="AM117" s="62" t="str">
        <f aca="false">IF(ISBLANK($C117),"",IF($Z117=Constants!$B$7,RANK(AL117,$AL$8:$AL$507),$Z117))</f>
        <v/>
      </c>
      <c r="AN117" s="62" t="str">
        <f aca="false">IF(ISBLANK($C117),"",IF($Z117=Constants!$B$7,IF(ISNUMBER(AK117),COUNTIFS($AK$8:$AK$507,"&lt;"&amp;$AK117)+COUNTIFS($AK$8:$AK$507,$AK117,$AM$8:$AM$507,"&lt;"&amp;$AM117)+1,Constants!$B$14),$Z117))</f>
        <v/>
      </c>
      <c r="AO117" s="62" t="str">
        <f aca="false">IF(ISBLANK($C117),"",IF($Z117=Constants!$B$7,IF(ISNUMBER(AK117),AK117-AN117,Constants!$B$14),$Z117))</f>
        <v/>
      </c>
      <c r="AP117" s="64"/>
      <c r="AQ117" s="65" t="str">
        <f aca="false">IF(ISBLANK($C117),"",IF($Z117&lt;&gt;Constants!$B$7,"",AH117))</f>
        <v/>
      </c>
      <c r="AR117" s="80" t="str">
        <f aca="false">IF(ISBLANK($C117),"",IF($Z117&lt;&gt;Constants!$B$7,"",IF(AH117=1,AB117,AE117)))</f>
        <v/>
      </c>
      <c r="AS117" s="67" t="str">
        <f aca="false">IF(ISBLANK($C117),"",IF($Z117&lt;&gt;Constants!$B$7,"",IF(AH117=1,AC117,AF117)))</f>
        <v/>
      </c>
      <c r="AT117" s="68" t="str">
        <f aca="false">IF(ISBLANK($C117),"",IF($Z117&lt;&gt;Constants!$B$7,$Z117,AJ117))</f>
        <v/>
      </c>
      <c r="AU117" s="69" t="str">
        <f aca="false">IF(ISBLANK($C117),"",IF($Z117&lt;&gt;Constants!$B$7,$Z117,AA117))</f>
        <v/>
      </c>
      <c r="AV117" s="70" t="str">
        <f aca="false">IF(ISBLANK($C117),"",AO117)</f>
        <v/>
      </c>
      <c r="AW117" s="70" t="str">
        <f aca="false">IF(ISBLANK($C117),"",AN117)</f>
        <v/>
      </c>
      <c r="AX117" s="71" t="str">
        <f aca="false">IF(ISBLANK($C117),"",IFERROR(_xlfn.SWITCH(AW117,Constants!$B$4,COUNTA($C$8:$C$507)+2,Constants!$B$5,COUNTA($C$8:$C$507)+1,Constants!$B$6,COUNTA($C$8:$C$507)),AW117))</f>
        <v/>
      </c>
      <c r="AY117" s="5"/>
      <c r="AZ117" s="72" t="n">
        <f aca="false">IF(OR(ISNUMBER(AW117),AW117=Constants!$B$4,AW117=Constants!$B$6,AW117=Constants!$B$5),1,0)</f>
        <v>0</v>
      </c>
      <c r="BA117" s="72" t="n">
        <v>110</v>
      </c>
      <c r="BB117" s="72" t="str">
        <f aca="false">IF(ISBLANK($C117),"",IF(ISNUMBER(AX117),AX117+ROW($B117)/1000,""))</f>
        <v/>
      </c>
      <c r="BC117" s="72" t="str">
        <f aca="false">IF(ISNUMBER(BB117),RANK(BB117,$BB$8:$BB$507,1),"")</f>
        <v/>
      </c>
      <c r="BD117" s="72" t="str">
        <f aca="false">IF(ISBLANK($C117),"",$B117)</f>
        <v/>
      </c>
      <c r="BE117" s="72" t="str">
        <f aca="false">IF(ISBLANK($C117),"",$C117)</f>
        <v/>
      </c>
      <c r="BF117" s="72" t="str">
        <f aca="false">IF(ISBLANK($C117),"",$D117)</f>
        <v/>
      </c>
      <c r="BG117" s="73" t="str">
        <f aca="false">AU117</f>
        <v/>
      </c>
      <c r="BH117" s="74" t="str">
        <f aca="false">AT117</f>
        <v/>
      </c>
      <c r="BI117" s="72" t="str">
        <f aca="false">IF(ISBLANK($C117),"",AW117)</f>
        <v/>
      </c>
      <c r="BJ117" s="75" t="str">
        <f aca="false">IF($BA117&gt;$AZ$7,"",VLOOKUP($BA117,$BC$8:$BI$507,7,FALSE()))</f>
        <v/>
      </c>
      <c r="BK117" s="76" t="str">
        <f aca="false">IF($BA117&gt;$AZ$7,"",VLOOKUP($BA117,$BC$8:$BI$507,2,FALSE()))</f>
        <v/>
      </c>
      <c r="BL117" s="76" t="str">
        <f aca="false">IF($BA117&gt;$AZ$7,"",VLOOKUP($BA117,$BC$8:$BI$507,3,FALSE()))</f>
        <v/>
      </c>
      <c r="BM117" s="76" t="str">
        <f aca="false">IF($BA117&gt;$AZ$7,"",VLOOKUP($BA117,$BC$8:$BI$507,4,FALSE()))</f>
        <v/>
      </c>
      <c r="BN117" s="76" t="str">
        <f aca="false">IF($BA117&gt;$AZ$7,"",VLOOKUP($BA117,$BC$8:$BI$507,5,FALSE()))</f>
        <v/>
      </c>
      <c r="BO117" s="77" t="str">
        <f aca="false">IF($BA117&gt;$AZ$7,"",VLOOKUP($BA117,$BC$8:$BI$507,6,FALSE()))</f>
        <v/>
      </c>
      <c r="BP117" s="52"/>
    </row>
    <row r="118" customFormat="false" ht="15.75" hidden="false" customHeight="false" outlineLevel="0" collapsed="false">
      <c r="A118" s="5"/>
      <c r="B118" s="118"/>
      <c r="C118" s="54"/>
      <c r="D118" s="55"/>
      <c r="E118" s="79"/>
      <c r="F118" s="57"/>
      <c r="G118" s="58"/>
      <c r="H118" s="58"/>
      <c r="I118" s="57"/>
      <c r="J118" s="58"/>
      <c r="K118" s="58"/>
      <c r="L118" s="57"/>
      <c r="M118" s="79"/>
      <c r="N118" s="60"/>
      <c r="O118" s="62" t="str">
        <f aca="false">IF(ISBLANK($C118),"",IF(E118=Constants!$B$2, TRUE(), IF(E118=Constants!$B$3, FALSE(), TRUE())))</f>
        <v/>
      </c>
      <c r="P118" s="62" t="str">
        <f aca="false">IF(ISBLANK($C118),"",IF(F118=Constants!$B$16,Constants!$B$9,IF(F118=Constants!$B$17,Constants!$B$10,Constants!$B$8)))</f>
        <v/>
      </c>
      <c r="Q118" s="62" t="str">
        <f aca="false">IF(ISBLANK($C118),"",IF(ISNUMBER(G118),IF(G118&gt;=0,G118,""),""))</f>
        <v/>
      </c>
      <c r="R118" s="62" t="str">
        <f aca="false">IF(ISBLANK($C118),"",IF(H118=Constants!$B$2, TRUE(), IF(H118=Constants!$B$3, FALSE(), TRUE())))</f>
        <v/>
      </c>
      <c r="S118" s="62" t="str">
        <f aca="false">IF(ISBLANK($C118),"",IF(I118=Constants!$B$2, TRUE(), IF(I118=Constants!$B$3, FALSE(), TRUE())))</f>
        <v/>
      </c>
      <c r="T118" s="62" t="str">
        <f aca="false">IF(ISBLANK($C118),"",IF(ISNUMBER(J118),IF(J118&gt;=0,J118,""),""))</f>
        <v/>
      </c>
      <c r="U118" s="62" t="str">
        <f aca="false">IF(ISBLANK($C118),"",IF(K118=Constants!$B$2, TRUE(), IF(K118=Constants!$B$3, FALSE(), TRUE())))</f>
        <v/>
      </c>
      <c r="V118" s="62" t="str">
        <f aca="false">IF(ISBLANK($C118),"",IF(L118=Constants!$B$2, TRUE(), IF(L118=Constants!$B$3, FALSE(), TRUE())))</f>
        <v/>
      </c>
      <c r="W118" s="62" t="str">
        <f aca="false">IF(ISBLANK($C118),"",IF(M118=Constants!$B$2, TRUE(), IF(M118=Constants!$B$3, FALSE(), FALSE())))</f>
        <v/>
      </c>
      <c r="X118" s="62" t="str">
        <f aca="false">IF(ISBLANK($C118),"",AND(Q118&lt;&gt;"",O118))</f>
        <v/>
      </c>
      <c r="Y118" s="62" t="str">
        <f aca="false">IF(ISBLANK($C118),"",AND(T118&lt;&gt;"",O118))</f>
        <v/>
      </c>
      <c r="Z118" s="62" t="str">
        <f aca="false">IF(ISBLANK($C118),"",IF(W118,Constants!$B$4,IF(COUNTA(E118:L118)=0,Constants!$B$5,IF(NOT(O118),Constants!$B$6,IF(AND(NOT(X118),NOT(Y118)),Constants!$B$6,Constants!$B$7)))))</f>
        <v/>
      </c>
      <c r="AA118" s="62" t="str">
        <f aca="false">IF(ISBLANK($C118),"",IF($Z118&lt;&gt;Constants!$B$7,$Z118,Constants!$B$20))</f>
        <v/>
      </c>
      <c r="AB118" s="62" t="str">
        <f aca="false">IF($Z118=Constants!$B$7,IF(X118,Q118,Constants!$B$13),"")</f>
        <v/>
      </c>
      <c r="AC118" s="62" t="str">
        <f aca="false">IF($Z118=Constants!$B$7,IF(X118,P118*IF(R118, 1, Constants!$B$11)*IF(S118, 1, Constants!$B$12),Constants!$B$13),"")</f>
        <v/>
      </c>
      <c r="AD118" s="62" t="str">
        <f aca="false">IF($Z118=Constants!$B$7,AB118*AC118,"")</f>
        <v/>
      </c>
      <c r="AE118" s="62" t="str">
        <f aca="false">IF($Z118=Constants!$B$7,IF(Y118,T118,Constants!$B$13),"")</f>
        <v/>
      </c>
      <c r="AF118" s="62" t="str">
        <f aca="false">IF($Z118=Constants!$B$7,IF(Y118,P118*IF(U118, 1, Constants!$B$11)*IF(V118, 1, Constants!$B$12),Constants!$B$13),"")</f>
        <v/>
      </c>
      <c r="AG118" s="62" t="str">
        <f aca="false">IF($Z118=Constants!$B$7,AE118*AF118,"")</f>
        <v/>
      </c>
      <c r="AH118" s="62" t="str">
        <f aca="false">IF($Z118=Constants!$B$7,IF(AG118&gt;AD118,2,1),"")</f>
        <v/>
      </c>
      <c r="AI118" s="62" t="str">
        <f aca="false">IF($Z118=Constants!$B$7,IF(AH118=1,2,1),"")</f>
        <v/>
      </c>
      <c r="AJ118" s="62" t="str">
        <f aca="false">IF(ISBLANK($C118),"",IF($Z118&lt;&gt;Constants!$B$7,$Z118,IF(AH118=1,AD118,AG118)))</f>
        <v/>
      </c>
      <c r="AK118" s="62" t="str">
        <f aca="false">IF(ISBLANK($C118),"",IF($Z118=Constants!$B$7,IF(ISNUMBER(AJ118),RANK(AJ118,$AJ$8:$AJ$507),Constants!$B$14),$Z118))</f>
        <v/>
      </c>
      <c r="AL118" s="62" t="str">
        <f aca="false">IF(ISBLANK($C118),"",IF($Z118=Constants!$B$7,IF(AI118=1,AD118,AG118),""))</f>
        <v/>
      </c>
      <c r="AM118" s="62" t="str">
        <f aca="false">IF(ISBLANK($C118),"",IF($Z118=Constants!$B$7,RANK(AL118,$AL$8:$AL$507),$Z118))</f>
        <v/>
      </c>
      <c r="AN118" s="62" t="str">
        <f aca="false">IF(ISBLANK($C118),"",IF($Z118=Constants!$B$7,IF(ISNUMBER(AK118),COUNTIFS($AK$8:$AK$507,"&lt;"&amp;$AK118)+COUNTIFS($AK$8:$AK$507,$AK118,$AM$8:$AM$507,"&lt;"&amp;$AM118)+1,Constants!$B$14),$Z118))</f>
        <v/>
      </c>
      <c r="AO118" s="62" t="str">
        <f aca="false">IF(ISBLANK($C118),"",IF($Z118=Constants!$B$7,IF(ISNUMBER(AK118),AK118-AN118,Constants!$B$14),$Z118))</f>
        <v/>
      </c>
      <c r="AP118" s="64"/>
      <c r="AQ118" s="65" t="str">
        <f aca="false">IF(ISBLANK($C118),"",IF($Z118&lt;&gt;Constants!$B$7,"",AH118))</f>
        <v/>
      </c>
      <c r="AR118" s="80" t="str">
        <f aca="false">IF(ISBLANK($C118),"",IF($Z118&lt;&gt;Constants!$B$7,"",IF(AH118=1,AB118,AE118)))</f>
        <v/>
      </c>
      <c r="AS118" s="67" t="str">
        <f aca="false">IF(ISBLANK($C118),"",IF($Z118&lt;&gt;Constants!$B$7,"",IF(AH118=1,AC118,AF118)))</f>
        <v/>
      </c>
      <c r="AT118" s="68" t="str">
        <f aca="false">IF(ISBLANK($C118),"",IF($Z118&lt;&gt;Constants!$B$7,$Z118,AJ118))</f>
        <v/>
      </c>
      <c r="AU118" s="69" t="str">
        <f aca="false">IF(ISBLANK($C118),"",IF($Z118&lt;&gt;Constants!$B$7,$Z118,AA118))</f>
        <v/>
      </c>
      <c r="AV118" s="70" t="str">
        <f aca="false">IF(ISBLANK($C118),"",AO118)</f>
        <v/>
      </c>
      <c r="AW118" s="70" t="str">
        <f aca="false">IF(ISBLANK($C118),"",AN118)</f>
        <v/>
      </c>
      <c r="AX118" s="71" t="str">
        <f aca="false">IF(ISBLANK($C118),"",IFERROR(_xlfn.SWITCH(AW118,Constants!$B$4,COUNTA($C$8:$C$507)+2,Constants!$B$5,COUNTA($C$8:$C$507)+1,Constants!$B$6,COUNTA($C$8:$C$507)),AW118))</f>
        <v/>
      </c>
      <c r="AY118" s="5"/>
      <c r="AZ118" s="72" t="n">
        <f aca="false">IF(OR(ISNUMBER(AW118),AW118=Constants!$B$4,AW118=Constants!$B$6,AW118=Constants!$B$5),1,0)</f>
        <v>0</v>
      </c>
      <c r="BA118" s="72" t="n">
        <v>111</v>
      </c>
      <c r="BB118" s="72" t="str">
        <f aca="false">IF(ISBLANK($C118),"",IF(ISNUMBER(AX118),AX118+ROW($B118)/1000,""))</f>
        <v/>
      </c>
      <c r="BC118" s="72" t="str">
        <f aca="false">IF(ISNUMBER(BB118),RANK(BB118,$BB$8:$BB$507,1),"")</f>
        <v/>
      </c>
      <c r="BD118" s="72" t="str">
        <f aca="false">IF(ISBLANK($C118),"",$B118)</f>
        <v/>
      </c>
      <c r="BE118" s="72" t="str">
        <f aca="false">IF(ISBLANK($C118),"",$C118)</f>
        <v/>
      </c>
      <c r="BF118" s="72" t="str">
        <f aca="false">IF(ISBLANK($C118),"",$D118)</f>
        <v/>
      </c>
      <c r="BG118" s="73" t="str">
        <f aca="false">AU118</f>
        <v/>
      </c>
      <c r="BH118" s="74" t="str">
        <f aca="false">AT118</f>
        <v/>
      </c>
      <c r="BI118" s="72" t="str">
        <f aca="false">IF(ISBLANK($C118),"",AW118)</f>
        <v/>
      </c>
      <c r="BJ118" s="75" t="str">
        <f aca="false">IF($BA118&gt;$AZ$7,"",VLOOKUP($BA118,$BC$8:$BI$507,7,FALSE()))</f>
        <v/>
      </c>
      <c r="BK118" s="76" t="str">
        <f aca="false">IF($BA118&gt;$AZ$7,"",VLOOKUP($BA118,$BC$8:$BI$507,2,FALSE()))</f>
        <v/>
      </c>
      <c r="BL118" s="76" t="str">
        <f aca="false">IF($BA118&gt;$AZ$7,"",VLOOKUP($BA118,$BC$8:$BI$507,3,FALSE()))</f>
        <v/>
      </c>
      <c r="BM118" s="76" t="str">
        <f aca="false">IF($BA118&gt;$AZ$7,"",VLOOKUP($BA118,$BC$8:$BI$507,4,FALSE()))</f>
        <v/>
      </c>
      <c r="BN118" s="76" t="str">
        <f aca="false">IF($BA118&gt;$AZ$7,"",VLOOKUP($BA118,$BC$8:$BI$507,5,FALSE()))</f>
        <v/>
      </c>
      <c r="BO118" s="77" t="str">
        <f aca="false">IF($BA118&gt;$AZ$7,"",VLOOKUP($BA118,$BC$8:$BI$507,6,FALSE()))</f>
        <v/>
      </c>
      <c r="BP118" s="52"/>
    </row>
    <row r="119" customFormat="false" ht="15.75" hidden="false" customHeight="false" outlineLevel="0" collapsed="false">
      <c r="A119" s="5"/>
      <c r="B119" s="114"/>
      <c r="C119" s="115"/>
      <c r="D119" s="106"/>
      <c r="E119" s="117"/>
      <c r="F119" s="87"/>
      <c r="G119" s="88"/>
      <c r="H119" s="88"/>
      <c r="I119" s="87"/>
      <c r="J119" s="88"/>
      <c r="K119" s="88"/>
      <c r="L119" s="87"/>
      <c r="M119" s="117"/>
      <c r="N119" s="90"/>
      <c r="O119" s="91" t="str">
        <f aca="false">IF(ISBLANK($C119),"",IF(E119=Constants!$B$2, TRUE(), IF(E119=Constants!$B$3, FALSE(), TRUE())))</f>
        <v/>
      </c>
      <c r="P119" s="91" t="str">
        <f aca="false">IF(ISBLANK($C119),"",IF(F119=Constants!$B$16,Constants!$B$9,IF(F119=Constants!$B$17,Constants!$B$10,Constants!$B$8)))</f>
        <v/>
      </c>
      <c r="Q119" s="91" t="str">
        <f aca="false">IF(ISBLANK($C119),"",IF(ISNUMBER(G119),IF(G119&gt;=0,G119,""),""))</f>
        <v/>
      </c>
      <c r="R119" s="91" t="str">
        <f aca="false">IF(ISBLANK($C119),"",IF(H119=Constants!$B$2, TRUE(), IF(H119=Constants!$B$3, FALSE(), TRUE())))</f>
        <v/>
      </c>
      <c r="S119" s="91" t="str">
        <f aca="false">IF(ISBLANK($C119),"",IF(I119=Constants!$B$2, TRUE(), IF(I119=Constants!$B$3, FALSE(), TRUE())))</f>
        <v/>
      </c>
      <c r="T119" s="91" t="str">
        <f aca="false">IF(ISBLANK($C119),"",IF(ISNUMBER(J119),IF(J119&gt;=0,J119,""),""))</f>
        <v/>
      </c>
      <c r="U119" s="91" t="str">
        <f aca="false">IF(ISBLANK($C119),"",IF(K119=Constants!$B$2, TRUE(), IF(K119=Constants!$B$3, FALSE(), TRUE())))</f>
        <v/>
      </c>
      <c r="V119" s="91" t="str">
        <f aca="false">IF(ISBLANK($C119),"",IF(L119=Constants!$B$2, TRUE(), IF(L119=Constants!$B$3, FALSE(), TRUE())))</f>
        <v/>
      </c>
      <c r="W119" s="91" t="str">
        <f aca="false">IF(ISBLANK($C119),"",IF(M119=Constants!$B$2, TRUE(), IF(M119=Constants!$B$3, FALSE(), FALSE())))</f>
        <v/>
      </c>
      <c r="X119" s="91" t="str">
        <f aca="false">IF(ISBLANK($C119),"",AND(Q119&lt;&gt;"",O119))</f>
        <v/>
      </c>
      <c r="Y119" s="91" t="str">
        <f aca="false">IF(ISBLANK($C119),"",AND(T119&lt;&gt;"",O119))</f>
        <v/>
      </c>
      <c r="Z119" s="91" t="str">
        <f aca="false">IF(ISBLANK($C119),"",IF(W119,Constants!$B$4,IF(COUNTA(E119:L119)=0,Constants!$B$5,IF(NOT(O119),Constants!$B$6,IF(AND(NOT(X119),NOT(Y119)),Constants!$B$6,Constants!$B$7)))))</f>
        <v/>
      </c>
      <c r="AA119" s="91" t="str">
        <f aca="false">IF(ISBLANK($C119),"",IF($Z119&lt;&gt;Constants!$B$7,$Z119,Constants!$B$20))</f>
        <v/>
      </c>
      <c r="AB119" s="91" t="str">
        <f aca="false">IF($Z119=Constants!$B$7,IF(X119,Q119,Constants!$B$13),"")</f>
        <v/>
      </c>
      <c r="AC119" s="91" t="str">
        <f aca="false">IF($Z119=Constants!$B$7,IF(X119,P119*IF(R119, 1, Constants!$B$11)*IF(S119, 1, Constants!$B$12),Constants!$B$13),"")</f>
        <v/>
      </c>
      <c r="AD119" s="91" t="str">
        <f aca="false">IF($Z119=Constants!$B$7,AB119*AC119,"")</f>
        <v/>
      </c>
      <c r="AE119" s="91" t="str">
        <f aca="false">IF($Z119=Constants!$B$7,IF(Y119,T119,Constants!$B$13),"")</f>
        <v/>
      </c>
      <c r="AF119" s="91" t="str">
        <f aca="false">IF($Z119=Constants!$B$7,IF(Y119,P119*IF(U119, 1, Constants!$B$11)*IF(V119, 1, Constants!$B$12),Constants!$B$13),"")</f>
        <v/>
      </c>
      <c r="AG119" s="91" t="str">
        <f aca="false">IF($Z119=Constants!$B$7,AE119*AF119,"")</f>
        <v/>
      </c>
      <c r="AH119" s="91" t="str">
        <f aca="false">IF($Z119=Constants!$B$7,IF(AG119&gt;AD119,2,1),"")</f>
        <v/>
      </c>
      <c r="AI119" s="91" t="str">
        <f aca="false">IF($Z119=Constants!$B$7,IF(AH119=1,2,1),"")</f>
        <v/>
      </c>
      <c r="AJ119" s="91" t="str">
        <f aca="false">IF(ISBLANK($C119),"",IF($Z119&lt;&gt;Constants!$B$7,$Z119,IF(AH119=1,AD119,AG119)))</f>
        <v/>
      </c>
      <c r="AK119" s="91" t="str">
        <f aca="false">IF(ISBLANK($C119),"",IF($Z119=Constants!$B$7,IF(ISNUMBER(AJ119),RANK(AJ119,$AJ$8:$AJ$507),Constants!$B$14),$Z119))</f>
        <v/>
      </c>
      <c r="AL119" s="91" t="str">
        <f aca="false">IF(ISBLANK($C119),"",IF($Z119=Constants!$B$7,IF(AI119=1,AD119,AG119),""))</f>
        <v/>
      </c>
      <c r="AM119" s="91" t="str">
        <f aca="false">IF(ISBLANK($C119),"",IF($Z119=Constants!$B$7,RANK(AL119,$AL$8:$AL$507),$Z119))</f>
        <v/>
      </c>
      <c r="AN119" s="91" t="str">
        <f aca="false">IF(ISBLANK($C119),"",IF($Z119=Constants!$B$7,IF(ISNUMBER(AK119),COUNTIFS($AK$8:$AK$507,"&lt;"&amp;$AK119)+COUNTIFS($AK$8:$AK$507,$AK119,$AM$8:$AM$507,"&lt;"&amp;$AM119)+1,Constants!$B$14),$Z119))</f>
        <v/>
      </c>
      <c r="AO119" s="91" t="str">
        <f aca="false">IF(ISBLANK($C119),"",IF($Z119=Constants!$B$7,IF(ISNUMBER(AK119),AK119-AN119,Constants!$B$14),$Z119))</f>
        <v/>
      </c>
      <c r="AP119" s="92"/>
      <c r="AQ119" s="93" t="str">
        <f aca="false">IF(ISBLANK($C119),"",IF($Z119&lt;&gt;Constants!$B$7,"",AH119))</f>
        <v/>
      </c>
      <c r="AR119" s="94" t="str">
        <f aca="false">IF(ISBLANK($C119),"",IF($Z119&lt;&gt;Constants!$B$7,"",IF(AH119=1,AB119,AE119)))</f>
        <v/>
      </c>
      <c r="AS119" s="95" t="str">
        <f aca="false">IF(ISBLANK($C119),"",IF($Z119&lt;&gt;Constants!$B$7,"",IF(AH119=1,AC119,AF119)))</f>
        <v/>
      </c>
      <c r="AT119" s="96" t="str">
        <f aca="false">IF(ISBLANK($C119),"",IF($Z119&lt;&gt;Constants!$B$7,$Z119,AJ119))</f>
        <v/>
      </c>
      <c r="AU119" s="97" t="str">
        <f aca="false">IF(ISBLANK($C119),"",IF($Z119&lt;&gt;Constants!$B$7,$Z119,AA119))</f>
        <v/>
      </c>
      <c r="AV119" s="98" t="str">
        <f aca="false">IF(ISBLANK($C119),"",AO119)</f>
        <v/>
      </c>
      <c r="AW119" s="98" t="str">
        <f aca="false">IF(ISBLANK($C119),"",AN119)</f>
        <v/>
      </c>
      <c r="AX119" s="99" t="str">
        <f aca="false">IF(ISBLANK($C119),"",IFERROR(_xlfn.SWITCH(AW119,Constants!$B$4,COUNTA($C$8:$C$507)+2,Constants!$B$5,COUNTA($C$8:$C$507)+1,Constants!$B$6,COUNTA($C$8:$C$507)),AW119))</f>
        <v/>
      </c>
      <c r="AY119" s="5"/>
      <c r="AZ119" s="100" t="n">
        <f aca="false">IF(OR(ISNUMBER(AW119),AW119=Constants!$B$4,AW119=Constants!$B$6,AW119=Constants!$B$5),1,0)</f>
        <v>0</v>
      </c>
      <c r="BA119" s="100" t="n">
        <v>112</v>
      </c>
      <c r="BB119" s="100" t="str">
        <f aca="false">IF(ISBLANK($C119),"",IF(ISNUMBER(AX119),AX119+ROW($B119)/1000,""))</f>
        <v/>
      </c>
      <c r="BC119" s="100" t="str">
        <f aca="false">IF(ISNUMBER(BB119),RANK(BB119,$BB$8:$BB$507,1),"")</f>
        <v/>
      </c>
      <c r="BD119" s="100" t="str">
        <f aca="false">IF(ISBLANK($C119),"",$B119)</f>
        <v/>
      </c>
      <c r="BE119" s="100" t="str">
        <f aca="false">IF(ISBLANK($C119),"",$C119)</f>
        <v/>
      </c>
      <c r="BF119" s="100" t="str">
        <f aca="false">IF(ISBLANK($C119),"",$D119)</f>
        <v/>
      </c>
      <c r="BG119" s="101" t="str">
        <f aca="false">AU119</f>
        <v/>
      </c>
      <c r="BH119" s="102" t="str">
        <f aca="false">AT119</f>
        <v/>
      </c>
      <c r="BI119" s="100" t="str">
        <f aca="false">IF(ISBLANK($C119),"",AW119)</f>
        <v/>
      </c>
      <c r="BJ119" s="103" t="str">
        <f aca="false">IF($BA119&gt;$AZ$7,"",VLOOKUP($BA119,$BC$8:$BI$507,7,FALSE()))</f>
        <v/>
      </c>
      <c r="BK119" s="104" t="str">
        <f aca="false">IF($BA119&gt;$AZ$7,"",VLOOKUP($BA119,$BC$8:$BI$507,2,FALSE()))</f>
        <v/>
      </c>
      <c r="BL119" s="104" t="str">
        <f aca="false">IF($BA119&gt;$AZ$7,"",VLOOKUP($BA119,$BC$8:$BI$507,3,FALSE()))</f>
        <v/>
      </c>
      <c r="BM119" s="104" t="str">
        <f aca="false">IF($BA119&gt;$AZ$7,"",VLOOKUP($BA119,$BC$8:$BI$507,4,FALSE()))</f>
        <v/>
      </c>
      <c r="BN119" s="104" t="str">
        <f aca="false">IF($BA119&gt;$AZ$7,"",VLOOKUP($BA119,$BC$8:$BI$507,5,FALSE()))</f>
        <v/>
      </c>
      <c r="BO119" s="105" t="str">
        <f aca="false">IF($BA119&gt;$AZ$7,"",VLOOKUP($BA119,$BC$8:$BI$507,6,FALSE()))</f>
        <v/>
      </c>
      <c r="BP119" s="52"/>
    </row>
    <row r="120" customFormat="false" ht="15.75" hidden="false" customHeight="false" outlineLevel="0" collapsed="false">
      <c r="A120" s="5"/>
      <c r="B120" s="114"/>
      <c r="C120" s="115"/>
      <c r="D120" s="106"/>
      <c r="E120" s="117"/>
      <c r="F120" s="87"/>
      <c r="G120" s="88"/>
      <c r="H120" s="88"/>
      <c r="I120" s="87"/>
      <c r="J120" s="88"/>
      <c r="K120" s="88"/>
      <c r="L120" s="87"/>
      <c r="M120" s="117"/>
      <c r="N120" s="90"/>
      <c r="O120" s="91" t="str">
        <f aca="false">IF(ISBLANK($C120),"",IF(E120=Constants!$B$2, TRUE(), IF(E120=Constants!$B$3, FALSE(), TRUE())))</f>
        <v/>
      </c>
      <c r="P120" s="91" t="str">
        <f aca="false">IF(ISBLANK($C120),"",IF(F120=Constants!$B$16,Constants!$B$9,IF(F120=Constants!$B$17,Constants!$B$10,Constants!$B$8)))</f>
        <v/>
      </c>
      <c r="Q120" s="91" t="str">
        <f aca="false">IF(ISBLANK($C120),"",IF(ISNUMBER(G120),IF(G120&gt;=0,G120,""),""))</f>
        <v/>
      </c>
      <c r="R120" s="91" t="str">
        <f aca="false">IF(ISBLANK($C120),"",IF(H120=Constants!$B$2, TRUE(), IF(H120=Constants!$B$3, FALSE(), TRUE())))</f>
        <v/>
      </c>
      <c r="S120" s="91" t="str">
        <f aca="false">IF(ISBLANK($C120),"",IF(I120=Constants!$B$2, TRUE(), IF(I120=Constants!$B$3, FALSE(), TRUE())))</f>
        <v/>
      </c>
      <c r="T120" s="91" t="str">
        <f aca="false">IF(ISBLANK($C120),"",IF(ISNUMBER(J120),IF(J120&gt;=0,J120,""),""))</f>
        <v/>
      </c>
      <c r="U120" s="91" t="str">
        <f aca="false">IF(ISBLANK($C120),"",IF(K120=Constants!$B$2, TRUE(), IF(K120=Constants!$B$3, FALSE(), TRUE())))</f>
        <v/>
      </c>
      <c r="V120" s="91" t="str">
        <f aca="false">IF(ISBLANK($C120),"",IF(L120=Constants!$B$2, TRUE(), IF(L120=Constants!$B$3, FALSE(), TRUE())))</f>
        <v/>
      </c>
      <c r="W120" s="91" t="str">
        <f aca="false">IF(ISBLANK($C120),"",IF(M120=Constants!$B$2, TRUE(), IF(M120=Constants!$B$3, FALSE(), FALSE())))</f>
        <v/>
      </c>
      <c r="X120" s="91" t="str">
        <f aca="false">IF(ISBLANK($C120),"",AND(Q120&lt;&gt;"",O120))</f>
        <v/>
      </c>
      <c r="Y120" s="91" t="str">
        <f aca="false">IF(ISBLANK($C120),"",AND(T120&lt;&gt;"",O120))</f>
        <v/>
      </c>
      <c r="Z120" s="91" t="str">
        <f aca="false">IF(ISBLANK($C120),"",IF(W120,Constants!$B$4,IF(COUNTA(E120:L120)=0,Constants!$B$5,IF(NOT(O120),Constants!$B$6,IF(AND(NOT(X120),NOT(Y120)),Constants!$B$6,Constants!$B$7)))))</f>
        <v/>
      </c>
      <c r="AA120" s="91" t="str">
        <f aca="false">IF(ISBLANK($C120),"",IF($Z120&lt;&gt;Constants!$B$7,$Z120,Constants!$B$20))</f>
        <v/>
      </c>
      <c r="AB120" s="91" t="str">
        <f aca="false">IF($Z120=Constants!$B$7,IF(X120,Q120,Constants!$B$13),"")</f>
        <v/>
      </c>
      <c r="AC120" s="91" t="str">
        <f aca="false">IF($Z120=Constants!$B$7,IF(X120,P120*IF(R120, 1, Constants!$B$11)*IF(S120, 1, Constants!$B$12),Constants!$B$13),"")</f>
        <v/>
      </c>
      <c r="AD120" s="91" t="str">
        <f aca="false">IF($Z120=Constants!$B$7,AB120*AC120,"")</f>
        <v/>
      </c>
      <c r="AE120" s="91" t="str">
        <f aca="false">IF($Z120=Constants!$B$7,IF(Y120,T120,Constants!$B$13),"")</f>
        <v/>
      </c>
      <c r="AF120" s="91" t="str">
        <f aca="false">IF($Z120=Constants!$B$7,IF(Y120,P120*IF(U120, 1, Constants!$B$11)*IF(V120, 1, Constants!$B$12),Constants!$B$13),"")</f>
        <v/>
      </c>
      <c r="AG120" s="91" t="str">
        <f aca="false">IF($Z120=Constants!$B$7,AE120*AF120,"")</f>
        <v/>
      </c>
      <c r="AH120" s="91" t="str">
        <f aca="false">IF($Z120=Constants!$B$7,IF(AG120&gt;AD120,2,1),"")</f>
        <v/>
      </c>
      <c r="AI120" s="91" t="str">
        <f aca="false">IF($Z120=Constants!$B$7,IF(AH120=1,2,1),"")</f>
        <v/>
      </c>
      <c r="AJ120" s="91" t="str">
        <f aca="false">IF(ISBLANK($C120),"",IF($Z120&lt;&gt;Constants!$B$7,$Z120,IF(AH120=1,AD120,AG120)))</f>
        <v/>
      </c>
      <c r="AK120" s="91" t="str">
        <f aca="false">IF(ISBLANK($C120),"",IF($Z120=Constants!$B$7,IF(ISNUMBER(AJ120),RANK(AJ120,$AJ$8:$AJ$507),Constants!$B$14),$Z120))</f>
        <v/>
      </c>
      <c r="AL120" s="91" t="str">
        <f aca="false">IF(ISBLANK($C120),"",IF($Z120=Constants!$B$7,IF(AI120=1,AD120,AG120),""))</f>
        <v/>
      </c>
      <c r="AM120" s="91" t="str">
        <f aca="false">IF(ISBLANK($C120),"",IF($Z120=Constants!$B$7,RANK(AL120,$AL$8:$AL$507),$Z120))</f>
        <v/>
      </c>
      <c r="AN120" s="91" t="str">
        <f aca="false">IF(ISBLANK($C120),"",IF($Z120=Constants!$B$7,IF(ISNUMBER(AK120),COUNTIFS($AK$8:$AK$507,"&lt;"&amp;$AK120)+COUNTIFS($AK$8:$AK$507,$AK120,$AM$8:$AM$507,"&lt;"&amp;$AM120)+1,Constants!$B$14),$Z120))</f>
        <v/>
      </c>
      <c r="AO120" s="91" t="str">
        <f aca="false">IF(ISBLANK($C120),"",IF($Z120=Constants!$B$7,IF(ISNUMBER(AK120),AK120-AN120,Constants!$B$14),$Z120))</f>
        <v/>
      </c>
      <c r="AP120" s="92"/>
      <c r="AQ120" s="93" t="str">
        <f aca="false">IF(ISBLANK($C120),"",IF($Z120&lt;&gt;Constants!$B$7,"",AH120))</f>
        <v/>
      </c>
      <c r="AR120" s="94" t="str">
        <f aca="false">IF(ISBLANK($C120),"",IF($Z120&lt;&gt;Constants!$B$7,"",IF(AH120=1,AB120,AE120)))</f>
        <v/>
      </c>
      <c r="AS120" s="95" t="str">
        <f aca="false">IF(ISBLANK($C120),"",IF($Z120&lt;&gt;Constants!$B$7,"",IF(AH120=1,AC120,AF120)))</f>
        <v/>
      </c>
      <c r="AT120" s="96" t="str">
        <f aca="false">IF(ISBLANK($C120),"",IF($Z120&lt;&gt;Constants!$B$7,$Z120,AJ120))</f>
        <v/>
      </c>
      <c r="AU120" s="97" t="str">
        <f aca="false">IF(ISBLANK($C120),"",IF($Z120&lt;&gt;Constants!$B$7,$Z120,AA120))</f>
        <v/>
      </c>
      <c r="AV120" s="98" t="str">
        <f aca="false">IF(ISBLANK($C120),"",AO120)</f>
        <v/>
      </c>
      <c r="AW120" s="98" t="str">
        <f aca="false">IF(ISBLANK($C120),"",AN120)</f>
        <v/>
      </c>
      <c r="AX120" s="99" t="str">
        <f aca="false">IF(ISBLANK($C120),"",IFERROR(_xlfn.SWITCH(AW120,Constants!$B$4,COUNTA($C$8:$C$507)+2,Constants!$B$5,COUNTA($C$8:$C$507)+1,Constants!$B$6,COUNTA($C$8:$C$507)),AW120))</f>
        <v/>
      </c>
      <c r="AY120" s="5"/>
      <c r="AZ120" s="100" t="n">
        <f aca="false">IF(OR(ISNUMBER(AW120),AW120=Constants!$B$4,AW120=Constants!$B$6,AW120=Constants!$B$5),1,0)</f>
        <v>0</v>
      </c>
      <c r="BA120" s="100" t="n">
        <v>113</v>
      </c>
      <c r="BB120" s="100" t="str">
        <f aca="false">IF(ISBLANK($C120),"",IF(ISNUMBER(AX120),AX120+ROW($B120)/1000,""))</f>
        <v/>
      </c>
      <c r="BC120" s="100" t="str">
        <f aca="false">IF(ISNUMBER(BB120),RANK(BB120,$BB$8:$BB$507,1),"")</f>
        <v/>
      </c>
      <c r="BD120" s="100" t="str">
        <f aca="false">IF(ISBLANK($C120),"",$B120)</f>
        <v/>
      </c>
      <c r="BE120" s="100" t="str">
        <f aca="false">IF(ISBLANK($C120),"",$C120)</f>
        <v/>
      </c>
      <c r="BF120" s="100" t="str">
        <f aca="false">IF(ISBLANK($C120),"",$D120)</f>
        <v/>
      </c>
      <c r="BG120" s="101" t="str">
        <f aca="false">AU120</f>
        <v/>
      </c>
      <c r="BH120" s="102" t="str">
        <f aca="false">AT120</f>
        <v/>
      </c>
      <c r="BI120" s="100" t="str">
        <f aca="false">IF(ISBLANK($C120),"",AW120)</f>
        <v/>
      </c>
      <c r="BJ120" s="103" t="str">
        <f aca="false">IF($BA120&gt;$AZ$7,"",VLOOKUP($BA120,$BC$8:$BI$507,7,FALSE()))</f>
        <v/>
      </c>
      <c r="BK120" s="104" t="str">
        <f aca="false">IF($BA120&gt;$AZ$7,"",VLOOKUP($BA120,$BC$8:$BI$507,2,FALSE()))</f>
        <v/>
      </c>
      <c r="BL120" s="104" t="str">
        <f aca="false">IF($BA120&gt;$AZ$7,"",VLOOKUP($BA120,$BC$8:$BI$507,3,FALSE()))</f>
        <v/>
      </c>
      <c r="BM120" s="104" t="str">
        <f aca="false">IF($BA120&gt;$AZ$7,"",VLOOKUP($BA120,$BC$8:$BI$507,4,FALSE()))</f>
        <v/>
      </c>
      <c r="BN120" s="104" t="str">
        <f aca="false">IF($BA120&gt;$AZ$7,"",VLOOKUP($BA120,$BC$8:$BI$507,5,FALSE()))</f>
        <v/>
      </c>
      <c r="BO120" s="105" t="str">
        <f aca="false">IF($BA120&gt;$AZ$7,"",VLOOKUP($BA120,$BC$8:$BI$507,6,FALSE()))</f>
        <v/>
      </c>
      <c r="BP120" s="52"/>
    </row>
    <row r="121" customFormat="false" ht="15.75" hidden="false" customHeight="false" outlineLevel="0" collapsed="false">
      <c r="A121" s="5"/>
      <c r="B121" s="114"/>
      <c r="C121" s="115"/>
      <c r="D121" s="106"/>
      <c r="E121" s="117"/>
      <c r="F121" s="87"/>
      <c r="G121" s="88"/>
      <c r="H121" s="88"/>
      <c r="I121" s="87"/>
      <c r="J121" s="88"/>
      <c r="K121" s="88"/>
      <c r="L121" s="87"/>
      <c r="M121" s="117"/>
      <c r="N121" s="90"/>
      <c r="O121" s="91" t="str">
        <f aca="false">IF(ISBLANK($C121),"",IF(E121=Constants!$B$2, TRUE(), IF(E121=Constants!$B$3, FALSE(), TRUE())))</f>
        <v/>
      </c>
      <c r="P121" s="91" t="str">
        <f aca="false">IF(ISBLANK($C121),"",IF(F121=Constants!$B$16,Constants!$B$9,IF(F121=Constants!$B$17,Constants!$B$10,Constants!$B$8)))</f>
        <v/>
      </c>
      <c r="Q121" s="91" t="str">
        <f aca="false">IF(ISBLANK($C121),"",IF(ISNUMBER(G121),IF(G121&gt;=0,G121,""),""))</f>
        <v/>
      </c>
      <c r="R121" s="91" t="str">
        <f aca="false">IF(ISBLANK($C121),"",IF(H121=Constants!$B$2, TRUE(), IF(H121=Constants!$B$3, FALSE(), TRUE())))</f>
        <v/>
      </c>
      <c r="S121" s="91" t="str">
        <f aca="false">IF(ISBLANK($C121),"",IF(I121=Constants!$B$2, TRUE(), IF(I121=Constants!$B$3, FALSE(), TRUE())))</f>
        <v/>
      </c>
      <c r="T121" s="91" t="str">
        <f aca="false">IF(ISBLANK($C121),"",IF(ISNUMBER(J121),IF(J121&gt;=0,J121,""),""))</f>
        <v/>
      </c>
      <c r="U121" s="91" t="str">
        <f aca="false">IF(ISBLANK($C121),"",IF(K121=Constants!$B$2, TRUE(), IF(K121=Constants!$B$3, FALSE(), TRUE())))</f>
        <v/>
      </c>
      <c r="V121" s="91" t="str">
        <f aca="false">IF(ISBLANK($C121),"",IF(L121=Constants!$B$2, TRUE(), IF(L121=Constants!$B$3, FALSE(), TRUE())))</f>
        <v/>
      </c>
      <c r="W121" s="91" t="str">
        <f aca="false">IF(ISBLANK($C121),"",IF(M121=Constants!$B$2, TRUE(), IF(M121=Constants!$B$3, FALSE(), FALSE())))</f>
        <v/>
      </c>
      <c r="X121" s="91" t="str">
        <f aca="false">IF(ISBLANK($C121),"",AND(Q121&lt;&gt;"",O121))</f>
        <v/>
      </c>
      <c r="Y121" s="91" t="str">
        <f aca="false">IF(ISBLANK($C121),"",AND(T121&lt;&gt;"",O121))</f>
        <v/>
      </c>
      <c r="Z121" s="91" t="str">
        <f aca="false">IF(ISBLANK($C121),"",IF(W121,Constants!$B$4,IF(COUNTA(E121:L121)=0,Constants!$B$5,IF(NOT(O121),Constants!$B$6,IF(AND(NOT(X121),NOT(Y121)),Constants!$B$6,Constants!$B$7)))))</f>
        <v/>
      </c>
      <c r="AA121" s="91" t="str">
        <f aca="false">IF(ISBLANK($C121),"",IF($Z121&lt;&gt;Constants!$B$7,$Z121,Constants!$B$20))</f>
        <v/>
      </c>
      <c r="AB121" s="91" t="str">
        <f aca="false">IF($Z121=Constants!$B$7,IF(X121,Q121,Constants!$B$13),"")</f>
        <v/>
      </c>
      <c r="AC121" s="91" t="str">
        <f aca="false">IF($Z121=Constants!$B$7,IF(X121,P121*IF(R121, 1, Constants!$B$11)*IF(S121, 1, Constants!$B$12),Constants!$B$13),"")</f>
        <v/>
      </c>
      <c r="AD121" s="91" t="str">
        <f aca="false">IF($Z121=Constants!$B$7,AB121*AC121,"")</f>
        <v/>
      </c>
      <c r="AE121" s="91" t="str">
        <f aca="false">IF($Z121=Constants!$B$7,IF(Y121,T121,Constants!$B$13),"")</f>
        <v/>
      </c>
      <c r="AF121" s="91" t="str">
        <f aca="false">IF($Z121=Constants!$B$7,IF(Y121,P121*IF(U121, 1, Constants!$B$11)*IF(V121, 1, Constants!$B$12),Constants!$B$13),"")</f>
        <v/>
      </c>
      <c r="AG121" s="91" t="str">
        <f aca="false">IF($Z121=Constants!$B$7,AE121*AF121,"")</f>
        <v/>
      </c>
      <c r="AH121" s="91" t="str">
        <f aca="false">IF($Z121=Constants!$B$7,IF(AG121&gt;AD121,2,1),"")</f>
        <v/>
      </c>
      <c r="AI121" s="91" t="str">
        <f aca="false">IF($Z121=Constants!$B$7,IF(AH121=1,2,1),"")</f>
        <v/>
      </c>
      <c r="AJ121" s="91" t="str">
        <f aca="false">IF(ISBLANK($C121),"",IF($Z121&lt;&gt;Constants!$B$7,$Z121,IF(AH121=1,AD121,AG121)))</f>
        <v/>
      </c>
      <c r="AK121" s="91" t="str">
        <f aca="false">IF(ISBLANK($C121),"",IF($Z121=Constants!$B$7,IF(ISNUMBER(AJ121),RANK(AJ121,$AJ$8:$AJ$507),Constants!$B$14),$Z121))</f>
        <v/>
      </c>
      <c r="AL121" s="91" t="str">
        <f aca="false">IF(ISBLANK($C121),"",IF($Z121=Constants!$B$7,IF(AI121=1,AD121,AG121),""))</f>
        <v/>
      </c>
      <c r="AM121" s="91" t="str">
        <f aca="false">IF(ISBLANK($C121),"",IF($Z121=Constants!$B$7,RANK(AL121,$AL$8:$AL$507),$Z121))</f>
        <v/>
      </c>
      <c r="AN121" s="91" t="str">
        <f aca="false">IF(ISBLANK($C121),"",IF($Z121=Constants!$B$7,IF(ISNUMBER(AK121),COUNTIFS($AK$8:$AK$507,"&lt;"&amp;$AK121)+COUNTIFS($AK$8:$AK$507,$AK121,$AM$8:$AM$507,"&lt;"&amp;$AM121)+1,Constants!$B$14),$Z121))</f>
        <v/>
      </c>
      <c r="AO121" s="91" t="str">
        <f aca="false">IF(ISBLANK($C121),"",IF($Z121=Constants!$B$7,IF(ISNUMBER(AK121),AK121-AN121,Constants!$B$14),$Z121))</f>
        <v/>
      </c>
      <c r="AP121" s="92"/>
      <c r="AQ121" s="93" t="str">
        <f aca="false">IF(ISBLANK($C121),"",IF($Z121&lt;&gt;Constants!$B$7,"",AH121))</f>
        <v/>
      </c>
      <c r="AR121" s="94" t="str">
        <f aca="false">IF(ISBLANK($C121),"",IF($Z121&lt;&gt;Constants!$B$7,"",IF(AH121=1,AB121,AE121)))</f>
        <v/>
      </c>
      <c r="AS121" s="95" t="str">
        <f aca="false">IF(ISBLANK($C121),"",IF($Z121&lt;&gt;Constants!$B$7,"",IF(AH121=1,AC121,AF121)))</f>
        <v/>
      </c>
      <c r="AT121" s="96" t="str">
        <f aca="false">IF(ISBLANK($C121),"",IF($Z121&lt;&gt;Constants!$B$7,$Z121,AJ121))</f>
        <v/>
      </c>
      <c r="AU121" s="97" t="str">
        <f aca="false">IF(ISBLANK($C121),"",IF($Z121&lt;&gt;Constants!$B$7,$Z121,AA121))</f>
        <v/>
      </c>
      <c r="AV121" s="98" t="str">
        <f aca="false">IF(ISBLANK($C121),"",AO121)</f>
        <v/>
      </c>
      <c r="AW121" s="98" t="str">
        <f aca="false">IF(ISBLANK($C121),"",AN121)</f>
        <v/>
      </c>
      <c r="AX121" s="99" t="str">
        <f aca="false">IF(ISBLANK($C121),"",IFERROR(_xlfn.SWITCH(AW121,Constants!$B$4,COUNTA($C$8:$C$507)+2,Constants!$B$5,COUNTA($C$8:$C$507)+1,Constants!$B$6,COUNTA($C$8:$C$507)),AW121))</f>
        <v/>
      </c>
      <c r="AY121" s="5"/>
      <c r="AZ121" s="100" t="n">
        <f aca="false">IF(OR(ISNUMBER(AW121),AW121=Constants!$B$4,AW121=Constants!$B$6,AW121=Constants!$B$5),1,0)</f>
        <v>0</v>
      </c>
      <c r="BA121" s="100" t="n">
        <v>114</v>
      </c>
      <c r="BB121" s="100" t="str">
        <f aca="false">IF(ISBLANK($C121),"",IF(ISNUMBER(AX121),AX121+ROW($B121)/1000,""))</f>
        <v/>
      </c>
      <c r="BC121" s="100" t="str">
        <f aca="false">IF(ISNUMBER(BB121),RANK(BB121,$BB$8:$BB$507,1),"")</f>
        <v/>
      </c>
      <c r="BD121" s="100" t="str">
        <f aca="false">IF(ISBLANK($C121),"",$B121)</f>
        <v/>
      </c>
      <c r="BE121" s="100" t="str">
        <f aca="false">IF(ISBLANK($C121),"",$C121)</f>
        <v/>
      </c>
      <c r="BF121" s="100" t="str">
        <f aca="false">IF(ISBLANK($C121),"",$D121)</f>
        <v/>
      </c>
      <c r="BG121" s="101" t="str">
        <f aca="false">AU121</f>
        <v/>
      </c>
      <c r="BH121" s="102" t="str">
        <f aca="false">AT121</f>
        <v/>
      </c>
      <c r="BI121" s="100" t="str">
        <f aca="false">IF(ISBLANK($C121),"",AW121)</f>
        <v/>
      </c>
      <c r="BJ121" s="103" t="str">
        <f aca="false">IF($BA121&gt;$AZ$7,"",VLOOKUP($BA121,$BC$8:$BI$507,7,FALSE()))</f>
        <v/>
      </c>
      <c r="BK121" s="104" t="str">
        <f aca="false">IF($BA121&gt;$AZ$7,"",VLOOKUP($BA121,$BC$8:$BI$507,2,FALSE()))</f>
        <v/>
      </c>
      <c r="BL121" s="104" t="str">
        <f aca="false">IF($BA121&gt;$AZ$7,"",VLOOKUP($BA121,$BC$8:$BI$507,3,FALSE()))</f>
        <v/>
      </c>
      <c r="BM121" s="104" t="str">
        <f aca="false">IF($BA121&gt;$AZ$7,"",VLOOKUP($BA121,$BC$8:$BI$507,4,FALSE()))</f>
        <v/>
      </c>
      <c r="BN121" s="104" t="str">
        <f aca="false">IF($BA121&gt;$AZ$7,"",VLOOKUP($BA121,$BC$8:$BI$507,5,FALSE()))</f>
        <v/>
      </c>
      <c r="BO121" s="105" t="str">
        <f aca="false">IF($BA121&gt;$AZ$7,"",VLOOKUP($BA121,$BC$8:$BI$507,6,FALSE()))</f>
        <v/>
      </c>
      <c r="BP121" s="52"/>
    </row>
    <row r="122" customFormat="false" ht="15.75" hidden="false" customHeight="false" outlineLevel="0" collapsed="false">
      <c r="A122" s="5"/>
      <c r="B122" s="118"/>
      <c r="C122" s="54"/>
      <c r="D122" s="55"/>
      <c r="E122" s="79"/>
      <c r="F122" s="57"/>
      <c r="G122" s="58"/>
      <c r="H122" s="58"/>
      <c r="I122" s="57"/>
      <c r="J122" s="58"/>
      <c r="K122" s="58"/>
      <c r="L122" s="57"/>
      <c r="M122" s="79"/>
      <c r="N122" s="60"/>
      <c r="O122" s="62" t="str">
        <f aca="false">IF(ISBLANK($C122),"",IF(E122=Constants!$B$2, TRUE(), IF(E122=Constants!$B$3, FALSE(), TRUE())))</f>
        <v/>
      </c>
      <c r="P122" s="62" t="str">
        <f aca="false">IF(ISBLANK($C122),"",IF(F122=Constants!$B$16,Constants!$B$9,IF(F122=Constants!$B$17,Constants!$B$10,Constants!$B$8)))</f>
        <v/>
      </c>
      <c r="Q122" s="62" t="str">
        <f aca="false">IF(ISBLANK($C122),"",IF(ISNUMBER(G122),IF(G122&gt;=0,G122,""),""))</f>
        <v/>
      </c>
      <c r="R122" s="62" t="str">
        <f aca="false">IF(ISBLANK($C122),"",IF(H122=Constants!$B$2, TRUE(), IF(H122=Constants!$B$3, FALSE(), TRUE())))</f>
        <v/>
      </c>
      <c r="S122" s="62" t="str">
        <f aca="false">IF(ISBLANK($C122),"",IF(I122=Constants!$B$2, TRUE(), IF(I122=Constants!$B$3, FALSE(), TRUE())))</f>
        <v/>
      </c>
      <c r="T122" s="62" t="str">
        <f aca="false">IF(ISBLANK($C122),"",IF(ISNUMBER(J122),IF(J122&gt;=0,J122,""),""))</f>
        <v/>
      </c>
      <c r="U122" s="62" t="str">
        <f aca="false">IF(ISBLANK($C122),"",IF(K122=Constants!$B$2, TRUE(), IF(K122=Constants!$B$3, FALSE(), TRUE())))</f>
        <v/>
      </c>
      <c r="V122" s="62" t="str">
        <f aca="false">IF(ISBLANK($C122),"",IF(L122=Constants!$B$2, TRUE(), IF(L122=Constants!$B$3, FALSE(), TRUE())))</f>
        <v/>
      </c>
      <c r="W122" s="62" t="str">
        <f aca="false">IF(ISBLANK($C122),"",IF(M122=Constants!$B$2, TRUE(), IF(M122=Constants!$B$3, FALSE(), FALSE())))</f>
        <v/>
      </c>
      <c r="X122" s="62" t="str">
        <f aca="false">IF(ISBLANK($C122),"",AND(Q122&lt;&gt;"",O122))</f>
        <v/>
      </c>
      <c r="Y122" s="62" t="str">
        <f aca="false">IF(ISBLANK($C122),"",AND(T122&lt;&gt;"",O122))</f>
        <v/>
      </c>
      <c r="Z122" s="62" t="str">
        <f aca="false">IF(ISBLANK($C122),"",IF(W122,Constants!$B$4,IF(COUNTA(E122:L122)=0,Constants!$B$5,IF(NOT(O122),Constants!$B$6,IF(AND(NOT(X122),NOT(Y122)),Constants!$B$6,Constants!$B$7)))))</f>
        <v/>
      </c>
      <c r="AA122" s="62" t="str">
        <f aca="false">IF(ISBLANK($C122),"",IF($Z122&lt;&gt;Constants!$B$7,$Z122,Constants!$B$20))</f>
        <v/>
      </c>
      <c r="AB122" s="62" t="str">
        <f aca="false">IF($Z122=Constants!$B$7,IF(X122,Q122,Constants!$B$13),"")</f>
        <v/>
      </c>
      <c r="AC122" s="62" t="str">
        <f aca="false">IF($Z122=Constants!$B$7,IF(X122,P122*IF(R122, 1, Constants!$B$11)*IF(S122, 1, Constants!$B$12),Constants!$B$13),"")</f>
        <v/>
      </c>
      <c r="AD122" s="62" t="str">
        <f aca="false">IF($Z122=Constants!$B$7,AB122*AC122,"")</f>
        <v/>
      </c>
      <c r="AE122" s="62" t="str">
        <f aca="false">IF($Z122=Constants!$B$7,IF(Y122,T122,Constants!$B$13),"")</f>
        <v/>
      </c>
      <c r="AF122" s="62" t="str">
        <f aca="false">IF($Z122=Constants!$B$7,IF(Y122,P122*IF(U122, 1, Constants!$B$11)*IF(V122, 1, Constants!$B$12),Constants!$B$13),"")</f>
        <v/>
      </c>
      <c r="AG122" s="62" t="str">
        <f aca="false">IF($Z122=Constants!$B$7,AE122*AF122,"")</f>
        <v/>
      </c>
      <c r="AH122" s="62" t="str">
        <f aca="false">IF($Z122=Constants!$B$7,IF(AG122&gt;AD122,2,1),"")</f>
        <v/>
      </c>
      <c r="AI122" s="62" t="str">
        <f aca="false">IF($Z122=Constants!$B$7,IF(AH122=1,2,1),"")</f>
        <v/>
      </c>
      <c r="AJ122" s="62" t="str">
        <f aca="false">IF(ISBLANK($C122),"",IF($Z122&lt;&gt;Constants!$B$7,$Z122,IF(AH122=1,AD122,AG122)))</f>
        <v/>
      </c>
      <c r="AK122" s="62" t="str">
        <f aca="false">IF(ISBLANK($C122),"",IF($Z122=Constants!$B$7,IF(ISNUMBER(AJ122),RANK(AJ122,$AJ$8:$AJ$507),Constants!$B$14),$Z122))</f>
        <v/>
      </c>
      <c r="AL122" s="62" t="str">
        <f aca="false">IF(ISBLANK($C122),"",IF($Z122=Constants!$B$7,IF(AI122=1,AD122,AG122),""))</f>
        <v/>
      </c>
      <c r="AM122" s="62" t="str">
        <f aca="false">IF(ISBLANK($C122),"",IF($Z122=Constants!$B$7,RANK(AL122,$AL$8:$AL$507),$Z122))</f>
        <v/>
      </c>
      <c r="AN122" s="62" t="str">
        <f aca="false">IF(ISBLANK($C122),"",IF($Z122=Constants!$B$7,IF(ISNUMBER(AK122),COUNTIFS($AK$8:$AK$507,"&lt;"&amp;$AK122)+COUNTIFS($AK$8:$AK$507,$AK122,$AM$8:$AM$507,"&lt;"&amp;$AM122)+1,Constants!$B$14),$Z122))</f>
        <v/>
      </c>
      <c r="AO122" s="62" t="str">
        <f aca="false">IF(ISBLANK($C122),"",IF($Z122=Constants!$B$7,IF(ISNUMBER(AK122),AK122-AN122,Constants!$B$14),$Z122))</f>
        <v/>
      </c>
      <c r="AP122" s="64"/>
      <c r="AQ122" s="65" t="str">
        <f aca="false">IF(ISBLANK($C122),"",IF($Z122&lt;&gt;Constants!$B$7,"",AH122))</f>
        <v/>
      </c>
      <c r="AR122" s="80" t="str">
        <f aca="false">IF(ISBLANK($C122),"",IF($Z122&lt;&gt;Constants!$B$7,"",IF(AH122=1,AB122,AE122)))</f>
        <v/>
      </c>
      <c r="AS122" s="67" t="str">
        <f aca="false">IF(ISBLANK($C122),"",IF($Z122&lt;&gt;Constants!$B$7,"",IF(AH122=1,AC122,AF122)))</f>
        <v/>
      </c>
      <c r="AT122" s="68" t="str">
        <f aca="false">IF(ISBLANK($C122),"",IF($Z122&lt;&gt;Constants!$B$7,$Z122,AJ122))</f>
        <v/>
      </c>
      <c r="AU122" s="69" t="str">
        <f aca="false">IF(ISBLANK($C122),"",IF($Z122&lt;&gt;Constants!$B$7,$Z122,AA122))</f>
        <v/>
      </c>
      <c r="AV122" s="70" t="str">
        <f aca="false">IF(ISBLANK($C122),"",AO122)</f>
        <v/>
      </c>
      <c r="AW122" s="70" t="str">
        <f aca="false">IF(ISBLANK($C122),"",AN122)</f>
        <v/>
      </c>
      <c r="AX122" s="71" t="str">
        <f aca="false">IF(ISBLANK($C122),"",IFERROR(_xlfn.SWITCH(AW122,Constants!$B$4,COUNTA($C$8:$C$507)+2,Constants!$B$5,COUNTA($C$8:$C$507)+1,Constants!$B$6,COUNTA($C$8:$C$507)),AW122))</f>
        <v/>
      </c>
      <c r="AY122" s="5"/>
      <c r="AZ122" s="72" t="n">
        <f aca="false">IF(OR(ISNUMBER(AW122),AW122=Constants!$B$4,AW122=Constants!$B$6,AW122=Constants!$B$5),1,0)</f>
        <v>0</v>
      </c>
      <c r="BA122" s="72" t="n">
        <v>115</v>
      </c>
      <c r="BB122" s="72" t="str">
        <f aca="false">IF(ISBLANK($C122),"",IF(ISNUMBER(AX122),AX122+ROW($B122)/1000,""))</f>
        <v/>
      </c>
      <c r="BC122" s="72" t="str">
        <f aca="false">IF(ISNUMBER(BB122),RANK(BB122,$BB$8:$BB$507,1),"")</f>
        <v/>
      </c>
      <c r="BD122" s="72" t="str">
        <f aca="false">IF(ISBLANK($C122),"",$B122)</f>
        <v/>
      </c>
      <c r="BE122" s="72" t="str">
        <f aca="false">IF(ISBLANK($C122),"",$C122)</f>
        <v/>
      </c>
      <c r="BF122" s="72" t="str">
        <f aca="false">IF(ISBLANK($C122),"",$D122)</f>
        <v/>
      </c>
      <c r="BG122" s="73" t="str">
        <f aca="false">AU122</f>
        <v/>
      </c>
      <c r="BH122" s="74" t="str">
        <f aca="false">AT122</f>
        <v/>
      </c>
      <c r="BI122" s="72" t="str">
        <f aca="false">IF(ISBLANK($C122),"",AW122)</f>
        <v/>
      </c>
      <c r="BJ122" s="75" t="str">
        <f aca="false">IF($BA122&gt;$AZ$7,"",VLOOKUP($BA122,$BC$8:$BI$507,7,FALSE()))</f>
        <v/>
      </c>
      <c r="BK122" s="76" t="str">
        <f aca="false">IF($BA122&gt;$AZ$7,"",VLOOKUP($BA122,$BC$8:$BI$507,2,FALSE()))</f>
        <v/>
      </c>
      <c r="BL122" s="76" t="str">
        <f aca="false">IF($BA122&gt;$AZ$7,"",VLOOKUP($BA122,$BC$8:$BI$507,3,FALSE()))</f>
        <v/>
      </c>
      <c r="BM122" s="76" t="str">
        <f aca="false">IF($BA122&gt;$AZ$7,"",VLOOKUP($BA122,$BC$8:$BI$507,4,FALSE()))</f>
        <v/>
      </c>
      <c r="BN122" s="76" t="str">
        <f aca="false">IF($BA122&gt;$AZ$7,"",VLOOKUP($BA122,$BC$8:$BI$507,5,FALSE()))</f>
        <v/>
      </c>
      <c r="BO122" s="77" t="str">
        <f aca="false">IF($BA122&gt;$AZ$7,"",VLOOKUP($BA122,$BC$8:$BI$507,6,FALSE()))</f>
        <v/>
      </c>
      <c r="BP122" s="52"/>
    </row>
    <row r="123" customFormat="false" ht="15.75" hidden="false" customHeight="false" outlineLevel="0" collapsed="false">
      <c r="A123" s="5"/>
      <c r="B123" s="118"/>
      <c r="C123" s="54"/>
      <c r="D123" s="55"/>
      <c r="E123" s="79"/>
      <c r="F123" s="57"/>
      <c r="G123" s="58"/>
      <c r="H123" s="58"/>
      <c r="I123" s="57"/>
      <c r="J123" s="58"/>
      <c r="K123" s="58"/>
      <c r="L123" s="57"/>
      <c r="M123" s="79"/>
      <c r="N123" s="60"/>
      <c r="O123" s="62" t="str">
        <f aca="false">IF(ISBLANK($C123),"",IF(E123=Constants!$B$2, TRUE(), IF(E123=Constants!$B$3, FALSE(), TRUE())))</f>
        <v/>
      </c>
      <c r="P123" s="62" t="str">
        <f aca="false">IF(ISBLANK($C123),"",IF(F123=Constants!$B$16,Constants!$B$9,IF(F123=Constants!$B$17,Constants!$B$10,Constants!$B$8)))</f>
        <v/>
      </c>
      <c r="Q123" s="62" t="str">
        <f aca="false">IF(ISBLANK($C123),"",IF(ISNUMBER(G123),IF(G123&gt;=0,G123,""),""))</f>
        <v/>
      </c>
      <c r="R123" s="62" t="str">
        <f aca="false">IF(ISBLANK($C123),"",IF(H123=Constants!$B$2, TRUE(), IF(H123=Constants!$B$3, FALSE(), TRUE())))</f>
        <v/>
      </c>
      <c r="S123" s="62" t="str">
        <f aca="false">IF(ISBLANK($C123),"",IF(I123=Constants!$B$2, TRUE(), IF(I123=Constants!$B$3, FALSE(), TRUE())))</f>
        <v/>
      </c>
      <c r="T123" s="62" t="str">
        <f aca="false">IF(ISBLANK($C123),"",IF(ISNUMBER(J123),IF(J123&gt;=0,J123,""),""))</f>
        <v/>
      </c>
      <c r="U123" s="62" t="str">
        <f aca="false">IF(ISBLANK($C123),"",IF(K123=Constants!$B$2, TRUE(), IF(K123=Constants!$B$3, FALSE(), TRUE())))</f>
        <v/>
      </c>
      <c r="V123" s="62" t="str">
        <f aca="false">IF(ISBLANK($C123),"",IF(L123=Constants!$B$2, TRUE(), IF(L123=Constants!$B$3, FALSE(), TRUE())))</f>
        <v/>
      </c>
      <c r="W123" s="62" t="str">
        <f aca="false">IF(ISBLANK($C123),"",IF(M123=Constants!$B$2, TRUE(), IF(M123=Constants!$B$3, FALSE(), FALSE())))</f>
        <v/>
      </c>
      <c r="X123" s="62" t="str">
        <f aca="false">IF(ISBLANK($C123),"",AND(Q123&lt;&gt;"",O123))</f>
        <v/>
      </c>
      <c r="Y123" s="62" t="str">
        <f aca="false">IF(ISBLANK($C123),"",AND(T123&lt;&gt;"",O123))</f>
        <v/>
      </c>
      <c r="Z123" s="62" t="str">
        <f aca="false">IF(ISBLANK($C123),"",IF(W123,Constants!$B$4,IF(COUNTA(E123:L123)=0,Constants!$B$5,IF(NOT(O123),Constants!$B$6,IF(AND(NOT(X123),NOT(Y123)),Constants!$B$6,Constants!$B$7)))))</f>
        <v/>
      </c>
      <c r="AA123" s="62" t="str">
        <f aca="false">IF(ISBLANK($C123),"",IF($Z123&lt;&gt;Constants!$B$7,$Z123,Constants!$B$20))</f>
        <v/>
      </c>
      <c r="AB123" s="62" t="str">
        <f aca="false">IF($Z123=Constants!$B$7,IF(X123,Q123,Constants!$B$13),"")</f>
        <v/>
      </c>
      <c r="AC123" s="62" t="str">
        <f aca="false">IF($Z123=Constants!$B$7,IF(X123,P123*IF(R123, 1, Constants!$B$11)*IF(S123, 1, Constants!$B$12),Constants!$B$13),"")</f>
        <v/>
      </c>
      <c r="AD123" s="62" t="str">
        <f aca="false">IF($Z123=Constants!$B$7,AB123*AC123,"")</f>
        <v/>
      </c>
      <c r="AE123" s="62" t="str">
        <f aca="false">IF($Z123=Constants!$B$7,IF(Y123,T123,Constants!$B$13),"")</f>
        <v/>
      </c>
      <c r="AF123" s="62" t="str">
        <f aca="false">IF($Z123=Constants!$B$7,IF(Y123,P123*IF(U123, 1, Constants!$B$11)*IF(V123, 1, Constants!$B$12),Constants!$B$13),"")</f>
        <v/>
      </c>
      <c r="AG123" s="62" t="str">
        <f aca="false">IF($Z123=Constants!$B$7,AE123*AF123,"")</f>
        <v/>
      </c>
      <c r="AH123" s="62" t="str">
        <f aca="false">IF($Z123=Constants!$B$7,IF(AG123&gt;AD123,2,1),"")</f>
        <v/>
      </c>
      <c r="AI123" s="62" t="str">
        <f aca="false">IF($Z123=Constants!$B$7,IF(AH123=1,2,1),"")</f>
        <v/>
      </c>
      <c r="AJ123" s="62" t="str">
        <f aca="false">IF(ISBLANK($C123),"",IF($Z123&lt;&gt;Constants!$B$7,$Z123,IF(AH123=1,AD123,AG123)))</f>
        <v/>
      </c>
      <c r="AK123" s="62" t="str">
        <f aca="false">IF(ISBLANK($C123),"",IF($Z123=Constants!$B$7,IF(ISNUMBER(AJ123),RANK(AJ123,$AJ$8:$AJ$507),Constants!$B$14),$Z123))</f>
        <v/>
      </c>
      <c r="AL123" s="62" t="str">
        <f aca="false">IF(ISBLANK($C123),"",IF($Z123=Constants!$B$7,IF(AI123=1,AD123,AG123),""))</f>
        <v/>
      </c>
      <c r="AM123" s="62" t="str">
        <f aca="false">IF(ISBLANK($C123),"",IF($Z123=Constants!$B$7,RANK(AL123,$AL$8:$AL$507),$Z123))</f>
        <v/>
      </c>
      <c r="AN123" s="62" t="str">
        <f aca="false">IF(ISBLANK($C123),"",IF($Z123=Constants!$B$7,IF(ISNUMBER(AK123),COUNTIFS($AK$8:$AK$507,"&lt;"&amp;$AK123)+COUNTIFS($AK$8:$AK$507,$AK123,$AM$8:$AM$507,"&lt;"&amp;$AM123)+1,Constants!$B$14),$Z123))</f>
        <v/>
      </c>
      <c r="AO123" s="62" t="str">
        <f aca="false">IF(ISBLANK($C123),"",IF($Z123=Constants!$B$7,IF(ISNUMBER(AK123),AK123-AN123,Constants!$B$14),$Z123))</f>
        <v/>
      </c>
      <c r="AP123" s="64"/>
      <c r="AQ123" s="65" t="str">
        <f aca="false">IF(ISBLANK($C123),"",IF($Z123&lt;&gt;Constants!$B$7,"",AH123))</f>
        <v/>
      </c>
      <c r="AR123" s="80" t="str">
        <f aca="false">IF(ISBLANK($C123),"",IF($Z123&lt;&gt;Constants!$B$7,"",IF(AH123=1,AB123,AE123)))</f>
        <v/>
      </c>
      <c r="AS123" s="67" t="str">
        <f aca="false">IF(ISBLANK($C123),"",IF($Z123&lt;&gt;Constants!$B$7,"",IF(AH123=1,AC123,AF123)))</f>
        <v/>
      </c>
      <c r="AT123" s="68" t="str">
        <f aca="false">IF(ISBLANK($C123),"",IF($Z123&lt;&gt;Constants!$B$7,$Z123,AJ123))</f>
        <v/>
      </c>
      <c r="AU123" s="69" t="str">
        <f aca="false">IF(ISBLANK($C123),"",IF($Z123&lt;&gt;Constants!$B$7,$Z123,AA123))</f>
        <v/>
      </c>
      <c r="AV123" s="70" t="str">
        <f aca="false">IF(ISBLANK($C123),"",AO123)</f>
        <v/>
      </c>
      <c r="AW123" s="70" t="str">
        <f aca="false">IF(ISBLANK($C123),"",AN123)</f>
        <v/>
      </c>
      <c r="AX123" s="71" t="str">
        <f aca="false">IF(ISBLANK($C123),"",IFERROR(_xlfn.SWITCH(AW123,Constants!$B$4,COUNTA($C$8:$C$507)+2,Constants!$B$5,COUNTA($C$8:$C$507)+1,Constants!$B$6,COUNTA($C$8:$C$507)),AW123))</f>
        <v/>
      </c>
      <c r="AY123" s="5"/>
      <c r="AZ123" s="72" t="n">
        <f aca="false">IF(OR(ISNUMBER(AW123),AW123=Constants!$B$4,AW123=Constants!$B$6,AW123=Constants!$B$5),1,0)</f>
        <v>0</v>
      </c>
      <c r="BA123" s="72" t="n">
        <v>116</v>
      </c>
      <c r="BB123" s="72" t="str">
        <f aca="false">IF(ISBLANK($C123),"",IF(ISNUMBER(AX123),AX123+ROW($B123)/1000,""))</f>
        <v/>
      </c>
      <c r="BC123" s="72" t="str">
        <f aca="false">IF(ISNUMBER(BB123),RANK(BB123,$BB$8:$BB$507,1),"")</f>
        <v/>
      </c>
      <c r="BD123" s="72" t="str">
        <f aca="false">IF(ISBLANK($C123),"",$B123)</f>
        <v/>
      </c>
      <c r="BE123" s="72" t="str">
        <f aca="false">IF(ISBLANK($C123),"",$C123)</f>
        <v/>
      </c>
      <c r="BF123" s="72" t="str">
        <f aca="false">IF(ISBLANK($C123),"",$D123)</f>
        <v/>
      </c>
      <c r="BG123" s="73" t="str">
        <f aca="false">AU123</f>
        <v/>
      </c>
      <c r="BH123" s="74" t="str">
        <f aca="false">AT123</f>
        <v/>
      </c>
      <c r="BI123" s="72" t="str">
        <f aca="false">IF(ISBLANK($C123),"",AW123)</f>
        <v/>
      </c>
      <c r="BJ123" s="75" t="str">
        <f aca="false">IF($BA123&gt;$AZ$7,"",VLOOKUP($BA123,$BC$8:$BI$507,7,FALSE()))</f>
        <v/>
      </c>
      <c r="BK123" s="76" t="str">
        <f aca="false">IF($BA123&gt;$AZ$7,"",VLOOKUP($BA123,$BC$8:$BI$507,2,FALSE()))</f>
        <v/>
      </c>
      <c r="BL123" s="76" t="str">
        <f aca="false">IF($BA123&gt;$AZ$7,"",VLOOKUP($BA123,$BC$8:$BI$507,3,FALSE()))</f>
        <v/>
      </c>
      <c r="BM123" s="76" t="str">
        <f aca="false">IF($BA123&gt;$AZ$7,"",VLOOKUP($BA123,$BC$8:$BI$507,4,FALSE()))</f>
        <v/>
      </c>
      <c r="BN123" s="76" t="str">
        <f aca="false">IF($BA123&gt;$AZ$7,"",VLOOKUP($BA123,$BC$8:$BI$507,5,FALSE()))</f>
        <v/>
      </c>
      <c r="BO123" s="77" t="str">
        <f aca="false">IF($BA123&gt;$AZ$7,"",VLOOKUP($BA123,$BC$8:$BI$507,6,FALSE()))</f>
        <v/>
      </c>
      <c r="BP123" s="52"/>
    </row>
    <row r="124" customFormat="false" ht="15.75" hidden="false" customHeight="false" outlineLevel="0" collapsed="false">
      <c r="A124" s="5"/>
      <c r="B124" s="118"/>
      <c r="C124" s="54"/>
      <c r="D124" s="55"/>
      <c r="E124" s="79"/>
      <c r="F124" s="57"/>
      <c r="G124" s="58"/>
      <c r="H124" s="58"/>
      <c r="I124" s="57"/>
      <c r="J124" s="58"/>
      <c r="K124" s="58"/>
      <c r="L124" s="57"/>
      <c r="M124" s="79"/>
      <c r="N124" s="60"/>
      <c r="O124" s="62" t="str">
        <f aca="false">IF(ISBLANK($C124),"",IF(E124=Constants!$B$2, TRUE(), IF(E124=Constants!$B$3, FALSE(), TRUE())))</f>
        <v/>
      </c>
      <c r="P124" s="62" t="str">
        <f aca="false">IF(ISBLANK($C124),"",IF(F124=Constants!$B$16,Constants!$B$9,IF(F124=Constants!$B$17,Constants!$B$10,Constants!$B$8)))</f>
        <v/>
      </c>
      <c r="Q124" s="62" t="str">
        <f aca="false">IF(ISBLANK($C124),"",IF(ISNUMBER(G124),IF(G124&gt;=0,G124,""),""))</f>
        <v/>
      </c>
      <c r="R124" s="62" t="str">
        <f aca="false">IF(ISBLANK($C124),"",IF(H124=Constants!$B$2, TRUE(), IF(H124=Constants!$B$3, FALSE(), TRUE())))</f>
        <v/>
      </c>
      <c r="S124" s="62" t="str">
        <f aca="false">IF(ISBLANK($C124),"",IF(I124=Constants!$B$2, TRUE(), IF(I124=Constants!$B$3, FALSE(), TRUE())))</f>
        <v/>
      </c>
      <c r="T124" s="62" t="str">
        <f aca="false">IF(ISBLANK($C124),"",IF(ISNUMBER(J124),IF(J124&gt;=0,J124,""),""))</f>
        <v/>
      </c>
      <c r="U124" s="62" t="str">
        <f aca="false">IF(ISBLANK($C124),"",IF(K124=Constants!$B$2, TRUE(), IF(K124=Constants!$B$3, FALSE(), TRUE())))</f>
        <v/>
      </c>
      <c r="V124" s="62" t="str">
        <f aca="false">IF(ISBLANK($C124),"",IF(L124=Constants!$B$2, TRUE(), IF(L124=Constants!$B$3, FALSE(), TRUE())))</f>
        <v/>
      </c>
      <c r="W124" s="62" t="str">
        <f aca="false">IF(ISBLANK($C124),"",IF(M124=Constants!$B$2, TRUE(), IF(M124=Constants!$B$3, FALSE(), FALSE())))</f>
        <v/>
      </c>
      <c r="X124" s="62" t="str">
        <f aca="false">IF(ISBLANK($C124),"",AND(Q124&lt;&gt;"",O124))</f>
        <v/>
      </c>
      <c r="Y124" s="62" t="str">
        <f aca="false">IF(ISBLANK($C124),"",AND(T124&lt;&gt;"",O124))</f>
        <v/>
      </c>
      <c r="Z124" s="62" t="str">
        <f aca="false">IF(ISBLANK($C124),"",IF(W124,Constants!$B$4,IF(COUNTA(E124:L124)=0,Constants!$B$5,IF(NOT(O124),Constants!$B$6,IF(AND(NOT(X124),NOT(Y124)),Constants!$B$6,Constants!$B$7)))))</f>
        <v/>
      </c>
      <c r="AA124" s="62" t="str">
        <f aca="false">IF(ISBLANK($C124),"",IF($Z124&lt;&gt;Constants!$B$7,$Z124,Constants!$B$20))</f>
        <v/>
      </c>
      <c r="AB124" s="62" t="str">
        <f aca="false">IF($Z124=Constants!$B$7,IF(X124,Q124,Constants!$B$13),"")</f>
        <v/>
      </c>
      <c r="AC124" s="62" t="str">
        <f aca="false">IF($Z124=Constants!$B$7,IF(X124,P124*IF(R124, 1, Constants!$B$11)*IF(S124, 1, Constants!$B$12),Constants!$B$13),"")</f>
        <v/>
      </c>
      <c r="AD124" s="62" t="str">
        <f aca="false">IF($Z124=Constants!$B$7,AB124*AC124,"")</f>
        <v/>
      </c>
      <c r="AE124" s="62" t="str">
        <f aca="false">IF($Z124=Constants!$B$7,IF(Y124,T124,Constants!$B$13),"")</f>
        <v/>
      </c>
      <c r="AF124" s="62" t="str">
        <f aca="false">IF($Z124=Constants!$B$7,IF(Y124,P124*IF(U124, 1, Constants!$B$11)*IF(V124, 1, Constants!$B$12),Constants!$B$13),"")</f>
        <v/>
      </c>
      <c r="AG124" s="62" t="str">
        <f aca="false">IF($Z124=Constants!$B$7,AE124*AF124,"")</f>
        <v/>
      </c>
      <c r="AH124" s="62" t="str">
        <f aca="false">IF($Z124=Constants!$B$7,IF(AG124&gt;AD124,2,1),"")</f>
        <v/>
      </c>
      <c r="AI124" s="62" t="str">
        <f aca="false">IF($Z124=Constants!$B$7,IF(AH124=1,2,1),"")</f>
        <v/>
      </c>
      <c r="AJ124" s="62" t="str">
        <f aca="false">IF(ISBLANK($C124),"",IF($Z124&lt;&gt;Constants!$B$7,$Z124,IF(AH124=1,AD124,AG124)))</f>
        <v/>
      </c>
      <c r="AK124" s="62" t="str">
        <f aca="false">IF(ISBLANK($C124),"",IF($Z124=Constants!$B$7,IF(ISNUMBER(AJ124),RANK(AJ124,$AJ$8:$AJ$507),Constants!$B$14),$Z124))</f>
        <v/>
      </c>
      <c r="AL124" s="62" t="str">
        <f aca="false">IF(ISBLANK($C124),"",IF($Z124=Constants!$B$7,IF(AI124=1,AD124,AG124),""))</f>
        <v/>
      </c>
      <c r="AM124" s="62" t="str">
        <f aca="false">IF(ISBLANK($C124),"",IF($Z124=Constants!$B$7,RANK(AL124,$AL$8:$AL$507),$Z124))</f>
        <v/>
      </c>
      <c r="AN124" s="62" t="str">
        <f aca="false">IF(ISBLANK($C124),"",IF($Z124=Constants!$B$7,IF(ISNUMBER(AK124),COUNTIFS($AK$8:$AK$507,"&lt;"&amp;$AK124)+COUNTIFS($AK$8:$AK$507,$AK124,$AM$8:$AM$507,"&lt;"&amp;$AM124)+1,Constants!$B$14),$Z124))</f>
        <v/>
      </c>
      <c r="AO124" s="62" t="str">
        <f aca="false">IF(ISBLANK($C124),"",IF($Z124=Constants!$B$7,IF(ISNUMBER(AK124),AK124-AN124,Constants!$B$14),$Z124))</f>
        <v/>
      </c>
      <c r="AP124" s="64"/>
      <c r="AQ124" s="65" t="str">
        <f aca="false">IF(ISBLANK($C124),"",IF($Z124&lt;&gt;Constants!$B$7,"",AH124))</f>
        <v/>
      </c>
      <c r="AR124" s="80" t="str">
        <f aca="false">IF(ISBLANK($C124),"",IF($Z124&lt;&gt;Constants!$B$7,"",IF(AH124=1,AB124,AE124)))</f>
        <v/>
      </c>
      <c r="AS124" s="67" t="str">
        <f aca="false">IF(ISBLANK($C124),"",IF($Z124&lt;&gt;Constants!$B$7,"",IF(AH124=1,AC124,AF124)))</f>
        <v/>
      </c>
      <c r="AT124" s="68" t="str">
        <f aca="false">IF(ISBLANK($C124),"",IF($Z124&lt;&gt;Constants!$B$7,$Z124,AJ124))</f>
        <v/>
      </c>
      <c r="AU124" s="69" t="str">
        <f aca="false">IF(ISBLANK($C124),"",IF($Z124&lt;&gt;Constants!$B$7,$Z124,AA124))</f>
        <v/>
      </c>
      <c r="AV124" s="70" t="str">
        <f aca="false">IF(ISBLANK($C124),"",AO124)</f>
        <v/>
      </c>
      <c r="AW124" s="70" t="str">
        <f aca="false">IF(ISBLANK($C124),"",AN124)</f>
        <v/>
      </c>
      <c r="AX124" s="71" t="str">
        <f aca="false">IF(ISBLANK($C124),"",IFERROR(_xlfn.SWITCH(AW124,Constants!$B$4,COUNTA($C$8:$C$507)+2,Constants!$B$5,COUNTA($C$8:$C$507)+1,Constants!$B$6,COUNTA($C$8:$C$507)),AW124))</f>
        <v/>
      </c>
      <c r="AY124" s="5"/>
      <c r="AZ124" s="72" t="n">
        <f aca="false">IF(OR(ISNUMBER(AW124),AW124=Constants!$B$4,AW124=Constants!$B$6,AW124=Constants!$B$5),1,0)</f>
        <v>0</v>
      </c>
      <c r="BA124" s="72" t="n">
        <v>117</v>
      </c>
      <c r="BB124" s="72" t="str">
        <f aca="false">IF(ISBLANK($C124),"",IF(ISNUMBER(AX124),AX124+ROW($B124)/1000,""))</f>
        <v/>
      </c>
      <c r="BC124" s="72" t="str">
        <f aca="false">IF(ISNUMBER(BB124),RANK(BB124,$BB$8:$BB$507,1),"")</f>
        <v/>
      </c>
      <c r="BD124" s="72" t="str">
        <f aca="false">IF(ISBLANK($C124),"",$B124)</f>
        <v/>
      </c>
      <c r="BE124" s="72" t="str">
        <f aca="false">IF(ISBLANK($C124),"",$C124)</f>
        <v/>
      </c>
      <c r="BF124" s="72" t="str">
        <f aca="false">IF(ISBLANK($C124),"",$D124)</f>
        <v/>
      </c>
      <c r="BG124" s="73" t="str">
        <f aca="false">AU124</f>
        <v/>
      </c>
      <c r="BH124" s="74" t="str">
        <f aca="false">AT124</f>
        <v/>
      </c>
      <c r="BI124" s="72" t="str">
        <f aca="false">IF(ISBLANK($C124),"",AW124)</f>
        <v/>
      </c>
      <c r="BJ124" s="75" t="str">
        <f aca="false">IF($BA124&gt;$AZ$7,"",VLOOKUP($BA124,$BC$8:$BI$507,7,FALSE()))</f>
        <v/>
      </c>
      <c r="BK124" s="76" t="str">
        <f aca="false">IF($BA124&gt;$AZ$7,"",VLOOKUP($BA124,$BC$8:$BI$507,2,FALSE()))</f>
        <v/>
      </c>
      <c r="BL124" s="76" t="str">
        <f aca="false">IF($BA124&gt;$AZ$7,"",VLOOKUP($BA124,$BC$8:$BI$507,3,FALSE()))</f>
        <v/>
      </c>
      <c r="BM124" s="76" t="str">
        <f aca="false">IF($BA124&gt;$AZ$7,"",VLOOKUP($BA124,$BC$8:$BI$507,4,FALSE()))</f>
        <v/>
      </c>
      <c r="BN124" s="76" t="str">
        <f aca="false">IF($BA124&gt;$AZ$7,"",VLOOKUP($BA124,$BC$8:$BI$507,5,FALSE()))</f>
        <v/>
      </c>
      <c r="BO124" s="77" t="str">
        <f aca="false">IF($BA124&gt;$AZ$7,"",VLOOKUP($BA124,$BC$8:$BI$507,6,FALSE()))</f>
        <v/>
      </c>
      <c r="BP124" s="52"/>
    </row>
    <row r="125" customFormat="false" ht="15.75" hidden="false" customHeight="false" outlineLevel="0" collapsed="false">
      <c r="A125" s="5"/>
      <c r="B125" s="114"/>
      <c r="C125" s="115"/>
      <c r="D125" s="106"/>
      <c r="E125" s="117"/>
      <c r="F125" s="87"/>
      <c r="G125" s="88"/>
      <c r="H125" s="88"/>
      <c r="I125" s="87"/>
      <c r="J125" s="88"/>
      <c r="K125" s="88"/>
      <c r="L125" s="87"/>
      <c r="M125" s="117"/>
      <c r="N125" s="90"/>
      <c r="O125" s="91" t="str">
        <f aca="false">IF(ISBLANK($C125),"",IF(E125=Constants!$B$2, TRUE(), IF(E125=Constants!$B$3, FALSE(), TRUE())))</f>
        <v/>
      </c>
      <c r="P125" s="91" t="str">
        <f aca="false">IF(ISBLANK($C125),"",IF(F125=Constants!$B$16,Constants!$B$9,IF(F125=Constants!$B$17,Constants!$B$10,Constants!$B$8)))</f>
        <v/>
      </c>
      <c r="Q125" s="91" t="str">
        <f aca="false">IF(ISBLANK($C125),"",IF(ISNUMBER(G125),IF(G125&gt;=0,G125,""),""))</f>
        <v/>
      </c>
      <c r="R125" s="91" t="str">
        <f aca="false">IF(ISBLANK($C125),"",IF(H125=Constants!$B$2, TRUE(), IF(H125=Constants!$B$3, FALSE(), TRUE())))</f>
        <v/>
      </c>
      <c r="S125" s="91" t="str">
        <f aca="false">IF(ISBLANK($C125),"",IF(I125=Constants!$B$2, TRUE(), IF(I125=Constants!$B$3, FALSE(), TRUE())))</f>
        <v/>
      </c>
      <c r="T125" s="91" t="str">
        <f aca="false">IF(ISBLANK($C125),"",IF(ISNUMBER(J125),IF(J125&gt;=0,J125,""),""))</f>
        <v/>
      </c>
      <c r="U125" s="91" t="str">
        <f aca="false">IF(ISBLANK($C125),"",IF(K125=Constants!$B$2, TRUE(), IF(K125=Constants!$B$3, FALSE(), TRUE())))</f>
        <v/>
      </c>
      <c r="V125" s="91" t="str">
        <f aca="false">IF(ISBLANK($C125),"",IF(L125=Constants!$B$2, TRUE(), IF(L125=Constants!$B$3, FALSE(), TRUE())))</f>
        <v/>
      </c>
      <c r="W125" s="91" t="str">
        <f aca="false">IF(ISBLANK($C125),"",IF(M125=Constants!$B$2, TRUE(), IF(M125=Constants!$B$3, FALSE(), FALSE())))</f>
        <v/>
      </c>
      <c r="X125" s="91" t="str">
        <f aca="false">IF(ISBLANK($C125),"",AND(Q125&lt;&gt;"",O125))</f>
        <v/>
      </c>
      <c r="Y125" s="91" t="str">
        <f aca="false">IF(ISBLANK($C125),"",AND(T125&lt;&gt;"",O125))</f>
        <v/>
      </c>
      <c r="Z125" s="91" t="str">
        <f aca="false">IF(ISBLANK($C125),"",IF(W125,Constants!$B$4,IF(COUNTA(E125:L125)=0,Constants!$B$5,IF(NOT(O125),Constants!$B$6,IF(AND(NOT(X125),NOT(Y125)),Constants!$B$6,Constants!$B$7)))))</f>
        <v/>
      </c>
      <c r="AA125" s="91" t="str">
        <f aca="false">IF(ISBLANK($C125),"",IF($Z125&lt;&gt;Constants!$B$7,$Z125,Constants!$B$20))</f>
        <v/>
      </c>
      <c r="AB125" s="91" t="str">
        <f aca="false">IF($Z125=Constants!$B$7,IF(X125,Q125,Constants!$B$13),"")</f>
        <v/>
      </c>
      <c r="AC125" s="91" t="str">
        <f aca="false">IF($Z125=Constants!$B$7,IF(X125,P125*IF(R125, 1, Constants!$B$11)*IF(S125, 1, Constants!$B$12),Constants!$B$13),"")</f>
        <v/>
      </c>
      <c r="AD125" s="91" t="str">
        <f aca="false">IF($Z125=Constants!$B$7,AB125*AC125,"")</f>
        <v/>
      </c>
      <c r="AE125" s="91" t="str">
        <f aca="false">IF($Z125=Constants!$B$7,IF(Y125,T125,Constants!$B$13),"")</f>
        <v/>
      </c>
      <c r="AF125" s="91" t="str">
        <f aca="false">IF($Z125=Constants!$B$7,IF(Y125,P125*IF(U125, 1, Constants!$B$11)*IF(V125, 1, Constants!$B$12),Constants!$B$13),"")</f>
        <v/>
      </c>
      <c r="AG125" s="91" t="str">
        <f aca="false">IF($Z125=Constants!$B$7,AE125*AF125,"")</f>
        <v/>
      </c>
      <c r="AH125" s="91" t="str">
        <f aca="false">IF($Z125=Constants!$B$7,IF(AG125&gt;AD125,2,1),"")</f>
        <v/>
      </c>
      <c r="AI125" s="91" t="str">
        <f aca="false">IF($Z125=Constants!$B$7,IF(AH125=1,2,1),"")</f>
        <v/>
      </c>
      <c r="AJ125" s="91" t="str">
        <f aca="false">IF(ISBLANK($C125),"",IF($Z125&lt;&gt;Constants!$B$7,$Z125,IF(AH125=1,AD125,AG125)))</f>
        <v/>
      </c>
      <c r="AK125" s="91" t="str">
        <f aca="false">IF(ISBLANK($C125),"",IF($Z125=Constants!$B$7,IF(ISNUMBER(AJ125),RANK(AJ125,$AJ$8:$AJ$507),Constants!$B$14),$Z125))</f>
        <v/>
      </c>
      <c r="AL125" s="91" t="str">
        <f aca="false">IF(ISBLANK($C125),"",IF($Z125=Constants!$B$7,IF(AI125=1,AD125,AG125),""))</f>
        <v/>
      </c>
      <c r="AM125" s="91" t="str">
        <f aca="false">IF(ISBLANK($C125),"",IF($Z125=Constants!$B$7,RANK(AL125,$AL$8:$AL$507),$Z125))</f>
        <v/>
      </c>
      <c r="AN125" s="91" t="str">
        <f aca="false">IF(ISBLANK($C125),"",IF($Z125=Constants!$B$7,IF(ISNUMBER(AK125),COUNTIFS($AK$8:$AK$507,"&lt;"&amp;$AK125)+COUNTIFS($AK$8:$AK$507,$AK125,$AM$8:$AM$507,"&lt;"&amp;$AM125)+1,Constants!$B$14),$Z125))</f>
        <v/>
      </c>
      <c r="AO125" s="91" t="str">
        <f aca="false">IF(ISBLANK($C125),"",IF($Z125=Constants!$B$7,IF(ISNUMBER(AK125),AK125-AN125,Constants!$B$14),$Z125))</f>
        <v/>
      </c>
      <c r="AP125" s="92"/>
      <c r="AQ125" s="93" t="str">
        <f aca="false">IF(ISBLANK($C125),"",IF($Z125&lt;&gt;Constants!$B$7,"",AH125))</f>
        <v/>
      </c>
      <c r="AR125" s="94" t="str">
        <f aca="false">IF(ISBLANK($C125),"",IF($Z125&lt;&gt;Constants!$B$7,"",IF(AH125=1,AB125,AE125)))</f>
        <v/>
      </c>
      <c r="AS125" s="95" t="str">
        <f aca="false">IF(ISBLANK($C125),"",IF($Z125&lt;&gt;Constants!$B$7,"",IF(AH125=1,AC125,AF125)))</f>
        <v/>
      </c>
      <c r="AT125" s="96" t="str">
        <f aca="false">IF(ISBLANK($C125),"",IF($Z125&lt;&gt;Constants!$B$7,$Z125,AJ125))</f>
        <v/>
      </c>
      <c r="AU125" s="97" t="str">
        <f aca="false">IF(ISBLANK($C125),"",IF($Z125&lt;&gt;Constants!$B$7,$Z125,AA125))</f>
        <v/>
      </c>
      <c r="AV125" s="98" t="str">
        <f aca="false">IF(ISBLANK($C125),"",AO125)</f>
        <v/>
      </c>
      <c r="AW125" s="98" t="str">
        <f aca="false">IF(ISBLANK($C125),"",AN125)</f>
        <v/>
      </c>
      <c r="AX125" s="99" t="str">
        <f aca="false">IF(ISBLANK($C125),"",IFERROR(_xlfn.SWITCH(AW125,Constants!$B$4,COUNTA($C$8:$C$507)+2,Constants!$B$5,COUNTA($C$8:$C$507)+1,Constants!$B$6,COUNTA($C$8:$C$507)),AW125))</f>
        <v/>
      </c>
      <c r="AY125" s="5"/>
      <c r="AZ125" s="100" t="n">
        <f aca="false">IF(OR(ISNUMBER(AW125),AW125=Constants!$B$4,AW125=Constants!$B$6,AW125=Constants!$B$5),1,0)</f>
        <v>0</v>
      </c>
      <c r="BA125" s="100" t="n">
        <v>118</v>
      </c>
      <c r="BB125" s="100" t="str">
        <f aca="false">IF(ISBLANK($C125),"",IF(ISNUMBER(AX125),AX125+ROW($B125)/1000,""))</f>
        <v/>
      </c>
      <c r="BC125" s="100" t="str">
        <f aca="false">IF(ISNUMBER(BB125),RANK(BB125,$BB$8:$BB$507,1),"")</f>
        <v/>
      </c>
      <c r="BD125" s="100" t="str">
        <f aca="false">IF(ISBLANK($C125),"",$B125)</f>
        <v/>
      </c>
      <c r="BE125" s="100" t="str">
        <f aca="false">IF(ISBLANK($C125),"",$C125)</f>
        <v/>
      </c>
      <c r="BF125" s="100" t="str">
        <f aca="false">IF(ISBLANK($C125),"",$D125)</f>
        <v/>
      </c>
      <c r="BG125" s="101" t="str">
        <f aca="false">AU125</f>
        <v/>
      </c>
      <c r="BH125" s="102" t="str">
        <f aca="false">AT125</f>
        <v/>
      </c>
      <c r="BI125" s="100" t="str">
        <f aca="false">IF(ISBLANK($C125),"",AW125)</f>
        <v/>
      </c>
      <c r="BJ125" s="103" t="str">
        <f aca="false">IF($BA125&gt;$AZ$7,"",VLOOKUP($BA125,$BC$8:$BI$507,7,FALSE()))</f>
        <v/>
      </c>
      <c r="BK125" s="104" t="str">
        <f aca="false">IF($BA125&gt;$AZ$7,"",VLOOKUP($BA125,$BC$8:$BI$507,2,FALSE()))</f>
        <v/>
      </c>
      <c r="BL125" s="104" t="str">
        <f aca="false">IF($BA125&gt;$AZ$7,"",VLOOKUP($BA125,$BC$8:$BI$507,3,FALSE()))</f>
        <v/>
      </c>
      <c r="BM125" s="104" t="str">
        <f aca="false">IF($BA125&gt;$AZ$7,"",VLOOKUP($BA125,$BC$8:$BI$507,4,FALSE()))</f>
        <v/>
      </c>
      <c r="BN125" s="104" t="str">
        <f aca="false">IF($BA125&gt;$AZ$7,"",VLOOKUP($BA125,$BC$8:$BI$507,5,FALSE()))</f>
        <v/>
      </c>
      <c r="BO125" s="105" t="str">
        <f aca="false">IF($BA125&gt;$AZ$7,"",VLOOKUP($BA125,$BC$8:$BI$507,6,FALSE()))</f>
        <v/>
      </c>
      <c r="BP125" s="52"/>
    </row>
    <row r="126" customFormat="false" ht="15.75" hidden="false" customHeight="false" outlineLevel="0" collapsed="false">
      <c r="A126" s="5"/>
      <c r="B126" s="114"/>
      <c r="C126" s="115"/>
      <c r="D126" s="106"/>
      <c r="E126" s="117"/>
      <c r="F126" s="87"/>
      <c r="G126" s="88"/>
      <c r="H126" s="88"/>
      <c r="I126" s="87"/>
      <c r="J126" s="88"/>
      <c r="K126" s="88"/>
      <c r="L126" s="87"/>
      <c r="M126" s="117"/>
      <c r="N126" s="90"/>
      <c r="O126" s="91" t="str">
        <f aca="false">IF(ISBLANK($C126),"",IF(E126=Constants!$B$2, TRUE(), IF(E126=Constants!$B$3, FALSE(), TRUE())))</f>
        <v/>
      </c>
      <c r="P126" s="91" t="str">
        <f aca="false">IF(ISBLANK($C126),"",IF(F126=Constants!$B$16,Constants!$B$9,IF(F126=Constants!$B$17,Constants!$B$10,Constants!$B$8)))</f>
        <v/>
      </c>
      <c r="Q126" s="91" t="str">
        <f aca="false">IF(ISBLANK($C126),"",IF(ISNUMBER(G126),IF(G126&gt;=0,G126,""),""))</f>
        <v/>
      </c>
      <c r="R126" s="91" t="str">
        <f aca="false">IF(ISBLANK($C126),"",IF(H126=Constants!$B$2, TRUE(), IF(H126=Constants!$B$3, FALSE(), TRUE())))</f>
        <v/>
      </c>
      <c r="S126" s="91" t="str">
        <f aca="false">IF(ISBLANK($C126),"",IF(I126=Constants!$B$2, TRUE(), IF(I126=Constants!$B$3, FALSE(), TRUE())))</f>
        <v/>
      </c>
      <c r="T126" s="91" t="str">
        <f aca="false">IF(ISBLANK($C126),"",IF(ISNUMBER(J126),IF(J126&gt;=0,J126,""),""))</f>
        <v/>
      </c>
      <c r="U126" s="91" t="str">
        <f aca="false">IF(ISBLANK($C126),"",IF(K126=Constants!$B$2, TRUE(), IF(K126=Constants!$B$3, FALSE(), TRUE())))</f>
        <v/>
      </c>
      <c r="V126" s="91" t="str">
        <f aca="false">IF(ISBLANK($C126),"",IF(L126=Constants!$B$2, TRUE(), IF(L126=Constants!$B$3, FALSE(), TRUE())))</f>
        <v/>
      </c>
      <c r="W126" s="91" t="str">
        <f aca="false">IF(ISBLANK($C126),"",IF(M126=Constants!$B$2, TRUE(), IF(M126=Constants!$B$3, FALSE(), FALSE())))</f>
        <v/>
      </c>
      <c r="X126" s="91" t="str">
        <f aca="false">IF(ISBLANK($C126),"",AND(Q126&lt;&gt;"",O126))</f>
        <v/>
      </c>
      <c r="Y126" s="91" t="str">
        <f aca="false">IF(ISBLANK($C126),"",AND(T126&lt;&gt;"",O126))</f>
        <v/>
      </c>
      <c r="Z126" s="91" t="str">
        <f aca="false">IF(ISBLANK($C126),"",IF(W126,Constants!$B$4,IF(COUNTA(E126:L126)=0,Constants!$B$5,IF(NOT(O126),Constants!$B$6,IF(AND(NOT(X126),NOT(Y126)),Constants!$B$6,Constants!$B$7)))))</f>
        <v/>
      </c>
      <c r="AA126" s="91" t="str">
        <f aca="false">IF(ISBLANK($C126),"",IF($Z126&lt;&gt;Constants!$B$7,$Z126,Constants!$B$20))</f>
        <v/>
      </c>
      <c r="AB126" s="91" t="str">
        <f aca="false">IF($Z126=Constants!$B$7,IF(X126,Q126,Constants!$B$13),"")</f>
        <v/>
      </c>
      <c r="AC126" s="91" t="str">
        <f aca="false">IF($Z126=Constants!$B$7,IF(X126,P126*IF(R126, 1, Constants!$B$11)*IF(S126, 1, Constants!$B$12),Constants!$B$13),"")</f>
        <v/>
      </c>
      <c r="AD126" s="91" t="str">
        <f aca="false">IF($Z126=Constants!$B$7,AB126*AC126,"")</f>
        <v/>
      </c>
      <c r="AE126" s="91" t="str">
        <f aca="false">IF($Z126=Constants!$B$7,IF(Y126,T126,Constants!$B$13),"")</f>
        <v/>
      </c>
      <c r="AF126" s="91" t="str">
        <f aca="false">IF($Z126=Constants!$B$7,IF(Y126,P126*IF(U126, 1, Constants!$B$11)*IF(V126, 1, Constants!$B$12),Constants!$B$13),"")</f>
        <v/>
      </c>
      <c r="AG126" s="91" t="str">
        <f aca="false">IF($Z126=Constants!$B$7,AE126*AF126,"")</f>
        <v/>
      </c>
      <c r="AH126" s="91" t="str">
        <f aca="false">IF($Z126=Constants!$B$7,IF(AG126&gt;AD126,2,1),"")</f>
        <v/>
      </c>
      <c r="AI126" s="91" t="str">
        <f aca="false">IF($Z126=Constants!$B$7,IF(AH126=1,2,1),"")</f>
        <v/>
      </c>
      <c r="AJ126" s="91" t="str">
        <f aca="false">IF(ISBLANK($C126),"",IF($Z126&lt;&gt;Constants!$B$7,$Z126,IF(AH126=1,AD126,AG126)))</f>
        <v/>
      </c>
      <c r="AK126" s="91" t="str">
        <f aca="false">IF(ISBLANK($C126),"",IF($Z126=Constants!$B$7,IF(ISNUMBER(AJ126),RANK(AJ126,$AJ$8:$AJ$507),Constants!$B$14),$Z126))</f>
        <v/>
      </c>
      <c r="AL126" s="91" t="str">
        <f aca="false">IF(ISBLANK($C126),"",IF($Z126=Constants!$B$7,IF(AI126=1,AD126,AG126),""))</f>
        <v/>
      </c>
      <c r="AM126" s="91" t="str">
        <f aca="false">IF(ISBLANK($C126),"",IF($Z126=Constants!$B$7,RANK(AL126,$AL$8:$AL$507),$Z126))</f>
        <v/>
      </c>
      <c r="AN126" s="91" t="str">
        <f aca="false">IF(ISBLANK($C126),"",IF($Z126=Constants!$B$7,IF(ISNUMBER(AK126),COUNTIFS($AK$8:$AK$507,"&lt;"&amp;$AK126)+COUNTIFS($AK$8:$AK$507,$AK126,$AM$8:$AM$507,"&lt;"&amp;$AM126)+1,Constants!$B$14),$Z126))</f>
        <v/>
      </c>
      <c r="AO126" s="91" t="str">
        <f aca="false">IF(ISBLANK($C126),"",IF($Z126=Constants!$B$7,IF(ISNUMBER(AK126),AK126-AN126,Constants!$B$14),$Z126))</f>
        <v/>
      </c>
      <c r="AP126" s="92"/>
      <c r="AQ126" s="93" t="str">
        <f aca="false">IF(ISBLANK($C126),"",IF($Z126&lt;&gt;Constants!$B$7,"",AH126))</f>
        <v/>
      </c>
      <c r="AR126" s="94" t="str">
        <f aca="false">IF(ISBLANK($C126),"",IF($Z126&lt;&gt;Constants!$B$7,"",IF(AH126=1,AB126,AE126)))</f>
        <v/>
      </c>
      <c r="AS126" s="95" t="str">
        <f aca="false">IF(ISBLANK($C126),"",IF($Z126&lt;&gt;Constants!$B$7,"",IF(AH126=1,AC126,AF126)))</f>
        <v/>
      </c>
      <c r="AT126" s="96" t="str">
        <f aca="false">IF(ISBLANK($C126),"",IF($Z126&lt;&gt;Constants!$B$7,$Z126,AJ126))</f>
        <v/>
      </c>
      <c r="AU126" s="97" t="str">
        <f aca="false">IF(ISBLANK($C126),"",IF($Z126&lt;&gt;Constants!$B$7,$Z126,AA126))</f>
        <v/>
      </c>
      <c r="AV126" s="98" t="str">
        <f aca="false">IF(ISBLANK($C126),"",AO126)</f>
        <v/>
      </c>
      <c r="AW126" s="98" t="str">
        <f aca="false">IF(ISBLANK($C126),"",AN126)</f>
        <v/>
      </c>
      <c r="AX126" s="99" t="str">
        <f aca="false">IF(ISBLANK($C126),"",IFERROR(_xlfn.SWITCH(AW126,Constants!$B$4,COUNTA($C$8:$C$507)+2,Constants!$B$5,COUNTA($C$8:$C$507)+1,Constants!$B$6,COUNTA($C$8:$C$507)),AW126))</f>
        <v/>
      </c>
      <c r="AY126" s="5"/>
      <c r="AZ126" s="100" t="n">
        <f aca="false">IF(OR(ISNUMBER(AW126),AW126=Constants!$B$4,AW126=Constants!$B$6,AW126=Constants!$B$5),1,0)</f>
        <v>0</v>
      </c>
      <c r="BA126" s="100" t="n">
        <v>119</v>
      </c>
      <c r="BB126" s="100" t="str">
        <f aca="false">IF(ISBLANK($C126),"",IF(ISNUMBER(AX126),AX126+ROW($B126)/1000,""))</f>
        <v/>
      </c>
      <c r="BC126" s="100" t="str">
        <f aca="false">IF(ISNUMBER(BB126),RANK(BB126,$BB$8:$BB$507,1),"")</f>
        <v/>
      </c>
      <c r="BD126" s="100" t="str">
        <f aca="false">IF(ISBLANK($C126),"",$B126)</f>
        <v/>
      </c>
      <c r="BE126" s="100" t="str">
        <f aca="false">IF(ISBLANK($C126),"",$C126)</f>
        <v/>
      </c>
      <c r="BF126" s="100" t="str">
        <f aca="false">IF(ISBLANK($C126),"",$D126)</f>
        <v/>
      </c>
      <c r="BG126" s="101" t="str">
        <f aca="false">AU126</f>
        <v/>
      </c>
      <c r="BH126" s="102" t="str">
        <f aca="false">AT126</f>
        <v/>
      </c>
      <c r="BI126" s="100" t="str">
        <f aca="false">IF(ISBLANK($C126),"",AW126)</f>
        <v/>
      </c>
      <c r="BJ126" s="103" t="str">
        <f aca="false">IF($BA126&gt;$AZ$7,"",VLOOKUP($BA126,$BC$8:$BI$507,7,FALSE()))</f>
        <v/>
      </c>
      <c r="BK126" s="104" t="str">
        <f aca="false">IF($BA126&gt;$AZ$7,"",VLOOKUP($BA126,$BC$8:$BI$507,2,FALSE()))</f>
        <v/>
      </c>
      <c r="BL126" s="104" t="str">
        <f aca="false">IF($BA126&gt;$AZ$7,"",VLOOKUP($BA126,$BC$8:$BI$507,3,FALSE()))</f>
        <v/>
      </c>
      <c r="BM126" s="104" t="str">
        <f aca="false">IF($BA126&gt;$AZ$7,"",VLOOKUP($BA126,$BC$8:$BI$507,4,FALSE()))</f>
        <v/>
      </c>
      <c r="BN126" s="104" t="str">
        <f aca="false">IF($BA126&gt;$AZ$7,"",VLOOKUP($BA126,$BC$8:$BI$507,5,FALSE()))</f>
        <v/>
      </c>
      <c r="BO126" s="105" t="str">
        <f aca="false">IF($BA126&gt;$AZ$7,"",VLOOKUP($BA126,$BC$8:$BI$507,6,FALSE()))</f>
        <v/>
      </c>
      <c r="BP126" s="52"/>
    </row>
    <row r="127" customFormat="false" ht="15.75" hidden="false" customHeight="false" outlineLevel="0" collapsed="false">
      <c r="A127" s="5"/>
      <c r="B127" s="114"/>
      <c r="C127" s="115"/>
      <c r="D127" s="106"/>
      <c r="E127" s="117"/>
      <c r="F127" s="87"/>
      <c r="G127" s="88"/>
      <c r="H127" s="88"/>
      <c r="I127" s="87"/>
      <c r="J127" s="88"/>
      <c r="K127" s="88"/>
      <c r="L127" s="87"/>
      <c r="M127" s="117"/>
      <c r="N127" s="90"/>
      <c r="O127" s="91" t="str">
        <f aca="false">IF(ISBLANK($C127),"",IF(E127=Constants!$B$2, TRUE(), IF(E127=Constants!$B$3, FALSE(), TRUE())))</f>
        <v/>
      </c>
      <c r="P127" s="91" t="str">
        <f aca="false">IF(ISBLANK($C127),"",IF(F127=Constants!$B$16,Constants!$B$9,IF(F127=Constants!$B$17,Constants!$B$10,Constants!$B$8)))</f>
        <v/>
      </c>
      <c r="Q127" s="91" t="str">
        <f aca="false">IF(ISBLANK($C127),"",IF(ISNUMBER(G127),IF(G127&gt;=0,G127,""),""))</f>
        <v/>
      </c>
      <c r="R127" s="91" t="str">
        <f aca="false">IF(ISBLANK($C127),"",IF(H127=Constants!$B$2, TRUE(), IF(H127=Constants!$B$3, FALSE(), TRUE())))</f>
        <v/>
      </c>
      <c r="S127" s="91" t="str">
        <f aca="false">IF(ISBLANK($C127),"",IF(I127=Constants!$B$2, TRUE(), IF(I127=Constants!$B$3, FALSE(), TRUE())))</f>
        <v/>
      </c>
      <c r="T127" s="91" t="str">
        <f aca="false">IF(ISBLANK($C127),"",IF(ISNUMBER(J127),IF(J127&gt;=0,J127,""),""))</f>
        <v/>
      </c>
      <c r="U127" s="91" t="str">
        <f aca="false">IF(ISBLANK($C127),"",IF(K127=Constants!$B$2, TRUE(), IF(K127=Constants!$B$3, FALSE(), TRUE())))</f>
        <v/>
      </c>
      <c r="V127" s="91" t="str">
        <f aca="false">IF(ISBLANK($C127),"",IF(L127=Constants!$B$2, TRUE(), IF(L127=Constants!$B$3, FALSE(), TRUE())))</f>
        <v/>
      </c>
      <c r="W127" s="91" t="str">
        <f aca="false">IF(ISBLANK($C127),"",IF(M127=Constants!$B$2, TRUE(), IF(M127=Constants!$B$3, FALSE(), FALSE())))</f>
        <v/>
      </c>
      <c r="X127" s="91" t="str">
        <f aca="false">IF(ISBLANK($C127),"",AND(Q127&lt;&gt;"",O127))</f>
        <v/>
      </c>
      <c r="Y127" s="91" t="str">
        <f aca="false">IF(ISBLANK($C127),"",AND(T127&lt;&gt;"",O127))</f>
        <v/>
      </c>
      <c r="Z127" s="91" t="str">
        <f aca="false">IF(ISBLANK($C127),"",IF(W127,Constants!$B$4,IF(COUNTA(E127:L127)=0,Constants!$B$5,IF(NOT(O127),Constants!$B$6,IF(AND(NOT(X127),NOT(Y127)),Constants!$B$6,Constants!$B$7)))))</f>
        <v/>
      </c>
      <c r="AA127" s="91" t="str">
        <f aca="false">IF(ISBLANK($C127),"",IF($Z127&lt;&gt;Constants!$B$7,$Z127,Constants!$B$20))</f>
        <v/>
      </c>
      <c r="AB127" s="91" t="str">
        <f aca="false">IF($Z127=Constants!$B$7,IF(X127,Q127,Constants!$B$13),"")</f>
        <v/>
      </c>
      <c r="AC127" s="91" t="str">
        <f aca="false">IF($Z127=Constants!$B$7,IF(X127,P127*IF(R127, 1, Constants!$B$11)*IF(S127, 1, Constants!$B$12),Constants!$B$13),"")</f>
        <v/>
      </c>
      <c r="AD127" s="91" t="str">
        <f aca="false">IF($Z127=Constants!$B$7,AB127*AC127,"")</f>
        <v/>
      </c>
      <c r="AE127" s="91" t="str">
        <f aca="false">IF($Z127=Constants!$B$7,IF(Y127,T127,Constants!$B$13),"")</f>
        <v/>
      </c>
      <c r="AF127" s="91" t="str">
        <f aca="false">IF($Z127=Constants!$B$7,IF(Y127,P127*IF(U127, 1, Constants!$B$11)*IF(V127, 1, Constants!$B$12),Constants!$B$13),"")</f>
        <v/>
      </c>
      <c r="AG127" s="91" t="str">
        <f aca="false">IF($Z127=Constants!$B$7,AE127*AF127,"")</f>
        <v/>
      </c>
      <c r="AH127" s="91" t="str">
        <f aca="false">IF($Z127=Constants!$B$7,IF(AG127&gt;AD127,2,1),"")</f>
        <v/>
      </c>
      <c r="AI127" s="91" t="str">
        <f aca="false">IF($Z127=Constants!$B$7,IF(AH127=1,2,1),"")</f>
        <v/>
      </c>
      <c r="AJ127" s="91" t="str">
        <f aca="false">IF(ISBLANK($C127),"",IF($Z127&lt;&gt;Constants!$B$7,$Z127,IF(AH127=1,AD127,AG127)))</f>
        <v/>
      </c>
      <c r="AK127" s="91" t="str">
        <f aca="false">IF(ISBLANK($C127),"",IF($Z127=Constants!$B$7,IF(ISNUMBER(AJ127),RANK(AJ127,$AJ$8:$AJ$507),Constants!$B$14),$Z127))</f>
        <v/>
      </c>
      <c r="AL127" s="91" t="str">
        <f aca="false">IF(ISBLANK($C127),"",IF($Z127=Constants!$B$7,IF(AI127=1,AD127,AG127),""))</f>
        <v/>
      </c>
      <c r="AM127" s="91" t="str">
        <f aca="false">IF(ISBLANK($C127),"",IF($Z127=Constants!$B$7,RANK(AL127,$AL$8:$AL$507),$Z127))</f>
        <v/>
      </c>
      <c r="AN127" s="91" t="str">
        <f aca="false">IF(ISBLANK($C127),"",IF($Z127=Constants!$B$7,IF(ISNUMBER(AK127),COUNTIFS($AK$8:$AK$507,"&lt;"&amp;$AK127)+COUNTIFS($AK$8:$AK$507,$AK127,$AM$8:$AM$507,"&lt;"&amp;$AM127)+1,Constants!$B$14),$Z127))</f>
        <v/>
      </c>
      <c r="AO127" s="91" t="str">
        <f aca="false">IF(ISBLANK($C127),"",IF($Z127=Constants!$B$7,IF(ISNUMBER(AK127),AK127-AN127,Constants!$B$14),$Z127))</f>
        <v/>
      </c>
      <c r="AP127" s="92"/>
      <c r="AQ127" s="93" t="str">
        <f aca="false">IF(ISBLANK($C127),"",IF($Z127&lt;&gt;Constants!$B$7,"",AH127))</f>
        <v/>
      </c>
      <c r="AR127" s="94" t="str">
        <f aca="false">IF(ISBLANK($C127),"",IF($Z127&lt;&gt;Constants!$B$7,"",IF(AH127=1,AB127,AE127)))</f>
        <v/>
      </c>
      <c r="AS127" s="95" t="str">
        <f aca="false">IF(ISBLANK($C127),"",IF($Z127&lt;&gt;Constants!$B$7,"",IF(AH127=1,AC127,AF127)))</f>
        <v/>
      </c>
      <c r="AT127" s="96" t="str">
        <f aca="false">IF(ISBLANK($C127),"",IF($Z127&lt;&gt;Constants!$B$7,$Z127,AJ127))</f>
        <v/>
      </c>
      <c r="AU127" s="97" t="str">
        <f aca="false">IF(ISBLANK($C127),"",IF($Z127&lt;&gt;Constants!$B$7,$Z127,AA127))</f>
        <v/>
      </c>
      <c r="AV127" s="98" t="str">
        <f aca="false">IF(ISBLANK($C127),"",AO127)</f>
        <v/>
      </c>
      <c r="AW127" s="98" t="str">
        <f aca="false">IF(ISBLANK($C127),"",AN127)</f>
        <v/>
      </c>
      <c r="AX127" s="99" t="str">
        <f aca="false">IF(ISBLANK($C127),"",IFERROR(_xlfn.SWITCH(AW127,Constants!$B$4,COUNTA($C$8:$C$507)+2,Constants!$B$5,COUNTA($C$8:$C$507)+1,Constants!$B$6,COUNTA($C$8:$C$507)),AW127))</f>
        <v/>
      </c>
      <c r="AY127" s="5"/>
      <c r="AZ127" s="100" t="n">
        <f aca="false">IF(OR(ISNUMBER(AW127),AW127=Constants!$B$4,AW127=Constants!$B$6,AW127=Constants!$B$5),1,0)</f>
        <v>0</v>
      </c>
      <c r="BA127" s="100" t="n">
        <v>120</v>
      </c>
      <c r="BB127" s="100" t="str">
        <f aca="false">IF(ISBLANK($C127),"",IF(ISNUMBER(AX127),AX127+ROW($B127)/1000,""))</f>
        <v/>
      </c>
      <c r="BC127" s="100" t="str">
        <f aca="false">IF(ISNUMBER(BB127),RANK(BB127,$BB$8:$BB$507,1),"")</f>
        <v/>
      </c>
      <c r="BD127" s="100" t="str">
        <f aca="false">IF(ISBLANK($C127),"",$B127)</f>
        <v/>
      </c>
      <c r="BE127" s="100" t="str">
        <f aca="false">IF(ISBLANK($C127),"",$C127)</f>
        <v/>
      </c>
      <c r="BF127" s="100" t="str">
        <f aca="false">IF(ISBLANK($C127),"",$D127)</f>
        <v/>
      </c>
      <c r="BG127" s="101" t="str">
        <f aca="false">AU127</f>
        <v/>
      </c>
      <c r="BH127" s="102" t="str">
        <f aca="false">AT127</f>
        <v/>
      </c>
      <c r="BI127" s="100" t="str">
        <f aca="false">IF(ISBLANK($C127),"",AW127)</f>
        <v/>
      </c>
      <c r="BJ127" s="103" t="str">
        <f aca="false">IF($BA127&gt;$AZ$7,"",VLOOKUP($BA127,$BC$8:$BI$507,7,FALSE()))</f>
        <v/>
      </c>
      <c r="BK127" s="104" t="str">
        <f aca="false">IF($BA127&gt;$AZ$7,"",VLOOKUP($BA127,$BC$8:$BI$507,2,FALSE()))</f>
        <v/>
      </c>
      <c r="BL127" s="104" t="str">
        <f aca="false">IF($BA127&gt;$AZ$7,"",VLOOKUP($BA127,$BC$8:$BI$507,3,FALSE()))</f>
        <v/>
      </c>
      <c r="BM127" s="104" t="str">
        <f aca="false">IF($BA127&gt;$AZ$7,"",VLOOKUP($BA127,$BC$8:$BI$507,4,FALSE()))</f>
        <v/>
      </c>
      <c r="BN127" s="104" t="str">
        <f aca="false">IF($BA127&gt;$AZ$7,"",VLOOKUP($BA127,$BC$8:$BI$507,5,FALSE()))</f>
        <v/>
      </c>
      <c r="BO127" s="105" t="str">
        <f aca="false">IF($BA127&gt;$AZ$7,"",VLOOKUP($BA127,$BC$8:$BI$507,6,FALSE()))</f>
        <v/>
      </c>
      <c r="BP127" s="52"/>
    </row>
    <row r="128" customFormat="false" ht="15.75" hidden="false" customHeight="false" outlineLevel="0" collapsed="false">
      <c r="A128" s="5"/>
      <c r="B128" s="118"/>
      <c r="C128" s="54"/>
      <c r="D128" s="55"/>
      <c r="E128" s="79"/>
      <c r="F128" s="57"/>
      <c r="G128" s="58"/>
      <c r="H128" s="58"/>
      <c r="I128" s="57"/>
      <c r="J128" s="58"/>
      <c r="K128" s="58"/>
      <c r="L128" s="57"/>
      <c r="M128" s="79"/>
      <c r="N128" s="60"/>
      <c r="O128" s="62" t="str">
        <f aca="false">IF(ISBLANK($C128),"",IF(E128=Constants!$B$2, TRUE(), IF(E128=Constants!$B$3, FALSE(), TRUE())))</f>
        <v/>
      </c>
      <c r="P128" s="62" t="str">
        <f aca="false">IF(ISBLANK($C128),"",IF(F128=Constants!$B$16,Constants!$B$9,IF(F128=Constants!$B$17,Constants!$B$10,Constants!$B$8)))</f>
        <v/>
      </c>
      <c r="Q128" s="62" t="str">
        <f aca="false">IF(ISBLANK($C128),"",IF(ISNUMBER(G128),IF(G128&gt;=0,G128,""),""))</f>
        <v/>
      </c>
      <c r="R128" s="62" t="str">
        <f aca="false">IF(ISBLANK($C128),"",IF(H128=Constants!$B$2, TRUE(), IF(H128=Constants!$B$3, FALSE(), TRUE())))</f>
        <v/>
      </c>
      <c r="S128" s="62" t="str">
        <f aca="false">IF(ISBLANK($C128),"",IF(I128=Constants!$B$2, TRUE(), IF(I128=Constants!$B$3, FALSE(), TRUE())))</f>
        <v/>
      </c>
      <c r="T128" s="62" t="str">
        <f aca="false">IF(ISBLANK($C128),"",IF(ISNUMBER(J128),IF(J128&gt;=0,J128,""),""))</f>
        <v/>
      </c>
      <c r="U128" s="62" t="str">
        <f aca="false">IF(ISBLANK($C128),"",IF(K128=Constants!$B$2, TRUE(), IF(K128=Constants!$B$3, FALSE(), TRUE())))</f>
        <v/>
      </c>
      <c r="V128" s="62" t="str">
        <f aca="false">IF(ISBLANK($C128),"",IF(L128=Constants!$B$2, TRUE(), IF(L128=Constants!$B$3, FALSE(), TRUE())))</f>
        <v/>
      </c>
      <c r="W128" s="62" t="str">
        <f aca="false">IF(ISBLANK($C128),"",IF(M128=Constants!$B$2, TRUE(), IF(M128=Constants!$B$3, FALSE(), FALSE())))</f>
        <v/>
      </c>
      <c r="X128" s="62" t="str">
        <f aca="false">IF(ISBLANK($C128),"",AND(Q128&lt;&gt;"",O128))</f>
        <v/>
      </c>
      <c r="Y128" s="62" t="str">
        <f aca="false">IF(ISBLANK($C128),"",AND(T128&lt;&gt;"",O128))</f>
        <v/>
      </c>
      <c r="Z128" s="62" t="str">
        <f aca="false">IF(ISBLANK($C128),"",IF(W128,Constants!$B$4,IF(COUNTA(E128:L128)=0,Constants!$B$5,IF(NOT(O128),Constants!$B$6,IF(AND(NOT(X128),NOT(Y128)),Constants!$B$6,Constants!$B$7)))))</f>
        <v/>
      </c>
      <c r="AA128" s="62" t="str">
        <f aca="false">IF(ISBLANK($C128),"",IF($Z128&lt;&gt;Constants!$B$7,$Z128,Constants!$B$20))</f>
        <v/>
      </c>
      <c r="AB128" s="62" t="str">
        <f aca="false">IF($Z128=Constants!$B$7,IF(X128,Q128,Constants!$B$13),"")</f>
        <v/>
      </c>
      <c r="AC128" s="62" t="str">
        <f aca="false">IF($Z128=Constants!$B$7,IF(X128,P128*IF(R128, 1, Constants!$B$11)*IF(S128, 1, Constants!$B$12),Constants!$B$13),"")</f>
        <v/>
      </c>
      <c r="AD128" s="62" t="str">
        <f aca="false">IF($Z128=Constants!$B$7,AB128*AC128,"")</f>
        <v/>
      </c>
      <c r="AE128" s="62" t="str">
        <f aca="false">IF($Z128=Constants!$B$7,IF(Y128,T128,Constants!$B$13),"")</f>
        <v/>
      </c>
      <c r="AF128" s="62" t="str">
        <f aca="false">IF($Z128=Constants!$B$7,IF(Y128,P128*IF(U128, 1, Constants!$B$11)*IF(V128, 1, Constants!$B$12),Constants!$B$13),"")</f>
        <v/>
      </c>
      <c r="AG128" s="62" t="str">
        <f aca="false">IF($Z128=Constants!$B$7,AE128*AF128,"")</f>
        <v/>
      </c>
      <c r="AH128" s="62" t="str">
        <f aca="false">IF($Z128=Constants!$B$7,IF(AG128&gt;AD128,2,1),"")</f>
        <v/>
      </c>
      <c r="AI128" s="62" t="str">
        <f aca="false">IF($Z128=Constants!$B$7,IF(AH128=1,2,1),"")</f>
        <v/>
      </c>
      <c r="AJ128" s="62" t="str">
        <f aca="false">IF(ISBLANK($C128),"",IF($Z128&lt;&gt;Constants!$B$7,$Z128,IF(AH128=1,AD128,AG128)))</f>
        <v/>
      </c>
      <c r="AK128" s="62" t="str">
        <f aca="false">IF(ISBLANK($C128),"",IF($Z128=Constants!$B$7,IF(ISNUMBER(AJ128),RANK(AJ128,$AJ$8:$AJ$507),Constants!$B$14),$Z128))</f>
        <v/>
      </c>
      <c r="AL128" s="62" t="str">
        <f aca="false">IF(ISBLANK($C128),"",IF($Z128=Constants!$B$7,IF(AI128=1,AD128,AG128),""))</f>
        <v/>
      </c>
      <c r="AM128" s="62" t="str">
        <f aca="false">IF(ISBLANK($C128),"",IF($Z128=Constants!$B$7,RANK(AL128,$AL$8:$AL$507),$Z128))</f>
        <v/>
      </c>
      <c r="AN128" s="62" t="str">
        <f aca="false">IF(ISBLANK($C128),"",IF($Z128=Constants!$B$7,IF(ISNUMBER(AK128),COUNTIFS($AK$8:$AK$507,"&lt;"&amp;$AK128)+COUNTIFS($AK$8:$AK$507,$AK128,$AM$8:$AM$507,"&lt;"&amp;$AM128)+1,Constants!$B$14),$Z128))</f>
        <v/>
      </c>
      <c r="AO128" s="62" t="str">
        <f aca="false">IF(ISBLANK($C128),"",IF($Z128=Constants!$B$7,IF(ISNUMBER(AK128),AK128-AN128,Constants!$B$14),$Z128))</f>
        <v/>
      </c>
      <c r="AP128" s="64"/>
      <c r="AQ128" s="65" t="str">
        <f aca="false">IF(ISBLANK($C128),"",IF($Z128&lt;&gt;Constants!$B$7,"",AH128))</f>
        <v/>
      </c>
      <c r="AR128" s="80" t="str">
        <f aca="false">IF(ISBLANK($C128),"",IF($Z128&lt;&gt;Constants!$B$7,"",IF(AH128=1,AB128,AE128)))</f>
        <v/>
      </c>
      <c r="AS128" s="67" t="str">
        <f aca="false">IF(ISBLANK($C128),"",IF($Z128&lt;&gt;Constants!$B$7,"",IF(AH128=1,AC128,AF128)))</f>
        <v/>
      </c>
      <c r="AT128" s="68" t="str">
        <f aca="false">IF(ISBLANK($C128),"",IF($Z128&lt;&gt;Constants!$B$7,$Z128,AJ128))</f>
        <v/>
      </c>
      <c r="AU128" s="69" t="str">
        <f aca="false">IF(ISBLANK($C128),"",IF($Z128&lt;&gt;Constants!$B$7,$Z128,AA128))</f>
        <v/>
      </c>
      <c r="AV128" s="70" t="str">
        <f aca="false">IF(ISBLANK($C128),"",AO128)</f>
        <v/>
      </c>
      <c r="AW128" s="70" t="str">
        <f aca="false">IF(ISBLANK($C128),"",AN128)</f>
        <v/>
      </c>
      <c r="AX128" s="71" t="str">
        <f aca="false">IF(ISBLANK($C128),"",IFERROR(_xlfn.SWITCH(AW128,Constants!$B$4,COUNTA($C$8:$C$507)+2,Constants!$B$5,COUNTA($C$8:$C$507)+1,Constants!$B$6,COUNTA($C$8:$C$507)),AW128))</f>
        <v/>
      </c>
      <c r="AY128" s="5"/>
      <c r="AZ128" s="72" t="n">
        <f aca="false">IF(OR(ISNUMBER(AW128),AW128=Constants!$B$4,AW128=Constants!$B$6,AW128=Constants!$B$5),1,0)</f>
        <v>0</v>
      </c>
      <c r="BA128" s="72" t="n">
        <v>121</v>
      </c>
      <c r="BB128" s="72" t="str">
        <f aca="false">IF(ISBLANK($C128),"",IF(ISNUMBER(AX128),AX128+ROW($B128)/1000,""))</f>
        <v/>
      </c>
      <c r="BC128" s="72" t="str">
        <f aca="false">IF(ISNUMBER(BB128),RANK(BB128,$BB$8:$BB$507,1),"")</f>
        <v/>
      </c>
      <c r="BD128" s="72" t="str">
        <f aca="false">IF(ISBLANK($C128),"",$B128)</f>
        <v/>
      </c>
      <c r="BE128" s="72" t="str">
        <f aca="false">IF(ISBLANK($C128),"",$C128)</f>
        <v/>
      </c>
      <c r="BF128" s="72" t="str">
        <f aca="false">IF(ISBLANK($C128),"",$D128)</f>
        <v/>
      </c>
      <c r="BG128" s="73" t="str">
        <f aca="false">AU128</f>
        <v/>
      </c>
      <c r="BH128" s="74" t="str">
        <f aca="false">AT128</f>
        <v/>
      </c>
      <c r="BI128" s="72" t="str">
        <f aca="false">IF(ISBLANK($C128),"",AW128)</f>
        <v/>
      </c>
      <c r="BJ128" s="75" t="str">
        <f aca="false">IF($BA128&gt;$AZ$7,"",VLOOKUP($BA128,$BC$8:$BI$507,7,FALSE()))</f>
        <v/>
      </c>
      <c r="BK128" s="76" t="str">
        <f aca="false">IF($BA128&gt;$AZ$7,"",VLOOKUP($BA128,$BC$8:$BI$507,2,FALSE()))</f>
        <v/>
      </c>
      <c r="BL128" s="76" t="str">
        <f aca="false">IF($BA128&gt;$AZ$7,"",VLOOKUP($BA128,$BC$8:$BI$507,3,FALSE()))</f>
        <v/>
      </c>
      <c r="BM128" s="76" t="str">
        <f aca="false">IF($BA128&gt;$AZ$7,"",VLOOKUP($BA128,$BC$8:$BI$507,4,FALSE()))</f>
        <v/>
      </c>
      <c r="BN128" s="76" t="str">
        <f aca="false">IF($BA128&gt;$AZ$7,"",VLOOKUP($BA128,$BC$8:$BI$507,5,FALSE()))</f>
        <v/>
      </c>
      <c r="BO128" s="77" t="str">
        <f aca="false">IF($BA128&gt;$AZ$7,"",VLOOKUP($BA128,$BC$8:$BI$507,6,FALSE()))</f>
        <v/>
      </c>
      <c r="BP128" s="52"/>
    </row>
    <row r="129" customFormat="false" ht="15.75" hidden="false" customHeight="false" outlineLevel="0" collapsed="false">
      <c r="A129" s="5"/>
      <c r="B129" s="118"/>
      <c r="C129" s="54"/>
      <c r="D129" s="55"/>
      <c r="E129" s="79"/>
      <c r="F129" s="57"/>
      <c r="G129" s="58"/>
      <c r="H129" s="58"/>
      <c r="I129" s="57"/>
      <c r="J129" s="58"/>
      <c r="K129" s="58"/>
      <c r="L129" s="57"/>
      <c r="M129" s="79"/>
      <c r="N129" s="60"/>
      <c r="O129" s="62" t="str">
        <f aca="false">IF(ISBLANK($C129),"",IF(E129=Constants!$B$2, TRUE(), IF(E129=Constants!$B$3, FALSE(), TRUE())))</f>
        <v/>
      </c>
      <c r="P129" s="62" t="str">
        <f aca="false">IF(ISBLANK($C129),"",IF(F129=Constants!$B$16,Constants!$B$9,IF(F129=Constants!$B$17,Constants!$B$10,Constants!$B$8)))</f>
        <v/>
      </c>
      <c r="Q129" s="62" t="str">
        <f aca="false">IF(ISBLANK($C129),"",IF(ISNUMBER(G129),IF(G129&gt;=0,G129,""),""))</f>
        <v/>
      </c>
      <c r="R129" s="62" t="str">
        <f aca="false">IF(ISBLANK($C129),"",IF(H129=Constants!$B$2, TRUE(), IF(H129=Constants!$B$3, FALSE(), TRUE())))</f>
        <v/>
      </c>
      <c r="S129" s="62" t="str">
        <f aca="false">IF(ISBLANK($C129),"",IF(I129=Constants!$B$2, TRUE(), IF(I129=Constants!$B$3, FALSE(), TRUE())))</f>
        <v/>
      </c>
      <c r="T129" s="62" t="str">
        <f aca="false">IF(ISBLANK($C129),"",IF(ISNUMBER(J129),IF(J129&gt;=0,J129,""),""))</f>
        <v/>
      </c>
      <c r="U129" s="62" t="str">
        <f aca="false">IF(ISBLANK($C129),"",IF(K129=Constants!$B$2, TRUE(), IF(K129=Constants!$B$3, FALSE(), TRUE())))</f>
        <v/>
      </c>
      <c r="V129" s="62" t="str">
        <f aca="false">IF(ISBLANK($C129),"",IF(L129=Constants!$B$2, TRUE(), IF(L129=Constants!$B$3, FALSE(), TRUE())))</f>
        <v/>
      </c>
      <c r="W129" s="62" t="str">
        <f aca="false">IF(ISBLANK($C129),"",IF(M129=Constants!$B$2, TRUE(), IF(M129=Constants!$B$3, FALSE(), FALSE())))</f>
        <v/>
      </c>
      <c r="X129" s="62" t="str">
        <f aca="false">IF(ISBLANK($C129),"",AND(Q129&lt;&gt;"",O129))</f>
        <v/>
      </c>
      <c r="Y129" s="62" t="str">
        <f aca="false">IF(ISBLANK($C129),"",AND(T129&lt;&gt;"",O129))</f>
        <v/>
      </c>
      <c r="Z129" s="62" t="str">
        <f aca="false">IF(ISBLANK($C129),"",IF(W129,Constants!$B$4,IF(COUNTA(E129:L129)=0,Constants!$B$5,IF(NOT(O129),Constants!$B$6,IF(AND(NOT(X129),NOT(Y129)),Constants!$B$6,Constants!$B$7)))))</f>
        <v/>
      </c>
      <c r="AA129" s="62" t="str">
        <f aca="false">IF(ISBLANK($C129),"",IF($Z129&lt;&gt;Constants!$B$7,$Z129,Constants!$B$20))</f>
        <v/>
      </c>
      <c r="AB129" s="62" t="str">
        <f aca="false">IF($Z129=Constants!$B$7,IF(X129,Q129,Constants!$B$13),"")</f>
        <v/>
      </c>
      <c r="AC129" s="62" t="str">
        <f aca="false">IF($Z129=Constants!$B$7,IF(X129,P129*IF(R129, 1, Constants!$B$11)*IF(S129, 1, Constants!$B$12),Constants!$B$13),"")</f>
        <v/>
      </c>
      <c r="AD129" s="62" t="str">
        <f aca="false">IF($Z129=Constants!$B$7,AB129*AC129,"")</f>
        <v/>
      </c>
      <c r="AE129" s="62" t="str">
        <f aca="false">IF($Z129=Constants!$B$7,IF(Y129,T129,Constants!$B$13),"")</f>
        <v/>
      </c>
      <c r="AF129" s="62" t="str">
        <f aca="false">IF($Z129=Constants!$B$7,IF(Y129,P129*IF(U129, 1, Constants!$B$11)*IF(V129, 1, Constants!$B$12),Constants!$B$13),"")</f>
        <v/>
      </c>
      <c r="AG129" s="62" t="str">
        <f aca="false">IF($Z129=Constants!$B$7,AE129*AF129,"")</f>
        <v/>
      </c>
      <c r="AH129" s="62" t="str">
        <f aca="false">IF($Z129=Constants!$B$7,IF(AG129&gt;AD129,2,1),"")</f>
        <v/>
      </c>
      <c r="AI129" s="62" t="str">
        <f aca="false">IF($Z129=Constants!$B$7,IF(AH129=1,2,1),"")</f>
        <v/>
      </c>
      <c r="AJ129" s="62" t="str">
        <f aca="false">IF(ISBLANK($C129),"",IF($Z129&lt;&gt;Constants!$B$7,$Z129,IF(AH129=1,AD129,AG129)))</f>
        <v/>
      </c>
      <c r="AK129" s="62" t="str">
        <f aca="false">IF(ISBLANK($C129),"",IF($Z129=Constants!$B$7,IF(ISNUMBER(AJ129),RANK(AJ129,$AJ$8:$AJ$507),Constants!$B$14),$Z129))</f>
        <v/>
      </c>
      <c r="AL129" s="62" t="str">
        <f aca="false">IF(ISBLANK($C129),"",IF($Z129=Constants!$B$7,IF(AI129=1,AD129,AG129),""))</f>
        <v/>
      </c>
      <c r="AM129" s="62" t="str">
        <f aca="false">IF(ISBLANK($C129),"",IF($Z129=Constants!$B$7,RANK(AL129,$AL$8:$AL$507),$Z129))</f>
        <v/>
      </c>
      <c r="AN129" s="62" t="str">
        <f aca="false">IF(ISBLANK($C129),"",IF($Z129=Constants!$B$7,IF(ISNUMBER(AK129),COUNTIFS($AK$8:$AK$507,"&lt;"&amp;$AK129)+COUNTIFS($AK$8:$AK$507,$AK129,$AM$8:$AM$507,"&lt;"&amp;$AM129)+1,Constants!$B$14),$Z129))</f>
        <v/>
      </c>
      <c r="AO129" s="62" t="str">
        <f aca="false">IF(ISBLANK($C129),"",IF($Z129=Constants!$B$7,IF(ISNUMBER(AK129),AK129-AN129,Constants!$B$14),$Z129))</f>
        <v/>
      </c>
      <c r="AP129" s="64"/>
      <c r="AQ129" s="65" t="str">
        <f aca="false">IF(ISBLANK($C129),"",IF($Z129&lt;&gt;Constants!$B$7,"",AH129))</f>
        <v/>
      </c>
      <c r="AR129" s="80" t="str">
        <f aca="false">IF(ISBLANK($C129),"",IF($Z129&lt;&gt;Constants!$B$7,"",IF(AH129=1,AB129,AE129)))</f>
        <v/>
      </c>
      <c r="AS129" s="67" t="str">
        <f aca="false">IF(ISBLANK($C129),"",IF($Z129&lt;&gt;Constants!$B$7,"",IF(AH129=1,AC129,AF129)))</f>
        <v/>
      </c>
      <c r="AT129" s="68" t="str">
        <f aca="false">IF(ISBLANK($C129),"",IF($Z129&lt;&gt;Constants!$B$7,$Z129,AJ129))</f>
        <v/>
      </c>
      <c r="AU129" s="69" t="str">
        <f aca="false">IF(ISBLANK($C129),"",IF($Z129&lt;&gt;Constants!$B$7,$Z129,AA129))</f>
        <v/>
      </c>
      <c r="AV129" s="70" t="str">
        <f aca="false">IF(ISBLANK($C129),"",AO129)</f>
        <v/>
      </c>
      <c r="AW129" s="70" t="str">
        <f aca="false">IF(ISBLANK($C129),"",AN129)</f>
        <v/>
      </c>
      <c r="AX129" s="71" t="str">
        <f aca="false">IF(ISBLANK($C129),"",IFERROR(_xlfn.SWITCH(AW129,Constants!$B$4,COUNTA($C$8:$C$507)+2,Constants!$B$5,COUNTA($C$8:$C$507)+1,Constants!$B$6,COUNTA($C$8:$C$507)),AW129))</f>
        <v/>
      </c>
      <c r="AY129" s="5"/>
      <c r="AZ129" s="72" t="n">
        <f aca="false">IF(OR(ISNUMBER(AW129),AW129=Constants!$B$4,AW129=Constants!$B$6,AW129=Constants!$B$5),1,0)</f>
        <v>0</v>
      </c>
      <c r="BA129" s="72" t="n">
        <v>122</v>
      </c>
      <c r="BB129" s="72" t="str">
        <f aca="false">IF(ISBLANK($C129),"",IF(ISNUMBER(AX129),AX129+ROW($B129)/1000,""))</f>
        <v/>
      </c>
      <c r="BC129" s="72" t="str">
        <f aca="false">IF(ISNUMBER(BB129),RANK(BB129,$BB$8:$BB$507,1),"")</f>
        <v/>
      </c>
      <c r="BD129" s="72" t="str">
        <f aca="false">IF(ISBLANK($C129),"",$B129)</f>
        <v/>
      </c>
      <c r="BE129" s="72" t="str">
        <f aca="false">IF(ISBLANK($C129),"",$C129)</f>
        <v/>
      </c>
      <c r="BF129" s="72" t="str">
        <f aca="false">IF(ISBLANK($C129),"",$D129)</f>
        <v/>
      </c>
      <c r="BG129" s="73" t="str">
        <f aca="false">AU129</f>
        <v/>
      </c>
      <c r="BH129" s="74" t="str">
        <f aca="false">AT129</f>
        <v/>
      </c>
      <c r="BI129" s="72" t="str">
        <f aca="false">IF(ISBLANK($C129),"",AW129)</f>
        <v/>
      </c>
      <c r="BJ129" s="75" t="str">
        <f aca="false">IF($BA129&gt;$AZ$7,"",VLOOKUP($BA129,$BC$8:$BI$507,7,FALSE()))</f>
        <v/>
      </c>
      <c r="BK129" s="76" t="str">
        <f aca="false">IF($BA129&gt;$AZ$7,"",VLOOKUP($BA129,$BC$8:$BI$507,2,FALSE()))</f>
        <v/>
      </c>
      <c r="BL129" s="76" t="str">
        <f aca="false">IF($BA129&gt;$AZ$7,"",VLOOKUP($BA129,$BC$8:$BI$507,3,FALSE()))</f>
        <v/>
      </c>
      <c r="BM129" s="76" t="str">
        <f aca="false">IF($BA129&gt;$AZ$7,"",VLOOKUP($BA129,$BC$8:$BI$507,4,FALSE()))</f>
        <v/>
      </c>
      <c r="BN129" s="76" t="str">
        <f aca="false">IF($BA129&gt;$AZ$7,"",VLOOKUP($BA129,$BC$8:$BI$507,5,FALSE()))</f>
        <v/>
      </c>
      <c r="BO129" s="77" t="str">
        <f aca="false">IF($BA129&gt;$AZ$7,"",VLOOKUP($BA129,$BC$8:$BI$507,6,FALSE()))</f>
        <v/>
      </c>
      <c r="BP129" s="52"/>
    </row>
    <row r="130" customFormat="false" ht="15.75" hidden="false" customHeight="false" outlineLevel="0" collapsed="false">
      <c r="A130" s="5"/>
      <c r="B130" s="118"/>
      <c r="C130" s="54"/>
      <c r="D130" s="55"/>
      <c r="E130" s="79"/>
      <c r="F130" s="57"/>
      <c r="G130" s="58"/>
      <c r="H130" s="58"/>
      <c r="I130" s="57"/>
      <c r="J130" s="58"/>
      <c r="K130" s="58"/>
      <c r="L130" s="57"/>
      <c r="M130" s="79"/>
      <c r="N130" s="60"/>
      <c r="O130" s="62" t="str">
        <f aca="false">IF(ISBLANK($C130),"",IF(E130=Constants!$B$2, TRUE(), IF(E130=Constants!$B$3, FALSE(), TRUE())))</f>
        <v/>
      </c>
      <c r="P130" s="62" t="str">
        <f aca="false">IF(ISBLANK($C130),"",IF(F130=Constants!$B$16,Constants!$B$9,IF(F130=Constants!$B$17,Constants!$B$10,Constants!$B$8)))</f>
        <v/>
      </c>
      <c r="Q130" s="62" t="str">
        <f aca="false">IF(ISBLANK($C130),"",IF(ISNUMBER(G130),IF(G130&gt;=0,G130,""),""))</f>
        <v/>
      </c>
      <c r="R130" s="62" t="str">
        <f aca="false">IF(ISBLANK($C130),"",IF(H130=Constants!$B$2, TRUE(), IF(H130=Constants!$B$3, FALSE(), TRUE())))</f>
        <v/>
      </c>
      <c r="S130" s="62" t="str">
        <f aca="false">IF(ISBLANK($C130),"",IF(I130=Constants!$B$2, TRUE(), IF(I130=Constants!$B$3, FALSE(), TRUE())))</f>
        <v/>
      </c>
      <c r="T130" s="62" t="str">
        <f aca="false">IF(ISBLANK($C130),"",IF(ISNUMBER(J130),IF(J130&gt;=0,J130,""),""))</f>
        <v/>
      </c>
      <c r="U130" s="62" t="str">
        <f aca="false">IF(ISBLANK($C130),"",IF(K130=Constants!$B$2, TRUE(), IF(K130=Constants!$B$3, FALSE(), TRUE())))</f>
        <v/>
      </c>
      <c r="V130" s="62" t="str">
        <f aca="false">IF(ISBLANK($C130),"",IF(L130=Constants!$B$2, TRUE(), IF(L130=Constants!$B$3, FALSE(), TRUE())))</f>
        <v/>
      </c>
      <c r="W130" s="62" t="str">
        <f aca="false">IF(ISBLANK($C130),"",IF(M130=Constants!$B$2, TRUE(), IF(M130=Constants!$B$3, FALSE(), FALSE())))</f>
        <v/>
      </c>
      <c r="X130" s="62" t="str">
        <f aca="false">IF(ISBLANK($C130),"",AND(Q130&lt;&gt;"",O130))</f>
        <v/>
      </c>
      <c r="Y130" s="62" t="str">
        <f aca="false">IF(ISBLANK($C130),"",AND(T130&lt;&gt;"",O130))</f>
        <v/>
      </c>
      <c r="Z130" s="62" t="str">
        <f aca="false">IF(ISBLANK($C130),"",IF(W130,Constants!$B$4,IF(COUNTA(E130:L130)=0,Constants!$B$5,IF(NOT(O130),Constants!$B$6,IF(AND(NOT(X130),NOT(Y130)),Constants!$B$6,Constants!$B$7)))))</f>
        <v/>
      </c>
      <c r="AA130" s="62" t="str">
        <f aca="false">IF(ISBLANK($C130),"",IF($Z130&lt;&gt;Constants!$B$7,$Z130,Constants!$B$20))</f>
        <v/>
      </c>
      <c r="AB130" s="62" t="str">
        <f aca="false">IF($Z130=Constants!$B$7,IF(X130,Q130,Constants!$B$13),"")</f>
        <v/>
      </c>
      <c r="AC130" s="62" t="str">
        <f aca="false">IF($Z130=Constants!$B$7,IF(X130,P130*IF(R130, 1, Constants!$B$11)*IF(S130, 1, Constants!$B$12),Constants!$B$13),"")</f>
        <v/>
      </c>
      <c r="AD130" s="62" t="str">
        <f aca="false">IF($Z130=Constants!$B$7,AB130*AC130,"")</f>
        <v/>
      </c>
      <c r="AE130" s="62" t="str">
        <f aca="false">IF($Z130=Constants!$B$7,IF(Y130,T130,Constants!$B$13),"")</f>
        <v/>
      </c>
      <c r="AF130" s="62" t="str">
        <f aca="false">IF($Z130=Constants!$B$7,IF(Y130,P130*IF(U130, 1, Constants!$B$11)*IF(V130, 1, Constants!$B$12),Constants!$B$13),"")</f>
        <v/>
      </c>
      <c r="AG130" s="62" t="str">
        <f aca="false">IF($Z130=Constants!$B$7,AE130*AF130,"")</f>
        <v/>
      </c>
      <c r="AH130" s="62" t="str">
        <f aca="false">IF($Z130=Constants!$B$7,IF(AG130&gt;AD130,2,1),"")</f>
        <v/>
      </c>
      <c r="AI130" s="62" t="str">
        <f aca="false">IF($Z130=Constants!$B$7,IF(AH130=1,2,1),"")</f>
        <v/>
      </c>
      <c r="AJ130" s="62" t="str">
        <f aca="false">IF(ISBLANK($C130),"",IF($Z130&lt;&gt;Constants!$B$7,$Z130,IF(AH130=1,AD130,AG130)))</f>
        <v/>
      </c>
      <c r="AK130" s="62" t="str">
        <f aca="false">IF(ISBLANK($C130),"",IF($Z130=Constants!$B$7,IF(ISNUMBER(AJ130),RANK(AJ130,$AJ$8:$AJ$507),Constants!$B$14),$Z130))</f>
        <v/>
      </c>
      <c r="AL130" s="62" t="str">
        <f aca="false">IF(ISBLANK($C130),"",IF($Z130=Constants!$B$7,IF(AI130=1,AD130,AG130),""))</f>
        <v/>
      </c>
      <c r="AM130" s="62" t="str">
        <f aca="false">IF(ISBLANK($C130),"",IF($Z130=Constants!$B$7,RANK(AL130,$AL$8:$AL$507),$Z130))</f>
        <v/>
      </c>
      <c r="AN130" s="62" t="str">
        <f aca="false">IF(ISBLANK($C130),"",IF($Z130=Constants!$B$7,IF(ISNUMBER(AK130),COUNTIFS($AK$8:$AK$507,"&lt;"&amp;$AK130)+COUNTIFS($AK$8:$AK$507,$AK130,$AM$8:$AM$507,"&lt;"&amp;$AM130)+1,Constants!$B$14),$Z130))</f>
        <v/>
      </c>
      <c r="AO130" s="62" t="str">
        <f aca="false">IF(ISBLANK($C130),"",IF($Z130=Constants!$B$7,IF(ISNUMBER(AK130),AK130-AN130,Constants!$B$14),$Z130))</f>
        <v/>
      </c>
      <c r="AP130" s="64"/>
      <c r="AQ130" s="65" t="str">
        <f aca="false">IF(ISBLANK($C130),"",IF($Z130&lt;&gt;Constants!$B$7,"",AH130))</f>
        <v/>
      </c>
      <c r="AR130" s="80" t="str">
        <f aca="false">IF(ISBLANK($C130),"",IF($Z130&lt;&gt;Constants!$B$7,"",IF(AH130=1,AB130,AE130)))</f>
        <v/>
      </c>
      <c r="AS130" s="67" t="str">
        <f aca="false">IF(ISBLANK($C130),"",IF($Z130&lt;&gt;Constants!$B$7,"",IF(AH130=1,AC130,AF130)))</f>
        <v/>
      </c>
      <c r="AT130" s="68" t="str">
        <f aca="false">IF(ISBLANK($C130),"",IF($Z130&lt;&gt;Constants!$B$7,$Z130,AJ130))</f>
        <v/>
      </c>
      <c r="AU130" s="69" t="str">
        <f aca="false">IF(ISBLANK($C130),"",IF($Z130&lt;&gt;Constants!$B$7,$Z130,AA130))</f>
        <v/>
      </c>
      <c r="AV130" s="70" t="str">
        <f aca="false">IF(ISBLANK($C130),"",AO130)</f>
        <v/>
      </c>
      <c r="AW130" s="70" t="str">
        <f aca="false">IF(ISBLANK($C130),"",AN130)</f>
        <v/>
      </c>
      <c r="AX130" s="71" t="str">
        <f aca="false">IF(ISBLANK($C130),"",IFERROR(_xlfn.SWITCH(AW130,Constants!$B$4,COUNTA($C$8:$C$507)+2,Constants!$B$5,COUNTA($C$8:$C$507)+1,Constants!$B$6,COUNTA($C$8:$C$507)),AW130))</f>
        <v/>
      </c>
      <c r="AY130" s="5"/>
      <c r="AZ130" s="72" t="n">
        <f aca="false">IF(OR(ISNUMBER(AW130),AW130=Constants!$B$4,AW130=Constants!$B$6,AW130=Constants!$B$5),1,0)</f>
        <v>0</v>
      </c>
      <c r="BA130" s="72" t="n">
        <v>123</v>
      </c>
      <c r="BB130" s="72" t="str">
        <f aca="false">IF(ISBLANK($C130),"",IF(ISNUMBER(AX130),AX130+ROW($B130)/1000,""))</f>
        <v/>
      </c>
      <c r="BC130" s="72" t="str">
        <f aca="false">IF(ISNUMBER(BB130),RANK(BB130,$BB$8:$BB$507,1),"")</f>
        <v/>
      </c>
      <c r="BD130" s="72" t="str">
        <f aca="false">IF(ISBLANK($C130),"",$B130)</f>
        <v/>
      </c>
      <c r="BE130" s="72" t="str">
        <f aca="false">IF(ISBLANK($C130),"",$C130)</f>
        <v/>
      </c>
      <c r="BF130" s="72" t="str">
        <f aca="false">IF(ISBLANK($C130),"",$D130)</f>
        <v/>
      </c>
      <c r="BG130" s="73" t="str">
        <f aca="false">AU130</f>
        <v/>
      </c>
      <c r="BH130" s="74" t="str">
        <f aca="false">AT130</f>
        <v/>
      </c>
      <c r="BI130" s="72" t="str">
        <f aca="false">IF(ISBLANK($C130),"",AW130)</f>
        <v/>
      </c>
      <c r="BJ130" s="75" t="str">
        <f aca="false">IF($BA130&gt;$AZ$7,"",VLOOKUP($BA130,$BC$8:$BI$507,7,FALSE()))</f>
        <v/>
      </c>
      <c r="BK130" s="76" t="str">
        <f aca="false">IF($BA130&gt;$AZ$7,"",VLOOKUP($BA130,$BC$8:$BI$507,2,FALSE()))</f>
        <v/>
      </c>
      <c r="BL130" s="76" t="str">
        <f aca="false">IF($BA130&gt;$AZ$7,"",VLOOKUP($BA130,$BC$8:$BI$507,3,FALSE()))</f>
        <v/>
      </c>
      <c r="BM130" s="76" t="str">
        <f aca="false">IF($BA130&gt;$AZ$7,"",VLOOKUP($BA130,$BC$8:$BI$507,4,FALSE()))</f>
        <v/>
      </c>
      <c r="BN130" s="76" t="str">
        <f aca="false">IF($BA130&gt;$AZ$7,"",VLOOKUP($BA130,$BC$8:$BI$507,5,FALSE()))</f>
        <v/>
      </c>
      <c r="BO130" s="77" t="str">
        <f aca="false">IF($BA130&gt;$AZ$7,"",VLOOKUP($BA130,$BC$8:$BI$507,6,FALSE()))</f>
        <v/>
      </c>
      <c r="BP130" s="52"/>
    </row>
    <row r="131" customFormat="false" ht="15.75" hidden="false" customHeight="false" outlineLevel="0" collapsed="false">
      <c r="A131" s="5"/>
      <c r="B131" s="114"/>
      <c r="C131" s="115"/>
      <c r="D131" s="106"/>
      <c r="E131" s="117"/>
      <c r="F131" s="87"/>
      <c r="G131" s="88"/>
      <c r="H131" s="88"/>
      <c r="I131" s="87"/>
      <c r="J131" s="88"/>
      <c r="K131" s="88"/>
      <c r="L131" s="87"/>
      <c r="M131" s="117"/>
      <c r="N131" s="90"/>
      <c r="O131" s="91" t="str">
        <f aca="false">IF(ISBLANK($C131),"",IF(E131=Constants!$B$2, TRUE(), IF(E131=Constants!$B$3, FALSE(), TRUE())))</f>
        <v/>
      </c>
      <c r="P131" s="91" t="str">
        <f aca="false">IF(ISBLANK($C131),"",IF(F131=Constants!$B$16,Constants!$B$9,IF(F131=Constants!$B$17,Constants!$B$10,Constants!$B$8)))</f>
        <v/>
      </c>
      <c r="Q131" s="91" t="str">
        <f aca="false">IF(ISBLANK($C131),"",IF(ISNUMBER(G131),IF(G131&gt;=0,G131,""),""))</f>
        <v/>
      </c>
      <c r="R131" s="91" t="str">
        <f aca="false">IF(ISBLANK($C131),"",IF(H131=Constants!$B$2, TRUE(), IF(H131=Constants!$B$3, FALSE(), TRUE())))</f>
        <v/>
      </c>
      <c r="S131" s="91" t="str">
        <f aca="false">IF(ISBLANK($C131),"",IF(I131=Constants!$B$2, TRUE(), IF(I131=Constants!$B$3, FALSE(), TRUE())))</f>
        <v/>
      </c>
      <c r="T131" s="91" t="str">
        <f aca="false">IF(ISBLANK($C131),"",IF(ISNUMBER(J131),IF(J131&gt;=0,J131,""),""))</f>
        <v/>
      </c>
      <c r="U131" s="91" t="str">
        <f aca="false">IF(ISBLANK($C131),"",IF(K131=Constants!$B$2, TRUE(), IF(K131=Constants!$B$3, FALSE(), TRUE())))</f>
        <v/>
      </c>
      <c r="V131" s="91" t="str">
        <f aca="false">IF(ISBLANK($C131),"",IF(L131=Constants!$B$2, TRUE(), IF(L131=Constants!$B$3, FALSE(), TRUE())))</f>
        <v/>
      </c>
      <c r="W131" s="91" t="str">
        <f aca="false">IF(ISBLANK($C131),"",IF(M131=Constants!$B$2, TRUE(), IF(M131=Constants!$B$3, FALSE(), FALSE())))</f>
        <v/>
      </c>
      <c r="X131" s="91" t="str">
        <f aca="false">IF(ISBLANK($C131),"",AND(Q131&lt;&gt;"",O131))</f>
        <v/>
      </c>
      <c r="Y131" s="91" t="str">
        <f aca="false">IF(ISBLANK($C131),"",AND(T131&lt;&gt;"",O131))</f>
        <v/>
      </c>
      <c r="Z131" s="91" t="str">
        <f aca="false">IF(ISBLANK($C131),"",IF(W131,Constants!$B$4,IF(COUNTA(E131:L131)=0,Constants!$B$5,IF(NOT(O131),Constants!$B$6,IF(AND(NOT(X131),NOT(Y131)),Constants!$B$6,Constants!$B$7)))))</f>
        <v/>
      </c>
      <c r="AA131" s="91" t="str">
        <f aca="false">IF(ISBLANK($C131),"",IF($Z131&lt;&gt;Constants!$B$7,$Z131,Constants!$B$20))</f>
        <v/>
      </c>
      <c r="AB131" s="91" t="str">
        <f aca="false">IF($Z131=Constants!$B$7,IF(X131,Q131,Constants!$B$13),"")</f>
        <v/>
      </c>
      <c r="AC131" s="91" t="str">
        <f aca="false">IF($Z131=Constants!$B$7,IF(X131,P131*IF(R131, 1, Constants!$B$11)*IF(S131, 1, Constants!$B$12),Constants!$B$13),"")</f>
        <v/>
      </c>
      <c r="AD131" s="91" t="str">
        <f aca="false">IF($Z131=Constants!$B$7,AB131*AC131,"")</f>
        <v/>
      </c>
      <c r="AE131" s="91" t="str">
        <f aca="false">IF($Z131=Constants!$B$7,IF(Y131,T131,Constants!$B$13),"")</f>
        <v/>
      </c>
      <c r="AF131" s="91" t="str">
        <f aca="false">IF($Z131=Constants!$B$7,IF(Y131,P131*IF(U131, 1, Constants!$B$11)*IF(V131, 1, Constants!$B$12),Constants!$B$13),"")</f>
        <v/>
      </c>
      <c r="AG131" s="91" t="str">
        <f aca="false">IF($Z131=Constants!$B$7,AE131*AF131,"")</f>
        <v/>
      </c>
      <c r="AH131" s="91" t="str">
        <f aca="false">IF($Z131=Constants!$B$7,IF(AG131&gt;AD131,2,1),"")</f>
        <v/>
      </c>
      <c r="AI131" s="91" t="str">
        <f aca="false">IF($Z131=Constants!$B$7,IF(AH131=1,2,1),"")</f>
        <v/>
      </c>
      <c r="AJ131" s="91" t="str">
        <f aca="false">IF(ISBLANK($C131),"",IF($Z131&lt;&gt;Constants!$B$7,$Z131,IF(AH131=1,AD131,AG131)))</f>
        <v/>
      </c>
      <c r="AK131" s="91" t="str">
        <f aca="false">IF(ISBLANK($C131),"",IF($Z131=Constants!$B$7,IF(ISNUMBER(AJ131),RANK(AJ131,$AJ$8:$AJ$507),Constants!$B$14),$Z131))</f>
        <v/>
      </c>
      <c r="AL131" s="91" t="str">
        <f aca="false">IF(ISBLANK($C131),"",IF($Z131=Constants!$B$7,IF(AI131=1,AD131,AG131),""))</f>
        <v/>
      </c>
      <c r="AM131" s="91" t="str">
        <f aca="false">IF(ISBLANK($C131),"",IF($Z131=Constants!$B$7,RANK(AL131,$AL$8:$AL$507),$Z131))</f>
        <v/>
      </c>
      <c r="AN131" s="91" t="str">
        <f aca="false">IF(ISBLANK($C131),"",IF($Z131=Constants!$B$7,IF(ISNUMBER(AK131),COUNTIFS($AK$8:$AK$507,"&lt;"&amp;$AK131)+COUNTIFS($AK$8:$AK$507,$AK131,$AM$8:$AM$507,"&lt;"&amp;$AM131)+1,Constants!$B$14),$Z131))</f>
        <v/>
      </c>
      <c r="AO131" s="91" t="str">
        <f aca="false">IF(ISBLANK($C131),"",IF($Z131=Constants!$B$7,IF(ISNUMBER(AK131),AK131-AN131,Constants!$B$14),$Z131))</f>
        <v/>
      </c>
      <c r="AP131" s="92"/>
      <c r="AQ131" s="93" t="str">
        <f aca="false">IF(ISBLANK($C131),"",IF($Z131&lt;&gt;Constants!$B$7,"",AH131))</f>
        <v/>
      </c>
      <c r="AR131" s="94" t="str">
        <f aca="false">IF(ISBLANK($C131),"",IF($Z131&lt;&gt;Constants!$B$7,"",IF(AH131=1,AB131,AE131)))</f>
        <v/>
      </c>
      <c r="AS131" s="95" t="str">
        <f aca="false">IF(ISBLANK($C131),"",IF($Z131&lt;&gt;Constants!$B$7,"",IF(AH131=1,AC131,AF131)))</f>
        <v/>
      </c>
      <c r="AT131" s="96" t="str">
        <f aca="false">IF(ISBLANK($C131),"",IF($Z131&lt;&gt;Constants!$B$7,$Z131,AJ131))</f>
        <v/>
      </c>
      <c r="AU131" s="97" t="str">
        <f aca="false">IF(ISBLANK($C131),"",IF($Z131&lt;&gt;Constants!$B$7,$Z131,AA131))</f>
        <v/>
      </c>
      <c r="AV131" s="98" t="str">
        <f aca="false">IF(ISBLANK($C131),"",AO131)</f>
        <v/>
      </c>
      <c r="AW131" s="98" t="str">
        <f aca="false">IF(ISBLANK($C131),"",AN131)</f>
        <v/>
      </c>
      <c r="AX131" s="99" t="str">
        <f aca="false">IF(ISBLANK($C131),"",IFERROR(_xlfn.SWITCH(AW131,Constants!$B$4,COUNTA($C$8:$C$507)+2,Constants!$B$5,COUNTA($C$8:$C$507)+1,Constants!$B$6,COUNTA($C$8:$C$507)),AW131))</f>
        <v/>
      </c>
      <c r="AY131" s="5"/>
      <c r="AZ131" s="100" t="n">
        <f aca="false">IF(OR(ISNUMBER(AW131),AW131=Constants!$B$4,AW131=Constants!$B$6,AW131=Constants!$B$5),1,0)</f>
        <v>0</v>
      </c>
      <c r="BA131" s="100" t="n">
        <v>124</v>
      </c>
      <c r="BB131" s="100" t="str">
        <f aca="false">IF(ISBLANK($C131),"",IF(ISNUMBER(AX131),AX131+ROW($B131)/1000,""))</f>
        <v/>
      </c>
      <c r="BC131" s="100" t="str">
        <f aca="false">IF(ISNUMBER(BB131),RANK(BB131,$BB$8:$BB$507,1),"")</f>
        <v/>
      </c>
      <c r="BD131" s="100" t="str">
        <f aca="false">IF(ISBLANK($C131),"",$B131)</f>
        <v/>
      </c>
      <c r="BE131" s="100" t="str">
        <f aca="false">IF(ISBLANK($C131),"",$C131)</f>
        <v/>
      </c>
      <c r="BF131" s="100" t="str">
        <f aca="false">IF(ISBLANK($C131),"",$D131)</f>
        <v/>
      </c>
      <c r="BG131" s="101" t="str">
        <f aca="false">AU131</f>
        <v/>
      </c>
      <c r="BH131" s="102" t="str">
        <f aca="false">AT131</f>
        <v/>
      </c>
      <c r="BI131" s="100" t="str">
        <f aca="false">IF(ISBLANK($C131),"",AW131)</f>
        <v/>
      </c>
      <c r="BJ131" s="103" t="str">
        <f aca="false">IF($BA131&gt;$AZ$7,"",VLOOKUP($BA131,$BC$8:$BI$507,7,FALSE()))</f>
        <v/>
      </c>
      <c r="BK131" s="104" t="str">
        <f aca="false">IF($BA131&gt;$AZ$7,"",VLOOKUP($BA131,$BC$8:$BI$507,2,FALSE()))</f>
        <v/>
      </c>
      <c r="BL131" s="104" t="str">
        <f aca="false">IF($BA131&gt;$AZ$7,"",VLOOKUP($BA131,$BC$8:$BI$507,3,FALSE()))</f>
        <v/>
      </c>
      <c r="BM131" s="104" t="str">
        <f aca="false">IF($BA131&gt;$AZ$7,"",VLOOKUP($BA131,$BC$8:$BI$507,4,FALSE()))</f>
        <v/>
      </c>
      <c r="BN131" s="104" t="str">
        <f aca="false">IF($BA131&gt;$AZ$7,"",VLOOKUP($BA131,$BC$8:$BI$507,5,FALSE()))</f>
        <v/>
      </c>
      <c r="BO131" s="105" t="str">
        <f aca="false">IF($BA131&gt;$AZ$7,"",VLOOKUP($BA131,$BC$8:$BI$507,6,FALSE()))</f>
        <v/>
      </c>
      <c r="BP131" s="52"/>
    </row>
    <row r="132" customFormat="false" ht="15.75" hidden="false" customHeight="false" outlineLevel="0" collapsed="false">
      <c r="A132" s="5"/>
      <c r="B132" s="114"/>
      <c r="C132" s="115"/>
      <c r="D132" s="106"/>
      <c r="E132" s="117"/>
      <c r="F132" s="87"/>
      <c r="G132" s="88"/>
      <c r="H132" s="88"/>
      <c r="I132" s="87"/>
      <c r="J132" s="88"/>
      <c r="K132" s="88"/>
      <c r="L132" s="87"/>
      <c r="M132" s="117"/>
      <c r="N132" s="90"/>
      <c r="O132" s="91" t="str">
        <f aca="false">IF(ISBLANK($C132),"",IF(E132=Constants!$B$2, TRUE(), IF(E132=Constants!$B$3, FALSE(), TRUE())))</f>
        <v/>
      </c>
      <c r="P132" s="91" t="str">
        <f aca="false">IF(ISBLANK($C132),"",IF(F132=Constants!$B$16,Constants!$B$9,IF(F132=Constants!$B$17,Constants!$B$10,Constants!$B$8)))</f>
        <v/>
      </c>
      <c r="Q132" s="91" t="str">
        <f aca="false">IF(ISBLANK($C132),"",IF(ISNUMBER(G132),IF(G132&gt;=0,G132,""),""))</f>
        <v/>
      </c>
      <c r="R132" s="91" t="str">
        <f aca="false">IF(ISBLANK($C132),"",IF(H132=Constants!$B$2, TRUE(), IF(H132=Constants!$B$3, FALSE(), TRUE())))</f>
        <v/>
      </c>
      <c r="S132" s="91" t="str">
        <f aca="false">IF(ISBLANK($C132),"",IF(I132=Constants!$B$2, TRUE(), IF(I132=Constants!$B$3, FALSE(), TRUE())))</f>
        <v/>
      </c>
      <c r="T132" s="91" t="str">
        <f aca="false">IF(ISBLANK($C132),"",IF(ISNUMBER(J132),IF(J132&gt;=0,J132,""),""))</f>
        <v/>
      </c>
      <c r="U132" s="91" t="str">
        <f aca="false">IF(ISBLANK($C132),"",IF(K132=Constants!$B$2, TRUE(), IF(K132=Constants!$B$3, FALSE(), TRUE())))</f>
        <v/>
      </c>
      <c r="V132" s="91" t="str">
        <f aca="false">IF(ISBLANK($C132),"",IF(L132=Constants!$B$2, TRUE(), IF(L132=Constants!$B$3, FALSE(), TRUE())))</f>
        <v/>
      </c>
      <c r="W132" s="91" t="str">
        <f aca="false">IF(ISBLANK($C132),"",IF(M132=Constants!$B$2, TRUE(), IF(M132=Constants!$B$3, FALSE(), FALSE())))</f>
        <v/>
      </c>
      <c r="X132" s="91" t="str">
        <f aca="false">IF(ISBLANK($C132),"",AND(Q132&lt;&gt;"",O132))</f>
        <v/>
      </c>
      <c r="Y132" s="91" t="str">
        <f aca="false">IF(ISBLANK($C132),"",AND(T132&lt;&gt;"",O132))</f>
        <v/>
      </c>
      <c r="Z132" s="91" t="str">
        <f aca="false">IF(ISBLANK($C132),"",IF(W132,Constants!$B$4,IF(COUNTA(E132:L132)=0,Constants!$B$5,IF(NOT(O132),Constants!$B$6,IF(AND(NOT(X132),NOT(Y132)),Constants!$B$6,Constants!$B$7)))))</f>
        <v/>
      </c>
      <c r="AA132" s="91" t="str">
        <f aca="false">IF(ISBLANK($C132),"",IF($Z132&lt;&gt;Constants!$B$7,$Z132,Constants!$B$20))</f>
        <v/>
      </c>
      <c r="AB132" s="91" t="str">
        <f aca="false">IF($Z132=Constants!$B$7,IF(X132,Q132,Constants!$B$13),"")</f>
        <v/>
      </c>
      <c r="AC132" s="91" t="str">
        <f aca="false">IF($Z132=Constants!$B$7,IF(X132,P132*IF(R132, 1, Constants!$B$11)*IF(S132, 1, Constants!$B$12),Constants!$B$13),"")</f>
        <v/>
      </c>
      <c r="AD132" s="91" t="str">
        <f aca="false">IF($Z132=Constants!$B$7,AB132*AC132,"")</f>
        <v/>
      </c>
      <c r="AE132" s="91" t="str">
        <f aca="false">IF($Z132=Constants!$B$7,IF(Y132,T132,Constants!$B$13),"")</f>
        <v/>
      </c>
      <c r="AF132" s="91" t="str">
        <f aca="false">IF($Z132=Constants!$B$7,IF(Y132,P132*IF(U132, 1, Constants!$B$11)*IF(V132, 1, Constants!$B$12),Constants!$B$13),"")</f>
        <v/>
      </c>
      <c r="AG132" s="91" t="str">
        <f aca="false">IF($Z132=Constants!$B$7,AE132*AF132,"")</f>
        <v/>
      </c>
      <c r="AH132" s="91" t="str">
        <f aca="false">IF($Z132=Constants!$B$7,IF(AG132&gt;AD132,2,1),"")</f>
        <v/>
      </c>
      <c r="AI132" s="91" t="str">
        <f aca="false">IF($Z132=Constants!$B$7,IF(AH132=1,2,1),"")</f>
        <v/>
      </c>
      <c r="AJ132" s="91" t="str">
        <f aca="false">IF(ISBLANK($C132),"",IF($Z132&lt;&gt;Constants!$B$7,$Z132,IF(AH132=1,AD132,AG132)))</f>
        <v/>
      </c>
      <c r="AK132" s="91" t="str">
        <f aca="false">IF(ISBLANK($C132),"",IF($Z132=Constants!$B$7,IF(ISNUMBER(AJ132),RANK(AJ132,$AJ$8:$AJ$507),Constants!$B$14),$Z132))</f>
        <v/>
      </c>
      <c r="AL132" s="91" t="str">
        <f aca="false">IF(ISBLANK($C132),"",IF($Z132=Constants!$B$7,IF(AI132=1,AD132,AG132),""))</f>
        <v/>
      </c>
      <c r="AM132" s="91" t="str">
        <f aca="false">IF(ISBLANK($C132),"",IF($Z132=Constants!$B$7,RANK(AL132,$AL$8:$AL$507),$Z132))</f>
        <v/>
      </c>
      <c r="AN132" s="91" t="str">
        <f aca="false">IF(ISBLANK($C132),"",IF($Z132=Constants!$B$7,IF(ISNUMBER(AK132),COUNTIFS($AK$8:$AK$507,"&lt;"&amp;$AK132)+COUNTIFS($AK$8:$AK$507,$AK132,$AM$8:$AM$507,"&lt;"&amp;$AM132)+1,Constants!$B$14),$Z132))</f>
        <v/>
      </c>
      <c r="AO132" s="91" t="str">
        <f aca="false">IF(ISBLANK($C132),"",IF($Z132=Constants!$B$7,IF(ISNUMBER(AK132),AK132-AN132,Constants!$B$14),$Z132))</f>
        <v/>
      </c>
      <c r="AP132" s="92"/>
      <c r="AQ132" s="93" t="str">
        <f aca="false">IF(ISBLANK($C132),"",IF($Z132&lt;&gt;Constants!$B$7,"",AH132))</f>
        <v/>
      </c>
      <c r="AR132" s="94" t="str">
        <f aca="false">IF(ISBLANK($C132),"",IF($Z132&lt;&gt;Constants!$B$7,"",IF(AH132=1,AB132,AE132)))</f>
        <v/>
      </c>
      <c r="AS132" s="95" t="str">
        <f aca="false">IF(ISBLANK($C132),"",IF($Z132&lt;&gt;Constants!$B$7,"",IF(AH132=1,AC132,AF132)))</f>
        <v/>
      </c>
      <c r="AT132" s="96" t="str">
        <f aca="false">IF(ISBLANK($C132),"",IF($Z132&lt;&gt;Constants!$B$7,$Z132,AJ132))</f>
        <v/>
      </c>
      <c r="AU132" s="97" t="str">
        <f aca="false">IF(ISBLANK($C132),"",IF($Z132&lt;&gt;Constants!$B$7,$Z132,AA132))</f>
        <v/>
      </c>
      <c r="AV132" s="98" t="str">
        <f aca="false">IF(ISBLANK($C132),"",AO132)</f>
        <v/>
      </c>
      <c r="AW132" s="98" t="str">
        <f aca="false">IF(ISBLANK($C132),"",AN132)</f>
        <v/>
      </c>
      <c r="AX132" s="99" t="str">
        <f aca="false">IF(ISBLANK($C132),"",IFERROR(_xlfn.SWITCH(AW132,Constants!$B$4,COUNTA($C$8:$C$507)+2,Constants!$B$5,COUNTA($C$8:$C$507)+1,Constants!$B$6,COUNTA($C$8:$C$507)),AW132))</f>
        <v/>
      </c>
      <c r="AY132" s="5"/>
      <c r="AZ132" s="100" t="n">
        <f aca="false">IF(OR(ISNUMBER(AW132),AW132=Constants!$B$4,AW132=Constants!$B$6,AW132=Constants!$B$5),1,0)</f>
        <v>0</v>
      </c>
      <c r="BA132" s="100" t="n">
        <v>125</v>
      </c>
      <c r="BB132" s="100" t="str">
        <f aca="false">IF(ISBLANK($C132),"",IF(ISNUMBER(AX132),AX132+ROW($B132)/1000,""))</f>
        <v/>
      </c>
      <c r="BC132" s="100" t="str">
        <f aca="false">IF(ISNUMBER(BB132),RANK(BB132,$BB$8:$BB$507,1),"")</f>
        <v/>
      </c>
      <c r="BD132" s="100" t="str">
        <f aca="false">IF(ISBLANK($C132),"",$B132)</f>
        <v/>
      </c>
      <c r="BE132" s="100" t="str">
        <f aca="false">IF(ISBLANK($C132),"",$C132)</f>
        <v/>
      </c>
      <c r="BF132" s="100" t="str">
        <f aca="false">IF(ISBLANK($C132),"",$D132)</f>
        <v/>
      </c>
      <c r="BG132" s="101" t="str">
        <f aca="false">AU132</f>
        <v/>
      </c>
      <c r="BH132" s="102" t="str">
        <f aca="false">AT132</f>
        <v/>
      </c>
      <c r="BI132" s="100" t="str">
        <f aca="false">IF(ISBLANK($C132),"",AW132)</f>
        <v/>
      </c>
      <c r="BJ132" s="103" t="str">
        <f aca="false">IF($BA132&gt;$AZ$7,"",VLOOKUP($BA132,$BC$8:$BI$507,7,FALSE()))</f>
        <v/>
      </c>
      <c r="BK132" s="104" t="str">
        <f aca="false">IF($BA132&gt;$AZ$7,"",VLOOKUP($BA132,$BC$8:$BI$507,2,FALSE()))</f>
        <v/>
      </c>
      <c r="BL132" s="104" t="str">
        <f aca="false">IF($BA132&gt;$AZ$7,"",VLOOKUP($BA132,$BC$8:$BI$507,3,FALSE()))</f>
        <v/>
      </c>
      <c r="BM132" s="104" t="str">
        <f aca="false">IF($BA132&gt;$AZ$7,"",VLOOKUP($BA132,$BC$8:$BI$507,4,FALSE()))</f>
        <v/>
      </c>
      <c r="BN132" s="104" t="str">
        <f aca="false">IF($BA132&gt;$AZ$7,"",VLOOKUP($BA132,$BC$8:$BI$507,5,FALSE()))</f>
        <v/>
      </c>
      <c r="BO132" s="105" t="str">
        <f aca="false">IF($BA132&gt;$AZ$7,"",VLOOKUP($BA132,$BC$8:$BI$507,6,FALSE()))</f>
        <v/>
      </c>
      <c r="BP132" s="52"/>
    </row>
    <row r="133" customFormat="false" ht="15.75" hidden="false" customHeight="false" outlineLevel="0" collapsed="false">
      <c r="A133" s="5"/>
      <c r="B133" s="114"/>
      <c r="C133" s="115"/>
      <c r="D133" s="106"/>
      <c r="E133" s="117"/>
      <c r="F133" s="87"/>
      <c r="G133" s="88"/>
      <c r="H133" s="88"/>
      <c r="I133" s="87"/>
      <c r="J133" s="88"/>
      <c r="K133" s="88"/>
      <c r="L133" s="87"/>
      <c r="M133" s="117"/>
      <c r="N133" s="90"/>
      <c r="O133" s="91" t="str">
        <f aca="false">IF(ISBLANK($C133),"",IF(E133=Constants!$B$2, TRUE(), IF(E133=Constants!$B$3, FALSE(), TRUE())))</f>
        <v/>
      </c>
      <c r="P133" s="91" t="str">
        <f aca="false">IF(ISBLANK($C133),"",IF(F133=Constants!$B$16,Constants!$B$9,IF(F133=Constants!$B$17,Constants!$B$10,Constants!$B$8)))</f>
        <v/>
      </c>
      <c r="Q133" s="91" t="str">
        <f aca="false">IF(ISBLANK($C133),"",IF(ISNUMBER(G133),IF(G133&gt;=0,G133,""),""))</f>
        <v/>
      </c>
      <c r="R133" s="91" t="str">
        <f aca="false">IF(ISBLANK($C133),"",IF(H133=Constants!$B$2, TRUE(), IF(H133=Constants!$B$3, FALSE(), TRUE())))</f>
        <v/>
      </c>
      <c r="S133" s="91" t="str">
        <f aca="false">IF(ISBLANK($C133),"",IF(I133=Constants!$B$2, TRUE(), IF(I133=Constants!$B$3, FALSE(), TRUE())))</f>
        <v/>
      </c>
      <c r="T133" s="91" t="str">
        <f aca="false">IF(ISBLANK($C133),"",IF(ISNUMBER(J133),IF(J133&gt;=0,J133,""),""))</f>
        <v/>
      </c>
      <c r="U133" s="91" t="str">
        <f aca="false">IF(ISBLANK($C133),"",IF(K133=Constants!$B$2, TRUE(), IF(K133=Constants!$B$3, FALSE(), TRUE())))</f>
        <v/>
      </c>
      <c r="V133" s="91" t="str">
        <f aca="false">IF(ISBLANK($C133),"",IF(L133=Constants!$B$2, TRUE(), IF(L133=Constants!$B$3, FALSE(), TRUE())))</f>
        <v/>
      </c>
      <c r="W133" s="91" t="str">
        <f aca="false">IF(ISBLANK($C133),"",IF(M133=Constants!$B$2, TRUE(), IF(M133=Constants!$B$3, FALSE(), FALSE())))</f>
        <v/>
      </c>
      <c r="X133" s="91" t="str">
        <f aca="false">IF(ISBLANK($C133),"",AND(Q133&lt;&gt;"",O133))</f>
        <v/>
      </c>
      <c r="Y133" s="91" t="str">
        <f aca="false">IF(ISBLANK($C133),"",AND(T133&lt;&gt;"",O133))</f>
        <v/>
      </c>
      <c r="Z133" s="91" t="str">
        <f aca="false">IF(ISBLANK($C133),"",IF(W133,Constants!$B$4,IF(COUNTA(E133:L133)=0,Constants!$B$5,IF(NOT(O133),Constants!$B$6,IF(AND(NOT(X133),NOT(Y133)),Constants!$B$6,Constants!$B$7)))))</f>
        <v/>
      </c>
      <c r="AA133" s="91" t="str">
        <f aca="false">IF(ISBLANK($C133),"",IF($Z133&lt;&gt;Constants!$B$7,$Z133,Constants!$B$20))</f>
        <v/>
      </c>
      <c r="AB133" s="91" t="str">
        <f aca="false">IF($Z133=Constants!$B$7,IF(X133,Q133,Constants!$B$13),"")</f>
        <v/>
      </c>
      <c r="AC133" s="91" t="str">
        <f aca="false">IF($Z133=Constants!$B$7,IF(X133,P133*IF(R133, 1, Constants!$B$11)*IF(S133, 1, Constants!$B$12),Constants!$B$13),"")</f>
        <v/>
      </c>
      <c r="AD133" s="91" t="str">
        <f aca="false">IF($Z133=Constants!$B$7,AB133*AC133,"")</f>
        <v/>
      </c>
      <c r="AE133" s="91" t="str">
        <f aca="false">IF($Z133=Constants!$B$7,IF(Y133,T133,Constants!$B$13),"")</f>
        <v/>
      </c>
      <c r="AF133" s="91" t="str">
        <f aca="false">IF($Z133=Constants!$B$7,IF(Y133,P133*IF(U133, 1, Constants!$B$11)*IF(V133, 1, Constants!$B$12),Constants!$B$13),"")</f>
        <v/>
      </c>
      <c r="AG133" s="91" t="str">
        <f aca="false">IF($Z133=Constants!$B$7,AE133*AF133,"")</f>
        <v/>
      </c>
      <c r="AH133" s="91" t="str">
        <f aca="false">IF($Z133=Constants!$B$7,IF(AG133&gt;AD133,2,1),"")</f>
        <v/>
      </c>
      <c r="AI133" s="91" t="str">
        <f aca="false">IF($Z133=Constants!$B$7,IF(AH133=1,2,1),"")</f>
        <v/>
      </c>
      <c r="AJ133" s="91" t="str">
        <f aca="false">IF(ISBLANK($C133),"",IF($Z133&lt;&gt;Constants!$B$7,$Z133,IF(AH133=1,AD133,AG133)))</f>
        <v/>
      </c>
      <c r="AK133" s="91" t="str">
        <f aca="false">IF(ISBLANK($C133),"",IF($Z133=Constants!$B$7,IF(ISNUMBER(AJ133),RANK(AJ133,$AJ$8:$AJ$507),Constants!$B$14),$Z133))</f>
        <v/>
      </c>
      <c r="AL133" s="91" t="str">
        <f aca="false">IF(ISBLANK($C133),"",IF($Z133=Constants!$B$7,IF(AI133=1,AD133,AG133),""))</f>
        <v/>
      </c>
      <c r="AM133" s="91" t="str">
        <f aca="false">IF(ISBLANK($C133),"",IF($Z133=Constants!$B$7,RANK(AL133,$AL$8:$AL$507),$Z133))</f>
        <v/>
      </c>
      <c r="AN133" s="91" t="str">
        <f aca="false">IF(ISBLANK($C133),"",IF($Z133=Constants!$B$7,IF(ISNUMBER(AK133),COUNTIFS($AK$8:$AK$507,"&lt;"&amp;$AK133)+COUNTIFS($AK$8:$AK$507,$AK133,$AM$8:$AM$507,"&lt;"&amp;$AM133)+1,Constants!$B$14),$Z133))</f>
        <v/>
      </c>
      <c r="AO133" s="91" t="str">
        <f aca="false">IF(ISBLANK($C133),"",IF($Z133=Constants!$B$7,IF(ISNUMBER(AK133),AK133-AN133,Constants!$B$14),$Z133))</f>
        <v/>
      </c>
      <c r="AP133" s="92"/>
      <c r="AQ133" s="93" t="str">
        <f aca="false">IF(ISBLANK($C133),"",IF($Z133&lt;&gt;Constants!$B$7,"",AH133))</f>
        <v/>
      </c>
      <c r="AR133" s="94" t="str">
        <f aca="false">IF(ISBLANK($C133),"",IF($Z133&lt;&gt;Constants!$B$7,"",IF(AH133=1,AB133,AE133)))</f>
        <v/>
      </c>
      <c r="AS133" s="95" t="str">
        <f aca="false">IF(ISBLANK($C133),"",IF($Z133&lt;&gt;Constants!$B$7,"",IF(AH133=1,AC133,AF133)))</f>
        <v/>
      </c>
      <c r="AT133" s="96" t="str">
        <f aca="false">IF(ISBLANK($C133),"",IF($Z133&lt;&gt;Constants!$B$7,$Z133,AJ133))</f>
        <v/>
      </c>
      <c r="AU133" s="97" t="str">
        <f aca="false">IF(ISBLANK($C133),"",IF($Z133&lt;&gt;Constants!$B$7,$Z133,AA133))</f>
        <v/>
      </c>
      <c r="AV133" s="98" t="str">
        <f aca="false">IF(ISBLANK($C133),"",AO133)</f>
        <v/>
      </c>
      <c r="AW133" s="98" t="str">
        <f aca="false">IF(ISBLANK($C133),"",AN133)</f>
        <v/>
      </c>
      <c r="AX133" s="99" t="str">
        <f aca="false">IF(ISBLANK($C133),"",IFERROR(_xlfn.SWITCH(AW133,Constants!$B$4,COUNTA($C$8:$C$507)+2,Constants!$B$5,COUNTA($C$8:$C$507)+1,Constants!$B$6,COUNTA($C$8:$C$507)),AW133))</f>
        <v/>
      </c>
      <c r="AY133" s="5"/>
      <c r="AZ133" s="100" t="n">
        <f aca="false">IF(OR(ISNUMBER(AW133),AW133=Constants!$B$4,AW133=Constants!$B$6,AW133=Constants!$B$5),1,0)</f>
        <v>0</v>
      </c>
      <c r="BA133" s="100" t="n">
        <v>126</v>
      </c>
      <c r="BB133" s="100" t="str">
        <f aca="false">IF(ISBLANK($C133),"",IF(ISNUMBER(AX133),AX133+ROW($B133)/1000,""))</f>
        <v/>
      </c>
      <c r="BC133" s="100" t="str">
        <f aca="false">IF(ISNUMBER(BB133),RANK(BB133,$BB$8:$BB$507,1),"")</f>
        <v/>
      </c>
      <c r="BD133" s="100" t="str">
        <f aca="false">IF(ISBLANK($C133),"",$B133)</f>
        <v/>
      </c>
      <c r="BE133" s="100" t="str">
        <f aca="false">IF(ISBLANK($C133),"",$C133)</f>
        <v/>
      </c>
      <c r="BF133" s="100" t="str">
        <f aca="false">IF(ISBLANK($C133),"",$D133)</f>
        <v/>
      </c>
      <c r="BG133" s="101" t="str">
        <f aca="false">AU133</f>
        <v/>
      </c>
      <c r="BH133" s="102" t="str">
        <f aca="false">AT133</f>
        <v/>
      </c>
      <c r="BI133" s="100" t="str">
        <f aca="false">IF(ISBLANK($C133),"",AW133)</f>
        <v/>
      </c>
      <c r="BJ133" s="103" t="str">
        <f aca="false">IF($BA133&gt;$AZ$7,"",VLOOKUP($BA133,$BC$8:$BI$507,7,FALSE()))</f>
        <v/>
      </c>
      <c r="BK133" s="104" t="str">
        <f aca="false">IF($BA133&gt;$AZ$7,"",VLOOKUP($BA133,$BC$8:$BI$507,2,FALSE()))</f>
        <v/>
      </c>
      <c r="BL133" s="104" t="str">
        <f aca="false">IF($BA133&gt;$AZ$7,"",VLOOKUP($BA133,$BC$8:$BI$507,3,FALSE()))</f>
        <v/>
      </c>
      <c r="BM133" s="104" t="str">
        <f aca="false">IF($BA133&gt;$AZ$7,"",VLOOKUP($BA133,$BC$8:$BI$507,4,FALSE()))</f>
        <v/>
      </c>
      <c r="BN133" s="104" t="str">
        <f aca="false">IF($BA133&gt;$AZ$7,"",VLOOKUP($BA133,$BC$8:$BI$507,5,FALSE()))</f>
        <v/>
      </c>
      <c r="BO133" s="105" t="str">
        <f aca="false">IF($BA133&gt;$AZ$7,"",VLOOKUP($BA133,$BC$8:$BI$507,6,FALSE()))</f>
        <v/>
      </c>
      <c r="BP133" s="52"/>
    </row>
    <row r="134" customFormat="false" ht="15.75" hidden="false" customHeight="false" outlineLevel="0" collapsed="false">
      <c r="A134" s="5"/>
      <c r="B134" s="118"/>
      <c r="C134" s="54"/>
      <c r="D134" s="55"/>
      <c r="E134" s="79"/>
      <c r="F134" s="57"/>
      <c r="G134" s="58"/>
      <c r="H134" s="58"/>
      <c r="I134" s="57"/>
      <c r="J134" s="58"/>
      <c r="K134" s="58"/>
      <c r="L134" s="57"/>
      <c r="M134" s="79"/>
      <c r="N134" s="60"/>
      <c r="O134" s="62" t="str">
        <f aca="false">IF(ISBLANK($C134),"",IF(E134=Constants!$B$2, TRUE(), IF(E134=Constants!$B$3, FALSE(), TRUE())))</f>
        <v/>
      </c>
      <c r="P134" s="62" t="str">
        <f aca="false">IF(ISBLANK($C134),"",IF(F134=Constants!$B$16,Constants!$B$9,IF(F134=Constants!$B$17,Constants!$B$10,Constants!$B$8)))</f>
        <v/>
      </c>
      <c r="Q134" s="62" t="str">
        <f aca="false">IF(ISBLANK($C134),"",IF(ISNUMBER(G134),IF(G134&gt;=0,G134,""),""))</f>
        <v/>
      </c>
      <c r="R134" s="62" t="str">
        <f aca="false">IF(ISBLANK($C134),"",IF(H134=Constants!$B$2, TRUE(), IF(H134=Constants!$B$3, FALSE(), TRUE())))</f>
        <v/>
      </c>
      <c r="S134" s="62" t="str">
        <f aca="false">IF(ISBLANK($C134),"",IF(I134=Constants!$B$2, TRUE(), IF(I134=Constants!$B$3, FALSE(), TRUE())))</f>
        <v/>
      </c>
      <c r="T134" s="62" t="str">
        <f aca="false">IF(ISBLANK($C134),"",IF(ISNUMBER(J134),IF(J134&gt;=0,J134,""),""))</f>
        <v/>
      </c>
      <c r="U134" s="62" t="str">
        <f aca="false">IF(ISBLANK($C134),"",IF(K134=Constants!$B$2, TRUE(), IF(K134=Constants!$B$3, FALSE(), TRUE())))</f>
        <v/>
      </c>
      <c r="V134" s="62" t="str">
        <f aca="false">IF(ISBLANK($C134),"",IF(L134=Constants!$B$2, TRUE(), IF(L134=Constants!$B$3, FALSE(), TRUE())))</f>
        <v/>
      </c>
      <c r="W134" s="62" t="str">
        <f aca="false">IF(ISBLANK($C134),"",IF(M134=Constants!$B$2, TRUE(), IF(M134=Constants!$B$3, FALSE(), FALSE())))</f>
        <v/>
      </c>
      <c r="X134" s="62" t="str">
        <f aca="false">IF(ISBLANK($C134),"",AND(Q134&lt;&gt;"",O134))</f>
        <v/>
      </c>
      <c r="Y134" s="62" t="str">
        <f aca="false">IF(ISBLANK($C134),"",AND(T134&lt;&gt;"",O134))</f>
        <v/>
      </c>
      <c r="Z134" s="62" t="str">
        <f aca="false">IF(ISBLANK($C134),"",IF(W134,Constants!$B$4,IF(COUNTA(E134:L134)=0,Constants!$B$5,IF(NOT(O134),Constants!$B$6,IF(AND(NOT(X134),NOT(Y134)),Constants!$B$6,Constants!$B$7)))))</f>
        <v/>
      </c>
      <c r="AA134" s="62" t="str">
        <f aca="false">IF(ISBLANK($C134),"",IF($Z134&lt;&gt;Constants!$B$7,$Z134,Constants!$B$20))</f>
        <v/>
      </c>
      <c r="AB134" s="62" t="str">
        <f aca="false">IF($Z134=Constants!$B$7,IF(X134,Q134,Constants!$B$13),"")</f>
        <v/>
      </c>
      <c r="AC134" s="62" t="str">
        <f aca="false">IF($Z134=Constants!$B$7,IF(X134,P134*IF(R134, 1, Constants!$B$11)*IF(S134, 1, Constants!$B$12),Constants!$B$13),"")</f>
        <v/>
      </c>
      <c r="AD134" s="62" t="str">
        <f aca="false">IF($Z134=Constants!$B$7,AB134*AC134,"")</f>
        <v/>
      </c>
      <c r="AE134" s="62" t="str">
        <f aca="false">IF($Z134=Constants!$B$7,IF(Y134,T134,Constants!$B$13),"")</f>
        <v/>
      </c>
      <c r="AF134" s="62" t="str">
        <f aca="false">IF($Z134=Constants!$B$7,IF(Y134,P134*IF(U134, 1, Constants!$B$11)*IF(V134, 1, Constants!$B$12),Constants!$B$13),"")</f>
        <v/>
      </c>
      <c r="AG134" s="62" t="str">
        <f aca="false">IF($Z134=Constants!$B$7,AE134*AF134,"")</f>
        <v/>
      </c>
      <c r="AH134" s="62" t="str">
        <f aca="false">IF($Z134=Constants!$B$7,IF(AG134&gt;AD134,2,1),"")</f>
        <v/>
      </c>
      <c r="AI134" s="62" t="str">
        <f aca="false">IF($Z134=Constants!$B$7,IF(AH134=1,2,1),"")</f>
        <v/>
      </c>
      <c r="AJ134" s="62" t="str">
        <f aca="false">IF(ISBLANK($C134),"",IF($Z134&lt;&gt;Constants!$B$7,$Z134,IF(AH134=1,AD134,AG134)))</f>
        <v/>
      </c>
      <c r="AK134" s="62" t="str">
        <f aca="false">IF(ISBLANK($C134),"",IF($Z134=Constants!$B$7,IF(ISNUMBER(AJ134),RANK(AJ134,$AJ$8:$AJ$507),Constants!$B$14),$Z134))</f>
        <v/>
      </c>
      <c r="AL134" s="62" t="str">
        <f aca="false">IF(ISBLANK($C134),"",IF($Z134=Constants!$B$7,IF(AI134=1,AD134,AG134),""))</f>
        <v/>
      </c>
      <c r="AM134" s="62" t="str">
        <f aca="false">IF(ISBLANK($C134),"",IF($Z134=Constants!$B$7,RANK(AL134,$AL$8:$AL$507),$Z134))</f>
        <v/>
      </c>
      <c r="AN134" s="62" t="str">
        <f aca="false">IF(ISBLANK($C134),"",IF($Z134=Constants!$B$7,IF(ISNUMBER(AK134),COUNTIFS($AK$8:$AK$507,"&lt;"&amp;$AK134)+COUNTIFS($AK$8:$AK$507,$AK134,$AM$8:$AM$507,"&lt;"&amp;$AM134)+1,Constants!$B$14),$Z134))</f>
        <v/>
      </c>
      <c r="AO134" s="62" t="str">
        <f aca="false">IF(ISBLANK($C134),"",IF($Z134=Constants!$B$7,IF(ISNUMBER(AK134),AK134-AN134,Constants!$B$14),$Z134))</f>
        <v/>
      </c>
      <c r="AP134" s="64"/>
      <c r="AQ134" s="65" t="str">
        <f aca="false">IF(ISBLANK($C134),"",IF($Z134&lt;&gt;Constants!$B$7,"",AH134))</f>
        <v/>
      </c>
      <c r="AR134" s="80" t="str">
        <f aca="false">IF(ISBLANK($C134),"",IF($Z134&lt;&gt;Constants!$B$7,"",IF(AH134=1,AB134,AE134)))</f>
        <v/>
      </c>
      <c r="AS134" s="67" t="str">
        <f aca="false">IF(ISBLANK($C134),"",IF($Z134&lt;&gt;Constants!$B$7,"",IF(AH134=1,AC134,AF134)))</f>
        <v/>
      </c>
      <c r="AT134" s="68" t="str">
        <f aca="false">IF(ISBLANK($C134),"",IF($Z134&lt;&gt;Constants!$B$7,$Z134,AJ134))</f>
        <v/>
      </c>
      <c r="AU134" s="69" t="str">
        <f aca="false">IF(ISBLANK($C134),"",IF($Z134&lt;&gt;Constants!$B$7,$Z134,AA134))</f>
        <v/>
      </c>
      <c r="AV134" s="70" t="str">
        <f aca="false">IF(ISBLANK($C134),"",AO134)</f>
        <v/>
      </c>
      <c r="AW134" s="70" t="str">
        <f aca="false">IF(ISBLANK($C134),"",AN134)</f>
        <v/>
      </c>
      <c r="AX134" s="71" t="str">
        <f aca="false">IF(ISBLANK($C134),"",IFERROR(_xlfn.SWITCH(AW134,Constants!$B$4,COUNTA($C$8:$C$507)+2,Constants!$B$5,COUNTA($C$8:$C$507)+1,Constants!$B$6,COUNTA($C$8:$C$507)),AW134))</f>
        <v/>
      </c>
      <c r="AY134" s="5"/>
      <c r="AZ134" s="72" t="n">
        <f aca="false">IF(OR(ISNUMBER(AW134),AW134=Constants!$B$4,AW134=Constants!$B$6,AW134=Constants!$B$5),1,0)</f>
        <v>0</v>
      </c>
      <c r="BA134" s="72" t="n">
        <v>127</v>
      </c>
      <c r="BB134" s="72" t="str">
        <f aca="false">IF(ISBLANK($C134),"",IF(ISNUMBER(AX134),AX134+ROW($B134)/1000,""))</f>
        <v/>
      </c>
      <c r="BC134" s="72" t="str">
        <f aca="false">IF(ISNUMBER(BB134),RANK(BB134,$BB$8:$BB$507,1),"")</f>
        <v/>
      </c>
      <c r="BD134" s="72" t="str">
        <f aca="false">IF(ISBLANK($C134),"",$B134)</f>
        <v/>
      </c>
      <c r="BE134" s="72" t="str">
        <f aca="false">IF(ISBLANK($C134),"",$C134)</f>
        <v/>
      </c>
      <c r="BF134" s="72" t="str">
        <f aca="false">IF(ISBLANK($C134),"",$D134)</f>
        <v/>
      </c>
      <c r="BG134" s="73" t="str">
        <f aca="false">AU134</f>
        <v/>
      </c>
      <c r="BH134" s="74" t="str">
        <f aca="false">AT134</f>
        <v/>
      </c>
      <c r="BI134" s="72" t="str">
        <f aca="false">IF(ISBLANK($C134),"",AW134)</f>
        <v/>
      </c>
      <c r="BJ134" s="75" t="str">
        <f aca="false">IF($BA134&gt;$AZ$7,"",VLOOKUP($BA134,$BC$8:$BI$507,7,FALSE()))</f>
        <v/>
      </c>
      <c r="BK134" s="76" t="str">
        <f aca="false">IF($BA134&gt;$AZ$7,"",VLOOKUP($BA134,$BC$8:$BI$507,2,FALSE()))</f>
        <v/>
      </c>
      <c r="BL134" s="76" t="str">
        <f aca="false">IF($BA134&gt;$AZ$7,"",VLOOKUP($BA134,$BC$8:$BI$507,3,FALSE()))</f>
        <v/>
      </c>
      <c r="BM134" s="76" t="str">
        <f aca="false">IF($BA134&gt;$AZ$7,"",VLOOKUP($BA134,$BC$8:$BI$507,4,FALSE()))</f>
        <v/>
      </c>
      <c r="BN134" s="76" t="str">
        <f aca="false">IF($BA134&gt;$AZ$7,"",VLOOKUP($BA134,$BC$8:$BI$507,5,FALSE()))</f>
        <v/>
      </c>
      <c r="BO134" s="77" t="str">
        <f aca="false">IF($BA134&gt;$AZ$7,"",VLOOKUP($BA134,$BC$8:$BI$507,6,FALSE()))</f>
        <v/>
      </c>
      <c r="BP134" s="52"/>
    </row>
    <row r="135" customFormat="false" ht="15.75" hidden="false" customHeight="false" outlineLevel="0" collapsed="false">
      <c r="A135" s="5"/>
      <c r="B135" s="118"/>
      <c r="C135" s="54"/>
      <c r="D135" s="55"/>
      <c r="E135" s="79"/>
      <c r="F135" s="57"/>
      <c r="G135" s="58"/>
      <c r="H135" s="58"/>
      <c r="I135" s="57"/>
      <c r="J135" s="58"/>
      <c r="K135" s="58"/>
      <c r="L135" s="57"/>
      <c r="M135" s="79"/>
      <c r="N135" s="60"/>
      <c r="O135" s="62" t="str">
        <f aca="false">IF(ISBLANK($C135),"",IF(E135=Constants!$B$2, TRUE(), IF(E135=Constants!$B$3, FALSE(), TRUE())))</f>
        <v/>
      </c>
      <c r="P135" s="62" t="str">
        <f aca="false">IF(ISBLANK($C135),"",IF(F135=Constants!$B$16,Constants!$B$9,IF(F135=Constants!$B$17,Constants!$B$10,Constants!$B$8)))</f>
        <v/>
      </c>
      <c r="Q135" s="62" t="str">
        <f aca="false">IF(ISBLANK($C135),"",IF(ISNUMBER(G135),IF(G135&gt;=0,G135,""),""))</f>
        <v/>
      </c>
      <c r="R135" s="62" t="str">
        <f aca="false">IF(ISBLANK($C135),"",IF(H135=Constants!$B$2, TRUE(), IF(H135=Constants!$B$3, FALSE(), TRUE())))</f>
        <v/>
      </c>
      <c r="S135" s="62" t="str">
        <f aca="false">IF(ISBLANK($C135),"",IF(I135=Constants!$B$2, TRUE(), IF(I135=Constants!$B$3, FALSE(), TRUE())))</f>
        <v/>
      </c>
      <c r="T135" s="62" t="str">
        <f aca="false">IF(ISBLANK($C135),"",IF(ISNUMBER(J135),IF(J135&gt;=0,J135,""),""))</f>
        <v/>
      </c>
      <c r="U135" s="62" t="str">
        <f aca="false">IF(ISBLANK($C135),"",IF(K135=Constants!$B$2, TRUE(), IF(K135=Constants!$B$3, FALSE(), TRUE())))</f>
        <v/>
      </c>
      <c r="V135" s="62" t="str">
        <f aca="false">IF(ISBLANK($C135),"",IF(L135=Constants!$B$2, TRUE(), IF(L135=Constants!$B$3, FALSE(), TRUE())))</f>
        <v/>
      </c>
      <c r="W135" s="62" t="str">
        <f aca="false">IF(ISBLANK($C135),"",IF(M135=Constants!$B$2, TRUE(), IF(M135=Constants!$B$3, FALSE(), FALSE())))</f>
        <v/>
      </c>
      <c r="X135" s="62" t="str">
        <f aca="false">IF(ISBLANK($C135),"",AND(Q135&lt;&gt;"",O135))</f>
        <v/>
      </c>
      <c r="Y135" s="62" t="str">
        <f aca="false">IF(ISBLANK($C135),"",AND(T135&lt;&gt;"",O135))</f>
        <v/>
      </c>
      <c r="Z135" s="62" t="str">
        <f aca="false">IF(ISBLANK($C135),"",IF(W135,Constants!$B$4,IF(COUNTA(E135:L135)=0,Constants!$B$5,IF(NOT(O135),Constants!$B$6,IF(AND(NOT(X135),NOT(Y135)),Constants!$B$6,Constants!$B$7)))))</f>
        <v/>
      </c>
      <c r="AA135" s="62" t="str">
        <f aca="false">IF(ISBLANK($C135),"",IF($Z135&lt;&gt;Constants!$B$7,$Z135,Constants!$B$20))</f>
        <v/>
      </c>
      <c r="AB135" s="62" t="str">
        <f aca="false">IF($Z135=Constants!$B$7,IF(X135,Q135,Constants!$B$13),"")</f>
        <v/>
      </c>
      <c r="AC135" s="62" t="str">
        <f aca="false">IF($Z135=Constants!$B$7,IF(X135,P135*IF(R135, 1, Constants!$B$11)*IF(S135, 1, Constants!$B$12),Constants!$B$13),"")</f>
        <v/>
      </c>
      <c r="AD135" s="62" t="str">
        <f aca="false">IF($Z135=Constants!$B$7,AB135*AC135,"")</f>
        <v/>
      </c>
      <c r="AE135" s="62" t="str">
        <f aca="false">IF($Z135=Constants!$B$7,IF(Y135,T135,Constants!$B$13),"")</f>
        <v/>
      </c>
      <c r="AF135" s="62" t="str">
        <f aca="false">IF($Z135=Constants!$B$7,IF(Y135,P135*IF(U135, 1, Constants!$B$11)*IF(V135, 1, Constants!$B$12),Constants!$B$13),"")</f>
        <v/>
      </c>
      <c r="AG135" s="62" t="str">
        <f aca="false">IF($Z135=Constants!$B$7,AE135*AF135,"")</f>
        <v/>
      </c>
      <c r="AH135" s="62" t="str">
        <f aca="false">IF($Z135=Constants!$B$7,IF(AG135&gt;AD135,2,1),"")</f>
        <v/>
      </c>
      <c r="AI135" s="62" t="str">
        <f aca="false">IF($Z135=Constants!$B$7,IF(AH135=1,2,1),"")</f>
        <v/>
      </c>
      <c r="AJ135" s="62" t="str">
        <f aca="false">IF(ISBLANK($C135),"",IF($Z135&lt;&gt;Constants!$B$7,$Z135,IF(AH135=1,AD135,AG135)))</f>
        <v/>
      </c>
      <c r="AK135" s="62" t="str">
        <f aca="false">IF(ISBLANK($C135),"",IF($Z135=Constants!$B$7,IF(ISNUMBER(AJ135),RANK(AJ135,$AJ$8:$AJ$507),Constants!$B$14),$Z135))</f>
        <v/>
      </c>
      <c r="AL135" s="62" t="str">
        <f aca="false">IF(ISBLANK($C135),"",IF($Z135=Constants!$B$7,IF(AI135=1,AD135,AG135),""))</f>
        <v/>
      </c>
      <c r="AM135" s="62" t="str">
        <f aca="false">IF(ISBLANK($C135),"",IF($Z135=Constants!$B$7,RANK(AL135,$AL$8:$AL$507),$Z135))</f>
        <v/>
      </c>
      <c r="AN135" s="62" t="str">
        <f aca="false">IF(ISBLANK($C135),"",IF($Z135=Constants!$B$7,IF(ISNUMBER(AK135),COUNTIFS($AK$8:$AK$507,"&lt;"&amp;$AK135)+COUNTIFS($AK$8:$AK$507,$AK135,$AM$8:$AM$507,"&lt;"&amp;$AM135)+1,Constants!$B$14),$Z135))</f>
        <v/>
      </c>
      <c r="AO135" s="62" t="str">
        <f aca="false">IF(ISBLANK($C135),"",IF($Z135=Constants!$B$7,IF(ISNUMBER(AK135),AK135-AN135,Constants!$B$14),$Z135))</f>
        <v/>
      </c>
      <c r="AP135" s="64"/>
      <c r="AQ135" s="65" t="str">
        <f aca="false">IF(ISBLANK($C135),"",IF($Z135&lt;&gt;Constants!$B$7,"",AH135))</f>
        <v/>
      </c>
      <c r="AR135" s="80" t="str">
        <f aca="false">IF(ISBLANK($C135),"",IF($Z135&lt;&gt;Constants!$B$7,"",IF(AH135=1,AB135,AE135)))</f>
        <v/>
      </c>
      <c r="AS135" s="67" t="str">
        <f aca="false">IF(ISBLANK($C135),"",IF($Z135&lt;&gt;Constants!$B$7,"",IF(AH135=1,AC135,AF135)))</f>
        <v/>
      </c>
      <c r="AT135" s="68" t="str">
        <f aca="false">IF(ISBLANK($C135),"",IF($Z135&lt;&gt;Constants!$B$7,$Z135,AJ135))</f>
        <v/>
      </c>
      <c r="AU135" s="69" t="str">
        <f aca="false">IF(ISBLANK($C135),"",IF($Z135&lt;&gt;Constants!$B$7,$Z135,AA135))</f>
        <v/>
      </c>
      <c r="AV135" s="70" t="str">
        <f aca="false">IF(ISBLANK($C135),"",AO135)</f>
        <v/>
      </c>
      <c r="AW135" s="70" t="str">
        <f aca="false">IF(ISBLANK($C135),"",AN135)</f>
        <v/>
      </c>
      <c r="AX135" s="71" t="str">
        <f aca="false">IF(ISBLANK($C135),"",IFERROR(_xlfn.SWITCH(AW135,Constants!$B$4,COUNTA($C$8:$C$507)+2,Constants!$B$5,COUNTA($C$8:$C$507)+1,Constants!$B$6,COUNTA($C$8:$C$507)),AW135))</f>
        <v/>
      </c>
      <c r="AY135" s="5"/>
      <c r="AZ135" s="72" t="n">
        <f aca="false">IF(OR(ISNUMBER(AW135),AW135=Constants!$B$4,AW135=Constants!$B$6,AW135=Constants!$B$5),1,0)</f>
        <v>0</v>
      </c>
      <c r="BA135" s="72" t="n">
        <v>128</v>
      </c>
      <c r="BB135" s="72" t="str">
        <f aca="false">IF(ISBLANK($C135),"",IF(ISNUMBER(AX135),AX135+ROW($B135)/1000,""))</f>
        <v/>
      </c>
      <c r="BC135" s="72" t="str">
        <f aca="false">IF(ISNUMBER(BB135),RANK(BB135,$BB$8:$BB$507,1),"")</f>
        <v/>
      </c>
      <c r="BD135" s="72" t="str">
        <f aca="false">IF(ISBLANK($C135),"",$B135)</f>
        <v/>
      </c>
      <c r="BE135" s="72" t="str">
        <f aca="false">IF(ISBLANK($C135),"",$C135)</f>
        <v/>
      </c>
      <c r="BF135" s="72" t="str">
        <f aca="false">IF(ISBLANK($C135),"",$D135)</f>
        <v/>
      </c>
      <c r="BG135" s="73" t="str">
        <f aca="false">AU135</f>
        <v/>
      </c>
      <c r="BH135" s="74" t="str">
        <f aca="false">AT135</f>
        <v/>
      </c>
      <c r="BI135" s="72" t="str">
        <f aca="false">IF(ISBLANK($C135),"",AW135)</f>
        <v/>
      </c>
      <c r="BJ135" s="75" t="str">
        <f aca="false">IF($BA135&gt;$AZ$7,"",VLOOKUP($BA135,$BC$8:$BI$507,7,FALSE()))</f>
        <v/>
      </c>
      <c r="BK135" s="76" t="str">
        <f aca="false">IF($BA135&gt;$AZ$7,"",VLOOKUP($BA135,$BC$8:$BI$507,2,FALSE()))</f>
        <v/>
      </c>
      <c r="BL135" s="76" t="str">
        <f aca="false">IF($BA135&gt;$AZ$7,"",VLOOKUP($BA135,$BC$8:$BI$507,3,FALSE()))</f>
        <v/>
      </c>
      <c r="BM135" s="76" t="str">
        <f aca="false">IF($BA135&gt;$AZ$7,"",VLOOKUP($BA135,$BC$8:$BI$507,4,FALSE()))</f>
        <v/>
      </c>
      <c r="BN135" s="76" t="str">
        <f aca="false">IF($BA135&gt;$AZ$7,"",VLOOKUP($BA135,$BC$8:$BI$507,5,FALSE()))</f>
        <v/>
      </c>
      <c r="BO135" s="77" t="str">
        <f aca="false">IF($BA135&gt;$AZ$7,"",VLOOKUP($BA135,$BC$8:$BI$507,6,FALSE()))</f>
        <v/>
      </c>
      <c r="BP135" s="52"/>
    </row>
    <row r="136" customFormat="false" ht="15.75" hidden="false" customHeight="false" outlineLevel="0" collapsed="false">
      <c r="A136" s="5"/>
      <c r="B136" s="118"/>
      <c r="C136" s="54"/>
      <c r="D136" s="55"/>
      <c r="E136" s="79"/>
      <c r="F136" s="57"/>
      <c r="G136" s="58"/>
      <c r="H136" s="58"/>
      <c r="I136" s="57"/>
      <c r="J136" s="58"/>
      <c r="K136" s="58"/>
      <c r="L136" s="57"/>
      <c r="M136" s="79"/>
      <c r="N136" s="60"/>
      <c r="O136" s="62" t="str">
        <f aca="false">IF(ISBLANK($C136),"",IF(E136=Constants!$B$2, TRUE(), IF(E136=Constants!$B$3, FALSE(), TRUE())))</f>
        <v/>
      </c>
      <c r="P136" s="62" t="str">
        <f aca="false">IF(ISBLANK($C136),"",IF(F136=Constants!$B$16,Constants!$B$9,IF(F136=Constants!$B$17,Constants!$B$10,Constants!$B$8)))</f>
        <v/>
      </c>
      <c r="Q136" s="62" t="str">
        <f aca="false">IF(ISBLANK($C136),"",IF(ISNUMBER(G136),IF(G136&gt;=0,G136,""),""))</f>
        <v/>
      </c>
      <c r="R136" s="62" t="str">
        <f aca="false">IF(ISBLANK($C136),"",IF(H136=Constants!$B$2, TRUE(), IF(H136=Constants!$B$3, FALSE(), TRUE())))</f>
        <v/>
      </c>
      <c r="S136" s="62" t="str">
        <f aca="false">IF(ISBLANK($C136),"",IF(I136=Constants!$B$2, TRUE(), IF(I136=Constants!$B$3, FALSE(), TRUE())))</f>
        <v/>
      </c>
      <c r="T136" s="62" t="str">
        <f aca="false">IF(ISBLANK($C136),"",IF(ISNUMBER(J136),IF(J136&gt;=0,J136,""),""))</f>
        <v/>
      </c>
      <c r="U136" s="62" t="str">
        <f aca="false">IF(ISBLANK($C136),"",IF(K136=Constants!$B$2, TRUE(), IF(K136=Constants!$B$3, FALSE(), TRUE())))</f>
        <v/>
      </c>
      <c r="V136" s="62" t="str">
        <f aca="false">IF(ISBLANK($C136),"",IF(L136=Constants!$B$2, TRUE(), IF(L136=Constants!$B$3, FALSE(), TRUE())))</f>
        <v/>
      </c>
      <c r="W136" s="62" t="str">
        <f aca="false">IF(ISBLANK($C136),"",IF(M136=Constants!$B$2, TRUE(), IF(M136=Constants!$B$3, FALSE(), FALSE())))</f>
        <v/>
      </c>
      <c r="X136" s="62" t="str">
        <f aca="false">IF(ISBLANK($C136),"",AND(Q136&lt;&gt;"",O136))</f>
        <v/>
      </c>
      <c r="Y136" s="62" t="str">
        <f aca="false">IF(ISBLANK($C136),"",AND(T136&lt;&gt;"",O136))</f>
        <v/>
      </c>
      <c r="Z136" s="62" t="str">
        <f aca="false">IF(ISBLANK($C136),"",IF(W136,Constants!$B$4,IF(COUNTA(E136:L136)=0,Constants!$B$5,IF(NOT(O136),Constants!$B$6,IF(AND(NOT(X136),NOT(Y136)),Constants!$B$6,Constants!$B$7)))))</f>
        <v/>
      </c>
      <c r="AA136" s="62" t="str">
        <f aca="false">IF(ISBLANK($C136),"",IF($Z136&lt;&gt;Constants!$B$7,$Z136,Constants!$B$20))</f>
        <v/>
      </c>
      <c r="AB136" s="62" t="str">
        <f aca="false">IF($Z136=Constants!$B$7,IF(X136,Q136,Constants!$B$13),"")</f>
        <v/>
      </c>
      <c r="AC136" s="62" t="str">
        <f aca="false">IF($Z136=Constants!$B$7,IF(X136,P136*IF(R136, 1, Constants!$B$11)*IF(S136, 1, Constants!$B$12),Constants!$B$13),"")</f>
        <v/>
      </c>
      <c r="AD136" s="62" t="str">
        <f aca="false">IF($Z136=Constants!$B$7,AB136*AC136,"")</f>
        <v/>
      </c>
      <c r="AE136" s="62" t="str">
        <f aca="false">IF($Z136=Constants!$B$7,IF(Y136,T136,Constants!$B$13),"")</f>
        <v/>
      </c>
      <c r="AF136" s="62" t="str">
        <f aca="false">IF($Z136=Constants!$B$7,IF(Y136,P136*IF(U136, 1, Constants!$B$11)*IF(V136, 1, Constants!$B$12),Constants!$B$13),"")</f>
        <v/>
      </c>
      <c r="AG136" s="62" t="str">
        <f aca="false">IF($Z136=Constants!$B$7,AE136*AF136,"")</f>
        <v/>
      </c>
      <c r="AH136" s="62" t="str">
        <f aca="false">IF($Z136=Constants!$B$7,IF(AG136&gt;AD136,2,1),"")</f>
        <v/>
      </c>
      <c r="AI136" s="62" t="str">
        <f aca="false">IF($Z136=Constants!$B$7,IF(AH136=1,2,1),"")</f>
        <v/>
      </c>
      <c r="AJ136" s="62" t="str">
        <f aca="false">IF(ISBLANK($C136),"",IF($Z136&lt;&gt;Constants!$B$7,$Z136,IF(AH136=1,AD136,AG136)))</f>
        <v/>
      </c>
      <c r="AK136" s="62" t="str">
        <f aca="false">IF(ISBLANK($C136),"",IF($Z136=Constants!$B$7,IF(ISNUMBER(AJ136),RANK(AJ136,$AJ$8:$AJ$507),Constants!$B$14),$Z136))</f>
        <v/>
      </c>
      <c r="AL136" s="62" t="str">
        <f aca="false">IF(ISBLANK($C136),"",IF($Z136=Constants!$B$7,IF(AI136=1,AD136,AG136),""))</f>
        <v/>
      </c>
      <c r="AM136" s="62" t="str">
        <f aca="false">IF(ISBLANK($C136),"",IF($Z136=Constants!$B$7,RANK(AL136,$AL$8:$AL$507),$Z136))</f>
        <v/>
      </c>
      <c r="AN136" s="62" t="str">
        <f aca="false">IF(ISBLANK($C136),"",IF($Z136=Constants!$B$7,IF(ISNUMBER(AK136),COUNTIFS($AK$8:$AK$507,"&lt;"&amp;$AK136)+COUNTIFS($AK$8:$AK$507,$AK136,$AM$8:$AM$507,"&lt;"&amp;$AM136)+1,Constants!$B$14),$Z136))</f>
        <v/>
      </c>
      <c r="AO136" s="62" t="str">
        <f aca="false">IF(ISBLANK($C136),"",IF($Z136=Constants!$B$7,IF(ISNUMBER(AK136),AK136-AN136,Constants!$B$14),$Z136))</f>
        <v/>
      </c>
      <c r="AP136" s="64"/>
      <c r="AQ136" s="65" t="str">
        <f aca="false">IF(ISBLANK($C136),"",IF($Z136&lt;&gt;Constants!$B$7,"",AH136))</f>
        <v/>
      </c>
      <c r="AR136" s="80" t="str">
        <f aca="false">IF(ISBLANK($C136),"",IF($Z136&lt;&gt;Constants!$B$7,"",IF(AH136=1,AB136,AE136)))</f>
        <v/>
      </c>
      <c r="AS136" s="67" t="str">
        <f aca="false">IF(ISBLANK($C136),"",IF($Z136&lt;&gt;Constants!$B$7,"",IF(AH136=1,AC136,AF136)))</f>
        <v/>
      </c>
      <c r="AT136" s="68" t="str">
        <f aca="false">IF(ISBLANK($C136),"",IF($Z136&lt;&gt;Constants!$B$7,$Z136,AJ136))</f>
        <v/>
      </c>
      <c r="AU136" s="69" t="str">
        <f aca="false">IF(ISBLANK($C136),"",IF($Z136&lt;&gt;Constants!$B$7,$Z136,AA136))</f>
        <v/>
      </c>
      <c r="AV136" s="70" t="str">
        <f aca="false">IF(ISBLANK($C136),"",AO136)</f>
        <v/>
      </c>
      <c r="AW136" s="70" t="str">
        <f aca="false">IF(ISBLANK($C136),"",AN136)</f>
        <v/>
      </c>
      <c r="AX136" s="71" t="str">
        <f aca="false">IF(ISBLANK($C136),"",IFERROR(_xlfn.SWITCH(AW136,Constants!$B$4,COUNTA($C$8:$C$507)+2,Constants!$B$5,COUNTA($C$8:$C$507)+1,Constants!$B$6,COUNTA($C$8:$C$507)),AW136))</f>
        <v/>
      </c>
      <c r="AY136" s="5"/>
      <c r="AZ136" s="72" t="n">
        <f aca="false">IF(OR(ISNUMBER(AW136),AW136=Constants!$B$4,AW136=Constants!$B$6,AW136=Constants!$B$5),1,0)</f>
        <v>0</v>
      </c>
      <c r="BA136" s="72" t="n">
        <v>129</v>
      </c>
      <c r="BB136" s="72" t="str">
        <f aca="false">IF(ISBLANK($C136),"",IF(ISNUMBER(AX136),AX136+ROW($B136)/1000,""))</f>
        <v/>
      </c>
      <c r="BC136" s="72" t="str">
        <f aca="false">IF(ISNUMBER(BB136),RANK(BB136,$BB$8:$BB$507,1),"")</f>
        <v/>
      </c>
      <c r="BD136" s="72" t="str">
        <f aca="false">IF(ISBLANK($C136),"",$B136)</f>
        <v/>
      </c>
      <c r="BE136" s="72" t="str">
        <f aca="false">IF(ISBLANK($C136),"",$C136)</f>
        <v/>
      </c>
      <c r="BF136" s="72" t="str">
        <f aca="false">IF(ISBLANK($C136),"",$D136)</f>
        <v/>
      </c>
      <c r="BG136" s="73" t="str">
        <f aca="false">AU136</f>
        <v/>
      </c>
      <c r="BH136" s="74" t="str">
        <f aca="false">AT136</f>
        <v/>
      </c>
      <c r="BI136" s="72" t="str">
        <f aca="false">IF(ISBLANK($C136),"",AW136)</f>
        <v/>
      </c>
      <c r="BJ136" s="75" t="str">
        <f aca="false">IF($BA136&gt;$AZ$7,"",VLOOKUP($BA136,$BC$8:$BI$507,7,FALSE()))</f>
        <v/>
      </c>
      <c r="BK136" s="76" t="str">
        <f aca="false">IF($BA136&gt;$AZ$7,"",VLOOKUP($BA136,$BC$8:$BI$507,2,FALSE()))</f>
        <v/>
      </c>
      <c r="BL136" s="76" t="str">
        <f aca="false">IF($BA136&gt;$AZ$7,"",VLOOKUP($BA136,$BC$8:$BI$507,3,FALSE()))</f>
        <v/>
      </c>
      <c r="BM136" s="76" t="str">
        <f aca="false">IF($BA136&gt;$AZ$7,"",VLOOKUP($BA136,$BC$8:$BI$507,4,FALSE()))</f>
        <v/>
      </c>
      <c r="BN136" s="76" t="str">
        <f aca="false">IF($BA136&gt;$AZ$7,"",VLOOKUP($BA136,$BC$8:$BI$507,5,FALSE()))</f>
        <v/>
      </c>
      <c r="BO136" s="77" t="str">
        <f aca="false">IF($BA136&gt;$AZ$7,"",VLOOKUP($BA136,$BC$8:$BI$507,6,FALSE()))</f>
        <v/>
      </c>
      <c r="BP136" s="52"/>
    </row>
    <row r="137" customFormat="false" ht="15.75" hidden="false" customHeight="false" outlineLevel="0" collapsed="false">
      <c r="A137" s="5"/>
      <c r="B137" s="114"/>
      <c r="C137" s="115"/>
      <c r="D137" s="106"/>
      <c r="E137" s="117"/>
      <c r="F137" s="87"/>
      <c r="G137" s="88"/>
      <c r="H137" s="88"/>
      <c r="I137" s="87"/>
      <c r="J137" s="88"/>
      <c r="K137" s="88"/>
      <c r="L137" s="87"/>
      <c r="M137" s="117"/>
      <c r="N137" s="90"/>
      <c r="O137" s="91" t="str">
        <f aca="false">IF(ISBLANK($C137),"",IF(E137=Constants!$B$2, TRUE(), IF(E137=Constants!$B$3, FALSE(), TRUE())))</f>
        <v/>
      </c>
      <c r="P137" s="91" t="str">
        <f aca="false">IF(ISBLANK($C137),"",IF(F137=Constants!$B$16,Constants!$B$9,IF(F137=Constants!$B$17,Constants!$B$10,Constants!$B$8)))</f>
        <v/>
      </c>
      <c r="Q137" s="91" t="str">
        <f aca="false">IF(ISBLANK($C137),"",IF(ISNUMBER(G137),IF(G137&gt;=0,G137,""),""))</f>
        <v/>
      </c>
      <c r="R137" s="91" t="str">
        <f aca="false">IF(ISBLANK($C137),"",IF(H137=Constants!$B$2, TRUE(), IF(H137=Constants!$B$3, FALSE(), TRUE())))</f>
        <v/>
      </c>
      <c r="S137" s="91" t="str">
        <f aca="false">IF(ISBLANK($C137),"",IF(I137=Constants!$B$2, TRUE(), IF(I137=Constants!$B$3, FALSE(), TRUE())))</f>
        <v/>
      </c>
      <c r="T137" s="91" t="str">
        <f aca="false">IF(ISBLANK($C137),"",IF(ISNUMBER(J137),IF(J137&gt;=0,J137,""),""))</f>
        <v/>
      </c>
      <c r="U137" s="91" t="str">
        <f aca="false">IF(ISBLANK($C137),"",IF(K137=Constants!$B$2, TRUE(), IF(K137=Constants!$B$3, FALSE(), TRUE())))</f>
        <v/>
      </c>
      <c r="V137" s="91" t="str">
        <f aca="false">IF(ISBLANK($C137),"",IF(L137=Constants!$B$2, TRUE(), IF(L137=Constants!$B$3, FALSE(), TRUE())))</f>
        <v/>
      </c>
      <c r="W137" s="91" t="str">
        <f aca="false">IF(ISBLANK($C137),"",IF(M137=Constants!$B$2, TRUE(), IF(M137=Constants!$B$3, FALSE(), FALSE())))</f>
        <v/>
      </c>
      <c r="X137" s="91" t="str">
        <f aca="false">IF(ISBLANK($C137),"",AND(Q137&lt;&gt;"",O137))</f>
        <v/>
      </c>
      <c r="Y137" s="91" t="str">
        <f aca="false">IF(ISBLANK($C137),"",AND(T137&lt;&gt;"",O137))</f>
        <v/>
      </c>
      <c r="Z137" s="91" t="str">
        <f aca="false">IF(ISBLANK($C137),"",IF(W137,Constants!$B$4,IF(COUNTA(E137:L137)=0,Constants!$B$5,IF(NOT(O137),Constants!$B$6,IF(AND(NOT(X137),NOT(Y137)),Constants!$B$6,Constants!$B$7)))))</f>
        <v/>
      </c>
      <c r="AA137" s="91" t="str">
        <f aca="false">IF(ISBLANK($C137),"",IF($Z137&lt;&gt;Constants!$B$7,$Z137,Constants!$B$20))</f>
        <v/>
      </c>
      <c r="AB137" s="91" t="str">
        <f aca="false">IF($Z137=Constants!$B$7,IF(X137,Q137,Constants!$B$13),"")</f>
        <v/>
      </c>
      <c r="AC137" s="91" t="str">
        <f aca="false">IF($Z137=Constants!$B$7,IF(X137,P137*IF(R137, 1, Constants!$B$11)*IF(S137, 1, Constants!$B$12),Constants!$B$13),"")</f>
        <v/>
      </c>
      <c r="AD137" s="91" t="str">
        <f aca="false">IF($Z137=Constants!$B$7,AB137*AC137,"")</f>
        <v/>
      </c>
      <c r="AE137" s="91" t="str">
        <f aca="false">IF($Z137=Constants!$B$7,IF(Y137,T137,Constants!$B$13),"")</f>
        <v/>
      </c>
      <c r="AF137" s="91" t="str">
        <f aca="false">IF($Z137=Constants!$B$7,IF(Y137,P137*IF(U137, 1, Constants!$B$11)*IF(V137, 1, Constants!$B$12),Constants!$B$13),"")</f>
        <v/>
      </c>
      <c r="AG137" s="91" t="str">
        <f aca="false">IF($Z137=Constants!$B$7,AE137*AF137,"")</f>
        <v/>
      </c>
      <c r="AH137" s="91" t="str">
        <f aca="false">IF($Z137=Constants!$B$7,IF(AG137&gt;AD137,2,1),"")</f>
        <v/>
      </c>
      <c r="AI137" s="91" t="str">
        <f aca="false">IF($Z137=Constants!$B$7,IF(AH137=1,2,1),"")</f>
        <v/>
      </c>
      <c r="AJ137" s="91" t="str">
        <f aca="false">IF(ISBLANK($C137),"",IF($Z137&lt;&gt;Constants!$B$7,$Z137,IF(AH137=1,AD137,AG137)))</f>
        <v/>
      </c>
      <c r="AK137" s="91" t="str">
        <f aca="false">IF(ISBLANK($C137),"",IF($Z137=Constants!$B$7,IF(ISNUMBER(AJ137),RANK(AJ137,$AJ$8:$AJ$507),Constants!$B$14),$Z137))</f>
        <v/>
      </c>
      <c r="AL137" s="91" t="str">
        <f aca="false">IF(ISBLANK($C137),"",IF($Z137=Constants!$B$7,IF(AI137=1,AD137,AG137),""))</f>
        <v/>
      </c>
      <c r="AM137" s="91" t="str">
        <f aca="false">IF(ISBLANK($C137),"",IF($Z137=Constants!$B$7,RANK(AL137,$AL$8:$AL$507),$Z137))</f>
        <v/>
      </c>
      <c r="AN137" s="91" t="str">
        <f aca="false">IF(ISBLANK($C137),"",IF($Z137=Constants!$B$7,IF(ISNUMBER(AK137),COUNTIFS($AK$8:$AK$507,"&lt;"&amp;$AK137)+COUNTIFS($AK$8:$AK$507,$AK137,$AM$8:$AM$507,"&lt;"&amp;$AM137)+1,Constants!$B$14),$Z137))</f>
        <v/>
      </c>
      <c r="AO137" s="91" t="str">
        <f aca="false">IF(ISBLANK($C137),"",IF($Z137=Constants!$B$7,IF(ISNUMBER(AK137),AK137-AN137,Constants!$B$14),$Z137))</f>
        <v/>
      </c>
      <c r="AP137" s="92"/>
      <c r="AQ137" s="93" t="str">
        <f aca="false">IF(ISBLANK($C137),"",IF($Z137&lt;&gt;Constants!$B$7,"",AH137))</f>
        <v/>
      </c>
      <c r="AR137" s="94" t="str">
        <f aca="false">IF(ISBLANK($C137),"",IF($Z137&lt;&gt;Constants!$B$7,"",IF(AH137=1,AB137,AE137)))</f>
        <v/>
      </c>
      <c r="AS137" s="95" t="str">
        <f aca="false">IF(ISBLANK($C137),"",IF($Z137&lt;&gt;Constants!$B$7,"",IF(AH137=1,AC137,AF137)))</f>
        <v/>
      </c>
      <c r="AT137" s="96" t="str">
        <f aca="false">IF(ISBLANK($C137),"",IF($Z137&lt;&gt;Constants!$B$7,$Z137,AJ137))</f>
        <v/>
      </c>
      <c r="AU137" s="97" t="str">
        <f aca="false">IF(ISBLANK($C137),"",IF($Z137&lt;&gt;Constants!$B$7,$Z137,AA137))</f>
        <v/>
      </c>
      <c r="AV137" s="98" t="str">
        <f aca="false">IF(ISBLANK($C137),"",AO137)</f>
        <v/>
      </c>
      <c r="AW137" s="98" t="str">
        <f aca="false">IF(ISBLANK($C137),"",AN137)</f>
        <v/>
      </c>
      <c r="AX137" s="99" t="str">
        <f aca="false">IF(ISBLANK($C137),"",IFERROR(_xlfn.SWITCH(AW137,Constants!$B$4,COUNTA($C$8:$C$507)+2,Constants!$B$5,COUNTA($C$8:$C$507)+1,Constants!$B$6,COUNTA($C$8:$C$507)),AW137))</f>
        <v/>
      </c>
      <c r="AY137" s="5"/>
      <c r="AZ137" s="100" t="n">
        <f aca="false">IF(OR(ISNUMBER(AW137),AW137=Constants!$B$4,AW137=Constants!$B$6,AW137=Constants!$B$5),1,0)</f>
        <v>0</v>
      </c>
      <c r="BA137" s="100" t="n">
        <v>130</v>
      </c>
      <c r="BB137" s="100" t="str">
        <f aca="false">IF(ISBLANK($C137),"",IF(ISNUMBER(AX137),AX137+ROW($B137)/1000,""))</f>
        <v/>
      </c>
      <c r="BC137" s="100" t="str">
        <f aca="false">IF(ISNUMBER(BB137),RANK(BB137,$BB$8:$BB$507,1),"")</f>
        <v/>
      </c>
      <c r="BD137" s="100" t="str">
        <f aca="false">IF(ISBLANK($C137),"",$B137)</f>
        <v/>
      </c>
      <c r="BE137" s="100" t="str">
        <f aca="false">IF(ISBLANK($C137),"",$C137)</f>
        <v/>
      </c>
      <c r="BF137" s="100" t="str">
        <f aca="false">IF(ISBLANK($C137),"",$D137)</f>
        <v/>
      </c>
      <c r="BG137" s="101" t="str">
        <f aca="false">AU137</f>
        <v/>
      </c>
      <c r="BH137" s="102" t="str">
        <f aca="false">AT137</f>
        <v/>
      </c>
      <c r="BI137" s="100" t="str">
        <f aca="false">IF(ISBLANK($C137),"",AW137)</f>
        <v/>
      </c>
      <c r="BJ137" s="103" t="str">
        <f aca="false">IF($BA137&gt;$AZ$7,"",VLOOKUP($BA137,$BC$8:$BI$507,7,FALSE()))</f>
        <v/>
      </c>
      <c r="BK137" s="104" t="str">
        <f aca="false">IF($BA137&gt;$AZ$7,"",VLOOKUP($BA137,$BC$8:$BI$507,2,FALSE()))</f>
        <v/>
      </c>
      <c r="BL137" s="104" t="str">
        <f aca="false">IF($BA137&gt;$AZ$7,"",VLOOKUP($BA137,$BC$8:$BI$507,3,FALSE()))</f>
        <v/>
      </c>
      <c r="BM137" s="104" t="str">
        <f aca="false">IF($BA137&gt;$AZ$7,"",VLOOKUP($BA137,$BC$8:$BI$507,4,FALSE()))</f>
        <v/>
      </c>
      <c r="BN137" s="104" t="str">
        <f aca="false">IF($BA137&gt;$AZ$7,"",VLOOKUP($BA137,$BC$8:$BI$507,5,FALSE()))</f>
        <v/>
      </c>
      <c r="BO137" s="105" t="str">
        <f aca="false">IF($BA137&gt;$AZ$7,"",VLOOKUP($BA137,$BC$8:$BI$507,6,FALSE()))</f>
        <v/>
      </c>
      <c r="BP137" s="52"/>
    </row>
    <row r="138" customFormat="false" ht="15.75" hidden="false" customHeight="false" outlineLevel="0" collapsed="false">
      <c r="A138" s="5"/>
      <c r="B138" s="114"/>
      <c r="C138" s="115"/>
      <c r="D138" s="106"/>
      <c r="E138" s="117"/>
      <c r="F138" s="87"/>
      <c r="G138" s="88"/>
      <c r="H138" s="88"/>
      <c r="I138" s="87"/>
      <c r="J138" s="88"/>
      <c r="K138" s="88"/>
      <c r="L138" s="87"/>
      <c r="M138" s="117"/>
      <c r="N138" s="90"/>
      <c r="O138" s="91" t="str">
        <f aca="false">IF(ISBLANK($C138),"",IF(E138=Constants!$B$2, TRUE(), IF(E138=Constants!$B$3, FALSE(), TRUE())))</f>
        <v/>
      </c>
      <c r="P138" s="91" t="str">
        <f aca="false">IF(ISBLANK($C138),"",IF(F138=Constants!$B$16,Constants!$B$9,IF(F138=Constants!$B$17,Constants!$B$10,Constants!$B$8)))</f>
        <v/>
      </c>
      <c r="Q138" s="91" t="str">
        <f aca="false">IF(ISBLANK($C138),"",IF(ISNUMBER(G138),IF(G138&gt;=0,G138,""),""))</f>
        <v/>
      </c>
      <c r="R138" s="91" t="str">
        <f aca="false">IF(ISBLANK($C138),"",IF(H138=Constants!$B$2, TRUE(), IF(H138=Constants!$B$3, FALSE(), TRUE())))</f>
        <v/>
      </c>
      <c r="S138" s="91" t="str">
        <f aca="false">IF(ISBLANK($C138),"",IF(I138=Constants!$B$2, TRUE(), IF(I138=Constants!$B$3, FALSE(), TRUE())))</f>
        <v/>
      </c>
      <c r="T138" s="91" t="str">
        <f aca="false">IF(ISBLANK($C138),"",IF(ISNUMBER(J138),IF(J138&gt;=0,J138,""),""))</f>
        <v/>
      </c>
      <c r="U138" s="91" t="str">
        <f aca="false">IF(ISBLANK($C138),"",IF(K138=Constants!$B$2, TRUE(), IF(K138=Constants!$B$3, FALSE(), TRUE())))</f>
        <v/>
      </c>
      <c r="V138" s="91" t="str">
        <f aca="false">IF(ISBLANK($C138),"",IF(L138=Constants!$B$2, TRUE(), IF(L138=Constants!$B$3, FALSE(), TRUE())))</f>
        <v/>
      </c>
      <c r="W138" s="91" t="str">
        <f aca="false">IF(ISBLANK($C138),"",IF(M138=Constants!$B$2, TRUE(), IF(M138=Constants!$B$3, FALSE(), FALSE())))</f>
        <v/>
      </c>
      <c r="X138" s="91" t="str">
        <f aca="false">IF(ISBLANK($C138),"",AND(Q138&lt;&gt;"",O138))</f>
        <v/>
      </c>
      <c r="Y138" s="91" t="str">
        <f aca="false">IF(ISBLANK($C138),"",AND(T138&lt;&gt;"",O138))</f>
        <v/>
      </c>
      <c r="Z138" s="91" t="str">
        <f aca="false">IF(ISBLANK($C138),"",IF(W138,Constants!$B$4,IF(COUNTA(E138:L138)=0,Constants!$B$5,IF(NOT(O138),Constants!$B$6,IF(AND(NOT(X138),NOT(Y138)),Constants!$B$6,Constants!$B$7)))))</f>
        <v/>
      </c>
      <c r="AA138" s="91" t="str">
        <f aca="false">IF(ISBLANK($C138),"",IF($Z138&lt;&gt;Constants!$B$7,$Z138,Constants!$B$20))</f>
        <v/>
      </c>
      <c r="AB138" s="91" t="str">
        <f aca="false">IF($Z138=Constants!$B$7,IF(X138,Q138,Constants!$B$13),"")</f>
        <v/>
      </c>
      <c r="AC138" s="91" t="str">
        <f aca="false">IF($Z138=Constants!$B$7,IF(X138,P138*IF(R138, 1, Constants!$B$11)*IF(S138, 1, Constants!$B$12),Constants!$B$13),"")</f>
        <v/>
      </c>
      <c r="AD138" s="91" t="str">
        <f aca="false">IF($Z138=Constants!$B$7,AB138*AC138,"")</f>
        <v/>
      </c>
      <c r="AE138" s="91" t="str">
        <f aca="false">IF($Z138=Constants!$B$7,IF(Y138,T138,Constants!$B$13),"")</f>
        <v/>
      </c>
      <c r="AF138" s="91" t="str">
        <f aca="false">IF($Z138=Constants!$B$7,IF(Y138,P138*IF(U138, 1, Constants!$B$11)*IF(V138, 1, Constants!$B$12),Constants!$B$13),"")</f>
        <v/>
      </c>
      <c r="AG138" s="91" t="str">
        <f aca="false">IF($Z138=Constants!$B$7,AE138*AF138,"")</f>
        <v/>
      </c>
      <c r="AH138" s="91" t="str">
        <f aca="false">IF($Z138=Constants!$B$7,IF(AG138&gt;AD138,2,1),"")</f>
        <v/>
      </c>
      <c r="AI138" s="91" t="str">
        <f aca="false">IF($Z138=Constants!$B$7,IF(AH138=1,2,1),"")</f>
        <v/>
      </c>
      <c r="AJ138" s="91" t="str">
        <f aca="false">IF(ISBLANK($C138),"",IF($Z138&lt;&gt;Constants!$B$7,$Z138,IF(AH138=1,AD138,AG138)))</f>
        <v/>
      </c>
      <c r="AK138" s="91" t="str">
        <f aca="false">IF(ISBLANK($C138),"",IF($Z138=Constants!$B$7,IF(ISNUMBER(AJ138),RANK(AJ138,$AJ$8:$AJ$507),Constants!$B$14),$Z138))</f>
        <v/>
      </c>
      <c r="AL138" s="91" t="str">
        <f aca="false">IF(ISBLANK($C138),"",IF($Z138=Constants!$B$7,IF(AI138=1,AD138,AG138),""))</f>
        <v/>
      </c>
      <c r="AM138" s="91" t="str">
        <f aca="false">IF(ISBLANK($C138),"",IF($Z138=Constants!$B$7,RANK(AL138,$AL$8:$AL$507),$Z138))</f>
        <v/>
      </c>
      <c r="AN138" s="91" t="str">
        <f aca="false">IF(ISBLANK($C138),"",IF($Z138=Constants!$B$7,IF(ISNUMBER(AK138),COUNTIFS($AK$8:$AK$507,"&lt;"&amp;$AK138)+COUNTIFS($AK$8:$AK$507,$AK138,$AM$8:$AM$507,"&lt;"&amp;$AM138)+1,Constants!$B$14),$Z138))</f>
        <v/>
      </c>
      <c r="AO138" s="91" t="str">
        <f aca="false">IF(ISBLANK($C138),"",IF($Z138=Constants!$B$7,IF(ISNUMBER(AK138),AK138-AN138,Constants!$B$14),$Z138))</f>
        <v/>
      </c>
      <c r="AP138" s="92"/>
      <c r="AQ138" s="93" t="str">
        <f aca="false">IF(ISBLANK($C138),"",IF($Z138&lt;&gt;Constants!$B$7,"",AH138))</f>
        <v/>
      </c>
      <c r="AR138" s="94" t="str">
        <f aca="false">IF(ISBLANK($C138),"",IF($Z138&lt;&gt;Constants!$B$7,"",IF(AH138=1,AB138,AE138)))</f>
        <v/>
      </c>
      <c r="AS138" s="95" t="str">
        <f aca="false">IF(ISBLANK($C138),"",IF($Z138&lt;&gt;Constants!$B$7,"",IF(AH138=1,AC138,AF138)))</f>
        <v/>
      </c>
      <c r="AT138" s="96" t="str">
        <f aca="false">IF(ISBLANK($C138),"",IF($Z138&lt;&gt;Constants!$B$7,$Z138,AJ138))</f>
        <v/>
      </c>
      <c r="AU138" s="97" t="str">
        <f aca="false">IF(ISBLANK($C138),"",IF($Z138&lt;&gt;Constants!$B$7,$Z138,AA138))</f>
        <v/>
      </c>
      <c r="AV138" s="98" t="str">
        <f aca="false">IF(ISBLANK($C138),"",AO138)</f>
        <v/>
      </c>
      <c r="AW138" s="98" t="str">
        <f aca="false">IF(ISBLANK($C138),"",AN138)</f>
        <v/>
      </c>
      <c r="AX138" s="99" t="str">
        <f aca="false">IF(ISBLANK($C138),"",IFERROR(_xlfn.SWITCH(AW138,Constants!$B$4,COUNTA($C$8:$C$507)+2,Constants!$B$5,COUNTA($C$8:$C$507)+1,Constants!$B$6,COUNTA($C$8:$C$507)),AW138))</f>
        <v/>
      </c>
      <c r="AY138" s="5"/>
      <c r="AZ138" s="100" t="n">
        <f aca="false">IF(OR(ISNUMBER(AW138),AW138=Constants!$B$4,AW138=Constants!$B$6,AW138=Constants!$B$5),1,0)</f>
        <v>0</v>
      </c>
      <c r="BA138" s="100" t="n">
        <v>131</v>
      </c>
      <c r="BB138" s="100" t="str">
        <f aca="false">IF(ISBLANK($C138),"",IF(ISNUMBER(AX138),AX138+ROW($B138)/1000,""))</f>
        <v/>
      </c>
      <c r="BC138" s="100" t="str">
        <f aca="false">IF(ISNUMBER(BB138),RANK(BB138,$BB$8:$BB$507,1),"")</f>
        <v/>
      </c>
      <c r="BD138" s="100" t="str">
        <f aca="false">IF(ISBLANK($C138),"",$B138)</f>
        <v/>
      </c>
      <c r="BE138" s="100" t="str">
        <f aca="false">IF(ISBLANK($C138),"",$C138)</f>
        <v/>
      </c>
      <c r="BF138" s="100" t="str">
        <f aca="false">IF(ISBLANK($C138),"",$D138)</f>
        <v/>
      </c>
      <c r="BG138" s="101" t="str">
        <f aca="false">AU138</f>
        <v/>
      </c>
      <c r="BH138" s="102" t="str">
        <f aca="false">AT138</f>
        <v/>
      </c>
      <c r="BI138" s="100" t="str">
        <f aca="false">IF(ISBLANK($C138),"",AW138)</f>
        <v/>
      </c>
      <c r="BJ138" s="103" t="str">
        <f aca="false">IF($BA138&gt;$AZ$7,"",VLOOKUP($BA138,$BC$8:$BI$507,7,FALSE()))</f>
        <v/>
      </c>
      <c r="BK138" s="104" t="str">
        <f aca="false">IF($BA138&gt;$AZ$7,"",VLOOKUP($BA138,$BC$8:$BI$507,2,FALSE()))</f>
        <v/>
      </c>
      <c r="BL138" s="104" t="str">
        <f aca="false">IF($BA138&gt;$AZ$7,"",VLOOKUP($BA138,$BC$8:$BI$507,3,FALSE()))</f>
        <v/>
      </c>
      <c r="BM138" s="104" t="str">
        <f aca="false">IF($BA138&gt;$AZ$7,"",VLOOKUP($BA138,$BC$8:$BI$507,4,FALSE()))</f>
        <v/>
      </c>
      <c r="BN138" s="104" t="str">
        <f aca="false">IF($BA138&gt;$AZ$7,"",VLOOKUP($BA138,$BC$8:$BI$507,5,FALSE()))</f>
        <v/>
      </c>
      <c r="BO138" s="105" t="str">
        <f aca="false">IF($BA138&gt;$AZ$7,"",VLOOKUP($BA138,$BC$8:$BI$507,6,FALSE()))</f>
        <v/>
      </c>
      <c r="BP138" s="52"/>
    </row>
    <row r="139" customFormat="false" ht="15.75" hidden="false" customHeight="false" outlineLevel="0" collapsed="false">
      <c r="A139" s="5"/>
      <c r="B139" s="114"/>
      <c r="C139" s="115"/>
      <c r="D139" s="106"/>
      <c r="E139" s="117"/>
      <c r="F139" s="87"/>
      <c r="G139" s="88"/>
      <c r="H139" s="88"/>
      <c r="I139" s="87"/>
      <c r="J139" s="88"/>
      <c r="K139" s="88"/>
      <c r="L139" s="87"/>
      <c r="M139" s="117"/>
      <c r="N139" s="90"/>
      <c r="O139" s="91" t="str">
        <f aca="false">IF(ISBLANK($C139),"",IF(E139=Constants!$B$2, TRUE(), IF(E139=Constants!$B$3, FALSE(), TRUE())))</f>
        <v/>
      </c>
      <c r="P139" s="91" t="str">
        <f aca="false">IF(ISBLANK($C139),"",IF(F139=Constants!$B$16,Constants!$B$9,IF(F139=Constants!$B$17,Constants!$B$10,Constants!$B$8)))</f>
        <v/>
      </c>
      <c r="Q139" s="91" t="str">
        <f aca="false">IF(ISBLANK($C139),"",IF(ISNUMBER(G139),IF(G139&gt;=0,G139,""),""))</f>
        <v/>
      </c>
      <c r="R139" s="91" t="str">
        <f aca="false">IF(ISBLANK($C139),"",IF(H139=Constants!$B$2, TRUE(), IF(H139=Constants!$B$3, FALSE(), TRUE())))</f>
        <v/>
      </c>
      <c r="S139" s="91" t="str">
        <f aca="false">IF(ISBLANK($C139),"",IF(I139=Constants!$B$2, TRUE(), IF(I139=Constants!$B$3, FALSE(), TRUE())))</f>
        <v/>
      </c>
      <c r="T139" s="91" t="str">
        <f aca="false">IF(ISBLANK($C139),"",IF(ISNUMBER(J139),IF(J139&gt;=0,J139,""),""))</f>
        <v/>
      </c>
      <c r="U139" s="91" t="str">
        <f aca="false">IF(ISBLANK($C139),"",IF(K139=Constants!$B$2, TRUE(), IF(K139=Constants!$B$3, FALSE(), TRUE())))</f>
        <v/>
      </c>
      <c r="V139" s="91" t="str">
        <f aca="false">IF(ISBLANK($C139),"",IF(L139=Constants!$B$2, TRUE(), IF(L139=Constants!$B$3, FALSE(), TRUE())))</f>
        <v/>
      </c>
      <c r="W139" s="91" t="str">
        <f aca="false">IF(ISBLANK($C139),"",IF(M139=Constants!$B$2, TRUE(), IF(M139=Constants!$B$3, FALSE(), FALSE())))</f>
        <v/>
      </c>
      <c r="X139" s="91" t="str">
        <f aca="false">IF(ISBLANK($C139),"",AND(Q139&lt;&gt;"",O139))</f>
        <v/>
      </c>
      <c r="Y139" s="91" t="str">
        <f aca="false">IF(ISBLANK($C139),"",AND(T139&lt;&gt;"",O139))</f>
        <v/>
      </c>
      <c r="Z139" s="91" t="str">
        <f aca="false">IF(ISBLANK($C139),"",IF(W139,Constants!$B$4,IF(COUNTA(E139:L139)=0,Constants!$B$5,IF(NOT(O139),Constants!$B$6,IF(AND(NOT(X139),NOT(Y139)),Constants!$B$6,Constants!$B$7)))))</f>
        <v/>
      </c>
      <c r="AA139" s="91" t="str">
        <f aca="false">IF(ISBLANK($C139),"",IF($Z139&lt;&gt;Constants!$B$7,$Z139,Constants!$B$20))</f>
        <v/>
      </c>
      <c r="AB139" s="91" t="str">
        <f aca="false">IF($Z139=Constants!$B$7,IF(X139,Q139,Constants!$B$13),"")</f>
        <v/>
      </c>
      <c r="AC139" s="91" t="str">
        <f aca="false">IF($Z139=Constants!$B$7,IF(X139,P139*IF(R139, 1, Constants!$B$11)*IF(S139, 1, Constants!$B$12),Constants!$B$13),"")</f>
        <v/>
      </c>
      <c r="AD139" s="91" t="str">
        <f aca="false">IF($Z139=Constants!$B$7,AB139*AC139,"")</f>
        <v/>
      </c>
      <c r="AE139" s="91" t="str">
        <f aca="false">IF($Z139=Constants!$B$7,IF(Y139,T139,Constants!$B$13),"")</f>
        <v/>
      </c>
      <c r="AF139" s="91" t="str">
        <f aca="false">IF($Z139=Constants!$B$7,IF(Y139,P139*IF(U139, 1, Constants!$B$11)*IF(V139, 1, Constants!$B$12),Constants!$B$13),"")</f>
        <v/>
      </c>
      <c r="AG139" s="91" t="str">
        <f aca="false">IF($Z139=Constants!$B$7,AE139*AF139,"")</f>
        <v/>
      </c>
      <c r="AH139" s="91" t="str">
        <f aca="false">IF($Z139=Constants!$B$7,IF(AG139&gt;AD139,2,1),"")</f>
        <v/>
      </c>
      <c r="AI139" s="91" t="str">
        <f aca="false">IF($Z139=Constants!$B$7,IF(AH139=1,2,1),"")</f>
        <v/>
      </c>
      <c r="AJ139" s="91" t="str">
        <f aca="false">IF(ISBLANK($C139),"",IF($Z139&lt;&gt;Constants!$B$7,$Z139,IF(AH139=1,AD139,AG139)))</f>
        <v/>
      </c>
      <c r="AK139" s="91" t="str">
        <f aca="false">IF(ISBLANK($C139),"",IF($Z139=Constants!$B$7,IF(ISNUMBER(AJ139),RANK(AJ139,$AJ$8:$AJ$507),Constants!$B$14),$Z139))</f>
        <v/>
      </c>
      <c r="AL139" s="91" t="str">
        <f aca="false">IF(ISBLANK($C139),"",IF($Z139=Constants!$B$7,IF(AI139=1,AD139,AG139),""))</f>
        <v/>
      </c>
      <c r="AM139" s="91" t="str">
        <f aca="false">IF(ISBLANK($C139),"",IF($Z139=Constants!$B$7,RANK(AL139,$AL$8:$AL$507),$Z139))</f>
        <v/>
      </c>
      <c r="AN139" s="91" t="str">
        <f aca="false">IF(ISBLANK($C139),"",IF($Z139=Constants!$B$7,IF(ISNUMBER(AK139),COUNTIFS($AK$8:$AK$507,"&lt;"&amp;$AK139)+COUNTIFS($AK$8:$AK$507,$AK139,$AM$8:$AM$507,"&lt;"&amp;$AM139)+1,Constants!$B$14),$Z139))</f>
        <v/>
      </c>
      <c r="AO139" s="91" t="str">
        <f aca="false">IF(ISBLANK($C139),"",IF($Z139=Constants!$B$7,IF(ISNUMBER(AK139),AK139-AN139,Constants!$B$14),$Z139))</f>
        <v/>
      </c>
      <c r="AP139" s="92"/>
      <c r="AQ139" s="93" t="str">
        <f aca="false">IF(ISBLANK($C139),"",IF($Z139&lt;&gt;Constants!$B$7,"",AH139))</f>
        <v/>
      </c>
      <c r="AR139" s="94" t="str">
        <f aca="false">IF(ISBLANK($C139),"",IF($Z139&lt;&gt;Constants!$B$7,"",IF(AH139=1,AB139,AE139)))</f>
        <v/>
      </c>
      <c r="AS139" s="95" t="str">
        <f aca="false">IF(ISBLANK($C139),"",IF($Z139&lt;&gt;Constants!$B$7,"",IF(AH139=1,AC139,AF139)))</f>
        <v/>
      </c>
      <c r="AT139" s="96" t="str">
        <f aca="false">IF(ISBLANK($C139),"",IF($Z139&lt;&gt;Constants!$B$7,$Z139,AJ139))</f>
        <v/>
      </c>
      <c r="AU139" s="97" t="str">
        <f aca="false">IF(ISBLANK($C139),"",IF($Z139&lt;&gt;Constants!$B$7,$Z139,AA139))</f>
        <v/>
      </c>
      <c r="AV139" s="98" t="str">
        <f aca="false">IF(ISBLANK($C139),"",AO139)</f>
        <v/>
      </c>
      <c r="AW139" s="98" t="str">
        <f aca="false">IF(ISBLANK($C139),"",AN139)</f>
        <v/>
      </c>
      <c r="AX139" s="99" t="str">
        <f aca="false">IF(ISBLANK($C139),"",IFERROR(_xlfn.SWITCH(AW139,Constants!$B$4,COUNTA($C$8:$C$507)+2,Constants!$B$5,COUNTA($C$8:$C$507)+1,Constants!$B$6,COUNTA($C$8:$C$507)),AW139))</f>
        <v/>
      </c>
      <c r="AY139" s="5"/>
      <c r="AZ139" s="100" t="n">
        <f aca="false">IF(OR(ISNUMBER(AW139),AW139=Constants!$B$4,AW139=Constants!$B$6,AW139=Constants!$B$5),1,0)</f>
        <v>0</v>
      </c>
      <c r="BA139" s="100" t="n">
        <v>132</v>
      </c>
      <c r="BB139" s="100" t="str">
        <f aca="false">IF(ISBLANK($C139),"",IF(ISNUMBER(AX139),AX139+ROW($B139)/1000,""))</f>
        <v/>
      </c>
      <c r="BC139" s="100" t="str">
        <f aca="false">IF(ISNUMBER(BB139),RANK(BB139,$BB$8:$BB$507,1),"")</f>
        <v/>
      </c>
      <c r="BD139" s="100" t="str">
        <f aca="false">IF(ISBLANK($C139),"",$B139)</f>
        <v/>
      </c>
      <c r="BE139" s="100" t="str">
        <f aca="false">IF(ISBLANK($C139),"",$C139)</f>
        <v/>
      </c>
      <c r="BF139" s="100" t="str">
        <f aca="false">IF(ISBLANK($C139),"",$D139)</f>
        <v/>
      </c>
      <c r="BG139" s="101" t="str">
        <f aca="false">AU139</f>
        <v/>
      </c>
      <c r="BH139" s="102" t="str">
        <f aca="false">AT139</f>
        <v/>
      </c>
      <c r="BI139" s="100" t="str">
        <f aca="false">IF(ISBLANK($C139),"",AW139)</f>
        <v/>
      </c>
      <c r="BJ139" s="103" t="str">
        <f aca="false">IF($BA139&gt;$AZ$7,"",VLOOKUP($BA139,$BC$8:$BI$507,7,FALSE()))</f>
        <v/>
      </c>
      <c r="BK139" s="104" t="str">
        <f aca="false">IF($BA139&gt;$AZ$7,"",VLOOKUP($BA139,$BC$8:$BI$507,2,FALSE()))</f>
        <v/>
      </c>
      <c r="BL139" s="104" t="str">
        <f aca="false">IF($BA139&gt;$AZ$7,"",VLOOKUP($BA139,$BC$8:$BI$507,3,FALSE()))</f>
        <v/>
      </c>
      <c r="BM139" s="104" t="str">
        <f aca="false">IF($BA139&gt;$AZ$7,"",VLOOKUP($BA139,$BC$8:$BI$507,4,FALSE()))</f>
        <v/>
      </c>
      <c r="BN139" s="104" t="str">
        <f aca="false">IF($BA139&gt;$AZ$7,"",VLOOKUP($BA139,$BC$8:$BI$507,5,FALSE()))</f>
        <v/>
      </c>
      <c r="BO139" s="105" t="str">
        <f aca="false">IF($BA139&gt;$AZ$7,"",VLOOKUP($BA139,$BC$8:$BI$507,6,FALSE()))</f>
        <v/>
      </c>
      <c r="BP139" s="52"/>
    </row>
    <row r="140" customFormat="false" ht="15.75" hidden="false" customHeight="false" outlineLevel="0" collapsed="false">
      <c r="A140" s="5"/>
      <c r="B140" s="118"/>
      <c r="C140" s="54"/>
      <c r="D140" s="55"/>
      <c r="E140" s="79"/>
      <c r="F140" s="57"/>
      <c r="G140" s="58"/>
      <c r="H140" s="58"/>
      <c r="I140" s="57"/>
      <c r="J140" s="58"/>
      <c r="K140" s="58"/>
      <c r="L140" s="57"/>
      <c r="M140" s="79"/>
      <c r="N140" s="60"/>
      <c r="O140" s="62" t="str">
        <f aca="false">IF(ISBLANK($C140),"",IF(E140=Constants!$B$2, TRUE(), IF(E140=Constants!$B$3, FALSE(), TRUE())))</f>
        <v/>
      </c>
      <c r="P140" s="62" t="str">
        <f aca="false">IF(ISBLANK($C140),"",IF(F140=Constants!$B$16,Constants!$B$9,IF(F140=Constants!$B$17,Constants!$B$10,Constants!$B$8)))</f>
        <v/>
      </c>
      <c r="Q140" s="62" t="str">
        <f aca="false">IF(ISBLANK($C140),"",IF(ISNUMBER(G140),IF(G140&gt;=0,G140,""),""))</f>
        <v/>
      </c>
      <c r="R140" s="62" t="str">
        <f aca="false">IF(ISBLANK($C140),"",IF(H140=Constants!$B$2, TRUE(), IF(H140=Constants!$B$3, FALSE(), TRUE())))</f>
        <v/>
      </c>
      <c r="S140" s="62" t="str">
        <f aca="false">IF(ISBLANK($C140),"",IF(I140=Constants!$B$2, TRUE(), IF(I140=Constants!$B$3, FALSE(), TRUE())))</f>
        <v/>
      </c>
      <c r="T140" s="62" t="str">
        <f aca="false">IF(ISBLANK($C140),"",IF(ISNUMBER(J140),IF(J140&gt;=0,J140,""),""))</f>
        <v/>
      </c>
      <c r="U140" s="62" t="str">
        <f aca="false">IF(ISBLANK($C140),"",IF(K140=Constants!$B$2, TRUE(), IF(K140=Constants!$B$3, FALSE(), TRUE())))</f>
        <v/>
      </c>
      <c r="V140" s="62" t="str">
        <f aca="false">IF(ISBLANK($C140),"",IF(L140=Constants!$B$2, TRUE(), IF(L140=Constants!$B$3, FALSE(), TRUE())))</f>
        <v/>
      </c>
      <c r="W140" s="62" t="str">
        <f aca="false">IF(ISBLANK($C140),"",IF(M140=Constants!$B$2, TRUE(), IF(M140=Constants!$B$3, FALSE(), FALSE())))</f>
        <v/>
      </c>
      <c r="X140" s="62" t="str">
        <f aca="false">IF(ISBLANK($C140),"",AND(Q140&lt;&gt;"",O140))</f>
        <v/>
      </c>
      <c r="Y140" s="62" t="str">
        <f aca="false">IF(ISBLANK($C140),"",AND(T140&lt;&gt;"",O140))</f>
        <v/>
      </c>
      <c r="Z140" s="62" t="str">
        <f aca="false">IF(ISBLANK($C140),"",IF(W140,Constants!$B$4,IF(COUNTA(E140:L140)=0,Constants!$B$5,IF(NOT(O140),Constants!$B$6,IF(AND(NOT(X140),NOT(Y140)),Constants!$B$6,Constants!$B$7)))))</f>
        <v/>
      </c>
      <c r="AA140" s="62" t="str">
        <f aca="false">IF(ISBLANK($C140),"",IF($Z140&lt;&gt;Constants!$B$7,$Z140,Constants!$B$20))</f>
        <v/>
      </c>
      <c r="AB140" s="62" t="str">
        <f aca="false">IF($Z140=Constants!$B$7,IF(X140,Q140,Constants!$B$13),"")</f>
        <v/>
      </c>
      <c r="AC140" s="62" t="str">
        <f aca="false">IF($Z140=Constants!$B$7,IF(X140,P140*IF(R140, 1, Constants!$B$11)*IF(S140, 1, Constants!$B$12),Constants!$B$13),"")</f>
        <v/>
      </c>
      <c r="AD140" s="62" t="str">
        <f aca="false">IF($Z140=Constants!$B$7,AB140*AC140,"")</f>
        <v/>
      </c>
      <c r="AE140" s="62" t="str">
        <f aca="false">IF($Z140=Constants!$B$7,IF(Y140,T140,Constants!$B$13),"")</f>
        <v/>
      </c>
      <c r="AF140" s="62" t="str">
        <f aca="false">IF($Z140=Constants!$B$7,IF(Y140,P140*IF(U140, 1, Constants!$B$11)*IF(V140, 1, Constants!$B$12),Constants!$B$13),"")</f>
        <v/>
      </c>
      <c r="AG140" s="62" t="str">
        <f aca="false">IF($Z140=Constants!$B$7,AE140*AF140,"")</f>
        <v/>
      </c>
      <c r="AH140" s="62" t="str">
        <f aca="false">IF($Z140=Constants!$B$7,IF(AG140&gt;AD140,2,1),"")</f>
        <v/>
      </c>
      <c r="AI140" s="62" t="str">
        <f aca="false">IF($Z140=Constants!$B$7,IF(AH140=1,2,1),"")</f>
        <v/>
      </c>
      <c r="AJ140" s="62" t="str">
        <f aca="false">IF(ISBLANK($C140),"",IF($Z140&lt;&gt;Constants!$B$7,$Z140,IF(AH140=1,AD140,AG140)))</f>
        <v/>
      </c>
      <c r="AK140" s="62" t="str">
        <f aca="false">IF(ISBLANK($C140),"",IF($Z140=Constants!$B$7,IF(ISNUMBER(AJ140),RANK(AJ140,$AJ$8:$AJ$507),Constants!$B$14),$Z140))</f>
        <v/>
      </c>
      <c r="AL140" s="62" t="str">
        <f aca="false">IF(ISBLANK($C140),"",IF($Z140=Constants!$B$7,IF(AI140=1,AD140,AG140),""))</f>
        <v/>
      </c>
      <c r="AM140" s="62" t="str">
        <f aca="false">IF(ISBLANK($C140),"",IF($Z140=Constants!$B$7,RANK(AL140,$AL$8:$AL$507),$Z140))</f>
        <v/>
      </c>
      <c r="AN140" s="62" t="str">
        <f aca="false">IF(ISBLANK($C140),"",IF($Z140=Constants!$B$7,IF(ISNUMBER(AK140),COUNTIFS($AK$8:$AK$507,"&lt;"&amp;$AK140)+COUNTIFS($AK$8:$AK$507,$AK140,$AM$8:$AM$507,"&lt;"&amp;$AM140)+1,Constants!$B$14),$Z140))</f>
        <v/>
      </c>
      <c r="AO140" s="62" t="str">
        <f aca="false">IF(ISBLANK($C140),"",IF($Z140=Constants!$B$7,IF(ISNUMBER(AK140),AK140-AN140,Constants!$B$14),$Z140))</f>
        <v/>
      </c>
      <c r="AP140" s="64"/>
      <c r="AQ140" s="65" t="str">
        <f aca="false">IF(ISBLANK($C140),"",IF($Z140&lt;&gt;Constants!$B$7,"",AH140))</f>
        <v/>
      </c>
      <c r="AR140" s="80" t="str">
        <f aca="false">IF(ISBLANK($C140),"",IF($Z140&lt;&gt;Constants!$B$7,"",IF(AH140=1,AB140,AE140)))</f>
        <v/>
      </c>
      <c r="AS140" s="67" t="str">
        <f aca="false">IF(ISBLANK($C140),"",IF($Z140&lt;&gt;Constants!$B$7,"",IF(AH140=1,AC140,AF140)))</f>
        <v/>
      </c>
      <c r="AT140" s="68" t="str">
        <f aca="false">IF(ISBLANK($C140),"",IF($Z140&lt;&gt;Constants!$B$7,$Z140,AJ140))</f>
        <v/>
      </c>
      <c r="AU140" s="69" t="str">
        <f aca="false">IF(ISBLANK($C140),"",IF($Z140&lt;&gt;Constants!$B$7,$Z140,AA140))</f>
        <v/>
      </c>
      <c r="AV140" s="70" t="str">
        <f aca="false">IF(ISBLANK($C140),"",AO140)</f>
        <v/>
      </c>
      <c r="AW140" s="70" t="str">
        <f aca="false">IF(ISBLANK($C140),"",AN140)</f>
        <v/>
      </c>
      <c r="AX140" s="71" t="str">
        <f aca="false">IF(ISBLANK($C140),"",IFERROR(_xlfn.SWITCH(AW140,Constants!$B$4,COUNTA($C$8:$C$507)+2,Constants!$B$5,COUNTA($C$8:$C$507)+1,Constants!$B$6,COUNTA($C$8:$C$507)),AW140))</f>
        <v/>
      </c>
      <c r="AY140" s="5"/>
      <c r="AZ140" s="72" t="n">
        <f aca="false">IF(OR(ISNUMBER(AW140),AW140=Constants!$B$4,AW140=Constants!$B$6,AW140=Constants!$B$5),1,0)</f>
        <v>0</v>
      </c>
      <c r="BA140" s="72" t="n">
        <v>133</v>
      </c>
      <c r="BB140" s="72" t="str">
        <f aca="false">IF(ISBLANK($C140),"",IF(ISNUMBER(AX140),AX140+ROW($B140)/1000,""))</f>
        <v/>
      </c>
      <c r="BC140" s="72" t="str">
        <f aca="false">IF(ISNUMBER(BB140),RANK(BB140,$BB$8:$BB$507,1),"")</f>
        <v/>
      </c>
      <c r="BD140" s="72" t="str">
        <f aca="false">IF(ISBLANK($C140),"",$B140)</f>
        <v/>
      </c>
      <c r="BE140" s="72" t="str">
        <f aca="false">IF(ISBLANK($C140),"",$C140)</f>
        <v/>
      </c>
      <c r="BF140" s="72" t="str">
        <f aca="false">IF(ISBLANK($C140),"",$D140)</f>
        <v/>
      </c>
      <c r="BG140" s="73" t="str">
        <f aca="false">AU140</f>
        <v/>
      </c>
      <c r="BH140" s="74" t="str">
        <f aca="false">AT140</f>
        <v/>
      </c>
      <c r="BI140" s="72" t="str">
        <f aca="false">IF(ISBLANK($C140),"",AW140)</f>
        <v/>
      </c>
      <c r="BJ140" s="75" t="str">
        <f aca="false">IF($BA140&gt;$AZ$7,"",VLOOKUP($BA140,$BC$8:$BI$507,7,FALSE()))</f>
        <v/>
      </c>
      <c r="BK140" s="76" t="str">
        <f aca="false">IF($BA140&gt;$AZ$7,"",VLOOKUP($BA140,$BC$8:$BI$507,2,FALSE()))</f>
        <v/>
      </c>
      <c r="BL140" s="76" t="str">
        <f aca="false">IF($BA140&gt;$AZ$7,"",VLOOKUP($BA140,$BC$8:$BI$507,3,FALSE()))</f>
        <v/>
      </c>
      <c r="BM140" s="76" t="str">
        <f aca="false">IF($BA140&gt;$AZ$7,"",VLOOKUP($BA140,$BC$8:$BI$507,4,FALSE()))</f>
        <v/>
      </c>
      <c r="BN140" s="76" t="str">
        <f aca="false">IF($BA140&gt;$AZ$7,"",VLOOKUP($BA140,$BC$8:$BI$507,5,FALSE()))</f>
        <v/>
      </c>
      <c r="BO140" s="77" t="str">
        <f aca="false">IF($BA140&gt;$AZ$7,"",VLOOKUP($BA140,$BC$8:$BI$507,6,FALSE()))</f>
        <v/>
      </c>
      <c r="BP140" s="52"/>
    </row>
    <row r="141" customFormat="false" ht="15.75" hidden="false" customHeight="false" outlineLevel="0" collapsed="false">
      <c r="A141" s="5"/>
      <c r="B141" s="118"/>
      <c r="C141" s="54"/>
      <c r="D141" s="55"/>
      <c r="E141" s="79"/>
      <c r="F141" s="57"/>
      <c r="G141" s="58"/>
      <c r="H141" s="58"/>
      <c r="I141" s="57"/>
      <c r="J141" s="58"/>
      <c r="K141" s="58"/>
      <c r="L141" s="57"/>
      <c r="M141" s="79"/>
      <c r="N141" s="60"/>
      <c r="O141" s="62" t="str">
        <f aca="false">IF(ISBLANK($C141),"",IF(E141=Constants!$B$2, TRUE(), IF(E141=Constants!$B$3, FALSE(), TRUE())))</f>
        <v/>
      </c>
      <c r="P141" s="62" t="str">
        <f aca="false">IF(ISBLANK($C141),"",IF(F141=Constants!$B$16,Constants!$B$9,IF(F141=Constants!$B$17,Constants!$B$10,Constants!$B$8)))</f>
        <v/>
      </c>
      <c r="Q141" s="62" t="str">
        <f aca="false">IF(ISBLANK($C141),"",IF(ISNUMBER(G141),IF(G141&gt;=0,G141,""),""))</f>
        <v/>
      </c>
      <c r="R141" s="62" t="str">
        <f aca="false">IF(ISBLANK($C141),"",IF(H141=Constants!$B$2, TRUE(), IF(H141=Constants!$B$3, FALSE(), TRUE())))</f>
        <v/>
      </c>
      <c r="S141" s="62" t="str">
        <f aca="false">IF(ISBLANK($C141),"",IF(I141=Constants!$B$2, TRUE(), IF(I141=Constants!$B$3, FALSE(), TRUE())))</f>
        <v/>
      </c>
      <c r="T141" s="62" t="str">
        <f aca="false">IF(ISBLANK($C141),"",IF(ISNUMBER(J141),IF(J141&gt;=0,J141,""),""))</f>
        <v/>
      </c>
      <c r="U141" s="62" t="str">
        <f aca="false">IF(ISBLANK($C141),"",IF(K141=Constants!$B$2, TRUE(), IF(K141=Constants!$B$3, FALSE(), TRUE())))</f>
        <v/>
      </c>
      <c r="V141" s="62" t="str">
        <f aca="false">IF(ISBLANK($C141),"",IF(L141=Constants!$B$2, TRUE(), IF(L141=Constants!$B$3, FALSE(), TRUE())))</f>
        <v/>
      </c>
      <c r="W141" s="62" t="str">
        <f aca="false">IF(ISBLANK($C141),"",IF(M141=Constants!$B$2, TRUE(), IF(M141=Constants!$B$3, FALSE(), FALSE())))</f>
        <v/>
      </c>
      <c r="X141" s="62" t="str">
        <f aca="false">IF(ISBLANK($C141),"",AND(Q141&lt;&gt;"",O141))</f>
        <v/>
      </c>
      <c r="Y141" s="62" t="str">
        <f aca="false">IF(ISBLANK($C141),"",AND(T141&lt;&gt;"",O141))</f>
        <v/>
      </c>
      <c r="Z141" s="62" t="str">
        <f aca="false">IF(ISBLANK($C141),"",IF(W141,Constants!$B$4,IF(COUNTA(E141:L141)=0,Constants!$B$5,IF(NOT(O141),Constants!$B$6,IF(AND(NOT(X141),NOT(Y141)),Constants!$B$6,Constants!$B$7)))))</f>
        <v/>
      </c>
      <c r="AA141" s="62" t="str">
        <f aca="false">IF(ISBLANK($C141),"",IF($Z141&lt;&gt;Constants!$B$7,$Z141,Constants!$B$20))</f>
        <v/>
      </c>
      <c r="AB141" s="62" t="str">
        <f aca="false">IF($Z141=Constants!$B$7,IF(X141,Q141,Constants!$B$13),"")</f>
        <v/>
      </c>
      <c r="AC141" s="62" t="str">
        <f aca="false">IF($Z141=Constants!$B$7,IF(X141,P141*IF(R141, 1, Constants!$B$11)*IF(S141, 1, Constants!$B$12),Constants!$B$13),"")</f>
        <v/>
      </c>
      <c r="AD141" s="62" t="str">
        <f aca="false">IF($Z141=Constants!$B$7,AB141*AC141,"")</f>
        <v/>
      </c>
      <c r="AE141" s="62" t="str">
        <f aca="false">IF($Z141=Constants!$B$7,IF(Y141,T141,Constants!$B$13),"")</f>
        <v/>
      </c>
      <c r="AF141" s="62" t="str">
        <f aca="false">IF($Z141=Constants!$B$7,IF(Y141,P141*IF(U141, 1, Constants!$B$11)*IF(V141, 1, Constants!$B$12),Constants!$B$13),"")</f>
        <v/>
      </c>
      <c r="AG141" s="62" t="str">
        <f aca="false">IF($Z141=Constants!$B$7,AE141*AF141,"")</f>
        <v/>
      </c>
      <c r="AH141" s="62" t="str">
        <f aca="false">IF($Z141=Constants!$B$7,IF(AG141&gt;AD141,2,1),"")</f>
        <v/>
      </c>
      <c r="AI141" s="62" t="str">
        <f aca="false">IF($Z141=Constants!$B$7,IF(AH141=1,2,1),"")</f>
        <v/>
      </c>
      <c r="AJ141" s="62" t="str">
        <f aca="false">IF(ISBLANK($C141),"",IF($Z141&lt;&gt;Constants!$B$7,$Z141,IF(AH141=1,AD141,AG141)))</f>
        <v/>
      </c>
      <c r="AK141" s="62" t="str">
        <f aca="false">IF(ISBLANK($C141),"",IF($Z141=Constants!$B$7,IF(ISNUMBER(AJ141),RANK(AJ141,$AJ$8:$AJ$507),Constants!$B$14),$Z141))</f>
        <v/>
      </c>
      <c r="AL141" s="62" t="str">
        <f aca="false">IF(ISBLANK($C141),"",IF($Z141=Constants!$B$7,IF(AI141=1,AD141,AG141),""))</f>
        <v/>
      </c>
      <c r="AM141" s="62" t="str">
        <f aca="false">IF(ISBLANK($C141),"",IF($Z141=Constants!$B$7,RANK(AL141,$AL$8:$AL$507),$Z141))</f>
        <v/>
      </c>
      <c r="AN141" s="62" t="str">
        <f aca="false">IF(ISBLANK($C141),"",IF($Z141=Constants!$B$7,IF(ISNUMBER(AK141),COUNTIFS($AK$8:$AK$507,"&lt;"&amp;$AK141)+COUNTIFS($AK$8:$AK$507,$AK141,$AM$8:$AM$507,"&lt;"&amp;$AM141)+1,Constants!$B$14),$Z141))</f>
        <v/>
      </c>
      <c r="AO141" s="62" t="str">
        <f aca="false">IF(ISBLANK($C141),"",IF($Z141=Constants!$B$7,IF(ISNUMBER(AK141),AK141-AN141,Constants!$B$14),$Z141))</f>
        <v/>
      </c>
      <c r="AP141" s="64"/>
      <c r="AQ141" s="65" t="str">
        <f aca="false">IF(ISBLANK($C141),"",IF($Z141&lt;&gt;Constants!$B$7,"",AH141))</f>
        <v/>
      </c>
      <c r="AR141" s="80" t="str">
        <f aca="false">IF(ISBLANK($C141),"",IF($Z141&lt;&gt;Constants!$B$7,"",IF(AH141=1,AB141,AE141)))</f>
        <v/>
      </c>
      <c r="AS141" s="67" t="str">
        <f aca="false">IF(ISBLANK($C141),"",IF($Z141&lt;&gt;Constants!$B$7,"",IF(AH141=1,AC141,AF141)))</f>
        <v/>
      </c>
      <c r="AT141" s="68" t="str">
        <f aca="false">IF(ISBLANK($C141),"",IF($Z141&lt;&gt;Constants!$B$7,$Z141,AJ141))</f>
        <v/>
      </c>
      <c r="AU141" s="69" t="str">
        <f aca="false">IF(ISBLANK($C141),"",IF($Z141&lt;&gt;Constants!$B$7,$Z141,AA141))</f>
        <v/>
      </c>
      <c r="AV141" s="70" t="str">
        <f aca="false">IF(ISBLANK($C141),"",AO141)</f>
        <v/>
      </c>
      <c r="AW141" s="70" t="str">
        <f aca="false">IF(ISBLANK($C141),"",AN141)</f>
        <v/>
      </c>
      <c r="AX141" s="71" t="str">
        <f aca="false">IF(ISBLANK($C141),"",IFERROR(_xlfn.SWITCH(AW141,Constants!$B$4,COUNTA($C$8:$C$507)+2,Constants!$B$5,COUNTA($C$8:$C$507)+1,Constants!$B$6,COUNTA($C$8:$C$507)),AW141))</f>
        <v/>
      </c>
      <c r="AY141" s="5"/>
      <c r="AZ141" s="72" t="n">
        <f aca="false">IF(OR(ISNUMBER(AW141),AW141=Constants!$B$4,AW141=Constants!$B$6,AW141=Constants!$B$5),1,0)</f>
        <v>0</v>
      </c>
      <c r="BA141" s="72" t="n">
        <v>134</v>
      </c>
      <c r="BB141" s="72" t="str">
        <f aca="false">IF(ISBLANK($C141),"",IF(ISNUMBER(AX141),AX141+ROW($B141)/1000,""))</f>
        <v/>
      </c>
      <c r="BC141" s="72" t="str">
        <f aca="false">IF(ISNUMBER(BB141),RANK(BB141,$BB$8:$BB$507,1),"")</f>
        <v/>
      </c>
      <c r="BD141" s="72" t="str">
        <f aca="false">IF(ISBLANK($C141),"",$B141)</f>
        <v/>
      </c>
      <c r="BE141" s="72" t="str">
        <f aca="false">IF(ISBLANK($C141),"",$C141)</f>
        <v/>
      </c>
      <c r="BF141" s="72" t="str">
        <f aca="false">IF(ISBLANK($C141),"",$D141)</f>
        <v/>
      </c>
      <c r="BG141" s="73" t="str">
        <f aca="false">AU141</f>
        <v/>
      </c>
      <c r="BH141" s="74" t="str">
        <f aca="false">AT141</f>
        <v/>
      </c>
      <c r="BI141" s="72" t="str">
        <f aca="false">IF(ISBLANK($C141),"",AW141)</f>
        <v/>
      </c>
      <c r="BJ141" s="75" t="str">
        <f aca="false">IF($BA141&gt;$AZ$7,"",VLOOKUP($BA141,$BC$8:$BI$507,7,FALSE()))</f>
        <v/>
      </c>
      <c r="BK141" s="76" t="str">
        <f aca="false">IF($BA141&gt;$AZ$7,"",VLOOKUP($BA141,$BC$8:$BI$507,2,FALSE()))</f>
        <v/>
      </c>
      <c r="BL141" s="76" t="str">
        <f aca="false">IF($BA141&gt;$AZ$7,"",VLOOKUP($BA141,$BC$8:$BI$507,3,FALSE()))</f>
        <v/>
      </c>
      <c r="BM141" s="76" t="str">
        <f aca="false">IF($BA141&gt;$AZ$7,"",VLOOKUP($BA141,$BC$8:$BI$507,4,FALSE()))</f>
        <v/>
      </c>
      <c r="BN141" s="76" t="str">
        <f aca="false">IF($BA141&gt;$AZ$7,"",VLOOKUP($BA141,$BC$8:$BI$507,5,FALSE()))</f>
        <v/>
      </c>
      <c r="BO141" s="77" t="str">
        <f aca="false">IF($BA141&gt;$AZ$7,"",VLOOKUP($BA141,$BC$8:$BI$507,6,FALSE()))</f>
        <v/>
      </c>
      <c r="BP141" s="52"/>
    </row>
    <row r="142" customFormat="false" ht="15.75" hidden="false" customHeight="false" outlineLevel="0" collapsed="false">
      <c r="A142" s="5"/>
      <c r="B142" s="118"/>
      <c r="C142" s="54"/>
      <c r="D142" s="55"/>
      <c r="E142" s="79"/>
      <c r="F142" s="57"/>
      <c r="G142" s="58"/>
      <c r="H142" s="58"/>
      <c r="I142" s="57"/>
      <c r="J142" s="58"/>
      <c r="K142" s="58"/>
      <c r="L142" s="57"/>
      <c r="M142" s="79"/>
      <c r="N142" s="60"/>
      <c r="O142" s="62" t="str">
        <f aca="false">IF(ISBLANK($C142),"",IF(E142=Constants!$B$2, TRUE(), IF(E142=Constants!$B$3, FALSE(), TRUE())))</f>
        <v/>
      </c>
      <c r="P142" s="62" t="str">
        <f aca="false">IF(ISBLANK($C142),"",IF(F142=Constants!$B$16,Constants!$B$9,IF(F142=Constants!$B$17,Constants!$B$10,Constants!$B$8)))</f>
        <v/>
      </c>
      <c r="Q142" s="62" t="str">
        <f aca="false">IF(ISBLANK($C142),"",IF(ISNUMBER(G142),IF(G142&gt;=0,G142,""),""))</f>
        <v/>
      </c>
      <c r="R142" s="62" t="str">
        <f aca="false">IF(ISBLANK($C142),"",IF(H142=Constants!$B$2, TRUE(), IF(H142=Constants!$B$3, FALSE(), TRUE())))</f>
        <v/>
      </c>
      <c r="S142" s="62" t="str">
        <f aca="false">IF(ISBLANK($C142),"",IF(I142=Constants!$B$2, TRUE(), IF(I142=Constants!$B$3, FALSE(), TRUE())))</f>
        <v/>
      </c>
      <c r="T142" s="62" t="str">
        <f aca="false">IF(ISBLANK($C142),"",IF(ISNUMBER(J142),IF(J142&gt;=0,J142,""),""))</f>
        <v/>
      </c>
      <c r="U142" s="62" t="str">
        <f aca="false">IF(ISBLANK($C142),"",IF(K142=Constants!$B$2, TRUE(), IF(K142=Constants!$B$3, FALSE(), TRUE())))</f>
        <v/>
      </c>
      <c r="V142" s="62" t="str">
        <f aca="false">IF(ISBLANK($C142),"",IF(L142=Constants!$B$2, TRUE(), IF(L142=Constants!$B$3, FALSE(), TRUE())))</f>
        <v/>
      </c>
      <c r="W142" s="62" t="str">
        <f aca="false">IF(ISBLANK($C142),"",IF(M142=Constants!$B$2, TRUE(), IF(M142=Constants!$B$3, FALSE(), FALSE())))</f>
        <v/>
      </c>
      <c r="X142" s="62" t="str">
        <f aca="false">IF(ISBLANK($C142),"",AND(Q142&lt;&gt;"",O142))</f>
        <v/>
      </c>
      <c r="Y142" s="62" t="str">
        <f aca="false">IF(ISBLANK($C142),"",AND(T142&lt;&gt;"",O142))</f>
        <v/>
      </c>
      <c r="Z142" s="62" t="str">
        <f aca="false">IF(ISBLANK($C142),"",IF(W142,Constants!$B$4,IF(COUNTA(E142:L142)=0,Constants!$B$5,IF(NOT(O142),Constants!$B$6,IF(AND(NOT(X142),NOT(Y142)),Constants!$B$6,Constants!$B$7)))))</f>
        <v/>
      </c>
      <c r="AA142" s="62" t="str">
        <f aca="false">IF(ISBLANK($C142),"",IF($Z142&lt;&gt;Constants!$B$7,$Z142,Constants!$B$20))</f>
        <v/>
      </c>
      <c r="AB142" s="62" t="str">
        <f aca="false">IF($Z142=Constants!$B$7,IF(X142,Q142,Constants!$B$13),"")</f>
        <v/>
      </c>
      <c r="AC142" s="62" t="str">
        <f aca="false">IF($Z142=Constants!$B$7,IF(X142,P142*IF(R142, 1, Constants!$B$11)*IF(S142, 1, Constants!$B$12),Constants!$B$13),"")</f>
        <v/>
      </c>
      <c r="AD142" s="62" t="str">
        <f aca="false">IF($Z142=Constants!$B$7,AB142*AC142,"")</f>
        <v/>
      </c>
      <c r="AE142" s="62" t="str">
        <f aca="false">IF($Z142=Constants!$B$7,IF(Y142,T142,Constants!$B$13),"")</f>
        <v/>
      </c>
      <c r="AF142" s="62" t="str">
        <f aca="false">IF($Z142=Constants!$B$7,IF(Y142,P142*IF(U142, 1, Constants!$B$11)*IF(V142, 1, Constants!$B$12),Constants!$B$13),"")</f>
        <v/>
      </c>
      <c r="AG142" s="62" t="str">
        <f aca="false">IF($Z142=Constants!$B$7,AE142*AF142,"")</f>
        <v/>
      </c>
      <c r="AH142" s="62" t="str">
        <f aca="false">IF($Z142=Constants!$B$7,IF(AG142&gt;AD142,2,1),"")</f>
        <v/>
      </c>
      <c r="AI142" s="62" t="str">
        <f aca="false">IF($Z142=Constants!$B$7,IF(AH142=1,2,1),"")</f>
        <v/>
      </c>
      <c r="AJ142" s="62" t="str">
        <f aca="false">IF(ISBLANK($C142),"",IF($Z142&lt;&gt;Constants!$B$7,$Z142,IF(AH142=1,AD142,AG142)))</f>
        <v/>
      </c>
      <c r="AK142" s="62" t="str">
        <f aca="false">IF(ISBLANK($C142),"",IF($Z142=Constants!$B$7,IF(ISNUMBER(AJ142),RANK(AJ142,$AJ$8:$AJ$507),Constants!$B$14),$Z142))</f>
        <v/>
      </c>
      <c r="AL142" s="62" t="str">
        <f aca="false">IF(ISBLANK($C142),"",IF($Z142=Constants!$B$7,IF(AI142=1,AD142,AG142),""))</f>
        <v/>
      </c>
      <c r="AM142" s="62" t="str">
        <f aca="false">IF(ISBLANK($C142),"",IF($Z142=Constants!$B$7,RANK(AL142,$AL$8:$AL$507),$Z142))</f>
        <v/>
      </c>
      <c r="AN142" s="62" t="str">
        <f aca="false">IF(ISBLANK($C142),"",IF($Z142=Constants!$B$7,IF(ISNUMBER(AK142),COUNTIFS($AK$8:$AK$507,"&lt;"&amp;$AK142)+COUNTIFS($AK$8:$AK$507,$AK142,$AM$8:$AM$507,"&lt;"&amp;$AM142)+1,Constants!$B$14),$Z142))</f>
        <v/>
      </c>
      <c r="AO142" s="62" t="str">
        <f aca="false">IF(ISBLANK($C142),"",IF($Z142=Constants!$B$7,IF(ISNUMBER(AK142),AK142-AN142,Constants!$B$14),$Z142))</f>
        <v/>
      </c>
      <c r="AP142" s="64"/>
      <c r="AQ142" s="65" t="str">
        <f aca="false">IF(ISBLANK($C142),"",IF($Z142&lt;&gt;Constants!$B$7,"",AH142))</f>
        <v/>
      </c>
      <c r="AR142" s="80" t="str">
        <f aca="false">IF(ISBLANK($C142),"",IF($Z142&lt;&gt;Constants!$B$7,"",IF(AH142=1,AB142,AE142)))</f>
        <v/>
      </c>
      <c r="AS142" s="67" t="str">
        <f aca="false">IF(ISBLANK($C142),"",IF($Z142&lt;&gt;Constants!$B$7,"",IF(AH142=1,AC142,AF142)))</f>
        <v/>
      </c>
      <c r="AT142" s="68" t="str">
        <f aca="false">IF(ISBLANK($C142),"",IF($Z142&lt;&gt;Constants!$B$7,$Z142,AJ142))</f>
        <v/>
      </c>
      <c r="AU142" s="69" t="str">
        <f aca="false">IF(ISBLANK($C142),"",IF($Z142&lt;&gt;Constants!$B$7,$Z142,AA142))</f>
        <v/>
      </c>
      <c r="AV142" s="70" t="str">
        <f aca="false">IF(ISBLANK($C142),"",AO142)</f>
        <v/>
      </c>
      <c r="AW142" s="70" t="str">
        <f aca="false">IF(ISBLANK($C142),"",AN142)</f>
        <v/>
      </c>
      <c r="AX142" s="71" t="str">
        <f aca="false">IF(ISBLANK($C142),"",IFERROR(_xlfn.SWITCH(AW142,Constants!$B$4,COUNTA($C$8:$C$507)+2,Constants!$B$5,COUNTA($C$8:$C$507)+1,Constants!$B$6,COUNTA($C$8:$C$507)),AW142))</f>
        <v/>
      </c>
      <c r="AY142" s="5"/>
      <c r="AZ142" s="72" t="n">
        <f aca="false">IF(OR(ISNUMBER(AW142),AW142=Constants!$B$4,AW142=Constants!$B$6,AW142=Constants!$B$5),1,0)</f>
        <v>0</v>
      </c>
      <c r="BA142" s="72" t="n">
        <v>135</v>
      </c>
      <c r="BB142" s="72" t="str">
        <f aca="false">IF(ISBLANK($C142),"",IF(ISNUMBER(AX142),AX142+ROW($B142)/1000,""))</f>
        <v/>
      </c>
      <c r="BC142" s="72" t="str">
        <f aca="false">IF(ISNUMBER(BB142),RANK(BB142,$BB$8:$BB$507,1),"")</f>
        <v/>
      </c>
      <c r="BD142" s="72" t="str">
        <f aca="false">IF(ISBLANK($C142),"",$B142)</f>
        <v/>
      </c>
      <c r="BE142" s="72" t="str">
        <f aca="false">IF(ISBLANK($C142),"",$C142)</f>
        <v/>
      </c>
      <c r="BF142" s="72" t="str">
        <f aca="false">IF(ISBLANK($C142),"",$D142)</f>
        <v/>
      </c>
      <c r="BG142" s="73" t="str">
        <f aca="false">AU142</f>
        <v/>
      </c>
      <c r="BH142" s="74" t="str">
        <f aca="false">AT142</f>
        <v/>
      </c>
      <c r="BI142" s="72" t="str">
        <f aca="false">IF(ISBLANK($C142),"",AW142)</f>
        <v/>
      </c>
      <c r="BJ142" s="75" t="str">
        <f aca="false">IF($BA142&gt;$AZ$7,"",VLOOKUP($BA142,$BC$8:$BI$507,7,FALSE()))</f>
        <v/>
      </c>
      <c r="BK142" s="76" t="str">
        <f aca="false">IF($BA142&gt;$AZ$7,"",VLOOKUP($BA142,$BC$8:$BI$507,2,FALSE()))</f>
        <v/>
      </c>
      <c r="BL142" s="76" t="str">
        <f aca="false">IF($BA142&gt;$AZ$7,"",VLOOKUP($BA142,$BC$8:$BI$507,3,FALSE()))</f>
        <v/>
      </c>
      <c r="BM142" s="76" t="str">
        <f aca="false">IF($BA142&gt;$AZ$7,"",VLOOKUP($BA142,$BC$8:$BI$507,4,FALSE()))</f>
        <v/>
      </c>
      <c r="BN142" s="76" t="str">
        <f aca="false">IF($BA142&gt;$AZ$7,"",VLOOKUP($BA142,$BC$8:$BI$507,5,FALSE()))</f>
        <v/>
      </c>
      <c r="BO142" s="77" t="str">
        <f aca="false">IF($BA142&gt;$AZ$7,"",VLOOKUP($BA142,$BC$8:$BI$507,6,FALSE()))</f>
        <v/>
      </c>
      <c r="BP142" s="52"/>
    </row>
    <row r="143" customFormat="false" ht="15.75" hidden="false" customHeight="false" outlineLevel="0" collapsed="false">
      <c r="A143" s="5"/>
      <c r="B143" s="114"/>
      <c r="C143" s="115"/>
      <c r="D143" s="106"/>
      <c r="E143" s="117"/>
      <c r="F143" s="87"/>
      <c r="G143" s="88"/>
      <c r="H143" s="88"/>
      <c r="I143" s="87"/>
      <c r="J143" s="88"/>
      <c r="K143" s="88"/>
      <c r="L143" s="87"/>
      <c r="M143" s="117"/>
      <c r="N143" s="90"/>
      <c r="O143" s="91" t="str">
        <f aca="false">IF(ISBLANK($C143),"",IF(E143=Constants!$B$2, TRUE(), IF(E143=Constants!$B$3, FALSE(), TRUE())))</f>
        <v/>
      </c>
      <c r="P143" s="91" t="str">
        <f aca="false">IF(ISBLANK($C143),"",IF(F143=Constants!$B$16,Constants!$B$9,IF(F143=Constants!$B$17,Constants!$B$10,Constants!$B$8)))</f>
        <v/>
      </c>
      <c r="Q143" s="91" t="str">
        <f aca="false">IF(ISBLANK($C143),"",IF(ISNUMBER(G143),IF(G143&gt;=0,G143,""),""))</f>
        <v/>
      </c>
      <c r="R143" s="91" t="str">
        <f aca="false">IF(ISBLANK($C143),"",IF(H143=Constants!$B$2, TRUE(), IF(H143=Constants!$B$3, FALSE(), TRUE())))</f>
        <v/>
      </c>
      <c r="S143" s="91" t="str">
        <f aca="false">IF(ISBLANK($C143),"",IF(I143=Constants!$B$2, TRUE(), IF(I143=Constants!$B$3, FALSE(), TRUE())))</f>
        <v/>
      </c>
      <c r="T143" s="91" t="str">
        <f aca="false">IF(ISBLANK($C143),"",IF(ISNUMBER(J143),IF(J143&gt;=0,J143,""),""))</f>
        <v/>
      </c>
      <c r="U143" s="91" t="str">
        <f aca="false">IF(ISBLANK($C143),"",IF(K143=Constants!$B$2, TRUE(), IF(K143=Constants!$B$3, FALSE(), TRUE())))</f>
        <v/>
      </c>
      <c r="V143" s="91" t="str">
        <f aca="false">IF(ISBLANK($C143),"",IF(L143=Constants!$B$2, TRUE(), IF(L143=Constants!$B$3, FALSE(), TRUE())))</f>
        <v/>
      </c>
      <c r="W143" s="91" t="str">
        <f aca="false">IF(ISBLANK($C143),"",IF(M143=Constants!$B$2, TRUE(), IF(M143=Constants!$B$3, FALSE(), FALSE())))</f>
        <v/>
      </c>
      <c r="X143" s="91" t="str">
        <f aca="false">IF(ISBLANK($C143),"",AND(Q143&lt;&gt;"",O143))</f>
        <v/>
      </c>
      <c r="Y143" s="91" t="str">
        <f aca="false">IF(ISBLANK($C143),"",AND(T143&lt;&gt;"",O143))</f>
        <v/>
      </c>
      <c r="Z143" s="91" t="str">
        <f aca="false">IF(ISBLANK($C143),"",IF(W143,Constants!$B$4,IF(COUNTA(E143:L143)=0,Constants!$B$5,IF(NOT(O143),Constants!$B$6,IF(AND(NOT(X143),NOT(Y143)),Constants!$B$6,Constants!$B$7)))))</f>
        <v/>
      </c>
      <c r="AA143" s="91" t="str">
        <f aca="false">IF(ISBLANK($C143),"",IF($Z143&lt;&gt;Constants!$B$7,$Z143,Constants!$B$20))</f>
        <v/>
      </c>
      <c r="AB143" s="91" t="str">
        <f aca="false">IF($Z143=Constants!$B$7,IF(X143,Q143,Constants!$B$13),"")</f>
        <v/>
      </c>
      <c r="AC143" s="91" t="str">
        <f aca="false">IF($Z143=Constants!$B$7,IF(X143,P143*IF(R143, 1, Constants!$B$11)*IF(S143, 1, Constants!$B$12),Constants!$B$13),"")</f>
        <v/>
      </c>
      <c r="AD143" s="91" t="str">
        <f aca="false">IF($Z143=Constants!$B$7,AB143*AC143,"")</f>
        <v/>
      </c>
      <c r="AE143" s="91" t="str">
        <f aca="false">IF($Z143=Constants!$B$7,IF(Y143,T143,Constants!$B$13),"")</f>
        <v/>
      </c>
      <c r="AF143" s="91" t="str">
        <f aca="false">IF($Z143=Constants!$B$7,IF(Y143,P143*IF(U143, 1, Constants!$B$11)*IF(V143, 1, Constants!$B$12),Constants!$B$13),"")</f>
        <v/>
      </c>
      <c r="AG143" s="91" t="str">
        <f aca="false">IF($Z143=Constants!$B$7,AE143*AF143,"")</f>
        <v/>
      </c>
      <c r="AH143" s="91" t="str">
        <f aca="false">IF($Z143=Constants!$B$7,IF(AG143&gt;AD143,2,1),"")</f>
        <v/>
      </c>
      <c r="AI143" s="91" t="str">
        <f aca="false">IF($Z143=Constants!$B$7,IF(AH143=1,2,1),"")</f>
        <v/>
      </c>
      <c r="AJ143" s="91" t="str">
        <f aca="false">IF(ISBLANK($C143),"",IF($Z143&lt;&gt;Constants!$B$7,$Z143,IF(AH143=1,AD143,AG143)))</f>
        <v/>
      </c>
      <c r="AK143" s="91" t="str">
        <f aca="false">IF(ISBLANK($C143),"",IF($Z143=Constants!$B$7,IF(ISNUMBER(AJ143),RANK(AJ143,$AJ$8:$AJ$507),Constants!$B$14),$Z143))</f>
        <v/>
      </c>
      <c r="AL143" s="91" t="str">
        <f aca="false">IF(ISBLANK($C143),"",IF($Z143=Constants!$B$7,IF(AI143=1,AD143,AG143),""))</f>
        <v/>
      </c>
      <c r="AM143" s="91" t="str">
        <f aca="false">IF(ISBLANK($C143),"",IF($Z143=Constants!$B$7,RANK(AL143,$AL$8:$AL$507),$Z143))</f>
        <v/>
      </c>
      <c r="AN143" s="91" t="str">
        <f aca="false">IF(ISBLANK($C143),"",IF($Z143=Constants!$B$7,IF(ISNUMBER(AK143),COUNTIFS($AK$8:$AK$507,"&lt;"&amp;$AK143)+COUNTIFS($AK$8:$AK$507,$AK143,$AM$8:$AM$507,"&lt;"&amp;$AM143)+1,Constants!$B$14),$Z143))</f>
        <v/>
      </c>
      <c r="AO143" s="91" t="str">
        <f aca="false">IF(ISBLANK($C143),"",IF($Z143=Constants!$B$7,IF(ISNUMBER(AK143),AK143-AN143,Constants!$B$14),$Z143))</f>
        <v/>
      </c>
      <c r="AP143" s="92"/>
      <c r="AQ143" s="93" t="str">
        <f aca="false">IF(ISBLANK($C143),"",IF($Z143&lt;&gt;Constants!$B$7,"",AH143))</f>
        <v/>
      </c>
      <c r="AR143" s="94" t="str">
        <f aca="false">IF(ISBLANK($C143),"",IF($Z143&lt;&gt;Constants!$B$7,"",IF(AH143=1,AB143,AE143)))</f>
        <v/>
      </c>
      <c r="AS143" s="95" t="str">
        <f aca="false">IF(ISBLANK($C143),"",IF($Z143&lt;&gt;Constants!$B$7,"",IF(AH143=1,AC143,AF143)))</f>
        <v/>
      </c>
      <c r="AT143" s="96" t="str">
        <f aca="false">IF(ISBLANK($C143),"",IF($Z143&lt;&gt;Constants!$B$7,$Z143,AJ143))</f>
        <v/>
      </c>
      <c r="AU143" s="97" t="str">
        <f aca="false">IF(ISBLANK($C143),"",IF($Z143&lt;&gt;Constants!$B$7,$Z143,AA143))</f>
        <v/>
      </c>
      <c r="AV143" s="98" t="str">
        <f aca="false">IF(ISBLANK($C143),"",AO143)</f>
        <v/>
      </c>
      <c r="AW143" s="98" t="str">
        <f aca="false">IF(ISBLANK($C143),"",AN143)</f>
        <v/>
      </c>
      <c r="AX143" s="99" t="str">
        <f aca="false">IF(ISBLANK($C143),"",IFERROR(_xlfn.SWITCH(AW143,Constants!$B$4,COUNTA($C$8:$C$507)+2,Constants!$B$5,COUNTA($C$8:$C$507)+1,Constants!$B$6,COUNTA($C$8:$C$507)),AW143))</f>
        <v/>
      </c>
      <c r="AY143" s="5"/>
      <c r="AZ143" s="100" t="n">
        <f aca="false">IF(OR(ISNUMBER(AW143),AW143=Constants!$B$4,AW143=Constants!$B$6,AW143=Constants!$B$5),1,0)</f>
        <v>0</v>
      </c>
      <c r="BA143" s="100" t="n">
        <v>136</v>
      </c>
      <c r="BB143" s="100" t="str">
        <f aca="false">IF(ISBLANK($C143),"",IF(ISNUMBER(AX143),AX143+ROW($B143)/1000,""))</f>
        <v/>
      </c>
      <c r="BC143" s="100" t="str">
        <f aca="false">IF(ISNUMBER(BB143),RANK(BB143,$BB$8:$BB$507,1),"")</f>
        <v/>
      </c>
      <c r="BD143" s="100" t="str">
        <f aca="false">IF(ISBLANK($C143),"",$B143)</f>
        <v/>
      </c>
      <c r="BE143" s="100" t="str">
        <f aca="false">IF(ISBLANK($C143),"",$C143)</f>
        <v/>
      </c>
      <c r="BF143" s="100" t="str">
        <f aca="false">IF(ISBLANK($C143),"",$D143)</f>
        <v/>
      </c>
      <c r="BG143" s="101" t="str">
        <f aca="false">AU143</f>
        <v/>
      </c>
      <c r="BH143" s="102" t="str">
        <f aca="false">AT143</f>
        <v/>
      </c>
      <c r="BI143" s="100" t="str">
        <f aca="false">IF(ISBLANK($C143),"",AW143)</f>
        <v/>
      </c>
      <c r="BJ143" s="103" t="str">
        <f aca="false">IF($BA143&gt;$AZ$7,"",VLOOKUP($BA143,$BC$8:$BI$507,7,FALSE()))</f>
        <v/>
      </c>
      <c r="BK143" s="104" t="str">
        <f aca="false">IF($BA143&gt;$AZ$7,"",VLOOKUP($BA143,$BC$8:$BI$507,2,FALSE()))</f>
        <v/>
      </c>
      <c r="BL143" s="104" t="str">
        <f aca="false">IF($BA143&gt;$AZ$7,"",VLOOKUP($BA143,$BC$8:$BI$507,3,FALSE()))</f>
        <v/>
      </c>
      <c r="BM143" s="104" t="str">
        <f aca="false">IF($BA143&gt;$AZ$7,"",VLOOKUP($BA143,$BC$8:$BI$507,4,FALSE()))</f>
        <v/>
      </c>
      <c r="BN143" s="104" t="str">
        <f aca="false">IF($BA143&gt;$AZ$7,"",VLOOKUP($BA143,$BC$8:$BI$507,5,FALSE()))</f>
        <v/>
      </c>
      <c r="BO143" s="105" t="str">
        <f aca="false">IF($BA143&gt;$AZ$7,"",VLOOKUP($BA143,$BC$8:$BI$507,6,FALSE()))</f>
        <v/>
      </c>
      <c r="BP143" s="52"/>
    </row>
    <row r="144" customFormat="false" ht="15.75" hidden="false" customHeight="false" outlineLevel="0" collapsed="false">
      <c r="A144" s="5"/>
      <c r="B144" s="114"/>
      <c r="C144" s="115"/>
      <c r="D144" s="106"/>
      <c r="E144" s="117"/>
      <c r="F144" s="87"/>
      <c r="G144" s="88"/>
      <c r="H144" s="88"/>
      <c r="I144" s="87"/>
      <c r="J144" s="88"/>
      <c r="K144" s="88"/>
      <c r="L144" s="87"/>
      <c r="M144" s="117"/>
      <c r="N144" s="90"/>
      <c r="O144" s="91" t="str">
        <f aca="false">IF(ISBLANK($C144),"",IF(E144=Constants!$B$2, TRUE(), IF(E144=Constants!$B$3, FALSE(), TRUE())))</f>
        <v/>
      </c>
      <c r="P144" s="91" t="str">
        <f aca="false">IF(ISBLANK($C144),"",IF(F144=Constants!$B$16,Constants!$B$9,IF(F144=Constants!$B$17,Constants!$B$10,Constants!$B$8)))</f>
        <v/>
      </c>
      <c r="Q144" s="91" t="str">
        <f aca="false">IF(ISBLANK($C144),"",IF(ISNUMBER(G144),IF(G144&gt;=0,G144,""),""))</f>
        <v/>
      </c>
      <c r="R144" s="91" t="str">
        <f aca="false">IF(ISBLANK($C144),"",IF(H144=Constants!$B$2, TRUE(), IF(H144=Constants!$B$3, FALSE(), TRUE())))</f>
        <v/>
      </c>
      <c r="S144" s="91" t="str">
        <f aca="false">IF(ISBLANK($C144),"",IF(I144=Constants!$B$2, TRUE(), IF(I144=Constants!$B$3, FALSE(), TRUE())))</f>
        <v/>
      </c>
      <c r="T144" s="91" t="str">
        <f aca="false">IF(ISBLANK($C144),"",IF(ISNUMBER(J144),IF(J144&gt;=0,J144,""),""))</f>
        <v/>
      </c>
      <c r="U144" s="91" t="str">
        <f aca="false">IF(ISBLANK($C144),"",IF(K144=Constants!$B$2, TRUE(), IF(K144=Constants!$B$3, FALSE(), TRUE())))</f>
        <v/>
      </c>
      <c r="V144" s="91" t="str">
        <f aca="false">IF(ISBLANK($C144),"",IF(L144=Constants!$B$2, TRUE(), IF(L144=Constants!$B$3, FALSE(), TRUE())))</f>
        <v/>
      </c>
      <c r="W144" s="91" t="str">
        <f aca="false">IF(ISBLANK($C144),"",IF(M144=Constants!$B$2, TRUE(), IF(M144=Constants!$B$3, FALSE(), FALSE())))</f>
        <v/>
      </c>
      <c r="X144" s="91" t="str">
        <f aca="false">IF(ISBLANK($C144),"",AND(Q144&lt;&gt;"",O144))</f>
        <v/>
      </c>
      <c r="Y144" s="91" t="str">
        <f aca="false">IF(ISBLANK($C144),"",AND(T144&lt;&gt;"",O144))</f>
        <v/>
      </c>
      <c r="Z144" s="91" t="str">
        <f aca="false">IF(ISBLANK($C144),"",IF(W144,Constants!$B$4,IF(COUNTA(E144:L144)=0,Constants!$B$5,IF(NOT(O144),Constants!$B$6,IF(AND(NOT(X144),NOT(Y144)),Constants!$B$6,Constants!$B$7)))))</f>
        <v/>
      </c>
      <c r="AA144" s="91" t="str">
        <f aca="false">IF(ISBLANK($C144),"",IF($Z144&lt;&gt;Constants!$B$7,$Z144,Constants!$B$20))</f>
        <v/>
      </c>
      <c r="AB144" s="91" t="str">
        <f aca="false">IF($Z144=Constants!$B$7,IF(X144,Q144,Constants!$B$13),"")</f>
        <v/>
      </c>
      <c r="AC144" s="91" t="str">
        <f aca="false">IF($Z144=Constants!$B$7,IF(X144,P144*IF(R144, 1, Constants!$B$11)*IF(S144, 1, Constants!$B$12),Constants!$B$13),"")</f>
        <v/>
      </c>
      <c r="AD144" s="91" t="str">
        <f aca="false">IF($Z144=Constants!$B$7,AB144*AC144,"")</f>
        <v/>
      </c>
      <c r="AE144" s="91" t="str">
        <f aca="false">IF($Z144=Constants!$B$7,IF(Y144,T144,Constants!$B$13),"")</f>
        <v/>
      </c>
      <c r="AF144" s="91" t="str">
        <f aca="false">IF($Z144=Constants!$B$7,IF(Y144,P144*IF(U144, 1, Constants!$B$11)*IF(V144, 1, Constants!$B$12),Constants!$B$13),"")</f>
        <v/>
      </c>
      <c r="AG144" s="91" t="str">
        <f aca="false">IF($Z144=Constants!$B$7,AE144*AF144,"")</f>
        <v/>
      </c>
      <c r="AH144" s="91" t="str">
        <f aca="false">IF($Z144=Constants!$B$7,IF(AG144&gt;AD144,2,1),"")</f>
        <v/>
      </c>
      <c r="AI144" s="91" t="str">
        <f aca="false">IF($Z144=Constants!$B$7,IF(AH144=1,2,1),"")</f>
        <v/>
      </c>
      <c r="AJ144" s="91" t="str">
        <f aca="false">IF(ISBLANK($C144),"",IF($Z144&lt;&gt;Constants!$B$7,$Z144,IF(AH144=1,AD144,AG144)))</f>
        <v/>
      </c>
      <c r="AK144" s="91" t="str">
        <f aca="false">IF(ISBLANK($C144),"",IF($Z144=Constants!$B$7,IF(ISNUMBER(AJ144),RANK(AJ144,$AJ$8:$AJ$507),Constants!$B$14),$Z144))</f>
        <v/>
      </c>
      <c r="AL144" s="91" t="str">
        <f aca="false">IF(ISBLANK($C144),"",IF($Z144=Constants!$B$7,IF(AI144=1,AD144,AG144),""))</f>
        <v/>
      </c>
      <c r="AM144" s="91" t="str">
        <f aca="false">IF(ISBLANK($C144),"",IF($Z144=Constants!$B$7,RANK(AL144,$AL$8:$AL$507),$Z144))</f>
        <v/>
      </c>
      <c r="AN144" s="91" t="str">
        <f aca="false">IF(ISBLANK($C144),"",IF($Z144=Constants!$B$7,IF(ISNUMBER(AK144),COUNTIFS($AK$8:$AK$507,"&lt;"&amp;$AK144)+COUNTIFS($AK$8:$AK$507,$AK144,$AM$8:$AM$507,"&lt;"&amp;$AM144)+1,Constants!$B$14),$Z144))</f>
        <v/>
      </c>
      <c r="AO144" s="91" t="str">
        <f aca="false">IF(ISBLANK($C144),"",IF($Z144=Constants!$B$7,IF(ISNUMBER(AK144),AK144-AN144,Constants!$B$14),$Z144))</f>
        <v/>
      </c>
      <c r="AP144" s="92"/>
      <c r="AQ144" s="93" t="str">
        <f aca="false">IF(ISBLANK($C144),"",IF($Z144&lt;&gt;Constants!$B$7,"",AH144))</f>
        <v/>
      </c>
      <c r="AR144" s="94" t="str">
        <f aca="false">IF(ISBLANK($C144),"",IF($Z144&lt;&gt;Constants!$B$7,"",IF(AH144=1,AB144,AE144)))</f>
        <v/>
      </c>
      <c r="AS144" s="95" t="str">
        <f aca="false">IF(ISBLANK($C144),"",IF($Z144&lt;&gt;Constants!$B$7,"",IF(AH144=1,AC144,AF144)))</f>
        <v/>
      </c>
      <c r="AT144" s="96" t="str">
        <f aca="false">IF(ISBLANK($C144),"",IF($Z144&lt;&gt;Constants!$B$7,$Z144,AJ144))</f>
        <v/>
      </c>
      <c r="AU144" s="97" t="str">
        <f aca="false">IF(ISBLANK($C144),"",IF($Z144&lt;&gt;Constants!$B$7,$Z144,AA144))</f>
        <v/>
      </c>
      <c r="AV144" s="98" t="str">
        <f aca="false">IF(ISBLANK($C144),"",AO144)</f>
        <v/>
      </c>
      <c r="AW144" s="98" t="str">
        <f aca="false">IF(ISBLANK($C144),"",AN144)</f>
        <v/>
      </c>
      <c r="AX144" s="99" t="str">
        <f aca="false">IF(ISBLANK($C144),"",IFERROR(_xlfn.SWITCH(AW144,Constants!$B$4,COUNTA($C$8:$C$507)+2,Constants!$B$5,COUNTA($C$8:$C$507)+1,Constants!$B$6,COUNTA($C$8:$C$507)),AW144))</f>
        <v/>
      </c>
      <c r="AY144" s="5"/>
      <c r="AZ144" s="100" t="n">
        <f aca="false">IF(OR(ISNUMBER(AW144),AW144=Constants!$B$4,AW144=Constants!$B$6,AW144=Constants!$B$5),1,0)</f>
        <v>0</v>
      </c>
      <c r="BA144" s="100" t="n">
        <v>137</v>
      </c>
      <c r="BB144" s="100" t="str">
        <f aca="false">IF(ISBLANK($C144),"",IF(ISNUMBER(AX144),AX144+ROW($B144)/1000,""))</f>
        <v/>
      </c>
      <c r="BC144" s="100" t="str">
        <f aca="false">IF(ISNUMBER(BB144),RANK(BB144,$BB$8:$BB$507,1),"")</f>
        <v/>
      </c>
      <c r="BD144" s="100" t="str">
        <f aca="false">IF(ISBLANK($C144),"",$B144)</f>
        <v/>
      </c>
      <c r="BE144" s="100" t="str">
        <f aca="false">IF(ISBLANK($C144),"",$C144)</f>
        <v/>
      </c>
      <c r="BF144" s="100" t="str">
        <f aca="false">IF(ISBLANK($C144),"",$D144)</f>
        <v/>
      </c>
      <c r="BG144" s="101" t="str">
        <f aca="false">AU144</f>
        <v/>
      </c>
      <c r="BH144" s="102" t="str">
        <f aca="false">AT144</f>
        <v/>
      </c>
      <c r="BI144" s="100" t="str">
        <f aca="false">IF(ISBLANK($C144),"",AW144)</f>
        <v/>
      </c>
      <c r="BJ144" s="103" t="str">
        <f aca="false">IF($BA144&gt;$AZ$7,"",VLOOKUP($BA144,$BC$8:$BI$507,7,FALSE()))</f>
        <v/>
      </c>
      <c r="BK144" s="104" t="str">
        <f aca="false">IF($BA144&gt;$AZ$7,"",VLOOKUP($BA144,$BC$8:$BI$507,2,FALSE()))</f>
        <v/>
      </c>
      <c r="BL144" s="104" t="str">
        <f aca="false">IF($BA144&gt;$AZ$7,"",VLOOKUP($BA144,$BC$8:$BI$507,3,FALSE()))</f>
        <v/>
      </c>
      <c r="BM144" s="104" t="str">
        <f aca="false">IF($BA144&gt;$AZ$7,"",VLOOKUP($BA144,$BC$8:$BI$507,4,FALSE()))</f>
        <v/>
      </c>
      <c r="BN144" s="104" t="str">
        <f aca="false">IF($BA144&gt;$AZ$7,"",VLOOKUP($BA144,$BC$8:$BI$507,5,FALSE()))</f>
        <v/>
      </c>
      <c r="BO144" s="105" t="str">
        <f aca="false">IF($BA144&gt;$AZ$7,"",VLOOKUP($BA144,$BC$8:$BI$507,6,FALSE()))</f>
        <v/>
      </c>
      <c r="BP144" s="52"/>
    </row>
    <row r="145" customFormat="false" ht="15.75" hidden="false" customHeight="false" outlineLevel="0" collapsed="false">
      <c r="A145" s="5"/>
      <c r="B145" s="114"/>
      <c r="C145" s="115"/>
      <c r="D145" s="106"/>
      <c r="E145" s="117"/>
      <c r="F145" s="87"/>
      <c r="G145" s="88"/>
      <c r="H145" s="88"/>
      <c r="I145" s="87"/>
      <c r="J145" s="88"/>
      <c r="K145" s="88"/>
      <c r="L145" s="87"/>
      <c r="M145" s="117"/>
      <c r="N145" s="90"/>
      <c r="O145" s="91" t="str">
        <f aca="false">IF(ISBLANK($C145),"",IF(E145=Constants!$B$2, TRUE(), IF(E145=Constants!$B$3, FALSE(), TRUE())))</f>
        <v/>
      </c>
      <c r="P145" s="91" t="str">
        <f aca="false">IF(ISBLANK($C145),"",IF(F145=Constants!$B$16,Constants!$B$9,IF(F145=Constants!$B$17,Constants!$B$10,Constants!$B$8)))</f>
        <v/>
      </c>
      <c r="Q145" s="91" t="str">
        <f aca="false">IF(ISBLANK($C145),"",IF(ISNUMBER(G145),IF(G145&gt;=0,G145,""),""))</f>
        <v/>
      </c>
      <c r="R145" s="91" t="str">
        <f aca="false">IF(ISBLANK($C145),"",IF(H145=Constants!$B$2, TRUE(), IF(H145=Constants!$B$3, FALSE(), TRUE())))</f>
        <v/>
      </c>
      <c r="S145" s="91" t="str">
        <f aca="false">IF(ISBLANK($C145),"",IF(I145=Constants!$B$2, TRUE(), IF(I145=Constants!$B$3, FALSE(), TRUE())))</f>
        <v/>
      </c>
      <c r="T145" s="91" t="str">
        <f aca="false">IF(ISBLANK($C145),"",IF(ISNUMBER(J145),IF(J145&gt;=0,J145,""),""))</f>
        <v/>
      </c>
      <c r="U145" s="91" t="str">
        <f aca="false">IF(ISBLANK($C145),"",IF(K145=Constants!$B$2, TRUE(), IF(K145=Constants!$B$3, FALSE(), TRUE())))</f>
        <v/>
      </c>
      <c r="V145" s="91" t="str">
        <f aca="false">IF(ISBLANK($C145),"",IF(L145=Constants!$B$2, TRUE(), IF(L145=Constants!$B$3, FALSE(), TRUE())))</f>
        <v/>
      </c>
      <c r="W145" s="91" t="str">
        <f aca="false">IF(ISBLANK($C145),"",IF(M145=Constants!$B$2, TRUE(), IF(M145=Constants!$B$3, FALSE(), FALSE())))</f>
        <v/>
      </c>
      <c r="X145" s="91" t="str">
        <f aca="false">IF(ISBLANK($C145),"",AND(Q145&lt;&gt;"",O145))</f>
        <v/>
      </c>
      <c r="Y145" s="91" t="str">
        <f aca="false">IF(ISBLANK($C145),"",AND(T145&lt;&gt;"",O145))</f>
        <v/>
      </c>
      <c r="Z145" s="91" t="str">
        <f aca="false">IF(ISBLANK($C145),"",IF(W145,Constants!$B$4,IF(COUNTA(E145:L145)=0,Constants!$B$5,IF(NOT(O145),Constants!$B$6,IF(AND(NOT(X145),NOT(Y145)),Constants!$B$6,Constants!$B$7)))))</f>
        <v/>
      </c>
      <c r="AA145" s="91" t="str">
        <f aca="false">IF(ISBLANK($C145),"",IF($Z145&lt;&gt;Constants!$B$7,$Z145,Constants!$B$20))</f>
        <v/>
      </c>
      <c r="AB145" s="91" t="str">
        <f aca="false">IF($Z145=Constants!$B$7,IF(X145,Q145,Constants!$B$13),"")</f>
        <v/>
      </c>
      <c r="AC145" s="91" t="str">
        <f aca="false">IF($Z145=Constants!$B$7,IF(X145,P145*IF(R145, 1, Constants!$B$11)*IF(S145, 1, Constants!$B$12),Constants!$B$13),"")</f>
        <v/>
      </c>
      <c r="AD145" s="91" t="str">
        <f aca="false">IF($Z145=Constants!$B$7,AB145*AC145,"")</f>
        <v/>
      </c>
      <c r="AE145" s="91" t="str">
        <f aca="false">IF($Z145=Constants!$B$7,IF(Y145,T145,Constants!$B$13),"")</f>
        <v/>
      </c>
      <c r="AF145" s="91" t="str">
        <f aca="false">IF($Z145=Constants!$B$7,IF(Y145,P145*IF(U145, 1, Constants!$B$11)*IF(V145, 1, Constants!$B$12),Constants!$B$13),"")</f>
        <v/>
      </c>
      <c r="AG145" s="91" t="str">
        <f aca="false">IF($Z145=Constants!$B$7,AE145*AF145,"")</f>
        <v/>
      </c>
      <c r="AH145" s="91" t="str">
        <f aca="false">IF($Z145=Constants!$B$7,IF(AG145&gt;AD145,2,1),"")</f>
        <v/>
      </c>
      <c r="AI145" s="91" t="str">
        <f aca="false">IF($Z145=Constants!$B$7,IF(AH145=1,2,1),"")</f>
        <v/>
      </c>
      <c r="AJ145" s="91" t="str">
        <f aca="false">IF(ISBLANK($C145),"",IF($Z145&lt;&gt;Constants!$B$7,$Z145,IF(AH145=1,AD145,AG145)))</f>
        <v/>
      </c>
      <c r="AK145" s="91" t="str">
        <f aca="false">IF(ISBLANK($C145),"",IF($Z145=Constants!$B$7,IF(ISNUMBER(AJ145),RANK(AJ145,$AJ$8:$AJ$507),Constants!$B$14),$Z145))</f>
        <v/>
      </c>
      <c r="AL145" s="91" t="str">
        <f aca="false">IF(ISBLANK($C145),"",IF($Z145=Constants!$B$7,IF(AI145=1,AD145,AG145),""))</f>
        <v/>
      </c>
      <c r="AM145" s="91" t="str">
        <f aca="false">IF(ISBLANK($C145),"",IF($Z145=Constants!$B$7,RANK(AL145,$AL$8:$AL$507),$Z145))</f>
        <v/>
      </c>
      <c r="AN145" s="91" t="str">
        <f aca="false">IF(ISBLANK($C145),"",IF($Z145=Constants!$B$7,IF(ISNUMBER(AK145),COUNTIFS($AK$8:$AK$507,"&lt;"&amp;$AK145)+COUNTIFS($AK$8:$AK$507,$AK145,$AM$8:$AM$507,"&lt;"&amp;$AM145)+1,Constants!$B$14),$Z145))</f>
        <v/>
      </c>
      <c r="AO145" s="91" t="str">
        <f aca="false">IF(ISBLANK($C145),"",IF($Z145=Constants!$B$7,IF(ISNUMBER(AK145),AK145-AN145,Constants!$B$14),$Z145))</f>
        <v/>
      </c>
      <c r="AP145" s="92"/>
      <c r="AQ145" s="93" t="str">
        <f aca="false">IF(ISBLANK($C145),"",IF($Z145&lt;&gt;Constants!$B$7,"",AH145))</f>
        <v/>
      </c>
      <c r="AR145" s="94" t="str">
        <f aca="false">IF(ISBLANK($C145),"",IF($Z145&lt;&gt;Constants!$B$7,"",IF(AH145=1,AB145,AE145)))</f>
        <v/>
      </c>
      <c r="AS145" s="95" t="str">
        <f aca="false">IF(ISBLANK($C145),"",IF($Z145&lt;&gt;Constants!$B$7,"",IF(AH145=1,AC145,AF145)))</f>
        <v/>
      </c>
      <c r="AT145" s="96" t="str">
        <f aca="false">IF(ISBLANK($C145),"",IF($Z145&lt;&gt;Constants!$B$7,$Z145,AJ145))</f>
        <v/>
      </c>
      <c r="AU145" s="97" t="str">
        <f aca="false">IF(ISBLANK($C145),"",IF($Z145&lt;&gt;Constants!$B$7,$Z145,AA145))</f>
        <v/>
      </c>
      <c r="AV145" s="98" t="str">
        <f aca="false">IF(ISBLANK($C145),"",AO145)</f>
        <v/>
      </c>
      <c r="AW145" s="98" t="str">
        <f aca="false">IF(ISBLANK($C145),"",AN145)</f>
        <v/>
      </c>
      <c r="AX145" s="99" t="str">
        <f aca="false">IF(ISBLANK($C145),"",IFERROR(_xlfn.SWITCH(AW145,Constants!$B$4,COUNTA($C$8:$C$507)+2,Constants!$B$5,COUNTA($C$8:$C$507)+1,Constants!$B$6,COUNTA($C$8:$C$507)),AW145))</f>
        <v/>
      </c>
      <c r="AY145" s="5"/>
      <c r="AZ145" s="100" t="n">
        <f aca="false">IF(OR(ISNUMBER(AW145),AW145=Constants!$B$4,AW145=Constants!$B$6,AW145=Constants!$B$5),1,0)</f>
        <v>0</v>
      </c>
      <c r="BA145" s="100" t="n">
        <v>138</v>
      </c>
      <c r="BB145" s="100" t="str">
        <f aca="false">IF(ISBLANK($C145),"",IF(ISNUMBER(AX145),AX145+ROW($B145)/1000,""))</f>
        <v/>
      </c>
      <c r="BC145" s="100" t="str">
        <f aca="false">IF(ISNUMBER(BB145),RANK(BB145,$BB$8:$BB$507,1),"")</f>
        <v/>
      </c>
      <c r="BD145" s="100" t="str">
        <f aca="false">IF(ISBLANK($C145),"",$B145)</f>
        <v/>
      </c>
      <c r="BE145" s="100" t="str">
        <f aca="false">IF(ISBLANK($C145),"",$C145)</f>
        <v/>
      </c>
      <c r="BF145" s="100" t="str">
        <f aca="false">IF(ISBLANK($C145),"",$D145)</f>
        <v/>
      </c>
      <c r="BG145" s="101" t="str">
        <f aca="false">AU145</f>
        <v/>
      </c>
      <c r="BH145" s="102" t="str">
        <f aca="false">AT145</f>
        <v/>
      </c>
      <c r="BI145" s="100" t="str">
        <f aca="false">IF(ISBLANK($C145),"",AW145)</f>
        <v/>
      </c>
      <c r="BJ145" s="103" t="str">
        <f aca="false">IF($BA145&gt;$AZ$7,"",VLOOKUP($BA145,$BC$8:$BI$507,7,FALSE()))</f>
        <v/>
      </c>
      <c r="BK145" s="104" t="str">
        <f aca="false">IF($BA145&gt;$AZ$7,"",VLOOKUP($BA145,$BC$8:$BI$507,2,FALSE()))</f>
        <v/>
      </c>
      <c r="BL145" s="104" t="str">
        <f aca="false">IF($BA145&gt;$AZ$7,"",VLOOKUP($BA145,$BC$8:$BI$507,3,FALSE()))</f>
        <v/>
      </c>
      <c r="BM145" s="104" t="str">
        <f aca="false">IF($BA145&gt;$AZ$7,"",VLOOKUP($BA145,$BC$8:$BI$507,4,FALSE()))</f>
        <v/>
      </c>
      <c r="BN145" s="104" t="str">
        <f aca="false">IF($BA145&gt;$AZ$7,"",VLOOKUP($BA145,$BC$8:$BI$507,5,FALSE()))</f>
        <v/>
      </c>
      <c r="BO145" s="105" t="str">
        <f aca="false">IF($BA145&gt;$AZ$7,"",VLOOKUP($BA145,$BC$8:$BI$507,6,FALSE()))</f>
        <v/>
      </c>
      <c r="BP145" s="52"/>
    </row>
    <row r="146" customFormat="false" ht="15.75" hidden="false" customHeight="false" outlineLevel="0" collapsed="false">
      <c r="A146" s="5"/>
      <c r="B146" s="118"/>
      <c r="C146" s="54"/>
      <c r="D146" s="55"/>
      <c r="E146" s="79"/>
      <c r="F146" s="57"/>
      <c r="G146" s="58"/>
      <c r="H146" s="58"/>
      <c r="I146" s="57"/>
      <c r="J146" s="58"/>
      <c r="K146" s="58"/>
      <c r="L146" s="57"/>
      <c r="M146" s="79"/>
      <c r="N146" s="60"/>
      <c r="O146" s="62" t="str">
        <f aca="false">IF(ISBLANK($C146),"",IF(E146=Constants!$B$2, TRUE(), IF(E146=Constants!$B$3, FALSE(), TRUE())))</f>
        <v/>
      </c>
      <c r="P146" s="62" t="str">
        <f aca="false">IF(ISBLANK($C146),"",IF(F146=Constants!$B$16,Constants!$B$9,IF(F146=Constants!$B$17,Constants!$B$10,Constants!$B$8)))</f>
        <v/>
      </c>
      <c r="Q146" s="62" t="str">
        <f aca="false">IF(ISBLANK($C146),"",IF(ISNUMBER(G146),IF(G146&gt;=0,G146,""),""))</f>
        <v/>
      </c>
      <c r="R146" s="62" t="str">
        <f aca="false">IF(ISBLANK($C146),"",IF(H146=Constants!$B$2, TRUE(), IF(H146=Constants!$B$3, FALSE(), TRUE())))</f>
        <v/>
      </c>
      <c r="S146" s="62" t="str">
        <f aca="false">IF(ISBLANK($C146),"",IF(I146=Constants!$B$2, TRUE(), IF(I146=Constants!$B$3, FALSE(), TRUE())))</f>
        <v/>
      </c>
      <c r="T146" s="62" t="str">
        <f aca="false">IF(ISBLANK($C146),"",IF(ISNUMBER(J146),IF(J146&gt;=0,J146,""),""))</f>
        <v/>
      </c>
      <c r="U146" s="62" t="str">
        <f aca="false">IF(ISBLANK($C146),"",IF(K146=Constants!$B$2, TRUE(), IF(K146=Constants!$B$3, FALSE(), TRUE())))</f>
        <v/>
      </c>
      <c r="V146" s="62" t="str">
        <f aca="false">IF(ISBLANK($C146),"",IF(L146=Constants!$B$2, TRUE(), IF(L146=Constants!$B$3, FALSE(), TRUE())))</f>
        <v/>
      </c>
      <c r="W146" s="62" t="str">
        <f aca="false">IF(ISBLANK($C146),"",IF(M146=Constants!$B$2, TRUE(), IF(M146=Constants!$B$3, FALSE(), FALSE())))</f>
        <v/>
      </c>
      <c r="X146" s="62" t="str">
        <f aca="false">IF(ISBLANK($C146),"",AND(Q146&lt;&gt;"",O146))</f>
        <v/>
      </c>
      <c r="Y146" s="62" t="str">
        <f aca="false">IF(ISBLANK($C146),"",AND(T146&lt;&gt;"",O146))</f>
        <v/>
      </c>
      <c r="Z146" s="62" t="str">
        <f aca="false">IF(ISBLANK($C146),"",IF(W146,Constants!$B$4,IF(COUNTA(E146:L146)=0,Constants!$B$5,IF(NOT(O146),Constants!$B$6,IF(AND(NOT(X146),NOT(Y146)),Constants!$B$6,Constants!$B$7)))))</f>
        <v/>
      </c>
      <c r="AA146" s="62" t="str">
        <f aca="false">IF(ISBLANK($C146),"",IF($Z146&lt;&gt;Constants!$B$7,$Z146,Constants!$B$20))</f>
        <v/>
      </c>
      <c r="AB146" s="62" t="str">
        <f aca="false">IF($Z146=Constants!$B$7,IF(X146,Q146,Constants!$B$13),"")</f>
        <v/>
      </c>
      <c r="AC146" s="62" t="str">
        <f aca="false">IF($Z146=Constants!$B$7,IF(X146,P146*IF(R146, 1, Constants!$B$11)*IF(S146, 1, Constants!$B$12),Constants!$B$13),"")</f>
        <v/>
      </c>
      <c r="AD146" s="62" t="str">
        <f aca="false">IF($Z146=Constants!$B$7,AB146*AC146,"")</f>
        <v/>
      </c>
      <c r="AE146" s="62" t="str">
        <f aca="false">IF($Z146=Constants!$B$7,IF(Y146,T146,Constants!$B$13),"")</f>
        <v/>
      </c>
      <c r="AF146" s="62" t="str">
        <f aca="false">IF($Z146=Constants!$B$7,IF(Y146,P146*IF(U146, 1, Constants!$B$11)*IF(V146, 1, Constants!$B$12),Constants!$B$13),"")</f>
        <v/>
      </c>
      <c r="AG146" s="62" t="str">
        <f aca="false">IF($Z146=Constants!$B$7,AE146*AF146,"")</f>
        <v/>
      </c>
      <c r="AH146" s="62" t="str">
        <f aca="false">IF($Z146=Constants!$B$7,IF(AG146&gt;AD146,2,1),"")</f>
        <v/>
      </c>
      <c r="AI146" s="62" t="str">
        <f aca="false">IF($Z146=Constants!$B$7,IF(AH146=1,2,1),"")</f>
        <v/>
      </c>
      <c r="AJ146" s="62" t="str">
        <f aca="false">IF(ISBLANK($C146),"",IF($Z146&lt;&gt;Constants!$B$7,$Z146,IF(AH146=1,AD146,AG146)))</f>
        <v/>
      </c>
      <c r="AK146" s="62" t="str">
        <f aca="false">IF(ISBLANK($C146),"",IF($Z146=Constants!$B$7,IF(ISNUMBER(AJ146),RANK(AJ146,$AJ$8:$AJ$507),Constants!$B$14),$Z146))</f>
        <v/>
      </c>
      <c r="AL146" s="62" t="str">
        <f aca="false">IF(ISBLANK($C146),"",IF($Z146=Constants!$B$7,IF(AI146=1,AD146,AG146),""))</f>
        <v/>
      </c>
      <c r="AM146" s="62" t="str">
        <f aca="false">IF(ISBLANK($C146),"",IF($Z146=Constants!$B$7,RANK(AL146,$AL$8:$AL$507),$Z146))</f>
        <v/>
      </c>
      <c r="AN146" s="62" t="str">
        <f aca="false">IF(ISBLANK($C146),"",IF($Z146=Constants!$B$7,IF(ISNUMBER(AK146),COUNTIFS($AK$8:$AK$507,"&lt;"&amp;$AK146)+COUNTIFS($AK$8:$AK$507,$AK146,$AM$8:$AM$507,"&lt;"&amp;$AM146)+1,Constants!$B$14),$Z146))</f>
        <v/>
      </c>
      <c r="AO146" s="62" t="str">
        <f aca="false">IF(ISBLANK($C146),"",IF($Z146=Constants!$B$7,IF(ISNUMBER(AK146),AK146-AN146,Constants!$B$14),$Z146))</f>
        <v/>
      </c>
      <c r="AP146" s="64"/>
      <c r="AQ146" s="65" t="str">
        <f aca="false">IF(ISBLANK($C146),"",IF($Z146&lt;&gt;Constants!$B$7,"",AH146))</f>
        <v/>
      </c>
      <c r="AR146" s="80" t="str">
        <f aca="false">IF(ISBLANK($C146),"",IF($Z146&lt;&gt;Constants!$B$7,"",IF(AH146=1,AB146,AE146)))</f>
        <v/>
      </c>
      <c r="AS146" s="67" t="str">
        <f aca="false">IF(ISBLANK($C146),"",IF($Z146&lt;&gt;Constants!$B$7,"",IF(AH146=1,AC146,AF146)))</f>
        <v/>
      </c>
      <c r="AT146" s="68" t="str">
        <f aca="false">IF(ISBLANK($C146),"",IF($Z146&lt;&gt;Constants!$B$7,$Z146,AJ146))</f>
        <v/>
      </c>
      <c r="AU146" s="69" t="str">
        <f aca="false">IF(ISBLANK($C146),"",IF($Z146&lt;&gt;Constants!$B$7,$Z146,AA146))</f>
        <v/>
      </c>
      <c r="AV146" s="70" t="str">
        <f aca="false">IF(ISBLANK($C146),"",AO146)</f>
        <v/>
      </c>
      <c r="AW146" s="70" t="str">
        <f aca="false">IF(ISBLANK($C146),"",AN146)</f>
        <v/>
      </c>
      <c r="AX146" s="71" t="str">
        <f aca="false">IF(ISBLANK($C146),"",IFERROR(_xlfn.SWITCH(AW146,Constants!$B$4,COUNTA($C$8:$C$507)+2,Constants!$B$5,COUNTA($C$8:$C$507)+1,Constants!$B$6,COUNTA($C$8:$C$507)),AW146))</f>
        <v/>
      </c>
      <c r="AY146" s="5"/>
      <c r="AZ146" s="72" t="n">
        <f aca="false">IF(OR(ISNUMBER(AW146),AW146=Constants!$B$4,AW146=Constants!$B$6,AW146=Constants!$B$5),1,0)</f>
        <v>0</v>
      </c>
      <c r="BA146" s="72" t="n">
        <v>139</v>
      </c>
      <c r="BB146" s="72" t="str">
        <f aca="false">IF(ISBLANK($C146),"",IF(ISNUMBER(AX146),AX146+ROW($B146)/1000,""))</f>
        <v/>
      </c>
      <c r="BC146" s="72" t="str">
        <f aca="false">IF(ISNUMBER(BB146),RANK(BB146,$BB$8:$BB$507,1),"")</f>
        <v/>
      </c>
      <c r="BD146" s="72" t="str">
        <f aca="false">IF(ISBLANK($C146),"",$B146)</f>
        <v/>
      </c>
      <c r="BE146" s="72" t="str">
        <f aca="false">IF(ISBLANK($C146),"",$C146)</f>
        <v/>
      </c>
      <c r="BF146" s="72" t="str">
        <f aca="false">IF(ISBLANK($C146),"",$D146)</f>
        <v/>
      </c>
      <c r="BG146" s="73" t="str">
        <f aca="false">AU146</f>
        <v/>
      </c>
      <c r="BH146" s="74" t="str">
        <f aca="false">AT146</f>
        <v/>
      </c>
      <c r="BI146" s="72" t="str">
        <f aca="false">IF(ISBLANK($C146),"",AW146)</f>
        <v/>
      </c>
      <c r="BJ146" s="75" t="str">
        <f aca="false">IF($BA146&gt;$AZ$7,"",VLOOKUP($BA146,$BC$8:$BI$507,7,FALSE()))</f>
        <v/>
      </c>
      <c r="BK146" s="76" t="str">
        <f aca="false">IF($BA146&gt;$AZ$7,"",VLOOKUP($BA146,$BC$8:$BI$507,2,FALSE()))</f>
        <v/>
      </c>
      <c r="BL146" s="76" t="str">
        <f aca="false">IF($BA146&gt;$AZ$7,"",VLOOKUP($BA146,$BC$8:$BI$507,3,FALSE()))</f>
        <v/>
      </c>
      <c r="BM146" s="76" t="str">
        <f aca="false">IF($BA146&gt;$AZ$7,"",VLOOKUP($BA146,$BC$8:$BI$507,4,FALSE()))</f>
        <v/>
      </c>
      <c r="BN146" s="76" t="str">
        <f aca="false">IF($BA146&gt;$AZ$7,"",VLOOKUP($BA146,$BC$8:$BI$507,5,FALSE()))</f>
        <v/>
      </c>
      <c r="BO146" s="77" t="str">
        <f aca="false">IF($BA146&gt;$AZ$7,"",VLOOKUP($BA146,$BC$8:$BI$507,6,FALSE()))</f>
        <v/>
      </c>
      <c r="BP146" s="52"/>
    </row>
    <row r="147" customFormat="false" ht="15.75" hidden="false" customHeight="false" outlineLevel="0" collapsed="false">
      <c r="A147" s="5"/>
      <c r="B147" s="118"/>
      <c r="C147" s="54"/>
      <c r="D147" s="55"/>
      <c r="E147" s="79"/>
      <c r="F147" s="57"/>
      <c r="G147" s="58"/>
      <c r="H147" s="58"/>
      <c r="I147" s="57"/>
      <c r="J147" s="58"/>
      <c r="K147" s="58"/>
      <c r="L147" s="57"/>
      <c r="M147" s="79"/>
      <c r="N147" s="60"/>
      <c r="O147" s="62" t="str">
        <f aca="false">IF(ISBLANK($C147),"",IF(E147=Constants!$B$2, TRUE(), IF(E147=Constants!$B$3, FALSE(), TRUE())))</f>
        <v/>
      </c>
      <c r="P147" s="62" t="str">
        <f aca="false">IF(ISBLANK($C147),"",IF(F147=Constants!$B$16,Constants!$B$9,IF(F147=Constants!$B$17,Constants!$B$10,Constants!$B$8)))</f>
        <v/>
      </c>
      <c r="Q147" s="62" t="str">
        <f aca="false">IF(ISBLANK($C147),"",IF(ISNUMBER(G147),IF(G147&gt;=0,G147,""),""))</f>
        <v/>
      </c>
      <c r="R147" s="62" t="str">
        <f aca="false">IF(ISBLANK($C147),"",IF(H147=Constants!$B$2, TRUE(), IF(H147=Constants!$B$3, FALSE(), TRUE())))</f>
        <v/>
      </c>
      <c r="S147" s="62" t="str">
        <f aca="false">IF(ISBLANK($C147),"",IF(I147=Constants!$B$2, TRUE(), IF(I147=Constants!$B$3, FALSE(), TRUE())))</f>
        <v/>
      </c>
      <c r="T147" s="62" t="str">
        <f aca="false">IF(ISBLANK($C147),"",IF(ISNUMBER(J147),IF(J147&gt;=0,J147,""),""))</f>
        <v/>
      </c>
      <c r="U147" s="62" t="str">
        <f aca="false">IF(ISBLANK($C147),"",IF(K147=Constants!$B$2, TRUE(), IF(K147=Constants!$B$3, FALSE(), TRUE())))</f>
        <v/>
      </c>
      <c r="V147" s="62" t="str">
        <f aca="false">IF(ISBLANK($C147),"",IF(L147=Constants!$B$2, TRUE(), IF(L147=Constants!$B$3, FALSE(), TRUE())))</f>
        <v/>
      </c>
      <c r="W147" s="62" t="str">
        <f aca="false">IF(ISBLANK($C147),"",IF(M147=Constants!$B$2, TRUE(), IF(M147=Constants!$B$3, FALSE(), FALSE())))</f>
        <v/>
      </c>
      <c r="X147" s="62" t="str">
        <f aca="false">IF(ISBLANK($C147),"",AND(Q147&lt;&gt;"",O147))</f>
        <v/>
      </c>
      <c r="Y147" s="62" t="str">
        <f aca="false">IF(ISBLANK($C147),"",AND(T147&lt;&gt;"",O147))</f>
        <v/>
      </c>
      <c r="Z147" s="62" t="str">
        <f aca="false">IF(ISBLANK($C147),"",IF(W147,Constants!$B$4,IF(COUNTA(E147:L147)=0,Constants!$B$5,IF(NOT(O147),Constants!$B$6,IF(AND(NOT(X147),NOT(Y147)),Constants!$B$6,Constants!$B$7)))))</f>
        <v/>
      </c>
      <c r="AA147" s="62" t="str">
        <f aca="false">IF(ISBLANK($C147),"",IF($Z147&lt;&gt;Constants!$B$7,$Z147,Constants!$B$20))</f>
        <v/>
      </c>
      <c r="AB147" s="62" t="str">
        <f aca="false">IF($Z147=Constants!$B$7,IF(X147,Q147,Constants!$B$13),"")</f>
        <v/>
      </c>
      <c r="AC147" s="62" t="str">
        <f aca="false">IF($Z147=Constants!$B$7,IF(X147,P147*IF(R147, 1, Constants!$B$11)*IF(S147, 1, Constants!$B$12),Constants!$B$13),"")</f>
        <v/>
      </c>
      <c r="AD147" s="62" t="str">
        <f aca="false">IF($Z147=Constants!$B$7,AB147*AC147,"")</f>
        <v/>
      </c>
      <c r="AE147" s="62" t="str">
        <f aca="false">IF($Z147=Constants!$B$7,IF(Y147,T147,Constants!$B$13),"")</f>
        <v/>
      </c>
      <c r="AF147" s="62" t="str">
        <f aca="false">IF($Z147=Constants!$B$7,IF(Y147,P147*IF(U147, 1, Constants!$B$11)*IF(V147, 1, Constants!$B$12),Constants!$B$13),"")</f>
        <v/>
      </c>
      <c r="AG147" s="62" t="str">
        <f aca="false">IF($Z147=Constants!$B$7,AE147*AF147,"")</f>
        <v/>
      </c>
      <c r="AH147" s="62" t="str">
        <f aca="false">IF($Z147=Constants!$B$7,IF(AG147&gt;AD147,2,1),"")</f>
        <v/>
      </c>
      <c r="AI147" s="62" t="str">
        <f aca="false">IF($Z147=Constants!$B$7,IF(AH147=1,2,1),"")</f>
        <v/>
      </c>
      <c r="AJ147" s="62" t="str">
        <f aca="false">IF(ISBLANK($C147),"",IF($Z147&lt;&gt;Constants!$B$7,$Z147,IF(AH147=1,AD147,AG147)))</f>
        <v/>
      </c>
      <c r="AK147" s="62" t="str">
        <f aca="false">IF(ISBLANK($C147),"",IF($Z147=Constants!$B$7,IF(ISNUMBER(AJ147),RANK(AJ147,$AJ$8:$AJ$507),Constants!$B$14),$Z147))</f>
        <v/>
      </c>
      <c r="AL147" s="62" t="str">
        <f aca="false">IF(ISBLANK($C147),"",IF($Z147=Constants!$B$7,IF(AI147=1,AD147,AG147),""))</f>
        <v/>
      </c>
      <c r="AM147" s="62" t="str">
        <f aca="false">IF(ISBLANK($C147),"",IF($Z147=Constants!$B$7,RANK(AL147,$AL$8:$AL$507),$Z147))</f>
        <v/>
      </c>
      <c r="AN147" s="62" t="str">
        <f aca="false">IF(ISBLANK($C147),"",IF($Z147=Constants!$B$7,IF(ISNUMBER(AK147),COUNTIFS($AK$8:$AK$507,"&lt;"&amp;$AK147)+COUNTIFS($AK$8:$AK$507,$AK147,$AM$8:$AM$507,"&lt;"&amp;$AM147)+1,Constants!$B$14),$Z147))</f>
        <v/>
      </c>
      <c r="AO147" s="62" t="str">
        <f aca="false">IF(ISBLANK($C147),"",IF($Z147=Constants!$B$7,IF(ISNUMBER(AK147),AK147-AN147,Constants!$B$14),$Z147))</f>
        <v/>
      </c>
      <c r="AP147" s="64"/>
      <c r="AQ147" s="65" t="str">
        <f aca="false">IF(ISBLANK($C147),"",IF($Z147&lt;&gt;Constants!$B$7,"",AH147))</f>
        <v/>
      </c>
      <c r="AR147" s="80" t="str">
        <f aca="false">IF(ISBLANK($C147),"",IF($Z147&lt;&gt;Constants!$B$7,"",IF(AH147=1,AB147,AE147)))</f>
        <v/>
      </c>
      <c r="AS147" s="67" t="str">
        <f aca="false">IF(ISBLANK($C147),"",IF($Z147&lt;&gt;Constants!$B$7,"",IF(AH147=1,AC147,AF147)))</f>
        <v/>
      </c>
      <c r="AT147" s="68" t="str">
        <f aca="false">IF(ISBLANK($C147),"",IF($Z147&lt;&gt;Constants!$B$7,$Z147,AJ147))</f>
        <v/>
      </c>
      <c r="AU147" s="69" t="str">
        <f aca="false">IF(ISBLANK($C147),"",IF($Z147&lt;&gt;Constants!$B$7,$Z147,AA147))</f>
        <v/>
      </c>
      <c r="AV147" s="70" t="str">
        <f aca="false">IF(ISBLANK($C147),"",AO147)</f>
        <v/>
      </c>
      <c r="AW147" s="70" t="str">
        <f aca="false">IF(ISBLANK($C147),"",AN147)</f>
        <v/>
      </c>
      <c r="AX147" s="71" t="str">
        <f aca="false">IF(ISBLANK($C147),"",IFERROR(_xlfn.SWITCH(AW147,Constants!$B$4,COUNTA($C$8:$C$507)+2,Constants!$B$5,COUNTA($C$8:$C$507)+1,Constants!$B$6,COUNTA($C$8:$C$507)),AW147))</f>
        <v/>
      </c>
      <c r="AY147" s="5"/>
      <c r="AZ147" s="72" t="n">
        <f aca="false">IF(OR(ISNUMBER(AW147),AW147=Constants!$B$4,AW147=Constants!$B$6,AW147=Constants!$B$5),1,0)</f>
        <v>0</v>
      </c>
      <c r="BA147" s="72" t="n">
        <v>140</v>
      </c>
      <c r="BB147" s="72" t="str">
        <f aca="false">IF(ISBLANK($C147),"",IF(ISNUMBER(AX147),AX147+ROW($B147)/1000,""))</f>
        <v/>
      </c>
      <c r="BC147" s="72" t="str">
        <f aca="false">IF(ISNUMBER(BB147),RANK(BB147,$BB$8:$BB$507,1),"")</f>
        <v/>
      </c>
      <c r="BD147" s="72" t="str">
        <f aca="false">IF(ISBLANK($C147),"",$B147)</f>
        <v/>
      </c>
      <c r="BE147" s="72" t="str">
        <f aca="false">IF(ISBLANK($C147),"",$C147)</f>
        <v/>
      </c>
      <c r="BF147" s="72" t="str">
        <f aca="false">IF(ISBLANK($C147),"",$D147)</f>
        <v/>
      </c>
      <c r="BG147" s="73" t="str">
        <f aca="false">AU147</f>
        <v/>
      </c>
      <c r="BH147" s="74" t="str">
        <f aca="false">AT147</f>
        <v/>
      </c>
      <c r="BI147" s="72" t="str">
        <f aca="false">IF(ISBLANK($C147),"",AW147)</f>
        <v/>
      </c>
      <c r="BJ147" s="75" t="str">
        <f aca="false">IF($BA147&gt;$AZ$7,"",VLOOKUP($BA147,$BC$8:$BI$507,7,FALSE()))</f>
        <v/>
      </c>
      <c r="BK147" s="76" t="str">
        <f aca="false">IF($BA147&gt;$AZ$7,"",VLOOKUP($BA147,$BC$8:$BI$507,2,FALSE()))</f>
        <v/>
      </c>
      <c r="BL147" s="76" t="str">
        <f aca="false">IF($BA147&gt;$AZ$7,"",VLOOKUP($BA147,$BC$8:$BI$507,3,FALSE()))</f>
        <v/>
      </c>
      <c r="BM147" s="76" t="str">
        <f aca="false">IF($BA147&gt;$AZ$7,"",VLOOKUP($BA147,$BC$8:$BI$507,4,FALSE()))</f>
        <v/>
      </c>
      <c r="BN147" s="76" t="str">
        <f aca="false">IF($BA147&gt;$AZ$7,"",VLOOKUP($BA147,$BC$8:$BI$507,5,FALSE()))</f>
        <v/>
      </c>
      <c r="BO147" s="77" t="str">
        <f aca="false">IF($BA147&gt;$AZ$7,"",VLOOKUP($BA147,$BC$8:$BI$507,6,FALSE()))</f>
        <v/>
      </c>
      <c r="BP147" s="52"/>
    </row>
    <row r="148" customFormat="false" ht="15.75" hidden="false" customHeight="false" outlineLevel="0" collapsed="false">
      <c r="A148" s="5"/>
      <c r="B148" s="118"/>
      <c r="C148" s="54"/>
      <c r="D148" s="55"/>
      <c r="E148" s="79"/>
      <c r="F148" s="57"/>
      <c r="G148" s="58"/>
      <c r="H148" s="58"/>
      <c r="I148" s="57"/>
      <c r="J148" s="58"/>
      <c r="K148" s="58"/>
      <c r="L148" s="57"/>
      <c r="M148" s="79"/>
      <c r="N148" s="60"/>
      <c r="O148" s="62" t="str">
        <f aca="false">IF(ISBLANK($C148),"",IF(E148=Constants!$B$2, TRUE(), IF(E148=Constants!$B$3, FALSE(), TRUE())))</f>
        <v/>
      </c>
      <c r="P148" s="62" t="str">
        <f aca="false">IF(ISBLANK($C148),"",IF(F148=Constants!$B$16,Constants!$B$9,IF(F148=Constants!$B$17,Constants!$B$10,Constants!$B$8)))</f>
        <v/>
      </c>
      <c r="Q148" s="62" t="str">
        <f aca="false">IF(ISBLANK($C148),"",IF(ISNUMBER(G148),IF(G148&gt;=0,G148,""),""))</f>
        <v/>
      </c>
      <c r="R148" s="62" t="str">
        <f aca="false">IF(ISBLANK($C148),"",IF(H148=Constants!$B$2, TRUE(), IF(H148=Constants!$B$3, FALSE(), TRUE())))</f>
        <v/>
      </c>
      <c r="S148" s="62" t="str">
        <f aca="false">IF(ISBLANK($C148),"",IF(I148=Constants!$B$2, TRUE(), IF(I148=Constants!$B$3, FALSE(), TRUE())))</f>
        <v/>
      </c>
      <c r="T148" s="62" t="str">
        <f aca="false">IF(ISBLANK($C148),"",IF(ISNUMBER(J148),IF(J148&gt;=0,J148,""),""))</f>
        <v/>
      </c>
      <c r="U148" s="62" t="str">
        <f aca="false">IF(ISBLANK($C148),"",IF(K148=Constants!$B$2, TRUE(), IF(K148=Constants!$B$3, FALSE(), TRUE())))</f>
        <v/>
      </c>
      <c r="V148" s="62" t="str">
        <f aca="false">IF(ISBLANK($C148),"",IF(L148=Constants!$B$2, TRUE(), IF(L148=Constants!$B$3, FALSE(), TRUE())))</f>
        <v/>
      </c>
      <c r="W148" s="62" t="str">
        <f aca="false">IF(ISBLANK($C148),"",IF(M148=Constants!$B$2, TRUE(), IF(M148=Constants!$B$3, FALSE(), FALSE())))</f>
        <v/>
      </c>
      <c r="X148" s="62" t="str">
        <f aca="false">IF(ISBLANK($C148),"",AND(Q148&lt;&gt;"",O148))</f>
        <v/>
      </c>
      <c r="Y148" s="62" t="str">
        <f aca="false">IF(ISBLANK($C148),"",AND(T148&lt;&gt;"",O148))</f>
        <v/>
      </c>
      <c r="Z148" s="62" t="str">
        <f aca="false">IF(ISBLANK($C148),"",IF(W148,Constants!$B$4,IF(COUNTA(E148:L148)=0,Constants!$B$5,IF(NOT(O148),Constants!$B$6,IF(AND(NOT(X148),NOT(Y148)),Constants!$B$6,Constants!$B$7)))))</f>
        <v/>
      </c>
      <c r="AA148" s="62" t="str">
        <f aca="false">IF(ISBLANK($C148),"",IF($Z148&lt;&gt;Constants!$B$7,$Z148,Constants!$B$20))</f>
        <v/>
      </c>
      <c r="AB148" s="62" t="str">
        <f aca="false">IF($Z148=Constants!$B$7,IF(X148,Q148,Constants!$B$13),"")</f>
        <v/>
      </c>
      <c r="AC148" s="62" t="str">
        <f aca="false">IF($Z148=Constants!$B$7,IF(X148,P148*IF(R148, 1, Constants!$B$11)*IF(S148, 1, Constants!$B$12),Constants!$B$13),"")</f>
        <v/>
      </c>
      <c r="AD148" s="62" t="str">
        <f aca="false">IF($Z148=Constants!$B$7,AB148*AC148,"")</f>
        <v/>
      </c>
      <c r="AE148" s="62" t="str">
        <f aca="false">IF($Z148=Constants!$B$7,IF(Y148,T148,Constants!$B$13),"")</f>
        <v/>
      </c>
      <c r="AF148" s="62" t="str">
        <f aca="false">IF($Z148=Constants!$B$7,IF(Y148,P148*IF(U148, 1, Constants!$B$11)*IF(V148, 1, Constants!$B$12),Constants!$B$13),"")</f>
        <v/>
      </c>
      <c r="AG148" s="62" t="str">
        <f aca="false">IF($Z148=Constants!$B$7,AE148*AF148,"")</f>
        <v/>
      </c>
      <c r="AH148" s="62" t="str">
        <f aca="false">IF($Z148=Constants!$B$7,IF(AG148&gt;AD148,2,1),"")</f>
        <v/>
      </c>
      <c r="AI148" s="62" t="str">
        <f aca="false">IF($Z148=Constants!$B$7,IF(AH148=1,2,1),"")</f>
        <v/>
      </c>
      <c r="AJ148" s="62" t="str">
        <f aca="false">IF(ISBLANK($C148),"",IF($Z148&lt;&gt;Constants!$B$7,$Z148,IF(AH148=1,AD148,AG148)))</f>
        <v/>
      </c>
      <c r="AK148" s="62" t="str">
        <f aca="false">IF(ISBLANK($C148),"",IF($Z148=Constants!$B$7,IF(ISNUMBER(AJ148),RANK(AJ148,$AJ$8:$AJ$507),Constants!$B$14),$Z148))</f>
        <v/>
      </c>
      <c r="AL148" s="62" t="str">
        <f aca="false">IF(ISBLANK($C148),"",IF($Z148=Constants!$B$7,IF(AI148=1,AD148,AG148),""))</f>
        <v/>
      </c>
      <c r="AM148" s="62" t="str">
        <f aca="false">IF(ISBLANK($C148),"",IF($Z148=Constants!$B$7,RANK(AL148,$AL$8:$AL$507),$Z148))</f>
        <v/>
      </c>
      <c r="AN148" s="62" t="str">
        <f aca="false">IF(ISBLANK($C148),"",IF($Z148=Constants!$B$7,IF(ISNUMBER(AK148),COUNTIFS($AK$8:$AK$507,"&lt;"&amp;$AK148)+COUNTIFS($AK$8:$AK$507,$AK148,$AM$8:$AM$507,"&lt;"&amp;$AM148)+1,Constants!$B$14),$Z148))</f>
        <v/>
      </c>
      <c r="AO148" s="62" t="str">
        <f aca="false">IF(ISBLANK($C148),"",IF($Z148=Constants!$B$7,IF(ISNUMBER(AK148),AK148-AN148,Constants!$B$14),$Z148))</f>
        <v/>
      </c>
      <c r="AP148" s="64"/>
      <c r="AQ148" s="65" t="str">
        <f aca="false">IF(ISBLANK($C148),"",IF($Z148&lt;&gt;Constants!$B$7,"",AH148))</f>
        <v/>
      </c>
      <c r="AR148" s="80" t="str">
        <f aca="false">IF(ISBLANK($C148),"",IF($Z148&lt;&gt;Constants!$B$7,"",IF(AH148=1,AB148,AE148)))</f>
        <v/>
      </c>
      <c r="AS148" s="67" t="str">
        <f aca="false">IF(ISBLANK($C148),"",IF($Z148&lt;&gt;Constants!$B$7,"",IF(AH148=1,AC148,AF148)))</f>
        <v/>
      </c>
      <c r="AT148" s="68" t="str">
        <f aca="false">IF(ISBLANK($C148),"",IF($Z148&lt;&gt;Constants!$B$7,$Z148,AJ148))</f>
        <v/>
      </c>
      <c r="AU148" s="69" t="str">
        <f aca="false">IF(ISBLANK($C148),"",IF($Z148&lt;&gt;Constants!$B$7,$Z148,AA148))</f>
        <v/>
      </c>
      <c r="AV148" s="70" t="str">
        <f aca="false">IF(ISBLANK($C148),"",AO148)</f>
        <v/>
      </c>
      <c r="AW148" s="70" t="str">
        <f aca="false">IF(ISBLANK($C148),"",AN148)</f>
        <v/>
      </c>
      <c r="AX148" s="71" t="str">
        <f aca="false">IF(ISBLANK($C148),"",IFERROR(_xlfn.SWITCH(AW148,Constants!$B$4,COUNTA($C$8:$C$507)+2,Constants!$B$5,COUNTA($C$8:$C$507)+1,Constants!$B$6,COUNTA($C$8:$C$507)),AW148))</f>
        <v/>
      </c>
      <c r="AY148" s="5"/>
      <c r="AZ148" s="72" t="n">
        <f aca="false">IF(OR(ISNUMBER(AW148),AW148=Constants!$B$4,AW148=Constants!$B$6,AW148=Constants!$B$5),1,0)</f>
        <v>0</v>
      </c>
      <c r="BA148" s="72" t="n">
        <v>141</v>
      </c>
      <c r="BB148" s="72" t="str">
        <f aca="false">IF(ISBLANK($C148),"",IF(ISNUMBER(AX148),AX148+ROW($B148)/1000,""))</f>
        <v/>
      </c>
      <c r="BC148" s="72" t="str">
        <f aca="false">IF(ISNUMBER(BB148),RANK(BB148,$BB$8:$BB$507,1),"")</f>
        <v/>
      </c>
      <c r="BD148" s="72" t="str">
        <f aca="false">IF(ISBLANK($C148),"",$B148)</f>
        <v/>
      </c>
      <c r="BE148" s="72" t="str">
        <f aca="false">IF(ISBLANK($C148),"",$C148)</f>
        <v/>
      </c>
      <c r="BF148" s="72" t="str">
        <f aca="false">IF(ISBLANK($C148),"",$D148)</f>
        <v/>
      </c>
      <c r="BG148" s="73" t="str">
        <f aca="false">AU148</f>
        <v/>
      </c>
      <c r="BH148" s="74" t="str">
        <f aca="false">AT148</f>
        <v/>
      </c>
      <c r="BI148" s="72" t="str">
        <f aca="false">IF(ISBLANK($C148),"",AW148)</f>
        <v/>
      </c>
      <c r="BJ148" s="75" t="str">
        <f aca="false">IF($BA148&gt;$AZ$7,"",VLOOKUP($BA148,$BC$8:$BI$507,7,FALSE()))</f>
        <v/>
      </c>
      <c r="BK148" s="76" t="str">
        <f aca="false">IF($BA148&gt;$AZ$7,"",VLOOKUP($BA148,$BC$8:$BI$507,2,FALSE()))</f>
        <v/>
      </c>
      <c r="BL148" s="76" t="str">
        <f aca="false">IF($BA148&gt;$AZ$7,"",VLOOKUP($BA148,$BC$8:$BI$507,3,FALSE()))</f>
        <v/>
      </c>
      <c r="BM148" s="76" t="str">
        <f aca="false">IF($BA148&gt;$AZ$7,"",VLOOKUP($BA148,$BC$8:$BI$507,4,FALSE()))</f>
        <v/>
      </c>
      <c r="BN148" s="76" t="str">
        <f aca="false">IF($BA148&gt;$AZ$7,"",VLOOKUP($BA148,$BC$8:$BI$507,5,FALSE()))</f>
        <v/>
      </c>
      <c r="BO148" s="77" t="str">
        <f aca="false">IF($BA148&gt;$AZ$7,"",VLOOKUP($BA148,$BC$8:$BI$507,6,FALSE()))</f>
        <v/>
      </c>
      <c r="BP148" s="52"/>
    </row>
    <row r="149" customFormat="false" ht="15.75" hidden="false" customHeight="false" outlineLevel="0" collapsed="false">
      <c r="A149" s="5"/>
      <c r="B149" s="114"/>
      <c r="C149" s="115"/>
      <c r="D149" s="106"/>
      <c r="E149" s="117"/>
      <c r="F149" s="87"/>
      <c r="G149" s="88"/>
      <c r="H149" s="88"/>
      <c r="I149" s="87"/>
      <c r="J149" s="88"/>
      <c r="K149" s="88"/>
      <c r="L149" s="87"/>
      <c r="M149" s="117"/>
      <c r="N149" s="90"/>
      <c r="O149" s="91" t="str">
        <f aca="false">IF(ISBLANK($C149),"",IF(E149=Constants!$B$2, TRUE(), IF(E149=Constants!$B$3, FALSE(), TRUE())))</f>
        <v/>
      </c>
      <c r="P149" s="91" t="str">
        <f aca="false">IF(ISBLANK($C149),"",IF(F149=Constants!$B$16,Constants!$B$9,IF(F149=Constants!$B$17,Constants!$B$10,Constants!$B$8)))</f>
        <v/>
      </c>
      <c r="Q149" s="91" t="str">
        <f aca="false">IF(ISBLANK($C149),"",IF(ISNUMBER(G149),IF(G149&gt;=0,G149,""),""))</f>
        <v/>
      </c>
      <c r="R149" s="91" t="str">
        <f aca="false">IF(ISBLANK($C149),"",IF(H149=Constants!$B$2, TRUE(), IF(H149=Constants!$B$3, FALSE(), TRUE())))</f>
        <v/>
      </c>
      <c r="S149" s="91" t="str">
        <f aca="false">IF(ISBLANK($C149),"",IF(I149=Constants!$B$2, TRUE(), IF(I149=Constants!$B$3, FALSE(), TRUE())))</f>
        <v/>
      </c>
      <c r="T149" s="91" t="str">
        <f aca="false">IF(ISBLANK($C149),"",IF(ISNUMBER(J149),IF(J149&gt;=0,J149,""),""))</f>
        <v/>
      </c>
      <c r="U149" s="91" t="str">
        <f aca="false">IF(ISBLANK($C149),"",IF(K149=Constants!$B$2, TRUE(), IF(K149=Constants!$B$3, FALSE(), TRUE())))</f>
        <v/>
      </c>
      <c r="V149" s="91" t="str">
        <f aca="false">IF(ISBLANK($C149),"",IF(L149=Constants!$B$2, TRUE(), IF(L149=Constants!$B$3, FALSE(), TRUE())))</f>
        <v/>
      </c>
      <c r="W149" s="91" t="str">
        <f aca="false">IF(ISBLANK($C149),"",IF(M149=Constants!$B$2, TRUE(), IF(M149=Constants!$B$3, FALSE(), FALSE())))</f>
        <v/>
      </c>
      <c r="X149" s="91" t="str">
        <f aca="false">IF(ISBLANK($C149),"",AND(Q149&lt;&gt;"",O149))</f>
        <v/>
      </c>
      <c r="Y149" s="91" t="str">
        <f aca="false">IF(ISBLANK($C149),"",AND(T149&lt;&gt;"",O149))</f>
        <v/>
      </c>
      <c r="Z149" s="91" t="str">
        <f aca="false">IF(ISBLANK($C149),"",IF(W149,Constants!$B$4,IF(COUNTA(E149:L149)=0,Constants!$B$5,IF(NOT(O149),Constants!$B$6,IF(AND(NOT(X149),NOT(Y149)),Constants!$B$6,Constants!$B$7)))))</f>
        <v/>
      </c>
      <c r="AA149" s="91" t="str">
        <f aca="false">IF(ISBLANK($C149),"",IF($Z149&lt;&gt;Constants!$B$7,$Z149,Constants!$B$20))</f>
        <v/>
      </c>
      <c r="AB149" s="91" t="str">
        <f aca="false">IF($Z149=Constants!$B$7,IF(X149,Q149,Constants!$B$13),"")</f>
        <v/>
      </c>
      <c r="AC149" s="91" t="str">
        <f aca="false">IF($Z149=Constants!$B$7,IF(X149,P149*IF(R149, 1, Constants!$B$11)*IF(S149, 1, Constants!$B$12),Constants!$B$13),"")</f>
        <v/>
      </c>
      <c r="AD149" s="91" t="str">
        <f aca="false">IF($Z149=Constants!$B$7,AB149*AC149,"")</f>
        <v/>
      </c>
      <c r="AE149" s="91" t="str">
        <f aca="false">IF($Z149=Constants!$B$7,IF(Y149,T149,Constants!$B$13),"")</f>
        <v/>
      </c>
      <c r="AF149" s="91" t="str">
        <f aca="false">IF($Z149=Constants!$B$7,IF(Y149,P149*IF(U149, 1, Constants!$B$11)*IF(V149, 1, Constants!$B$12),Constants!$B$13),"")</f>
        <v/>
      </c>
      <c r="AG149" s="91" t="str">
        <f aca="false">IF($Z149=Constants!$B$7,AE149*AF149,"")</f>
        <v/>
      </c>
      <c r="AH149" s="91" t="str">
        <f aca="false">IF($Z149=Constants!$B$7,IF(AG149&gt;AD149,2,1),"")</f>
        <v/>
      </c>
      <c r="AI149" s="91" t="str">
        <f aca="false">IF($Z149=Constants!$B$7,IF(AH149=1,2,1),"")</f>
        <v/>
      </c>
      <c r="AJ149" s="91" t="str">
        <f aca="false">IF(ISBLANK($C149),"",IF($Z149&lt;&gt;Constants!$B$7,$Z149,IF(AH149=1,AD149,AG149)))</f>
        <v/>
      </c>
      <c r="AK149" s="91" t="str">
        <f aca="false">IF(ISBLANK($C149),"",IF($Z149=Constants!$B$7,IF(ISNUMBER(AJ149),RANK(AJ149,$AJ$8:$AJ$507),Constants!$B$14),$Z149))</f>
        <v/>
      </c>
      <c r="AL149" s="91" t="str">
        <f aca="false">IF(ISBLANK($C149),"",IF($Z149=Constants!$B$7,IF(AI149=1,AD149,AG149),""))</f>
        <v/>
      </c>
      <c r="AM149" s="91" t="str">
        <f aca="false">IF(ISBLANK($C149),"",IF($Z149=Constants!$B$7,RANK(AL149,$AL$8:$AL$507),$Z149))</f>
        <v/>
      </c>
      <c r="AN149" s="91" t="str">
        <f aca="false">IF(ISBLANK($C149),"",IF($Z149=Constants!$B$7,IF(ISNUMBER(AK149),COUNTIFS($AK$8:$AK$507,"&lt;"&amp;$AK149)+COUNTIFS($AK$8:$AK$507,$AK149,$AM$8:$AM$507,"&lt;"&amp;$AM149)+1,Constants!$B$14),$Z149))</f>
        <v/>
      </c>
      <c r="AO149" s="91" t="str">
        <f aca="false">IF(ISBLANK($C149),"",IF($Z149=Constants!$B$7,IF(ISNUMBER(AK149),AK149-AN149,Constants!$B$14),$Z149))</f>
        <v/>
      </c>
      <c r="AP149" s="92"/>
      <c r="AQ149" s="93" t="str">
        <f aca="false">IF(ISBLANK($C149),"",IF($Z149&lt;&gt;Constants!$B$7,"",AH149))</f>
        <v/>
      </c>
      <c r="AR149" s="94" t="str">
        <f aca="false">IF(ISBLANK($C149),"",IF($Z149&lt;&gt;Constants!$B$7,"",IF(AH149=1,AB149,AE149)))</f>
        <v/>
      </c>
      <c r="AS149" s="95" t="str">
        <f aca="false">IF(ISBLANK($C149),"",IF($Z149&lt;&gt;Constants!$B$7,"",IF(AH149=1,AC149,AF149)))</f>
        <v/>
      </c>
      <c r="AT149" s="96" t="str">
        <f aca="false">IF(ISBLANK($C149),"",IF($Z149&lt;&gt;Constants!$B$7,$Z149,AJ149))</f>
        <v/>
      </c>
      <c r="AU149" s="97" t="str">
        <f aca="false">IF(ISBLANK($C149),"",IF($Z149&lt;&gt;Constants!$B$7,$Z149,AA149))</f>
        <v/>
      </c>
      <c r="AV149" s="98" t="str">
        <f aca="false">IF(ISBLANK($C149),"",AO149)</f>
        <v/>
      </c>
      <c r="AW149" s="98" t="str">
        <f aca="false">IF(ISBLANK($C149),"",AN149)</f>
        <v/>
      </c>
      <c r="AX149" s="99" t="str">
        <f aca="false">IF(ISBLANK($C149),"",IFERROR(_xlfn.SWITCH(AW149,Constants!$B$4,COUNTA($C$8:$C$507)+2,Constants!$B$5,COUNTA($C$8:$C$507)+1,Constants!$B$6,COUNTA($C$8:$C$507)),AW149))</f>
        <v/>
      </c>
      <c r="AY149" s="5"/>
      <c r="AZ149" s="100" t="n">
        <f aca="false">IF(OR(ISNUMBER(AW149),AW149=Constants!$B$4,AW149=Constants!$B$6,AW149=Constants!$B$5),1,0)</f>
        <v>0</v>
      </c>
      <c r="BA149" s="100" t="n">
        <v>142</v>
      </c>
      <c r="BB149" s="100" t="str">
        <f aca="false">IF(ISBLANK($C149),"",IF(ISNUMBER(AX149),AX149+ROW($B149)/1000,""))</f>
        <v/>
      </c>
      <c r="BC149" s="100" t="str">
        <f aca="false">IF(ISNUMBER(BB149),RANK(BB149,$BB$8:$BB$507,1),"")</f>
        <v/>
      </c>
      <c r="BD149" s="100" t="str">
        <f aca="false">IF(ISBLANK($C149),"",$B149)</f>
        <v/>
      </c>
      <c r="BE149" s="100" t="str">
        <f aca="false">IF(ISBLANK($C149),"",$C149)</f>
        <v/>
      </c>
      <c r="BF149" s="100" t="str">
        <f aca="false">IF(ISBLANK($C149),"",$D149)</f>
        <v/>
      </c>
      <c r="BG149" s="101" t="str">
        <f aca="false">AU149</f>
        <v/>
      </c>
      <c r="BH149" s="102" t="str">
        <f aca="false">AT149</f>
        <v/>
      </c>
      <c r="BI149" s="100" t="str">
        <f aca="false">IF(ISBLANK($C149),"",AW149)</f>
        <v/>
      </c>
      <c r="BJ149" s="103" t="str">
        <f aca="false">IF($BA149&gt;$AZ$7,"",VLOOKUP($BA149,$BC$8:$BI$507,7,FALSE()))</f>
        <v/>
      </c>
      <c r="BK149" s="104" t="str">
        <f aca="false">IF($BA149&gt;$AZ$7,"",VLOOKUP($BA149,$BC$8:$BI$507,2,FALSE()))</f>
        <v/>
      </c>
      <c r="BL149" s="104" t="str">
        <f aca="false">IF($BA149&gt;$AZ$7,"",VLOOKUP($BA149,$BC$8:$BI$507,3,FALSE()))</f>
        <v/>
      </c>
      <c r="BM149" s="104" t="str">
        <f aca="false">IF($BA149&gt;$AZ$7,"",VLOOKUP($BA149,$BC$8:$BI$507,4,FALSE()))</f>
        <v/>
      </c>
      <c r="BN149" s="104" t="str">
        <f aca="false">IF($BA149&gt;$AZ$7,"",VLOOKUP($BA149,$BC$8:$BI$507,5,FALSE()))</f>
        <v/>
      </c>
      <c r="BO149" s="105" t="str">
        <f aca="false">IF($BA149&gt;$AZ$7,"",VLOOKUP($BA149,$BC$8:$BI$507,6,FALSE()))</f>
        <v/>
      </c>
      <c r="BP149" s="52"/>
    </row>
    <row r="150" customFormat="false" ht="15.75" hidden="false" customHeight="false" outlineLevel="0" collapsed="false">
      <c r="A150" s="5"/>
      <c r="B150" s="114"/>
      <c r="C150" s="115"/>
      <c r="D150" s="106"/>
      <c r="E150" s="117"/>
      <c r="F150" s="87"/>
      <c r="G150" s="88"/>
      <c r="H150" s="88"/>
      <c r="I150" s="87"/>
      <c r="J150" s="88"/>
      <c r="K150" s="88"/>
      <c r="L150" s="87"/>
      <c r="M150" s="117"/>
      <c r="N150" s="90"/>
      <c r="O150" s="91" t="str">
        <f aca="false">IF(ISBLANK($C150),"",IF(E150=Constants!$B$2, TRUE(), IF(E150=Constants!$B$3, FALSE(), TRUE())))</f>
        <v/>
      </c>
      <c r="P150" s="91" t="str">
        <f aca="false">IF(ISBLANK($C150),"",IF(F150=Constants!$B$16,Constants!$B$9,IF(F150=Constants!$B$17,Constants!$B$10,Constants!$B$8)))</f>
        <v/>
      </c>
      <c r="Q150" s="91" t="str">
        <f aca="false">IF(ISBLANK($C150),"",IF(ISNUMBER(G150),IF(G150&gt;=0,G150,""),""))</f>
        <v/>
      </c>
      <c r="R150" s="91" t="str">
        <f aca="false">IF(ISBLANK($C150),"",IF(H150=Constants!$B$2, TRUE(), IF(H150=Constants!$B$3, FALSE(), TRUE())))</f>
        <v/>
      </c>
      <c r="S150" s="91" t="str">
        <f aca="false">IF(ISBLANK($C150),"",IF(I150=Constants!$B$2, TRUE(), IF(I150=Constants!$B$3, FALSE(), TRUE())))</f>
        <v/>
      </c>
      <c r="T150" s="91" t="str">
        <f aca="false">IF(ISBLANK($C150),"",IF(ISNUMBER(J150),IF(J150&gt;=0,J150,""),""))</f>
        <v/>
      </c>
      <c r="U150" s="91" t="str">
        <f aca="false">IF(ISBLANK($C150),"",IF(K150=Constants!$B$2, TRUE(), IF(K150=Constants!$B$3, FALSE(), TRUE())))</f>
        <v/>
      </c>
      <c r="V150" s="91" t="str">
        <f aca="false">IF(ISBLANK($C150),"",IF(L150=Constants!$B$2, TRUE(), IF(L150=Constants!$B$3, FALSE(), TRUE())))</f>
        <v/>
      </c>
      <c r="W150" s="91" t="str">
        <f aca="false">IF(ISBLANK($C150),"",IF(M150=Constants!$B$2, TRUE(), IF(M150=Constants!$B$3, FALSE(), FALSE())))</f>
        <v/>
      </c>
      <c r="X150" s="91" t="str">
        <f aca="false">IF(ISBLANK($C150),"",AND(Q150&lt;&gt;"",O150))</f>
        <v/>
      </c>
      <c r="Y150" s="91" t="str">
        <f aca="false">IF(ISBLANK($C150),"",AND(T150&lt;&gt;"",O150))</f>
        <v/>
      </c>
      <c r="Z150" s="91" t="str">
        <f aca="false">IF(ISBLANK($C150),"",IF(W150,Constants!$B$4,IF(COUNTA(E150:L150)=0,Constants!$B$5,IF(NOT(O150),Constants!$B$6,IF(AND(NOT(X150),NOT(Y150)),Constants!$B$6,Constants!$B$7)))))</f>
        <v/>
      </c>
      <c r="AA150" s="91" t="str">
        <f aca="false">IF(ISBLANK($C150),"",IF($Z150&lt;&gt;Constants!$B$7,$Z150,Constants!$B$20))</f>
        <v/>
      </c>
      <c r="AB150" s="91" t="str">
        <f aca="false">IF($Z150=Constants!$B$7,IF(X150,Q150,Constants!$B$13),"")</f>
        <v/>
      </c>
      <c r="AC150" s="91" t="str">
        <f aca="false">IF($Z150=Constants!$B$7,IF(X150,P150*IF(R150, 1, Constants!$B$11)*IF(S150, 1, Constants!$B$12),Constants!$B$13),"")</f>
        <v/>
      </c>
      <c r="AD150" s="91" t="str">
        <f aca="false">IF($Z150=Constants!$B$7,AB150*AC150,"")</f>
        <v/>
      </c>
      <c r="AE150" s="91" t="str">
        <f aca="false">IF($Z150=Constants!$B$7,IF(Y150,T150,Constants!$B$13),"")</f>
        <v/>
      </c>
      <c r="AF150" s="91" t="str">
        <f aca="false">IF($Z150=Constants!$B$7,IF(Y150,P150*IF(U150, 1, Constants!$B$11)*IF(V150, 1, Constants!$B$12),Constants!$B$13),"")</f>
        <v/>
      </c>
      <c r="AG150" s="91" t="str">
        <f aca="false">IF($Z150=Constants!$B$7,AE150*AF150,"")</f>
        <v/>
      </c>
      <c r="AH150" s="91" t="str">
        <f aca="false">IF($Z150=Constants!$B$7,IF(AG150&gt;AD150,2,1),"")</f>
        <v/>
      </c>
      <c r="AI150" s="91" t="str">
        <f aca="false">IF($Z150=Constants!$B$7,IF(AH150=1,2,1),"")</f>
        <v/>
      </c>
      <c r="AJ150" s="91" t="str">
        <f aca="false">IF(ISBLANK($C150),"",IF($Z150&lt;&gt;Constants!$B$7,$Z150,IF(AH150=1,AD150,AG150)))</f>
        <v/>
      </c>
      <c r="AK150" s="91" t="str">
        <f aca="false">IF(ISBLANK($C150),"",IF($Z150=Constants!$B$7,IF(ISNUMBER(AJ150),RANK(AJ150,$AJ$8:$AJ$507),Constants!$B$14),$Z150))</f>
        <v/>
      </c>
      <c r="AL150" s="91" t="str">
        <f aca="false">IF(ISBLANK($C150),"",IF($Z150=Constants!$B$7,IF(AI150=1,AD150,AG150),""))</f>
        <v/>
      </c>
      <c r="AM150" s="91" t="str">
        <f aca="false">IF(ISBLANK($C150),"",IF($Z150=Constants!$B$7,RANK(AL150,$AL$8:$AL$507),$Z150))</f>
        <v/>
      </c>
      <c r="AN150" s="91" t="str">
        <f aca="false">IF(ISBLANK($C150),"",IF($Z150=Constants!$B$7,IF(ISNUMBER(AK150),COUNTIFS($AK$8:$AK$507,"&lt;"&amp;$AK150)+COUNTIFS($AK$8:$AK$507,$AK150,$AM$8:$AM$507,"&lt;"&amp;$AM150)+1,Constants!$B$14),$Z150))</f>
        <v/>
      </c>
      <c r="AO150" s="91" t="str">
        <f aca="false">IF(ISBLANK($C150),"",IF($Z150=Constants!$B$7,IF(ISNUMBER(AK150),AK150-AN150,Constants!$B$14),$Z150))</f>
        <v/>
      </c>
      <c r="AP150" s="92"/>
      <c r="AQ150" s="93" t="str">
        <f aca="false">IF(ISBLANK($C150),"",IF($Z150&lt;&gt;Constants!$B$7,"",AH150))</f>
        <v/>
      </c>
      <c r="AR150" s="94" t="str">
        <f aca="false">IF(ISBLANK($C150),"",IF($Z150&lt;&gt;Constants!$B$7,"",IF(AH150=1,AB150,AE150)))</f>
        <v/>
      </c>
      <c r="AS150" s="95" t="str">
        <f aca="false">IF(ISBLANK($C150),"",IF($Z150&lt;&gt;Constants!$B$7,"",IF(AH150=1,AC150,AF150)))</f>
        <v/>
      </c>
      <c r="AT150" s="96" t="str">
        <f aca="false">IF(ISBLANK($C150),"",IF($Z150&lt;&gt;Constants!$B$7,$Z150,AJ150))</f>
        <v/>
      </c>
      <c r="AU150" s="97" t="str">
        <f aca="false">IF(ISBLANK($C150),"",IF($Z150&lt;&gt;Constants!$B$7,$Z150,AA150))</f>
        <v/>
      </c>
      <c r="AV150" s="98" t="str">
        <f aca="false">IF(ISBLANK($C150),"",AO150)</f>
        <v/>
      </c>
      <c r="AW150" s="98" t="str">
        <f aca="false">IF(ISBLANK($C150),"",AN150)</f>
        <v/>
      </c>
      <c r="AX150" s="99" t="str">
        <f aca="false">IF(ISBLANK($C150),"",IFERROR(_xlfn.SWITCH(AW150,Constants!$B$4,COUNTA($C$8:$C$507)+2,Constants!$B$5,COUNTA($C$8:$C$507)+1,Constants!$B$6,COUNTA($C$8:$C$507)),AW150))</f>
        <v/>
      </c>
      <c r="AY150" s="5"/>
      <c r="AZ150" s="100" t="n">
        <f aca="false">IF(OR(ISNUMBER(AW150),AW150=Constants!$B$4,AW150=Constants!$B$6,AW150=Constants!$B$5),1,0)</f>
        <v>0</v>
      </c>
      <c r="BA150" s="100" t="n">
        <v>143</v>
      </c>
      <c r="BB150" s="100" t="str">
        <f aca="false">IF(ISBLANK($C150),"",IF(ISNUMBER(AX150),AX150+ROW($B150)/1000,""))</f>
        <v/>
      </c>
      <c r="BC150" s="100" t="str">
        <f aca="false">IF(ISNUMBER(BB150),RANK(BB150,$BB$8:$BB$507,1),"")</f>
        <v/>
      </c>
      <c r="BD150" s="100" t="str">
        <f aca="false">IF(ISBLANK($C150),"",$B150)</f>
        <v/>
      </c>
      <c r="BE150" s="100" t="str">
        <f aca="false">IF(ISBLANK($C150),"",$C150)</f>
        <v/>
      </c>
      <c r="BF150" s="100" t="str">
        <f aca="false">IF(ISBLANK($C150),"",$D150)</f>
        <v/>
      </c>
      <c r="BG150" s="101" t="str">
        <f aca="false">AU150</f>
        <v/>
      </c>
      <c r="BH150" s="102" t="str">
        <f aca="false">AT150</f>
        <v/>
      </c>
      <c r="BI150" s="100" t="str">
        <f aca="false">IF(ISBLANK($C150),"",AW150)</f>
        <v/>
      </c>
      <c r="BJ150" s="103" t="str">
        <f aca="false">IF($BA150&gt;$AZ$7,"",VLOOKUP($BA150,$BC$8:$BI$507,7,FALSE()))</f>
        <v/>
      </c>
      <c r="BK150" s="104" t="str">
        <f aca="false">IF($BA150&gt;$AZ$7,"",VLOOKUP($BA150,$BC$8:$BI$507,2,FALSE()))</f>
        <v/>
      </c>
      <c r="BL150" s="104" t="str">
        <f aca="false">IF($BA150&gt;$AZ$7,"",VLOOKUP($BA150,$BC$8:$BI$507,3,FALSE()))</f>
        <v/>
      </c>
      <c r="BM150" s="104" t="str">
        <f aca="false">IF($BA150&gt;$AZ$7,"",VLOOKUP($BA150,$BC$8:$BI$507,4,FALSE()))</f>
        <v/>
      </c>
      <c r="BN150" s="104" t="str">
        <f aca="false">IF($BA150&gt;$AZ$7,"",VLOOKUP($BA150,$BC$8:$BI$507,5,FALSE()))</f>
        <v/>
      </c>
      <c r="BO150" s="105" t="str">
        <f aca="false">IF($BA150&gt;$AZ$7,"",VLOOKUP($BA150,$BC$8:$BI$507,6,FALSE()))</f>
        <v/>
      </c>
      <c r="BP150" s="52"/>
    </row>
    <row r="151" customFormat="false" ht="15.75" hidden="false" customHeight="false" outlineLevel="0" collapsed="false">
      <c r="A151" s="5"/>
      <c r="B151" s="114"/>
      <c r="C151" s="115"/>
      <c r="D151" s="106"/>
      <c r="E151" s="117"/>
      <c r="F151" s="87"/>
      <c r="G151" s="88"/>
      <c r="H151" s="88"/>
      <c r="I151" s="87"/>
      <c r="J151" s="88"/>
      <c r="K151" s="88"/>
      <c r="L151" s="87"/>
      <c r="M151" s="117"/>
      <c r="N151" s="90"/>
      <c r="O151" s="91" t="str">
        <f aca="false">IF(ISBLANK($C151),"",IF(E151=Constants!$B$2, TRUE(), IF(E151=Constants!$B$3, FALSE(), TRUE())))</f>
        <v/>
      </c>
      <c r="P151" s="91" t="str">
        <f aca="false">IF(ISBLANK($C151),"",IF(F151=Constants!$B$16,Constants!$B$9,IF(F151=Constants!$B$17,Constants!$B$10,Constants!$B$8)))</f>
        <v/>
      </c>
      <c r="Q151" s="91" t="str">
        <f aca="false">IF(ISBLANK($C151),"",IF(ISNUMBER(G151),IF(G151&gt;=0,G151,""),""))</f>
        <v/>
      </c>
      <c r="R151" s="91" t="str">
        <f aca="false">IF(ISBLANK($C151),"",IF(H151=Constants!$B$2, TRUE(), IF(H151=Constants!$B$3, FALSE(), TRUE())))</f>
        <v/>
      </c>
      <c r="S151" s="91" t="str">
        <f aca="false">IF(ISBLANK($C151),"",IF(I151=Constants!$B$2, TRUE(), IF(I151=Constants!$B$3, FALSE(), TRUE())))</f>
        <v/>
      </c>
      <c r="T151" s="91" t="str">
        <f aca="false">IF(ISBLANK($C151),"",IF(ISNUMBER(J151),IF(J151&gt;=0,J151,""),""))</f>
        <v/>
      </c>
      <c r="U151" s="91" t="str">
        <f aca="false">IF(ISBLANK($C151),"",IF(K151=Constants!$B$2, TRUE(), IF(K151=Constants!$B$3, FALSE(), TRUE())))</f>
        <v/>
      </c>
      <c r="V151" s="91" t="str">
        <f aca="false">IF(ISBLANK($C151),"",IF(L151=Constants!$B$2, TRUE(), IF(L151=Constants!$B$3, FALSE(), TRUE())))</f>
        <v/>
      </c>
      <c r="W151" s="91" t="str">
        <f aca="false">IF(ISBLANK($C151),"",IF(M151=Constants!$B$2, TRUE(), IF(M151=Constants!$B$3, FALSE(), FALSE())))</f>
        <v/>
      </c>
      <c r="X151" s="91" t="str">
        <f aca="false">IF(ISBLANK($C151),"",AND(Q151&lt;&gt;"",O151))</f>
        <v/>
      </c>
      <c r="Y151" s="91" t="str">
        <f aca="false">IF(ISBLANK($C151),"",AND(T151&lt;&gt;"",O151))</f>
        <v/>
      </c>
      <c r="Z151" s="91" t="str">
        <f aca="false">IF(ISBLANK($C151),"",IF(W151,Constants!$B$4,IF(COUNTA(E151:L151)=0,Constants!$B$5,IF(NOT(O151),Constants!$B$6,IF(AND(NOT(X151),NOT(Y151)),Constants!$B$6,Constants!$B$7)))))</f>
        <v/>
      </c>
      <c r="AA151" s="91" t="str">
        <f aca="false">IF(ISBLANK($C151),"",IF($Z151&lt;&gt;Constants!$B$7,$Z151,Constants!$B$20))</f>
        <v/>
      </c>
      <c r="AB151" s="91" t="str">
        <f aca="false">IF($Z151=Constants!$B$7,IF(X151,Q151,Constants!$B$13),"")</f>
        <v/>
      </c>
      <c r="AC151" s="91" t="str">
        <f aca="false">IF($Z151=Constants!$B$7,IF(X151,P151*IF(R151, 1, Constants!$B$11)*IF(S151, 1, Constants!$B$12),Constants!$B$13),"")</f>
        <v/>
      </c>
      <c r="AD151" s="91" t="str">
        <f aca="false">IF($Z151=Constants!$B$7,AB151*AC151,"")</f>
        <v/>
      </c>
      <c r="AE151" s="91" t="str">
        <f aca="false">IF($Z151=Constants!$B$7,IF(Y151,T151,Constants!$B$13),"")</f>
        <v/>
      </c>
      <c r="AF151" s="91" t="str">
        <f aca="false">IF($Z151=Constants!$B$7,IF(Y151,P151*IF(U151, 1, Constants!$B$11)*IF(V151, 1, Constants!$B$12),Constants!$B$13),"")</f>
        <v/>
      </c>
      <c r="AG151" s="91" t="str">
        <f aca="false">IF($Z151=Constants!$B$7,AE151*AF151,"")</f>
        <v/>
      </c>
      <c r="AH151" s="91" t="str">
        <f aca="false">IF($Z151=Constants!$B$7,IF(AG151&gt;AD151,2,1),"")</f>
        <v/>
      </c>
      <c r="AI151" s="91" t="str">
        <f aca="false">IF($Z151=Constants!$B$7,IF(AH151=1,2,1),"")</f>
        <v/>
      </c>
      <c r="AJ151" s="91" t="str">
        <f aca="false">IF(ISBLANK($C151),"",IF($Z151&lt;&gt;Constants!$B$7,$Z151,IF(AH151=1,AD151,AG151)))</f>
        <v/>
      </c>
      <c r="AK151" s="91" t="str">
        <f aca="false">IF(ISBLANK($C151),"",IF($Z151=Constants!$B$7,IF(ISNUMBER(AJ151),RANK(AJ151,$AJ$8:$AJ$507),Constants!$B$14),$Z151))</f>
        <v/>
      </c>
      <c r="AL151" s="91" t="str">
        <f aca="false">IF(ISBLANK($C151),"",IF($Z151=Constants!$B$7,IF(AI151=1,AD151,AG151),""))</f>
        <v/>
      </c>
      <c r="AM151" s="91" t="str">
        <f aca="false">IF(ISBLANK($C151),"",IF($Z151=Constants!$B$7,RANK(AL151,$AL$8:$AL$507),$Z151))</f>
        <v/>
      </c>
      <c r="AN151" s="91" t="str">
        <f aca="false">IF(ISBLANK($C151),"",IF($Z151=Constants!$B$7,IF(ISNUMBER(AK151),COUNTIFS($AK$8:$AK$507,"&lt;"&amp;$AK151)+COUNTIFS($AK$8:$AK$507,$AK151,$AM$8:$AM$507,"&lt;"&amp;$AM151)+1,Constants!$B$14),$Z151))</f>
        <v/>
      </c>
      <c r="AO151" s="91" t="str">
        <f aca="false">IF(ISBLANK($C151),"",IF($Z151=Constants!$B$7,IF(ISNUMBER(AK151),AK151-AN151,Constants!$B$14),$Z151))</f>
        <v/>
      </c>
      <c r="AP151" s="92"/>
      <c r="AQ151" s="93" t="str">
        <f aca="false">IF(ISBLANK($C151),"",IF($Z151&lt;&gt;Constants!$B$7,"",AH151))</f>
        <v/>
      </c>
      <c r="AR151" s="94" t="str">
        <f aca="false">IF(ISBLANK($C151),"",IF($Z151&lt;&gt;Constants!$B$7,"",IF(AH151=1,AB151,AE151)))</f>
        <v/>
      </c>
      <c r="AS151" s="95" t="str">
        <f aca="false">IF(ISBLANK($C151),"",IF($Z151&lt;&gt;Constants!$B$7,"",IF(AH151=1,AC151,AF151)))</f>
        <v/>
      </c>
      <c r="AT151" s="96" t="str">
        <f aca="false">IF(ISBLANK($C151),"",IF($Z151&lt;&gt;Constants!$B$7,$Z151,AJ151))</f>
        <v/>
      </c>
      <c r="AU151" s="97" t="str">
        <f aca="false">IF(ISBLANK($C151),"",IF($Z151&lt;&gt;Constants!$B$7,$Z151,AA151))</f>
        <v/>
      </c>
      <c r="AV151" s="98" t="str">
        <f aca="false">IF(ISBLANK($C151),"",AO151)</f>
        <v/>
      </c>
      <c r="AW151" s="98" t="str">
        <f aca="false">IF(ISBLANK($C151),"",AN151)</f>
        <v/>
      </c>
      <c r="AX151" s="99" t="str">
        <f aca="false">IF(ISBLANK($C151),"",IFERROR(_xlfn.SWITCH(AW151,Constants!$B$4,COUNTA($C$8:$C$507)+2,Constants!$B$5,COUNTA($C$8:$C$507)+1,Constants!$B$6,COUNTA($C$8:$C$507)),AW151))</f>
        <v/>
      </c>
      <c r="AY151" s="5"/>
      <c r="AZ151" s="100" t="n">
        <f aca="false">IF(OR(ISNUMBER(AW151),AW151=Constants!$B$4,AW151=Constants!$B$6,AW151=Constants!$B$5),1,0)</f>
        <v>0</v>
      </c>
      <c r="BA151" s="100" t="n">
        <v>144</v>
      </c>
      <c r="BB151" s="100" t="str">
        <f aca="false">IF(ISBLANK($C151),"",IF(ISNUMBER(AX151),AX151+ROW($B151)/1000,""))</f>
        <v/>
      </c>
      <c r="BC151" s="100" t="str">
        <f aca="false">IF(ISNUMBER(BB151),RANK(BB151,$BB$8:$BB$507,1),"")</f>
        <v/>
      </c>
      <c r="BD151" s="100" t="str">
        <f aca="false">IF(ISBLANK($C151),"",$B151)</f>
        <v/>
      </c>
      <c r="BE151" s="100" t="str">
        <f aca="false">IF(ISBLANK($C151),"",$C151)</f>
        <v/>
      </c>
      <c r="BF151" s="100" t="str">
        <f aca="false">IF(ISBLANK($C151),"",$D151)</f>
        <v/>
      </c>
      <c r="BG151" s="101" t="str">
        <f aca="false">AU151</f>
        <v/>
      </c>
      <c r="BH151" s="102" t="str">
        <f aca="false">AT151</f>
        <v/>
      </c>
      <c r="BI151" s="100" t="str">
        <f aca="false">IF(ISBLANK($C151),"",AW151)</f>
        <v/>
      </c>
      <c r="BJ151" s="103" t="str">
        <f aca="false">IF($BA151&gt;$AZ$7,"",VLOOKUP($BA151,$BC$8:$BI$507,7,FALSE()))</f>
        <v/>
      </c>
      <c r="BK151" s="104" t="str">
        <f aca="false">IF($BA151&gt;$AZ$7,"",VLOOKUP($BA151,$BC$8:$BI$507,2,FALSE()))</f>
        <v/>
      </c>
      <c r="BL151" s="104" t="str">
        <f aca="false">IF($BA151&gt;$AZ$7,"",VLOOKUP($BA151,$BC$8:$BI$507,3,FALSE()))</f>
        <v/>
      </c>
      <c r="BM151" s="104" t="str">
        <f aca="false">IF($BA151&gt;$AZ$7,"",VLOOKUP($BA151,$BC$8:$BI$507,4,FALSE()))</f>
        <v/>
      </c>
      <c r="BN151" s="104" t="str">
        <f aca="false">IF($BA151&gt;$AZ$7,"",VLOOKUP($BA151,$BC$8:$BI$507,5,FALSE()))</f>
        <v/>
      </c>
      <c r="BO151" s="105" t="str">
        <f aca="false">IF($BA151&gt;$AZ$7,"",VLOOKUP($BA151,$BC$8:$BI$507,6,FALSE()))</f>
        <v/>
      </c>
      <c r="BP151" s="52"/>
    </row>
    <row r="152" customFormat="false" ht="15.75" hidden="false" customHeight="false" outlineLevel="0" collapsed="false">
      <c r="A152" s="5"/>
      <c r="B152" s="118"/>
      <c r="C152" s="54"/>
      <c r="D152" s="55"/>
      <c r="E152" s="79"/>
      <c r="F152" s="57"/>
      <c r="G152" s="58"/>
      <c r="H152" s="58"/>
      <c r="I152" s="57"/>
      <c r="J152" s="58"/>
      <c r="K152" s="58"/>
      <c r="L152" s="57"/>
      <c r="M152" s="79"/>
      <c r="N152" s="60"/>
      <c r="O152" s="62" t="str">
        <f aca="false">IF(ISBLANK($C152),"",IF(E152=Constants!$B$2, TRUE(), IF(E152=Constants!$B$3, FALSE(), TRUE())))</f>
        <v/>
      </c>
      <c r="P152" s="62" t="str">
        <f aca="false">IF(ISBLANK($C152),"",IF(F152=Constants!$B$16,Constants!$B$9,IF(F152=Constants!$B$17,Constants!$B$10,Constants!$B$8)))</f>
        <v/>
      </c>
      <c r="Q152" s="62" t="str">
        <f aca="false">IF(ISBLANK($C152),"",IF(ISNUMBER(G152),IF(G152&gt;=0,G152,""),""))</f>
        <v/>
      </c>
      <c r="R152" s="62" t="str">
        <f aca="false">IF(ISBLANK($C152),"",IF(H152=Constants!$B$2, TRUE(), IF(H152=Constants!$B$3, FALSE(), TRUE())))</f>
        <v/>
      </c>
      <c r="S152" s="62" t="str">
        <f aca="false">IF(ISBLANK($C152),"",IF(I152=Constants!$B$2, TRUE(), IF(I152=Constants!$B$3, FALSE(), TRUE())))</f>
        <v/>
      </c>
      <c r="T152" s="62" t="str">
        <f aca="false">IF(ISBLANK($C152),"",IF(ISNUMBER(J152),IF(J152&gt;=0,J152,""),""))</f>
        <v/>
      </c>
      <c r="U152" s="62" t="str">
        <f aca="false">IF(ISBLANK($C152),"",IF(K152=Constants!$B$2, TRUE(), IF(K152=Constants!$B$3, FALSE(), TRUE())))</f>
        <v/>
      </c>
      <c r="V152" s="62" t="str">
        <f aca="false">IF(ISBLANK($C152),"",IF(L152=Constants!$B$2, TRUE(), IF(L152=Constants!$B$3, FALSE(), TRUE())))</f>
        <v/>
      </c>
      <c r="W152" s="62" t="str">
        <f aca="false">IF(ISBLANK($C152),"",IF(M152=Constants!$B$2, TRUE(), IF(M152=Constants!$B$3, FALSE(), FALSE())))</f>
        <v/>
      </c>
      <c r="X152" s="62" t="str">
        <f aca="false">IF(ISBLANK($C152),"",AND(Q152&lt;&gt;"",O152))</f>
        <v/>
      </c>
      <c r="Y152" s="62" t="str">
        <f aca="false">IF(ISBLANK($C152),"",AND(T152&lt;&gt;"",O152))</f>
        <v/>
      </c>
      <c r="Z152" s="62" t="str">
        <f aca="false">IF(ISBLANK($C152),"",IF(W152,Constants!$B$4,IF(COUNTA(E152:L152)=0,Constants!$B$5,IF(NOT(O152),Constants!$B$6,IF(AND(NOT(X152),NOT(Y152)),Constants!$B$6,Constants!$B$7)))))</f>
        <v/>
      </c>
      <c r="AA152" s="62" t="str">
        <f aca="false">IF(ISBLANK($C152),"",IF($Z152&lt;&gt;Constants!$B$7,$Z152,Constants!$B$20))</f>
        <v/>
      </c>
      <c r="AB152" s="62" t="str">
        <f aca="false">IF($Z152=Constants!$B$7,IF(X152,Q152,Constants!$B$13),"")</f>
        <v/>
      </c>
      <c r="AC152" s="62" t="str">
        <f aca="false">IF($Z152=Constants!$B$7,IF(X152,P152*IF(R152, 1, Constants!$B$11)*IF(S152, 1, Constants!$B$12),Constants!$B$13),"")</f>
        <v/>
      </c>
      <c r="AD152" s="62" t="str">
        <f aca="false">IF($Z152=Constants!$B$7,AB152*AC152,"")</f>
        <v/>
      </c>
      <c r="AE152" s="62" t="str">
        <f aca="false">IF($Z152=Constants!$B$7,IF(Y152,T152,Constants!$B$13),"")</f>
        <v/>
      </c>
      <c r="AF152" s="62" t="str">
        <f aca="false">IF($Z152=Constants!$B$7,IF(Y152,P152*IF(U152, 1, Constants!$B$11)*IF(V152, 1, Constants!$B$12),Constants!$B$13),"")</f>
        <v/>
      </c>
      <c r="AG152" s="62" t="str">
        <f aca="false">IF($Z152=Constants!$B$7,AE152*AF152,"")</f>
        <v/>
      </c>
      <c r="AH152" s="62" t="str">
        <f aca="false">IF($Z152=Constants!$B$7,IF(AG152&gt;AD152,2,1),"")</f>
        <v/>
      </c>
      <c r="AI152" s="62" t="str">
        <f aca="false">IF($Z152=Constants!$B$7,IF(AH152=1,2,1),"")</f>
        <v/>
      </c>
      <c r="AJ152" s="62" t="str">
        <f aca="false">IF(ISBLANK($C152),"",IF($Z152&lt;&gt;Constants!$B$7,$Z152,IF(AH152=1,AD152,AG152)))</f>
        <v/>
      </c>
      <c r="AK152" s="62" t="str">
        <f aca="false">IF(ISBLANK($C152),"",IF($Z152=Constants!$B$7,IF(ISNUMBER(AJ152),RANK(AJ152,$AJ$8:$AJ$507),Constants!$B$14),$Z152))</f>
        <v/>
      </c>
      <c r="AL152" s="62" t="str">
        <f aca="false">IF(ISBLANK($C152),"",IF($Z152=Constants!$B$7,IF(AI152=1,AD152,AG152),""))</f>
        <v/>
      </c>
      <c r="AM152" s="62" t="str">
        <f aca="false">IF(ISBLANK($C152),"",IF($Z152=Constants!$B$7,RANK(AL152,$AL$8:$AL$507),$Z152))</f>
        <v/>
      </c>
      <c r="AN152" s="62" t="str">
        <f aca="false">IF(ISBLANK($C152),"",IF($Z152=Constants!$B$7,IF(ISNUMBER(AK152),COUNTIFS($AK$8:$AK$507,"&lt;"&amp;$AK152)+COUNTIFS($AK$8:$AK$507,$AK152,$AM$8:$AM$507,"&lt;"&amp;$AM152)+1,Constants!$B$14),$Z152))</f>
        <v/>
      </c>
      <c r="AO152" s="62" t="str">
        <f aca="false">IF(ISBLANK($C152),"",IF($Z152=Constants!$B$7,IF(ISNUMBER(AK152),AK152-AN152,Constants!$B$14),$Z152))</f>
        <v/>
      </c>
      <c r="AP152" s="64"/>
      <c r="AQ152" s="65" t="str">
        <f aca="false">IF(ISBLANK($C152),"",IF($Z152&lt;&gt;Constants!$B$7,"",AH152))</f>
        <v/>
      </c>
      <c r="AR152" s="80" t="str">
        <f aca="false">IF(ISBLANK($C152),"",IF($Z152&lt;&gt;Constants!$B$7,"",IF(AH152=1,AB152,AE152)))</f>
        <v/>
      </c>
      <c r="AS152" s="67" t="str">
        <f aca="false">IF(ISBLANK($C152),"",IF($Z152&lt;&gt;Constants!$B$7,"",IF(AH152=1,AC152,AF152)))</f>
        <v/>
      </c>
      <c r="AT152" s="68" t="str">
        <f aca="false">IF(ISBLANK($C152),"",IF($Z152&lt;&gt;Constants!$B$7,$Z152,AJ152))</f>
        <v/>
      </c>
      <c r="AU152" s="69" t="str">
        <f aca="false">IF(ISBLANK($C152),"",IF($Z152&lt;&gt;Constants!$B$7,$Z152,AA152))</f>
        <v/>
      </c>
      <c r="AV152" s="70" t="str">
        <f aca="false">IF(ISBLANK($C152),"",AO152)</f>
        <v/>
      </c>
      <c r="AW152" s="70" t="str">
        <f aca="false">IF(ISBLANK($C152),"",AN152)</f>
        <v/>
      </c>
      <c r="AX152" s="71" t="str">
        <f aca="false">IF(ISBLANK($C152),"",IFERROR(_xlfn.SWITCH(AW152,Constants!$B$4,COUNTA($C$8:$C$507)+2,Constants!$B$5,COUNTA($C$8:$C$507)+1,Constants!$B$6,COUNTA($C$8:$C$507)),AW152))</f>
        <v/>
      </c>
      <c r="AY152" s="5"/>
      <c r="AZ152" s="72" t="n">
        <f aca="false">IF(OR(ISNUMBER(AW152),AW152=Constants!$B$4,AW152=Constants!$B$6,AW152=Constants!$B$5),1,0)</f>
        <v>0</v>
      </c>
      <c r="BA152" s="72" t="n">
        <v>145</v>
      </c>
      <c r="BB152" s="72" t="str">
        <f aca="false">IF(ISBLANK($C152),"",IF(ISNUMBER(AX152),AX152+ROW($B152)/1000,""))</f>
        <v/>
      </c>
      <c r="BC152" s="72" t="str">
        <f aca="false">IF(ISNUMBER(BB152),RANK(BB152,$BB$8:$BB$507,1),"")</f>
        <v/>
      </c>
      <c r="BD152" s="72" t="str">
        <f aca="false">IF(ISBLANK($C152),"",$B152)</f>
        <v/>
      </c>
      <c r="BE152" s="72" t="str">
        <f aca="false">IF(ISBLANK($C152),"",$C152)</f>
        <v/>
      </c>
      <c r="BF152" s="72" t="str">
        <f aca="false">IF(ISBLANK($C152),"",$D152)</f>
        <v/>
      </c>
      <c r="BG152" s="73" t="str">
        <f aca="false">AU152</f>
        <v/>
      </c>
      <c r="BH152" s="74" t="str">
        <f aca="false">AT152</f>
        <v/>
      </c>
      <c r="BI152" s="72" t="str">
        <f aca="false">IF(ISBLANK($C152),"",AW152)</f>
        <v/>
      </c>
      <c r="BJ152" s="75" t="str">
        <f aca="false">IF($BA152&gt;$AZ$7,"",VLOOKUP($BA152,$BC$8:$BI$507,7,FALSE()))</f>
        <v/>
      </c>
      <c r="BK152" s="76" t="str">
        <f aca="false">IF($BA152&gt;$AZ$7,"",VLOOKUP($BA152,$BC$8:$BI$507,2,FALSE()))</f>
        <v/>
      </c>
      <c r="BL152" s="76" t="str">
        <f aca="false">IF($BA152&gt;$AZ$7,"",VLOOKUP($BA152,$BC$8:$BI$507,3,FALSE()))</f>
        <v/>
      </c>
      <c r="BM152" s="76" t="str">
        <f aca="false">IF($BA152&gt;$AZ$7,"",VLOOKUP($BA152,$BC$8:$BI$507,4,FALSE()))</f>
        <v/>
      </c>
      <c r="BN152" s="76" t="str">
        <f aca="false">IF($BA152&gt;$AZ$7,"",VLOOKUP($BA152,$BC$8:$BI$507,5,FALSE()))</f>
        <v/>
      </c>
      <c r="BO152" s="77" t="str">
        <f aca="false">IF($BA152&gt;$AZ$7,"",VLOOKUP($BA152,$BC$8:$BI$507,6,FALSE()))</f>
        <v/>
      </c>
      <c r="BP152" s="52"/>
    </row>
    <row r="153" customFormat="false" ht="15.75" hidden="false" customHeight="false" outlineLevel="0" collapsed="false">
      <c r="A153" s="5"/>
      <c r="B153" s="118"/>
      <c r="C153" s="54"/>
      <c r="D153" s="55"/>
      <c r="E153" s="79"/>
      <c r="F153" s="57"/>
      <c r="G153" s="58"/>
      <c r="H153" s="58"/>
      <c r="I153" s="57"/>
      <c r="J153" s="58"/>
      <c r="K153" s="58"/>
      <c r="L153" s="57"/>
      <c r="M153" s="79"/>
      <c r="N153" s="60"/>
      <c r="O153" s="62" t="str">
        <f aca="false">IF(ISBLANK($C153),"",IF(E153=Constants!$B$2, TRUE(), IF(E153=Constants!$B$3, FALSE(), TRUE())))</f>
        <v/>
      </c>
      <c r="P153" s="62" t="str">
        <f aca="false">IF(ISBLANK($C153),"",IF(F153=Constants!$B$16,Constants!$B$9,IF(F153=Constants!$B$17,Constants!$B$10,Constants!$B$8)))</f>
        <v/>
      </c>
      <c r="Q153" s="62" t="str">
        <f aca="false">IF(ISBLANK($C153),"",IF(ISNUMBER(G153),IF(G153&gt;=0,G153,""),""))</f>
        <v/>
      </c>
      <c r="R153" s="62" t="str">
        <f aca="false">IF(ISBLANK($C153),"",IF(H153=Constants!$B$2, TRUE(), IF(H153=Constants!$B$3, FALSE(), TRUE())))</f>
        <v/>
      </c>
      <c r="S153" s="62" t="str">
        <f aca="false">IF(ISBLANK($C153),"",IF(I153=Constants!$B$2, TRUE(), IF(I153=Constants!$B$3, FALSE(), TRUE())))</f>
        <v/>
      </c>
      <c r="T153" s="62" t="str">
        <f aca="false">IF(ISBLANK($C153),"",IF(ISNUMBER(J153),IF(J153&gt;=0,J153,""),""))</f>
        <v/>
      </c>
      <c r="U153" s="62" t="str">
        <f aca="false">IF(ISBLANK($C153),"",IF(K153=Constants!$B$2, TRUE(), IF(K153=Constants!$B$3, FALSE(), TRUE())))</f>
        <v/>
      </c>
      <c r="V153" s="62" t="str">
        <f aca="false">IF(ISBLANK($C153),"",IF(L153=Constants!$B$2, TRUE(), IF(L153=Constants!$B$3, FALSE(), TRUE())))</f>
        <v/>
      </c>
      <c r="W153" s="62" t="str">
        <f aca="false">IF(ISBLANK($C153),"",IF(M153=Constants!$B$2, TRUE(), IF(M153=Constants!$B$3, FALSE(), FALSE())))</f>
        <v/>
      </c>
      <c r="X153" s="62" t="str">
        <f aca="false">IF(ISBLANK($C153),"",AND(Q153&lt;&gt;"",O153))</f>
        <v/>
      </c>
      <c r="Y153" s="62" t="str">
        <f aca="false">IF(ISBLANK($C153),"",AND(T153&lt;&gt;"",O153))</f>
        <v/>
      </c>
      <c r="Z153" s="62" t="str">
        <f aca="false">IF(ISBLANK($C153),"",IF(W153,Constants!$B$4,IF(COUNTA(E153:L153)=0,Constants!$B$5,IF(NOT(O153),Constants!$B$6,IF(AND(NOT(X153),NOT(Y153)),Constants!$B$6,Constants!$B$7)))))</f>
        <v/>
      </c>
      <c r="AA153" s="62" t="str">
        <f aca="false">IF(ISBLANK($C153),"",IF($Z153&lt;&gt;Constants!$B$7,$Z153,Constants!$B$20))</f>
        <v/>
      </c>
      <c r="AB153" s="62" t="str">
        <f aca="false">IF($Z153=Constants!$B$7,IF(X153,Q153,Constants!$B$13),"")</f>
        <v/>
      </c>
      <c r="AC153" s="62" t="str">
        <f aca="false">IF($Z153=Constants!$B$7,IF(X153,P153*IF(R153, 1, Constants!$B$11)*IF(S153, 1, Constants!$B$12),Constants!$B$13),"")</f>
        <v/>
      </c>
      <c r="AD153" s="62" t="str">
        <f aca="false">IF($Z153=Constants!$B$7,AB153*AC153,"")</f>
        <v/>
      </c>
      <c r="AE153" s="62" t="str">
        <f aca="false">IF($Z153=Constants!$B$7,IF(Y153,T153,Constants!$B$13),"")</f>
        <v/>
      </c>
      <c r="AF153" s="62" t="str">
        <f aca="false">IF($Z153=Constants!$B$7,IF(Y153,P153*IF(U153, 1, Constants!$B$11)*IF(V153, 1, Constants!$B$12),Constants!$B$13),"")</f>
        <v/>
      </c>
      <c r="AG153" s="62" t="str">
        <f aca="false">IF($Z153=Constants!$B$7,AE153*AF153,"")</f>
        <v/>
      </c>
      <c r="AH153" s="62" t="str">
        <f aca="false">IF($Z153=Constants!$B$7,IF(AG153&gt;AD153,2,1),"")</f>
        <v/>
      </c>
      <c r="AI153" s="62" t="str">
        <f aca="false">IF($Z153=Constants!$B$7,IF(AH153=1,2,1),"")</f>
        <v/>
      </c>
      <c r="AJ153" s="62" t="str">
        <f aca="false">IF(ISBLANK($C153),"",IF($Z153&lt;&gt;Constants!$B$7,$Z153,IF(AH153=1,AD153,AG153)))</f>
        <v/>
      </c>
      <c r="AK153" s="62" t="str">
        <f aca="false">IF(ISBLANK($C153),"",IF($Z153=Constants!$B$7,IF(ISNUMBER(AJ153),RANK(AJ153,$AJ$8:$AJ$507),Constants!$B$14),$Z153))</f>
        <v/>
      </c>
      <c r="AL153" s="62" t="str">
        <f aca="false">IF(ISBLANK($C153),"",IF($Z153=Constants!$B$7,IF(AI153=1,AD153,AG153),""))</f>
        <v/>
      </c>
      <c r="AM153" s="62" t="str">
        <f aca="false">IF(ISBLANK($C153),"",IF($Z153=Constants!$B$7,RANK(AL153,$AL$8:$AL$507),$Z153))</f>
        <v/>
      </c>
      <c r="AN153" s="62" t="str">
        <f aca="false">IF(ISBLANK($C153),"",IF($Z153=Constants!$B$7,IF(ISNUMBER(AK153),COUNTIFS($AK$8:$AK$507,"&lt;"&amp;$AK153)+COUNTIFS($AK$8:$AK$507,$AK153,$AM$8:$AM$507,"&lt;"&amp;$AM153)+1,Constants!$B$14),$Z153))</f>
        <v/>
      </c>
      <c r="AO153" s="62" t="str">
        <f aca="false">IF(ISBLANK($C153),"",IF($Z153=Constants!$B$7,IF(ISNUMBER(AK153),AK153-AN153,Constants!$B$14),$Z153))</f>
        <v/>
      </c>
      <c r="AP153" s="64"/>
      <c r="AQ153" s="65" t="str">
        <f aca="false">IF(ISBLANK($C153),"",IF($Z153&lt;&gt;Constants!$B$7,"",AH153))</f>
        <v/>
      </c>
      <c r="AR153" s="80" t="str">
        <f aca="false">IF(ISBLANK($C153),"",IF($Z153&lt;&gt;Constants!$B$7,"",IF(AH153=1,AB153,AE153)))</f>
        <v/>
      </c>
      <c r="AS153" s="67" t="str">
        <f aca="false">IF(ISBLANK($C153),"",IF($Z153&lt;&gt;Constants!$B$7,"",IF(AH153=1,AC153,AF153)))</f>
        <v/>
      </c>
      <c r="AT153" s="68" t="str">
        <f aca="false">IF(ISBLANK($C153),"",IF($Z153&lt;&gt;Constants!$B$7,$Z153,AJ153))</f>
        <v/>
      </c>
      <c r="AU153" s="69" t="str">
        <f aca="false">IF(ISBLANK($C153),"",IF($Z153&lt;&gt;Constants!$B$7,$Z153,AA153))</f>
        <v/>
      </c>
      <c r="AV153" s="70" t="str">
        <f aca="false">IF(ISBLANK($C153),"",AO153)</f>
        <v/>
      </c>
      <c r="AW153" s="70" t="str">
        <f aca="false">IF(ISBLANK($C153),"",AN153)</f>
        <v/>
      </c>
      <c r="AX153" s="71" t="str">
        <f aca="false">IF(ISBLANK($C153),"",IFERROR(_xlfn.SWITCH(AW153,Constants!$B$4,COUNTA($C$8:$C$507)+2,Constants!$B$5,COUNTA($C$8:$C$507)+1,Constants!$B$6,COUNTA($C$8:$C$507)),AW153))</f>
        <v/>
      </c>
      <c r="AY153" s="5"/>
      <c r="AZ153" s="72" t="n">
        <f aca="false">IF(OR(ISNUMBER(AW153),AW153=Constants!$B$4,AW153=Constants!$B$6,AW153=Constants!$B$5),1,0)</f>
        <v>0</v>
      </c>
      <c r="BA153" s="72" t="n">
        <v>146</v>
      </c>
      <c r="BB153" s="72" t="str">
        <f aca="false">IF(ISBLANK($C153),"",IF(ISNUMBER(AX153),AX153+ROW($B153)/1000,""))</f>
        <v/>
      </c>
      <c r="BC153" s="72" t="str">
        <f aca="false">IF(ISNUMBER(BB153),RANK(BB153,$BB$8:$BB$507,1),"")</f>
        <v/>
      </c>
      <c r="BD153" s="72" t="str">
        <f aca="false">IF(ISBLANK($C153),"",$B153)</f>
        <v/>
      </c>
      <c r="BE153" s="72" t="str">
        <f aca="false">IF(ISBLANK($C153),"",$C153)</f>
        <v/>
      </c>
      <c r="BF153" s="72" t="str">
        <f aca="false">IF(ISBLANK($C153),"",$D153)</f>
        <v/>
      </c>
      <c r="BG153" s="73" t="str">
        <f aca="false">AU153</f>
        <v/>
      </c>
      <c r="BH153" s="74" t="str">
        <f aca="false">AT153</f>
        <v/>
      </c>
      <c r="BI153" s="72" t="str">
        <f aca="false">IF(ISBLANK($C153),"",AW153)</f>
        <v/>
      </c>
      <c r="BJ153" s="75" t="str">
        <f aca="false">IF($BA153&gt;$AZ$7,"",VLOOKUP($BA153,$BC$8:$BI$507,7,FALSE()))</f>
        <v/>
      </c>
      <c r="BK153" s="76" t="str">
        <f aca="false">IF($BA153&gt;$AZ$7,"",VLOOKUP($BA153,$BC$8:$BI$507,2,FALSE()))</f>
        <v/>
      </c>
      <c r="BL153" s="76" t="str">
        <f aca="false">IF($BA153&gt;$AZ$7,"",VLOOKUP($BA153,$BC$8:$BI$507,3,FALSE()))</f>
        <v/>
      </c>
      <c r="BM153" s="76" t="str">
        <f aca="false">IF($BA153&gt;$AZ$7,"",VLOOKUP($BA153,$BC$8:$BI$507,4,FALSE()))</f>
        <v/>
      </c>
      <c r="BN153" s="76" t="str">
        <f aca="false">IF($BA153&gt;$AZ$7,"",VLOOKUP($BA153,$BC$8:$BI$507,5,FALSE()))</f>
        <v/>
      </c>
      <c r="BO153" s="77" t="str">
        <f aca="false">IF($BA153&gt;$AZ$7,"",VLOOKUP($BA153,$BC$8:$BI$507,6,FALSE()))</f>
        <v/>
      </c>
      <c r="BP153" s="52"/>
    </row>
    <row r="154" customFormat="false" ht="15.75" hidden="false" customHeight="false" outlineLevel="0" collapsed="false">
      <c r="A154" s="5"/>
      <c r="B154" s="118"/>
      <c r="C154" s="54"/>
      <c r="D154" s="55"/>
      <c r="E154" s="79"/>
      <c r="F154" s="57"/>
      <c r="G154" s="58"/>
      <c r="H154" s="58"/>
      <c r="I154" s="57"/>
      <c r="J154" s="58"/>
      <c r="K154" s="58"/>
      <c r="L154" s="57"/>
      <c r="M154" s="79"/>
      <c r="N154" s="60"/>
      <c r="O154" s="62" t="str">
        <f aca="false">IF(ISBLANK($C154),"",IF(E154=Constants!$B$2, TRUE(), IF(E154=Constants!$B$3, FALSE(), TRUE())))</f>
        <v/>
      </c>
      <c r="P154" s="62" t="str">
        <f aca="false">IF(ISBLANK($C154),"",IF(F154=Constants!$B$16,Constants!$B$9,IF(F154=Constants!$B$17,Constants!$B$10,Constants!$B$8)))</f>
        <v/>
      </c>
      <c r="Q154" s="62" t="str">
        <f aca="false">IF(ISBLANK($C154),"",IF(ISNUMBER(G154),IF(G154&gt;=0,G154,""),""))</f>
        <v/>
      </c>
      <c r="R154" s="62" t="str">
        <f aca="false">IF(ISBLANK($C154),"",IF(H154=Constants!$B$2, TRUE(), IF(H154=Constants!$B$3, FALSE(), TRUE())))</f>
        <v/>
      </c>
      <c r="S154" s="62" t="str">
        <f aca="false">IF(ISBLANK($C154),"",IF(I154=Constants!$B$2, TRUE(), IF(I154=Constants!$B$3, FALSE(), TRUE())))</f>
        <v/>
      </c>
      <c r="T154" s="62" t="str">
        <f aca="false">IF(ISBLANK($C154),"",IF(ISNUMBER(J154),IF(J154&gt;=0,J154,""),""))</f>
        <v/>
      </c>
      <c r="U154" s="62" t="str">
        <f aca="false">IF(ISBLANK($C154),"",IF(K154=Constants!$B$2, TRUE(), IF(K154=Constants!$B$3, FALSE(), TRUE())))</f>
        <v/>
      </c>
      <c r="V154" s="62" t="str">
        <f aca="false">IF(ISBLANK($C154),"",IF(L154=Constants!$B$2, TRUE(), IF(L154=Constants!$B$3, FALSE(), TRUE())))</f>
        <v/>
      </c>
      <c r="W154" s="62" t="str">
        <f aca="false">IF(ISBLANK($C154),"",IF(M154=Constants!$B$2, TRUE(), IF(M154=Constants!$B$3, FALSE(), FALSE())))</f>
        <v/>
      </c>
      <c r="X154" s="62" t="str">
        <f aca="false">IF(ISBLANK($C154),"",AND(Q154&lt;&gt;"",O154))</f>
        <v/>
      </c>
      <c r="Y154" s="62" t="str">
        <f aca="false">IF(ISBLANK($C154),"",AND(T154&lt;&gt;"",O154))</f>
        <v/>
      </c>
      <c r="Z154" s="62" t="str">
        <f aca="false">IF(ISBLANK($C154),"",IF(W154,Constants!$B$4,IF(COUNTA(E154:L154)=0,Constants!$B$5,IF(NOT(O154),Constants!$B$6,IF(AND(NOT(X154),NOT(Y154)),Constants!$B$6,Constants!$B$7)))))</f>
        <v/>
      </c>
      <c r="AA154" s="62" t="str">
        <f aca="false">IF(ISBLANK($C154),"",IF($Z154&lt;&gt;Constants!$B$7,$Z154,Constants!$B$20))</f>
        <v/>
      </c>
      <c r="AB154" s="62" t="str">
        <f aca="false">IF($Z154=Constants!$B$7,IF(X154,Q154,Constants!$B$13),"")</f>
        <v/>
      </c>
      <c r="AC154" s="62" t="str">
        <f aca="false">IF($Z154=Constants!$B$7,IF(X154,P154*IF(R154, 1, Constants!$B$11)*IF(S154, 1, Constants!$B$12),Constants!$B$13),"")</f>
        <v/>
      </c>
      <c r="AD154" s="62" t="str">
        <f aca="false">IF($Z154=Constants!$B$7,AB154*AC154,"")</f>
        <v/>
      </c>
      <c r="AE154" s="62" t="str">
        <f aca="false">IF($Z154=Constants!$B$7,IF(Y154,T154,Constants!$B$13),"")</f>
        <v/>
      </c>
      <c r="AF154" s="62" t="str">
        <f aca="false">IF($Z154=Constants!$B$7,IF(Y154,P154*IF(U154, 1, Constants!$B$11)*IF(V154, 1, Constants!$B$12),Constants!$B$13),"")</f>
        <v/>
      </c>
      <c r="AG154" s="62" t="str">
        <f aca="false">IF($Z154=Constants!$B$7,AE154*AF154,"")</f>
        <v/>
      </c>
      <c r="AH154" s="62" t="str">
        <f aca="false">IF($Z154=Constants!$B$7,IF(AG154&gt;AD154,2,1),"")</f>
        <v/>
      </c>
      <c r="AI154" s="62" t="str">
        <f aca="false">IF($Z154=Constants!$B$7,IF(AH154=1,2,1),"")</f>
        <v/>
      </c>
      <c r="AJ154" s="62" t="str">
        <f aca="false">IF(ISBLANK($C154),"",IF($Z154&lt;&gt;Constants!$B$7,$Z154,IF(AH154=1,AD154,AG154)))</f>
        <v/>
      </c>
      <c r="AK154" s="62" t="str">
        <f aca="false">IF(ISBLANK($C154),"",IF($Z154=Constants!$B$7,IF(ISNUMBER(AJ154),RANK(AJ154,$AJ$8:$AJ$507),Constants!$B$14),$Z154))</f>
        <v/>
      </c>
      <c r="AL154" s="62" t="str">
        <f aca="false">IF(ISBLANK($C154),"",IF($Z154=Constants!$B$7,IF(AI154=1,AD154,AG154),""))</f>
        <v/>
      </c>
      <c r="AM154" s="62" t="str">
        <f aca="false">IF(ISBLANK($C154),"",IF($Z154=Constants!$B$7,RANK(AL154,$AL$8:$AL$507),$Z154))</f>
        <v/>
      </c>
      <c r="AN154" s="62" t="str">
        <f aca="false">IF(ISBLANK($C154),"",IF($Z154=Constants!$B$7,IF(ISNUMBER(AK154),COUNTIFS($AK$8:$AK$507,"&lt;"&amp;$AK154)+COUNTIFS($AK$8:$AK$507,$AK154,$AM$8:$AM$507,"&lt;"&amp;$AM154)+1,Constants!$B$14),$Z154))</f>
        <v/>
      </c>
      <c r="AO154" s="62" t="str">
        <f aca="false">IF(ISBLANK($C154),"",IF($Z154=Constants!$B$7,IF(ISNUMBER(AK154),AK154-AN154,Constants!$B$14),$Z154))</f>
        <v/>
      </c>
      <c r="AP154" s="64"/>
      <c r="AQ154" s="65" t="str">
        <f aca="false">IF(ISBLANK($C154),"",IF($Z154&lt;&gt;Constants!$B$7,"",AH154))</f>
        <v/>
      </c>
      <c r="AR154" s="80" t="str">
        <f aca="false">IF(ISBLANK($C154),"",IF($Z154&lt;&gt;Constants!$B$7,"",IF(AH154=1,AB154,AE154)))</f>
        <v/>
      </c>
      <c r="AS154" s="67" t="str">
        <f aca="false">IF(ISBLANK($C154),"",IF($Z154&lt;&gt;Constants!$B$7,"",IF(AH154=1,AC154,AF154)))</f>
        <v/>
      </c>
      <c r="AT154" s="68" t="str">
        <f aca="false">IF(ISBLANK($C154),"",IF($Z154&lt;&gt;Constants!$B$7,$Z154,AJ154))</f>
        <v/>
      </c>
      <c r="AU154" s="69" t="str">
        <f aca="false">IF(ISBLANK($C154),"",IF($Z154&lt;&gt;Constants!$B$7,$Z154,AA154))</f>
        <v/>
      </c>
      <c r="AV154" s="70" t="str">
        <f aca="false">IF(ISBLANK($C154),"",AO154)</f>
        <v/>
      </c>
      <c r="AW154" s="70" t="str">
        <f aca="false">IF(ISBLANK($C154),"",AN154)</f>
        <v/>
      </c>
      <c r="AX154" s="71" t="str">
        <f aca="false">IF(ISBLANK($C154),"",IFERROR(_xlfn.SWITCH(AW154,Constants!$B$4,COUNTA($C$8:$C$507)+2,Constants!$B$5,COUNTA($C$8:$C$507)+1,Constants!$B$6,COUNTA($C$8:$C$507)),AW154))</f>
        <v/>
      </c>
      <c r="AY154" s="5"/>
      <c r="AZ154" s="72" t="n">
        <f aca="false">IF(OR(ISNUMBER(AW154),AW154=Constants!$B$4,AW154=Constants!$B$6,AW154=Constants!$B$5),1,0)</f>
        <v>0</v>
      </c>
      <c r="BA154" s="72" t="n">
        <v>147</v>
      </c>
      <c r="BB154" s="72" t="str">
        <f aca="false">IF(ISBLANK($C154),"",IF(ISNUMBER(AX154),AX154+ROW($B154)/1000,""))</f>
        <v/>
      </c>
      <c r="BC154" s="72" t="str">
        <f aca="false">IF(ISNUMBER(BB154),RANK(BB154,$BB$8:$BB$507,1),"")</f>
        <v/>
      </c>
      <c r="BD154" s="72" t="str">
        <f aca="false">IF(ISBLANK($C154),"",$B154)</f>
        <v/>
      </c>
      <c r="BE154" s="72" t="str">
        <f aca="false">IF(ISBLANK($C154),"",$C154)</f>
        <v/>
      </c>
      <c r="BF154" s="72" t="str">
        <f aca="false">IF(ISBLANK($C154),"",$D154)</f>
        <v/>
      </c>
      <c r="BG154" s="73" t="str">
        <f aca="false">AU154</f>
        <v/>
      </c>
      <c r="BH154" s="74" t="str">
        <f aca="false">AT154</f>
        <v/>
      </c>
      <c r="BI154" s="72" t="str">
        <f aca="false">IF(ISBLANK($C154),"",AW154)</f>
        <v/>
      </c>
      <c r="BJ154" s="75" t="str">
        <f aca="false">IF($BA154&gt;$AZ$7,"",VLOOKUP($BA154,$BC$8:$BI$507,7,FALSE()))</f>
        <v/>
      </c>
      <c r="BK154" s="76" t="str">
        <f aca="false">IF($BA154&gt;$AZ$7,"",VLOOKUP($BA154,$BC$8:$BI$507,2,FALSE()))</f>
        <v/>
      </c>
      <c r="BL154" s="76" t="str">
        <f aca="false">IF($BA154&gt;$AZ$7,"",VLOOKUP($BA154,$BC$8:$BI$507,3,FALSE()))</f>
        <v/>
      </c>
      <c r="BM154" s="76" t="str">
        <f aca="false">IF($BA154&gt;$AZ$7,"",VLOOKUP($BA154,$BC$8:$BI$507,4,FALSE()))</f>
        <v/>
      </c>
      <c r="BN154" s="76" t="str">
        <f aca="false">IF($BA154&gt;$AZ$7,"",VLOOKUP($BA154,$BC$8:$BI$507,5,FALSE()))</f>
        <v/>
      </c>
      <c r="BO154" s="77" t="str">
        <f aca="false">IF($BA154&gt;$AZ$7,"",VLOOKUP($BA154,$BC$8:$BI$507,6,FALSE()))</f>
        <v/>
      </c>
      <c r="BP154" s="52"/>
    </row>
    <row r="155" customFormat="false" ht="15.75" hidden="false" customHeight="false" outlineLevel="0" collapsed="false">
      <c r="A155" s="5"/>
      <c r="B155" s="114"/>
      <c r="C155" s="115"/>
      <c r="D155" s="106"/>
      <c r="E155" s="117"/>
      <c r="F155" s="87"/>
      <c r="G155" s="88"/>
      <c r="H155" s="88"/>
      <c r="I155" s="87"/>
      <c r="J155" s="88"/>
      <c r="K155" s="88"/>
      <c r="L155" s="87"/>
      <c r="M155" s="117"/>
      <c r="N155" s="90"/>
      <c r="O155" s="91" t="str">
        <f aca="false">IF(ISBLANK($C155),"",IF(E155=Constants!$B$2, TRUE(), IF(E155=Constants!$B$3, FALSE(), TRUE())))</f>
        <v/>
      </c>
      <c r="P155" s="91" t="str">
        <f aca="false">IF(ISBLANK($C155),"",IF(F155=Constants!$B$16,Constants!$B$9,IF(F155=Constants!$B$17,Constants!$B$10,Constants!$B$8)))</f>
        <v/>
      </c>
      <c r="Q155" s="91" t="str">
        <f aca="false">IF(ISBLANK($C155),"",IF(ISNUMBER(G155),IF(G155&gt;=0,G155,""),""))</f>
        <v/>
      </c>
      <c r="R155" s="91" t="str">
        <f aca="false">IF(ISBLANK($C155),"",IF(H155=Constants!$B$2, TRUE(), IF(H155=Constants!$B$3, FALSE(), TRUE())))</f>
        <v/>
      </c>
      <c r="S155" s="91" t="str">
        <f aca="false">IF(ISBLANK($C155),"",IF(I155=Constants!$B$2, TRUE(), IF(I155=Constants!$B$3, FALSE(), TRUE())))</f>
        <v/>
      </c>
      <c r="T155" s="91" t="str">
        <f aca="false">IF(ISBLANK($C155),"",IF(ISNUMBER(J155),IF(J155&gt;=0,J155,""),""))</f>
        <v/>
      </c>
      <c r="U155" s="91" t="str">
        <f aca="false">IF(ISBLANK($C155),"",IF(K155=Constants!$B$2, TRUE(), IF(K155=Constants!$B$3, FALSE(), TRUE())))</f>
        <v/>
      </c>
      <c r="V155" s="91" t="str">
        <f aca="false">IF(ISBLANK($C155),"",IF(L155=Constants!$B$2, TRUE(), IF(L155=Constants!$B$3, FALSE(), TRUE())))</f>
        <v/>
      </c>
      <c r="W155" s="91" t="str">
        <f aca="false">IF(ISBLANK($C155),"",IF(M155=Constants!$B$2, TRUE(), IF(M155=Constants!$B$3, FALSE(), FALSE())))</f>
        <v/>
      </c>
      <c r="X155" s="91" t="str">
        <f aca="false">IF(ISBLANK($C155),"",AND(Q155&lt;&gt;"",O155))</f>
        <v/>
      </c>
      <c r="Y155" s="91" t="str">
        <f aca="false">IF(ISBLANK($C155),"",AND(T155&lt;&gt;"",O155))</f>
        <v/>
      </c>
      <c r="Z155" s="91" t="str">
        <f aca="false">IF(ISBLANK($C155),"",IF(W155,Constants!$B$4,IF(COUNTA(E155:L155)=0,Constants!$B$5,IF(NOT(O155),Constants!$B$6,IF(AND(NOT(X155),NOT(Y155)),Constants!$B$6,Constants!$B$7)))))</f>
        <v/>
      </c>
      <c r="AA155" s="91" t="str">
        <f aca="false">IF(ISBLANK($C155),"",IF($Z155&lt;&gt;Constants!$B$7,$Z155,Constants!$B$20))</f>
        <v/>
      </c>
      <c r="AB155" s="91" t="str">
        <f aca="false">IF($Z155=Constants!$B$7,IF(X155,Q155,Constants!$B$13),"")</f>
        <v/>
      </c>
      <c r="AC155" s="91" t="str">
        <f aca="false">IF($Z155=Constants!$B$7,IF(X155,P155*IF(R155, 1, Constants!$B$11)*IF(S155, 1, Constants!$B$12),Constants!$B$13),"")</f>
        <v/>
      </c>
      <c r="AD155" s="91" t="str">
        <f aca="false">IF($Z155=Constants!$B$7,AB155*AC155,"")</f>
        <v/>
      </c>
      <c r="AE155" s="91" t="str">
        <f aca="false">IF($Z155=Constants!$B$7,IF(Y155,T155,Constants!$B$13),"")</f>
        <v/>
      </c>
      <c r="AF155" s="91" t="str">
        <f aca="false">IF($Z155=Constants!$B$7,IF(Y155,P155*IF(U155, 1, Constants!$B$11)*IF(V155, 1, Constants!$B$12),Constants!$B$13),"")</f>
        <v/>
      </c>
      <c r="AG155" s="91" t="str">
        <f aca="false">IF($Z155=Constants!$B$7,AE155*AF155,"")</f>
        <v/>
      </c>
      <c r="AH155" s="91" t="str">
        <f aca="false">IF($Z155=Constants!$B$7,IF(AG155&gt;AD155,2,1),"")</f>
        <v/>
      </c>
      <c r="AI155" s="91" t="str">
        <f aca="false">IF($Z155=Constants!$B$7,IF(AH155=1,2,1),"")</f>
        <v/>
      </c>
      <c r="AJ155" s="91" t="str">
        <f aca="false">IF(ISBLANK($C155),"",IF($Z155&lt;&gt;Constants!$B$7,$Z155,IF(AH155=1,AD155,AG155)))</f>
        <v/>
      </c>
      <c r="AK155" s="91" t="str">
        <f aca="false">IF(ISBLANK($C155),"",IF($Z155=Constants!$B$7,IF(ISNUMBER(AJ155),RANK(AJ155,$AJ$8:$AJ$507),Constants!$B$14),$Z155))</f>
        <v/>
      </c>
      <c r="AL155" s="91" t="str">
        <f aca="false">IF(ISBLANK($C155),"",IF($Z155=Constants!$B$7,IF(AI155=1,AD155,AG155),""))</f>
        <v/>
      </c>
      <c r="AM155" s="91" t="str">
        <f aca="false">IF(ISBLANK($C155),"",IF($Z155=Constants!$B$7,RANK(AL155,$AL$8:$AL$507),$Z155))</f>
        <v/>
      </c>
      <c r="AN155" s="91" t="str">
        <f aca="false">IF(ISBLANK($C155),"",IF($Z155=Constants!$B$7,IF(ISNUMBER(AK155),COUNTIFS($AK$8:$AK$507,"&lt;"&amp;$AK155)+COUNTIFS($AK$8:$AK$507,$AK155,$AM$8:$AM$507,"&lt;"&amp;$AM155)+1,Constants!$B$14),$Z155))</f>
        <v/>
      </c>
      <c r="AO155" s="91" t="str">
        <f aca="false">IF(ISBLANK($C155),"",IF($Z155=Constants!$B$7,IF(ISNUMBER(AK155),AK155-AN155,Constants!$B$14),$Z155))</f>
        <v/>
      </c>
      <c r="AP155" s="92"/>
      <c r="AQ155" s="93" t="str">
        <f aca="false">IF(ISBLANK($C155),"",IF($Z155&lt;&gt;Constants!$B$7,"",AH155))</f>
        <v/>
      </c>
      <c r="AR155" s="94" t="str">
        <f aca="false">IF(ISBLANK($C155),"",IF($Z155&lt;&gt;Constants!$B$7,"",IF(AH155=1,AB155,AE155)))</f>
        <v/>
      </c>
      <c r="AS155" s="95" t="str">
        <f aca="false">IF(ISBLANK($C155),"",IF($Z155&lt;&gt;Constants!$B$7,"",IF(AH155=1,AC155,AF155)))</f>
        <v/>
      </c>
      <c r="AT155" s="96" t="str">
        <f aca="false">IF(ISBLANK($C155),"",IF($Z155&lt;&gt;Constants!$B$7,$Z155,AJ155))</f>
        <v/>
      </c>
      <c r="AU155" s="97" t="str">
        <f aca="false">IF(ISBLANK($C155),"",IF($Z155&lt;&gt;Constants!$B$7,$Z155,AA155))</f>
        <v/>
      </c>
      <c r="AV155" s="98" t="str">
        <f aca="false">IF(ISBLANK($C155),"",AO155)</f>
        <v/>
      </c>
      <c r="AW155" s="98" t="str">
        <f aca="false">IF(ISBLANK($C155),"",AN155)</f>
        <v/>
      </c>
      <c r="AX155" s="99" t="str">
        <f aca="false">IF(ISBLANK($C155),"",IFERROR(_xlfn.SWITCH(AW155,Constants!$B$4,COUNTA($C$8:$C$507)+2,Constants!$B$5,COUNTA($C$8:$C$507)+1,Constants!$B$6,COUNTA($C$8:$C$507)),AW155))</f>
        <v/>
      </c>
      <c r="AY155" s="5"/>
      <c r="AZ155" s="100" t="n">
        <f aca="false">IF(OR(ISNUMBER(AW155),AW155=Constants!$B$4,AW155=Constants!$B$6,AW155=Constants!$B$5),1,0)</f>
        <v>0</v>
      </c>
      <c r="BA155" s="100" t="n">
        <v>148</v>
      </c>
      <c r="BB155" s="100" t="str">
        <f aca="false">IF(ISBLANK($C155),"",IF(ISNUMBER(AX155),AX155+ROW($B155)/1000,""))</f>
        <v/>
      </c>
      <c r="BC155" s="100" t="str">
        <f aca="false">IF(ISNUMBER(BB155),RANK(BB155,$BB$8:$BB$507,1),"")</f>
        <v/>
      </c>
      <c r="BD155" s="100" t="str">
        <f aca="false">IF(ISBLANK($C155),"",$B155)</f>
        <v/>
      </c>
      <c r="BE155" s="100" t="str">
        <f aca="false">IF(ISBLANK($C155),"",$C155)</f>
        <v/>
      </c>
      <c r="BF155" s="100" t="str">
        <f aca="false">IF(ISBLANK($C155),"",$D155)</f>
        <v/>
      </c>
      <c r="BG155" s="101" t="str">
        <f aca="false">AU155</f>
        <v/>
      </c>
      <c r="BH155" s="102" t="str">
        <f aca="false">AT155</f>
        <v/>
      </c>
      <c r="BI155" s="100" t="str">
        <f aca="false">IF(ISBLANK($C155),"",AW155)</f>
        <v/>
      </c>
      <c r="BJ155" s="103" t="str">
        <f aca="false">IF($BA155&gt;$AZ$7,"",VLOOKUP($BA155,$BC$8:$BI$507,7,FALSE()))</f>
        <v/>
      </c>
      <c r="BK155" s="104" t="str">
        <f aca="false">IF($BA155&gt;$AZ$7,"",VLOOKUP($BA155,$BC$8:$BI$507,2,FALSE()))</f>
        <v/>
      </c>
      <c r="BL155" s="104" t="str">
        <f aca="false">IF($BA155&gt;$AZ$7,"",VLOOKUP($BA155,$BC$8:$BI$507,3,FALSE()))</f>
        <v/>
      </c>
      <c r="BM155" s="104" t="str">
        <f aca="false">IF($BA155&gt;$AZ$7,"",VLOOKUP($BA155,$BC$8:$BI$507,4,FALSE()))</f>
        <v/>
      </c>
      <c r="BN155" s="104" t="str">
        <f aca="false">IF($BA155&gt;$AZ$7,"",VLOOKUP($BA155,$BC$8:$BI$507,5,FALSE()))</f>
        <v/>
      </c>
      <c r="BO155" s="105" t="str">
        <f aca="false">IF($BA155&gt;$AZ$7,"",VLOOKUP($BA155,$BC$8:$BI$507,6,FALSE()))</f>
        <v/>
      </c>
      <c r="BP155" s="52"/>
    </row>
    <row r="156" customFormat="false" ht="15.75" hidden="false" customHeight="false" outlineLevel="0" collapsed="false">
      <c r="A156" s="5"/>
      <c r="B156" s="114"/>
      <c r="C156" s="115"/>
      <c r="D156" s="106"/>
      <c r="E156" s="117"/>
      <c r="F156" s="87"/>
      <c r="G156" s="88"/>
      <c r="H156" s="88"/>
      <c r="I156" s="87"/>
      <c r="J156" s="88"/>
      <c r="K156" s="88"/>
      <c r="L156" s="87"/>
      <c r="M156" s="117"/>
      <c r="N156" s="90"/>
      <c r="O156" s="91" t="str">
        <f aca="false">IF(ISBLANK($C156),"",IF(E156=Constants!$B$2, TRUE(), IF(E156=Constants!$B$3, FALSE(), TRUE())))</f>
        <v/>
      </c>
      <c r="P156" s="91" t="str">
        <f aca="false">IF(ISBLANK($C156),"",IF(F156=Constants!$B$16,Constants!$B$9,IF(F156=Constants!$B$17,Constants!$B$10,Constants!$B$8)))</f>
        <v/>
      </c>
      <c r="Q156" s="91" t="str">
        <f aca="false">IF(ISBLANK($C156),"",IF(ISNUMBER(G156),IF(G156&gt;=0,G156,""),""))</f>
        <v/>
      </c>
      <c r="R156" s="91" t="str">
        <f aca="false">IF(ISBLANK($C156),"",IF(H156=Constants!$B$2, TRUE(), IF(H156=Constants!$B$3, FALSE(), TRUE())))</f>
        <v/>
      </c>
      <c r="S156" s="91" t="str">
        <f aca="false">IF(ISBLANK($C156),"",IF(I156=Constants!$B$2, TRUE(), IF(I156=Constants!$B$3, FALSE(), TRUE())))</f>
        <v/>
      </c>
      <c r="T156" s="91" t="str">
        <f aca="false">IF(ISBLANK($C156),"",IF(ISNUMBER(J156),IF(J156&gt;=0,J156,""),""))</f>
        <v/>
      </c>
      <c r="U156" s="91" t="str">
        <f aca="false">IF(ISBLANK($C156),"",IF(K156=Constants!$B$2, TRUE(), IF(K156=Constants!$B$3, FALSE(), TRUE())))</f>
        <v/>
      </c>
      <c r="V156" s="91" t="str">
        <f aca="false">IF(ISBLANK($C156),"",IF(L156=Constants!$B$2, TRUE(), IF(L156=Constants!$B$3, FALSE(), TRUE())))</f>
        <v/>
      </c>
      <c r="W156" s="91" t="str">
        <f aca="false">IF(ISBLANK($C156),"",IF(M156=Constants!$B$2, TRUE(), IF(M156=Constants!$B$3, FALSE(), FALSE())))</f>
        <v/>
      </c>
      <c r="X156" s="91" t="str">
        <f aca="false">IF(ISBLANK($C156),"",AND(Q156&lt;&gt;"",O156))</f>
        <v/>
      </c>
      <c r="Y156" s="91" t="str">
        <f aca="false">IF(ISBLANK($C156),"",AND(T156&lt;&gt;"",O156))</f>
        <v/>
      </c>
      <c r="Z156" s="91" t="str">
        <f aca="false">IF(ISBLANK($C156),"",IF(W156,Constants!$B$4,IF(COUNTA(E156:L156)=0,Constants!$B$5,IF(NOT(O156),Constants!$B$6,IF(AND(NOT(X156),NOT(Y156)),Constants!$B$6,Constants!$B$7)))))</f>
        <v/>
      </c>
      <c r="AA156" s="91" t="str">
        <f aca="false">IF(ISBLANK($C156),"",IF($Z156&lt;&gt;Constants!$B$7,$Z156,Constants!$B$20))</f>
        <v/>
      </c>
      <c r="AB156" s="91" t="str">
        <f aca="false">IF($Z156=Constants!$B$7,IF(X156,Q156,Constants!$B$13),"")</f>
        <v/>
      </c>
      <c r="AC156" s="91" t="str">
        <f aca="false">IF($Z156=Constants!$B$7,IF(X156,P156*IF(R156, 1, Constants!$B$11)*IF(S156, 1, Constants!$B$12),Constants!$B$13),"")</f>
        <v/>
      </c>
      <c r="AD156" s="91" t="str">
        <f aca="false">IF($Z156=Constants!$B$7,AB156*AC156,"")</f>
        <v/>
      </c>
      <c r="AE156" s="91" t="str">
        <f aca="false">IF($Z156=Constants!$B$7,IF(Y156,T156,Constants!$B$13),"")</f>
        <v/>
      </c>
      <c r="AF156" s="91" t="str">
        <f aca="false">IF($Z156=Constants!$B$7,IF(Y156,P156*IF(U156, 1, Constants!$B$11)*IF(V156, 1, Constants!$B$12),Constants!$B$13),"")</f>
        <v/>
      </c>
      <c r="AG156" s="91" t="str">
        <f aca="false">IF($Z156=Constants!$B$7,AE156*AF156,"")</f>
        <v/>
      </c>
      <c r="AH156" s="91" t="str">
        <f aca="false">IF($Z156=Constants!$B$7,IF(AG156&gt;AD156,2,1),"")</f>
        <v/>
      </c>
      <c r="AI156" s="91" t="str">
        <f aca="false">IF($Z156=Constants!$B$7,IF(AH156=1,2,1),"")</f>
        <v/>
      </c>
      <c r="AJ156" s="91" t="str">
        <f aca="false">IF(ISBLANK($C156),"",IF($Z156&lt;&gt;Constants!$B$7,$Z156,IF(AH156=1,AD156,AG156)))</f>
        <v/>
      </c>
      <c r="AK156" s="91" t="str">
        <f aca="false">IF(ISBLANK($C156),"",IF($Z156=Constants!$B$7,IF(ISNUMBER(AJ156),RANK(AJ156,$AJ$8:$AJ$507),Constants!$B$14),$Z156))</f>
        <v/>
      </c>
      <c r="AL156" s="91" t="str">
        <f aca="false">IF(ISBLANK($C156),"",IF($Z156=Constants!$B$7,IF(AI156=1,AD156,AG156),""))</f>
        <v/>
      </c>
      <c r="AM156" s="91" t="str">
        <f aca="false">IF(ISBLANK($C156),"",IF($Z156=Constants!$B$7,RANK(AL156,$AL$8:$AL$507),$Z156))</f>
        <v/>
      </c>
      <c r="AN156" s="91" t="str">
        <f aca="false">IF(ISBLANK($C156),"",IF($Z156=Constants!$B$7,IF(ISNUMBER(AK156),COUNTIFS($AK$8:$AK$507,"&lt;"&amp;$AK156)+COUNTIFS($AK$8:$AK$507,$AK156,$AM$8:$AM$507,"&lt;"&amp;$AM156)+1,Constants!$B$14),$Z156))</f>
        <v/>
      </c>
      <c r="AO156" s="91" t="str">
        <f aca="false">IF(ISBLANK($C156),"",IF($Z156=Constants!$B$7,IF(ISNUMBER(AK156),AK156-AN156,Constants!$B$14),$Z156))</f>
        <v/>
      </c>
      <c r="AP156" s="92"/>
      <c r="AQ156" s="93" t="str">
        <f aca="false">IF(ISBLANK($C156),"",IF($Z156&lt;&gt;Constants!$B$7,"",AH156))</f>
        <v/>
      </c>
      <c r="AR156" s="94" t="str">
        <f aca="false">IF(ISBLANK($C156),"",IF($Z156&lt;&gt;Constants!$B$7,"",IF(AH156=1,AB156,AE156)))</f>
        <v/>
      </c>
      <c r="AS156" s="95" t="str">
        <f aca="false">IF(ISBLANK($C156),"",IF($Z156&lt;&gt;Constants!$B$7,"",IF(AH156=1,AC156,AF156)))</f>
        <v/>
      </c>
      <c r="AT156" s="96" t="str">
        <f aca="false">IF(ISBLANK($C156),"",IF($Z156&lt;&gt;Constants!$B$7,$Z156,AJ156))</f>
        <v/>
      </c>
      <c r="AU156" s="97" t="str">
        <f aca="false">IF(ISBLANK($C156),"",IF($Z156&lt;&gt;Constants!$B$7,$Z156,AA156))</f>
        <v/>
      </c>
      <c r="AV156" s="98" t="str">
        <f aca="false">IF(ISBLANK($C156),"",AO156)</f>
        <v/>
      </c>
      <c r="AW156" s="98" t="str">
        <f aca="false">IF(ISBLANK($C156),"",AN156)</f>
        <v/>
      </c>
      <c r="AX156" s="99" t="str">
        <f aca="false">IF(ISBLANK($C156),"",IFERROR(_xlfn.SWITCH(AW156,Constants!$B$4,COUNTA($C$8:$C$507)+2,Constants!$B$5,COUNTA($C$8:$C$507)+1,Constants!$B$6,COUNTA($C$8:$C$507)),AW156))</f>
        <v/>
      </c>
      <c r="AY156" s="5"/>
      <c r="AZ156" s="100" t="n">
        <f aca="false">IF(OR(ISNUMBER(AW156),AW156=Constants!$B$4,AW156=Constants!$B$6,AW156=Constants!$B$5),1,0)</f>
        <v>0</v>
      </c>
      <c r="BA156" s="100" t="n">
        <v>149</v>
      </c>
      <c r="BB156" s="100" t="str">
        <f aca="false">IF(ISBLANK($C156),"",IF(ISNUMBER(AX156),AX156+ROW($B156)/1000,""))</f>
        <v/>
      </c>
      <c r="BC156" s="100" t="str">
        <f aca="false">IF(ISNUMBER(BB156),RANK(BB156,$BB$8:$BB$507,1),"")</f>
        <v/>
      </c>
      <c r="BD156" s="100" t="str">
        <f aca="false">IF(ISBLANK($C156),"",$B156)</f>
        <v/>
      </c>
      <c r="BE156" s="100" t="str">
        <f aca="false">IF(ISBLANK($C156),"",$C156)</f>
        <v/>
      </c>
      <c r="BF156" s="100" t="str">
        <f aca="false">IF(ISBLANK($C156),"",$D156)</f>
        <v/>
      </c>
      <c r="BG156" s="101" t="str">
        <f aca="false">AU156</f>
        <v/>
      </c>
      <c r="BH156" s="102" t="str">
        <f aca="false">AT156</f>
        <v/>
      </c>
      <c r="BI156" s="100" t="str">
        <f aca="false">IF(ISBLANK($C156),"",AW156)</f>
        <v/>
      </c>
      <c r="BJ156" s="103" t="str">
        <f aca="false">IF($BA156&gt;$AZ$7,"",VLOOKUP($BA156,$BC$8:$BI$507,7,FALSE()))</f>
        <v/>
      </c>
      <c r="BK156" s="104" t="str">
        <f aca="false">IF($BA156&gt;$AZ$7,"",VLOOKUP($BA156,$BC$8:$BI$507,2,FALSE()))</f>
        <v/>
      </c>
      <c r="BL156" s="104" t="str">
        <f aca="false">IF($BA156&gt;$AZ$7,"",VLOOKUP($BA156,$BC$8:$BI$507,3,FALSE()))</f>
        <v/>
      </c>
      <c r="BM156" s="104" t="str">
        <f aca="false">IF($BA156&gt;$AZ$7,"",VLOOKUP($BA156,$BC$8:$BI$507,4,FALSE()))</f>
        <v/>
      </c>
      <c r="BN156" s="104" t="str">
        <f aca="false">IF($BA156&gt;$AZ$7,"",VLOOKUP($BA156,$BC$8:$BI$507,5,FALSE()))</f>
        <v/>
      </c>
      <c r="BO156" s="105" t="str">
        <f aca="false">IF($BA156&gt;$AZ$7,"",VLOOKUP($BA156,$BC$8:$BI$507,6,FALSE()))</f>
        <v/>
      </c>
      <c r="BP156" s="52"/>
    </row>
    <row r="157" customFormat="false" ht="15.75" hidden="false" customHeight="false" outlineLevel="0" collapsed="false">
      <c r="A157" s="5"/>
      <c r="B157" s="114"/>
      <c r="C157" s="115"/>
      <c r="D157" s="106"/>
      <c r="E157" s="117"/>
      <c r="F157" s="87"/>
      <c r="G157" s="88"/>
      <c r="H157" s="88"/>
      <c r="I157" s="87"/>
      <c r="J157" s="88"/>
      <c r="K157" s="88"/>
      <c r="L157" s="87"/>
      <c r="M157" s="117"/>
      <c r="N157" s="90"/>
      <c r="O157" s="91" t="str">
        <f aca="false">IF(ISBLANK($C157),"",IF(E157=Constants!$B$2, TRUE(), IF(E157=Constants!$B$3, FALSE(), TRUE())))</f>
        <v/>
      </c>
      <c r="P157" s="91" t="str">
        <f aca="false">IF(ISBLANK($C157),"",IF(F157=Constants!$B$16,Constants!$B$9,IF(F157=Constants!$B$17,Constants!$B$10,Constants!$B$8)))</f>
        <v/>
      </c>
      <c r="Q157" s="91" t="str">
        <f aca="false">IF(ISBLANK($C157),"",IF(ISNUMBER(G157),IF(G157&gt;=0,G157,""),""))</f>
        <v/>
      </c>
      <c r="R157" s="91" t="str">
        <f aca="false">IF(ISBLANK($C157),"",IF(H157=Constants!$B$2, TRUE(), IF(H157=Constants!$B$3, FALSE(), TRUE())))</f>
        <v/>
      </c>
      <c r="S157" s="91" t="str">
        <f aca="false">IF(ISBLANK($C157),"",IF(I157=Constants!$B$2, TRUE(), IF(I157=Constants!$B$3, FALSE(), TRUE())))</f>
        <v/>
      </c>
      <c r="T157" s="91" t="str">
        <f aca="false">IF(ISBLANK($C157),"",IF(ISNUMBER(J157),IF(J157&gt;=0,J157,""),""))</f>
        <v/>
      </c>
      <c r="U157" s="91" t="str">
        <f aca="false">IF(ISBLANK($C157),"",IF(K157=Constants!$B$2, TRUE(), IF(K157=Constants!$B$3, FALSE(), TRUE())))</f>
        <v/>
      </c>
      <c r="V157" s="91" t="str">
        <f aca="false">IF(ISBLANK($C157),"",IF(L157=Constants!$B$2, TRUE(), IF(L157=Constants!$B$3, FALSE(), TRUE())))</f>
        <v/>
      </c>
      <c r="W157" s="91" t="str">
        <f aca="false">IF(ISBLANK($C157),"",IF(M157=Constants!$B$2, TRUE(), IF(M157=Constants!$B$3, FALSE(), FALSE())))</f>
        <v/>
      </c>
      <c r="X157" s="91" t="str">
        <f aca="false">IF(ISBLANK($C157),"",AND(Q157&lt;&gt;"",O157))</f>
        <v/>
      </c>
      <c r="Y157" s="91" t="str">
        <f aca="false">IF(ISBLANK($C157),"",AND(T157&lt;&gt;"",O157))</f>
        <v/>
      </c>
      <c r="Z157" s="91" t="str">
        <f aca="false">IF(ISBLANK($C157),"",IF(W157,Constants!$B$4,IF(COUNTA(E157:L157)=0,Constants!$B$5,IF(NOT(O157),Constants!$B$6,IF(AND(NOT(X157),NOT(Y157)),Constants!$B$6,Constants!$B$7)))))</f>
        <v/>
      </c>
      <c r="AA157" s="91" t="str">
        <f aca="false">IF(ISBLANK($C157),"",IF($Z157&lt;&gt;Constants!$B$7,$Z157,Constants!$B$20))</f>
        <v/>
      </c>
      <c r="AB157" s="91" t="str">
        <f aca="false">IF($Z157=Constants!$B$7,IF(X157,Q157,Constants!$B$13),"")</f>
        <v/>
      </c>
      <c r="AC157" s="91" t="str">
        <f aca="false">IF($Z157=Constants!$B$7,IF(X157,P157*IF(R157, 1, Constants!$B$11)*IF(S157, 1, Constants!$B$12),Constants!$B$13),"")</f>
        <v/>
      </c>
      <c r="AD157" s="91" t="str">
        <f aca="false">IF($Z157=Constants!$B$7,AB157*AC157,"")</f>
        <v/>
      </c>
      <c r="AE157" s="91" t="str">
        <f aca="false">IF($Z157=Constants!$B$7,IF(Y157,T157,Constants!$B$13),"")</f>
        <v/>
      </c>
      <c r="AF157" s="91" t="str">
        <f aca="false">IF($Z157=Constants!$B$7,IF(Y157,P157*IF(U157, 1, Constants!$B$11)*IF(V157, 1, Constants!$B$12),Constants!$B$13),"")</f>
        <v/>
      </c>
      <c r="AG157" s="91" t="str">
        <f aca="false">IF($Z157=Constants!$B$7,AE157*AF157,"")</f>
        <v/>
      </c>
      <c r="AH157" s="91" t="str">
        <f aca="false">IF($Z157=Constants!$B$7,IF(AG157&gt;AD157,2,1),"")</f>
        <v/>
      </c>
      <c r="AI157" s="91" t="str">
        <f aca="false">IF($Z157=Constants!$B$7,IF(AH157=1,2,1),"")</f>
        <v/>
      </c>
      <c r="AJ157" s="91" t="str">
        <f aca="false">IF(ISBLANK($C157),"",IF($Z157&lt;&gt;Constants!$B$7,$Z157,IF(AH157=1,AD157,AG157)))</f>
        <v/>
      </c>
      <c r="AK157" s="91" t="str">
        <f aca="false">IF(ISBLANK($C157),"",IF($Z157=Constants!$B$7,IF(ISNUMBER(AJ157),RANK(AJ157,$AJ$8:$AJ$507),Constants!$B$14),$Z157))</f>
        <v/>
      </c>
      <c r="AL157" s="91" t="str">
        <f aca="false">IF(ISBLANK($C157),"",IF($Z157=Constants!$B$7,IF(AI157=1,AD157,AG157),""))</f>
        <v/>
      </c>
      <c r="AM157" s="91" t="str">
        <f aca="false">IF(ISBLANK($C157),"",IF($Z157=Constants!$B$7,RANK(AL157,$AL$8:$AL$507),$Z157))</f>
        <v/>
      </c>
      <c r="AN157" s="91" t="str">
        <f aca="false">IF(ISBLANK($C157),"",IF($Z157=Constants!$B$7,IF(ISNUMBER(AK157),COUNTIFS($AK$8:$AK$507,"&lt;"&amp;$AK157)+COUNTIFS($AK$8:$AK$507,$AK157,$AM$8:$AM$507,"&lt;"&amp;$AM157)+1,Constants!$B$14),$Z157))</f>
        <v/>
      </c>
      <c r="AO157" s="91" t="str">
        <f aca="false">IF(ISBLANK($C157),"",IF($Z157=Constants!$B$7,IF(ISNUMBER(AK157),AK157-AN157,Constants!$B$14),$Z157))</f>
        <v/>
      </c>
      <c r="AP157" s="92"/>
      <c r="AQ157" s="93" t="str">
        <f aca="false">IF(ISBLANK($C157),"",IF($Z157&lt;&gt;Constants!$B$7,"",AH157))</f>
        <v/>
      </c>
      <c r="AR157" s="94" t="str">
        <f aca="false">IF(ISBLANK($C157),"",IF($Z157&lt;&gt;Constants!$B$7,"",IF(AH157=1,AB157,AE157)))</f>
        <v/>
      </c>
      <c r="AS157" s="95" t="str">
        <f aca="false">IF(ISBLANK($C157),"",IF($Z157&lt;&gt;Constants!$B$7,"",IF(AH157=1,AC157,AF157)))</f>
        <v/>
      </c>
      <c r="AT157" s="96" t="str">
        <f aca="false">IF(ISBLANK($C157),"",IF($Z157&lt;&gt;Constants!$B$7,$Z157,AJ157))</f>
        <v/>
      </c>
      <c r="AU157" s="97" t="str">
        <f aca="false">IF(ISBLANK($C157),"",IF($Z157&lt;&gt;Constants!$B$7,$Z157,AA157))</f>
        <v/>
      </c>
      <c r="AV157" s="98" t="str">
        <f aca="false">IF(ISBLANK($C157),"",AO157)</f>
        <v/>
      </c>
      <c r="AW157" s="98" t="str">
        <f aca="false">IF(ISBLANK($C157),"",AN157)</f>
        <v/>
      </c>
      <c r="AX157" s="99" t="str">
        <f aca="false">IF(ISBLANK($C157),"",IFERROR(_xlfn.SWITCH(AW157,Constants!$B$4,COUNTA($C$8:$C$507)+2,Constants!$B$5,COUNTA($C$8:$C$507)+1,Constants!$B$6,COUNTA($C$8:$C$507)),AW157))</f>
        <v/>
      </c>
      <c r="AY157" s="5"/>
      <c r="AZ157" s="100" t="n">
        <f aca="false">IF(OR(ISNUMBER(AW157),AW157=Constants!$B$4,AW157=Constants!$B$6,AW157=Constants!$B$5),1,0)</f>
        <v>0</v>
      </c>
      <c r="BA157" s="100" t="n">
        <v>150</v>
      </c>
      <c r="BB157" s="100" t="str">
        <f aca="false">IF(ISBLANK($C157),"",IF(ISNUMBER(AX157),AX157+ROW($B157)/1000,""))</f>
        <v/>
      </c>
      <c r="BC157" s="100" t="str">
        <f aca="false">IF(ISNUMBER(BB157),RANK(BB157,$BB$8:$BB$507,1),"")</f>
        <v/>
      </c>
      <c r="BD157" s="100" t="str">
        <f aca="false">IF(ISBLANK($C157),"",$B157)</f>
        <v/>
      </c>
      <c r="BE157" s="100" t="str">
        <f aca="false">IF(ISBLANK($C157),"",$C157)</f>
        <v/>
      </c>
      <c r="BF157" s="100" t="str">
        <f aca="false">IF(ISBLANK($C157),"",$D157)</f>
        <v/>
      </c>
      <c r="BG157" s="101" t="str">
        <f aca="false">AU157</f>
        <v/>
      </c>
      <c r="BH157" s="102" t="str">
        <f aca="false">AT157</f>
        <v/>
      </c>
      <c r="BI157" s="100" t="str">
        <f aca="false">IF(ISBLANK($C157),"",AW157)</f>
        <v/>
      </c>
      <c r="BJ157" s="103" t="str">
        <f aca="false">IF($BA157&gt;$AZ$7,"",VLOOKUP($BA157,$BC$8:$BI$507,7,FALSE()))</f>
        <v/>
      </c>
      <c r="BK157" s="104" t="str">
        <f aca="false">IF($BA157&gt;$AZ$7,"",VLOOKUP($BA157,$BC$8:$BI$507,2,FALSE()))</f>
        <v/>
      </c>
      <c r="BL157" s="104" t="str">
        <f aca="false">IF($BA157&gt;$AZ$7,"",VLOOKUP($BA157,$BC$8:$BI$507,3,FALSE()))</f>
        <v/>
      </c>
      <c r="BM157" s="104" t="str">
        <f aca="false">IF($BA157&gt;$AZ$7,"",VLOOKUP($BA157,$BC$8:$BI$507,4,FALSE()))</f>
        <v/>
      </c>
      <c r="BN157" s="104" t="str">
        <f aca="false">IF($BA157&gt;$AZ$7,"",VLOOKUP($BA157,$BC$8:$BI$507,5,FALSE()))</f>
        <v/>
      </c>
      <c r="BO157" s="105" t="str">
        <f aca="false">IF($BA157&gt;$AZ$7,"",VLOOKUP($BA157,$BC$8:$BI$507,6,FALSE()))</f>
        <v/>
      </c>
      <c r="BP157" s="52"/>
    </row>
    <row r="158" customFormat="false" ht="15.75" hidden="false" customHeight="false" outlineLevel="0" collapsed="false">
      <c r="A158" s="5"/>
      <c r="B158" s="118"/>
      <c r="C158" s="54"/>
      <c r="D158" s="55"/>
      <c r="E158" s="79"/>
      <c r="F158" s="57"/>
      <c r="G158" s="58"/>
      <c r="H158" s="58"/>
      <c r="I158" s="57"/>
      <c r="J158" s="58"/>
      <c r="K158" s="58"/>
      <c r="L158" s="57"/>
      <c r="M158" s="79"/>
      <c r="N158" s="60"/>
      <c r="O158" s="62" t="str">
        <f aca="false">IF(ISBLANK($C158),"",IF(E158=Constants!$B$2, TRUE(), IF(E158=Constants!$B$3, FALSE(), TRUE())))</f>
        <v/>
      </c>
      <c r="P158" s="62" t="str">
        <f aca="false">IF(ISBLANK($C158),"",IF(F158=Constants!$B$16,Constants!$B$9,IF(F158=Constants!$B$17,Constants!$B$10,Constants!$B$8)))</f>
        <v/>
      </c>
      <c r="Q158" s="62" t="str">
        <f aca="false">IF(ISBLANK($C158),"",IF(ISNUMBER(G158),IF(G158&gt;=0,G158,""),""))</f>
        <v/>
      </c>
      <c r="R158" s="62" t="str">
        <f aca="false">IF(ISBLANK($C158),"",IF(H158=Constants!$B$2, TRUE(), IF(H158=Constants!$B$3, FALSE(), TRUE())))</f>
        <v/>
      </c>
      <c r="S158" s="62" t="str">
        <f aca="false">IF(ISBLANK($C158),"",IF(I158=Constants!$B$2, TRUE(), IF(I158=Constants!$B$3, FALSE(), TRUE())))</f>
        <v/>
      </c>
      <c r="T158" s="62" t="str">
        <f aca="false">IF(ISBLANK($C158),"",IF(ISNUMBER(J158),IF(J158&gt;=0,J158,""),""))</f>
        <v/>
      </c>
      <c r="U158" s="62" t="str">
        <f aca="false">IF(ISBLANK($C158),"",IF(K158=Constants!$B$2, TRUE(), IF(K158=Constants!$B$3, FALSE(), TRUE())))</f>
        <v/>
      </c>
      <c r="V158" s="62" t="str">
        <f aca="false">IF(ISBLANK($C158),"",IF(L158=Constants!$B$2, TRUE(), IF(L158=Constants!$B$3, FALSE(), TRUE())))</f>
        <v/>
      </c>
      <c r="W158" s="62" t="str">
        <f aca="false">IF(ISBLANK($C158),"",IF(M158=Constants!$B$2, TRUE(), IF(M158=Constants!$B$3, FALSE(), FALSE())))</f>
        <v/>
      </c>
      <c r="X158" s="62" t="str">
        <f aca="false">IF(ISBLANK($C158),"",AND(Q158&lt;&gt;"",O158))</f>
        <v/>
      </c>
      <c r="Y158" s="62" t="str">
        <f aca="false">IF(ISBLANK($C158),"",AND(T158&lt;&gt;"",O158))</f>
        <v/>
      </c>
      <c r="Z158" s="62" t="str">
        <f aca="false">IF(ISBLANK($C158),"",IF(W158,Constants!$B$4,IF(COUNTA(E158:L158)=0,Constants!$B$5,IF(NOT(O158),Constants!$B$6,IF(AND(NOT(X158),NOT(Y158)),Constants!$B$6,Constants!$B$7)))))</f>
        <v/>
      </c>
      <c r="AA158" s="62" t="str">
        <f aca="false">IF(ISBLANK($C158),"",IF($Z158&lt;&gt;Constants!$B$7,$Z158,Constants!$B$20))</f>
        <v/>
      </c>
      <c r="AB158" s="62" t="str">
        <f aca="false">IF($Z158=Constants!$B$7,IF(X158,Q158,Constants!$B$13),"")</f>
        <v/>
      </c>
      <c r="AC158" s="62" t="str">
        <f aca="false">IF($Z158=Constants!$B$7,IF(X158,P158*IF(R158, 1, Constants!$B$11)*IF(S158, 1, Constants!$B$12),Constants!$B$13),"")</f>
        <v/>
      </c>
      <c r="AD158" s="62" t="str">
        <f aca="false">IF($Z158=Constants!$B$7,AB158*AC158,"")</f>
        <v/>
      </c>
      <c r="AE158" s="62" t="str">
        <f aca="false">IF($Z158=Constants!$B$7,IF(Y158,T158,Constants!$B$13),"")</f>
        <v/>
      </c>
      <c r="AF158" s="62" t="str">
        <f aca="false">IF($Z158=Constants!$B$7,IF(Y158,P158*IF(U158, 1, Constants!$B$11)*IF(V158, 1, Constants!$B$12),Constants!$B$13),"")</f>
        <v/>
      </c>
      <c r="AG158" s="62" t="str">
        <f aca="false">IF($Z158=Constants!$B$7,AE158*AF158,"")</f>
        <v/>
      </c>
      <c r="AH158" s="62" t="str">
        <f aca="false">IF($Z158=Constants!$B$7,IF(AG158&gt;AD158,2,1),"")</f>
        <v/>
      </c>
      <c r="AI158" s="62" t="str">
        <f aca="false">IF($Z158=Constants!$B$7,IF(AH158=1,2,1),"")</f>
        <v/>
      </c>
      <c r="AJ158" s="62" t="str">
        <f aca="false">IF(ISBLANK($C158),"",IF($Z158&lt;&gt;Constants!$B$7,$Z158,IF(AH158=1,AD158,AG158)))</f>
        <v/>
      </c>
      <c r="AK158" s="62" t="str">
        <f aca="false">IF(ISBLANK($C158),"",IF($Z158=Constants!$B$7,IF(ISNUMBER(AJ158),RANK(AJ158,$AJ$8:$AJ$507),Constants!$B$14),$Z158))</f>
        <v/>
      </c>
      <c r="AL158" s="62" t="str">
        <f aca="false">IF(ISBLANK($C158),"",IF($Z158=Constants!$B$7,IF(AI158=1,AD158,AG158),""))</f>
        <v/>
      </c>
      <c r="AM158" s="62" t="str">
        <f aca="false">IF(ISBLANK($C158),"",IF($Z158=Constants!$B$7,RANK(AL158,$AL$8:$AL$507),$Z158))</f>
        <v/>
      </c>
      <c r="AN158" s="62" t="str">
        <f aca="false">IF(ISBLANK($C158),"",IF($Z158=Constants!$B$7,IF(ISNUMBER(AK158),COUNTIFS($AK$8:$AK$507,"&lt;"&amp;$AK158)+COUNTIFS($AK$8:$AK$507,$AK158,$AM$8:$AM$507,"&lt;"&amp;$AM158)+1,Constants!$B$14),$Z158))</f>
        <v/>
      </c>
      <c r="AO158" s="62" t="str">
        <f aca="false">IF(ISBLANK($C158),"",IF($Z158=Constants!$B$7,IF(ISNUMBER(AK158),AK158-AN158,Constants!$B$14),$Z158))</f>
        <v/>
      </c>
      <c r="AP158" s="64"/>
      <c r="AQ158" s="65" t="str">
        <f aca="false">IF(ISBLANK($C158),"",IF($Z158&lt;&gt;Constants!$B$7,"",AH158))</f>
        <v/>
      </c>
      <c r="AR158" s="80" t="str">
        <f aca="false">IF(ISBLANK($C158),"",IF($Z158&lt;&gt;Constants!$B$7,"",IF(AH158=1,AB158,AE158)))</f>
        <v/>
      </c>
      <c r="AS158" s="67" t="str">
        <f aca="false">IF(ISBLANK($C158),"",IF($Z158&lt;&gt;Constants!$B$7,"",IF(AH158=1,AC158,AF158)))</f>
        <v/>
      </c>
      <c r="AT158" s="68" t="str">
        <f aca="false">IF(ISBLANK($C158),"",IF($Z158&lt;&gt;Constants!$B$7,$Z158,AJ158))</f>
        <v/>
      </c>
      <c r="AU158" s="69" t="str">
        <f aca="false">IF(ISBLANK($C158),"",IF($Z158&lt;&gt;Constants!$B$7,$Z158,AA158))</f>
        <v/>
      </c>
      <c r="AV158" s="70" t="str">
        <f aca="false">IF(ISBLANK($C158),"",AO158)</f>
        <v/>
      </c>
      <c r="AW158" s="70" t="str">
        <f aca="false">IF(ISBLANK($C158),"",AN158)</f>
        <v/>
      </c>
      <c r="AX158" s="71" t="str">
        <f aca="false">IF(ISBLANK($C158),"",IFERROR(_xlfn.SWITCH(AW158,Constants!$B$4,COUNTA($C$8:$C$507)+2,Constants!$B$5,COUNTA($C$8:$C$507)+1,Constants!$B$6,COUNTA($C$8:$C$507)),AW158))</f>
        <v/>
      </c>
      <c r="AY158" s="5"/>
      <c r="AZ158" s="72" t="n">
        <f aca="false">IF(OR(ISNUMBER(AW158),AW158=Constants!$B$4,AW158=Constants!$B$6,AW158=Constants!$B$5),1,0)</f>
        <v>0</v>
      </c>
      <c r="BA158" s="72" t="n">
        <v>151</v>
      </c>
      <c r="BB158" s="72" t="str">
        <f aca="false">IF(ISBLANK($C158),"",IF(ISNUMBER(AX158),AX158+ROW($B158)/1000,""))</f>
        <v/>
      </c>
      <c r="BC158" s="72" t="str">
        <f aca="false">IF(ISNUMBER(BB158),RANK(BB158,$BB$8:$BB$507,1),"")</f>
        <v/>
      </c>
      <c r="BD158" s="72" t="str">
        <f aca="false">IF(ISBLANK($C158),"",$B158)</f>
        <v/>
      </c>
      <c r="BE158" s="72" t="str">
        <f aca="false">IF(ISBLANK($C158),"",$C158)</f>
        <v/>
      </c>
      <c r="BF158" s="72" t="str">
        <f aca="false">IF(ISBLANK($C158),"",$D158)</f>
        <v/>
      </c>
      <c r="BG158" s="73" t="str">
        <f aca="false">AU158</f>
        <v/>
      </c>
      <c r="BH158" s="74" t="str">
        <f aca="false">AT158</f>
        <v/>
      </c>
      <c r="BI158" s="72" t="str">
        <f aca="false">IF(ISBLANK($C158),"",AW158)</f>
        <v/>
      </c>
      <c r="BJ158" s="75" t="str">
        <f aca="false">IF($BA158&gt;$AZ$7,"",VLOOKUP($BA158,$BC$8:$BI$507,7,FALSE()))</f>
        <v/>
      </c>
      <c r="BK158" s="76" t="str">
        <f aca="false">IF($BA158&gt;$AZ$7,"",VLOOKUP($BA158,$BC$8:$BI$507,2,FALSE()))</f>
        <v/>
      </c>
      <c r="BL158" s="76" t="str">
        <f aca="false">IF($BA158&gt;$AZ$7,"",VLOOKUP($BA158,$BC$8:$BI$507,3,FALSE()))</f>
        <v/>
      </c>
      <c r="BM158" s="76" t="str">
        <f aca="false">IF($BA158&gt;$AZ$7,"",VLOOKUP($BA158,$BC$8:$BI$507,4,FALSE()))</f>
        <v/>
      </c>
      <c r="BN158" s="76" t="str">
        <f aca="false">IF($BA158&gt;$AZ$7,"",VLOOKUP($BA158,$BC$8:$BI$507,5,FALSE()))</f>
        <v/>
      </c>
      <c r="BO158" s="77" t="str">
        <f aca="false">IF($BA158&gt;$AZ$7,"",VLOOKUP($BA158,$BC$8:$BI$507,6,FALSE()))</f>
        <v/>
      </c>
      <c r="BP158" s="52"/>
    </row>
    <row r="159" customFormat="false" ht="15.75" hidden="false" customHeight="false" outlineLevel="0" collapsed="false">
      <c r="A159" s="5"/>
      <c r="B159" s="118"/>
      <c r="C159" s="54"/>
      <c r="D159" s="55"/>
      <c r="E159" s="79"/>
      <c r="F159" s="57"/>
      <c r="G159" s="58"/>
      <c r="H159" s="58"/>
      <c r="I159" s="57"/>
      <c r="J159" s="58"/>
      <c r="K159" s="58"/>
      <c r="L159" s="57"/>
      <c r="M159" s="79"/>
      <c r="N159" s="60"/>
      <c r="O159" s="62" t="str">
        <f aca="false">IF(ISBLANK($C159),"",IF(E159=Constants!$B$2, TRUE(), IF(E159=Constants!$B$3, FALSE(), TRUE())))</f>
        <v/>
      </c>
      <c r="P159" s="62" t="str">
        <f aca="false">IF(ISBLANK($C159),"",IF(F159=Constants!$B$16,Constants!$B$9,IF(F159=Constants!$B$17,Constants!$B$10,Constants!$B$8)))</f>
        <v/>
      </c>
      <c r="Q159" s="62" t="str">
        <f aca="false">IF(ISBLANK($C159),"",IF(ISNUMBER(G159),IF(G159&gt;=0,G159,""),""))</f>
        <v/>
      </c>
      <c r="R159" s="62" t="str">
        <f aca="false">IF(ISBLANK($C159),"",IF(H159=Constants!$B$2, TRUE(), IF(H159=Constants!$B$3, FALSE(), TRUE())))</f>
        <v/>
      </c>
      <c r="S159" s="62" t="str">
        <f aca="false">IF(ISBLANK($C159),"",IF(I159=Constants!$B$2, TRUE(), IF(I159=Constants!$B$3, FALSE(), TRUE())))</f>
        <v/>
      </c>
      <c r="T159" s="62" t="str">
        <f aca="false">IF(ISBLANK($C159),"",IF(ISNUMBER(J159),IF(J159&gt;=0,J159,""),""))</f>
        <v/>
      </c>
      <c r="U159" s="62" t="str">
        <f aca="false">IF(ISBLANK($C159),"",IF(K159=Constants!$B$2, TRUE(), IF(K159=Constants!$B$3, FALSE(), TRUE())))</f>
        <v/>
      </c>
      <c r="V159" s="62" t="str">
        <f aca="false">IF(ISBLANK($C159),"",IF(L159=Constants!$B$2, TRUE(), IF(L159=Constants!$B$3, FALSE(), TRUE())))</f>
        <v/>
      </c>
      <c r="W159" s="62" t="str">
        <f aca="false">IF(ISBLANK($C159),"",IF(M159=Constants!$B$2, TRUE(), IF(M159=Constants!$B$3, FALSE(), FALSE())))</f>
        <v/>
      </c>
      <c r="X159" s="62" t="str">
        <f aca="false">IF(ISBLANK($C159),"",AND(Q159&lt;&gt;"",O159))</f>
        <v/>
      </c>
      <c r="Y159" s="62" t="str">
        <f aca="false">IF(ISBLANK($C159),"",AND(T159&lt;&gt;"",O159))</f>
        <v/>
      </c>
      <c r="Z159" s="62" t="str">
        <f aca="false">IF(ISBLANK($C159),"",IF(W159,Constants!$B$4,IF(COUNTA(E159:L159)=0,Constants!$B$5,IF(NOT(O159),Constants!$B$6,IF(AND(NOT(X159),NOT(Y159)),Constants!$B$6,Constants!$B$7)))))</f>
        <v/>
      </c>
      <c r="AA159" s="62" t="str">
        <f aca="false">IF(ISBLANK($C159),"",IF($Z159&lt;&gt;Constants!$B$7,$Z159,Constants!$B$20))</f>
        <v/>
      </c>
      <c r="AB159" s="62" t="str">
        <f aca="false">IF($Z159=Constants!$B$7,IF(X159,Q159,Constants!$B$13),"")</f>
        <v/>
      </c>
      <c r="AC159" s="62" t="str">
        <f aca="false">IF($Z159=Constants!$B$7,IF(X159,P159*IF(R159, 1, Constants!$B$11)*IF(S159, 1, Constants!$B$12),Constants!$B$13),"")</f>
        <v/>
      </c>
      <c r="AD159" s="62" t="str">
        <f aca="false">IF($Z159=Constants!$B$7,AB159*AC159,"")</f>
        <v/>
      </c>
      <c r="AE159" s="62" t="str">
        <f aca="false">IF($Z159=Constants!$B$7,IF(Y159,T159,Constants!$B$13),"")</f>
        <v/>
      </c>
      <c r="AF159" s="62" t="str">
        <f aca="false">IF($Z159=Constants!$B$7,IF(Y159,P159*IF(U159, 1, Constants!$B$11)*IF(V159, 1, Constants!$B$12),Constants!$B$13),"")</f>
        <v/>
      </c>
      <c r="AG159" s="62" t="str">
        <f aca="false">IF($Z159=Constants!$B$7,AE159*AF159,"")</f>
        <v/>
      </c>
      <c r="AH159" s="62" t="str">
        <f aca="false">IF($Z159=Constants!$B$7,IF(AG159&gt;AD159,2,1),"")</f>
        <v/>
      </c>
      <c r="AI159" s="62" t="str">
        <f aca="false">IF($Z159=Constants!$B$7,IF(AH159=1,2,1),"")</f>
        <v/>
      </c>
      <c r="AJ159" s="62" t="str">
        <f aca="false">IF(ISBLANK($C159),"",IF($Z159&lt;&gt;Constants!$B$7,$Z159,IF(AH159=1,AD159,AG159)))</f>
        <v/>
      </c>
      <c r="AK159" s="62" t="str">
        <f aca="false">IF(ISBLANK($C159),"",IF($Z159=Constants!$B$7,IF(ISNUMBER(AJ159),RANK(AJ159,$AJ$8:$AJ$507),Constants!$B$14),$Z159))</f>
        <v/>
      </c>
      <c r="AL159" s="62" t="str">
        <f aca="false">IF(ISBLANK($C159),"",IF($Z159=Constants!$B$7,IF(AI159=1,AD159,AG159),""))</f>
        <v/>
      </c>
      <c r="AM159" s="62" t="str">
        <f aca="false">IF(ISBLANK($C159),"",IF($Z159=Constants!$B$7,RANK(AL159,$AL$8:$AL$507),$Z159))</f>
        <v/>
      </c>
      <c r="AN159" s="62" t="str">
        <f aca="false">IF(ISBLANK($C159),"",IF($Z159=Constants!$B$7,IF(ISNUMBER(AK159),COUNTIFS($AK$8:$AK$507,"&lt;"&amp;$AK159)+COUNTIFS($AK$8:$AK$507,$AK159,$AM$8:$AM$507,"&lt;"&amp;$AM159)+1,Constants!$B$14),$Z159))</f>
        <v/>
      </c>
      <c r="AO159" s="62" t="str">
        <f aca="false">IF(ISBLANK($C159),"",IF($Z159=Constants!$B$7,IF(ISNUMBER(AK159),AK159-AN159,Constants!$B$14),$Z159))</f>
        <v/>
      </c>
      <c r="AP159" s="64"/>
      <c r="AQ159" s="65" t="str">
        <f aca="false">IF(ISBLANK($C159),"",IF($Z159&lt;&gt;Constants!$B$7,"",AH159))</f>
        <v/>
      </c>
      <c r="AR159" s="80" t="str">
        <f aca="false">IF(ISBLANK($C159),"",IF($Z159&lt;&gt;Constants!$B$7,"",IF(AH159=1,AB159,AE159)))</f>
        <v/>
      </c>
      <c r="AS159" s="67" t="str">
        <f aca="false">IF(ISBLANK($C159),"",IF($Z159&lt;&gt;Constants!$B$7,"",IF(AH159=1,AC159,AF159)))</f>
        <v/>
      </c>
      <c r="AT159" s="68" t="str">
        <f aca="false">IF(ISBLANK($C159),"",IF($Z159&lt;&gt;Constants!$B$7,$Z159,AJ159))</f>
        <v/>
      </c>
      <c r="AU159" s="69" t="str">
        <f aca="false">IF(ISBLANK($C159),"",IF($Z159&lt;&gt;Constants!$B$7,$Z159,AA159))</f>
        <v/>
      </c>
      <c r="AV159" s="70" t="str">
        <f aca="false">IF(ISBLANK($C159),"",AO159)</f>
        <v/>
      </c>
      <c r="AW159" s="70" t="str">
        <f aca="false">IF(ISBLANK($C159),"",AN159)</f>
        <v/>
      </c>
      <c r="AX159" s="71" t="str">
        <f aca="false">IF(ISBLANK($C159),"",IFERROR(_xlfn.SWITCH(AW159,Constants!$B$4,COUNTA($C$8:$C$507)+2,Constants!$B$5,COUNTA($C$8:$C$507)+1,Constants!$B$6,COUNTA($C$8:$C$507)),AW159))</f>
        <v/>
      </c>
      <c r="AY159" s="5"/>
      <c r="AZ159" s="72" t="n">
        <f aca="false">IF(OR(ISNUMBER(AW159),AW159=Constants!$B$4,AW159=Constants!$B$6,AW159=Constants!$B$5),1,0)</f>
        <v>0</v>
      </c>
      <c r="BA159" s="72" t="n">
        <v>152</v>
      </c>
      <c r="BB159" s="72" t="str">
        <f aca="false">IF(ISBLANK($C159),"",IF(ISNUMBER(AX159),AX159+ROW($B159)/1000,""))</f>
        <v/>
      </c>
      <c r="BC159" s="72" t="str">
        <f aca="false">IF(ISNUMBER(BB159),RANK(BB159,$BB$8:$BB$507,1),"")</f>
        <v/>
      </c>
      <c r="BD159" s="72" t="str">
        <f aca="false">IF(ISBLANK($C159),"",$B159)</f>
        <v/>
      </c>
      <c r="BE159" s="72" t="str">
        <f aca="false">IF(ISBLANK($C159),"",$C159)</f>
        <v/>
      </c>
      <c r="BF159" s="72" t="str">
        <f aca="false">IF(ISBLANK($C159),"",$D159)</f>
        <v/>
      </c>
      <c r="BG159" s="73" t="str">
        <f aca="false">AU159</f>
        <v/>
      </c>
      <c r="BH159" s="74" t="str">
        <f aca="false">AT159</f>
        <v/>
      </c>
      <c r="BI159" s="72" t="str">
        <f aca="false">IF(ISBLANK($C159),"",AW159)</f>
        <v/>
      </c>
      <c r="BJ159" s="75" t="str">
        <f aca="false">IF($BA159&gt;$AZ$7,"",VLOOKUP($BA159,$BC$8:$BI$507,7,FALSE()))</f>
        <v/>
      </c>
      <c r="BK159" s="76" t="str">
        <f aca="false">IF($BA159&gt;$AZ$7,"",VLOOKUP($BA159,$BC$8:$BI$507,2,FALSE()))</f>
        <v/>
      </c>
      <c r="BL159" s="76" t="str">
        <f aca="false">IF($BA159&gt;$AZ$7,"",VLOOKUP($BA159,$BC$8:$BI$507,3,FALSE()))</f>
        <v/>
      </c>
      <c r="BM159" s="76" t="str">
        <f aca="false">IF($BA159&gt;$AZ$7,"",VLOOKUP($BA159,$BC$8:$BI$507,4,FALSE()))</f>
        <v/>
      </c>
      <c r="BN159" s="76" t="str">
        <f aca="false">IF($BA159&gt;$AZ$7,"",VLOOKUP($BA159,$BC$8:$BI$507,5,FALSE()))</f>
        <v/>
      </c>
      <c r="BO159" s="77" t="str">
        <f aca="false">IF($BA159&gt;$AZ$7,"",VLOOKUP($BA159,$BC$8:$BI$507,6,FALSE()))</f>
        <v/>
      </c>
      <c r="BP159" s="52"/>
    </row>
    <row r="160" customFormat="false" ht="15.75" hidden="false" customHeight="false" outlineLevel="0" collapsed="false">
      <c r="A160" s="5"/>
      <c r="B160" s="118"/>
      <c r="C160" s="54"/>
      <c r="D160" s="55"/>
      <c r="E160" s="79"/>
      <c r="F160" s="57"/>
      <c r="G160" s="58"/>
      <c r="H160" s="58"/>
      <c r="I160" s="57"/>
      <c r="J160" s="58"/>
      <c r="K160" s="58"/>
      <c r="L160" s="57"/>
      <c r="M160" s="79"/>
      <c r="N160" s="60"/>
      <c r="O160" s="62" t="str">
        <f aca="false">IF(ISBLANK($C160),"",IF(E160=Constants!$B$2, TRUE(), IF(E160=Constants!$B$3, FALSE(), TRUE())))</f>
        <v/>
      </c>
      <c r="P160" s="62" t="str">
        <f aca="false">IF(ISBLANK($C160),"",IF(F160=Constants!$B$16,Constants!$B$9,IF(F160=Constants!$B$17,Constants!$B$10,Constants!$B$8)))</f>
        <v/>
      </c>
      <c r="Q160" s="62" t="str">
        <f aca="false">IF(ISBLANK($C160),"",IF(ISNUMBER(G160),IF(G160&gt;=0,G160,""),""))</f>
        <v/>
      </c>
      <c r="R160" s="62" t="str">
        <f aca="false">IF(ISBLANK($C160),"",IF(H160=Constants!$B$2, TRUE(), IF(H160=Constants!$B$3, FALSE(), TRUE())))</f>
        <v/>
      </c>
      <c r="S160" s="62" t="str">
        <f aca="false">IF(ISBLANK($C160),"",IF(I160=Constants!$B$2, TRUE(), IF(I160=Constants!$B$3, FALSE(), TRUE())))</f>
        <v/>
      </c>
      <c r="T160" s="62" t="str">
        <f aca="false">IF(ISBLANK($C160),"",IF(ISNUMBER(J160),IF(J160&gt;=0,J160,""),""))</f>
        <v/>
      </c>
      <c r="U160" s="62" t="str">
        <f aca="false">IF(ISBLANK($C160),"",IF(K160=Constants!$B$2, TRUE(), IF(K160=Constants!$B$3, FALSE(), TRUE())))</f>
        <v/>
      </c>
      <c r="V160" s="62" t="str">
        <f aca="false">IF(ISBLANK($C160),"",IF(L160=Constants!$B$2, TRUE(), IF(L160=Constants!$B$3, FALSE(), TRUE())))</f>
        <v/>
      </c>
      <c r="W160" s="62" t="str">
        <f aca="false">IF(ISBLANK($C160),"",IF(M160=Constants!$B$2, TRUE(), IF(M160=Constants!$B$3, FALSE(), FALSE())))</f>
        <v/>
      </c>
      <c r="X160" s="62" t="str">
        <f aca="false">IF(ISBLANK($C160),"",AND(Q160&lt;&gt;"",O160))</f>
        <v/>
      </c>
      <c r="Y160" s="62" t="str">
        <f aca="false">IF(ISBLANK($C160),"",AND(T160&lt;&gt;"",O160))</f>
        <v/>
      </c>
      <c r="Z160" s="62" t="str">
        <f aca="false">IF(ISBLANK($C160),"",IF(W160,Constants!$B$4,IF(COUNTA(E160:L160)=0,Constants!$B$5,IF(NOT(O160),Constants!$B$6,IF(AND(NOT(X160),NOT(Y160)),Constants!$B$6,Constants!$B$7)))))</f>
        <v/>
      </c>
      <c r="AA160" s="62" t="str">
        <f aca="false">IF(ISBLANK($C160),"",IF($Z160&lt;&gt;Constants!$B$7,$Z160,Constants!$B$20))</f>
        <v/>
      </c>
      <c r="AB160" s="62" t="str">
        <f aca="false">IF($Z160=Constants!$B$7,IF(X160,Q160,Constants!$B$13),"")</f>
        <v/>
      </c>
      <c r="AC160" s="62" t="str">
        <f aca="false">IF($Z160=Constants!$B$7,IF(X160,P160*IF(R160, 1, Constants!$B$11)*IF(S160, 1, Constants!$B$12),Constants!$B$13),"")</f>
        <v/>
      </c>
      <c r="AD160" s="62" t="str">
        <f aca="false">IF($Z160=Constants!$B$7,AB160*AC160,"")</f>
        <v/>
      </c>
      <c r="AE160" s="62" t="str">
        <f aca="false">IF($Z160=Constants!$B$7,IF(Y160,T160,Constants!$B$13),"")</f>
        <v/>
      </c>
      <c r="AF160" s="62" t="str">
        <f aca="false">IF($Z160=Constants!$B$7,IF(Y160,P160*IF(U160, 1, Constants!$B$11)*IF(V160, 1, Constants!$B$12),Constants!$B$13),"")</f>
        <v/>
      </c>
      <c r="AG160" s="62" t="str">
        <f aca="false">IF($Z160=Constants!$B$7,AE160*AF160,"")</f>
        <v/>
      </c>
      <c r="AH160" s="62" t="str">
        <f aca="false">IF($Z160=Constants!$B$7,IF(AG160&gt;AD160,2,1),"")</f>
        <v/>
      </c>
      <c r="AI160" s="62" t="str">
        <f aca="false">IF($Z160=Constants!$B$7,IF(AH160=1,2,1),"")</f>
        <v/>
      </c>
      <c r="AJ160" s="62" t="str">
        <f aca="false">IF(ISBLANK($C160),"",IF($Z160&lt;&gt;Constants!$B$7,$Z160,IF(AH160=1,AD160,AG160)))</f>
        <v/>
      </c>
      <c r="AK160" s="62" t="str">
        <f aca="false">IF(ISBLANK($C160),"",IF($Z160=Constants!$B$7,IF(ISNUMBER(AJ160),RANK(AJ160,$AJ$8:$AJ$507),Constants!$B$14),$Z160))</f>
        <v/>
      </c>
      <c r="AL160" s="62" t="str">
        <f aca="false">IF(ISBLANK($C160),"",IF($Z160=Constants!$B$7,IF(AI160=1,AD160,AG160),""))</f>
        <v/>
      </c>
      <c r="AM160" s="62" t="str">
        <f aca="false">IF(ISBLANK($C160),"",IF($Z160=Constants!$B$7,RANK(AL160,$AL$8:$AL$507),$Z160))</f>
        <v/>
      </c>
      <c r="AN160" s="62" t="str">
        <f aca="false">IF(ISBLANK($C160),"",IF($Z160=Constants!$B$7,IF(ISNUMBER(AK160),COUNTIFS($AK$8:$AK$507,"&lt;"&amp;$AK160)+COUNTIFS($AK$8:$AK$507,$AK160,$AM$8:$AM$507,"&lt;"&amp;$AM160)+1,Constants!$B$14),$Z160))</f>
        <v/>
      </c>
      <c r="AO160" s="62" t="str">
        <f aca="false">IF(ISBLANK($C160),"",IF($Z160=Constants!$B$7,IF(ISNUMBER(AK160),AK160-AN160,Constants!$B$14),$Z160))</f>
        <v/>
      </c>
      <c r="AP160" s="64"/>
      <c r="AQ160" s="65" t="str">
        <f aca="false">IF(ISBLANK($C160),"",IF($Z160&lt;&gt;Constants!$B$7,"",AH160))</f>
        <v/>
      </c>
      <c r="AR160" s="80" t="str">
        <f aca="false">IF(ISBLANK($C160),"",IF($Z160&lt;&gt;Constants!$B$7,"",IF(AH160=1,AB160,AE160)))</f>
        <v/>
      </c>
      <c r="AS160" s="67" t="str">
        <f aca="false">IF(ISBLANK($C160),"",IF($Z160&lt;&gt;Constants!$B$7,"",IF(AH160=1,AC160,AF160)))</f>
        <v/>
      </c>
      <c r="AT160" s="68" t="str">
        <f aca="false">IF(ISBLANK($C160),"",IF($Z160&lt;&gt;Constants!$B$7,$Z160,AJ160))</f>
        <v/>
      </c>
      <c r="AU160" s="69" t="str">
        <f aca="false">IF(ISBLANK($C160),"",IF($Z160&lt;&gt;Constants!$B$7,$Z160,AA160))</f>
        <v/>
      </c>
      <c r="AV160" s="70" t="str">
        <f aca="false">IF(ISBLANK($C160),"",AO160)</f>
        <v/>
      </c>
      <c r="AW160" s="70" t="str">
        <f aca="false">IF(ISBLANK($C160),"",AN160)</f>
        <v/>
      </c>
      <c r="AX160" s="71" t="str">
        <f aca="false">IF(ISBLANK($C160),"",IFERROR(_xlfn.SWITCH(AW160,Constants!$B$4,COUNTA($C$8:$C$507)+2,Constants!$B$5,COUNTA($C$8:$C$507)+1,Constants!$B$6,COUNTA($C$8:$C$507)),AW160))</f>
        <v/>
      </c>
      <c r="AY160" s="5"/>
      <c r="AZ160" s="72" t="n">
        <f aca="false">IF(OR(ISNUMBER(AW160),AW160=Constants!$B$4,AW160=Constants!$B$6,AW160=Constants!$B$5),1,0)</f>
        <v>0</v>
      </c>
      <c r="BA160" s="72" t="n">
        <v>153</v>
      </c>
      <c r="BB160" s="72" t="str">
        <f aca="false">IF(ISBLANK($C160),"",IF(ISNUMBER(AX160),AX160+ROW($B160)/1000,""))</f>
        <v/>
      </c>
      <c r="BC160" s="72" t="str">
        <f aca="false">IF(ISNUMBER(BB160),RANK(BB160,$BB$8:$BB$507,1),"")</f>
        <v/>
      </c>
      <c r="BD160" s="72" t="str">
        <f aca="false">IF(ISBLANK($C160),"",$B160)</f>
        <v/>
      </c>
      <c r="BE160" s="72" t="str">
        <f aca="false">IF(ISBLANK($C160),"",$C160)</f>
        <v/>
      </c>
      <c r="BF160" s="72" t="str">
        <f aca="false">IF(ISBLANK($C160),"",$D160)</f>
        <v/>
      </c>
      <c r="BG160" s="73" t="str">
        <f aca="false">AU160</f>
        <v/>
      </c>
      <c r="BH160" s="74" t="str">
        <f aca="false">AT160</f>
        <v/>
      </c>
      <c r="BI160" s="72" t="str">
        <f aca="false">IF(ISBLANK($C160),"",AW160)</f>
        <v/>
      </c>
      <c r="BJ160" s="75" t="str">
        <f aca="false">IF($BA160&gt;$AZ$7,"",VLOOKUP($BA160,$BC$8:$BI$507,7,FALSE()))</f>
        <v/>
      </c>
      <c r="BK160" s="76" t="str">
        <f aca="false">IF($BA160&gt;$AZ$7,"",VLOOKUP($BA160,$BC$8:$BI$507,2,FALSE()))</f>
        <v/>
      </c>
      <c r="BL160" s="76" t="str">
        <f aca="false">IF($BA160&gt;$AZ$7,"",VLOOKUP($BA160,$BC$8:$BI$507,3,FALSE()))</f>
        <v/>
      </c>
      <c r="BM160" s="76" t="str">
        <f aca="false">IF($BA160&gt;$AZ$7,"",VLOOKUP($BA160,$BC$8:$BI$507,4,FALSE()))</f>
        <v/>
      </c>
      <c r="BN160" s="76" t="str">
        <f aca="false">IF($BA160&gt;$AZ$7,"",VLOOKUP($BA160,$BC$8:$BI$507,5,FALSE()))</f>
        <v/>
      </c>
      <c r="BO160" s="77" t="str">
        <f aca="false">IF($BA160&gt;$AZ$7,"",VLOOKUP($BA160,$BC$8:$BI$507,6,FALSE()))</f>
        <v/>
      </c>
      <c r="BP160" s="52"/>
    </row>
    <row r="161" customFormat="false" ht="15.75" hidden="false" customHeight="false" outlineLevel="0" collapsed="false">
      <c r="A161" s="5"/>
      <c r="B161" s="114"/>
      <c r="C161" s="115"/>
      <c r="D161" s="106"/>
      <c r="E161" s="117"/>
      <c r="F161" s="87"/>
      <c r="G161" s="88"/>
      <c r="H161" s="88"/>
      <c r="I161" s="87"/>
      <c r="J161" s="88"/>
      <c r="K161" s="88"/>
      <c r="L161" s="87"/>
      <c r="M161" s="117"/>
      <c r="N161" s="90"/>
      <c r="O161" s="91" t="str">
        <f aca="false">IF(ISBLANK($C161),"",IF(E161=Constants!$B$2, TRUE(), IF(E161=Constants!$B$3, FALSE(), TRUE())))</f>
        <v/>
      </c>
      <c r="P161" s="91" t="str">
        <f aca="false">IF(ISBLANK($C161),"",IF(F161=Constants!$B$16,Constants!$B$9,IF(F161=Constants!$B$17,Constants!$B$10,Constants!$B$8)))</f>
        <v/>
      </c>
      <c r="Q161" s="91" t="str">
        <f aca="false">IF(ISBLANK($C161),"",IF(ISNUMBER(G161),IF(G161&gt;=0,G161,""),""))</f>
        <v/>
      </c>
      <c r="R161" s="91" t="str">
        <f aca="false">IF(ISBLANK($C161),"",IF(H161=Constants!$B$2, TRUE(), IF(H161=Constants!$B$3, FALSE(), TRUE())))</f>
        <v/>
      </c>
      <c r="S161" s="91" t="str">
        <f aca="false">IF(ISBLANK($C161),"",IF(I161=Constants!$B$2, TRUE(), IF(I161=Constants!$B$3, FALSE(), TRUE())))</f>
        <v/>
      </c>
      <c r="T161" s="91" t="str">
        <f aca="false">IF(ISBLANK($C161),"",IF(ISNUMBER(J161),IF(J161&gt;=0,J161,""),""))</f>
        <v/>
      </c>
      <c r="U161" s="91" t="str">
        <f aca="false">IF(ISBLANK($C161),"",IF(K161=Constants!$B$2, TRUE(), IF(K161=Constants!$B$3, FALSE(), TRUE())))</f>
        <v/>
      </c>
      <c r="V161" s="91" t="str">
        <f aca="false">IF(ISBLANK($C161),"",IF(L161=Constants!$B$2, TRUE(), IF(L161=Constants!$B$3, FALSE(), TRUE())))</f>
        <v/>
      </c>
      <c r="W161" s="91" t="str">
        <f aca="false">IF(ISBLANK($C161),"",IF(M161=Constants!$B$2, TRUE(), IF(M161=Constants!$B$3, FALSE(), FALSE())))</f>
        <v/>
      </c>
      <c r="X161" s="91" t="str">
        <f aca="false">IF(ISBLANK($C161),"",AND(Q161&lt;&gt;"",O161))</f>
        <v/>
      </c>
      <c r="Y161" s="91" t="str">
        <f aca="false">IF(ISBLANK($C161),"",AND(T161&lt;&gt;"",O161))</f>
        <v/>
      </c>
      <c r="Z161" s="91" t="str">
        <f aca="false">IF(ISBLANK($C161),"",IF(W161,Constants!$B$4,IF(COUNTA(E161:L161)=0,Constants!$B$5,IF(NOT(O161),Constants!$B$6,IF(AND(NOT(X161),NOT(Y161)),Constants!$B$6,Constants!$B$7)))))</f>
        <v/>
      </c>
      <c r="AA161" s="91" t="str">
        <f aca="false">IF(ISBLANK($C161),"",IF($Z161&lt;&gt;Constants!$B$7,$Z161,Constants!$B$20))</f>
        <v/>
      </c>
      <c r="AB161" s="91" t="str">
        <f aca="false">IF($Z161=Constants!$B$7,IF(X161,Q161,Constants!$B$13),"")</f>
        <v/>
      </c>
      <c r="AC161" s="91" t="str">
        <f aca="false">IF($Z161=Constants!$B$7,IF(X161,P161*IF(R161, 1, Constants!$B$11)*IF(S161, 1, Constants!$B$12),Constants!$B$13),"")</f>
        <v/>
      </c>
      <c r="AD161" s="91" t="str">
        <f aca="false">IF($Z161=Constants!$B$7,AB161*AC161,"")</f>
        <v/>
      </c>
      <c r="AE161" s="91" t="str">
        <f aca="false">IF($Z161=Constants!$B$7,IF(Y161,T161,Constants!$B$13),"")</f>
        <v/>
      </c>
      <c r="AF161" s="91" t="str">
        <f aca="false">IF($Z161=Constants!$B$7,IF(Y161,P161*IF(U161, 1, Constants!$B$11)*IF(V161, 1, Constants!$B$12),Constants!$B$13),"")</f>
        <v/>
      </c>
      <c r="AG161" s="91" t="str">
        <f aca="false">IF($Z161=Constants!$B$7,AE161*AF161,"")</f>
        <v/>
      </c>
      <c r="AH161" s="91" t="str">
        <f aca="false">IF($Z161=Constants!$B$7,IF(AG161&gt;AD161,2,1),"")</f>
        <v/>
      </c>
      <c r="AI161" s="91" t="str">
        <f aca="false">IF($Z161=Constants!$B$7,IF(AH161=1,2,1),"")</f>
        <v/>
      </c>
      <c r="AJ161" s="91" t="str">
        <f aca="false">IF(ISBLANK($C161),"",IF($Z161&lt;&gt;Constants!$B$7,$Z161,IF(AH161=1,AD161,AG161)))</f>
        <v/>
      </c>
      <c r="AK161" s="91" t="str">
        <f aca="false">IF(ISBLANK($C161),"",IF($Z161=Constants!$B$7,IF(ISNUMBER(AJ161),RANK(AJ161,$AJ$8:$AJ$507),Constants!$B$14),$Z161))</f>
        <v/>
      </c>
      <c r="AL161" s="91" t="str">
        <f aca="false">IF(ISBLANK($C161),"",IF($Z161=Constants!$B$7,IF(AI161=1,AD161,AG161),""))</f>
        <v/>
      </c>
      <c r="AM161" s="91" t="str">
        <f aca="false">IF(ISBLANK($C161),"",IF($Z161=Constants!$B$7,RANK(AL161,$AL$8:$AL$507),$Z161))</f>
        <v/>
      </c>
      <c r="AN161" s="91" t="str">
        <f aca="false">IF(ISBLANK($C161),"",IF($Z161=Constants!$B$7,IF(ISNUMBER(AK161),COUNTIFS($AK$8:$AK$507,"&lt;"&amp;$AK161)+COUNTIFS($AK$8:$AK$507,$AK161,$AM$8:$AM$507,"&lt;"&amp;$AM161)+1,Constants!$B$14),$Z161))</f>
        <v/>
      </c>
      <c r="AO161" s="91" t="str">
        <f aca="false">IF(ISBLANK($C161),"",IF($Z161=Constants!$B$7,IF(ISNUMBER(AK161),AK161-AN161,Constants!$B$14),$Z161))</f>
        <v/>
      </c>
      <c r="AP161" s="92"/>
      <c r="AQ161" s="93" t="str">
        <f aca="false">IF(ISBLANK($C161),"",IF($Z161&lt;&gt;Constants!$B$7,"",AH161))</f>
        <v/>
      </c>
      <c r="AR161" s="94" t="str">
        <f aca="false">IF(ISBLANK($C161),"",IF($Z161&lt;&gt;Constants!$B$7,"",IF(AH161=1,AB161,AE161)))</f>
        <v/>
      </c>
      <c r="AS161" s="95" t="str">
        <f aca="false">IF(ISBLANK($C161),"",IF($Z161&lt;&gt;Constants!$B$7,"",IF(AH161=1,AC161,AF161)))</f>
        <v/>
      </c>
      <c r="AT161" s="96" t="str">
        <f aca="false">IF(ISBLANK($C161),"",IF($Z161&lt;&gt;Constants!$B$7,$Z161,AJ161))</f>
        <v/>
      </c>
      <c r="AU161" s="97" t="str">
        <f aca="false">IF(ISBLANK($C161),"",IF($Z161&lt;&gt;Constants!$B$7,$Z161,AA161))</f>
        <v/>
      </c>
      <c r="AV161" s="98" t="str">
        <f aca="false">IF(ISBLANK($C161),"",AO161)</f>
        <v/>
      </c>
      <c r="AW161" s="98" t="str">
        <f aca="false">IF(ISBLANK($C161),"",AN161)</f>
        <v/>
      </c>
      <c r="AX161" s="99" t="str">
        <f aca="false">IF(ISBLANK($C161),"",IFERROR(_xlfn.SWITCH(AW161,Constants!$B$4,COUNTA($C$8:$C$507)+2,Constants!$B$5,COUNTA($C$8:$C$507)+1,Constants!$B$6,COUNTA($C$8:$C$507)),AW161))</f>
        <v/>
      </c>
      <c r="AY161" s="5"/>
      <c r="AZ161" s="100" t="n">
        <f aca="false">IF(OR(ISNUMBER(AW161),AW161=Constants!$B$4,AW161=Constants!$B$6,AW161=Constants!$B$5),1,0)</f>
        <v>0</v>
      </c>
      <c r="BA161" s="100" t="n">
        <v>154</v>
      </c>
      <c r="BB161" s="100" t="str">
        <f aca="false">IF(ISBLANK($C161),"",IF(ISNUMBER(AX161),AX161+ROW($B161)/1000,""))</f>
        <v/>
      </c>
      <c r="BC161" s="100" t="str">
        <f aca="false">IF(ISNUMBER(BB161),RANK(BB161,$BB$8:$BB$507,1),"")</f>
        <v/>
      </c>
      <c r="BD161" s="100" t="str">
        <f aca="false">IF(ISBLANK($C161),"",$B161)</f>
        <v/>
      </c>
      <c r="BE161" s="100" t="str">
        <f aca="false">IF(ISBLANK($C161),"",$C161)</f>
        <v/>
      </c>
      <c r="BF161" s="100" t="str">
        <f aca="false">IF(ISBLANK($C161),"",$D161)</f>
        <v/>
      </c>
      <c r="BG161" s="101" t="str">
        <f aca="false">AU161</f>
        <v/>
      </c>
      <c r="BH161" s="102" t="str">
        <f aca="false">AT161</f>
        <v/>
      </c>
      <c r="BI161" s="100" t="str">
        <f aca="false">IF(ISBLANK($C161),"",AW161)</f>
        <v/>
      </c>
      <c r="BJ161" s="103" t="str">
        <f aca="false">IF($BA161&gt;$AZ$7,"",VLOOKUP($BA161,$BC$8:$BI$507,7,FALSE()))</f>
        <v/>
      </c>
      <c r="BK161" s="104" t="str">
        <f aca="false">IF($BA161&gt;$AZ$7,"",VLOOKUP($BA161,$BC$8:$BI$507,2,FALSE()))</f>
        <v/>
      </c>
      <c r="BL161" s="104" t="str">
        <f aca="false">IF($BA161&gt;$AZ$7,"",VLOOKUP($BA161,$BC$8:$BI$507,3,FALSE()))</f>
        <v/>
      </c>
      <c r="BM161" s="104" t="str">
        <f aca="false">IF($BA161&gt;$AZ$7,"",VLOOKUP($BA161,$BC$8:$BI$507,4,FALSE()))</f>
        <v/>
      </c>
      <c r="BN161" s="104" t="str">
        <f aca="false">IF($BA161&gt;$AZ$7,"",VLOOKUP($BA161,$BC$8:$BI$507,5,FALSE()))</f>
        <v/>
      </c>
      <c r="BO161" s="105" t="str">
        <f aca="false">IF($BA161&gt;$AZ$7,"",VLOOKUP($BA161,$BC$8:$BI$507,6,FALSE()))</f>
        <v/>
      </c>
      <c r="BP161" s="52"/>
    </row>
    <row r="162" customFormat="false" ht="15.75" hidden="false" customHeight="false" outlineLevel="0" collapsed="false">
      <c r="A162" s="5"/>
      <c r="B162" s="114"/>
      <c r="C162" s="115"/>
      <c r="D162" s="106"/>
      <c r="E162" s="117"/>
      <c r="F162" s="87"/>
      <c r="G162" s="88"/>
      <c r="H162" s="88"/>
      <c r="I162" s="87"/>
      <c r="J162" s="88"/>
      <c r="K162" s="88"/>
      <c r="L162" s="87"/>
      <c r="M162" s="117"/>
      <c r="N162" s="90"/>
      <c r="O162" s="91" t="str">
        <f aca="false">IF(ISBLANK($C162),"",IF(E162=Constants!$B$2, TRUE(), IF(E162=Constants!$B$3, FALSE(), TRUE())))</f>
        <v/>
      </c>
      <c r="P162" s="91" t="str">
        <f aca="false">IF(ISBLANK($C162),"",IF(F162=Constants!$B$16,Constants!$B$9,IF(F162=Constants!$B$17,Constants!$B$10,Constants!$B$8)))</f>
        <v/>
      </c>
      <c r="Q162" s="91" t="str">
        <f aca="false">IF(ISBLANK($C162),"",IF(ISNUMBER(G162),IF(G162&gt;=0,G162,""),""))</f>
        <v/>
      </c>
      <c r="R162" s="91" t="str">
        <f aca="false">IF(ISBLANK($C162),"",IF(H162=Constants!$B$2, TRUE(), IF(H162=Constants!$B$3, FALSE(), TRUE())))</f>
        <v/>
      </c>
      <c r="S162" s="91" t="str">
        <f aca="false">IF(ISBLANK($C162),"",IF(I162=Constants!$B$2, TRUE(), IF(I162=Constants!$B$3, FALSE(), TRUE())))</f>
        <v/>
      </c>
      <c r="T162" s="91" t="str">
        <f aca="false">IF(ISBLANK($C162),"",IF(ISNUMBER(J162),IF(J162&gt;=0,J162,""),""))</f>
        <v/>
      </c>
      <c r="U162" s="91" t="str">
        <f aca="false">IF(ISBLANK($C162),"",IF(K162=Constants!$B$2, TRUE(), IF(K162=Constants!$B$3, FALSE(), TRUE())))</f>
        <v/>
      </c>
      <c r="V162" s="91" t="str">
        <f aca="false">IF(ISBLANK($C162),"",IF(L162=Constants!$B$2, TRUE(), IF(L162=Constants!$B$3, FALSE(), TRUE())))</f>
        <v/>
      </c>
      <c r="W162" s="91" t="str">
        <f aca="false">IF(ISBLANK($C162),"",IF(M162=Constants!$B$2, TRUE(), IF(M162=Constants!$B$3, FALSE(), FALSE())))</f>
        <v/>
      </c>
      <c r="X162" s="91" t="str">
        <f aca="false">IF(ISBLANK($C162),"",AND(Q162&lt;&gt;"",O162))</f>
        <v/>
      </c>
      <c r="Y162" s="91" t="str">
        <f aca="false">IF(ISBLANK($C162),"",AND(T162&lt;&gt;"",O162))</f>
        <v/>
      </c>
      <c r="Z162" s="91" t="str">
        <f aca="false">IF(ISBLANK($C162),"",IF(W162,Constants!$B$4,IF(COUNTA(E162:L162)=0,Constants!$B$5,IF(NOT(O162),Constants!$B$6,IF(AND(NOT(X162),NOT(Y162)),Constants!$B$6,Constants!$B$7)))))</f>
        <v/>
      </c>
      <c r="AA162" s="91" t="str">
        <f aca="false">IF(ISBLANK($C162),"",IF($Z162&lt;&gt;Constants!$B$7,$Z162,Constants!$B$20))</f>
        <v/>
      </c>
      <c r="AB162" s="91" t="str">
        <f aca="false">IF($Z162=Constants!$B$7,IF(X162,Q162,Constants!$B$13),"")</f>
        <v/>
      </c>
      <c r="AC162" s="91" t="str">
        <f aca="false">IF($Z162=Constants!$B$7,IF(X162,P162*IF(R162, 1, Constants!$B$11)*IF(S162, 1, Constants!$B$12),Constants!$B$13),"")</f>
        <v/>
      </c>
      <c r="AD162" s="91" t="str">
        <f aca="false">IF($Z162=Constants!$B$7,AB162*AC162,"")</f>
        <v/>
      </c>
      <c r="AE162" s="91" t="str">
        <f aca="false">IF($Z162=Constants!$B$7,IF(Y162,T162,Constants!$B$13),"")</f>
        <v/>
      </c>
      <c r="AF162" s="91" t="str">
        <f aca="false">IF($Z162=Constants!$B$7,IF(Y162,P162*IF(U162, 1, Constants!$B$11)*IF(V162, 1, Constants!$B$12),Constants!$B$13),"")</f>
        <v/>
      </c>
      <c r="AG162" s="91" t="str">
        <f aca="false">IF($Z162=Constants!$B$7,AE162*AF162,"")</f>
        <v/>
      </c>
      <c r="AH162" s="91" t="str">
        <f aca="false">IF($Z162=Constants!$B$7,IF(AG162&gt;AD162,2,1),"")</f>
        <v/>
      </c>
      <c r="AI162" s="91" t="str">
        <f aca="false">IF($Z162=Constants!$B$7,IF(AH162=1,2,1),"")</f>
        <v/>
      </c>
      <c r="AJ162" s="91" t="str">
        <f aca="false">IF(ISBLANK($C162),"",IF($Z162&lt;&gt;Constants!$B$7,$Z162,IF(AH162=1,AD162,AG162)))</f>
        <v/>
      </c>
      <c r="AK162" s="91" t="str">
        <f aca="false">IF(ISBLANK($C162),"",IF($Z162=Constants!$B$7,IF(ISNUMBER(AJ162),RANK(AJ162,$AJ$8:$AJ$507),Constants!$B$14),$Z162))</f>
        <v/>
      </c>
      <c r="AL162" s="91" t="str">
        <f aca="false">IF(ISBLANK($C162),"",IF($Z162=Constants!$B$7,IF(AI162=1,AD162,AG162),""))</f>
        <v/>
      </c>
      <c r="AM162" s="91" t="str">
        <f aca="false">IF(ISBLANK($C162),"",IF($Z162=Constants!$B$7,RANK(AL162,$AL$8:$AL$507),$Z162))</f>
        <v/>
      </c>
      <c r="AN162" s="91" t="str">
        <f aca="false">IF(ISBLANK($C162),"",IF($Z162=Constants!$B$7,IF(ISNUMBER(AK162),COUNTIFS($AK$8:$AK$507,"&lt;"&amp;$AK162)+COUNTIFS($AK$8:$AK$507,$AK162,$AM$8:$AM$507,"&lt;"&amp;$AM162)+1,Constants!$B$14),$Z162))</f>
        <v/>
      </c>
      <c r="AO162" s="91" t="str">
        <f aca="false">IF(ISBLANK($C162),"",IF($Z162=Constants!$B$7,IF(ISNUMBER(AK162),AK162-AN162,Constants!$B$14),$Z162))</f>
        <v/>
      </c>
      <c r="AP162" s="92"/>
      <c r="AQ162" s="93" t="str">
        <f aca="false">IF(ISBLANK($C162),"",IF($Z162&lt;&gt;Constants!$B$7,"",AH162))</f>
        <v/>
      </c>
      <c r="AR162" s="94" t="str">
        <f aca="false">IF(ISBLANK($C162),"",IF($Z162&lt;&gt;Constants!$B$7,"",IF(AH162=1,AB162,AE162)))</f>
        <v/>
      </c>
      <c r="AS162" s="95" t="str">
        <f aca="false">IF(ISBLANK($C162),"",IF($Z162&lt;&gt;Constants!$B$7,"",IF(AH162=1,AC162,AF162)))</f>
        <v/>
      </c>
      <c r="AT162" s="96" t="str">
        <f aca="false">IF(ISBLANK($C162),"",IF($Z162&lt;&gt;Constants!$B$7,$Z162,AJ162))</f>
        <v/>
      </c>
      <c r="AU162" s="97" t="str">
        <f aca="false">IF(ISBLANK($C162),"",IF($Z162&lt;&gt;Constants!$B$7,$Z162,AA162))</f>
        <v/>
      </c>
      <c r="AV162" s="98" t="str">
        <f aca="false">IF(ISBLANK($C162),"",AO162)</f>
        <v/>
      </c>
      <c r="AW162" s="98" t="str">
        <f aca="false">IF(ISBLANK($C162),"",AN162)</f>
        <v/>
      </c>
      <c r="AX162" s="99" t="str">
        <f aca="false">IF(ISBLANK($C162),"",IFERROR(_xlfn.SWITCH(AW162,Constants!$B$4,COUNTA($C$8:$C$507)+2,Constants!$B$5,COUNTA($C$8:$C$507)+1,Constants!$B$6,COUNTA($C$8:$C$507)),AW162))</f>
        <v/>
      </c>
      <c r="AY162" s="5"/>
      <c r="AZ162" s="100" t="n">
        <f aca="false">IF(OR(ISNUMBER(AW162),AW162=Constants!$B$4,AW162=Constants!$B$6,AW162=Constants!$B$5),1,0)</f>
        <v>0</v>
      </c>
      <c r="BA162" s="100" t="n">
        <v>155</v>
      </c>
      <c r="BB162" s="100" t="str">
        <f aca="false">IF(ISBLANK($C162),"",IF(ISNUMBER(AX162),AX162+ROW($B162)/1000,""))</f>
        <v/>
      </c>
      <c r="BC162" s="100" t="str">
        <f aca="false">IF(ISNUMBER(BB162),RANK(BB162,$BB$8:$BB$507,1),"")</f>
        <v/>
      </c>
      <c r="BD162" s="100" t="str">
        <f aca="false">IF(ISBLANK($C162),"",$B162)</f>
        <v/>
      </c>
      <c r="BE162" s="100" t="str">
        <f aca="false">IF(ISBLANK($C162),"",$C162)</f>
        <v/>
      </c>
      <c r="BF162" s="100" t="str">
        <f aca="false">IF(ISBLANK($C162),"",$D162)</f>
        <v/>
      </c>
      <c r="BG162" s="101" t="str">
        <f aca="false">AU162</f>
        <v/>
      </c>
      <c r="BH162" s="102" t="str">
        <f aca="false">AT162</f>
        <v/>
      </c>
      <c r="BI162" s="100" t="str">
        <f aca="false">IF(ISBLANK($C162),"",AW162)</f>
        <v/>
      </c>
      <c r="BJ162" s="103" t="str">
        <f aca="false">IF($BA162&gt;$AZ$7,"",VLOOKUP($BA162,$BC$8:$BI$507,7,FALSE()))</f>
        <v/>
      </c>
      <c r="BK162" s="104" t="str">
        <f aca="false">IF($BA162&gt;$AZ$7,"",VLOOKUP($BA162,$BC$8:$BI$507,2,FALSE()))</f>
        <v/>
      </c>
      <c r="BL162" s="104" t="str">
        <f aca="false">IF($BA162&gt;$AZ$7,"",VLOOKUP($BA162,$BC$8:$BI$507,3,FALSE()))</f>
        <v/>
      </c>
      <c r="BM162" s="104" t="str">
        <f aca="false">IF($BA162&gt;$AZ$7,"",VLOOKUP($BA162,$BC$8:$BI$507,4,FALSE()))</f>
        <v/>
      </c>
      <c r="BN162" s="104" t="str">
        <f aca="false">IF($BA162&gt;$AZ$7,"",VLOOKUP($BA162,$BC$8:$BI$507,5,FALSE()))</f>
        <v/>
      </c>
      <c r="BO162" s="105" t="str">
        <f aca="false">IF($BA162&gt;$AZ$7,"",VLOOKUP($BA162,$BC$8:$BI$507,6,FALSE()))</f>
        <v/>
      </c>
      <c r="BP162" s="52"/>
    </row>
    <row r="163" customFormat="false" ht="15.75" hidden="false" customHeight="false" outlineLevel="0" collapsed="false">
      <c r="A163" s="5"/>
      <c r="B163" s="114"/>
      <c r="C163" s="115"/>
      <c r="D163" s="106"/>
      <c r="E163" s="117"/>
      <c r="F163" s="87"/>
      <c r="G163" s="88"/>
      <c r="H163" s="88"/>
      <c r="I163" s="87"/>
      <c r="J163" s="88"/>
      <c r="K163" s="88"/>
      <c r="L163" s="87"/>
      <c r="M163" s="117"/>
      <c r="N163" s="90"/>
      <c r="O163" s="91" t="str">
        <f aca="false">IF(ISBLANK($C163),"",IF(E163=Constants!$B$2, TRUE(), IF(E163=Constants!$B$3, FALSE(), TRUE())))</f>
        <v/>
      </c>
      <c r="P163" s="91" t="str">
        <f aca="false">IF(ISBLANK($C163),"",IF(F163=Constants!$B$16,Constants!$B$9,IF(F163=Constants!$B$17,Constants!$B$10,Constants!$B$8)))</f>
        <v/>
      </c>
      <c r="Q163" s="91" t="str">
        <f aca="false">IF(ISBLANK($C163),"",IF(ISNUMBER(G163),IF(G163&gt;=0,G163,""),""))</f>
        <v/>
      </c>
      <c r="R163" s="91" t="str">
        <f aca="false">IF(ISBLANK($C163),"",IF(H163=Constants!$B$2, TRUE(), IF(H163=Constants!$B$3, FALSE(), TRUE())))</f>
        <v/>
      </c>
      <c r="S163" s="91" t="str">
        <f aca="false">IF(ISBLANK($C163),"",IF(I163=Constants!$B$2, TRUE(), IF(I163=Constants!$B$3, FALSE(), TRUE())))</f>
        <v/>
      </c>
      <c r="T163" s="91" t="str">
        <f aca="false">IF(ISBLANK($C163),"",IF(ISNUMBER(J163),IF(J163&gt;=0,J163,""),""))</f>
        <v/>
      </c>
      <c r="U163" s="91" t="str">
        <f aca="false">IF(ISBLANK($C163),"",IF(K163=Constants!$B$2, TRUE(), IF(K163=Constants!$B$3, FALSE(), TRUE())))</f>
        <v/>
      </c>
      <c r="V163" s="91" t="str">
        <f aca="false">IF(ISBLANK($C163),"",IF(L163=Constants!$B$2, TRUE(), IF(L163=Constants!$B$3, FALSE(), TRUE())))</f>
        <v/>
      </c>
      <c r="W163" s="91" t="str">
        <f aca="false">IF(ISBLANK($C163),"",IF(M163=Constants!$B$2, TRUE(), IF(M163=Constants!$B$3, FALSE(), FALSE())))</f>
        <v/>
      </c>
      <c r="X163" s="91" t="str">
        <f aca="false">IF(ISBLANK($C163),"",AND(Q163&lt;&gt;"",O163))</f>
        <v/>
      </c>
      <c r="Y163" s="91" t="str">
        <f aca="false">IF(ISBLANK($C163),"",AND(T163&lt;&gt;"",O163))</f>
        <v/>
      </c>
      <c r="Z163" s="91" t="str">
        <f aca="false">IF(ISBLANK($C163),"",IF(W163,Constants!$B$4,IF(COUNTA(E163:L163)=0,Constants!$B$5,IF(NOT(O163),Constants!$B$6,IF(AND(NOT(X163),NOT(Y163)),Constants!$B$6,Constants!$B$7)))))</f>
        <v/>
      </c>
      <c r="AA163" s="91" t="str">
        <f aca="false">IF(ISBLANK($C163),"",IF($Z163&lt;&gt;Constants!$B$7,$Z163,Constants!$B$20))</f>
        <v/>
      </c>
      <c r="AB163" s="91" t="str">
        <f aca="false">IF($Z163=Constants!$B$7,IF(X163,Q163,Constants!$B$13),"")</f>
        <v/>
      </c>
      <c r="AC163" s="91" t="str">
        <f aca="false">IF($Z163=Constants!$B$7,IF(X163,P163*IF(R163, 1, Constants!$B$11)*IF(S163, 1, Constants!$B$12),Constants!$B$13),"")</f>
        <v/>
      </c>
      <c r="AD163" s="91" t="str">
        <f aca="false">IF($Z163=Constants!$B$7,AB163*AC163,"")</f>
        <v/>
      </c>
      <c r="AE163" s="91" t="str">
        <f aca="false">IF($Z163=Constants!$B$7,IF(Y163,T163,Constants!$B$13),"")</f>
        <v/>
      </c>
      <c r="AF163" s="91" t="str">
        <f aca="false">IF($Z163=Constants!$B$7,IF(Y163,P163*IF(U163, 1, Constants!$B$11)*IF(V163, 1, Constants!$B$12),Constants!$B$13),"")</f>
        <v/>
      </c>
      <c r="AG163" s="91" t="str">
        <f aca="false">IF($Z163=Constants!$B$7,AE163*AF163,"")</f>
        <v/>
      </c>
      <c r="AH163" s="91" t="str">
        <f aca="false">IF($Z163=Constants!$B$7,IF(AG163&gt;AD163,2,1),"")</f>
        <v/>
      </c>
      <c r="AI163" s="91" t="str">
        <f aca="false">IF($Z163=Constants!$B$7,IF(AH163=1,2,1),"")</f>
        <v/>
      </c>
      <c r="AJ163" s="91" t="str">
        <f aca="false">IF(ISBLANK($C163),"",IF($Z163&lt;&gt;Constants!$B$7,$Z163,IF(AH163=1,AD163,AG163)))</f>
        <v/>
      </c>
      <c r="AK163" s="91" t="str">
        <f aca="false">IF(ISBLANK($C163),"",IF($Z163=Constants!$B$7,IF(ISNUMBER(AJ163),RANK(AJ163,$AJ$8:$AJ$507),Constants!$B$14),$Z163))</f>
        <v/>
      </c>
      <c r="AL163" s="91" t="str">
        <f aca="false">IF(ISBLANK($C163),"",IF($Z163=Constants!$B$7,IF(AI163=1,AD163,AG163),""))</f>
        <v/>
      </c>
      <c r="AM163" s="91" t="str">
        <f aca="false">IF(ISBLANK($C163),"",IF($Z163=Constants!$B$7,RANK(AL163,$AL$8:$AL$507),$Z163))</f>
        <v/>
      </c>
      <c r="AN163" s="91" t="str">
        <f aca="false">IF(ISBLANK($C163),"",IF($Z163=Constants!$B$7,IF(ISNUMBER(AK163),COUNTIFS($AK$8:$AK$507,"&lt;"&amp;$AK163)+COUNTIFS($AK$8:$AK$507,$AK163,$AM$8:$AM$507,"&lt;"&amp;$AM163)+1,Constants!$B$14),$Z163))</f>
        <v/>
      </c>
      <c r="AO163" s="91" t="str">
        <f aca="false">IF(ISBLANK($C163),"",IF($Z163=Constants!$B$7,IF(ISNUMBER(AK163),AK163-AN163,Constants!$B$14),$Z163))</f>
        <v/>
      </c>
      <c r="AP163" s="92"/>
      <c r="AQ163" s="93" t="str">
        <f aca="false">IF(ISBLANK($C163),"",IF($Z163&lt;&gt;Constants!$B$7,"",AH163))</f>
        <v/>
      </c>
      <c r="AR163" s="94" t="str">
        <f aca="false">IF(ISBLANK($C163),"",IF($Z163&lt;&gt;Constants!$B$7,"",IF(AH163=1,AB163,AE163)))</f>
        <v/>
      </c>
      <c r="AS163" s="95" t="str">
        <f aca="false">IF(ISBLANK($C163),"",IF($Z163&lt;&gt;Constants!$B$7,"",IF(AH163=1,AC163,AF163)))</f>
        <v/>
      </c>
      <c r="AT163" s="96" t="str">
        <f aca="false">IF(ISBLANK($C163),"",IF($Z163&lt;&gt;Constants!$B$7,$Z163,AJ163))</f>
        <v/>
      </c>
      <c r="AU163" s="97" t="str">
        <f aca="false">IF(ISBLANK($C163),"",IF($Z163&lt;&gt;Constants!$B$7,$Z163,AA163))</f>
        <v/>
      </c>
      <c r="AV163" s="98" t="str">
        <f aca="false">IF(ISBLANK($C163),"",AO163)</f>
        <v/>
      </c>
      <c r="AW163" s="98" t="str">
        <f aca="false">IF(ISBLANK($C163),"",AN163)</f>
        <v/>
      </c>
      <c r="AX163" s="99" t="str">
        <f aca="false">IF(ISBLANK($C163),"",IFERROR(_xlfn.SWITCH(AW163,Constants!$B$4,COUNTA($C$8:$C$507)+2,Constants!$B$5,COUNTA($C$8:$C$507)+1,Constants!$B$6,COUNTA($C$8:$C$507)),AW163))</f>
        <v/>
      </c>
      <c r="AY163" s="5"/>
      <c r="AZ163" s="100" t="n">
        <f aca="false">IF(OR(ISNUMBER(AW163),AW163=Constants!$B$4,AW163=Constants!$B$6,AW163=Constants!$B$5),1,0)</f>
        <v>0</v>
      </c>
      <c r="BA163" s="100" t="n">
        <v>156</v>
      </c>
      <c r="BB163" s="100" t="str">
        <f aca="false">IF(ISBLANK($C163),"",IF(ISNUMBER(AX163),AX163+ROW($B163)/1000,""))</f>
        <v/>
      </c>
      <c r="BC163" s="100" t="str">
        <f aca="false">IF(ISNUMBER(BB163),RANK(BB163,$BB$8:$BB$507,1),"")</f>
        <v/>
      </c>
      <c r="BD163" s="100" t="str">
        <f aca="false">IF(ISBLANK($C163),"",$B163)</f>
        <v/>
      </c>
      <c r="BE163" s="100" t="str">
        <f aca="false">IF(ISBLANK($C163),"",$C163)</f>
        <v/>
      </c>
      <c r="BF163" s="100" t="str">
        <f aca="false">IF(ISBLANK($C163),"",$D163)</f>
        <v/>
      </c>
      <c r="BG163" s="101" t="str">
        <f aca="false">AU163</f>
        <v/>
      </c>
      <c r="BH163" s="102" t="str">
        <f aca="false">AT163</f>
        <v/>
      </c>
      <c r="BI163" s="100" t="str">
        <f aca="false">IF(ISBLANK($C163),"",AW163)</f>
        <v/>
      </c>
      <c r="BJ163" s="103" t="str">
        <f aca="false">IF($BA163&gt;$AZ$7,"",VLOOKUP($BA163,$BC$8:$BI$507,7,FALSE()))</f>
        <v/>
      </c>
      <c r="BK163" s="104" t="str">
        <f aca="false">IF($BA163&gt;$AZ$7,"",VLOOKUP($BA163,$BC$8:$BI$507,2,FALSE()))</f>
        <v/>
      </c>
      <c r="BL163" s="104" t="str">
        <f aca="false">IF($BA163&gt;$AZ$7,"",VLOOKUP($BA163,$BC$8:$BI$507,3,FALSE()))</f>
        <v/>
      </c>
      <c r="BM163" s="104" t="str">
        <f aca="false">IF($BA163&gt;$AZ$7,"",VLOOKUP($BA163,$BC$8:$BI$507,4,FALSE()))</f>
        <v/>
      </c>
      <c r="BN163" s="104" t="str">
        <f aca="false">IF($BA163&gt;$AZ$7,"",VLOOKUP($BA163,$BC$8:$BI$507,5,FALSE()))</f>
        <v/>
      </c>
      <c r="BO163" s="105" t="str">
        <f aca="false">IF($BA163&gt;$AZ$7,"",VLOOKUP($BA163,$BC$8:$BI$507,6,FALSE()))</f>
        <v/>
      </c>
      <c r="BP163" s="52"/>
    </row>
    <row r="164" customFormat="false" ht="15.75" hidden="false" customHeight="false" outlineLevel="0" collapsed="false">
      <c r="A164" s="5"/>
      <c r="B164" s="118"/>
      <c r="C164" s="54"/>
      <c r="D164" s="55"/>
      <c r="E164" s="79"/>
      <c r="F164" s="57"/>
      <c r="G164" s="58"/>
      <c r="H164" s="58"/>
      <c r="I164" s="57"/>
      <c r="J164" s="58"/>
      <c r="K164" s="58"/>
      <c r="L164" s="57"/>
      <c r="M164" s="79"/>
      <c r="N164" s="60"/>
      <c r="O164" s="62" t="str">
        <f aca="false">IF(ISBLANK($C164),"",IF(E164=Constants!$B$2, TRUE(), IF(E164=Constants!$B$3, FALSE(), TRUE())))</f>
        <v/>
      </c>
      <c r="P164" s="62" t="str">
        <f aca="false">IF(ISBLANK($C164),"",IF(F164=Constants!$B$16,Constants!$B$9,IF(F164=Constants!$B$17,Constants!$B$10,Constants!$B$8)))</f>
        <v/>
      </c>
      <c r="Q164" s="62" t="str">
        <f aca="false">IF(ISBLANK($C164),"",IF(ISNUMBER(G164),IF(G164&gt;=0,G164,""),""))</f>
        <v/>
      </c>
      <c r="R164" s="62" t="str">
        <f aca="false">IF(ISBLANK($C164),"",IF(H164=Constants!$B$2, TRUE(), IF(H164=Constants!$B$3, FALSE(), TRUE())))</f>
        <v/>
      </c>
      <c r="S164" s="62" t="str">
        <f aca="false">IF(ISBLANK($C164),"",IF(I164=Constants!$B$2, TRUE(), IF(I164=Constants!$B$3, FALSE(), TRUE())))</f>
        <v/>
      </c>
      <c r="T164" s="62" t="str">
        <f aca="false">IF(ISBLANK($C164),"",IF(ISNUMBER(J164),IF(J164&gt;=0,J164,""),""))</f>
        <v/>
      </c>
      <c r="U164" s="62" t="str">
        <f aca="false">IF(ISBLANK($C164),"",IF(K164=Constants!$B$2, TRUE(), IF(K164=Constants!$B$3, FALSE(), TRUE())))</f>
        <v/>
      </c>
      <c r="V164" s="62" t="str">
        <f aca="false">IF(ISBLANK($C164),"",IF(L164=Constants!$B$2, TRUE(), IF(L164=Constants!$B$3, FALSE(), TRUE())))</f>
        <v/>
      </c>
      <c r="W164" s="62" t="str">
        <f aca="false">IF(ISBLANK($C164),"",IF(M164=Constants!$B$2, TRUE(), IF(M164=Constants!$B$3, FALSE(), FALSE())))</f>
        <v/>
      </c>
      <c r="X164" s="62" t="str">
        <f aca="false">IF(ISBLANK($C164),"",AND(Q164&lt;&gt;"",O164))</f>
        <v/>
      </c>
      <c r="Y164" s="62" t="str">
        <f aca="false">IF(ISBLANK($C164),"",AND(T164&lt;&gt;"",O164))</f>
        <v/>
      </c>
      <c r="Z164" s="62" t="str">
        <f aca="false">IF(ISBLANK($C164),"",IF(W164,Constants!$B$4,IF(COUNTA(E164:L164)=0,Constants!$B$5,IF(NOT(O164),Constants!$B$6,IF(AND(NOT(X164),NOT(Y164)),Constants!$B$6,Constants!$B$7)))))</f>
        <v/>
      </c>
      <c r="AA164" s="62" t="str">
        <f aca="false">IF(ISBLANK($C164),"",IF($Z164&lt;&gt;Constants!$B$7,$Z164,Constants!$B$20))</f>
        <v/>
      </c>
      <c r="AB164" s="62" t="str">
        <f aca="false">IF($Z164=Constants!$B$7,IF(X164,Q164,Constants!$B$13),"")</f>
        <v/>
      </c>
      <c r="AC164" s="62" t="str">
        <f aca="false">IF($Z164=Constants!$B$7,IF(X164,P164*IF(R164, 1, Constants!$B$11)*IF(S164, 1, Constants!$B$12),Constants!$B$13),"")</f>
        <v/>
      </c>
      <c r="AD164" s="62" t="str">
        <f aca="false">IF($Z164=Constants!$B$7,AB164*AC164,"")</f>
        <v/>
      </c>
      <c r="AE164" s="62" t="str">
        <f aca="false">IF($Z164=Constants!$B$7,IF(Y164,T164,Constants!$B$13),"")</f>
        <v/>
      </c>
      <c r="AF164" s="62" t="str">
        <f aca="false">IF($Z164=Constants!$B$7,IF(Y164,P164*IF(U164, 1, Constants!$B$11)*IF(V164, 1, Constants!$B$12),Constants!$B$13),"")</f>
        <v/>
      </c>
      <c r="AG164" s="62" t="str">
        <f aca="false">IF($Z164=Constants!$B$7,AE164*AF164,"")</f>
        <v/>
      </c>
      <c r="AH164" s="62" t="str">
        <f aca="false">IF($Z164=Constants!$B$7,IF(AG164&gt;AD164,2,1),"")</f>
        <v/>
      </c>
      <c r="AI164" s="62" t="str">
        <f aca="false">IF($Z164=Constants!$B$7,IF(AH164=1,2,1),"")</f>
        <v/>
      </c>
      <c r="AJ164" s="62" t="str">
        <f aca="false">IF(ISBLANK($C164),"",IF($Z164&lt;&gt;Constants!$B$7,$Z164,IF(AH164=1,AD164,AG164)))</f>
        <v/>
      </c>
      <c r="AK164" s="62" t="str">
        <f aca="false">IF(ISBLANK($C164),"",IF($Z164=Constants!$B$7,IF(ISNUMBER(AJ164),RANK(AJ164,$AJ$8:$AJ$507),Constants!$B$14),$Z164))</f>
        <v/>
      </c>
      <c r="AL164" s="62" t="str">
        <f aca="false">IF(ISBLANK($C164),"",IF($Z164=Constants!$B$7,IF(AI164=1,AD164,AG164),""))</f>
        <v/>
      </c>
      <c r="AM164" s="62" t="str">
        <f aca="false">IF(ISBLANK($C164),"",IF($Z164=Constants!$B$7,RANK(AL164,$AL$8:$AL$507),$Z164))</f>
        <v/>
      </c>
      <c r="AN164" s="62" t="str">
        <f aca="false">IF(ISBLANK($C164),"",IF($Z164=Constants!$B$7,IF(ISNUMBER(AK164),COUNTIFS($AK$8:$AK$507,"&lt;"&amp;$AK164)+COUNTIFS($AK$8:$AK$507,$AK164,$AM$8:$AM$507,"&lt;"&amp;$AM164)+1,Constants!$B$14),$Z164))</f>
        <v/>
      </c>
      <c r="AO164" s="62" t="str">
        <f aca="false">IF(ISBLANK($C164),"",IF($Z164=Constants!$B$7,IF(ISNUMBER(AK164),AK164-AN164,Constants!$B$14),$Z164))</f>
        <v/>
      </c>
      <c r="AP164" s="64"/>
      <c r="AQ164" s="65" t="str">
        <f aca="false">IF(ISBLANK($C164),"",IF($Z164&lt;&gt;Constants!$B$7,"",AH164))</f>
        <v/>
      </c>
      <c r="AR164" s="80" t="str">
        <f aca="false">IF(ISBLANK($C164),"",IF($Z164&lt;&gt;Constants!$B$7,"",IF(AH164=1,AB164,AE164)))</f>
        <v/>
      </c>
      <c r="AS164" s="67" t="str">
        <f aca="false">IF(ISBLANK($C164),"",IF($Z164&lt;&gt;Constants!$B$7,"",IF(AH164=1,AC164,AF164)))</f>
        <v/>
      </c>
      <c r="AT164" s="68" t="str">
        <f aca="false">IF(ISBLANK($C164),"",IF($Z164&lt;&gt;Constants!$B$7,$Z164,AJ164))</f>
        <v/>
      </c>
      <c r="AU164" s="69" t="str">
        <f aca="false">IF(ISBLANK($C164),"",IF($Z164&lt;&gt;Constants!$B$7,$Z164,AA164))</f>
        <v/>
      </c>
      <c r="AV164" s="70" t="str">
        <f aca="false">IF(ISBLANK($C164),"",AO164)</f>
        <v/>
      </c>
      <c r="AW164" s="70" t="str">
        <f aca="false">IF(ISBLANK($C164),"",AN164)</f>
        <v/>
      </c>
      <c r="AX164" s="71" t="str">
        <f aca="false">IF(ISBLANK($C164),"",IFERROR(_xlfn.SWITCH(AW164,Constants!$B$4,COUNTA($C$8:$C$507)+2,Constants!$B$5,COUNTA($C$8:$C$507)+1,Constants!$B$6,COUNTA($C$8:$C$507)),AW164))</f>
        <v/>
      </c>
      <c r="AY164" s="5"/>
      <c r="AZ164" s="72" t="n">
        <f aca="false">IF(OR(ISNUMBER(AW164),AW164=Constants!$B$4,AW164=Constants!$B$6,AW164=Constants!$B$5),1,0)</f>
        <v>0</v>
      </c>
      <c r="BA164" s="72" t="n">
        <v>157</v>
      </c>
      <c r="BB164" s="72" t="str">
        <f aca="false">IF(ISBLANK($C164),"",IF(ISNUMBER(AX164),AX164+ROW($B164)/1000,""))</f>
        <v/>
      </c>
      <c r="BC164" s="72" t="str">
        <f aca="false">IF(ISNUMBER(BB164),RANK(BB164,$BB$8:$BB$507,1),"")</f>
        <v/>
      </c>
      <c r="BD164" s="72" t="str">
        <f aca="false">IF(ISBLANK($C164),"",$B164)</f>
        <v/>
      </c>
      <c r="BE164" s="72" t="str">
        <f aca="false">IF(ISBLANK($C164),"",$C164)</f>
        <v/>
      </c>
      <c r="BF164" s="72" t="str">
        <f aca="false">IF(ISBLANK($C164),"",$D164)</f>
        <v/>
      </c>
      <c r="BG164" s="73" t="str">
        <f aca="false">AU164</f>
        <v/>
      </c>
      <c r="BH164" s="74" t="str">
        <f aca="false">AT164</f>
        <v/>
      </c>
      <c r="BI164" s="72" t="str">
        <f aca="false">IF(ISBLANK($C164),"",AW164)</f>
        <v/>
      </c>
      <c r="BJ164" s="75" t="str">
        <f aca="false">IF($BA164&gt;$AZ$7,"",VLOOKUP($BA164,$BC$8:$BI$507,7,FALSE()))</f>
        <v/>
      </c>
      <c r="BK164" s="76" t="str">
        <f aca="false">IF($BA164&gt;$AZ$7,"",VLOOKUP($BA164,$BC$8:$BI$507,2,FALSE()))</f>
        <v/>
      </c>
      <c r="BL164" s="76" t="str">
        <f aca="false">IF($BA164&gt;$AZ$7,"",VLOOKUP($BA164,$BC$8:$BI$507,3,FALSE()))</f>
        <v/>
      </c>
      <c r="BM164" s="76" t="str">
        <f aca="false">IF($BA164&gt;$AZ$7,"",VLOOKUP($BA164,$BC$8:$BI$507,4,FALSE()))</f>
        <v/>
      </c>
      <c r="BN164" s="76" t="str">
        <f aca="false">IF($BA164&gt;$AZ$7,"",VLOOKUP($BA164,$BC$8:$BI$507,5,FALSE()))</f>
        <v/>
      </c>
      <c r="BO164" s="77" t="str">
        <f aca="false">IF($BA164&gt;$AZ$7,"",VLOOKUP($BA164,$BC$8:$BI$507,6,FALSE()))</f>
        <v/>
      </c>
      <c r="BP164" s="52"/>
    </row>
    <row r="165" customFormat="false" ht="15.75" hidden="false" customHeight="false" outlineLevel="0" collapsed="false">
      <c r="A165" s="5"/>
      <c r="B165" s="118"/>
      <c r="C165" s="54"/>
      <c r="D165" s="55"/>
      <c r="E165" s="79"/>
      <c r="F165" s="57"/>
      <c r="G165" s="58"/>
      <c r="H165" s="58"/>
      <c r="I165" s="57"/>
      <c r="J165" s="58"/>
      <c r="K165" s="58"/>
      <c r="L165" s="57"/>
      <c r="M165" s="79"/>
      <c r="N165" s="60"/>
      <c r="O165" s="62" t="str">
        <f aca="false">IF(ISBLANK($C165),"",IF(E165=Constants!$B$2, TRUE(), IF(E165=Constants!$B$3, FALSE(), TRUE())))</f>
        <v/>
      </c>
      <c r="P165" s="62" t="str">
        <f aca="false">IF(ISBLANK($C165),"",IF(F165=Constants!$B$16,Constants!$B$9,IF(F165=Constants!$B$17,Constants!$B$10,Constants!$B$8)))</f>
        <v/>
      </c>
      <c r="Q165" s="62" t="str">
        <f aca="false">IF(ISBLANK($C165),"",IF(ISNUMBER(G165),IF(G165&gt;=0,G165,""),""))</f>
        <v/>
      </c>
      <c r="R165" s="62" t="str">
        <f aca="false">IF(ISBLANK($C165),"",IF(H165=Constants!$B$2, TRUE(), IF(H165=Constants!$B$3, FALSE(), TRUE())))</f>
        <v/>
      </c>
      <c r="S165" s="62" t="str">
        <f aca="false">IF(ISBLANK($C165),"",IF(I165=Constants!$B$2, TRUE(), IF(I165=Constants!$B$3, FALSE(), TRUE())))</f>
        <v/>
      </c>
      <c r="T165" s="62" t="str">
        <f aca="false">IF(ISBLANK($C165),"",IF(ISNUMBER(J165),IF(J165&gt;=0,J165,""),""))</f>
        <v/>
      </c>
      <c r="U165" s="62" t="str">
        <f aca="false">IF(ISBLANK($C165),"",IF(K165=Constants!$B$2, TRUE(), IF(K165=Constants!$B$3, FALSE(), TRUE())))</f>
        <v/>
      </c>
      <c r="V165" s="62" t="str">
        <f aca="false">IF(ISBLANK($C165),"",IF(L165=Constants!$B$2, TRUE(), IF(L165=Constants!$B$3, FALSE(), TRUE())))</f>
        <v/>
      </c>
      <c r="W165" s="62" t="str">
        <f aca="false">IF(ISBLANK($C165),"",IF(M165=Constants!$B$2, TRUE(), IF(M165=Constants!$B$3, FALSE(), FALSE())))</f>
        <v/>
      </c>
      <c r="X165" s="62" t="str">
        <f aca="false">IF(ISBLANK($C165),"",AND(Q165&lt;&gt;"",O165))</f>
        <v/>
      </c>
      <c r="Y165" s="62" t="str">
        <f aca="false">IF(ISBLANK($C165),"",AND(T165&lt;&gt;"",O165))</f>
        <v/>
      </c>
      <c r="Z165" s="62" t="str">
        <f aca="false">IF(ISBLANK($C165),"",IF(W165,Constants!$B$4,IF(COUNTA(E165:L165)=0,Constants!$B$5,IF(NOT(O165),Constants!$B$6,IF(AND(NOT(X165),NOT(Y165)),Constants!$B$6,Constants!$B$7)))))</f>
        <v/>
      </c>
      <c r="AA165" s="62" t="str">
        <f aca="false">IF(ISBLANK($C165),"",IF($Z165&lt;&gt;Constants!$B$7,$Z165,Constants!$B$20))</f>
        <v/>
      </c>
      <c r="AB165" s="62" t="str">
        <f aca="false">IF($Z165=Constants!$B$7,IF(X165,Q165,Constants!$B$13),"")</f>
        <v/>
      </c>
      <c r="AC165" s="62" t="str">
        <f aca="false">IF($Z165=Constants!$B$7,IF(X165,P165*IF(R165, 1, Constants!$B$11)*IF(S165, 1, Constants!$B$12),Constants!$B$13),"")</f>
        <v/>
      </c>
      <c r="AD165" s="62" t="str">
        <f aca="false">IF($Z165=Constants!$B$7,AB165*AC165,"")</f>
        <v/>
      </c>
      <c r="AE165" s="62" t="str">
        <f aca="false">IF($Z165=Constants!$B$7,IF(Y165,T165,Constants!$B$13),"")</f>
        <v/>
      </c>
      <c r="AF165" s="62" t="str">
        <f aca="false">IF($Z165=Constants!$B$7,IF(Y165,P165*IF(U165, 1, Constants!$B$11)*IF(V165, 1, Constants!$B$12),Constants!$B$13),"")</f>
        <v/>
      </c>
      <c r="AG165" s="62" t="str">
        <f aca="false">IF($Z165=Constants!$B$7,AE165*AF165,"")</f>
        <v/>
      </c>
      <c r="AH165" s="62" t="str">
        <f aca="false">IF($Z165=Constants!$B$7,IF(AG165&gt;AD165,2,1),"")</f>
        <v/>
      </c>
      <c r="AI165" s="62" t="str">
        <f aca="false">IF($Z165=Constants!$B$7,IF(AH165=1,2,1),"")</f>
        <v/>
      </c>
      <c r="AJ165" s="62" t="str">
        <f aca="false">IF(ISBLANK($C165),"",IF($Z165&lt;&gt;Constants!$B$7,$Z165,IF(AH165=1,AD165,AG165)))</f>
        <v/>
      </c>
      <c r="AK165" s="62" t="str">
        <f aca="false">IF(ISBLANK($C165),"",IF($Z165=Constants!$B$7,IF(ISNUMBER(AJ165),RANK(AJ165,$AJ$8:$AJ$507),Constants!$B$14),$Z165))</f>
        <v/>
      </c>
      <c r="AL165" s="62" t="str">
        <f aca="false">IF(ISBLANK($C165),"",IF($Z165=Constants!$B$7,IF(AI165=1,AD165,AG165),""))</f>
        <v/>
      </c>
      <c r="AM165" s="62" t="str">
        <f aca="false">IF(ISBLANK($C165),"",IF($Z165=Constants!$B$7,RANK(AL165,$AL$8:$AL$507),$Z165))</f>
        <v/>
      </c>
      <c r="AN165" s="62" t="str">
        <f aca="false">IF(ISBLANK($C165),"",IF($Z165=Constants!$B$7,IF(ISNUMBER(AK165),COUNTIFS($AK$8:$AK$507,"&lt;"&amp;$AK165)+COUNTIFS($AK$8:$AK$507,$AK165,$AM$8:$AM$507,"&lt;"&amp;$AM165)+1,Constants!$B$14),$Z165))</f>
        <v/>
      </c>
      <c r="AO165" s="62" t="str">
        <f aca="false">IF(ISBLANK($C165),"",IF($Z165=Constants!$B$7,IF(ISNUMBER(AK165),AK165-AN165,Constants!$B$14),$Z165))</f>
        <v/>
      </c>
      <c r="AP165" s="64"/>
      <c r="AQ165" s="65" t="str">
        <f aca="false">IF(ISBLANK($C165),"",IF($Z165&lt;&gt;Constants!$B$7,"",AH165))</f>
        <v/>
      </c>
      <c r="AR165" s="80" t="str">
        <f aca="false">IF(ISBLANK($C165),"",IF($Z165&lt;&gt;Constants!$B$7,"",IF(AH165=1,AB165,AE165)))</f>
        <v/>
      </c>
      <c r="AS165" s="67" t="str">
        <f aca="false">IF(ISBLANK($C165),"",IF($Z165&lt;&gt;Constants!$B$7,"",IF(AH165=1,AC165,AF165)))</f>
        <v/>
      </c>
      <c r="AT165" s="68" t="str">
        <f aca="false">IF(ISBLANK($C165),"",IF($Z165&lt;&gt;Constants!$B$7,$Z165,AJ165))</f>
        <v/>
      </c>
      <c r="AU165" s="69" t="str">
        <f aca="false">IF(ISBLANK($C165),"",IF($Z165&lt;&gt;Constants!$B$7,$Z165,AA165))</f>
        <v/>
      </c>
      <c r="AV165" s="70" t="str">
        <f aca="false">IF(ISBLANK($C165),"",AO165)</f>
        <v/>
      </c>
      <c r="AW165" s="70" t="str">
        <f aca="false">IF(ISBLANK($C165),"",AN165)</f>
        <v/>
      </c>
      <c r="AX165" s="71" t="str">
        <f aca="false">IF(ISBLANK($C165),"",IFERROR(_xlfn.SWITCH(AW165,Constants!$B$4,COUNTA($C$8:$C$507)+2,Constants!$B$5,COUNTA($C$8:$C$507)+1,Constants!$B$6,COUNTA($C$8:$C$507)),AW165))</f>
        <v/>
      </c>
      <c r="AY165" s="5"/>
      <c r="AZ165" s="72" t="n">
        <f aca="false">IF(OR(ISNUMBER(AW165),AW165=Constants!$B$4,AW165=Constants!$B$6,AW165=Constants!$B$5),1,0)</f>
        <v>0</v>
      </c>
      <c r="BA165" s="72" t="n">
        <v>158</v>
      </c>
      <c r="BB165" s="72" t="str">
        <f aca="false">IF(ISBLANK($C165),"",IF(ISNUMBER(AX165),AX165+ROW($B165)/1000,""))</f>
        <v/>
      </c>
      <c r="BC165" s="72" t="str">
        <f aca="false">IF(ISNUMBER(BB165),RANK(BB165,$BB$8:$BB$507,1),"")</f>
        <v/>
      </c>
      <c r="BD165" s="72" t="str">
        <f aca="false">IF(ISBLANK($C165),"",$B165)</f>
        <v/>
      </c>
      <c r="BE165" s="72" t="str">
        <f aca="false">IF(ISBLANK($C165),"",$C165)</f>
        <v/>
      </c>
      <c r="BF165" s="72" t="str">
        <f aca="false">IF(ISBLANK($C165),"",$D165)</f>
        <v/>
      </c>
      <c r="BG165" s="73" t="str">
        <f aca="false">AU165</f>
        <v/>
      </c>
      <c r="BH165" s="74" t="str">
        <f aca="false">AT165</f>
        <v/>
      </c>
      <c r="BI165" s="72" t="str">
        <f aca="false">IF(ISBLANK($C165),"",AW165)</f>
        <v/>
      </c>
      <c r="BJ165" s="75" t="str">
        <f aca="false">IF($BA165&gt;$AZ$7,"",VLOOKUP($BA165,$BC$8:$BI$507,7,FALSE()))</f>
        <v/>
      </c>
      <c r="BK165" s="76" t="str">
        <f aca="false">IF($BA165&gt;$AZ$7,"",VLOOKUP($BA165,$BC$8:$BI$507,2,FALSE()))</f>
        <v/>
      </c>
      <c r="BL165" s="76" t="str">
        <f aca="false">IF($BA165&gt;$AZ$7,"",VLOOKUP($BA165,$BC$8:$BI$507,3,FALSE()))</f>
        <v/>
      </c>
      <c r="BM165" s="76" t="str">
        <f aca="false">IF($BA165&gt;$AZ$7,"",VLOOKUP($BA165,$BC$8:$BI$507,4,FALSE()))</f>
        <v/>
      </c>
      <c r="BN165" s="76" t="str">
        <f aca="false">IF($BA165&gt;$AZ$7,"",VLOOKUP($BA165,$BC$8:$BI$507,5,FALSE()))</f>
        <v/>
      </c>
      <c r="BO165" s="77" t="str">
        <f aca="false">IF($BA165&gt;$AZ$7,"",VLOOKUP($BA165,$BC$8:$BI$507,6,FALSE()))</f>
        <v/>
      </c>
      <c r="BP165" s="52"/>
    </row>
    <row r="166" customFormat="false" ht="15.75" hidden="false" customHeight="false" outlineLevel="0" collapsed="false">
      <c r="A166" s="5"/>
      <c r="B166" s="118"/>
      <c r="C166" s="54"/>
      <c r="D166" s="55"/>
      <c r="E166" s="79"/>
      <c r="F166" s="57"/>
      <c r="G166" s="58"/>
      <c r="H166" s="58"/>
      <c r="I166" s="57"/>
      <c r="J166" s="58"/>
      <c r="K166" s="58"/>
      <c r="L166" s="57"/>
      <c r="M166" s="79"/>
      <c r="N166" s="60"/>
      <c r="O166" s="62" t="str">
        <f aca="false">IF(ISBLANK($C166),"",IF(E166=Constants!$B$2, TRUE(), IF(E166=Constants!$B$3, FALSE(), TRUE())))</f>
        <v/>
      </c>
      <c r="P166" s="62" t="str">
        <f aca="false">IF(ISBLANK($C166),"",IF(F166=Constants!$B$16,Constants!$B$9,IF(F166=Constants!$B$17,Constants!$B$10,Constants!$B$8)))</f>
        <v/>
      </c>
      <c r="Q166" s="62" t="str">
        <f aca="false">IF(ISBLANK($C166),"",IF(ISNUMBER(G166),IF(G166&gt;=0,G166,""),""))</f>
        <v/>
      </c>
      <c r="R166" s="62" t="str">
        <f aca="false">IF(ISBLANK($C166),"",IF(H166=Constants!$B$2, TRUE(), IF(H166=Constants!$B$3, FALSE(), TRUE())))</f>
        <v/>
      </c>
      <c r="S166" s="62" t="str">
        <f aca="false">IF(ISBLANK($C166),"",IF(I166=Constants!$B$2, TRUE(), IF(I166=Constants!$B$3, FALSE(), TRUE())))</f>
        <v/>
      </c>
      <c r="T166" s="62" t="str">
        <f aca="false">IF(ISBLANK($C166),"",IF(ISNUMBER(J166),IF(J166&gt;=0,J166,""),""))</f>
        <v/>
      </c>
      <c r="U166" s="62" t="str">
        <f aca="false">IF(ISBLANK($C166),"",IF(K166=Constants!$B$2, TRUE(), IF(K166=Constants!$B$3, FALSE(), TRUE())))</f>
        <v/>
      </c>
      <c r="V166" s="62" t="str">
        <f aca="false">IF(ISBLANK($C166),"",IF(L166=Constants!$B$2, TRUE(), IF(L166=Constants!$B$3, FALSE(), TRUE())))</f>
        <v/>
      </c>
      <c r="W166" s="62" t="str">
        <f aca="false">IF(ISBLANK($C166),"",IF(M166=Constants!$B$2, TRUE(), IF(M166=Constants!$B$3, FALSE(), FALSE())))</f>
        <v/>
      </c>
      <c r="X166" s="62" t="str">
        <f aca="false">IF(ISBLANK($C166),"",AND(Q166&lt;&gt;"",O166))</f>
        <v/>
      </c>
      <c r="Y166" s="62" t="str">
        <f aca="false">IF(ISBLANK($C166),"",AND(T166&lt;&gt;"",O166))</f>
        <v/>
      </c>
      <c r="Z166" s="62" t="str">
        <f aca="false">IF(ISBLANK($C166),"",IF(W166,Constants!$B$4,IF(COUNTA(E166:L166)=0,Constants!$B$5,IF(NOT(O166),Constants!$B$6,IF(AND(NOT(X166),NOT(Y166)),Constants!$B$6,Constants!$B$7)))))</f>
        <v/>
      </c>
      <c r="AA166" s="62" t="str">
        <f aca="false">IF(ISBLANK($C166),"",IF($Z166&lt;&gt;Constants!$B$7,$Z166,Constants!$B$20))</f>
        <v/>
      </c>
      <c r="AB166" s="62" t="str">
        <f aca="false">IF($Z166=Constants!$B$7,IF(X166,Q166,Constants!$B$13),"")</f>
        <v/>
      </c>
      <c r="AC166" s="62" t="str">
        <f aca="false">IF($Z166=Constants!$B$7,IF(X166,P166*IF(R166, 1, Constants!$B$11)*IF(S166, 1, Constants!$B$12),Constants!$B$13),"")</f>
        <v/>
      </c>
      <c r="AD166" s="62" t="str">
        <f aca="false">IF($Z166=Constants!$B$7,AB166*AC166,"")</f>
        <v/>
      </c>
      <c r="AE166" s="62" t="str">
        <f aca="false">IF($Z166=Constants!$B$7,IF(Y166,T166,Constants!$B$13),"")</f>
        <v/>
      </c>
      <c r="AF166" s="62" t="str">
        <f aca="false">IF($Z166=Constants!$B$7,IF(Y166,P166*IF(U166, 1, Constants!$B$11)*IF(V166, 1, Constants!$B$12),Constants!$B$13),"")</f>
        <v/>
      </c>
      <c r="AG166" s="62" t="str">
        <f aca="false">IF($Z166=Constants!$B$7,AE166*AF166,"")</f>
        <v/>
      </c>
      <c r="AH166" s="62" t="str">
        <f aca="false">IF($Z166=Constants!$B$7,IF(AG166&gt;AD166,2,1),"")</f>
        <v/>
      </c>
      <c r="AI166" s="62" t="str">
        <f aca="false">IF($Z166=Constants!$B$7,IF(AH166=1,2,1),"")</f>
        <v/>
      </c>
      <c r="AJ166" s="62" t="str">
        <f aca="false">IF(ISBLANK($C166),"",IF($Z166&lt;&gt;Constants!$B$7,$Z166,IF(AH166=1,AD166,AG166)))</f>
        <v/>
      </c>
      <c r="AK166" s="62" t="str">
        <f aca="false">IF(ISBLANK($C166),"",IF($Z166=Constants!$B$7,IF(ISNUMBER(AJ166),RANK(AJ166,$AJ$8:$AJ$507),Constants!$B$14),$Z166))</f>
        <v/>
      </c>
      <c r="AL166" s="62" t="str">
        <f aca="false">IF(ISBLANK($C166),"",IF($Z166=Constants!$B$7,IF(AI166=1,AD166,AG166),""))</f>
        <v/>
      </c>
      <c r="AM166" s="62" t="str">
        <f aca="false">IF(ISBLANK($C166),"",IF($Z166=Constants!$B$7,RANK(AL166,$AL$8:$AL$507),$Z166))</f>
        <v/>
      </c>
      <c r="AN166" s="62" t="str">
        <f aca="false">IF(ISBLANK($C166),"",IF($Z166=Constants!$B$7,IF(ISNUMBER(AK166),COUNTIFS($AK$8:$AK$507,"&lt;"&amp;$AK166)+COUNTIFS($AK$8:$AK$507,$AK166,$AM$8:$AM$507,"&lt;"&amp;$AM166)+1,Constants!$B$14),$Z166))</f>
        <v/>
      </c>
      <c r="AO166" s="62" t="str">
        <f aca="false">IF(ISBLANK($C166),"",IF($Z166=Constants!$B$7,IF(ISNUMBER(AK166),AK166-AN166,Constants!$B$14),$Z166))</f>
        <v/>
      </c>
      <c r="AP166" s="64"/>
      <c r="AQ166" s="65" t="str">
        <f aca="false">IF(ISBLANK($C166),"",IF($Z166&lt;&gt;Constants!$B$7,"",AH166))</f>
        <v/>
      </c>
      <c r="AR166" s="80" t="str">
        <f aca="false">IF(ISBLANK($C166),"",IF($Z166&lt;&gt;Constants!$B$7,"",IF(AH166=1,AB166,AE166)))</f>
        <v/>
      </c>
      <c r="AS166" s="67" t="str">
        <f aca="false">IF(ISBLANK($C166),"",IF($Z166&lt;&gt;Constants!$B$7,"",IF(AH166=1,AC166,AF166)))</f>
        <v/>
      </c>
      <c r="AT166" s="68" t="str">
        <f aca="false">IF(ISBLANK($C166),"",IF($Z166&lt;&gt;Constants!$B$7,$Z166,AJ166))</f>
        <v/>
      </c>
      <c r="AU166" s="69" t="str">
        <f aca="false">IF(ISBLANK($C166),"",IF($Z166&lt;&gt;Constants!$B$7,$Z166,AA166))</f>
        <v/>
      </c>
      <c r="AV166" s="70" t="str">
        <f aca="false">IF(ISBLANK($C166),"",AO166)</f>
        <v/>
      </c>
      <c r="AW166" s="70" t="str">
        <f aca="false">IF(ISBLANK($C166),"",AN166)</f>
        <v/>
      </c>
      <c r="AX166" s="71" t="str">
        <f aca="false">IF(ISBLANK($C166),"",IFERROR(_xlfn.SWITCH(AW166,Constants!$B$4,COUNTA($C$8:$C$507)+2,Constants!$B$5,COUNTA($C$8:$C$507)+1,Constants!$B$6,COUNTA($C$8:$C$507)),AW166))</f>
        <v/>
      </c>
      <c r="AY166" s="5"/>
      <c r="AZ166" s="72" t="n">
        <f aca="false">IF(OR(ISNUMBER(AW166),AW166=Constants!$B$4,AW166=Constants!$B$6,AW166=Constants!$B$5),1,0)</f>
        <v>0</v>
      </c>
      <c r="BA166" s="72" t="n">
        <v>159</v>
      </c>
      <c r="BB166" s="72" t="str">
        <f aca="false">IF(ISBLANK($C166),"",IF(ISNUMBER(AX166),AX166+ROW($B166)/1000,""))</f>
        <v/>
      </c>
      <c r="BC166" s="72" t="str">
        <f aca="false">IF(ISNUMBER(BB166),RANK(BB166,$BB$8:$BB$507,1),"")</f>
        <v/>
      </c>
      <c r="BD166" s="72" t="str">
        <f aca="false">IF(ISBLANK($C166),"",$B166)</f>
        <v/>
      </c>
      <c r="BE166" s="72" t="str">
        <f aca="false">IF(ISBLANK($C166),"",$C166)</f>
        <v/>
      </c>
      <c r="BF166" s="72" t="str">
        <f aca="false">IF(ISBLANK($C166),"",$D166)</f>
        <v/>
      </c>
      <c r="BG166" s="73" t="str">
        <f aca="false">AU166</f>
        <v/>
      </c>
      <c r="BH166" s="74" t="str">
        <f aca="false">AT166</f>
        <v/>
      </c>
      <c r="BI166" s="72" t="str">
        <f aca="false">IF(ISBLANK($C166),"",AW166)</f>
        <v/>
      </c>
      <c r="BJ166" s="75" t="str">
        <f aca="false">IF($BA166&gt;$AZ$7,"",VLOOKUP($BA166,$BC$8:$BI$507,7,FALSE()))</f>
        <v/>
      </c>
      <c r="BK166" s="76" t="str">
        <f aca="false">IF($BA166&gt;$AZ$7,"",VLOOKUP($BA166,$BC$8:$BI$507,2,FALSE()))</f>
        <v/>
      </c>
      <c r="BL166" s="76" t="str">
        <f aca="false">IF($BA166&gt;$AZ$7,"",VLOOKUP($BA166,$BC$8:$BI$507,3,FALSE()))</f>
        <v/>
      </c>
      <c r="BM166" s="76" t="str">
        <f aca="false">IF($BA166&gt;$AZ$7,"",VLOOKUP($BA166,$BC$8:$BI$507,4,FALSE()))</f>
        <v/>
      </c>
      <c r="BN166" s="76" t="str">
        <f aca="false">IF($BA166&gt;$AZ$7,"",VLOOKUP($BA166,$BC$8:$BI$507,5,FALSE()))</f>
        <v/>
      </c>
      <c r="BO166" s="77" t="str">
        <f aca="false">IF($BA166&gt;$AZ$7,"",VLOOKUP($BA166,$BC$8:$BI$507,6,FALSE()))</f>
        <v/>
      </c>
      <c r="BP166" s="52"/>
    </row>
    <row r="167" customFormat="false" ht="15.75" hidden="false" customHeight="false" outlineLevel="0" collapsed="false">
      <c r="A167" s="5"/>
      <c r="B167" s="114"/>
      <c r="C167" s="115"/>
      <c r="D167" s="106"/>
      <c r="E167" s="117"/>
      <c r="F167" s="87"/>
      <c r="G167" s="88"/>
      <c r="H167" s="88"/>
      <c r="I167" s="87"/>
      <c r="J167" s="88"/>
      <c r="K167" s="88"/>
      <c r="L167" s="87"/>
      <c r="M167" s="117"/>
      <c r="N167" s="90"/>
      <c r="O167" s="91" t="str">
        <f aca="false">IF(ISBLANK($C167),"",IF(E167=Constants!$B$2, TRUE(), IF(E167=Constants!$B$3, FALSE(), TRUE())))</f>
        <v/>
      </c>
      <c r="P167" s="91" t="str">
        <f aca="false">IF(ISBLANK($C167),"",IF(F167=Constants!$B$16,Constants!$B$9,IF(F167=Constants!$B$17,Constants!$B$10,Constants!$B$8)))</f>
        <v/>
      </c>
      <c r="Q167" s="91" t="str">
        <f aca="false">IF(ISBLANK($C167),"",IF(ISNUMBER(G167),IF(G167&gt;=0,G167,""),""))</f>
        <v/>
      </c>
      <c r="R167" s="91" t="str">
        <f aca="false">IF(ISBLANK($C167),"",IF(H167=Constants!$B$2, TRUE(), IF(H167=Constants!$B$3, FALSE(), TRUE())))</f>
        <v/>
      </c>
      <c r="S167" s="91" t="str">
        <f aca="false">IF(ISBLANK($C167),"",IF(I167=Constants!$B$2, TRUE(), IF(I167=Constants!$B$3, FALSE(), TRUE())))</f>
        <v/>
      </c>
      <c r="T167" s="91" t="str">
        <f aca="false">IF(ISBLANK($C167),"",IF(ISNUMBER(J167),IF(J167&gt;=0,J167,""),""))</f>
        <v/>
      </c>
      <c r="U167" s="91" t="str">
        <f aca="false">IF(ISBLANK($C167),"",IF(K167=Constants!$B$2, TRUE(), IF(K167=Constants!$B$3, FALSE(), TRUE())))</f>
        <v/>
      </c>
      <c r="V167" s="91" t="str">
        <f aca="false">IF(ISBLANK($C167),"",IF(L167=Constants!$B$2, TRUE(), IF(L167=Constants!$B$3, FALSE(), TRUE())))</f>
        <v/>
      </c>
      <c r="W167" s="91" t="str">
        <f aca="false">IF(ISBLANK($C167),"",IF(M167=Constants!$B$2, TRUE(), IF(M167=Constants!$B$3, FALSE(), FALSE())))</f>
        <v/>
      </c>
      <c r="X167" s="91" t="str">
        <f aca="false">IF(ISBLANK($C167),"",AND(Q167&lt;&gt;"",O167))</f>
        <v/>
      </c>
      <c r="Y167" s="91" t="str">
        <f aca="false">IF(ISBLANK($C167),"",AND(T167&lt;&gt;"",O167))</f>
        <v/>
      </c>
      <c r="Z167" s="91" t="str">
        <f aca="false">IF(ISBLANK($C167),"",IF(W167,Constants!$B$4,IF(COUNTA(E167:L167)=0,Constants!$B$5,IF(NOT(O167),Constants!$B$6,IF(AND(NOT(X167),NOT(Y167)),Constants!$B$6,Constants!$B$7)))))</f>
        <v/>
      </c>
      <c r="AA167" s="91" t="str">
        <f aca="false">IF(ISBLANK($C167),"",IF($Z167&lt;&gt;Constants!$B$7,$Z167,Constants!$B$20))</f>
        <v/>
      </c>
      <c r="AB167" s="91" t="str">
        <f aca="false">IF($Z167=Constants!$B$7,IF(X167,Q167,Constants!$B$13),"")</f>
        <v/>
      </c>
      <c r="AC167" s="91" t="str">
        <f aca="false">IF($Z167=Constants!$B$7,IF(X167,P167*IF(R167, 1, Constants!$B$11)*IF(S167, 1, Constants!$B$12),Constants!$B$13),"")</f>
        <v/>
      </c>
      <c r="AD167" s="91" t="str">
        <f aca="false">IF($Z167=Constants!$B$7,AB167*AC167,"")</f>
        <v/>
      </c>
      <c r="AE167" s="91" t="str">
        <f aca="false">IF($Z167=Constants!$B$7,IF(Y167,T167,Constants!$B$13),"")</f>
        <v/>
      </c>
      <c r="AF167" s="91" t="str">
        <f aca="false">IF($Z167=Constants!$B$7,IF(Y167,P167*IF(U167, 1, Constants!$B$11)*IF(V167, 1, Constants!$B$12),Constants!$B$13),"")</f>
        <v/>
      </c>
      <c r="AG167" s="91" t="str">
        <f aca="false">IF($Z167=Constants!$B$7,AE167*AF167,"")</f>
        <v/>
      </c>
      <c r="AH167" s="91" t="str">
        <f aca="false">IF($Z167=Constants!$B$7,IF(AG167&gt;AD167,2,1),"")</f>
        <v/>
      </c>
      <c r="AI167" s="91" t="str">
        <f aca="false">IF($Z167=Constants!$B$7,IF(AH167=1,2,1),"")</f>
        <v/>
      </c>
      <c r="AJ167" s="91" t="str">
        <f aca="false">IF(ISBLANK($C167),"",IF($Z167&lt;&gt;Constants!$B$7,$Z167,IF(AH167=1,AD167,AG167)))</f>
        <v/>
      </c>
      <c r="AK167" s="91" t="str">
        <f aca="false">IF(ISBLANK($C167),"",IF($Z167=Constants!$B$7,IF(ISNUMBER(AJ167),RANK(AJ167,$AJ$8:$AJ$507),Constants!$B$14),$Z167))</f>
        <v/>
      </c>
      <c r="AL167" s="91" t="str">
        <f aca="false">IF(ISBLANK($C167),"",IF($Z167=Constants!$B$7,IF(AI167=1,AD167,AG167),""))</f>
        <v/>
      </c>
      <c r="AM167" s="91" t="str">
        <f aca="false">IF(ISBLANK($C167),"",IF($Z167=Constants!$B$7,RANK(AL167,$AL$8:$AL$507),$Z167))</f>
        <v/>
      </c>
      <c r="AN167" s="91" t="str">
        <f aca="false">IF(ISBLANK($C167),"",IF($Z167=Constants!$B$7,IF(ISNUMBER(AK167),COUNTIFS($AK$8:$AK$507,"&lt;"&amp;$AK167)+COUNTIFS($AK$8:$AK$507,$AK167,$AM$8:$AM$507,"&lt;"&amp;$AM167)+1,Constants!$B$14),$Z167))</f>
        <v/>
      </c>
      <c r="AO167" s="91" t="str">
        <f aca="false">IF(ISBLANK($C167),"",IF($Z167=Constants!$B$7,IF(ISNUMBER(AK167),AK167-AN167,Constants!$B$14),$Z167))</f>
        <v/>
      </c>
      <c r="AP167" s="92"/>
      <c r="AQ167" s="93" t="str">
        <f aca="false">IF(ISBLANK($C167),"",IF($Z167&lt;&gt;Constants!$B$7,"",AH167))</f>
        <v/>
      </c>
      <c r="AR167" s="94" t="str">
        <f aca="false">IF(ISBLANK($C167),"",IF($Z167&lt;&gt;Constants!$B$7,"",IF(AH167=1,AB167,AE167)))</f>
        <v/>
      </c>
      <c r="AS167" s="95" t="str">
        <f aca="false">IF(ISBLANK($C167),"",IF($Z167&lt;&gt;Constants!$B$7,"",IF(AH167=1,AC167,AF167)))</f>
        <v/>
      </c>
      <c r="AT167" s="96" t="str">
        <f aca="false">IF(ISBLANK($C167),"",IF($Z167&lt;&gt;Constants!$B$7,$Z167,AJ167))</f>
        <v/>
      </c>
      <c r="AU167" s="97" t="str">
        <f aca="false">IF(ISBLANK($C167),"",IF($Z167&lt;&gt;Constants!$B$7,$Z167,AA167))</f>
        <v/>
      </c>
      <c r="AV167" s="98" t="str">
        <f aca="false">IF(ISBLANK($C167),"",AO167)</f>
        <v/>
      </c>
      <c r="AW167" s="98" t="str">
        <f aca="false">IF(ISBLANK($C167),"",AN167)</f>
        <v/>
      </c>
      <c r="AX167" s="99" t="str">
        <f aca="false">IF(ISBLANK($C167),"",IFERROR(_xlfn.SWITCH(AW167,Constants!$B$4,COUNTA($C$8:$C$507)+2,Constants!$B$5,COUNTA($C$8:$C$507)+1,Constants!$B$6,COUNTA($C$8:$C$507)),AW167))</f>
        <v/>
      </c>
      <c r="AY167" s="5"/>
      <c r="AZ167" s="100" t="n">
        <f aca="false">IF(OR(ISNUMBER(AW167),AW167=Constants!$B$4,AW167=Constants!$B$6,AW167=Constants!$B$5),1,0)</f>
        <v>0</v>
      </c>
      <c r="BA167" s="100" t="n">
        <v>160</v>
      </c>
      <c r="BB167" s="100" t="str">
        <f aca="false">IF(ISBLANK($C167),"",IF(ISNUMBER(AX167),AX167+ROW($B167)/1000,""))</f>
        <v/>
      </c>
      <c r="BC167" s="100" t="str">
        <f aca="false">IF(ISNUMBER(BB167),RANK(BB167,$BB$8:$BB$507,1),"")</f>
        <v/>
      </c>
      <c r="BD167" s="100" t="str">
        <f aca="false">IF(ISBLANK($C167),"",$B167)</f>
        <v/>
      </c>
      <c r="BE167" s="100" t="str">
        <f aca="false">IF(ISBLANK($C167),"",$C167)</f>
        <v/>
      </c>
      <c r="BF167" s="100" t="str">
        <f aca="false">IF(ISBLANK($C167),"",$D167)</f>
        <v/>
      </c>
      <c r="BG167" s="101" t="str">
        <f aca="false">AU167</f>
        <v/>
      </c>
      <c r="BH167" s="102" t="str">
        <f aca="false">AT167</f>
        <v/>
      </c>
      <c r="BI167" s="100" t="str">
        <f aca="false">IF(ISBLANK($C167),"",AW167)</f>
        <v/>
      </c>
      <c r="BJ167" s="103" t="str">
        <f aca="false">IF($BA167&gt;$AZ$7,"",VLOOKUP($BA167,$BC$8:$BI$507,7,FALSE()))</f>
        <v/>
      </c>
      <c r="BK167" s="104" t="str">
        <f aca="false">IF($BA167&gt;$AZ$7,"",VLOOKUP($BA167,$BC$8:$BI$507,2,FALSE()))</f>
        <v/>
      </c>
      <c r="BL167" s="104" t="str">
        <f aca="false">IF($BA167&gt;$AZ$7,"",VLOOKUP($BA167,$BC$8:$BI$507,3,FALSE()))</f>
        <v/>
      </c>
      <c r="BM167" s="104" t="str">
        <f aca="false">IF($BA167&gt;$AZ$7,"",VLOOKUP($BA167,$BC$8:$BI$507,4,FALSE()))</f>
        <v/>
      </c>
      <c r="BN167" s="104" t="str">
        <f aca="false">IF($BA167&gt;$AZ$7,"",VLOOKUP($BA167,$BC$8:$BI$507,5,FALSE()))</f>
        <v/>
      </c>
      <c r="BO167" s="105" t="str">
        <f aca="false">IF($BA167&gt;$AZ$7,"",VLOOKUP($BA167,$BC$8:$BI$507,6,FALSE()))</f>
        <v/>
      </c>
      <c r="BP167" s="52"/>
    </row>
    <row r="168" customFormat="false" ht="15.75" hidden="false" customHeight="false" outlineLevel="0" collapsed="false">
      <c r="A168" s="5"/>
      <c r="B168" s="114"/>
      <c r="C168" s="115"/>
      <c r="D168" s="106"/>
      <c r="E168" s="117"/>
      <c r="F168" s="87"/>
      <c r="G168" s="88"/>
      <c r="H168" s="88"/>
      <c r="I168" s="87"/>
      <c r="J168" s="88"/>
      <c r="K168" s="88"/>
      <c r="L168" s="87"/>
      <c r="M168" s="117"/>
      <c r="N168" s="90"/>
      <c r="O168" s="91" t="str">
        <f aca="false">IF(ISBLANK($C168),"",IF(E168=Constants!$B$2, TRUE(), IF(E168=Constants!$B$3, FALSE(), TRUE())))</f>
        <v/>
      </c>
      <c r="P168" s="91" t="str">
        <f aca="false">IF(ISBLANK($C168),"",IF(F168=Constants!$B$16,Constants!$B$9,IF(F168=Constants!$B$17,Constants!$B$10,Constants!$B$8)))</f>
        <v/>
      </c>
      <c r="Q168" s="91" t="str">
        <f aca="false">IF(ISBLANK($C168),"",IF(ISNUMBER(G168),IF(G168&gt;=0,G168,""),""))</f>
        <v/>
      </c>
      <c r="R168" s="91" t="str">
        <f aca="false">IF(ISBLANK($C168),"",IF(H168=Constants!$B$2, TRUE(), IF(H168=Constants!$B$3, FALSE(), TRUE())))</f>
        <v/>
      </c>
      <c r="S168" s="91" t="str">
        <f aca="false">IF(ISBLANK($C168),"",IF(I168=Constants!$B$2, TRUE(), IF(I168=Constants!$B$3, FALSE(), TRUE())))</f>
        <v/>
      </c>
      <c r="T168" s="91" t="str">
        <f aca="false">IF(ISBLANK($C168),"",IF(ISNUMBER(J168),IF(J168&gt;=0,J168,""),""))</f>
        <v/>
      </c>
      <c r="U168" s="91" t="str">
        <f aca="false">IF(ISBLANK($C168),"",IF(K168=Constants!$B$2, TRUE(), IF(K168=Constants!$B$3, FALSE(), TRUE())))</f>
        <v/>
      </c>
      <c r="V168" s="91" t="str">
        <f aca="false">IF(ISBLANK($C168),"",IF(L168=Constants!$B$2, TRUE(), IF(L168=Constants!$B$3, FALSE(), TRUE())))</f>
        <v/>
      </c>
      <c r="W168" s="91" t="str">
        <f aca="false">IF(ISBLANK($C168),"",IF(M168=Constants!$B$2, TRUE(), IF(M168=Constants!$B$3, FALSE(), FALSE())))</f>
        <v/>
      </c>
      <c r="X168" s="91" t="str">
        <f aca="false">IF(ISBLANK($C168),"",AND(Q168&lt;&gt;"",O168))</f>
        <v/>
      </c>
      <c r="Y168" s="91" t="str">
        <f aca="false">IF(ISBLANK($C168),"",AND(T168&lt;&gt;"",O168))</f>
        <v/>
      </c>
      <c r="Z168" s="91" t="str">
        <f aca="false">IF(ISBLANK($C168),"",IF(W168,Constants!$B$4,IF(COUNTA(E168:L168)=0,Constants!$B$5,IF(NOT(O168),Constants!$B$6,IF(AND(NOT(X168),NOT(Y168)),Constants!$B$6,Constants!$B$7)))))</f>
        <v/>
      </c>
      <c r="AA168" s="91" t="str">
        <f aca="false">IF(ISBLANK($C168),"",IF($Z168&lt;&gt;Constants!$B$7,$Z168,Constants!$B$20))</f>
        <v/>
      </c>
      <c r="AB168" s="91" t="str">
        <f aca="false">IF($Z168=Constants!$B$7,IF(X168,Q168,Constants!$B$13),"")</f>
        <v/>
      </c>
      <c r="AC168" s="91" t="str">
        <f aca="false">IF($Z168=Constants!$B$7,IF(X168,P168*IF(R168, 1, Constants!$B$11)*IF(S168, 1, Constants!$B$12),Constants!$B$13),"")</f>
        <v/>
      </c>
      <c r="AD168" s="91" t="str">
        <f aca="false">IF($Z168=Constants!$B$7,AB168*AC168,"")</f>
        <v/>
      </c>
      <c r="AE168" s="91" t="str">
        <f aca="false">IF($Z168=Constants!$B$7,IF(Y168,T168,Constants!$B$13),"")</f>
        <v/>
      </c>
      <c r="AF168" s="91" t="str">
        <f aca="false">IF($Z168=Constants!$B$7,IF(Y168,P168*IF(U168, 1, Constants!$B$11)*IF(V168, 1, Constants!$B$12),Constants!$B$13),"")</f>
        <v/>
      </c>
      <c r="AG168" s="91" t="str">
        <f aca="false">IF($Z168=Constants!$B$7,AE168*AF168,"")</f>
        <v/>
      </c>
      <c r="AH168" s="91" t="str">
        <f aca="false">IF($Z168=Constants!$B$7,IF(AG168&gt;AD168,2,1),"")</f>
        <v/>
      </c>
      <c r="AI168" s="91" t="str">
        <f aca="false">IF($Z168=Constants!$B$7,IF(AH168=1,2,1),"")</f>
        <v/>
      </c>
      <c r="AJ168" s="91" t="str">
        <f aca="false">IF(ISBLANK($C168),"",IF($Z168&lt;&gt;Constants!$B$7,$Z168,IF(AH168=1,AD168,AG168)))</f>
        <v/>
      </c>
      <c r="AK168" s="91" t="str">
        <f aca="false">IF(ISBLANK($C168),"",IF($Z168=Constants!$B$7,IF(ISNUMBER(AJ168),RANK(AJ168,$AJ$8:$AJ$507),Constants!$B$14),$Z168))</f>
        <v/>
      </c>
      <c r="AL168" s="91" t="str">
        <f aca="false">IF(ISBLANK($C168),"",IF($Z168=Constants!$B$7,IF(AI168=1,AD168,AG168),""))</f>
        <v/>
      </c>
      <c r="AM168" s="91" t="str">
        <f aca="false">IF(ISBLANK($C168),"",IF($Z168=Constants!$B$7,RANK(AL168,$AL$8:$AL$507),$Z168))</f>
        <v/>
      </c>
      <c r="AN168" s="91" t="str">
        <f aca="false">IF(ISBLANK($C168),"",IF($Z168=Constants!$B$7,IF(ISNUMBER(AK168),COUNTIFS($AK$8:$AK$507,"&lt;"&amp;$AK168)+COUNTIFS($AK$8:$AK$507,$AK168,$AM$8:$AM$507,"&lt;"&amp;$AM168)+1,Constants!$B$14),$Z168))</f>
        <v/>
      </c>
      <c r="AO168" s="91" t="str">
        <f aca="false">IF(ISBLANK($C168),"",IF($Z168=Constants!$B$7,IF(ISNUMBER(AK168),AK168-AN168,Constants!$B$14),$Z168))</f>
        <v/>
      </c>
      <c r="AP168" s="92"/>
      <c r="AQ168" s="93" t="str">
        <f aca="false">IF(ISBLANK($C168),"",IF($Z168&lt;&gt;Constants!$B$7,"",AH168))</f>
        <v/>
      </c>
      <c r="AR168" s="94" t="str">
        <f aca="false">IF(ISBLANK($C168),"",IF($Z168&lt;&gt;Constants!$B$7,"",IF(AH168=1,AB168,AE168)))</f>
        <v/>
      </c>
      <c r="AS168" s="95" t="str">
        <f aca="false">IF(ISBLANK($C168),"",IF($Z168&lt;&gt;Constants!$B$7,"",IF(AH168=1,AC168,AF168)))</f>
        <v/>
      </c>
      <c r="AT168" s="96" t="str">
        <f aca="false">IF(ISBLANK($C168),"",IF($Z168&lt;&gt;Constants!$B$7,$Z168,AJ168))</f>
        <v/>
      </c>
      <c r="AU168" s="97" t="str">
        <f aca="false">IF(ISBLANK($C168),"",IF($Z168&lt;&gt;Constants!$B$7,$Z168,AA168))</f>
        <v/>
      </c>
      <c r="AV168" s="98" t="str">
        <f aca="false">IF(ISBLANK($C168),"",AO168)</f>
        <v/>
      </c>
      <c r="AW168" s="98" t="str">
        <f aca="false">IF(ISBLANK($C168),"",AN168)</f>
        <v/>
      </c>
      <c r="AX168" s="99" t="str">
        <f aca="false">IF(ISBLANK($C168),"",IFERROR(_xlfn.SWITCH(AW168,Constants!$B$4,COUNTA($C$8:$C$507)+2,Constants!$B$5,COUNTA($C$8:$C$507)+1,Constants!$B$6,COUNTA($C$8:$C$507)),AW168))</f>
        <v/>
      </c>
      <c r="AY168" s="5"/>
      <c r="AZ168" s="100" t="n">
        <f aca="false">IF(OR(ISNUMBER(AW168),AW168=Constants!$B$4,AW168=Constants!$B$6,AW168=Constants!$B$5),1,0)</f>
        <v>0</v>
      </c>
      <c r="BA168" s="100" t="n">
        <v>161</v>
      </c>
      <c r="BB168" s="100" t="str">
        <f aca="false">IF(ISBLANK($C168),"",IF(ISNUMBER(AX168),AX168+ROW($B168)/1000,""))</f>
        <v/>
      </c>
      <c r="BC168" s="100" t="str">
        <f aca="false">IF(ISNUMBER(BB168),RANK(BB168,$BB$8:$BB$507,1),"")</f>
        <v/>
      </c>
      <c r="BD168" s="100" t="str">
        <f aca="false">IF(ISBLANK($C168),"",$B168)</f>
        <v/>
      </c>
      <c r="BE168" s="100" t="str">
        <f aca="false">IF(ISBLANK($C168),"",$C168)</f>
        <v/>
      </c>
      <c r="BF168" s="100" t="str">
        <f aca="false">IF(ISBLANK($C168),"",$D168)</f>
        <v/>
      </c>
      <c r="BG168" s="101" t="str">
        <f aca="false">AU168</f>
        <v/>
      </c>
      <c r="BH168" s="102" t="str">
        <f aca="false">AT168</f>
        <v/>
      </c>
      <c r="BI168" s="100" t="str">
        <f aca="false">IF(ISBLANK($C168),"",AW168)</f>
        <v/>
      </c>
      <c r="BJ168" s="103" t="str">
        <f aca="false">IF($BA168&gt;$AZ$7,"",VLOOKUP($BA168,$BC$8:$BI$507,7,FALSE()))</f>
        <v/>
      </c>
      <c r="BK168" s="104" t="str">
        <f aca="false">IF($BA168&gt;$AZ$7,"",VLOOKUP($BA168,$BC$8:$BI$507,2,FALSE()))</f>
        <v/>
      </c>
      <c r="BL168" s="104" t="str">
        <f aca="false">IF($BA168&gt;$AZ$7,"",VLOOKUP($BA168,$BC$8:$BI$507,3,FALSE()))</f>
        <v/>
      </c>
      <c r="BM168" s="104" t="str">
        <f aca="false">IF($BA168&gt;$AZ$7,"",VLOOKUP($BA168,$BC$8:$BI$507,4,FALSE()))</f>
        <v/>
      </c>
      <c r="BN168" s="104" t="str">
        <f aca="false">IF($BA168&gt;$AZ$7,"",VLOOKUP($BA168,$BC$8:$BI$507,5,FALSE()))</f>
        <v/>
      </c>
      <c r="BO168" s="105" t="str">
        <f aca="false">IF($BA168&gt;$AZ$7,"",VLOOKUP($BA168,$BC$8:$BI$507,6,FALSE()))</f>
        <v/>
      </c>
      <c r="BP168" s="52"/>
    </row>
    <row r="169" customFormat="false" ht="15.75" hidden="false" customHeight="false" outlineLevel="0" collapsed="false">
      <c r="A169" s="5"/>
      <c r="B169" s="114"/>
      <c r="C169" s="115"/>
      <c r="D169" s="106"/>
      <c r="E169" s="117"/>
      <c r="F169" s="87"/>
      <c r="G169" s="88"/>
      <c r="H169" s="88"/>
      <c r="I169" s="87"/>
      <c r="J169" s="88"/>
      <c r="K169" s="88"/>
      <c r="L169" s="87"/>
      <c r="M169" s="117"/>
      <c r="N169" s="90"/>
      <c r="O169" s="91" t="str">
        <f aca="false">IF(ISBLANK($C169),"",IF(E169=Constants!$B$2, TRUE(), IF(E169=Constants!$B$3, FALSE(), TRUE())))</f>
        <v/>
      </c>
      <c r="P169" s="91" t="str">
        <f aca="false">IF(ISBLANK($C169),"",IF(F169=Constants!$B$16,Constants!$B$9,IF(F169=Constants!$B$17,Constants!$B$10,Constants!$B$8)))</f>
        <v/>
      </c>
      <c r="Q169" s="91" t="str">
        <f aca="false">IF(ISBLANK($C169),"",IF(ISNUMBER(G169),IF(G169&gt;=0,G169,""),""))</f>
        <v/>
      </c>
      <c r="R169" s="91" t="str">
        <f aca="false">IF(ISBLANK($C169),"",IF(H169=Constants!$B$2, TRUE(), IF(H169=Constants!$B$3, FALSE(), TRUE())))</f>
        <v/>
      </c>
      <c r="S169" s="91" t="str">
        <f aca="false">IF(ISBLANK($C169),"",IF(I169=Constants!$B$2, TRUE(), IF(I169=Constants!$B$3, FALSE(), TRUE())))</f>
        <v/>
      </c>
      <c r="T169" s="91" t="str">
        <f aca="false">IF(ISBLANK($C169),"",IF(ISNUMBER(J169),IF(J169&gt;=0,J169,""),""))</f>
        <v/>
      </c>
      <c r="U169" s="91" t="str">
        <f aca="false">IF(ISBLANK($C169),"",IF(K169=Constants!$B$2, TRUE(), IF(K169=Constants!$B$3, FALSE(), TRUE())))</f>
        <v/>
      </c>
      <c r="V169" s="91" t="str">
        <f aca="false">IF(ISBLANK($C169),"",IF(L169=Constants!$B$2, TRUE(), IF(L169=Constants!$B$3, FALSE(), TRUE())))</f>
        <v/>
      </c>
      <c r="W169" s="91" t="str">
        <f aca="false">IF(ISBLANK($C169),"",IF(M169=Constants!$B$2, TRUE(), IF(M169=Constants!$B$3, FALSE(), FALSE())))</f>
        <v/>
      </c>
      <c r="X169" s="91" t="str">
        <f aca="false">IF(ISBLANK($C169),"",AND(Q169&lt;&gt;"",O169))</f>
        <v/>
      </c>
      <c r="Y169" s="91" t="str">
        <f aca="false">IF(ISBLANK($C169),"",AND(T169&lt;&gt;"",O169))</f>
        <v/>
      </c>
      <c r="Z169" s="91" t="str">
        <f aca="false">IF(ISBLANK($C169),"",IF(W169,Constants!$B$4,IF(COUNTA(E169:L169)=0,Constants!$B$5,IF(NOT(O169),Constants!$B$6,IF(AND(NOT(X169),NOT(Y169)),Constants!$B$6,Constants!$B$7)))))</f>
        <v/>
      </c>
      <c r="AA169" s="91" t="str">
        <f aca="false">IF(ISBLANK($C169),"",IF($Z169&lt;&gt;Constants!$B$7,$Z169,Constants!$B$20))</f>
        <v/>
      </c>
      <c r="AB169" s="91" t="str">
        <f aca="false">IF($Z169=Constants!$B$7,IF(X169,Q169,Constants!$B$13),"")</f>
        <v/>
      </c>
      <c r="AC169" s="91" t="str">
        <f aca="false">IF($Z169=Constants!$B$7,IF(X169,P169*IF(R169, 1, Constants!$B$11)*IF(S169, 1, Constants!$B$12),Constants!$B$13),"")</f>
        <v/>
      </c>
      <c r="AD169" s="91" t="str">
        <f aca="false">IF($Z169=Constants!$B$7,AB169*AC169,"")</f>
        <v/>
      </c>
      <c r="AE169" s="91" t="str">
        <f aca="false">IF($Z169=Constants!$B$7,IF(Y169,T169,Constants!$B$13),"")</f>
        <v/>
      </c>
      <c r="AF169" s="91" t="str">
        <f aca="false">IF($Z169=Constants!$B$7,IF(Y169,P169*IF(U169, 1, Constants!$B$11)*IF(V169, 1, Constants!$B$12),Constants!$B$13),"")</f>
        <v/>
      </c>
      <c r="AG169" s="91" t="str">
        <f aca="false">IF($Z169=Constants!$B$7,AE169*AF169,"")</f>
        <v/>
      </c>
      <c r="AH169" s="91" t="str">
        <f aca="false">IF($Z169=Constants!$B$7,IF(AG169&gt;AD169,2,1),"")</f>
        <v/>
      </c>
      <c r="AI169" s="91" t="str">
        <f aca="false">IF($Z169=Constants!$B$7,IF(AH169=1,2,1),"")</f>
        <v/>
      </c>
      <c r="AJ169" s="91" t="str">
        <f aca="false">IF(ISBLANK($C169),"",IF($Z169&lt;&gt;Constants!$B$7,$Z169,IF(AH169=1,AD169,AG169)))</f>
        <v/>
      </c>
      <c r="AK169" s="91" t="str">
        <f aca="false">IF(ISBLANK($C169),"",IF($Z169=Constants!$B$7,IF(ISNUMBER(AJ169),RANK(AJ169,$AJ$8:$AJ$507),Constants!$B$14),$Z169))</f>
        <v/>
      </c>
      <c r="AL169" s="91" t="str">
        <f aca="false">IF(ISBLANK($C169),"",IF($Z169=Constants!$B$7,IF(AI169=1,AD169,AG169),""))</f>
        <v/>
      </c>
      <c r="AM169" s="91" t="str">
        <f aca="false">IF(ISBLANK($C169),"",IF($Z169=Constants!$B$7,RANK(AL169,$AL$8:$AL$507),$Z169))</f>
        <v/>
      </c>
      <c r="AN169" s="91" t="str">
        <f aca="false">IF(ISBLANK($C169),"",IF($Z169=Constants!$B$7,IF(ISNUMBER(AK169),COUNTIFS($AK$8:$AK$507,"&lt;"&amp;$AK169)+COUNTIFS($AK$8:$AK$507,$AK169,$AM$8:$AM$507,"&lt;"&amp;$AM169)+1,Constants!$B$14),$Z169))</f>
        <v/>
      </c>
      <c r="AO169" s="91" t="str">
        <f aca="false">IF(ISBLANK($C169),"",IF($Z169=Constants!$B$7,IF(ISNUMBER(AK169),AK169-AN169,Constants!$B$14),$Z169))</f>
        <v/>
      </c>
      <c r="AP169" s="92"/>
      <c r="AQ169" s="93" t="str">
        <f aca="false">IF(ISBLANK($C169),"",IF($Z169&lt;&gt;Constants!$B$7,"",AH169))</f>
        <v/>
      </c>
      <c r="AR169" s="94" t="str">
        <f aca="false">IF(ISBLANK($C169),"",IF($Z169&lt;&gt;Constants!$B$7,"",IF(AH169=1,AB169,AE169)))</f>
        <v/>
      </c>
      <c r="AS169" s="95" t="str">
        <f aca="false">IF(ISBLANK($C169),"",IF($Z169&lt;&gt;Constants!$B$7,"",IF(AH169=1,AC169,AF169)))</f>
        <v/>
      </c>
      <c r="AT169" s="96" t="str">
        <f aca="false">IF(ISBLANK($C169),"",IF($Z169&lt;&gt;Constants!$B$7,$Z169,AJ169))</f>
        <v/>
      </c>
      <c r="AU169" s="97" t="str">
        <f aca="false">IF(ISBLANK($C169),"",IF($Z169&lt;&gt;Constants!$B$7,$Z169,AA169))</f>
        <v/>
      </c>
      <c r="AV169" s="98" t="str">
        <f aca="false">IF(ISBLANK($C169),"",AO169)</f>
        <v/>
      </c>
      <c r="AW169" s="98" t="str">
        <f aca="false">IF(ISBLANK($C169),"",AN169)</f>
        <v/>
      </c>
      <c r="AX169" s="99" t="str">
        <f aca="false">IF(ISBLANK($C169),"",IFERROR(_xlfn.SWITCH(AW169,Constants!$B$4,COUNTA($C$8:$C$507)+2,Constants!$B$5,COUNTA($C$8:$C$507)+1,Constants!$B$6,COUNTA($C$8:$C$507)),AW169))</f>
        <v/>
      </c>
      <c r="AY169" s="5"/>
      <c r="AZ169" s="100" t="n">
        <f aca="false">IF(OR(ISNUMBER(AW169),AW169=Constants!$B$4,AW169=Constants!$B$6,AW169=Constants!$B$5),1,0)</f>
        <v>0</v>
      </c>
      <c r="BA169" s="100" t="n">
        <v>162</v>
      </c>
      <c r="BB169" s="100" t="str">
        <f aca="false">IF(ISBLANK($C169),"",IF(ISNUMBER(AX169),AX169+ROW($B169)/1000,""))</f>
        <v/>
      </c>
      <c r="BC169" s="100" t="str">
        <f aca="false">IF(ISNUMBER(BB169),RANK(BB169,$BB$8:$BB$507,1),"")</f>
        <v/>
      </c>
      <c r="BD169" s="100" t="str">
        <f aca="false">IF(ISBLANK($C169),"",$B169)</f>
        <v/>
      </c>
      <c r="BE169" s="100" t="str">
        <f aca="false">IF(ISBLANK($C169),"",$C169)</f>
        <v/>
      </c>
      <c r="BF169" s="100" t="str">
        <f aca="false">IF(ISBLANK($C169),"",$D169)</f>
        <v/>
      </c>
      <c r="BG169" s="101" t="str">
        <f aca="false">AU169</f>
        <v/>
      </c>
      <c r="BH169" s="102" t="str">
        <f aca="false">AT169</f>
        <v/>
      </c>
      <c r="BI169" s="100" t="str">
        <f aca="false">IF(ISBLANK($C169),"",AW169)</f>
        <v/>
      </c>
      <c r="BJ169" s="103" t="str">
        <f aca="false">IF($BA169&gt;$AZ$7,"",VLOOKUP($BA169,$BC$8:$BI$507,7,FALSE()))</f>
        <v/>
      </c>
      <c r="BK169" s="104" t="str">
        <f aca="false">IF($BA169&gt;$AZ$7,"",VLOOKUP($BA169,$BC$8:$BI$507,2,FALSE()))</f>
        <v/>
      </c>
      <c r="BL169" s="104" t="str">
        <f aca="false">IF($BA169&gt;$AZ$7,"",VLOOKUP($BA169,$BC$8:$BI$507,3,FALSE()))</f>
        <v/>
      </c>
      <c r="BM169" s="104" t="str">
        <f aca="false">IF($BA169&gt;$AZ$7,"",VLOOKUP($BA169,$BC$8:$BI$507,4,FALSE()))</f>
        <v/>
      </c>
      <c r="BN169" s="104" t="str">
        <f aca="false">IF($BA169&gt;$AZ$7,"",VLOOKUP($BA169,$BC$8:$BI$507,5,FALSE()))</f>
        <v/>
      </c>
      <c r="BO169" s="105" t="str">
        <f aca="false">IF($BA169&gt;$AZ$7,"",VLOOKUP($BA169,$BC$8:$BI$507,6,FALSE()))</f>
        <v/>
      </c>
      <c r="BP169" s="52"/>
    </row>
    <row r="170" customFormat="false" ht="15.75" hidden="false" customHeight="false" outlineLevel="0" collapsed="false">
      <c r="A170" s="5"/>
      <c r="B170" s="118"/>
      <c r="C170" s="54"/>
      <c r="D170" s="55"/>
      <c r="E170" s="79"/>
      <c r="F170" s="57"/>
      <c r="G170" s="58"/>
      <c r="H170" s="58"/>
      <c r="I170" s="57"/>
      <c r="J170" s="58"/>
      <c r="K170" s="58"/>
      <c r="L170" s="57"/>
      <c r="M170" s="79"/>
      <c r="N170" s="60"/>
      <c r="O170" s="62" t="str">
        <f aca="false">IF(ISBLANK($C170),"",IF(E170=Constants!$B$2, TRUE(), IF(E170=Constants!$B$3, FALSE(), TRUE())))</f>
        <v/>
      </c>
      <c r="P170" s="62" t="str">
        <f aca="false">IF(ISBLANK($C170),"",IF(F170=Constants!$B$16,Constants!$B$9,IF(F170=Constants!$B$17,Constants!$B$10,Constants!$B$8)))</f>
        <v/>
      </c>
      <c r="Q170" s="62" t="str">
        <f aca="false">IF(ISBLANK($C170),"",IF(ISNUMBER(G170),IF(G170&gt;=0,G170,""),""))</f>
        <v/>
      </c>
      <c r="R170" s="62" t="str">
        <f aca="false">IF(ISBLANK($C170),"",IF(H170=Constants!$B$2, TRUE(), IF(H170=Constants!$B$3, FALSE(), TRUE())))</f>
        <v/>
      </c>
      <c r="S170" s="62" t="str">
        <f aca="false">IF(ISBLANK($C170),"",IF(I170=Constants!$B$2, TRUE(), IF(I170=Constants!$B$3, FALSE(), TRUE())))</f>
        <v/>
      </c>
      <c r="T170" s="62" t="str">
        <f aca="false">IF(ISBLANK($C170),"",IF(ISNUMBER(J170),IF(J170&gt;=0,J170,""),""))</f>
        <v/>
      </c>
      <c r="U170" s="62" t="str">
        <f aca="false">IF(ISBLANK($C170),"",IF(K170=Constants!$B$2, TRUE(), IF(K170=Constants!$B$3, FALSE(), TRUE())))</f>
        <v/>
      </c>
      <c r="V170" s="62" t="str">
        <f aca="false">IF(ISBLANK($C170),"",IF(L170=Constants!$B$2, TRUE(), IF(L170=Constants!$B$3, FALSE(), TRUE())))</f>
        <v/>
      </c>
      <c r="W170" s="62" t="str">
        <f aca="false">IF(ISBLANK($C170),"",IF(M170=Constants!$B$2, TRUE(), IF(M170=Constants!$B$3, FALSE(), FALSE())))</f>
        <v/>
      </c>
      <c r="X170" s="62" t="str">
        <f aca="false">IF(ISBLANK($C170),"",AND(Q170&lt;&gt;"",O170))</f>
        <v/>
      </c>
      <c r="Y170" s="62" t="str">
        <f aca="false">IF(ISBLANK($C170),"",AND(T170&lt;&gt;"",O170))</f>
        <v/>
      </c>
      <c r="Z170" s="62" t="str">
        <f aca="false">IF(ISBLANK($C170),"",IF(W170,Constants!$B$4,IF(COUNTA(E170:L170)=0,Constants!$B$5,IF(NOT(O170),Constants!$B$6,IF(AND(NOT(X170),NOT(Y170)),Constants!$B$6,Constants!$B$7)))))</f>
        <v/>
      </c>
      <c r="AA170" s="62" t="str">
        <f aca="false">IF(ISBLANK($C170),"",IF($Z170&lt;&gt;Constants!$B$7,$Z170,Constants!$B$20))</f>
        <v/>
      </c>
      <c r="AB170" s="62" t="str">
        <f aca="false">IF($Z170=Constants!$B$7,IF(X170,Q170,Constants!$B$13),"")</f>
        <v/>
      </c>
      <c r="AC170" s="62" t="str">
        <f aca="false">IF($Z170=Constants!$B$7,IF(X170,P170*IF(R170, 1, Constants!$B$11)*IF(S170, 1, Constants!$B$12),Constants!$B$13),"")</f>
        <v/>
      </c>
      <c r="AD170" s="62" t="str">
        <f aca="false">IF($Z170=Constants!$B$7,AB170*AC170,"")</f>
        <v/>
      </c>
      <c r="AE170" s="62" t="str">
        <f aca="false">IF($Z170=Constants!$B$7,IF(Y170,T170,Constants!$B$13),"")</f>
        <v/>
      </c>
      <c r="AF170" s="62" t="str">
        <f aca="false">IF($Z170=Constants!$B$7,IF(Y170,P170*IF(U170, 1, Constants!$B$11)*IF(V170, 1, Constants!$B$12),Constants!$B$13),"")</f>
        <v/>
      </c>
      <c r="AG170" s="62" t="str">
        <f aca="false">IF($Z170=Constants!$B$7,AE170*AF170,"")</f>
        <v/>
      </c>
      <c r="AH170" s="62" t="str">
        <f aca="false">IF($Z170=Constants!$B$7,IF(AG170&gt;AD170,2,1),"")</f>
        <v/>
      </c>
      <c r="AI170" s="62" t="str">
        <f aca="false">IF($Z170=Constants!$B$7,IF(AH170=1,2,1),"")</f>
        <v/>
      </c>
      <c r="AJ170" s="62" t="str">
        <f aca="false">IF(ISBLANK($C170),"",IF($Z170&lt;&gt;Constants!$B$7,$Z170,IF(AH170=1,AD170,AG170)))</f>
        <v/>
      </c>
      <c r="AK170" s="62" t="str">
        <f aca="false">IF(ISBLANK($C170),"",IF($Z170=Constants!$B$7,IF(ISNUMBER(AJ170),RANK(AJ170,$AJ$8:$AJ$507),Constants!$B$14),$Z170))</f>
        <v/>
      </c>
      <c r="AL170" s="62" t="str">
        <f aca="false">IF(ISBLANK($C170),"",IF($Z170=Constants!$B$7,IF(AI170=1,AD170,AG170),""))</f>
        <v/>
      </c>
      <c r="AM170" s="62" t="str">
        <f aca="false">IF(ISBLANK($C170),"",IF($Z170=Constants!$B$7,RANK(AL170,$AL$8:$AL$507),$Z170))</f>
        <v/>
      </c>
      <c r="AN170" s="62" t="str">
        <f aca="false">IF(ISBLANK($C170),"",IF($Z170=Constants!$B$7,IF(ISNUMBER(AK170),COUNTIFS($AK$8:$AK$507,"&lt;"&amp;$AK170)+COUNTIFS($AK$8:$AK$507,$AK170,$AM$8:$AM$507,"&lt;"&amp;$AM170)+1,Constants!$B$14),$Z170))</f>
        <v/>
      </c>
      <c r="AO170" s="62" t="str">
        <f aca="false">IF(ISBLANK($C170),"",IF($Z170=Constants!$B$7,IF(ISNUMBER(AK170),AK170-AN170,Constants!$B$14),$Z170))</f>
        <v/>
      </c>
      <c r="AP170" s="64"/>
      <c r="AQ170" s="65" t="str">
        <f aca="false">IF(ISBLANK($C170),"",IF($Z170&lt;&gt;Constants!$B$7,"",AH170))</f>
        <v/>
      </c>
      <c r="AR170" s="80" t="str">
        <f aca="false">IF(ISBLANK($C170),"",IF($Z170&lt;&gt;Constants!$B$7,"",IF(AH170=1,AB170,AE170)))</f>
        <v/>
      </c>
      <c r="AS170" s="67" t="str">
        <f aca="false">IF(ISBLANK($C170),"",IF($Z170&lt;&gt;Constants!$B$7,"",IF(AH170=1,AC170,AF170)))</f>
        <v/>
      </c>
      <c r="AT170" s="68" t="str">
        <f aca="false">IF(ISBLANK($C170),"",IF($Z170&lt;&gt;Constants!$B$7,$Z170,AJ170))</f>
        <v/>
      </c>
      <c r="AU170" s="69" t="str">
        <f aca="false">IF(ISBLANK($C170),"",IF($Z170&lt;&gt;Constants!$B$7,$Z170,AA170))</f>
        <v/>
      </c>
      <c r="AV170" s="70" t="str">
        <f aca="false">IF(ISBLANK($C170),"",AO170)</f>
        <v/>
      </c>
      <c r="AW170" s="70" t="str">
        <f aca="false">IF(ISBLANK($C170),"",AN170)</f>
        <v/>
      </c>
      <c r="AX170" s="71" t="str">
        <f aca="false">IF(ISBLANK($C170),"",IFERROR(_xlfn.SWITCH(AW170,Constants!$B$4,COUNTA($C$8:$C$507)+2,Constants!$B$5,COUNTA($C$8:$C$507)+1,Constants!$B$6,COUNTA($C$8:$C$507)),AW170))</f>
        <v/>
      </c>
      <c r="AY170" s="5"/>
      <c r="AZ170" s="72" t="n">
        <f aca="false">IF(OR(ISNUMBER(AW170),AW170=Constants!$B$4,AW170=Constants!$B$6,AW170=Constants!$B$5),1,0)</f>
        <v>0</v>
      </c>
      <c r="BA170" s="72" t="n">
        <v>163</v>
      </c>
      <c r="BB170" s="72" t="str">
        <f aca="false">IF(ISBLANK($C170),"",IF(ISNUMBER(AX170),AX170+ROW($B170)/1000,""))</f>
        <v/>
      </c>
      <c r="BC170" s="72" t="str">
        <f aca="false">IF(ISNUMBER(BB170),RANK(BB170,$BB$8:$BB$507,1),"")</f>
        <v/>
      </c>
      <c r="BD170" s="72" t="str">
        <f aca="false">IF(ISBLANK($C170),"",$B170)</f>
        <v/>
      </c>
      <c r="BE170" s="72" t="str">
        <f aca="false">IF(ISBLANK($C170),"",$C170)</f>
        <v/>
      </c>
      <c r="BF170" s="72" t="str">
        <f aca="false">IF(ISBLANK($C170),"",$D170)</f>
        <v/>
      </c>
      <c r="BG170" s="73" t="str">
        <f aca="false">AU170</f>
        <v/>
      </c>
      <c r="BH170" s="74" t="str">
        <f aca="false">AT170</f>
        <v/>
      </c>
      <c r="BI170" s="72" t="str">
        <f aca="false">IF(ISBLANK($C170),"",AW170)</f>
        <v/>
      </c>
      <c r="BJ170" s="75" t="str">
        <f aca="false">IF($BA170&gt;$AZ$7,"",VLOOKUP($BA170,$BC$8:$BI$507,7,FALSE()))</f>
        <v/>
      </c>
      <c r="BK170" s="76" t="str">
        <f aca="false">IF($BA170&gt;$AZ$7,"",VLOOKUP($BA170,$BC$8:$BI$507,2,FALSE()))</f>
        <v/>
      </c>
      <c r="BL170" s="76" t="str">
        <f aca="false">IF($BA170&gt;$AZ$7,"",VLOOKUP($BA170,$BC$8:$BI$507,3,FALSE()))</f>
        <v/>
      </c>
      <c r="BM170" s="76" t="str">
        <f aca="false">IF($BA170&gt;$AZ$7,"",VLOOKUP($BA170,$BC$8:$BI$507,4,FALSE()))</f>
        <v/>
      </c>
      <c r="BN170" s="76" t="str">
        <f aca="false">IF($BA170&gt;$AZ$7,"",VLOOKUP($BA170,$BC$8:$BI$507,5,FALSE()))</f>
        <v/>
      </c>
      <c r="BO170" s="77" t="str">
        <f aca="false">IF($BA170&gt;$AZ$7,"",VLOOKUP($BA170,$BC$8:$BI$507,6,FALSE()))</f>
        <v/>
      </c>
      <c r="BP170" s="52"/>
    </row>
    <row r="171" customFormat="false" ht="15.75" hidden="false" customHeight="false" outlineLevel="0" collapsed="false">
      <c r="A171" s="5"/>
      <c r="B171" s="118"/>
      <c r="C171" s="54"/>
      <c r="D171" s="55"/>
      <c r="E171" s="79"/>
      <c r="F171" s="57"/>
      <c r="G171" s="58"/>
      <c r="H171" s="58"/>
      <c r="I171" s="57"/>
      <c r="J171" s="58"/>
      <c r="K171" s="58"/>
      <c r="L171" s="57"/>
      <c r="M171" s="79"/>
      <c r="N171" s="60"/>
      <c r="O171" s="62" t="str">
        <f aca="false">IF(ISBLANK($C171),"",IF(E171=Constants!$B$2, TRUE(), IF(E171=Constants!$B$3, FALSE(), TRUE())))</f>
        <v/>
      </c>
      <c r="P171" s="62" t="str">
        <f aca="false">IF(ISBLANK($C171),"",IF(F171=Constants!$B$16,Constants!$B$9,IF(F171=Constants!$B$17,Constants!$B$10,Constants!$B$8)))</f>
        <v/>
      </c>
      <c r="Q171" s="62" t="str">
        <f aca="false">IF(ISBLANK($C171),"",IF(ISNUMBER(G171),IF(G171&gt;=0,G171,""),""))</f>
        <v/>
      </c>
      <c r="R171" s="62" t="str">
        <f aca="false">IF(ISBLANK($C171),"",IF(H171=Constants!$B$2, TRUE(), IF(H171=Constants!$B$3, FALSE(), TRUE())))</f>
        <v/>
      </c>
      <c r="S171" s="62" t="str">
        <f aca="false">IF(ISBLANK($C171),"",IF(I171=Constants!$B$2, TRUE(), IF(I171=Constants!$B$3, FALSE(), TRUE())))</f>
        <v/>
      </c>
      <c r="T171" s="62" t="str">
        <f aca="false">IF(ISBLANK($C171),"",IF(ISNUMBER(J171),IF(J171&gt;=0,J171,""),""))</f>
        <v/>
      </c>
      <c r="U171" s="62" t="str">
        <f aca="false">IF(ISBLANK($C171),"",IF(K171=Constants!$B$2, TRUE(), IF(K171=Constants!$B$3, FALSE(), TRUE())))</f>
        <v/>
      </c>
      <c r="V171" s="62" t="str">
        <f aca="false">IF(ISBLANK($C171),"",IF(L171=Constants!$B$2, TRUE(), IF(L171=Constants!$B$3, FALSE(), TRUE())))</f>
        <v/>
      </c>
      <c r="W171" s="62" t="str">
        <f aca="false">IF(ISBLANK($C171),"",IF(M171=Constants!$B$2, TRUE(), IF(M171=Constants!$B$3, FALSE(), FALSE())))</f>
        <v/>
      </c>
      <c r="X171" s="62" t="str">
        <f aca="false">IF(ISBLANK($C171),"",AND(Q171&lt;&gt;"",O171))</f>
        <v/>
      </c>
      <c r="Y171" s="62" t="str">
        <f aca="false">IF(ISBLANK($C171),"",AND(T171&lt;&gt;"",O171))</f>
        <v/>
      </c>
      <c r="Z171" s="62" t="str">
        <f aca="false">IF(ISBLANK($C171),"",IF(W171,Constants!$B$4,IF(COUNTA(E171:L171)=0,Constants!$B$5,IF(NOT(O171),Constants!$B$6,IF(AND(NOT(X171),NOT(Y171)),Constants!$B$6,Constants!$B$7)))))</f>
        <v/>
      </c>
      <c r="AA171" s="62" t="str">
        <f aca="false">IF(ISBLANK($C171),"",IF($Z171&lt;&gt;Constants!$B$7,$Z171,Constants!$B$20))</f>
        <v/>
      </c>
      <c r="AB171" s="62" t="str">
        <f aca="false">IF($Z171=Constants!$B$7,IF(X171,Q171,Constants!$B$13),"")</f>
        <v/>
      </c>
      <c r="AC171" s="62" t="str">
        <f aca="false">IF($Z171=Constants!$B$7,IF(X171,P171*IF(R171, 1, Constants!$B$11)*IF(S171, 1, Constants!$B$12),Constants!$B$13),"")</f>
        <v/>
      </c>
      <c r="AD171" s="62" t="str">
        <f aca="false">IF($Z171=Constants!$B$7,AB171*AC171,"")</f>
        <v/>
      </c>
      <c r="AE171" s="62" t="str">
        <f aca="false">IF($Z171=Constants!$B$7,IF(Y171,T171,Constants!$B$13),"")</f>
        <v/>
      </c>
      <c r="AF171" s="62" t="str">
        <f aca="false">IF($Z171=Constants!$B$7,IF(Y171,P171*IF(U171, 1, Constants!$B$11)*IF(V171, 1, Constants!$B$12),Constants!$B$13),"")</f>
        <v/>
      </c>
      <c r="AG171" s="62" t="str">
        <f aca="false">IF($Z171=Constants!$B$7,AE171*AF171,"")</f>
        <v/>
      </c>
      <c r="AH171" s="62" t="str">
        <f aca="false">IF($Z171=Constants!$B$7,IF(AG171&gt;AD171,2,1),"")</f>
        <v/>
      </c>
      <c r="AI171" s="62" t="str">
        <f aca="false">IF($Z171=Constants!$B$7,IF(AH171=1,2,1),"")</f>
        <v/>
      </c>
      <c r="AJ171" s="62" t="str">
        <f aca="false">IF(ISBLANK($C171),"",IF($Z171&lt;&gt;Constants!$B$7,$Z171,IF(AH171=1,AD171,AG171)))</f>
        <v/>
      </c>
      <c r="AK171" s="62" t="str">
        <f aca="false">IF(ISBLANK($C171),"",IF($Z171=Constants!$B$7,IF(ISNUMBER(AJ171),RANK(AJ171,$AJ$8:$AJ$507),Constants!$B$14),$Z171))</f>
        <v/>
      </c>
      <c r="AL171" s="62" t="str">
        <f aca="false">IF(ISBLANK($C171),"",IF($Z171=Constants!$B$7,IF(AI171=1,AD171,AG171),""))</f>
        <v/>
      </c>
      <c r="AM171" s="62" t="str">
        <f aca="false">IF(ISBLANK($C171),"",IF($Z171=Constants!$B$7,RANK(AL171,$AL$8:$AL$507),$Z171))</f>
        <v/>
      </c>
      <c r="AN171" s="62" t="str">
        <f aca="false">IF(ISBLANK($C171),"",IF($Z171=Constants!$B$7,IF(ISNUMBER(AK171),COUNTIFS($AK$8:$AK$507,"&lt;"&amp;$AK171)+COUNTIFS($AK$8:$AK$507,$AK171,$AM$8:$AM$507,"&lt;"&amp;$AM171)+1,Constants!$B$14),$Z171))</f>
        <v/>
      </c>
      <c r="AO171" s="62" t="str">
        <f aca="false">IF(ISBLANK($C171),"",IF($Z171=Constants!$B$7,IF(ISNUMBER(AK171),AK171-AN171,Constants!$B$14),$Z171))</f>
        <v/>
      </c>
      <c r="AP171" s="64"/>
      <c r="AQ171" s="65" t="str">
        <f aca="false">IF(ISBLANK($C171),"",IF($Z171&lt;&gt;Constants!$B$7,"",AH171))</f>
        <v/>
      </c>
      <c r="AR171" s="80" t="str">
        <f aca="false">IF(ISBLANK($C171),"",IF($Z171&lt;&gt;Constants!$B$7,"",IF(AH171=1,AB171,AE171)))</f>
        <v/>
      </c>
      <c r="AS171" s="67" t="str">
        <f aca="false">IF(ISBLANK($C171),"",IF($Z171&lt;&gt;Constants!$B$7,"",IF(AH171=1,AC171,AF171)))</f>
        <v/>
      </c>
      <c r="AT171" s="68" t="str">
        <f aca="false">IF(ISBLANK($C171),"",IF($Z171&lt;&gt;Constants!$B$7,$Z171,AJ171))</f>
        <v/>
      </c>
      <c r="AU171" s="69" t="str">
        <f aca="false">IF(ISBLANK($C171),"",IF($Z171&lt;&gt;Constants!$B$7,$Z171,AA171))</f>
        <v/>
      </c>
      <c r="AV171" s="70" t="str">
        <f aca="false">IF(ISBLANK($C171),"",AO171)</f>
        <v/>
      </c>
      <c r="AW171" s="70" t="str">
        <f aca="false">IF(ISBLANK($C171),"",AN171)</f>
        <v/>
      </c>
      <c r="AX171" s="71" t="str">
        <f aca="false">IF(ISBLANK($C171),"",IFERROR(_xlfn.SWITCH(AW171,Constants!$B$4,COUNTA($C$8:$C$507)+2,Constants!$B$5,COUNTA($C$8:$C$507)+1,Constants!$B$6,COUNTA($C$8:$C$507)),AW171))</f>
        <v/>
      </c>
      <c r="AY171" s="5"/>
      <c r="AZ171" s="72" t="n">
        <f aca="false">IF(OR(ISNUMBER(AW171),AW171=Constants!$B$4,AW171=Constants!$B$6,AW171=Constants!$B$5),1,0)</f>
        <v>0</v>
      </c>
      <c r="BA171" s="72" t="n">
        <v>164</v>
      </c>
      <c r="BB171" s="72" t="str">
        <f aca="false">IF(ISBLANK($C171),"",IF(ISNUMBER(AX171),AX171+ROW($B171)/1000,""))</f>
        <v/>
      </c>
      <c r="BC171" s="72" t="str">
        <f aca="false">IF(ISNUMBER(BB171),RANK(BB171,$BB$8:$BB$507,1),"")</f>
        <v/>
      </c>
      <c r="BD171" s="72" t="str">
        <f aca="false">IF(ISBLANK($C171),"",$B171)</f>
        <v/>
      </c>
      <c r="BE171" s="72" t="str">
        <f aca="false">IF(ISBLANK($C171),"",$C171)</f>
        <v/>
      </c>
      <c r="BF171" s="72" t="str">
        <f aca="false">IF(ISBLANK($C171),"",$D171)</f>
        <v/>
      </c>
      <c r="BG171" s="73" t="str">
        <f aca="false">AU171</f>
        <v/>
      </c>
      <c r="BH171" s="74" t="str">
        <f aca="false">AT171</f>
        <v/>
      </c>
      <c r="BI171" s="72" t="str">
        <f aca="false">IF(ISBLANK($C171),"",AW171)</f>
        <v/>
      </c>
      <c r="BJ171" s="75" t="str">
        <f aca="false">IF($BA171&gt;$AZ$7,"",VLOOKUP($BA171,$BC$8:$BI$507,7,FALSE()))</f>
        <v/>
      </c>
      <c r="BK171" s="76" t="str">
        <f aca="false">IF($BA171&gt;$AZ$7,"",VLOOKUP($BA171,$BC$8:$BI$507,2,FALSE()))</f>
        <v/>
      </c>
      <c r="BL171" s="76" t="str">
        <f aca="false">IF($BA171&gt;$AZ$7,"",VLOOKUP($BA171,$BC$8:$BI$507,3,FALSE()))</f>
        <v/>
      </c>
      <c r="BM171" s="76" t="str">
        <f aca="false">IF($BA171&gt;$AZ$7,"",VLOOKUP($BA171,$BC$8:$BI$507,4,FALSE()))</f>
        <v/>
      </c>
      <c r="BN171" s="76" t="str">
        <f aca="false">IF($BA171&gt;$AZ$7,"",VLOOKUP($BA171,$BC$8:$BI$507,5,FALSE()))</f>
        <v/>
      </c>
      <c r="BO171" s="77" t="str">
        <f aca="false">IF($BA171&gt;$AZ$7,"",VLOOKUP($BA171,$BC$8:$BI$507,6,FALSE()))</f>
        <v/>
      </c>
      <c r="BP171" s="52"/>
    </row>
    <row r="172" customFormat="false" ht="15.75" hidden="false" customHeight="false" outlineLevel="0" collapsed="false">
      <c r="A172" s="5"/>
      <c r="B172" s="118"/>
      <c r="C172" s="54"/>
      <c r="D172" s="55"/>
      <c r="E172" s="79"/>
      <c r="F172" s="57"/>
      <c r="G172" s="58"/>
      <c r="H172" s="58"/>
      <c r="I172" s="57"/>
      <c r="J172" s="58"/>
      <c r="K172" s="58"/>
      <c r="L172" s="57"/>
      <c r="M172" s="79"/>
      <c r="N172" s="60"/>
      <c r="O172" s="62" t="str">
        <f aca="false">IF(ISBLANK($C172),"",IF(E172=Constants!$B$2, TRUE(), IF(E172=Constants!$B$3, FALSE(), TRUE())))</f>
        <v/>
      </c>
      <c r="P172" s="62" t="str">
        <f aca="false">IF(ISBLANK($C172),"",IF(F172=Constants!$B$16,Constants!$B$9,IF(F172=Constants!$B$17,Constants!$B$10,Constants!$B$8)))</f>
        <v/>
      </c>
      <c r="Q172" s="62" t="str">
        <f aca="false">IF(ISBLANK($C172),"",IF(ISNUMBER(G172),IF(G172&gt;=0,G172,""),""))</f>
        <v/>
      </c>
      <c r="R172" s="62" t="str">
        <f aca="false">IF(ISBLANK($C172),"",IF(H172=Constants!$B$2, TRUE(), IF(H172=Constants!$B$3, FALSE(), TRUE())))</f>
        <v/>
      </c>
      <c r="S172" s="62" t="str">
        <f aca="false">IF(ISBLANK($C172),"",IF(I172=Constants!$B$2, TRUE(), IF(I172=Constants!$B$3, FALSE(), TRUE())))</f>
        <v/>
      </c>
      <c r="T172" s="62" t="str">
        <f aca="false">IF(ISBLANK($C172),"",IF(ISNUMBER(J172),IF(J172&gt;=0,J172,""),""))</f>
        <v/>
      </c>
      <c r="U172" s="62" t="str">
        <f aca="false">IF(ISBLANK($C172),"",IF(K172=Constants!$B$2, TRUE(), IF(K172=Constants!$B$3, FALSE(), TRUE())))</f>
        <v/>
      </c>
      <c r="V172" s="62" t="str">
        <f aca="false">IF(ISBLANK($C172),"",IF(L172=Constants!$B$2, TRUE(), IF(L172=Constants!$B$3, FALSE(), TRUE())))</f>
        <v/>
      </c>
      <c r="W172" s="62" t="str">
        <f aca="false">IF(ISBLANK($C172),"",IF(M172=Constants!$B$2, TRUE(), IF(M172=Constants!$B$3, FALSE(), FALSE())))</f>
        <v/>
      </c>
      <c r="X172" s="62" t="str">
        <f aca="false">IF(ISBLANK($C172),"",AND(Q172&lt;&gt;"",O172))</f>
        <v/>
      </c>
      <c r="Y172" s="62" t="str">
        <f aca="false">IF(ISBLANK($C172),"",AND(T172&lt;&gt;"",O172))</f>
        <v/>
      </c>
      <c r="Z172" s="62" t="str">
        <f aca="false">IF(ISBLANK($C172),"",IF(W172,Constants!$B$4,IF(COUNTA(E172:L172)=0,Constants!$B$5,IF(NOT(O172),Constants!$B$6,IF(AND(NOT(X172),NOT(Y172)),Constants!$B$6,Constants!$B$7)))))</f>
        <v/>
      </c>
      <c r="AA172" s="62" t="str">
        <f aca="false">IF(ISBLANK($C172),"",IF($Z172&lt;&gt;Constants!$B$7,$Z172,Constants!$B$20))</f>
        <v/>
      </c>
      <c r="AB172" s="62" t="str">
        <f aca="false">IF($Z172=Constants!$B$7,IF(X172,Q172,Constants!$B$13),"")</f>
        <v/>
      </c>
      <c r="AC172" s="62" t="str">
        <f aca="false">IF($Z172=Constants!$B$7,IF(X172,P172*IF(R172, 1, Constants!$B$11)*IF(S172, 1, Constants!$B$12),Constants!$B$13),"")</f>
        <v/>
      </c>
      <c r="AD172" s="62" t="str">
        <f aca="false">IF($Z172=Constants!$B$7,AB172*AC172,"")</f>
        <v/>
      </c>
      <c r="AE172" s="62" t="str">
        <f aca="false">IF($Z172=Constants!$B$7,IF(Y172,T172,Constants!$B$13),"")</f>
        <v/>
      </c>
      <c r="AF172" s="62" t="str">
        <f aca="false">IF($Z172=Constants!$B$7,IF(Y172,P172*IF(U172, 1, Constants!$B$11)*IF(V172, 1, Constants!$B$12),Constants!$B$13),"")</f>
        <v/>
      </c>
      <c r="AG172" s="62" t="str">
        <f aca="false">IF($Z172=Constants!$B$7,AE172*AF172,"")</f>
        <v/>
      </c>
      <c r="AH172" s="62" t="str">
        <f aca="false">IF($Z172=Constants!$B$7,IF(AG172&gt;AD172,2,1),"")</f>
        <v/>
      </c>
      <c r="AI172" s="62" t="str">
        <f aca="false">IF($Z172=Constants!$B$7,IF(AH172=1,2,1),"")</f>
        <v/>
      </c>
      <c r="AJ172" s="62" t="str">
        <f aca="false">IF(ISBLANK($C172),"",IF($Z172&lt;&gt;Constants!$B$7,$Z172,IF(AH172=1,AD172,AG172)))</f>
        <v/>
      </c>
      <c r="AK172" s="62" t="str">
        <f aca="false">IF(ISBLANK($C172),"",IF($Z172=Constants!$B$7,IF(ISNUMBER(AJ172),RANK(AJ172,$AJ$8:$AJ$507),Constants!$B$14),$Z172))</f>
        <v/>
      </c>
      <c r="AL172" s="62" t="str">
        <f aca="false">IF(ISBLANK($C172),"",IF($Z172=Constants!$B$7,IF(AI172=1,AD172,AG172),""))</f>
        <v/>
      </c>
      <c r="AM172" s="62" t="str">
        <f aca="false">IF(ISBLANK($C172),"",IF($Z172=Constants!$B$7,RANK(AL172,$AL$8:$AL$507),$Z172))</f>
        <v/>
      </c>
      <c r="AN172" s="62" t="str">
        <f aca="false">IF(ISBLANK($C172),"",IF($Z172=Constants!$B$7,IF(ISNUMBER(AK172),COUNTIFS($AK$8:$AK$507,"&lt;"&amp;$AK172)+COUNTIFS($AK$8:$AK$507,$AK172,$AM$8:$AM$507,"&lt;"&amp;$AM172)+1,Constants!$B$14),$Z172))</f>
        <v/>
      </c>
      <c r="AO172" s="62" t="str">
        <f aca="false">IF(ISBLANK($C172),"",IF($Z172=Constants!$B$7,IF(ISNUMBER(AK172),AK172-AN172,Constants!$B$14),$Z172))</f>
        <v/>
      </c>
      <c r="AP172" s="64"/>
      <c r="AQ172" s="65" t="str">
        <f aca="false">IF(ISBLANK($C172),"",IF($Z172&lt;&gt;Constants!$B$7,"",AH172))</f>
        <v/>
      </c>
      <c r="AR172" s="80" t="str">
        <f aca="false">IF(ISBLANK($C172),"",IF($Z172&lt;&gt;Constants!$B$7,"",IF(AH172=1,AB172,AE172)))</f>
        <v/>
      </c>
      <c r="AS172" s="67" t="str">
        <f aca="false">IF(ISBLANK($C172),"",IF($Z172&lt;&gt;Constants!$B$7,"",IF(AH172=1,AC172,AF172)))</f>
        <v/>
      </c>
      <c r="AT172" s="68" t="str">
        <f aca="false">IF(ISBLANK($C172),"",IF($Z172&lt;&gt;Constants!$B$7,$Z172,AJ172))</f>
        <v/>
      </c>
      <c r="AU172" s="69" t="str">
        <f aca="false">IF(ISBLANK($C172),"",IF($Z172&lt;&gt;Constants!$B$7,$Z172,AA172))</f>
        <v/>
      </c>
      <c r="AV172" s="70" t="str">
        <f aca="false">IF(ISBLANK($C172),"",AO172)</f>
        <v/>
      </c>
      <c r="AW172" s="70" t="str">
        <f aca="false">IF(ISBLANK($C172),"",AN172)</f>
        <v/>
      </c>
      <c r="AX172" s="71" t="str">
        <f aca="false">IF(ISBLANK($C172),"",IFERROR(_xlfn.SWITCH(AW172,Constants!$B$4,COUNTA($C$8:$C$507)+2,Constants!$B$5,COUNTA($C$8:$C$507)+1,Constants!$B$6,COUNTA($C$8:$C$507)),AW172))</f>
        <v/>
      </c>
      <c r="AY172" s="5"/>
      <c r="AZ172" s="72" t="n">
        <f aca="false">IF(OR(ISNUMBER(AW172),AW172=Constants!$B$4,AW172=Constants!$B$6,AW172=Constants!$B$5),1,0)</f>
        <v>0</v>
      </c>
      <c r="BA172" s="72" t="n">
        <v>165</v>
      </c>
      <c r="BB172" s="72" t="str">
        <f aca="false">IF(ISBLANK($C172),"",IF(ISNUMBER(AX172),AX172+ROW($B172)/1000,""))</f>
        <v/>
      </c>
      <c r="BC172" s="72" t="str">
        <f aca="false">IF(ISNUMBER(BB172),RANK(BB172,$BB$8:$BB$507,1),"")</f>
        <v/>
      </c>
      <c r="BD172" s="72" t="str">
        <f aca="false">IF(ISBLANK($C172),"",$B172)</f>
        <v/>
      </c>
      <c r="BE172" s="72" t="str">
        <f aca="false">IF(ISBLANK($C172),"",$C172)</f>
        <v/>
      </c>
      <c r="BF172" s="72" t="str">
        <f aca="false">IF(ISBLANK($C172),"",$D172)</f>
        <v/>
      </c>
      <c r="BG172" s="73" t="str">
        <f aca="false">AU172</f>
        <v/>
      </c>
      <c r="BH172" s="74" t="str">
        <f aca="false">AT172</f>
        <v/>
      </c>
      <c r="BI172" s="72" t="str">
        <f aca="false">IF(ISBLANK($C172),"",AW172)</f>
        <v/>
      </c>
      <c r="BJ172" s="75" t="str">
        <f aca="false">IF($BA172&gt;$AZ$7,"",VLOOKUP($BA172,$BC$8:$BI$507,7,FALSE()))</f>
        <v/>
      </c>
      <c r="BK172" s="76" t="str">
        <f aca="false">IF($BA172&gt;$AZ$7,"",VLOOKUP($BA172,$BC$8:$BI$507,2,FALSE()))</f>
        <v/>
      </c>
      <c r="BL172" s="76" t="str">
        <f aca="false">IF($BA172&gt;$AZ$7,"",VLOOKUP($BA172,$BC$8:$BI$507,3,FALSE()))</f>
        <v/>
      </c>
      <c r="BM172" s="76" t="str">
        <f aca="false">IF($BA172&gt;$AZ$7,"",VLOOKUP($BA172,$BC$8:$BI$507,4,FALSE()))</f>
        <v/>
      </c>
      <c r="BN172" s="76" t="str">
        <f aca="false">IF($BA172&gt;$AZ$7,"",VLOOKUP($BA172,$BC$8:$BI$507,5,FALSE()))</f>
        <v/>
      </c>
      <c r="BO172" s="77" t="str">
        <f aca="false">IF($BA172&gt;$AZ$7,"",VLOOKUP($BA172,$BC$8:$BI$507,6,FALSE()))</f>
        <v/>
      </c>
      <c r="BP172" s="52"/>
    </row>
    <row r="173" customFormat="false" ht="15.75" hidden="false" customHeight="false" outlineLevel="0" collapsed="false">
      <c r="A173" s="5"/>
      <c r="B173" s="114"/>
      <c r="C173" s="115"/>
      <c r="D173" s="106"/>
      <c r="E173" s="117"/>
      <c r="F173" s="87"/>
      <c r="G173" s="88"/>
      <c r="H173" s="88"/>
      <c r="I173" s="87"/>
      <c r="J173" s="88"/>
      <c r="K173" s="88"/>
      <c r="L173" s="87"/>
      <c r="M173" s="117"/>
      <c r="N173" s="90"/>
      <c r="O173" s="91" t="str">
        <f aca="false">IF(ISBLANK($C173),"",IF(E173=Constants!$B$2, TRUE(), IF(E173=Constants!$B$3, FALSE(), TRUE())))</f>
        <v/>
      </c>
      <c r="P173" s="91" t="str">
        <f aca="false">IF(ISBLANK($C173),"",IF(F173=Constants!$B$16,Constants!$B$9,IF(F173=Constants!$B$17,Constants!$B$10,Constants!$B$8)))</f>
        <v/>
      </c>
      <c r="Q173" s="91" t="str">
        <f aca="false">IF(ISBLANK($C173),"",IF(ISNUMBER(G173),IF(G173&gt;=0,G173,""),""))</f>
        <v/>
      </c>
      <c r="R173" s="91" t="str">
        <f aca="false">IF(ISBLANK($C173),"",IF(H173=Constants!$B$2, TRUE(), IF(H173=Constants!$B$3, FALSE(), TRUE())))</f>
        <v/>
      </c>
      <c r="S173" s="91" t="str">
        <f aca="false">IF(ISBLANK($C173),"",IF(I173=Constants!$B$2, TRUE(), IF(I173=Constants!$B$3, FALSE(), TRUE())))</f>
        <v/>
      </c>
      <c r="T173" s="91" t="str">
        <f aca="false">IF(ISBLANK($C173),"",IF(ISNUMBER(J173),IF(J173&gt;=0,J173,""),""))</f>
        <v/>
      </c>
      <c r="U173" s="91" t="str">
        <f aca="false">IF(ISBLANK($C173),"",IF(K173=Constants!$B$2, TRUE(), IF(K173=Constants!$B$3, FALSE(), TRUE())))</f>
        <v/>
      </c>
      <c r="V173" s="91" t="str">
        <f aca="false">IF(ISBLANK($C173),"",IF(L173=Constants!$B$2, TRUE(), IF(L173=Constants!$B$3, FALSE(), TRUE())))</f>
        <v/>
      </c>
      <c r="W173" s="91" t="str">
        <f aca="false">IF(ISBLANK($C173),"",IF(M173=Constants!$B$2, TRUE(), IF(M173=Constants!$B$3, FALSE(), FALSE())))</f>
        <v/>
      </c>
      <c r="X173" s="91" t="str">
        <f aca="false">IF(ISBLANK($C173),"",AND(Q173&lt;&gt;"",O173))</f>
        <v/>
      </c>
      <c r="Y173" s="91" t="str">
        <f aca="false">IF(ISBLANK($C173),"",AND(T173&lt;&gt;"",O173))</f>
        <v/>
      </c>
      <c r="Z173" s="91" t="str">
        <f aca="false">IF(ISBLANK($C173),"",IF(W173,Constants!$B$4,IF(COUNTA(E173:L173)=0,Constants!$B$5,IF(NOT(O173),Constants!$B$6,IF(AND(NOT(X173),NOT(Y173)),Constants!$B$6,Constants!$B$7)))))</f>
        <v/>
      </c>
      <c r="AA173" s="91" t="str">
        <f aca="false">IF(ISBLANK($C173),"",IF($Z173&lt;&gt;Constants!$B$7,$Z173,Constants!$B$20))</f>
        <v/>
      </c>
      <c r="AB173" s="91" t="str">
        <f aca="false">IF($Z173=Constants!$B$7,IF(X173,Q173,Constants!$B$13),"")</f>
        <v/>
      </c>
      <c r="AC173" s="91" t="str">
        <f aca="false">IF($Z173=Constants!$B$7,IF(X173,P173*IF(R173, 1, Constants!$B$11)*IF(S173, 1, Constants!$B$12),Constants!$B$13),"")</f>
        <v/>
      </c>
      <c r="AD173" s="91" t="str">
        <f aca="false">IF($Z173=Constants!$B$7,AB173*AC173,"")</f>
        <v/>
      </c>
      <c r="AE173" s="91" t="str">
        <f aca="false">IF($Z173=Constants!$B$7,IF(Y173,T173,Constants!$B$13),"")</f>
        <v/>
      </c>
      <c r="AF173" s="91" t="str">
        <f aca="false">IF($Z173=Constants!$B$7,IF(Y173,P173*IF(U173, 1, Constants!$B$11)*IF(V173, 1, Constants!$B$12),Constants!$B$13),"")</f>
        <v/>
      </c>
      <c r="AG173" s="91" t="str">
        <f aca="false">IF($Z173=Constants!$B$7,AE173*AF173,"")</f>
        <v/>
      </c>
      <c r="AH173" s="91" t="str">
        <f aca="false">IF($Z173=Constants!$B$7,IF(AG173&gt;AD173,2,1),"")</f>
        <v/>
      </c>
      <c r="AI173" s="91" t="str">
        <f aca="false">IF($Z173=Constants!$B$7,IF(AH173=1,2,1),"")</f>
        <v/>
      </c>
      <c r="AJ173" s="91" t="str">
        <f aca="false">IF(ISBLANK($C173),"",IF($Z173&lt;&gt;Constants!$B$7,$Z173,IF(AH173=1,AD173,AG173)))</f>
        <v/>
      </c>
      <c r="AK173" s="91" t="str">
        <f aca="false">IF(ISBLANK($C173),"",IF($Z173=Constants!$B$7,IF(ISNUMBER(AJ173),RANK(AJ173,$AJ$8:$AJ$507),Constants!$B$14),$Z173))</f>
        <v/>
      </c>
      <c r="AL173" s="91" t="str">
        <f aca="false">IF(ISBLANK($C173),"",IF($Z173=Constants!$B$7,IF(AI173=1,AD173,AG173),""))</f>
        <v/>
      </c>
      <c r="AM173" s="91" t="str">
        <f aca="false">IF(ISBLANK($C173),"",IF($Z173=Constants!$B$7,RANK(AL173,$AL$8:$AL$507),$Z173))</f>
        <v/>
      </c>
      <c r="AN173" s="91" t="str">
        <f aca="false">IF(ISBLANK($C173),"",IF($Z173=Constants!$B$7,IF(ISNUMBER(AK173),COUNTIFS($AK$8:$AK$507,"&lt;"&amp;$AK173)+COUNTIFS($AK$8:$AK$507,$AK173,$AM$8:$AM$507,"&lt;"&amp;$AM173)+1,Constants!$B$14),$Z173))</f>
        <v/>
      </c>
      <c r="AO173" s="91" t="str">
        <f aca="false">IF(ISBLANK($C173),"",IF($Z173=Constants!$B$7,IF(ISNUMBER(AK173),AK173-AN173,Constants!$B$14),$Z173))</f>
        <v/>
      </c>
      <c r="AP173" s="92"/>
      <c r="AQ173" s="93" t="str">
        <f aca="false">IF(ISBLANK($C173),"",IF($Z173&lt;&gt;Constants!$B$7,"",AH173))</f>
        <v/>
      </c>
      <c r="AR173" s="94" t="str">
        <f aca="false">IF(ISBLANK($C173),"",IF($Z173&lt;&gt;Constants!$B$7,"",IF(AH173=1,AB173,AE173)))</f>
        <v/>
      </c>
      <c r="AS173" s="95" t="str">
        <f aca="false">IF(ISBLANK($C173),"",IF($Z173&lt;&gt;Constants!$B$7,"",IF(AH173=1,AC173,AF173)))</f>
        <v/>
      </c>
      <c r="AT173" s="96" t="str">
        <f aca="false">IF(ISBLANK($C173),"",IF($Z173&lt;&gt;Constants!$B$7,$Z173,AJ173))</f>
        <v/>
      </c>
      <c r="AU173" s="97" t="str">
        <f aca="false">IF(ISBLANK($C173),"",IF($Z173&lt;&gt;Constants!$B$7,$Z173,AA173))</f>
        <v/>
      </c>
      <c r="AV173" s="98" t="str">
        <f aca="false">IF(ISBLANK($C173),"",AO173)</f>
        <v/>
      </c>
      <c r="AW173" s="98" t="str">
        <f aca="false">IF(ISBLANK($C173),"",AN173)</f>
        <v/>
      </c>
      <c r="AX173" s="99" t="str">
        <f aca="false">IF(ISBLANK($C173),"",IFERROR(_xlfn.SWITCH(AW173,Constants!$B$4,COUNTA($C$8:$C$507)+2,Constants!$B$5,COUNTA($C$8:$C$507)+1,Constants!$B$6,COUNTA($C$8:$C$507)),AW173))</f>
        <v/>
      </c>
      <c r="AY173" s="5"/>
      <c r="AZ173" s="100" t="n">
        <f aca="false">IF(OR(ISNUMBER(AW173),AW173=Constants!$B$4,AW173=Constants!$B$6,AW173=Constants!$B$5),1,0)</f>
        <v>0</v>
      </c>
      <c r="BA173" s="100" t="n">
        <v>166</v>
      </c>
      <c r="BB173" s="100" t="str">
        <f aca="false">IF(ISBLANK($C173),"",IF(ISNUMBER(AX173),AX173+ROW($B173)/1000,""))</f>
        <v/>
      </c>
      <c r="BC173" s="100" t="str">
        <f aca="false">IF(ISNUMBER(BB173),RANK(BB173,$BB$8:$BB$507,1),"")</f>
        <v/>
      </c>
      <c r="BD173" s="100" t="str">
        <f aca="false">IF(ISBLANK($C173),"",$B173)</f>
        <v/>
      </c>
      <c r="BE173" s="100" t="str">
        <f aca="false">IF(ISBLANK($C173),"",$C173)</f>
        <v/>
      </c>
      <c r="BF173" s="100" t="str">
        <f aca="false">IF(ISBLANK($C173),"",$D173)</f>
        <v/>
      </c>
      <c r="BG173" s="101" t="str">
        <f aca="false">AU173</f>
        <v/>
      </c>
      <c r="BH173" s="102" t="str">
        <f aca="false">AT173</f>
        <v/>
      </c>
      <c r="BI173" s="100" t="str">
        <f aca="false">IF(ISBLANK($C173),"",AW173)</f>
        <v/>
      </c>
      <c r="BJ173" s="103" t="str">
        <f aca="false">IF($BA173&gt;$AZ$7,"",VLOOKUP($BA173,$BC$8:$BI$507,7,FALSE()))</f>
        <v/>
      </c>
      <c r="BK173" s="104" t="str">
        <f aca="false">IF($BA173&gt;$AZ$7,"",VLOOKUP($BA173,$BC$8:$BI$507,2,FALSE()))</f>
        <v/>
      </c>
      <c r="BL173" s="104" t="str">
        <f aca="false">IF($BA173&gt;$AZ$7,"",VLOOKUP($BA173,$BC$8:$BI$507,3,FALSE()))</f>
        <v/>
      </c>
      <c r="BM173" s="104" t="str">
        <f aca="false">IF($BA173&gt;$AZ$7,"",VLOOKUP($BA173,$BC$8:$BI$507,4,FALSE()))</f>
        <v/>
      </c>
      <c r="BN173" s="104" t="str">
        <f aca="false">IF($BA173&gt;$AZ$7,"",VLOOKUP($BA173,$BC$8:$BI$507,5,FALSE()))</f>
        <v/>
      </c>
      <c r="BO173" s="105" t="str">
        <f aca="false">IF($BA173&gt;$AZ$7,"",VLOOKUP($BA173,$BC$8:$BI$507,6,FALSE()))</f>
        <v/>
      </c>
      <c r="BP173" s="52"/>
    </row>
    <row r="174" customFormat="false" ht="15.75" hidden="false" customHeight="false" outlineLevel="0" collapsed="false">
      <c r="A174" s="5"/>
      <c r="B174" s="114"/>
      <c r="C174" s="115"/>
      <c r="D174" s="106"/>
      <c r="E174" s="117"/>
      <c r="F174" s="87"/>
      <c r="G174" s="88"/>
      <c r="H174" s="88"/>
      <c r="I174" s="87"/>
      <c r="J174" s="88"/>
      <c r="K174" s="88"/>
      <c r="L174" s="87"/>
      <c r="M174" s="117"/>
      <c r="N174" s="90"/>
      <c r="O174" s="91" t="str">
        <f aca="false">IF(ISBLANK($C174),"",IF(E174=Constants!$B$2, TRUE(), IF(E174=Constants!$B$3, FALSE(), TRUE())))</f>
        <v/>
      </c>
      <c r="P174" s="91" t="str">
        <f aca="false">IF(ISBLANK($C174),"",IF(F174=Constants!$B$16,Constants!$B$9,IF(F174=Constants!$B$17,Constants!$B$10,Constants!$B$8)))</f>
        <v/>
      </c>
      <c r="Q174" s="91" t="str">
        <f aca="false">IF(ISBLANK($C174),"",IF(ISNUMBER(G174),IF(G174&gt;=0,G174,""),""))</f>
        <v/>
      </c>
      <c r="R174" s="91" t="str">
        <f aca="false">IF(ISBLANK($C174),"",IF(H174=Constants!$B$2, TRUE(), IF(H174=Constants!$B$3, FALSE(), TRUE())))</f>
        <v/>
      </c>
      <c r="S174" s="91" t="str">
        <f aca="false">IF(ISBLANK($C174),"",IF(I174=Constants!$B$2, TRUE(), IF(I174=Constants!$B$3, FALSE(), TRUE())))</f>
        <v/>
      </c>
      <c r="T174" s="91" t="str">
        <f aca="false">IF(ISBLANK($C174),"",IF(ISNUMBER(J174),IF(J174&gt;=0,J174,""),""))</f>
        <v/>
      </c>
      <c r="U174" s="91" t="str">
        <f aca="false">IF(ISBLANK($C174),"",IF(K174=Constants!$B$2, TRUE(), IF(K174=Constants!$B$3, FALSE(), TRUE())))</f>
        <v/>
      </c>
      <c r="V174" s="91" t="str">
        <f aca="false">IF(ISBLANK($C174),"",IF(L174=Constants!$B$2, TRUE(), IF(L174=Constants!$B$3, FALSE(), TRUE())))</f>
        <v/>
      </c>
      <c r="W174" s="91" t="str">
        <f aca="false">IF(ISBLANK($C174),"",IF(M174=Constants!$B$2, TRUE(), IF(M174=Constants!$B$3, FALSE(), FALSE())))</f>
        <v/>
      </c>
      <c r="X174" s="91" t="str">
        <f aca="false">IF(ISBLANK($C174),"",AND(Q174&lt;&gt;"",O174))</f>
        <v/>
      </c>
      <c r="Y174" s="91" t="str">
        <f aca="false">IF(ISBLANK($C174),"",AND(T174&lt;&gt;"",O174))</f>
        <v/>
      </c>
      <c r="Z174" s="91" t="str">
        <f aca="false">IF(ISBLANK($C174),"",IF(W174,Constants!$B$4,IF(COUNTA(E174:L174)=0,Constants!$B$5,IF(NOT(O174),Constants!$B$6,IF(AND(NOT(X174),NOT(Y174)),Constants!$B$6,Constants!$B$7)))))</f>
        <v/>
      </c>
      <c r="AA174" s="91" t="str">
        <f aca="false">IF(ISBLANK($C174),"",IF($Z174&lt;&gt;Constants!$B$7,$Z174,Constants!$B$20))</f>
        <v/>
      </c>
      <c r="AB174" s="91" t="str">
        <f aca="false">IF($Z174=Constants!$B$7,IF(X174,Q174,Constants!$B$13),"")</f>
        <v/>
      </c>
      <c r="AC174" s="91" t="str">
        <f aca="false">IF($Z174=Constants!$B$7,IF(X174,P174*IF(R174, 1, Constants!$B$11)*IF(S174, 1, Constants!$B$12),Constants!$B$13),"")</f>
        <v/>
      </c>
      <c r="AD174" s="91" t="str">
        <f aca="false">IF($Z174=Constants!$B$7,AB174*AC174,"")</f>
        <v/>
      </c>
      <c r="AE174" s="91" t="str">
        <f aca="false">IF($Z174=Constants!$B$7,IF(Y174,T174,Constants!$B$13),"")</f>
        <v/>
      </c>
      <c r="AF174" s="91" t="str">
        <f aca="false">IF($Z174=Constants!$B$7,IF(Y174,P174*IF(U174, 1, Constants!$B$11)*IF(V174, 1, Constants!$B$12),Constants!$B$13),"")</f>
        <v/>
      </c>
      <c r="AG174" s="91" t="str">
        <f aca="false">IF($Z174=Constants!$B$7,AE174*AF174,"")</f>
        <v/>
      </c>
      <c r="AH174" s="91" t="str">
        <f aca="false">IF($Z174=Constants!$B$7,IF(AG174&gt;AD174,2,1),"")</f>
        <v/>
      </c>
      <c r="AI174" s="91" t="str">
        <f aca="false">IF($Z174=Constants!$B$7,IF(AH174=1,2,1),"")</f>
        <v/>
      </c>
      <c r="AJ174" s="91" t="str">
        <f aca="false">IF(ISBLANK($C174),"",IF($Z174&lt;&gt;Constants!$B$7,$Z174,IF(AH174=1,AD174,AG174)))</f>
        <v/>
      </c>
      <c r="AK174" s="91" t="str">
        <f aca="false">IF(ISBLANK($C174),"",IF($Z174=Constants!$B$7,IF(ISNUMBER(AJ174),RANK(AJ174,$AJ$8:$AJ$507),Constants!$B$14),$Z174))</f>
        <v/>
      </c>
      <c r="AL174" s="91" t="str">
        <f aca="false">IF(ISBLANK($C174),"",IF($Z174=Constants!$B$7,IF(AI174=1,AD174,AG174),""))</f>
        <v/>
      </c>
      <c r="AM174" s="91" t="str">
        <f aca="false">IF(ISBLANK($C174),"",IF($Z174=Constants!$B$7,RANK(AL174,$AL$8:$AL$507),$Z174))</f>
        <v/>
      </c>
      <c r="AN174" s="91" t="str">
        <f aca="false">IF(ISBLANK($C174),"",IF($Z174=Constants!$B$7,IF(ISNUMBER(AK174),COUNTIFS($AK$8:$AK$507,"&lt;"&amp;$AK174)+COUNTIFS($AK$8:$AK$507,$AK174,$AM$8:$AM$507,"&lt;"&amp;$AM174)+1,Constants!$B$14),$Z174))</f>
        <v/>
      </c>
      <c r="AO174" s="91" t="str">
        <f aca="false">IF(ISBLANK($C174),"",IF($Z174=Constants!$B$7,IF(ISNUMBER(AK174),AK174-AN174,Constants!$B$14),$Z174))</f>
        <v/>
      </c>
      <c r="AP174" s="92"/>
      <c r="AQ174" s="93" t="str">
        <f aca="false">IF(ISBLANK($C174),"",IF($Z174&lt;&gt;Constants!$B$7,"",AH174))</f>
        <v/>
      </c>
      <c r="AR174" s="94" t="str">
        <f aca="false">IF(ISBLANK($C174),"",IF($Z174&lt;&gt;Constants!$B$7,"",IF(AH174=1,AB174,AE174)))</f>
        <v/>
      </c>
      <c r="AS174" s="95" t="str">
        <f aca="false">IF(ISBLANK($C174),"",IF($Z174&lt;&gt;Constants!$B$7,"",IF(AH174=1,AC174,AF174)))</f>
        <v/>
      </c>
      <c r="AT174" s="96" t="str">
        <f aca="false">IF(ISBLANK($C174),"",IF($Z174&lt;&gt;Constants!$B$7,$Z174,AJ174))</f>
        <v/>
      </c>
      <c r="AU174" s="97" t="str">
        <f aca="false">IF(ISBLANK($C174),"",IF($Z174&lt;&gt;Constants!$B$7,$Z174,AA174))</f>
        <v/>
      </c>
      <c r="AV174" s="98" t="str">
        <f aca="false">IF(ISBLANK($C174),"",AO174)</f>
        <v/>
      </c>
      <c r="AW174" s="98" t="str">
        <f aca="false">IF(ISBLANK($C174),"",AN174)</f>
        <v/>
      </c>
      <c r="AX174" s="99" t="str">
        <f aca="false">IF(ISBLANK($C174),"",IFERROR(_xlfn.SWITCH(AW174,Constants!$B$4,COUNTA($C$8:$C$507)+2,Constants!$B$5,COUNTA($C$8:$C$507)+1,Constants!$B$6,COUNTA($C$8:$C$507)),AW174))</f>
        <v/>
      </c>
      <c r="AY174" s="5"/>
      <c r="AZ174" s="100" t="n">
        <f aca="false">IF(OR(ISNUMBER(AW174),AW174=Constants!$B$4,AW174=Constants!$B$6,AW174=Constants!$B$5),1,0)</f>
        <v>0</v>
      </c>
      <c r="BA174" s="100" t="n">
        <v>167</v>
      </c>
      <c r="BB174" s="100" t="str">
        <f aca="false">IF(ISBLANK($C174),"",IF(ISNUMBER(AX174),AX174+ROW($B174)/1000,""))</f>
        <v/>
      </c>
      <c r="BC174" s="100" t="str">
        <f aca="false">IF(ISNUMBER(BB174),RANK(BB174,$BB$8:$BB$507,1),"")</f>
        <v/>
      </c>
      <c r="BD174" s="100" t="str">
        <f aca="false">IF(ISBLANK($C174),"",$B174)</f>
        <v/>
      </c>
      <c r="BE174" s="100" t="str">
        <f aca="false">IF(ISBLANK($C174),"",$C174)</f>
        <v/>
      </c>
      <c r="BF174" s="100" t="str">
        <f aca="false">IF(ISBLANK($C174),"",$D174)</f>
        <v/>
      </c>
      <c r="BG174" s="101" t="str">
        <f aca="false">AU174</f>
        <v/>
      </c>
      <c r="BH174" s="102" t="str">
        <f aca="false">AT174</f>
        <v/>
      </c>
      <c r="BI174" s="100" t="str">
        <f aca="false">IF(ISBLANK($C174),"",AW174)</f>
        <v/>
      </c>
      <c r="BJ174" s="103" t="str">
        <f aca="false">IF($BA174&gt;$AZ$7,"",VLOOKUP($BA174,$BC$8:$BI$507,7,FALSE()))</f>
        <v/>
      </c>
      <c r="BK174" s="104" t="str">
        <f aca="false">IF($BA174&gt;$AZ$7,"",VLOOKUP($BA174,$BC$8:$BI$507,2,FALSE()))</f>
        <v/>
      </c>
      <c r="BL174" s="104" t="str">
        <f aca="false">IF($BA174&gt;$AZ$7,"",VLOOKUP($BA174,$BC$8:$BI$507,3,FALSE()))</f>
        <v/>
      </c>
      <c r="BM174" s="104" t="str">
        <f aca="false">IF($BA174&gt;$AZ$7,"",VLOOKUP($BA174,$BC$8:$BI$507,4,FALSE()))</f>
        <v/>
      </c>
      <c r="BN174" s="104" t="str">
        <f aca="false">IF($BA174&gt;$AZ$7,"",VLOOKUP($BA174,$BC$8:$BI$507,5,FALSE()))</f>
        <v/>
      </c>
      <c r="BO174" s="105" t="str">
        <f aca="false">IF($BA174&gt;$AZ$7,"",VLOOKUP($BA174,$BC$8:$BI$507,6,FALSE()))</f>
        <v/>
      </c>
      <c r="BP174" s="52"/>
    </row>
    <row r="175" customFormat="false" ht="15.75" hidden="false" customHeight="false" outlineLevel="0" collapsed="false">
      <c r="A175" s="5"/>
      <c r="B175" s="114"/>
      <c r="C175" s="115"/>
      <c r="D175" s="106"/>
      <c r="E175" s="117"/>
      <c r="F175" s="87"/>
      <c r="G175" s="88"/>
      <c r="H175" s="88"/>
      <c r="I175" s="87"/>
      <c r="J175" s="88"/>
      <c r="K175" s="88"/>
      <c r="L175" s="87"/>
      <c r="M175" s="117"/>
      <c r="N175" s="90"/>
      <c r="O175" s="91" t="str">
        <f aca="false">IF(ISBLANK($C175),"",IF(E175=Constants!$B$2, TRUE(), IF(E175=Constants!$B$3, FALSE(), TRUE())))</f>
        <v/>
      </c>
      <c r="P175" s="91" t="str">
        <f aca="false">IF(ISBLANK($C175),"",IF(F175=Constants!$B$16,Constants!$B$9,IF(F175=Constants!$B$17,Constants!$B$10,Constants!$B$8)))</f>
        <v/>
      </c>
      <c r="Q175" s="91" t="str">
        <f aca="false">IF(ISBLANK($C175),"",IF(ISNUMBER(G175),IF(G175&gt;=0,G175,""),""))</f>
        <v/>
      </c>
      <c r="R175" s="91" t="str">
        <f aca="false">IF(ISBLANK($C175),"",IF(H175=Constants!$B$2, TRUE(), IF(H175=Constants!$B$3, FALSE(), TRUE())))</f>
        <v/>
      </c>
      <c r="S175" s="91" t="str">
        <f aca="false">IF(ISBLANK($C175),"",IF(I175=Constants!$B$2, TRUE(), IF(I175=Constants!$B$3, FALSE(), TRUE())))</f>
        <v/>
      </c>
      <c r="T175" s="91" t="str">
        <f aca="false">IF(ISBLANK($C175),"",IF(ISNUMBER(J175),IF(J175&gt;=0,J175,""),""))</f>
        <v/>
      </c>
      <c r="U175" s="91" t="str">
        <f aca="false">IF(ISBLANK($C175),"",IF(K175=Constants!$B$2, TRUE(), IF(K175=Constants!$B$3, FALSE(), TRUE())))</f>
        <v/>
      </c>
      <c r="V175" s="91" t="str">
        <f aca="false">IF(ISBLANK($C175),"",IF(L175=Constants!$B$2, TRUE(), IF(L175=Constants!$B$3, FALSE(), TRUE())))</f>
        <v/>
      </c>
      <c r="W175" s="91" t="str">
        <f aca="false">IF(ISBLANK($C175),"",IF(M175=Constants!$B$2, TRUE(), IF(M175=Constants!$B$3, FALSE(), FALSE())))</f>
        <v/>
      </c>
      <c r="X175" s="91" t="str">
        <f aca="false">IF(ISBLANK($C175),"",AND(Q175&lt;&gt;"",O175))</f>
        <v/>
      </c>
      <c r="Y175" s="91" t="str">
        <f aca="false">IF(ISBLANK($C175),"",AND(T175&lt;&gt;"",O175))</f>
        <v/>
      </c>
      <c r="Z175" s="91" t="str">
        <f aca="false">IF(ISBLANK($C175),"",IF(W175,Constants!$B$4,IF(COUNTA(E175:L175)=0,Constants!$B$5,IF(NOT(O175),Constants!$B$6,IF(AND(NOT(X175),NOT(Y175)),Constants!$B$6,Constants!$B$7)))))</f>
        <v/>
      </c>
      <c r="AA175" s="91" t="str">
        <f aca="false">IF(ISBLANK($C175),"",IF($Z175&lt;&gt;Constants!$B$7,$Z175,Constants!$B$20))</f>
        <v/>
      </c>
      <c r="AB175" s="91" t="str">
        <f aca="false">IF($Z175=Constants!$B$7,IF(X175,Q175,Constants!$B$13),"")</f>
        <v/>
      </c>
      <c r="AC175" s="91" t="str">
        <f aca="false">IF($Z175=Constants!$B$7,IF(X175,P175*IF(R175, 1, Constants!$B$11)*IF(S175, 1, Constants!$B$12),Constants!$B$13),"")</f>
        <v/>
      </c>
      <c r="AD175" s="91" t="str">
        <f aca="false">IF($Z175=Constants!$B$7,AB175*AC175,"")</f>
        <v/>
      </c>
      <c r="AE175" s="91" t="str">
        <f aca="false">IF($Z175=Constants!$B$7,IF(Y175,T175,Constants!$B$13),"")</f>
        <v/>
      </c>
      <c r="AF175" s="91" t="str">
        <f aca="false">IF($Z175=Constants!$B$7,IF(Y175,P175*IF(U175, 1, Constants!$B$11)*IF(V175, 1, Constants!$B$12),Constants!$B$13),"")</f>
        <v/>
      </c>
      <c r="AG175" s="91" t="str">
        <f aca="false">IF($Z175=Constants!$B$7,AE175*AF175,"")</f>
        <v/>
      </c>
      <c r="AH175" s="91" t="str">
        <f aca="false">IF($Z175=Constants!$B$7,IF(AG175&gt;AD175,2,1),"")</f>
        <v/>
      </c>
      <c r="AI175" s="91" t="str">
        <f aca="false">IF($Z175=Constants!$B$7,IF(AH175=1,2,1),"")</f>
        <v/>
      </c>
      <c r="AJ175" s="91" t="str">
        <f aca="false">IF(ISBLANK($C175),"",IF($Z175&lt;&gt;Constants!$B$7,$Z175,IF(AH175=1,AD175,AG175)))</f>
        <v/>
      </c>
      <c r="AK175" s="91" t="str">
        <f aca="false">IF(ISBLANK($C175),"",IF($Z175=Constants!$B$7,IF(ISNUMBER(AJ175),RANK(AJ175,$AJ$8:$AJ$507),Constants!$B$14),$Z175))</f>
        <v/>
      </c>
      <c r="AL175" s="91" t="str">
        <f aca="false">IF(ISBLANK($C175),"",IF($Z175=Constants!$B$7,IF(AI175=1,AD175,AG175),""))</f>
        <v/>
      </c>
      <c r="AM175" s="91" t="str">
        <f aca="false">IF(ISBLANK($C175),"",IF($Z175=Constants!$B$7,RANK(AL175,$AL$8:$AL$507),$Z175))</f>
        <v/>
      </c>
      <c r="AN175" s="91" t="str">
        <f aca="false">IF(ISBLANK($C175),"",IF($Z175=Constants!$B$7,IF(ISNUMBER(AK175),COUNTIFS($AK$8:$AK$507,"&lt;"&amp;$AK175)+COUNTIFS($AK$8:$AK$507,$AK175,$AM$8:$AM$507,"&lt;"&amp;$AM175)+1,Constants!$B$14),$Z175))</f>
        <v/>
      </c>
      <c r="AO175" s="91" t="str">
        <f aca="false">IF(ISBLANK($C175),"",IF($Z175=Constants!$B$7,IF(ISNUMBER(AK175),AK175-AN175,Constants!$B$14),$Z175))</f>
        <v/>
      </c>
      <c r="AP175" s="92"/>
      <c r="AQ175" s="93" t="str">
        <f aca="false">IF(ISBLANK($C175),"",IF($Z175&lt;&gt;Constants!$B$7,"",AH175))</f>
        <v/>
      </c>
      <c r="AR175" s="94" t="str">
        <f aca="false">IF(ISBLANK($C175),"",IF($Z175&lt;&gt;Constants!$B$7,"",IF(AH175=1,AB175,AE175)))</f>
        <v/>
      </c>
      <c r="AS175" s="95" t="str">
        <f aca="false">IF(ISBLANK($C175),"",IF($Z175&lt;&gt;Constants!$B$7,"",IF(AH175=1,AC175,AF175)))</f>
        <v/>
      </c>
      <c r="AT175" s="96" t="str">
        <f aca="false">IF(ISBLANK($C175),"",IF($Z175&lt;&gt;Constants!$B$7,$Z175,AJ175))</f>
        <v/>
      </c>
      <c r="AU175" s="97" t="str">
        <f aca="false">IF(ISBLANK($C175),"",IF($Z175&lt;&gt;Constants!$B$7,$Z175,AA175))</f>
        <v/>
      </c>
      <c r="AV175" s="98" t="str">
        <f aca="false">IF(ISBLANK($C175),"",AO175)</f>
        <v/>
      </c>
      <c r="AW175" s="98" t="str">
        <f aca="false">IF(ISBLANK($C175),"",AN175)</f>
        <v/>
      </c>
      <c r="AX175" s="99" t="str">
        <f aca="false">IF(ISBLANK($C175),"",IFERROR(_xlfn.SWITCH(AW175,Constants!$B$4,COUNTA($C$8:$C$507)+2,Constants!$B$5,COUNTA($C$8:$C$507)+1,Constants!$B$6,COUNTA($C$8:$C$507)),AW175))</f>
        <v/>
      </c>
      <c r="AY175" s="5"/>
      <c r="AZ175" s="100" t="n">
        <f aca="false">IF(OR(ISNUMBER(AW175),AW175=Constants!$B$4,AW175=Constants!$B$6,AW175=Constants!$B$5),1,0)</f>
        <v>0</v>
      </c>
      <c r="BA175" s="100" t="n">
        <v>168</v>
      </c>
      <c r="BB175" s="100" t="str">
        <f aca="false">IF(ISBLANK($C175),"",IF(ISNUMBER(AX175),AX175+ROW($B175)/1000,""))</f>
        <v/>
      </c>
      <c r="BC175" s="100" t="str">
        <f aca="false">IF(ISNUMBER(BB175),RANK(BB175,$BB$8:$BB$507,1),"")</f>
        <v/>
      </c>
      <c r="BD175" s="100" t="str">
        <f aca="false">IF(ISBLANK($C175),"",$B175)</f>
        <v/>
      </c>
      <c r="BE175" s="100" t="str">
        <f aca="false">IF(ISBLANK($C175),"",$C175)</f>
        <v/>
      </c>
      <c r="BF175" s="100" t="str">
        <f aca="false">IF(ISBLANK($C175),"",$D175)</f>
        <v/>
      </c>
      <c r="BG175" s="101" t="str">
        <f aca="false">AU175</f>
        <v/>
      </c>
      <c r="BH175" s="102" t="str">
        <f aca="false">AT175</f>
        <v/>
      </c>
      <c r="BI175" s="100" t="str">
        <f aca="false">IF(ISBLANK($C175),"",AW175)</f>
        <v/>
      </c>
      <c r="BJ175" s="103" t="str">
        <f aca="false">IF($BA175&gt;$AZ$7,"",VLOOKUP($BA175,$BC$8:$BI$507,7,FALSE()))</f>
        <v/>
      </c>
      <c r="BK175" s="104" t="str">
        <f aca="false">IF($BA175&gt;$AZ$7,"",VLOOKUP($BA175,$BC$8:$BI$507,2,FALSE()))</f>
        <v/>
      </c>
      <c r="BL175" s="104" t="str">
        <f aca="false">IF($BA175&gt;$AZ$7,"",VLOOKUP($BA175,$BC$8:$BI$507,3,FALSE()))</f>
        <v/>
      </c>
      <c r="BM175" s="104" t="str">
        <f aca="false">IF($BA175&gt;$AZ$7,"",VLOOKUP($BA175,$BC$8:$BI$507,4,FALSE()))</f>
        <v/>
      </c>
      <c r="BN175" s="104" t="str">
        <f aca="false">IF($BA175&gt;$AZ$7,"",VLOOKUP($BA175,$BC$8:$BI$507,5,FALSE()))</f>
        <v/>
      </c>
      <c r="BO175" s="105" t="str">
        <f aca="false">IF($BA175&gt;$AZ$7,"",VLOOKUP($BA175,$BC$8:$BI$507,6,FALSE()))</f>
        <v/>
      </c>
      <c r="BP175" s="52"/>
    </row>
    <row r="176" customFormat="false" ht="15.75" hidden="false" customHeight="false" outlineLevel="0" collapsed="false">
      <c r="A176" s="5"/>
      <c r="B176" s="118"/>
      <c r="C176" s="54"/>
      <c r="D176" s="55"/>
      <c r="E176" s="79"/>
      <c r="F176" s="57"/>
      <c r="G176" s="58"/>
      <c r="H176" s="58"/>
      <c r="I176" s="57"/>
      <c r="J176" s="58"/>
      <c r="K176" s="58"/>
      <c r="L176" s="57"/>
      <c r="M176" s="79"/>
      <c r="N176" s="60"/>
      <c r="O176" s="62" t="str">
        <f aca="false">IF(ISBLANK($C176),"",IF(E176=Constants!$B$2, TRUE(), IF(E176=Constants!$B$3, FALSE(), TRUE())))</f>
        <v/>
      </c>
      <c r="P176" s="62" t="str">
        <f aca="false">IF(ISBLANK($C176),"",IF(F176=Constants!$B$16,Constants!$B$9,IF(F176=Constants!$B$17,Constants!$B$10,Constants!$B$8)))</f>
        <v/>
      </c>
      <c r="Q176" s="62" t="str">
        <f aca="false">IF(ISBLANK($C176),"",IF(ISNUMBER(G176),IF(G176&gt;=0,G176,""),""))</f>
        <v/>
      </c>
      <c r="R176" s="62" t="str">
        <f aca="false">IF(ISBLANK($C176),"",IF(H176=Constants!$B$2, TRUE(), IF(H176=Constants!$B$3, FALSE(), TRUE())))</f>
        <v/>
      </c>
      <c r="S176" s="62" t="str">
        <f aca="false">IF(ISBLANK($C176),"",IF(I176=Constants!$B$2, TRUE(), IF(I176=Constants!$B$3, FALSE(), TRUE())))</f>
        <v/>
      </c>
      <c r="T176" s="62" t="str">
        <f aca="false">IF(ISBLANK($C176),"",IF(ISNUMBER(J176),IF(J176&gt;=0,J176,""),""))</f>
        <v/>
      </c>
      <c r="U176" s="62" t="str">
        <f aca="false">IF(ISBLANK($C176),"",IF(K176=Constants!$B$2, TRUE(), IF(K176=Constants!$B$3, FALSE(), TRUE())))</f>
        <v/>
      </c>
      <c r="V176" s="62" t="str">
        <f aca="false">IF(ISBLANK($C176),"",IF(L176=Constants!$B$2, TRUE(), IF(L176=Constants!$B$3, FALSE(), TRUE())))</f>
        <v/>
      </c>
      <c r="W176" s="62" t="str">
        <f aca="false">IF(ISBLANK($C176),"",IF(M176=Constants!$B$2, TRUE(), IF(M176=Constants!$B$3, FALSE(), FALSE())))</f>
        <v/>
      </c>
      <c r="X176" s="62" t="str">
        <f aca="false">IF(ISBLANK($C176),"",AND(Q176&lt;&gt;"",O176))</f>
        <v/>
      </c>
      <c r="Y176" s="62" t="str">
        <f aca="false">IF(ISBLANK($C176),"",AND(T176&lt;&gt;"",O176))</f>
        <v/>
      </c>
      <c r="Z176" s="62" t="str">
        <f aca="false">IF(ISBLANK($C176),"",IF(W176,Constants!$B$4,IF(COUNTA(E176:L176)=0,Constants!$B$5,IF(NOT(O176),Constants!$B$6,IF(AND(NOT(X176),NOT(Y176)),Constants!$B$6,Constants!$B$7)))))</f>
        <v/>
      </c>
      <c r="AA176" s="62" t="str">
        <f aca="false">IF(ISBLANK($C176),"",IF($Z176&lt;&gt;Constants!$B$7,$Z176,Constants!$B$20))</f>
        <v/>
      </c>
      <c r="AB176" s="62" t="str">
        <f aca="false">IF($Z176=Constants!$B$7,IF(X176,Q176,Constants!$B$13),"")</f>
        <v/>
      </c>
      <c r="AC176" s="62" t="str">
        <f aca="false">IF($Z176=Constants!$B$7,IF(X176,P176*IF(R176, 1, Constants!$B$11)*IF(S176, 1, Constants!$B$12),Constants!$B$13),"")</f>
        <v/>
      </c>
      <c r="AD176" s="62" t="str">
        <f aca="false">IF($Z176=Constants!$B$7,AB176*AC176,"")</f>
        <v/>
      </c>
      <c r="AE176" s="62" t="str">
        <f aca="false">IF($Z176=Constants!$B$7,IF(Y176,T176,Constants!$B$13),"")</f>
        <v/>
      </c>
      <c r="AF176" s="62" t="str">
        <f aca="false">IF($Z176=Constants!$B$7,IF(Y176,P176*IF(U176, 1, Constants!$B$11)*IF(V176, 1, Constants!$B$12),Constants!$B$13),"")</f>
        <v/>
      </c>
      <c r="AG176" s="62" t="str">
        <f aca="false">IF($Z176=Constants!$B$7,AE176*AF176,"")</f>
        <v/>
      </c>
      <c r="AH176" s="62" t="str">
        <f aca="false">IF($Z176=Constants!$B$7,IF(AG176&gt;AD176,2,1),"")</f>
        <v/>
      </c>
      <c r="AI176" s="62" t="str">
        <f aca="false">IF($Z176=Constants!$B$7,IF(AH176=1,2,1),"")</f>
        <v/>
      </c>
      <c r="AJ176" s="62" t="str">
        <f aca="false">IF(ISBLANK($C176),"",IF($Z176&lt;&gt;Constants!$B$7,$Z176,IF(AH176=1,AD176,AG176)))</f>
        <v/>
      </c>
      <c r="AK176" s="62" t="str">
        <f aca="false">IF(ISBLANK($C176),"",IF($Z176=Constants!$B$7,IF(ISNUMBER(AJ176),RANK(AJ176,$AJ$8:$AJ$507),Constants!$B$14),$Z176))</f>
        <v/>
      </c>
      <c r="AL176" s="62" t="str">
        <f aca="false">IF(ISBLANK($C176),"",IF($Z176=Constants!$B$7,IF(AI176=1,AD176,AG176),""))</f>
        <v/>
      </c>
      <c r="AM176" s="62" t="str">
        <f aca="false">IF(ISBLANK($C176),"",IF($Z176=Constants!$B$7,RANK(AL176,$AL$8:$AL$507),$Z176))</f>
        <v/>
      </c>
      <c r="AN176" s="62" t="str">
        <f aca="false">IF(ISBLANK($C176),"",IF($Z176=Constants!$B$7,IF(ISNUMBER(AK176),COUNTIFS($AK$8:$AK$507,"&lt;"&amp;$AK176)+COUNTIFS($AK$8:$AK$507,$AK176,$AM$8:$AM$507,"&lt;"&amp;$AM176)+1,Constants!$B$14),$Z176))</f>
        <v/>
      </c>
      <c r="AO176" s="62" t="str">
        <f aca="false">IF(ISBLANK($C176),"",IF($Z176=Constants!$B$7,IF(ISNUMBER(AK176),AK176-AN176,Constants!$B$14),$Z176))</f>
        <v/>
      </c>
      <c r="AP176" s="64"/>
      <c r="AQ176" s="65" t="str">
        <f aca="false">IF(ISBLANK($C176),"",IF($Z176&lt;&gt;Constants!$B$7,"",AH176))</f>
        <v/>
      </c>
      <c r="AR176" s="80" t="str">
        <f aca="false">IF(ISBLANK($C176),"",IF($Z176&lt;&gt;Constants!$B$7,"",IF(AH176=1,AB176,AE176)))</f>
        <v/>
      </c>
      <c r="AS176" s="67" t="str">
        <f aca="false">IF(ISBLANK($C176),"",IF($Z176&lt;&gt;Constants!$B$7,"",IF(AH176=1,AC176,AF176)))</f>
        <v/>
      </c>
      <c r="AT176" s="68" t="str">
        <f aca="false">IF(ISBLANK($C176),"",IF($Z176&lt;&gt;Constants!$B$7,$Z176,AJ176))</f>
        <v/>
      </c>
      <c r="AU176" s="69" t="str">
        <f aca="false">IF(ISBLANK($C176),"",IF($Z176&lt;&gt;Constants!$B$7,$Z176,AA176))</f>
        <v/>
      </c>
      <c r="AV176" s="70" t="str">
        <f aca="false">IF(ISBLANK($C176),"",AO176)</f>
        <v/>
      </c>
      <c r="AW176" s="70" t="str">
        <f aca="false">IF(ISBLANK($C176),"",AN176)</f>
        <v/>
      </c>
      <c r="AX176" s="71" t="str">
        <f aca="false">IF(ISBLANK($C176),"",IFERROR(_xlfn.SWITCH(AW176,Constants!$B$4,COUNTA($C$8:$C$507)+2,Constants!$B$5,COUNTA($C$8:$C$507)+1,Constants!$B$6,COUNTA($C$8:$C$507)),AW176))</f>
        <v/>
      </c>
      <c r="AY176" s="5"/>
      <c r="AZ176" s="72" t="n">
        <f aca="false">IF(OR(ISNUMBER(AW176),AW176=Constants!$B$4,AW176=Constants!$B$6,AW176=Constants!$B$5),1,0)</f>
        <v>0</v>
      </c>
      <c r="BA176" s="72" t="n">
        <v>169</v>
      </c>
      <c r="BB176" s="72" t="str">
        <f aca="false">IF(ISBLANK($C176),"",IF(ISNUMBER(AX176),AX176+ROW($B176)/1000,""))</f>
        <v/>
      </c>
      <c r="BC176" s="72" t="str">
        <f aca="false">IF(ISNUMBER(BB176),RANK(BB176,$BB$8:$BB$507,1),"")</f>
        <v/>
      </c>
      <c r="BD176" s="72" t="str">
        <f aca="false">IF(ISBLANK($C176),"",$B176)</f>
        <v/>
      </c>
      <c r="BE176" s="72" t="str">
        <f aca="false">IF(ISBLANK($C176),"",$C176)</f>
        <v/>
      </c>
      <c r="BF176" s="72" t="str">
        <f aca="false">IF(ISBLANK($C176),"",$D176)</f>
        <v/>
      </c>
      <c r="BG176" s="73" t="str">
        <f aca="false">AU176</f>
        <v/>
      </c>
      <c r="BH176" s="74" t="str">
        <f aca="false">AT176</f>
        <v/>
      </c>
      <c r="BI176" s="72" t="str">
        <f aca="false">IF(ISBLANK($C176),"",AW176)</f>
        <v/>
      </c>
      <c r="BJ176" s="75" t="str">
        <f aca="false">IF($BA176&gt;$AZ$7,"",VLOOKUP($BA176,$BC$8:$BI$507,7,FALSE()))</f>
        <v/>
      </c>
      <c r="BK176" s="76" t="str">
        <f aca="false">IF($BA176&gt;$AZ$7,"",VLOOKUP($BA176,$BC$8:$BI$507,2,FALSE()))</f>
        <v/>
      </c>
      <c r="BL176" s="76" t="str">
        <f aca="false">IF($BA176&gt;$AZ$7,"",VLOOKUP($BA176,$BC$8:$BI$507,3,FALSE()))</f>
        <v/>
      </c>
      <c r="BM176" s="76" t="str">
        <f aca="false">IF($BA176&gt;$AZ$7,"",VLOOKUP($BA176,$BC$8:$BI$507,4,FALSE()))</f>
        <v/>
      </c>
      <c r="BN176" s="76" t="str">
        <f aca="false">IF($BA176&gt;$AZ$7,"",VLOOKUP($BA176,$BC$8:$BI$507,5,FALSE()))</f>
        <v/>
      </c>
      <c r="BO176" s="77" t="str">
        <f aca="false">IF($BA176&gt;$AZ$7,"",VLOOKUP($BA176,$BC$8:$BI$507,6,FALSE()))</f>
        <v/>
      </c>
      <c r="BP176" s="52"/>
    </row>
    <row r="177" customFormat="false" ht="15.75" hidden="false" customHeight="false" outlineLevel="0" collapsed="false">
      <c r="A177" s="5"/>
      <c r="B177" s="118"/>
      <c r="C177" s="54"/>
      <c r="D177" s="55"/>
      <c r="E177" s="79"/>
      <c r="F177" s="57"/>
      <c r="G177" s="58"/>
      <c r="H177" s="58"/>
      <c r="I177" s="57"/>
      <c r="J177" s="58"/>
      <c r="K177" s="58"/>
      <c r="L177" s="57"/>
      <c r="M177" s="79"/>
      <c r="N177" s="60"/>
      <c r="O177" s="62" t="str">
        <f aca="false">IF(ISBLANK($C177),"",IF(E177=Constants!$B$2, TRUE(), IF(E177=Constants!$B$3, FALSE(), TRUE())))</f>
        <v/>
      </c>
      <c r="P177" s="62" t="str">
        <f aca="false">IF(ISBLANK($C177),"",IF(F177=Constants!$B$16,Constants!$B$9,IF(F177=Constants!$B$17,Constants!$B$10,Constants!$B$8)))</f>
        <v/>
      </c>
      <c r="Q177" s="62" t="str">
        <f aca="false">IF(ISBLANK($C177),"",IF(ISNUMBER(G177),IF(G177&gt;=0,G177,""),""))</f>
        <v/>
      </c>
      <c r="R177" s="62" t="str">
        <f aca="false">IF(ISBLANK($C177),"",IF(H177=Constants!$B$2, TRUE(), IF(H177=Constants!$B$3, FALSE(), TRUE())))</f>
        <v/>
      </c>
      <c r="S177" s="62" t="str">
        <f aca="false">IF(ISBLANK($C177),"",IF(I177=Constants!$B$2, TRUE(), IF(I177=Constants!$B$3, FALSE(), TRUE())))</f>
        <v/>
      </c>
      <c r="T177" s="62" t="str">
        <f aca="false">IF(ISBLANK($C177),"",IF(ISNUMBER(J177),IF(J177&gt;=0,J177,""),""))</f>
        <v/>
      </c>
      <c r="U177" s="62" t="str">
        <f aca="false">IF(ISBLANK($C177),"",IF(K177=Constants!$B$2, TRUE(), IF(K177=Constants!$B$3, FALSE(), TRUE())))</f>
        <v/>
      </c>
      <c r="V177" s="62" t="str">
        <f aca="false">IF(ISBLANK($C177),"",IF(L177=Constants!$B$2, TRUE(), IF(L177=Constants!$B$3, FALSE(), TRUE())))</f>
        <v/>
      </c>
      <c r="W177" s="62" t="str">
        <f aca="false">IF(ISBLANK($C177),"",IF(M177=Constants!$B$2, TRUE(), IF(M177=Constants!$B$3, FALSE(), FALSE())))</f>
        <v/>
      </c>
      <c r="X177" s="62" t="str">
        <f aca="false">IF(ISBLANK($C177),"",AND(Q177&lt;&gt;"",O177))</f>
        <v/>
      </c>
      <c r="Y177" s="62" t="str">
        <f aca="false">IF(ISBLANK($C177),"",AND(T177&lt;&gt;"",O177))</f>
        <v/>
      </c>
      <c r="Z177" s="62" t="str">
        <f aca="false">IF(ISBLANK($C177),"",IF(W177,Constants!$B$4,IF(COUNTA(E177:L177)=0,Constants!$B$5,IF(NOT(O177),Constants!$B$6,IF(AND(NOT(X177),NOT(Y177)),Constants!$B$6,Constants!$B$7)))))</f>
        <v/>
      </c>
      <c r="AA177" s="62" t="str">
        <f aca="false">IF(ISBLANK($C177),"",IF($Z177&lt;&gt;Constants!$B$7,$Z177,Constants!$B$20))</f>
        <v/>
      </c>
      <c r="AB177" s="62" t="str">
        <f aca="false">IF($Z177=Constants!$B$7,IF(X177,Q177,Constants!$B$13),"")</f>
        <v/>
      </c>
      <c r="AC177" s="62" t="str">
        <f aca="false">IF($Z177=Constants!$B$7,IF(X177,P177*IF(R177, 1, Constants!$B$11)*IF(S177, 1, Constants!$B$12),Constants!$B$13),"")</f>
        <v/>
      </c>
      <c r="AD177" s="62" t="str">
        <f aca="false">IF($Z177=Constants!$B$7,AB177*AC177,"")</f>
        <v/>
      </c>
      <c r="AE177" s="62" t="str">
        <f aca="false">IF($Z177=Constants!$B$7,IF(Y177,T177,Constants!$B$13),"")</f>
        <v/>
      </c>
      <c r="AF177" s="62" t="str">
        <f aca="false">IF($Z177=Constants!$B$7,IF(Y177,P177*IF(U177, 1, Constants!$B$11)*IF(V177, 1, Constants!$B$12),Constants!$B$13),"")</f>
        <v/>
      </c>
      <c r="AG177" s="62" t="str">
        <f aca="false">IF($Z177=Constants!$B$7,AE177*AF177,"")</f>
        <v/>
      </c>
      <c r="AH177" s="62" t="str">
        <f aca="false">IF($Z177=Constants!$B$7,IF(AG177&gt;AD177,2,1),"")</f>
        <v/>
      </c>
      <c r="AI177" s="62" t="str">
        <f aca="false">IF($Z177=Constants!$B$7,IF(AH177=1,2,1),"")</f>
        <v/>
      </c>
      <c r="AJ177" s="62" t="str">
        <f aca="false">IF(ISBLANK($C177),"",IF($Z177&lt;&gt;Constants!$B$7,$Z177,IF(AH177=1,AD177,AG177)))</f>
        <v/>
      </c>
      <c r="AK177" s="62" t="str">
        <f aca="false">IF(ISBLANK($C177),"",IF($Z177=Constants!$B$7,IF(ISNUMBER(AJ177),RANK(AJ177,$AJ$8:$AJ$507),Constants!$B$14),$Z177))</f>
        <v/>
      </c>
      <c r="AL177" s="62" t="str">
        <f aca="false">IF(ISBLANK($C177),"",IF($Z177=Constants!$B$7,IF(AI177=1,AD177,AG177),""))</f>
        <v/>
      </c>
      <c r="AM177" s="62" t="str">
        <f aca="false">IF(ISBLANK($C177),"",IF($Z177=Constants!$B$7,RANK(AL177,$AL$8:$AL$507),$Z177))</f>
        <v/>
      </c>
      <c r="AN177" s="62" t="str">
        <f aca="false">IF(ISBLANK($C177),"",IF($Z177=Constants!$B$7,IF(ISNUMBER(AK177),COUNTIFS($AK$8:$AK$507,"&lt;"&amp;$AK177)+COUNTIFS($AK$8:$AK$507,$AK177,$AM$8:$AM$507,"&lt;"&amp;$AM177)+1,Constants!$B$14),$Z177))</f>
        <v/>
      </c>
      <c r="AO177" s="62" t="str">
        <f aca="false">IF(ISBLANK($C177),"",IF($Z177=Constants!$B$7,IF(ISNUMBER(AK177),AK177-AN177,Constants!$B$14),$Z177))</f>
        <v/>
      </c>
      <c r="AP177" s="64"/>
      <c r="AQ177" s="65" t="str">
        <f aca="false">IF(ISBLANK($C177),"",IF($Z177&lt;&gt;Constants!$B$7,"",AH177))</f>
        <v/>
      </c>
      <c r="AR177" s="80" t="str">
        <f aca="false">IF(ISBLANK($C177),"",IF($Z177&lt;&gt;Constants!$B$7,"",IF(AH177=1,AB177,AE177)))</f>
        <v/>
      </c>
      <c r="AS177" s="67" t="str">
        <f aca="false">IF(ISBLANK($C177),"",IF($Z177&lt;&gt;Constants!$B$7,"",IF(AH177=1,AC177,AF177)))</f>
        <v/>
      </c>
      <c r="AT177" s="68" t="str">
        <f aca="false">IF(ISBLANK($C177),"",IF($Z177&lt;&gt;Constants!$B$7,$Z177,AJ177))</f>
        <v/>
      </c>
      <c r="AU177" s="69" t="str">
        <f aca="false">IF(ISBLANK($C177),"",IF($Z177&lt;&gt;Constants!$B$7,$Z177,AA177))</f>
        <v/>
      </c>
      <c r="AV177" s="70" t="str">
        <f aca="false">IF(ISBLANK($C177),"",AO177)</f>
        <v/>
      </c>
      <c r="AW177" s="70" t="str">
        <f aca="false">IF(ISBLANK($C177),"",AN177)</f>
        <v/>
      </c>
      <c r="AX177" s="71" t="str">
        <f aca="false">IF(ISBLANK($C177),"",IFERROR(_xlfn.SWITCH(AW177,Constants!$B$4,COUNTA($C$8:$C$507)+2,Constants!$B$5,COUNTA($C$8:$C$507)+1,Constants!$B$6,COUNTA($C$8:$C$507)),AW177))</f>
        <v/>
      </c>
      <c r="AY177" s="5"/>
      <c r="AZ177" s="72" t="n">
        <f aca="false">IF(OR(ISNUMBER(AW177),AW177=Constants!$B$4,AW177=Constants!$B$6,AW177=Constants!$B$5),1,0)</f>
        <v>0</v>
      </c>
      <c r="BA177" s="72" t="n">
        <v>170</v>
      </c>
      <c r="BB177" s="72" t="str">
        <f aca="false">IF(ISBLANK($C177),"",IF(ISNUMBER(AX177),AX177+ROW($B177)/1000,""))</f>
        <v/>
      </c>
      <c r="BC177" s="72" t="str">
        <f aca="false">IF(ISNUMBER(BB177),RANK(BB177,$BB$8:$BB$507,1),"")</f>
        <v/>
      </c>
      <c r="BD177" s="72" t="str">
        <f aca="false">IF(ISBLANK($C177),"",$B177)</f>
        <v/>
      </c>
      <c r="BE177" s="72" t="str">
        <f aca="false">IF(ISBLANK($C177),"",$C177)</f>
        <v/>
      </c>
      <c r="BF177" s="72" t="str">
        <f aca="false">IF(ISBLANK($C177),"",$D177)</f>
        <v/>
      </c>
      <c r="BG177" s="73" t="str">
        <f aca="false">AU177</f>
        <v/>
      </c>
      <c r="BH177" s="74" t="str">
        <f aca="false">AT177</f>
        <v/>
      </c>
      <c r="BI177" s="72" t="str">
        <f aca="false">IF(ISBLANK($C177),"",AW177)</f>
        <v/>
      </c>
      <c r="BJ177" s="75" t="str">
        <f aca="false">IF($BA177&gt;$AZ$7,"",VLOOKUP($BA177,$BC$8:$BI$507,7,FALSE()))</f>
        <v/>
      </c>
      <c r="BK177" s="76" t="str">
        <f aca="false">IF($BA177&gt;$AZ$7,"",VLOOKUP($BA177,$BC$8:$BI$507,2,FALSE()))</f>
        <v/>
      </c>
      <c r="BL177" s="76" t="str">
        <f aca="false">IF($BA177&gt;$AZ$7,"",VLOOKUP($BA177,$BC$8:$BI$507,3,FALSE()))</f>
        <v/>
      </c>
      <c r="BM177" s="76" t="str">
        <f aca="false">IF($BA177&gt;$AZ$7,"",VLOOKUP($BA177,$BC$8:$BI$507,4,FALSE()))</f>
        <v/>
      </c>
      <c r="BN177" s="76" t="str">
        <f aca="false">IF($BA177&gt;$AZ$7,"",VLOOKUP($BA177,$BC$8:$BI$507,5,FALSE()))</f>
        <v/>
      </c>
      <c r="BO177" s="77" t="str">
        <f aca="false">IF($BA177&gt;$AZ$7,"",VLOOKUP($BA177,$BC$8:$BI$507,6,FALSE()))</f>
        <v/>
      </c>
      <c r="BP177" s="52"/>
    </row>
    <row r="178" customFormat="false" ht="15.75" hidden="false" customHeight="false" outlineLevel="0" collapsed="false">
      <c r="A178" s="5"/>
      <c r="B178" s="118"/>
      <c r="C178" s="54"/>
      <c r="D178" s="55"/>
      <c r="E178" s="79"/>
      <c r="F178" s="57"/>
      <c r="G178" s="58"/>
      <c r="H178" s="58"/>
      <c r="I178" s="57"/>
      <c r="J178" s="58"/>
      <c r="K178" s="58"/>
      <c r="L178" s="57"/>
      <c r="M178" s="79"/>
      <c r="N178" s="60"/>
      <c r="O178" s="62" t="str">
        <f aca="false">IF(ISBLANK($C178),"",IF(E178=Constants!$B$2, TRUE(), IF(E178=Constants!$B$3, FALSE(), TRUE())))</f>
        <v/>
      </c>
      <c r="P178" s="62" t="str">
        <f aca="false">IF(ISBLANK($C178),"",IF(F178=Constants!$B$16,Constants!$B$9,IF(F178=Constants!$B$17,Constants!$B$10,Constants!$B$8)))</f>
        <v/>
      </c>
      <c r="Q178" s="62" t="str">
        <f aca="false">IF(ISBLANK($C178),"",IF(ISNUMBER(G178),IF(G178&gt;=0,G178,""),""))</f>
        <v/>
      </c>
      <c r="R178" s="62" t="str">
        <f aca="false">IF(ISBLANK($C178),"",IF(H178=Constants!$B$2, TRUE(), IF(H178=Constants!$B$3, FALSE(), TRUE())))</f>
        <v/>
      </c>
      <c r="S178" s="62" t="str">
        <f aca="false">IF(ISBLANK($C178),"",IF(I178=Constants!$B$2, TRUE(), IF(I178=Constants!$B$3, FALSE(), TRUE())))</f>
        <v/>
      </c>
      <c r="T178" s="62" t="str">
        <f aca="false">IF(ISBLANK($C178),"",IF(ISNUMBER(J178),IF(J178&gt;=0,J178,""),""))</f>
        <v/>
      </c>
      <c r="U178" s="62" t="str">
        <f aca="false">IF(ISBLANK($C178),"",IF(K178=Constants!$B$2, TRUE(), IF(K178=Constants!$B$3, FALSE(), TRUE())))</f>
        <v/>
      </c>
      <c r="V178" s="62" t="str">
        <f aca="false">IF(ISBLANK($C178),"",IF(L178=Constants!$B$2, TRUE(), IF(L178=Constants!$B$3, FALSE(), TRUE())))</f>
        <v/>
      </c>
      <c r="W178" s="62" t="str">
        <f aca="false">IF(ISBLANK($C178),"",IF(M178=Constants!$B$2, TRUE(), IF(M178=Constants!$B$3, FALSE(), FALSE())))</f>
        <v/>
      </c>
      <c r="X178" s="62" t="str">
        <f aca="false">IF(ISBLANK($C178),"",AND(Q178&lt;&gt;"",O178))</f>
        <v/>
      </c>
      <c r="Y178" s="62" t="str">
        <f aca="false">IF(ISBLANK($C178),"",AND(T178&lt;&gt;"",O178))</f>
        <v/>
      </c>
      <c r="Z178" s="62" t="str">
        <f aca="false">IF(ISBLANK($C178),"",IF(W178,Constants!$B$4,IF(COUNTA(E178:L178)=0,Constants!$B$5,IF(NOT(O178),Constants!$B$6,IF(AND(NOT(X178),NOT(Y178)),Constants!$B$6,Constants!$B$7)))))</f>
        <v/>
      </c>
      <c r="AA178" s="62" t="str">
        <f aca="false">IF(ISBLANK($C178),"",IF($Z178&lt;&gt;Constants!$B$7,$Z178,Constants!$B$20))</f>
        <v/>
      </c>
      <c r="AB178" s="62" t="str">
        <f aca="false">IF($Z178=Constants!$B$7,IF(X178,Q178,Constants!$B$13),"")</f>
        <v/>
      </c>
      <c r="AC178" s="62" t="str">
        <f aca="false">IF($Z178=Constants!$B$7,IF(X178,P178*IF(R178, 1, Constants!$B$11)*IF(S178, 1, Constants!$B$12),Constants!$B$13),"")</f>
        <v/>
      </c>
      <c r="AD178" s="62" t="str">
        <f aca="false">IF($Z178=Constants!$B$7,AB178*AC178,"")</f>
        <v/>
      </c>
      <c r="AE178" s="62" t="str">
        <f aca="false">IF($Z178=Constants!$B$7,IF(Y178,T178,Constants!$B$13),"")</f>
        <v/>
      </c>
      <c r="AF178" s="62" t="str">
        <f aca="false">IF($Z178=Constants!$B$7,IF(Y178,P178*IF(U178, 1, Constants!$B$11)*IF(V178, 1, Constants!$B$12),Constants!$B$13),"")</f>
        <v/>
      </c>
      <c r="AG178" s="62" t="str">
        <f aca="false">IF($Z178=Constants!$B$7,AE178*AF178,"")</f>
        <v/>
      </c>
      <c r="AH178" s="62" t="str">
        <f aca="false">IF($Z178=Constants!$B$7,IF(AG178&gt;AD178,2,1),"")</f>
        <v/>
      </c>
      <c r="AI178" s="62" t="str">
        <f aca="false">IF($Z178=Constants!$B$7,IF(AH178=1,2,1),"")</f>
        <v/>
      </c>
      <c r="AJ178" s="62" t="str">
        <f aca="false">IF(ISBLANK($C178),"",IF($Z178&lt;&gt;Constants!$B$7,$Z178,IF(AH178=1,AD178,AG178)))</f>
        <v/>
      </c>
      <c r="AK178" s="62" t="str">
        <f aca="false">IF(ISBLANK($C178),"",IF($Z178=Constants!$B$7,IF(ISNUMBER(AJ178),RANK(AJ178,$AJ$8:$AJ$507),Constants!$B$14),$Z178))</f>
        <v/>
      </c>
      <c r="AL178" s="62" t="str">
        <f aca="false">IF(ISBLANK($C178),"",IF($Z178=Constants!$B$7,IF(AI178=1,AD178,AG178),""))</f>
        <v/>
      </c>
      <c r="AM178" s="62" t="str">
        <f aca="false">IF(ISBLANK($C178),"",IF($Z178=Constants!$B$7,RANK(AL178,$AL$8:$AL$507),$Z178))</f>
        <v/>
      </c>
      <c r="AN178" s="62" t="str">
        <f aca="false">IF(ISBLANK($C178),"",IF($Z178=Constants!$B$7,IF(ISNUMBER(AK178),COUNTIFS($AK$8:$AK$507,"&lt;"&amp;$AK178)+COUNTIFS($AK$8:$AK$507,$AK178,$AM$8:$AM$507,"&lt;"&amp;$AM178)+1,Constants!$B$14),$Z178))</f>
        <v/>
      </c>
      <c r="AO178" s="62" t="str">
        <f aca="false">IF(ISBLANK($C178),"",IF($Z178=Constants!$B$7,IF(ISNUMBER(AK178),AK178-AN178,Constants!$B$14),$Z178))</f>
        <v/>
      </c>
      <c r="AP178" s="64"/>
      <c r="AQ178" s="65" t="str">
        <f aca="false">IF(ISBLANK($C178),"",IF($Z178&lt;&gt;Constants!$B$7,"",AH178))</f>
        <v/>
      </c>
      <c r="AR178" s="80" t="str">
        <f aca="false">IF(ISBLANK($C178),"",IF($Z178&lt;&gt;Constants!$B$7,"",IF(AH178=1,AB178,AE178)))</f>
        <v/>
      </c>
      <c r="AS178" s="67" t="str">
        <f aca="false">IF(ISBLANK($C178),"",IF($Z178&lt;&gt;Constants!$B$7,"",IF(AH178=1,AC178,AF178)))</f>
        <v/>
      </c>
      <c r="AT178" s="68" t="str">
        <f aca="false">IF(ISBLANK($C178),"",IF($Z178&lt;&gt;Constants!$B$7,$Z178,AJ178))</f>
        <v/>
      </c>
      <c r="AU178" s="69" t="str">
        <f aca="false">IF(ISBLANK($C178),"",IF($Z178&lt;&gt;Constants!$B$7,$Z178,AA178))</f>
        <v/>
      </c>
      <c r="AV178" s="70" t="str">
        <f aca="false">IF(ISBLANK($C178),"",AO178)</f>
        <v/>
      </c>
      <c r="AW178" s="70" t="str">
        <f aca="false">IF(ISBLANK($C178),"",AN178)</f>
        <v/>
      </c>
      <c r="AX178" s="71" t="str">
        <f aca="false">IF(ISBLANK($C178),"",IFERROR(_xlfn.SWITCH(AW178,Constants!$B$4,COUNTA($C$8:$C$507)+2,Constants!$B$5,COUNTA($C$8:$C$507)+1,Constants!$B$6,COUNTA($C$8:$C$507)),AW178))</f>
        <v/>
      </c>
      <c r="AY178" s="5"/>
      <c r="AZ178" s="72" t="n">
        <f aca="false">IF(OR(ISNUMBER(AW178),AW178=Constants!$B$4,AW178=Constants!$B$6,AW178=Constants!$B$5),1,0)</f>
        <v>0</v>
      </c>
      <c r="BA178" s="72" t="n">
        <v>171</v>
      </c>
      <c r="BB178" s="72" t="str">
        <f aca="false">IF(ISBLANK($C178),"",IF(ISNUMBER(AX178),AX178+ROW($B178)/1000,""))</f>
        <v/>
      </c>
      <c r="BC178" s="72" t="str">
        <f aca="false">IF(ISNUMBER(BB178),RANK(BB178,$BB$8:$BB$507,1),"")</f>
        <v/>
      </c>
      <c r="BD178" s="72" t="str">
        <f aca="false">IF(ISBLANK($C178),"",$B178)</f>
        <v/>
      </c>
      <c r="BE178" s="72" t="str">
        <f aca="false">IF(ISBLANK($C178),"",$C178)</f>
        <v/>
      </c>
      <c r="BF178" s="72" t="str">
        <f aca="false">IF(ISBLANK($C178),"",$D178)</f>
        <v/>
      </c>
      <c r="BG178" s="73" t="str">
        <f aca="false">AU178</f>
        <v/>
      </c>
      <c r="BH178" s="74" t="str">
        <f aca="false">AT178</f>
        <v/>
      </c>
      <c r="BI178" s="72" t="str">
        <f aca="false">IF(ISBLANK($C178),"",AW178)</f>
        <v/>
      </c>
      <c r="BJ178" s="75" t="str">
        <f aca="false">IF($BA178&gt;$AZ$7,"",VLOOKUP($BA178,$BC$8:$BI$507,7,FALSE()))</f>
        <v/>
      </c>
      <c r="BK178" s="76" t="str">
        <f aca="false">IF($BA178&gt;$AZ$7,"",VLOOKUP($BA178,$BC$8:$BI$507,2,FALSE()))</f>
        <v/>
      </c>
      <c r="BL178" s="76" t="str">
        <f aca="false">IF($BA178&gt;$AZ$7,"",VLOOKUP($BA178,$BC$8:$BI$507,3,FALSE()))</f>
        <v/>
      </c>
      <c r="BM178" s="76" t="str">
        <f aca="false">IF($BA178&gt;$AZ$7,"",VLOOKUP($BA178,$BC$8:$BI$507,4,FALSE()))</f>
        <v/>
      </c>
      <c r="BN178" s="76" t="str">
        <f aca="false">IF($BA178&gt;$AZ$7,"",VLOOKUP($BA178,$BC$8:$BI$507,5,FALSE()))</f>
        <v/>
      </c>
      <c r="BO178" s="77" t="str">
        <f aca="false">IF($BA178&gt;$AZ$7,"",VLOOKUP($BA178,$BC$8:$BI$507,6,FALSE()))</f>
        <v/>
      </c>
      <c r="BP178" s="52"/>
    </row>
    <row r="179" customFormat="false" ht="15.75" hidden="false" customHeight="false" outlineLevel="0" collapsed="false">
      <c r="A179" s="5"/>
      <c r="B179" s="114"/>
      <c r="C179" s="115"/>
      <c r="D179" s="106"/>
      <c r="E179" s="117"/>
      <c r="F179" s="87"/>
      <c r="G179" s="88"/>
      <c r="H179" s="88"/>
      <c r="I179" s="87"/>
      <c r="J179" s="88"/>
      <c r="K179" s="88"/>
      <c r="L179" s="87"/>
      <c r="M179" s="117"/>
      <c r="N179" s="90"/>
      <c r="O179" s="91" t="str">
        <f aca="false">IF(ISBLANK($C179),"",IF(E179=Constants!$B$2, TRUE(), IF(E179=Constants!$B$3, FALSE(), TRUE())))</f>
        <v/>
      </c>
      <c r="P179" s="91" t="str">
        <f aca="false">IF(ISBLANK($C179),"",IF(F179=Constants!$B$16,Constants!$B$9,IF(F179=Constants!$B$17,Constants!$B$10,Constants!$B$8)))</f>
        <v/>
      </c>
      <c r="Q179" s="91" t="str">
        <f aca="false">IF(ISBLANK($C179),"",IF(ISNUMBER(G179),IF(G179&gt;=0,G179,""),""))</f>
        <v/>
      </c>
      <c r="R179" s="91" t="str">
        <f aca="false">IF(ISBLANK($C179),"",IF(H179=Constants!$B$2, TRUE(), IF(H179=Constants!$B$3, FALSE(), TRUE())))</f>
        <v/>
      </c>
      <c r="S179" s="91" t="str">
        <f aca="false">IF(ISBLANK($C179),"",IF(I179=Constants!$B$2, TRUE(), IF(I179=Constants!$B$3, FALSE(), TRUE())))</f>
        <v/>
      </c>
      <c r="T179" s="91" t="str">
        <f aca="false">IF(ISBLANK($C179),"",IF(ISNUMBER(J179),IF(J179&gt;=0,J179,""),""))</f>
        <v/>
      </c>
      <c r="U179" s="91" t="str">
        <f aca="false">IF(ISBLANK($C179),"",IF(K179=Constants!$B$2, TRUE(), IF(K179=Constants!$B$3, FALSE(), TRUE())))</f>
        <v/>
      </c>
      <c r="V179" s="91" t="str">
        <f aca="false">IF(ISBLANK($C179),"",IF(L179=Constants!$B$2, TRUE(), IF(L179=Constants!$B$3, FALSE(), TRUE())))</f>
        <v/>
      </c>
      <c r="W179" s="91" t="str">
        <f aca="false">IF(ISBLANK($C179),"",IF(M179=Constants!$B$2, TRUE(), IF(M179=Constants!$B$3, FALSE(), FALSE())))</f>
        <v/>
      </c>
      <c r="X179" s="91" t="str">
        <f aca="false">IF(ISBLANK($C179),"",AND(Q179&lt;&gt;"",O179))</f>
        <v/>
      </c>
      <c r="Y179" s="91" t="str">
        <f aca="false">IF(ISBLANK($C179),"",AND(T179&lt;&gt;"",O179))</f>
        <v/>
      </c>
      <c r="Z179" s="91" t="str">
        <f aca="false">IF(ISBLANK($C179),"",IF(W179,Constants!$B$4,IF(COUNTA(E179:L179)=0,Constants!$B$5,IF(NOT(O179),Constants!$B$6,IF(AND(NOT(X179),NOT(Y179)),Constants!$B$6,Constants!$B$7)))))</f>
        <v/>
      </c>
      <c r="AA179" s="91" t="str">
        <f aca="false">IF(ISBLANK($C179),"",IF($Z179&lt;&gt;Constants!$B$7,$Z179,Constants!$B$20))</f>
        <v/>
      </c>
      <c r="AB179" s="91" t="str">
        <f aca="false">IF($Z179=Constants!$B$7,IF(X179,Q179,Constants!$B$13),"")</f>
        <v/>
      </c>
      <c r="AC179" s="91" t="str">
        <f aca="false">IF($Z179=Constants!$B$7,IF(X179,P179*IF(R179, 1, Constants!$B$11)*IF(S179, 1, Constants!$B$12),Constants!$B$13),"")</f>
        <v/>
      </c>
      <c r="AD179" s="91" t="str">
        <f aca="false">IF($Z179=Constants!$B$7,AB179*AC179,"")</f>
        <v/>
      </c>
      <c r="AE179" s="91" t="str">
        <f aca="false">IF($Z179=Constants!$B$7,IF(Y179,T179,Constants!$B$13),"")</f>
        <v/>
      </c>
      <c r="AF179" s="91" t="str">
        <f aca="false">IF($Z179=Constants!$B$7,IF(Y179,P179*IF(U179, 1, Constants!$B$11)*IF(V179, 1, Constants!$B$12),Constants!$B$13),"")</f>
        <v/>
      </c>
      <c r="AG179" s="91" t="str">
        <f aca="false">IF($Z179=Constants!$B$7,AE179*AF179,"")</f>
        <v/>
      </c>
      <c r="AH179" s="91" t="str">
        <f aca="false">IF($Z179=Constants!$B$7,IF(AG179&gt;AD179,2,1),"")</f>
        <v/>
      </c>
      <c r="AI179" s="91" t="str">
        <f aca="false">IF($Z179=Constants!$B$7,IF(AH179=1,2,1),"")</f>
        <v/>
      </c>
      <c r="AJ179" s="91" t="str">
        <f aca="false">IF(ISBLANK($C179),"",IF($Z179&lt;&gt;Constants!$B$7,$Z179,IF(AH179=1,AD179,AG179)))</f>
        <v/>
      </c>
      <c r="AK179" s="91" t="str">
        <f aca="false">IF(ISBLANK($C179),"",IF($Z179=Constants!$B$7,IF(ISNUMBER(AJ179),RANK(AJ179,$AJ$8:$AJ$507),Constants!$B$14),$Z179))</f>
        <v/>
      </c>
      <c r="AL179" s="91" t="str">
        <f aca="false">IF(ISBLANK($C179),"",IF($Z179=Constants!$B$7,IF(AI179=1,AD179,AG179),""))</f>
        <v/>
      </c>
      <c r="AM179" s="91" t="str">
        <f aca="false">IF(ISBLANK($C179),"",IF($Z179=Constants!$B$7,RANK(AL179,$AL$8:$AL$507),$Z179))</f>
        <v/>
      </c>
      <c r="AN179" s="91" t="str">
        <f aca="false">IF(ISBLANK($C179),"",IF($Z179=Constants!$B$7,IF(ISNUMBER(AK179),COUNTIFS($AK$8:$AK$507,"&lt;"&amp;$AK179)+COUNTIFS($AK$8:$AK$507,$AK179,$AM$8:$AM$507,"&lt;"&amp;$AM179)+1,Constants!$B$14),$Z179))</f>
        <v/>
      </c>
      <c r="AO179" s="91" t="str">
        <f aca="false">IF(ISBLANK($C179),"",IF($Z179=Constants!$B$7,IF(ISNUMBER(AK179),AK179-AN179,Constants!$B$14),$Z179))</f>
        <v/>
      </c>
      <c r="AP179" s="92"/>
      <c r="AQ179" s="93" t="str">
        <f aca="false">IF(ISBLANK($C179),"",IF($Z179&lt;&gt;Constants!$B$7,"",AH179))</f>
        <v/>
      </c>
      <c r="AR179" s="94" t="str">
        <f aca="false">IF(ISBLANK($C179),"",IF($Z179&lt;&gt;Constants!$B$7,"",IF(AH179=1,AB179,AE179)))</f>
        <v/>
      </c>
      <c r="AS179" s="95" t="str">
        <f aca="false">IF(ISBLANK($C179),"",IF($Z179&lt;&gt;Constants!$B$7,"",IF(AH179=1,AC179,AF179)))</f>
        <v/>
      </c>
      <c r="AT179" s="96" t="str">
        <f aca="false">IF(ISBLANK($C179),"",IF($Z179&lt;&gt;Constants!$B$7,$Z179,AJ179))</f>
        <v/>
      </c>
      <c r="AU179" s="97" t="str">
        <f aca="false">IF(ISBLANK($C179),"",IF($Z179&lt;&gt;Constants!$B$7,$Z179,AA179))</f>
        <v/>
      </c>
      <c r="AV179" s="98" t="str">
        <f aca="false">IF(ISBLANK($C179),"",AO179)</f>
        <v/>
      </c>
      <c r="AW179" s="98" t="str">
        <f aca="false">IF(ISBLANK($C179),"",AN179)</f>
        <v/>
      </c>
      <c r="AX179" s="99" t="str">
        <f aca="false">IF(ISBLANK($C179),"",IFERROR(_xlfn.SWITCH(AW179,Constants!$B$4,COUNTA($C$8:$C$507)+2,Constants!$B$5,COUNTA($C$8:$C$507)+1,Constants!$B$6,COUNTA($C$8:$C$507)),AW179))</f>
        <v/>
      </c>
      <c r="AY179" s="5"/>
      <c r="AZ179" s="100" t="n">
        <f aca="false">IF(OR(ISNUMBER(AW179),AW179=Constants!$B$4,AW179=Constants!$B$6,AW179=Constants!$B$5),1,0)</f>
        <v>0</v>
      </c>
      <c r="BA179" s="100" t="n">
        <v>172</v>
      </c>
      <c r="BB179" s="100" t="str">
        <f aca="false">IF(ISBLANK($C179),"",IF(ISNUMBER(AX179),AX179+ROW($B179)/1000,""))</f>
        <v/>
      </c>
      <c r="BC179" s="100" t="str">
        <f aca="false">IF(ISNUMBER(BB179),RANK(BB179,$BB$8:$BB$507,1),"")</f>
        <v/>
      </c>
      <c r="BD179" s="100" t="str">
        <f aca="false">IF(ISBLANK($C179),"",$B179)</f>
        <v/>
      </c>
      <c r="BE179" s="100" t="str">
        <f aca="false">IF(ISBLANK($C179),"",$C179)</f>
        <v/>
      </c>
      <c r="BF179" s="100" t="str">
        <f aca="false">IF(ISBLANK($C179),"",$D179)</f>
        <v/>
      </c>
      <c r="BG179" s="101" t="str">
        <f aca="false">AU179</f>
        <v/>
      </c>
      <c r="BH179" s="102" t="str">
        <f aca="false">AT179</f>
        <v/>
      </c>
      <c r="BI179" s="100" t="str">
        <f aca="false">IF(ISBLANK($C179),"",AW179)</f>
        <v/>
      </c>
      <c r="BJ179" s="103" t="str">
        <f aca="false">IF($BA179&gt;$AZ$7,"",VLOOKUP($BA179,$BC$8:$BI$507,7,FALSE()))</f>
        <v/>
      </c>
      <c r="BK179" s="104" t="str">
        <f aca="false">IF($BA179&gt;$AZ$7,"",VLOOKUP($BA179,$BC$8:$BI$507,2,FALSE()))</f>
        <v/>
      </c>
      <c r="BL179" s="104" t="str">
        <f aca="false">IF($BA179&gt;$AZ$7,"",VLOOKUP($BA179,$BC$8:$BI$507,3,FALSE()))</f>
        <v/>
      </c>
      <c r="BM179" s="104" t="str">
        <f aca="false">IF($BA179&gt;$AZ$7,"",VLOOKUP($BA179,$BC$8:$BI$507,4,FALSE()))</f>
        <v/>
      </c>
      <c r="BN179" s="104" t="str">
        <f aca="false">IF($BA179&gt;$AZ$7,"",VLOOKUP($BA179,$BC$8:$BI$507,5,FALSE()))</f>
        <v/>
      </c>
      <c r="BO179" s="105" t="str">
        <f aca="false">IF($BA179&gt;$AZ$7,"",VLOOKUP($BA179,$BC$8:$BI$507,6,FALSE()))</f>
        <v/>
      </c>
      <c r="BP179" s="52"/>
    </row>
    <row r="180" customFormat="false" ht="15.75" hidden="false" customHeight="false" outlineLevel="0" collapsed="false">
      <c r="A180" s="5"/>
      <c r="B180" s="114"/>
      <c r="C180" s="115"/>
      <c r="D180" s="106"/>
      <c r="E180" s="117"/>
      <c r="F180" s="87"/>
      <c r="G180" s="88"/>
      <c r="H180" s="88"/>
      <c r="I180" s="87"/>
      <c r="J180" s="88"/>
      <c r="K180" s="88"/>
      <c r="L180" s="87"/>
      <c r="M180" s="117"/>
      <c r="N180" s="90"/>
      <c r="O180" s="91" t="str">
        <f aca="false">IF(ISBLANK($C180),"",IF(E180=Constants!$B$2, TRUE(), IF(E180=Constants!$B$3, FALSE(), TRUE())))</f>
        <v/>
      </c>
      <c r="P180" s="91" t="str">
        <f aca="false">IF(ISBLANK($C180),"",IF(F180=Constants!$B$16,Constants!$B$9,IF(F180=Constants!$B$17,Constants!$B$10,Constants!$B$8)))</f>
        <v/>
      </c>
      <c r="Q180" s="91" t="str">
        <f aca="false">IF(ISBLANK($C180),"",IF(ISNUMBER(G180),IF(G180&gt;=0,G180,""),""))</f>
        <v/>
      </c>
      <c r="R180" s="91" t="str">
        <f aca="false">IF(ISBLANK($C180),"",IF(H180=Constants!$B$2, TRUE(), IF(H180=Constants!$B$3, FALSE(), TRUE())))</f>
        <v/>
      </c>
      <c r="S180" s="91" t="str">
        <f aca="false">IF(ISBLANK($C180),"",IF(I180=Constants!$B$2, TRUE(), IF(I180=Constants!$B$3, FALSE(), TRUE())))</f>
        <v/>
      </c>
      <c r="T180" s="91" t="str">
        <f aca="false">IF(ISBLANK($C180),"",IF(ISNUMBER(J180),IF(J180&gt;=0,J180,""),""))</f>
        <v/>
      </c>
      <c r="U180" s="91" t="str">
        <f aca="false">IF(ISBLANK($C180),"",IF(K180=Constants!$B$2, TRUE(), IF(K180=Constants!$B$3, FALSE(), TRUE())))</f>
        <v/>
      </c>
      <c r="V180" s="91" t="str">
        <f aca="false">IF(ISBLANK($C180),"",IF(L180=Constants!$B$2, TRUE(), IF(L180=Constants!$B$3, FALSE(), TRUE())))</f>
        <v/>
      </c>
      <c r="W180" s="91" t="str">
        <f aca="false">IF(ISBLANK($C180),"",IF(M180=Constants!$B$2, TRUE(), IF(M180=Constants!$B$3, FALSE(), FALSE())))</f>
        <v/>
      </c>
      <c r="X180" s="91" t="str">
        <f aca="false">IF(ISBLANK($C180),"",AND(Q180&lt;&gt;"",O180))</f>
        <v/>
      </c>
      <c r="Y180" s="91" t="str">
        <f aca="false">IF(ISBLANK($C180),"",AND(T180&lt;&gt;"",O180))</f>
        <v/>
      </c>
      <c r="Z180" s="91" t="str">
        <f aca="false">IF(ISBLANK($C180),"",IF(W180,Constants!$B$4,IF(COUNTA(E180:L180)=0,Constants!$B$5,IF(NOT(O180),Constants!$B$6,IF(AND(NOT(X180),NOT(Y180)),Constants!$B$6,Constants!$B$7)))))</f>
        <v/>
      </c>
      <c r="AA180" s="91" t="str">
        <f aca="false">IF(ISBLANK($C180),"",IF($Z180&lt;&gt;Constants!$B$7,$Z180,Constants!$B$20))</f>
        <v/>
      </c>
      <c r="AB180" s="91" t="str">
        <f aca="false">IF($Z180=Constants!$B$7,IF(X180,Q180,Constants!$B$13),"")</f>
        <v/>
      </c>
      <c r="AC180" s="91" t="str">
        <f aca="false">IF($Z180=Constants!$B$7,IF(X180,P180*IF(R180, 1, Constants!$B$11)*IF(S180, 1, Constants!$B$12),Constants!$B$13),"")</f>
        <v/>
      </c>
      <c r="AD180" s="91" t="str">
        <f aca="false">IF($Z180=Constants!$B$7,AB180*AC180,"")</f>
        <v/>
      </c>
      <c r="AE180" s="91" t="str">
        <f aca="false">IF($Z180=Constants!$B$7,IF(Y180,T180,Constants!$B$13),"")</f>
        <v/>
      </c>
      <c r="AF180" s="91" t="str">
        <f aca="false">IF($Z180=Constants!$B$7,IF(Y180,P180*IF(U180, 1, Constants!$B$11)*IF(V180, 1, Constants!$B$12),Constants!$B$13),"")</f>
        <v/>
      </c>
      <c r="AG180" s="91" t="str">
        <f aca="false">IF($Z180=Constants!$B$7,AE180*AF180,"")</f>
        <v/>
      </c>
      <c r="AH180" s="91" t="str">
        <f aca="false">IF($Z180=Constants!$B$7,IF(AG180&gt;AD180,2,1),"")</f>
        <v/>
      </c>
      <c r="AI180" s="91" t="str">
        <f aca="false">IF($Z180=Constants!$B$7,IF(AH180=1,2,1),"")</f>
        <v/>
      </c>
      <c r="AJ180" s="91" t="str">
        <f aca="false">IF(ISBLANK($C180),"",IF($Z180&lt;&gt;Constants!$B$7,$Z180,IF(AH180=1,AD180,AG180)))</f>
        <v/>
      </c>
      <c r="AK180" s="91" t="str">
        <f aca="false">IF(ISBLANK($C180),"",IF($Z180=Constants!$B$7,IF(ISNUMBER(AJ180),RANK(AJ180,$AJ$8:$AJ$507),Constants!$B$14),$Z180))</f>
        <v/>
      </c>
      <c r="AL180" s="91" t="str">
        <f aca="false">IF(ISBLANK($C180),"",IF($Z180=Constants!$B$7,IF(AI180=1,AD180,AG180),""))</f>
        <v/>
      </c>
      <c r="AM180" s="91" t="str">
        <f aca="false">IF(ISBLANK($C180),"",IF($Z180=Constants!$B$7,RANK(AL180,$AL$8:$AL$507),$Z180))</f>
        <v/>
      </c>
      <c r="AN180" s="91" t="str">
        <f aca="false">IF(ISBLANK($C180),"",IF($Z180=Constants!$B$7,IF(ISNUMBER(AK180),COUNTIFS($AK$8:$AK$507,"&lt;"&amp;$AK180)+COUNTIFS($AK$8:$AK$507,$AK180,$AM$8:$AM$507,"&lt;"&amp;$AM180)+1,Constants!$B$14),$Z180))</f>
        <v/>
      </c>
      <c r="AO180" s="91" t="str">
        <f aca="false">IF(ISBLANK($C180),"",IF($Z180=Constants!$B$7,IF(ISNUMBER(AK180),AK180-AN180,Constants!$B$14),$Z180))</f>
        <v/>
      </c>
      <c r="AP180" s="92"/>
      <c r="AQ180" s="93" t="str">
        <f aca="false">IF(ISBLANK($C180),"",IF($Z180&lt;&gt;Constants!$B$7,"",AH180))</f>
        <v/>
      </c>
      <c r="AR180" s="94" t="str">
        <f aca="false">IF(ISBLANK($C180),"",IF($Z180&lt;&gt;Constants!$B$7,"",IF(AH180=1,AB180,AE180)))</f>
        <v/>
      </c>
      <c r="AS180" s="95" t="str">
        <f aca="false">IF(ISBLANK($C180),"",IF($Z180&lt;&gt;Constants!$B$7,"",IF(AH180=1,AC180,AF180)))</f>
        <v/>
      </c>
      <c r="AT180" s="96" t="str">
        <f aca="false">IF(ISBLANK($C180),"",IF($Z180&lt;&gt;Constants!$B$7,$Z180,AJ180))</f>
        <v/>
      </c>
      <c r="AU180" s="97" t="str">
        <f aca="false">IF(ISBLANK($C180),"",IF($Z180&lt;&gt;Constants!$B$7,$Z180,AA180))</f>
        <v/>
      </c>
      <c r="AV180" s="98" t="str">
        <f aca="false">IF(ISBLANK($C180),"",AO180)</f>
        <v/>
      </c>
      <c r="AW180" s="98" t="str">
        <f aca="false">IF(ISBLANK($C180),"",AN180)</f>
        <v/>
      </c>
      <c r="AX180" s="99" t="str">
        <f aca="false">IF(ISBLANK($C180),"",IFERROR(_xlfn.SWITCH(AW180,Constants!$B$4,COUNTA($C$8:$C$507)+2,Constants!$B$5,COUNTA($C$8:$C$507)+1,Constants!$B$6,COUNTA($C$8:$C$507)),AW180))</f>
        <v/>
      </c>
      <c r="AY180" s="5"/>
      <c r="AZ180" s="100" t="n">
        <f aca="false">IF(OR(ISNUMBER(AW180),AW180=Constants!$B$4,AW180=Constants!$B$6,AW180=Constants!$B$5),1,0)</f>
        <v>0</v>
      </c>
      <c r="BA180" s="100" t="n">
        <v>173</v>
      </c>
      <c r="BB180" s="100" t="str">
        <f aca="false">IF(ISBLANK($C180),"",IF(ISNUMBER(AX180),AX180+ROW($B180)/1000,""))</f>
        <v/>
      </c>
      <c r="BC180" s="100" t="str">
        <f aca="false">IF(ISNUMBER(BB180),RANK(BB180,$BB$8:$BB$507,1),"")</f>
        <v/>
      </c>
      <c r="BD180" s="100" t="str">
        <f aca="false">IF(ISBLANK($C180),"",$B180)</f>
        <v/>
      </c>
      <c r="BE180" s="100" t="str">
        <f aca="false">IF(ISBLANK($C180),"",$C180)</f>
        <v/>
      </c>
      <c r="BF180" s="100" t="str">
        <f aca="false">IF(ISBLANK($C180),"",$D180)</f>
        <v/>
      </c>
      <c r="BG180" s="101" t="str">
        <f aca="false">AU180</f>
        <v/>
      </c>
      <c r="BH180" s="102" t="str">
        <f aca="false">AT180</f>
        <v/>
      </c>
      <c r="BI180" s="100" t="str">
        <f aca="false">IF(ISBLANK($C180),"",AW180)</f>
        <v/>
      </c>
      <c r="BJ180" s="103" t="str">
        <f aca="false">IF($BA180&gt;$AZ$7,"",VLOOKUP($BA180,$BC$8:$BI$507,7,FALSE()))</f>
        <v/>
      </c>
      <c r="BK180" s="104" t="str">
        <f aca="false">IF($BA180&gt;$AZ$7,"",VLOOKUP($BA180,$BC$8:$BI$507,2,FALSE()))</f>
        <v/>
      </c>
      <c r="BL180" s="104" t="str">
        <f aca="false">IF($BA180&gt;$AZ$7,"",VLOOKUP($BA180,$BC$8:$BI$507,3,FALSE()))</f>
        <v/>
      </c>
      <c r="BM180" s="104" t="str">
        <f aca="false">IF($BA180&gt;$AZ$7,"",VLOOKUP($BA180,$BC$8:$BI$507,4,FALSE()))</f>
        <v/>
      </c>
      <c r="BN180" s="104" t="str">
        <f aca="false">IF($BA180&gt;$AZ$7,"",VLOOKUP($BA180,$BC$8:$BI$507,5,FALSE()))</f>
        <v/>
      </c>
      <c r="BO180" s="105" t="str">
        <f aca="false">IF($BA180&gt;$AZ$7,"",VLOOKUP($BA180,$BC$8:$BI$507,6,FALSE()))</f>
        <v/>
      </c>
      <c r="BP180" s="52"/>
    </row>
    <row r="181" customFormat="false" ht="15.75" hidden="false" customHeight="false" outlineLevel="0" collapsed="false">
      <c r="A181" s="5"/>
      <c r="B181" s="114"/>
      <c r="C181" s="115"/>
      <c r="D181" s="106"/>
      <c r="E181" s="117"/>
      <c r="F181" s="87"/>
      <c r="G181" s="88"/>
      <c r="H181" s="88"/>
      <c r="I181" s="87"/>
      <c r="J181" s="88"/>
      <c r="K181" s="88"/>
      <c r="L181" s="87"/>
      <c r="M181" s="117"/>
      <c r="N181" s="90"/>
      <c r="O181" s="91" t="str">
        <f aca="false">IF(ISBLANK($C181),"",IF(E181=Constants!$B$2, TRUE(), IF(E181=Constants!$B$3, FALSE(), TRUE())))</f>
        <v/>
      </c>
      <c r="P181" s="91" t="str">
        <f aca="false">IF(ISBLANK($C181),"",IF(F181=Constants!$B$16,Constants!$B$9,IF(F181=Constants!$B$17,Constants!$B$10,Constants!$B$8)))</f>
        <v/>
      </c>
      <c r="Q181" s="91" t="str">
        <f aca="false">IF(ISBLANK($C181),"",IF(ISNUMBER(G181),IF(G181&gt;=0,G181,""),""))</f>
        <v/>
      </c>
      <c r="R181" s="91" t="str">
        <f aca="false">IF(ISBLANK($C181),"",IF(H181=Constants!$B$2, TRUE(), IF(H181=Constants!$B$3, FALSE(), TRUE())))</f>
        <v/>
      </c>
      <c r="S181" s="91" t="str">
        <f aca="false">IF(ISBLANK($C181),"",IF(I181=Constants!$B$2, TRUE(), IF(I181=Constants!$B$3, FALSE(), TRUE())))</f>
        <v/>
      </c>
      <c r="T181" s="91" t="str">
        <f aca="false">IF(ISBLANK($C181),"",IF(ISNUMBER(J181),IF(J181&gt;=0,J181,""),""))</f>
        <v/>
      </c>
      <c r="U181" s="91" t="str">
        <f aca="false">IF(ISBLANK($C181),"",IF(K181=Constants!$B$2, TRUE(), IF(K181=Constants!$B$3, FALSE(), TRUE())))</f>
        <v/>
      </c>
      <c r="V181" s="91" t="str">
        <f aca="false">IF(ISBLANK($C181),"",IF(L181=Constants!$B$2, TRUE(), IF(L181=Constants!$B$3, FALSE(), TRUE())))</f>
        <v/>
      </c>
      <c r="W181" s="91" t="str">
        <f aca="false">IF(ISBLANK($C181),"",IF(M181=Constants!$B$2, TRUE(), IF(M181=Constants!$B$3, FALSE(), FALSE())))</f>
        <v/>
      </c>
      <c r="X181" s="91" t="str">
        <f aca="false">IF(ISBLANK($C181),"",AND(Q181&lt;&gt;"",O181))</f>
        <v/>
      </c>
      <c r="Y181" s="91" t="str">
        <f aca="false">IF(ISBLANK($C181),"",AND(T181&lt;&gt;"",O181))</f>
        <v/>
      </c>
      <c r="Z181" s="91" t="str">
        <f aca="false">IF(ISBLANK($C181),"",IF(W181,Constants!$B$4,IF(COUNTA(E181:L181)=0,Constants!$B$5,IF(NOT(O181),Constants!$B$6,IF(AND(NOT(X181),NOT(Y181)),Constants!$B$6,Constants!$B$7)))))</f>
        <v/>
      </c>
      <c r="AA181" s="91" t="str">
        <f aca="false">IF(ISBLANK($C181),"",IF($Z181&lt;&gt;Constants!$B$7,$Z181,Constants!$B$20))</f>
        <v/>
      </c>
      <c r="AB181" s="91" t="str">
        <f aca="false">IF($Z181=Constants!$B$7,IF(X181,Q181,Constants!$B$13),"")</f>
        <v/>
      </c>
      <c r="AC181" s="91" t="str">
        <f aca="false">IF($Z181=Constants!$B$7,IF(X181,P181*IF(R181, 1, Constants!$B$11)*IF(S181, 1, Constants!$B$12),Constants!$B$13),"")</f>
        <v/>
      </c>
      <c r="AD181" s="91" t="str">
        <f aca="false">IF($Z181=Constants!$B$7,AB181*AC181,"")</f>
        <v/>
      </c>
      <c r="AE181" s="91" t="str">
        <f aca="false">IF($Z181=Constants!$B$7,IF(Y181,T181,Constants!$B$13),"")</f>
        <v/>
      </c>
      <c r="AF181" s="91" t="str">
        <f aca="false">IF($Z181=Constants!$B$7,IF(Y181,P181*IF(U181, 1, Constants!$B$11)*IF(V181, 1, Constants!$B$12),Constants!$B$13),"")</f>
        <v/>
      </c>
      <c r="AG181" s="91" t="str">
        <f aca="false">IF($Z181=Constants!$B$7,AE181*AF181,"")</f>
        <v/>
      </c>
      <c r="AH181" s="91" t="str">
        <f aca="false">IF($Z181=Constants!$B$7,IF(AG181&gt;AD181,2,1),"")</f>
        <v/>
      </c>
      <c r="AI181" s="91" t="str">
        <f aca="false">IF($Z181=Constants!$B$7,IF(AH181=1,2,1),"")</f>
        <v/>
      </c>
      <c r="AJ181" s="91" t="str">
        <f aca="false">IF(ISBLANK($C181),"",IF($Z181&lt;&gt;Constants!$B$7,$Z181,IF(AH181=1,AD181,AG181)))</f>
        <v/>
      </c>
      <c r="AK181" s="91" t="str">
        <f aca="false">IF(ISBLANK($C181),"",IF($Z181=Constants!$B$7,IF(ISNUMBER(AJ181),RANK(AJ181,$AJ$8:$AJ$507),Constants!$B$14),$Z181))</f>
        <v/>
      </c>
      <c r="AL181" s="91" t="str">
        <f aca="false">IF(ISBLANK($C181),"",IF($Z181=Constants!$B$7,IF(AI181=1,AD181,AG181),""))</f>
        <v/>
      </c>
      <c r="AM181" s="91" t="str">
        <f aca="false">IF(ISBLANK($C181),"",IF($Z181=Constants!$B$7,RANK(AL181,$AL$8:$AL$507),$Z181))</f>
        <v/>
      </c>
      <c r="AN181" s="91" t="str">
        <f aca="false">IF(ISBLANK($C181),"",IF($Z181=Constants!$B$7,IF(ISNUMBER(AK181),COUNTIFS($AK$8:$AK$507,"&lt;"&amp;$AK181)+COUNTIFS($AK$8:$AK$507,$AK181,$AM$8:$AM$507,"&lt;"&amp;$AM181)+1,Constants!$B$14),$Z181))</f>
        <v/>
      </c>
      <c r="AO181" s="91" t="str">
        <f aca="false">IF(ISBLANK($C181),"",IF($Z181=Constants!$B$7,IF(ISNUMBER(AK181),AK181-AN181,Constants!$B$14),$Z181))</f>
        <v/>
      </c>
      <c r="AP181" s="92"/>
      <c r="AQ181" s="93" t="str">
        <f aca="false">IF(ISBLANK($C181),"",IF($Z181&lt;&gt;Constants!$B$7,"",AH181))</f>
        <v/>
      </c>
      <c r="AR181" s="94" t="str">
        <f aca="false">IF(ISBLANK($C181),"",IF($Z181&lt;&gt;Constants!$B$7,"",IF(AH181=1,AB181,AE181)))</f>
        <v/>
      </c>
      <c r="AS181" s="95" t="str">
        <f aca="false">IF(ISBLANK($C181),"",IF($Z181&lt;&gt;Constants!$B$7,"",IF(AH181=1,AC181,AF181)))</f>
        <v/>
      </c>
      <c r="AT181" s="96" t="str">
        <f aca="false">IF(ISBLANK($C181),"",IF($Z181&lt;&gt;Constants!$B$7,$Z181,AJ181))</f>
        <v/>
      </c>
      <c r="AU181" s="97" t="str">
        <f aca="false">IF(ISBLANK($C181),"",IF($Z181&lt;&gt;Constants!$B$7,$Z181,AA181))</f>
        <v/>
      </c>
      <c r="AV181" s="98" t="str">
        <f aca="false">IF(ISBLANK($C181),"",AO181)</f>
        <v/>
      </c>
      <c r="AW181" s="98" t="str">
        <f aca="false">IF(ISBLANK($C181),"",AN181)</f>
        <v/>
      </c>
      <c r="AX181" s="99" t="str">
        <f aca="false">IF(ISBLANK($C181),"",IFERROR(_xlfn.SWITCH(AW181,Constants!$B$4,COUNTA($C$8:$C$507)+2,Constants!$B$5,COUNTA($C$8:$C$507)+1,Constants!$B$6,COUNTA($C$8:$C$507)),AW181))</f>
        <v/>
      </c>
      <c r="AY181" s="5"/>
      <c r="AZ181" s="100" t="n">
        <f aca="false">IF(OR(ISNUMBER(AW181),AW181=Constants!$B$4,AW181=Constants!$B$6,AW181=Constants!$B$5),1,0)</f>
        <v>0</v>
      </c>
      <c r="BA181" s="100" t="n">
        <v>174</v>
      </c>
      <c r="BB181" s="100" t="str">
        <f aca="false">IF(ISBLANK($C181),"",IF(ISNUMBER(AX181),AX181+ROW($B181)/1000,""))</f>
        <v/>
      </c>
      <c r="BC181" s="100" t="str">
        <f aca="false">IF(ISNUMBER(BB181),RANK(BB181,$BB$8:$BB$507,1),"")</f>
        <v/>
      </c>
      <c r="BD181" s="100" t="str">
        <f aca="false">IF(ISBLANK($C181),"",$B181)</f>
        <v/>
      </c>
      <c r="BE181" s="100" t="str">
        <f aca="false">IF(ISBLANK($C181),"",$C181)</f>
        <v/>
      </c>
      <c r="BF181" s="100" t="str">
        <f aca="false">IF(ISBLANK($C181),"",$D181)</f>
        <v/>
      </c>
      <c r="BG181" s="101" t="str">
        <f aca="false">AU181</f>
        <v/>
      </c>
      <c r="BH181" s="102" t="str">
        <f aca="false">AT181</f>
        <v/>
      </c>
      <c r="BI181" s="100" t="str">
        <f aca="false">IF(ISBLANK($C181),"",AW181)</f>
        <v/>
      </c>
      <c r="BJ181" s="103" t="str">
        <f aca="false">IF($BA181&gt;$AZ$7,"",VLOOKUP($BA181,$BC$8:$BI$507,7,FALSE()))</f>
        <v/>
      </c>
      <c r="BK181" s="104" t="str">
        <f aca="false">IF($BA181&gt;$AZ$7,"",VLOOKUP($BA181,$BC$8:$BI$507,2,FALSE()))</f>
        <v/>
      </c>
      <c r="BL181" s="104" t="str">
        <f aca="false">IF($BA181&gt;$AZ$7,"",VLOOKUP($BA181,$BC$8:$BI$507,3,FALSE()))</f>
        <v/>
      </c>
      <c r="BM181" s="104" t="str">
        <f aca="false">IF($BA181&gt;$AZ$7,"",VLOOKUP($BA181,$BC$8:$BI$507,4,FALSE()))</f>
        <v/>
      </c>
      <c r="BN181" s="104" t="str">
        <f aca="false">IF($BA181&gt;$AZ$7,"",VLOOKUP($BA181,$BC$8:$BI$507,5,FALSE()))</f>
        <v/>
      </c>
      <c r="BO181" s="105" t="str">
        <f aca="false">IF($BA181&gt;$AZ$7,"",VLOOKUP($BA181,$BC$8:$BI$507,6,FALSE()))</f>
        <v/>
      </c>
      <c r="BP181" s="52"/>
    </row>
    <row r="182" customFormat="false" ht="15.75" hidden="false" customHeight="false" outlineLevel="0" collapsed="false">
      <c r="A182" s="5"/>
      <c r="B182" s="118"/>
      <c r="C182" s="54"/>
      <c r="D182" s="55"/>
      <c r="E182" s="79"/>
      <c r="F182" s="57"/>
      <c r="G182" s="58"/>
      <c r="H182" s="58"/>
      <c r="I182" s="57"/>
      <c r="J182" s="58"/>
      <c r="K182" s="58"/>
      <c r="L182" s="57"/>
      <c r="M182" s="79"/>
      <c r="N182" s="60"/>
      <c r="O182" s="62" t="str">
        <f aca="false">IF(ISBLANK($C182),"",IF(E182=Constants!$B$2, TRUE(), IF(E182=Constants!$B$3, FALSE(), TRUE())))</f>
        <v/>
      </c>
      <c r="P182" s="62" t="str">
        <f aca="false">IF(ISBLANK($C182),"",IF(F182=Constants!$B$16,Constants!$B$9,IF(F182=Constants!$B$17,Constants!$B$10,Constants!$B$8)))</f>
        <v/>
      </c>
      <c r="Q182" s="62" t="str">
        <f aca="false">IF(ISBLANK($C182),"",IF(ISNUMBER(G182),IF(G182&gt;=0,G182,""),""))</f>
        <v/>
      </c>
      <c r="R182" s="62" t="str">
        <f aca="false">IF(ISBLANK($C182),"",IF(H182=Constants!$B$2, TRUE(), IF(H182=Constants!$B$3, FALSE(), TRUE())))</f>
        <v/>
      </c>
      <c r="S182" s="62" t="str">
        <f aca="false">IF(ISBLANK($C182),"",IF(I182=Constants!$B$2, TRUE(), IF(I182=Constants!$B$3, FALSE(), TRUE())))</f>
        <v/>
      </c>
      <c r="T182" s="62" t="str">
        <f aca="false">IF(ISBLANK($C182),"",IF(ISNUMBER(J182),IF(J182&gt;=0,J182,""),""))</f>
        <v/>
      </c>
      <c r="U182" s="62" t="str">
        <f aca="false">IF(ISBLANK($C182),"",IF(K182=Constants!$B$2, TRUE(), IF(K182=Constants!$B$3, FALSE(), TRUE())))</f>
        <v/>
      </c>
      <c r="V182" s="62" t="str">
        <f aca="false">IF(ISBLANK($C182),"",IF(L182=Constants!$B$2, TRUE(), IF(L182=Constants!$B$3, FALSE(), TRUE())))</f>
        <v/>
      </c>
      <c r="W182" s="62" t="str">
        <f aca="false">IF(ISBLANK($C182),"",IF(M182=Constants!$B$2, TRUE(), IF(M182=Constants!$B$3, FALSE(), FALSE())))</f>
        <v/>
      </c>
      <c r="X182" s="62" t="str">
        <f aca="false">IF(ISBLANK($C182),"",AND(Q182&lt;&gt;"",O182))</f>
        <v/>
      </c>
      <c r="Y182" s="62" t="str">
        <f aca="false">IF(ISBLANK($C182),"",AND(T182&lt;&gt;"",O182))</f>
        <v/>
      </c>
      <c r="Z182" s="62" t="str">
        <f aca="false">IF(ISBLANK($C182),"",IF(W182,Constants!$B$4,IF(COUNTA(E182:L182)=0,Constants!$B$5,IF(NOT(O182),Constants!$B$6,IF(AND(NOT(X182),NOT(Y182)),Constants!$B$6,Constants!$B$7)))))</f>
        <v/>
      </c>
      <c r="AA182" s="62" t="str">
        <f aca="false">IF(ISBLANK($C182),"",IF($Z182&lt;&gt;Constants!$B$7,$Z182,Constants!$B$20))</f>
        <v/>
      </c>
      <c r="AB182" s="62" t="str">
        <f aca="false">IF($Z182=Constants!$B$7,IF(X182,Q182,Constants!$B$13),"")</f>
        <v/>
      </c>
      <c r="AC182" s="62" t="str">
        <f aca="false">IF($Z182=Constants!$B$7,IF(X182,P182*IF(R182, 1, Constants!$B$11)*IF(S182, 1, Constants!$B$12),Constants!$B$13),"")</f>
        <v/>
      </c>
      <c r="AD182" s="62" t="str">
        <f aca="false">IF($Z182=Constants!$B$7,AB182*AC182,"")</f>
        <v/>
      </c>
      <c r="AE182" s="62" t="str">
        <f aca="false">IF($Z182=Constants!$B$7,IF(Y182,T182,Constants!$B$13),"")</f>
        <v/>
      </c>
      <c r="AF182" s="62" t="str">
        <f aca="false">IF($Z182=Constants!$B$7,IF(Y182,P182*IF(U182, 1, Constants!$B$11)*IF(V182, 1, Constants!$B$12),Constants!$B$13),"")</f>
        <v/>
      </c>
      <c r="AG182" s="62" t="str">
        <f aca="false">IF($Z182=Constants!$B$7,AE182*AF182,"")</f>
        <v/>
      </c>
      <c r="AH182" s="62" t="str">
        <f aca="false">IF($Z182=Constants!$B$7,IF(AG182&gt;AD182,2,1),"")</f>
        <v/>
      </c>
      <c r="AI182" s="62" t="str">
        <f aca="false">IF($Z182=Constants!$B$7,IF(AH182=1,2,1),"")</f>
        <v/>
      </c>
      <c r="AJ182" s="62" t="str">
        <f aca="false">IF(ISBLANK($C182),"",IF($Z182&lt;&gt;Constants!$B$7,$Z182,IF(AH182=1,AD182,AG182)))</f>
        <v/>
      </c>
      <c r="AK182" s="62" t="str">
        <f aca="false">IF(ISBLANK($C182),"",IF($Z182=Constants!$B$7,IF(ISNUMBER(AJ182),RANK(AJ182,$AJ$8:$AJ$507),Constants!$B$14),$Z182))</f>
        <v/>
      </c>
      <c r="AL182" s="62" t="str">
        <f aca="false">IF(ISBLANK($C182),"",IF($Z182=Constants!$B$7,IF(AI182=1,AD182,AG182),""))</f>
        <v/>
      </c>
      <c r="AM182" s="62" t="str">
        <f aca="false">IF(ISBLANK($C182),"",IF($Z182=Constants!$B$7,RANK(AL182,$AL$8:$AL$507),$Z182))</f>
        <v/>
      </c>
      <c r="AN182" s="62" t="str">
        <f aca="false">IF(ISBLANK($C182),"",IF($Z182=Constants!$B$7,IF(ISNUMBER(AK182),COUNTIFS($AK$8:$AK$507,"&lt;"&amp;$AK182)+COUNTIFS($AK$8:$AK$507,$AK182,$AM$8:$AM$507,"&lt;"&amp;$AM182)+1,Constants!$B$14),$Z182))</f>
        <v/>
      </c>
      <c r="AO182" s="62" t="str">
        <f aca="false">IF(ISBLANK($C182),"",IF($Z182=Constants!$B$7,IF(ISNUMBER(AK182),AK182-AN182,Constants!$B$14),$Z182))</f>
        <v/>
      </c>
      <c r="AP182" s="64"/>
      <c r="AQ182" s="65" t="str">
        <f aca="false">IF(ISBLANK($C182),"",IF($Z182&lt;&gt;Constants!$B$7,"",AH182))</f>
        <v/>
      </c>
      <c r="AR182" s="80" t="str">
        <f aca="false">IF(ISBLANK($C182),"",IF($Z182&lt;&gt;Constants!$B$7,"",IF(AH182=1,AB182,AE182)))</f>
        <v/>
      </c>
      <c r="AS182" s="67" t="str">
        <f aca="false">IF(ISBLANK($C182),"",IF($Z182&lt;&gt;Constants!$B$7,"",IF(AH182=1,AC182,AF182)))</f>
        <v/>
      </c>
      <c r="AT182" s="68" t="str">
        <f aca="false">IF(ISBLANK($C182),"",IF($Z182&lt;&gt;Constants!$B$7,$Z182,AJ182))</f>
        <v/>
      </c>
      <c r="AU182" s="69" t="str">
        <f aca="false">IF(ISBLANK($C182),"",IF($Z182&lt;&gt;Constants!$B$7,$Z182,AA182))</f>
        <v/>
      </c>
      <c r="AV182" s="70" t="str">
        <f aca="false">IF(ISBLANK($C182),"",AO182)</f>
        <v/>
      </c>
      <c r="AW182" s="70" t="str">
        <f aca="false">IF(ISBLANK($C182),"",AN182)</f>
        <v/>
      </c>
      <c r="AX182" s="71" t="str">
        <f aca="false">IF(ISBLANK($C182),"",IFERROR(_xlfn.SWITCH(AW182,Constants!$B$4,COUNTA($C$8:$C$507)+2,Constants!$B$5,COUNTA($C$8:$C$507)+1,Constants!$B$6,COUNTA($C$8:$C$507)),AW182))</f>
        <v/>
      </c>
      <c r="AY182" s="5"/>
      <c r="AZ182" s="72" t="n">
        <f aca="false">IF(OR(ISNUMBER(AW182),AW182=Constants!$B$4,AW182=Constants!$B$6,AW182=Constants!$B$5),1,0)</f>
        <v>0</v>
      </c>
      <c r="BA182" s="72" t="n">
        <v>175</v>
      </c>
      <c r="BB182" s="72" t="str">
        <f aca="false">IF(ISBLANK($C182),"",IF(ISNUMBER(AX182),AX182+ROW($B182)/1000,""))</f>
        <v/>
      </c>
      <c r="BC182" s="72" t="str">
        <f aca="false">IF(ISNUMBER(BB182),RANK(BB182,$BB$8:$BB$507,1),"")</f>
        <v/>
      </c>
      <c r="BD182" s="72" t="str">
        <f aca="false">IF(ISBLANK($C182),"",$B182)</f>
        <v/>
      </c>
      <c r="BE182" s="72" t="str">
        <f aca="false">IF(ISBLANK($C182),"",$C182)</f>
        <v/>
      </c>
      <c r="BF182" s="72" t="str">
        <f aca="false">IF(ISBLANK($C182),"",$D182)</f>
        <v/>
      </c>
      <c r="BG182" s="73" t="str">
        <f aca="false">AU182</f>
        <v/>
      </c>
      <c r="BH182" s="74" t="str">
        <f aca="false">AT182</f>
        <v/>
      </c>
      <c r="BI182" s="72" t="str">
        <f aca="false">IF(ISBLANK($C182),"",AW182)</f>
        <v/>
      </c>
      <c r="BJ182" s="75" t="str">
        <f aca="false">IF($BA182&gt;$AZ$7,"",VLOOKUP($BA182,$BC$8:$BI$507,7,FALSE()))</f>
        <v/>
      </c>
      <c r="BK182" s="76" t="str">
        <f aca="false">IF($BA182&gt;$AZ$7,"",VLOOKUP($BA182,$BC$8:$BI$507,2,FALSE()))</f>
        <v/>
      </c>
      <c r="BL182" s="76" t="str">
        <f aca="false">IF($BA182&gt;$AZ$7,"",VLOOKUP($BA182,$BC$8:$BI$507,3,FALSE()))</f>
        <v/>
      </c>
      <c r="BM182" s="76" t="str">
        <f aca="false">IF($BA182&gt;$AZ$7,"",VLOOKUP($BA182,$BC$8:$BI$507,4,FALSE()))</f>
        <v/>
      </c>
      <c r="BN182" s="76" t="str">
        <f aca="false">IF($BA182&gt;$AZ$7,"",VLOOKUP($BA182,$BC$8:$BI$507,5,FALSE()))</f>
        <v/>
      </c>
      <c r="BO182" s="77" t="str">
        <f aca="false">IF($BA182&gt;$AZ$7,"",VLOOKUP($BA182,$BC$8:$BI$507,6,FALSE()))</f>
        <v/>
      </c>
      <c r="BP182" s="52"/>
    </row>
    <row r="183" customFormat="false" ht="15.75" hidden="false" customHeight="false" outlineLevel="0" collapsed="false">
      <c r="A183" s="5"/>
      <c r="B183" s="118"/>
      <c r="C183" s="54"/>
      <c r="D183" s="55"/>
      <c r="E183" s="79"/>
      <c r="F183" s="57"/>
      <c r="G183" s="58"/>
      <c r="H183" s="58"/>
      <c r="I183" s="57"/>
      <c r="J183" s="58"/>
      <c r="K183" s="58"/>
      <c r="L183" s="57"/>
      <c r="M183" s="79"/>
      <c r="N183" s="60"/>
      <c r="O183" s="62" t="str">
        <f aca="false">IF(ISBLANK($C183),"",IF(E183=Constants!$B$2, TRUE(), IF(E183=Constants!$B$3, FALSE(), TRUE())))</f>
        <v/>
      </c>
      <c r="P183" s="62" t="str">
        <f aca="false">IF(ISBLANK($C183),"",IF(F183=Constants!$B$16,Constants!$B$9,IF(F183=Constants!$B$17,Constants!$B$10,Constants!$B$8)))</f>
        <v/>
      </c>
      <c r="Q183" s="62" t="str">
        <f aca="false">IF(ISBLANK($C183),"",IF(ISNUMBER(G183),IF(G183&gt;=0,G183,""),""))</f>
        <v/>
      </c>
      <c r="R183" s="62" t="str">
        <f aca="false">IF(ISBLANK($C183),"",IF(H183=Constants!$B$2, TRUE(), IF(H183=Constants!$B$3, FALSE(), TRUE())))</f>
        <v/>
      </c>
      <c r="S183" s="62" t="str">
        <f aca="false">IF(ISBLANK($C183),"",IF(I183=Constants!$B$2, TRUE(), IF(I183=Constants!$B$3, FALSE(), TRUE())))</f>
        <v/>
      </c>
      <c r="T183" s="62" t="str">
        <f aca="false">IF(ISBLANK($C183),"",IF(ISNUMBER(J183),IF(J183&gt;=0,J183,""),""))</f>
        <v/>
      </c>
      <c r="U183" s="62" t="str">
        <f aca="false">IF(ISBLANK($C183),"",IF(K183=Constants!$B$2, TRUE(), IF(K183=Constants!$B$3, FALSE(), TRUE())))</f>
        <v/>
      </c>
      <c r="V183" s="62" t="str">
        <f aca="false">IF(ISBLANK($C183),"",IF(L183=Constants!$B$2, TRUE(), IF(L183=Constants!$B$3, FALSE(), TRUE())))</f>
        <v/>
      </c>
      <c r="W183" s="62" t="str">
        <f aca="false">IF(ISBLANK($C183),"",IF(M183=Constants!$B$2, TRUE(), IF(M183=Constants!$B$3, FALSE(), FALSE())))</f>
        <v/>
      </c>
      <c r="X183" s="62" t="str">
        <f aca="false">IF(ISBLANK($C183),"",AND(Q183&lt;&gt;"",O183))</f>
        <v/>
      </c>
      <c r="Y183" s="62" t="str">
        <f aca="false">IF(ISBLANK($C183),"",AND(T183&lt;&gt;"",O183))</f>
        <v/>
      </c>
      <c r="Z183" s="62" t="str">
        <f aca="false">IF(ISBLANK($C183),"",IF(W183,Constants!$B$4,IF(COUNTA(E183:L183)=0,Constants!$B$5,IF(NOT(O183),Constants!$B$6,IF(AND(NOT(X183),NOT(Y183)),Constants!$B$6,Constants!$B$7)))))</f>
        <v/>
      </c>
      <c r="AA183" s="62" t="str">
        <f aca="false">IF(ISBLANK($C183),"",IF($Z183&lt;&gt;Constants!$B$7,$Z183,Constants!$B$20))</f>
        <v/>
      </c>
      <c r="AB183" s="62" t="str">
        <f aca="false">IF($Z183=Constants!$B$7,IF(X183,Q183,Constants!$B$13),"")</f>
        <v/>
      </c>
      <c r="AC183" s="62" t="str">
        <f aca="false">IF($Z183=Constants!$B$7,IF(X183,P183*IF(R183, 1, Constants!$B$11)*IF(S183, 1, Constants!$B$12),Constants!$B$13),"")</f>
        <v/>
      </c>
      <c r="AD183" s="62" t="str">
        <f aca="false">IF($Z183=Constants!$B$7,AB183*AC183,"")</f>
        <v/>
      </c>
      <c r="AE183" s="62" t="str">
        <f aca="false">IF($Z183=Constants!$B$7,IF(Y183,T183,Constants!$B$13),"")</f>
        <v/>
      </c>
      <c r="AF183" s="62" t="str">
        <f aca="false">IF($Z183=Constants!$B$7,IF(Y183,P183*IF(U183, 1, Constants!$B$11)*IF(V183, 1, Constants!$B$12),Constants!$B$13),"")</f>
        <v/>
      </c>
      <c r="AG183" s="62" t="str">
        <f aca="false">IF($Z183=Constants!$B$7,AE183*AF183,"")</f>
        <v/>
      </c>
      <c r="AH183" s="62" t="str">
        <f aca="false">IF($Z183=Constants!$B$7,IF(AG183&gt;AD183,2,1),"")</f>
        <v/>
      </c>
      <c r="AI183" s="62" t="str">
        <f aca="false">IF($Z183=Constants!$B$7,IF(AH183=1,2,1),"")</f>
        <v/>
      </c>
      <c r="AJ183" s="62" t="str">
        <f aca="false">IF(ISBLANK($C183),"",IF($Z183&lt;&gt;Constants!$B$7,$Z183,IF(AH183=1,AD183,AG183)))</f>
        <v/>
      </c>
      <c r="AK183" s="62" t="str">
        <f aca="false">IF(ISBLANK($C183),"",IF($Z183=Constants!$B$7,IF(ISNUMBER(AJ183),RANK(AJ183,$AJ$8:$AJ$507),Constants!$B$14),$Z183))</f>
        <v/>
      </c>
      <c r="AL183" s="62" t="str">
        <f aca="false">IF(ISBLANK($C183),"",IF($Z183=Constants!$B$7,IF(AI183=1,AD183,AG183),""))</f>
        <v/>
      </c>
      <c r="AM183" s="62" t="str">
        <f aca="false">IF(ISBLANK($C183),"",IF($Z183=Constants!$B$7,RANK(AL183,$AL$8:$AL$507),$Z183))</f>
        <v/>
      </c>
      <c r="AN183" s="62" t="str">
        <f aca="false">IF(ISBLANK($C183),"",IF($Z183=Constants!$B$7,IF(ISNUMBER(AK183),COUNTIFS($AK$8:$AK$507,"&lt;"&amp;$AK183)+COUNTIFS($AK$8:$AK$507,$AK183,$AM$8:$AM$507,"&lt;"&amp;$AM183)+1,Constants!$B$14),$Z183))</f>
        <v/>
      </c>
      <c r="AO183" s="62" t="str">
        <f aca="false">IF(ISBLANK($C183),"",IF($Z183=Constants!$B$7,IF(ISNUMBER(AK183),AK183-AN183,Constants!$B$14),$Z183))</f>
        <v/>
      </c>
      <c r="AP183" s="64"/>
      <c r="AQ183" s="65" t="str">
        <f aca="false">IF(ISBLANK($C183),"",IF($Z183&lt;&gt;Constants!$B$7,"",AH183))</f>
        <v/>
      </c>
      <c r="AR183" s="80" t="str">
        <f aca="false">IF(ISBLANK($C183),"",IF($Z183&lt;&gt;Constants!$B$7,"",IF(AH183=1,AB183,AE183)))</f>
        <v/>
      </c>
      <c r="AS183" s="67" t="str">
        <f aca="false">IF(ISBLANK($C183),"",IF($Z183&lt;&gt;Constants!$B$7,"",IF(AH183=1,AC183,AF183)))</f>
        <v/>
      </c>
      <c r="AT183" s="68" t="str">
        <f aca="false">IF(ISBLANK($C183),"",IF($Z183&lt;&gt;Constants!$B$7,$Z183,AJ183))</f>
        <v/>
      </c>
      <c r="AU183" s="69" t="str">
        <f aca="false">IF(ISBLANK($C183),"",IF($Z183&lt;&gt;Constants!$B$7,$Z183,AA183))</f>
        <v/>
      </c>
      <c r="AV183" s="70" t="str">
        <f aca="false">IF(ISBLANK($C183),"",AO183)</f>
        <v/>
      </c>
      <c r="AW183" s="70" t="str">
        <f aca="false">IF(ISBLANK($C183),"",AN183)</f>
        <v/>
      </c>
      <c r="AX183" s="71" t="str">
        <f aca="false">IF(ISBLANK($C183),"",IFERROR(_xlfn.SWITCH(AW183,Constants!$B$4,COUNTA($C$8:$C$507)+2,Constants!$B$5,COUNTA($C$8:$C$507)+1,Constants!$B$6,COUNTA($C$8:$C$507)),AW183))</f>
        <v/>
      </c>
      <c r="AY183" s="5"/>
      <c r="AZ183" s="72" t="n">
        <f aca="false">IF(OR(ISNUMBER(AW183),AW183=Constants!$B$4,AW183=Constants!$B$6,AW183=Constants!$B$5),1,0)</f>
        <v>0</v>
      </c>
      <c r="BA183" s="72" t="n">
        <v>176</v>
      </c>
      <c r="BB183" s="72" t="str">
        <f aca="false">IF(ISBLANK($C183),"",IF(ISNUMBER(AX183),AX183+ROW($B183)/1000,""))</f>
        <v/>
      </c>
      <c r="BC183" s="72" t="str">
        <f aca="false">IF(ISNUMBER(BB183),RANK(BB183,$BB$8:$BB$507,1),"")</f>
        <v/>
      </c>
      <c r="BD183" s="72" t="str">
        <f aca="false">IF(ISBLANK($C183),"",$B183)</f>
        <v/>
      </c>
      <c r="BE183" s="72" t="str">
        <f aca="false">IF(ISBLANK($C183),"",$C183)</f>
        <v/>
      </c>
      <c r="BF183" s="72" t="str">
        <f aca="false">IF(ISBLANK($C183),"",$D183)</f>
        <v/>
      </c>
      <c r="BG183" s="73" t="str">
        <f aca="false">AU183</f>
        <v/>
      </c>
      <c r="BH183" s="74" t="str">
        <f aca="false">AT183</f>
        <v/>
      </c>
      <c r="BI183" s="72" t="str">
        <f aca="false">IF(ISBLANK($C183),"",AW183)</f>
        <v/>
      </c>
      <c r="BJ183" s="75" t="str">
        <f aca="false">IF($BA183&gt;$AZ$7,"",VLOOKUP($BA183,$BC$8:$BI$507,7,FALSE()))</f>
        <v/>
      </c>
      <c r="BK183" s="76" t="str">
        <f aca="false">IF($BA183&gt;$AZ$7,"",VLOOKUP($BA183,$BC$8:$BI$507,2,FALSE()))</f>
        <v/>
      </c>
      <c r="BL183" s="76" t="str">
        <f aca="false">IF($BA183&gt;$AZ$7,"",VLOOKUP($BA183,$BC$8:$BI$507,3,FALSE()))</f>
        <v/>
      </c>
      <c r="BM183" s="76" t="str">
        <f aca="false">IF($BA183&gt;$AZ$7,"",VLOOKUP($BA183,$BC$8:$BI$507,4,FALSE()))</f>
        <v/>
      </c>
      <c r="BN183" s="76" t="str">
        <f aca="false">IF($BA183&gt;$AZ$7,"",VLOOKUP($BA183,$BC$8:$BI$507,5,FALSE()))</f>
        <v/>
      </c>
      <c r="BO183" s="77" t="str">
        <f aca="false">IF($BA183&gt;$AZ$7,"",VLOOKUP($BA183,$BC$8:$BI$507,6,FALSE()))</f>
        <v/>
      </c>
      <c r="BP183" s="52"/>
    </row>
    <row r="184" customFormat="false" ht="15.75" hidden="false" customHeight="false" outlineLevel="0" collapsed="false">
      <c r="A184" s="5"/>
      <c r="B184" s="118"/>
      <c r="C184" s="54"/>
      <c r="D184" s="55"/>
      <c r="E184" s="79"/>
      <c r="F184" s="57"/>
      <c r="G184" s="58"/>
      <c r="H184" s="58"/>
      <c r="I184" s="57"/>
      <c r="J184" s="58"/>
      <c r="K184" s="58"/>
      <c r="L184" s="57"/>
      <c r="M184" s="79"/>
      <c r="N184" s="60"/>
      <c r="O184" s="62" t="str">
        <f aca="false">IF(ISBLANK($C184),"",IF(E184=Constants!$B$2, TRUE(), IF(E184=Constants!$B$3, FALSE(), TRUE())))</f>
        <v/>
      </c>
      <c r="P184" s="62" t="str">
        <f aca="false">IF(ISBLANK($C184),"",IF(F184=Constants!$B$16,Constants!$B$9,IF(F184=Constants!$B$17,Constants!$B$10,Constants!$B$8)))</f>
        <v/>
      </c>
      <c r="Q184" s="62" t="str">
        <f aca="false">IF(ISBLANK($C184),"",IF(ISNUMBER(G184),IF(G184&gt;=0,G184,""),""))</f>
        <v/>
      </c>
      <c r="R184" s="62" t="str">
        <f aca="false">IF(ISBLANK($C184),"",IF(H184=Constants!$B$2, TRUE(), IF(H184=Constants!$B$3, FALSE(), TRUE())))</f>
        <v/>
      </c>
      <c r="S184" s="62" t="str">
        <f aca="false">IF(ISBLANK($C184),"",IF(I184=Constants!$B$2, TRUE(), IF(I184=Constants!$B$3, FALSE(), TRUE())))</f>
        <v/>
      </c>
      <c r="T184" s="62" t="str">
        <f aca="false">IF(ISBLANK($C184),"",IF(ISNUMBER(J184),IF(J184&gt;=0,J184,""),""))</f>
        <v/>
      </c>
      <c r="U184" s="62" t="str">
        <f aca="false">IF(ISBLANK($C184),"",IF(K184=Constants!$B$2, TRUE(), IF(K184=Constants!$B$3, FALSE(), TRUE())))</f>
        <v/>
      </c>
      <c r="V184" s="62" t="str">
        <f aca="false">IF(ISBLANK($C184),"",IF(L184=Constants!$B$2, TRUE(), IF(L184=Constants!$B$3, FALSE(), TRUE())))</f>
        <v/>
      </c>
      <c r="W184" s="62" t="str">
        <f aca="false">IF(ISBLANK($C184),"",IF(M184=Constants!$B$2, TRUE(), IF(M184=Constants!$B$3, FALSE(), FALSE())))</f>
        <v/>
      </c>
      <c r="X184" s="62" t="str">
        <f aca="false">IF(ISBLANK($C184),"",AND(Q184&lt;&gt;"",O184))</f>
        <v/>
      </c>
      <c r="Y184" s="62" t="str">
        <f aca="false">IF(ISBLANK($C184),"",AND(T184&lt;&gt;"",O184))</f>
        <v/>
      </c>
      <c r="Z184" s="62" t="str">
        <f aca="false">IF(ISBLANK($C184),"",IF(W184,Constants!$B$4,IF(COUNTA(E184:L184)=0,Constants!$B$5,IF(NOT(O184),Constants!$B$6,IF(AND(NOT(X184),NOT(Y184)),Constants!$B$6,Constants!$B$7)))))</f>
        <v/>
      </c>
      <c r="AA184" s="62" t="str">
        <f aca="false">IF(ISBLANK($C184),"",IF($Z184&lt;&gt;Constants!$B$7,$Z184,Constants!$B$20))</f>
        <v/>
      </c>
      <c r="AB184" s="62" t="str">
        <f aca="false">IF($Z184=Constants!$B$7,IF(X184,Q184,Constants!$B$13),"")</f>
        <v/>
      </c>
      <c r="AC184" s="62" t="str">
        <f aca="false">IF($Z184=Constants!$B$7,IF(X184,P184*IF(R184, 1, Constants!$B$11)*IF(S184, 1, Constants!$B$12),Constants!$B$13),"")</f>
        <v/>
      </c>
      <c r="AD184" s="62" t="str">
        <f aca="false">IF($Z184=Constants!$B$7,AB184*AC184,"")</f>
        <v/>
      </c>
      <c r="AE184" s="62" t="str">
        <f aca="false">IF($Z184=Constants!$B$7,IF(Y184,T184,Constants!$B$13),"")</f>
        <v/>
      </c>
      <c r="AF184" s="62" t="str">
        <f aca="false">IF($Z184=Constants!$B$7,IF(Y184,P184*IF(U184, 1, Constants!$B$11)*IF(V184, 1, Constants!$B$12),Constants!$B$13),"")</f>
        <v/>
      </c>
      <c r="AG184" s="62" t="str">
        <f aca="false">IF($Z184=Constants!$B$7,AE184*AF184,"")</f>
        <v/>
      </c>
      <c r="AH184" s="62" t="str">
        <f aca="false">IF($Z184=Constants!$B$7,IF(AG184&gt;AD184,2,1),"")</f>
        <v/>
      </c>
      <c r="AI184" s="62" t="str">
        <f aca="false">IF($Z184=Constants!$B$7,IF(AH184=1,2,1),"")</f>
        <v/>
      </c>
      <c r="AJ184" s="62" t="str">
        <f aca="false">IF(ISBLANK($C184),"",IF($Z184&lt;&gt;Constants!$B$7,$Z184,IF(AH184=1,AD184,AG184)))</f>
        <v/>
      </c>
      <c r="AK184" s="62" t="str">
        <f aca="false">IF(ISBLANK($C184),"",IF($Z184=Constants!$B$7,IF(ISNUMBER(AJ184),RANK(AJ184,$AJ$8:$AJ$507),Constants!$B$14),$Z184))</f>
        <v/>
      </c>
      <c r="AL184" s="62" t="str">
        <f aca="false">IF(ISBLANK($C184),"",IF($Z184=Constants!$B$7,IF(AI184=1,AD184,AG184),""))</f>
        <v/>
      </c>
      <c r="AM184" s="62" t="str">
        <f aca="false">IF(ISBLANK($C184),"",IF($Z184=Constants!$B$7,RANK(AL184,$AL$8:$AL$507),$Z184))</f>
        <v/>
      </c>
      <c r="AN184" s="62" t="str">
        <f aca="false">IF(ISBLANK($C184),"",IF($Z184=Constants!$B$7,IF(ISNUMBER(AK184),COUNTIFS($AK$8:$AK$507,"&lt;"&amp;$AK184)+COUNTIFS($AK$8:$AK$507,$AK184,$AM$8:$AM$507,"&lt;"&amp;$AM184)+1,Constants!$B$14),$Z184))</f>
        <v/>
      </c>
      <c r="AO184" s="62" t="str">
        <f aca="false">IF(ISBLANK($C184),"",IF($Z184=Constants!$B$7,IF(ISNUMBER(AK184),AK184-AN184,Constants!$B$14),$Z184))</f>
        <v/>
      </c>
      <c r="AP184" s="64"/>
      <c r="AQ184" s="65" t="str">
        <f aca="false">IF(ISBLANK($C184),"",IF($Z184&lt;&gt;Constants!$B$7,"",AH184))</f>
        <v/>
      </c>
      <c r="AR184" s="80" t="str">
        <f aca="false">IF(ISBLANK($C184),"",IF($Z184&lt;&gt;Constants!$B$7,"",IF(AH184=1,AB184,AE184)))</f>
        <v/>
      </c>
      <c r="AS184" s="67" t="str">
        <f aca="false">IF(ISBLANK($C184),"",IF($Z184&lt;&gt;Constants!$B$7,"",IF(AH184=1,AC184,AF184)))</f>
        <v/>
      </c>
      <c r="AT184" s="68" t="str">
        <f aca="false">IF(ISBLANK($C184),"",IF($Z184&lt;&gt;Constants!$B$7,$Z184,AJ184))</f>
        <v/>
      </c>
      <c r="AU184" s="69" t="str">
        <f aca="false">IF(ISBLANK($C184),"",IF($Z184&lt;&gt;Constants!$B$7,$Z184,AA184))</f>
        <v/>
      </c>
      <c r="AV184" s="70" t="str">
        <f aca="false">IF(ISBLANK($C184),"",AO184)</f>
        <v/>
      </c>
      <c r="AW184" s="70" t="str">
        <f aca="false">IF(ISBLANK($C184),"",AN184)</f>
        <v/>
      </c>
      <c r="AX184" s="71" t="str">
        <f aca="false">IF(ISBLANK($C184),"",IFERROR(_xlfn.SWITCH(AW184,Constants!$B$4,COUNTA($C$8:$C$507)+2,Constants!$B$5,COUNTA($C$8:$C$507)+1,Constants!$B$6,COUNTA($C$8:$C$507)),AW184))</f>
        <v/>
      </c>
      <c r="AY184" s="5"/>
      <c r="AZ184" s="72" t="n">
        <f aca="false">IF(OR(ISNUMBER(AW184),AW184=Constants!$B$4,AW184=Constants!$B$6,AW184=Constants!$B$5),1,0)</f>
        <v>0</v>
      </c>
      <c r="BA184" s="72" t="n">
        <v>177</v>
      </c>
      <c r="BB184" s="72" t="str">
        <f aca="false">IF(ISBLANK($C184),"",IF(ISNUMBER(AX184),AX184+ROW($B184)/1000,""))</f>
        <v/>
      </c>
      <c r="BC184" s="72" t="str">
        <f aca="false">IF(ISNUMBER(BB184),RANK(BB184,$BB$8:$BB$507,1),"")</f>
        <v/>
      </c>
      <c r="BD184" s="72" t="str">
        <f aca="false">IF(ISBLANK($C184),"",$B184)</f>
        <v/>
      </c>
      <c r="BE184" s="72" t="str">
        <f aca="false">IF(ISBLANK($C184),"",$C184)</f>
        <v/>
      </c>
      <c r="BF184" s="72" t="str">
        <f aca="false">IF(ISBLANK($C184),"",$D184)</f>
        <v/>
      </c>
      <c r="BG184" s="73" t="str">
        <f aca="false">AU184</f>
        <v/>
      </c>
      <c r="BH184" s="74" t="str">
        <f aca="false">AT184</f>
        <v/>
      </c>
      <c r="BI184" s="72" t="str">
        <f aca="false">IF(ISBLANK($C184),"",AW184)</f>
        <v/>
      </c>
      <c r="BJ184" s="75" t="str">
        <f aca="false">IF($BA184&gt;$AZ$7,"",VLOOKUP($BA184,$BC$8:$BI$507,7,FALSE()))</f>
        <v/>
      </c>
      <c r="BK184" s="76" t="str">
        <f aca="false">IF($BA184&gt;$AZ$7,"",VLOOKUP($BA184,$BC$8:$BI$507,2,FALSE()))</f>
        <v/>
      </c>
      <c r="BL184" s="76" t="str">
        <f aca="false">IF($BA184&gt;$AZ$7,"",VLOOKUP($BA184,$BC$8:$BI$507,3,FALSE()))</f>
        <v/>
      </c>
      <c r="BM184" s="76" t="str">
        <f aca="false">IF($BA184&gt;$AZ$7,"",VLOOKUP($BA184,$BC$8:$BI$507,4,FALSE()))</f>
        <v/>
      </c>
      <c r="BN184" s="76" t="str">
        <f aca="false">IF($BA184&gt;$AZ$7,"",VLOOKUP($BA184,$BC$8:$BI$507,5,FALSE()))</f>
        <v/>
      </c>
      <c r="BO184" s="77" t="str">
        <f aca="false">IF($BA184&gt;$AZ$7,"",VLOOKUP($BA184,$BC$8:$BI$507,6,FALSE()))</f>
        <v/>
      </c>
      <c r="BP184" s="52"/>
    </row>
    <row r="185" customFormat="false" ht="15.75" hidden="false" customHeight="false" outlineLevel="0" collapsed="false">
      <c r="A185" s="5"/>
      <c r="B185" s="114"/>
      <c r="C185" s="115"/>
      <c r="D185" s="106"/>
      <c r="E185" s="117"/>
      <c r="F185" s="87"/>
      <c r="G185" s="88"/>
      <c r="H185" s="88"/>
      <c r="I185" s="87"/>
      <c r="J185" s="88"/>
      <c r="K185" s="88"/>
      <c r="L185" s="87"/>
      <c r="M185" s="117"/>
      <c r="N185" s="90"/>
      <c r="O185" s="91" t="str">
        <f aca="false">IF(ISBLANK($C185),"",IF(E185=Constants!$B$2, TRUE(), IF(E185=Constants!$B$3, FALSE(), TRUE())))</f>
        <v/>
      </c>
      <c r="P185" s="91" t="str">
        <f aca="false">IF(ISBLANK($C185),"",IF(F185=Constants!$B$16,Constants!$B$9,IF(F185=Constants!$B$17,Constants!$B$10,Constants!$B$8)))</f>
        <v/>
      </c>
      <c r="Q185" s="91" t="str">
        <f aca="false">IF(ISBLANK($C185),"",IF(ISNUMBER(G185),IF(G185&gt;=0,G185,""),""))</f>
        <v/>
      </c>
      <c r="R185" s="91" t="str">
        <f aca="false">IF(ISBLANK($C185),"",IF(H185=Constants!$B$2, TRUE(), IF(H185=Constants!$B$3, FALSE(), TRUE())))</f>
        <v/>
      </c>
      <c r="S185" s="91" t="str">
        <f aca="false">IF(ISBLANK($C185),"",IF(I185=Constants!$B$2, TRUE(), IF(I185=Constants!$B$3, FALSE(), TRUE())))</f>
        <v/>
      </c>
      <c r="T185" s="91" t="str">
        <f aca="false">IF(ISBLANK($C185),"",IF(ISNUMBER(J185),IF(J185&gt;=0,J185,""),""))</f>
        <v/>
      </c>
      <c r="U185" s="91" t="str">
        <f aca="false">IF(ISBLANK($C185),"",IF(K185=Constants!$B$2, TRUE(), IF(K185=Constants!$B$3, FALSE(), TRUE())))</f>
        <v/>
      </c>
      <c r="V185" s="91" t="str">
        <f aca="false">IF(ISBLANK($C185),"",IF(L185=Constants!$B$2, TRUE(), IF(L185=Constants!$B$3, FALSE(), TRUE())))</f>
        <v/>
      </c>
      <c r="W185" s="91" t="str">
        <f aca="false">IF(ISBLANK($C185),"",IF(M185=Constants!$B$2, TRUE(), IF(M185=Constants!$B$3, FALSE(), FALSE())))</f>
        <v/>
      </c>
      <c r="X185" s="91" t="str">
        <f aca="false">IF(ISBLANK($C185),"",AND(Q185&lt;&gt;"",O185))</f>
        <v/>
      </c>
      <c r="Y185" s="91" t="str">
        <f aca="false">IF(ISBLANK($C185),"",AND(T185&lt;&gt;"",O185))</f>
        <v/>
      </c>
      <c r="Z185" s="91" t="str">
        <f aca="false">IF(ISBLANK($C185),"",IF(W185,Constants!$B$4,IF(COUNTA(E185:L185)=0,Constants!$B$5,IF(NOT(O185),Constants!$B$6,IF(AND(NOT(X185),NOT(Y185)),Constants!$B$6,Constants!$B$7)))))</f>
        <v/>
      </c>
      <c r="AA185" s="91" t="str">
        <f aca="false">IF(ISBLANK($C185),"",IF($Z185&lt;&gt;Constants!$B$7,$Z185,Constants!$B$20))</f>
        <v/>
      </c>
      <c r="AB185" s="91" t="str">
        <f aca="false">IF($Z185=Constants!$B$7,IF(X185,Q185,Constants!$B$13),"")</f>
        <v/>
      </c>
      <c r="AC185" s="91" t="str">
        <f aca="false">IF($Z185=Constants!$B$7,IF(X185,P185*IF(R185, 1, Constants!$B$11)*IF(S185, 1, Constants!$B$12),Constants!$B$13),"")</f>
        <v/>
      </c>
      <c r="AD185" s="91" t="str">
        <f aca="false">IF($Z185=Constants!$B$7,AB185*AC185,"")</f>
        <v/>
      </c>
      <c r="AE185" s="91" t="str">
        <f aca="false">IF($Z185=Constants!$B$7,IF(Y185,T185,Constants!$B$13),"")</f>
        <v/>
      </c>
      <c r="AF185" s="91" t="str">
        <f aca="false">IF($Z185=Constants!$B$7,IF(Y185,P185*IF(U185, 1, Constants!$B$11)*IF(V185, 1, Constants!$B$12),Constants!$B$13),"")</f>
        <v/>
      </c>
      <c r="AG185" s="91" t="str">
        <f aca="false">IF($Z185=Constants!$B$7,AE185*AF185,"")</f>
        <v/>
      </c>
      <c r="AH185" s="91" t="str">
        <f aca="false">IF($Z185=Constants!$B$7,IF(AG185&gt;AD185,2,1),"")</f>
        <v/>
      </c>
      <c r="AI185" s="91" t="str">
        <f aca="false">IF($Z185=Constants!$B$7,IF(AH185=1,2,1),"")</f>
        <v/>
      </c>
      <c r="AJ185" s="91" t="str">
        <f aca="false">IF(ISBLANK($C185),"",IF($Z185&lt;&gt;Constants!$B$7,$Z185,IF(AH185=1,AD185,AG185)))</f>
        <v/>
      </c>
      <c r="AK185" s="91" t="str">
        <f aca="false">IF(ISBLANK($C185),"",IF($Z185=Constants!$B$7,IF(ISNUMBER(AJ185),RANK(AJ185,$AJ$8:$AJ$507),Constants!$B$14),$Z185))</f>
        <v/>
      </c>
      <c r="AL185" s="91" t="str">
        <f aca="false">IF(ISBLANK($C185),"",IF($Z185=Constants!$B$7,IF(AI185=1,AD185,AG185),""))</f>
        <v/>
      </c>
      <c r="AM185" s="91" t="str">
        <f aca="false">IF(ISBLANK($C185),"",IF($Z185=Constants!$B$7,RANK(AL185,$AL$8:$AL$507),$Z185))</f>
        <v/>
      </c>
      <c r="AN185" s="91" t="str">
        <f aca="false">IF(ISBLANK($C185),"",IF($Z185=Constants!$B$7,IF(ISNUMBER(AK185),COUNTIFS($AK$8:$AK$507,"&lt;"&amp;$AK185)+COUNTIFS($AK$8:$AK$507,$AK185,$AM$8:$AM$507,"&lt;"&amp;$AM185)+1,Constants!$B$14),$Z185))</f>
        <v/>
      </c>
      <c r="AO185" s="91" t="str">
        <f aca="false">IF(ISBLANK($C185),"",IF($Z185=Constants!$B$7,IF(ISNUMBER(AK185),AK185-AN185,Constants!$B$14),$Z185))</f>
        <v/>
      </c>
      <c r="AP185" s="92"/>
      <c r="AQ185" s="93" t="str">
        <f aca="false">IF(ISBLANK($C185),"",IF($Z185&lt;&gt;Constants!$B$7,"",AH185))</f>
        <v/>
      </c>
      <c r="AR185" s="94" t="str">
        <f aca="false">IF(ISBLANK($C185),"",IF($Z185&lt;&gt;Constants!$B$7,"",IF(AH185=1,AB185,AE185)))</f>
        <v/>
      </c>
      <c r="AS185" s="95" t="str">
        <f aca="false">IF(ISBLANK($C185),"",IF($Z185&lt;&gt;Constants!$B$7,"",IF(AH185=1,AC185,AF185)))</f>
        <v/>
      </c>
      <c r="AT185" s="96" t="str">
        <f aca="false">IF(ISBLANK($C185),"",IF($Z185&lt;&gt;Constants!$B$7,$Z185,AJ185))</f>
        <v/>
      </c>
      <c r="AU185" s="97" t="str">
        <f aca="false">IF(ISBLANK($C185),"",IF($Z185&lt;&gt;Constants!$B$7,$Z185,AA185))</f>
        <v/>
      </c>
      <c r="AV185" s="98" t="str">
        <f aca="false">IF(ISBLANK($C185),"",AO185)</f>
        <v/>
      </c>
      <c r="AW185" s="98" t="str">
        <f aca="false">IF(ISBLANK($C185),"",AN185)</f>
        <v/>
      </c>
      <c r="AX185" s="99" t="str">
        <f aca="false">IF(ISBLANK($C185),"",IFERROR(_xlfn.SWITCH(AW185,Constants!$B$4,COUNTA($C$8:$C$507)+2,Constants!$B$5,COUNTA($C$8:$C$507)+1,Constants!$B$6,COUNTA($C$8:$C$507)),AW185))</f>
        <v/>
      </c>
      <c r="AY185" s="5"/>
      <c r="AZ185" s="100" t="n">
        <f aca="false">IF(OR(ISNUMBER(AW185),AW185=Constants!$B$4,AW185=Constants!$B$6,AW185=Constants!$B$5),1,0)</f>
        <v>0</v>
      </c>
      <c r="BA185" s="100" t="n">
        <v>178</v>
      </c>
      <c r="BB185" s="100" t="str">
        <f aca="false">IF(ISBLANK($C185),"",IF(ISNUMBER(AX185),AX185+ROW($B185)/1000,""))</f>
        <v/>
      </c>
      <c r="BC185" s="100" t="str">
        <f aca="false">IF(ISNUMBER(BB185),RANK(BB185,$BB$8:$BB$507,1),"")</f>
        <v/>
      </c>
      <c r="BD185" s="100" t="str">
        <f aca="false">IF(ISBLANK($C185),"",$B185)</f>
        <v/>
      </c>
      <c r="BE185" s="100" t="str">
        <f aca="false">IF(ISBLANK($C185),"",$C185)</f>
        <v/>
      </c>
      <c r="BF185" s="100" t="str">
        <f aca="false">IF(ISBLANK($C185),"",$D185)</f>
        <v/>
      </c>
      <c r="BG185" s="101" t="str">
        <f aca="false">AU185</f>
        <v/>
      </c>
      <c r="BH185" s="102" t="str">
        <f aca="false">AT185</f>
        <v/>
      </c>
      <c r="BI185" s="100" t="str">
        <f aca="false">IF(ISBLANK($C185),"",AW185)</f>
        <v/>
      </c>
      <c r="BJ185" s="103" t="str">
        <f aca="false">IF($BA185&gt;$AZ$7,"",VLOOKUP($BA185,$BC$8:$BI$507,7,FALSE()))</f>
        <v/>
      </c>
      <c r="BK185" s="104" t="str">
        <f aca="false">IF($BA185&gt;$AZ$7,"",VLOOKUP($BA185,$BC$8:$BI$507,2,FALSE()))</f>
        <v/>
      </c>
      <c r="BL185" s="104" t="str">
        <f aca="false">IF($BA185&gt;$AZ$7,"",VLOOKUP($BA185,$BC$8:$BI$507,3,FALSE()))</f>
        <v/>
      </c>
      <c r="BM185" s="104" t="str">
        <f aca="false">IF($BA185&gt;$AZ$7,"",VLOOKUP($BA185,$BC$8:$BI$507,4,FALSE()))</f>
        <v/>
      </c>
      <c r="BN185" s="104" t="str">
        <f aca="false">IF($BA185&gt;$AZ$7,"",VLOOKUP($BA185,$BC$8:$BI$507,5,FALSE()))</f>
        <v/>
      </c>
      <c r="BO185" s="105" t="str">
        <f aca="false">IF($BA185&gt;$AZ$7,"",VLOOKUP($BA185,$BC$8:$BI$507,6,FALSE()))</f>
        <v/>
      </c>
      <c r="BP185" s="52"/>
    </row>
    <row r="186" customFormat="false" ht="15.75" hidden="false" customHeight="false" outlineLevel="0" collapsed="false">
      <c r="A186" s="5"/>
      <c r="B186" s="114"/>
      <c r="C186" s="115"/>
      <c r="D186" s="106"/>
      <c r="E186" s="117"/>
      <c r="F186" s="87"/>
      <c r="G186" s="88"/>
      <c r="H186" s="88"/>
      <c r="I186" s="87"/>
      <c r="J186" s="88"/>
      <c r="K186" s="88"/>
      <c r="L186" s="87"/>
      <c r="M186" s="117"/>
      <c r="N186" s="90"/>
      <c r="O186" s="91" t="str">
        <f aca="false">IF(ISBLANK($C186),"",IF(E186=Constants!$B$2, TRUE(), IF(E186=Constants!$B$3, FALSE(), TRUE())))</f>
        <v/>
      </c>
      <c r="P186" s="91" t="str">
        <f aca="false">IF(ISBLANK($C186),"",IF(F186=Constants!$B$16,Constants!$B$9,IF(F186=Constants!$B$17,Constants!$B$10,Constants!$B$8)))</f>
        <v/>
      </c>
      <c r="Q186" s="91" t="str">
        <f aca="false">IF(ISBLANK($C186),"",IF(ISNUMBER(G186),IF(G186&gt;=0,G186,""),""))</f>
        <v/>
      </c>
      <c r="R186" s="91" t="str">
        <f aca="false">IF(ISBLANK($C186),"",IF(H186=Constants!$B$2, TRUE(), IF(H186=Constants!$B$3, FALSE(), TRUE())))</f>
        <v/>
      </c>
      <c r="S186" s="91" t="str">
        <f aca="false">IF(ISBLANK($C186),"",IF(I186=Constants!$B$2, TRUE(), IF(I186=Constants!$B$3, FALSE(), TRUE())))</f>
        <v/>
      </c>
      <c r="T186" s="91" t="str">
        <f aca="false">IF(ISBLANK($C186),"",IF(ISNUMBER(J186),IF(J186&gt;=0,J186,""),""))</f>
        <v/>
      </c>
      <c r="U186" s="91" t="str">
        <f aca="false">IF(ISBLANK($C186),"",IF(K186=Constants!$B$2, TRUE(), IF(K186=Constants!$B$3, FALSE(), TRUE())))</f>
        <v/>
      </c>
      <c r="V186" s="91" t="str">
        <f aca="false">IF(ISBLANK($C186),"",IF(L186=Constants!$B$2, TRUE(), IF(L186=Constants!$B$3, FALSE(), TRUE())))</f>
        <v/>
      </c>
      <c r="W186" s="91" t="str">
        <f aca="false">IF(ISBLANK($C186),"",IF(M186=Constants!$B$2, TRUE(), IF(M186=Constants!$B$3, FALSE(), FALSE())))</f>
        <v/>
      </c>
      <c r="X186" s="91" t="str">
        <f aca="false">IF(ISBLANK($C186),"",AND(Q186&lt;&gt;"",O186))</f>
        <v/>
      </c>
      <c r="Y186" s="91" t="str">
        <f aca="false">IF(ISBLANK($C186),"",AND(T186&lt;&gt;"",O186))</f>
        <v/>
      </c>
      <c r="Z186" s="91" t="str">
        <f aca="false">IF(ISBLANK($C186),"",IF(W186,Constants!$B$4,IF(COUNTA(E186:L186)=0,Constants!$B$5,IF(NOT(O186),Constants!$B$6,IF(AND(NOT(X186),NOT(Y186)),Constants!$B$6,Constants!$B$7)))))</f>
        <v/>
      </c>
      <c r="AA186" s="91" t="str">
        <f aca="false">IF(ISBLANK($C186),"",IF($Z186&lt;&gt;Constants!$B$7,$Z186,Constants!$B$20))</f>
        <v/>
      </c>
      <c r="AB186" s="91" t="str">
        <f aca="false">IF($Z186=Constants!$B$7,IF(X186,Q186,Constants!$B$13),"")</f>
        <v/>
      </c>
      <c r="AC186" s="91" t="str">
        <f aca="false">IF($Z186=Constants!$B$7,IF(X186,P186*IF(R186, 1, Constants!$B$11)*IF(S186, 1, Constants!$B$12),Constants!$B$13),"")</f>
        <v/>
      </c>
      <c r="AD186" s="91" t="str">
        <f aca="false">IF($Z186=Constants!$B$7,AB186*AC186,"")</f>
        <v/>
      </c>
      <c r="AE186" s="91" t="str">
        <f aca="false">IF($Z186=Constants!$B$7,IF(Y186,T186,Constants!$B$13),"")</f>
        <v/>
      </c>
      <c r="AF186" s="91" t="str">
        <f aca="false">IF($Z186=Constants!$B$7,IF(Y186,P186*IF(U186, 1, Constants!$B$11)*IF(V186, 1, Constants!$B$12),Constants!$B$13),"")</f>
        <v/>
      </c>
      <c r="AG186" s="91" t="str">
        <f aca="false">IF($Z186=Constants!$B$7,AE186*AF186,"")</f>
        <v/>
      </c>
      <c r="AH186" s="91" t="str">
        <f aca="false">IF($Z186=Constants!$B$7,IF(AG186&gt;AD186,2,1),"")</f>
        <v/>
      </c>
      <c r="AI186" s="91" t="str">
        <f aca="false">IF($Z186=Constants!$B$7,IF(AH186=1,2,1),"")</f>
        <v/>
      </c>
      <c r="AJ186" s="91" t="str">
        <f aca="false">IF(ISBLANK($C186),"",IF($Z186&lt;&gt;Constants!$B$7,$Z186,IF(AH186=1,AD186,AG186)))</f>
        <v/>
      </c>
      <c r="AK186" s="91" t="str">
        <f aca="false">IF(ISBLANK($C186),"",IF($Z186=Constants!$B$7,IF(ISNUMBER(AJ186),RANK(AJ186,$AJ$8:$AJ$507),Constants!$B$14),$Z186))</f>
        <v/>
      </c>
      <c r="AL186" s="91" t="str">
        <f aca="false">IF(ISBLANK($C186),"",IF($Z186=Constants!$B$7,IF(AI186=1,AD186,AG186),""))</f>
        <v/>
      </c>
      <c r="AM186" s="91" t="str">
        <f aca="false">IF(ISBLANK($C186),"",IF($Z186=Constants!$B$7,RANK(AL186,$AL$8:$AL$507),$Z186))</f>
        <v/>
      </c>
      <c r="AN186" s="91" t="str">
        <f aca="false">IF(ISBLANK($C186),"",IF($Z186=Constants!$B$7,IF(ISNUMBER(AK186),COUNTIFS($AK$8:$AK$507,"&lt;"&amp;$AK186)+COUNTIFS($AK$8:$AK$507,$AK186,$AM$8:$AM$507,"&lt;"&amp;$AM186)+1,Constants!$B$14),$Z186))</f>
        <v/>
      </c>
      <c r="AO186" s="91" t="str">
        <f aca="false">IF(ISBLANK($C186),"",IF($Z186=Constants!$B$7,IF(ISNUMBER(AK186),AK186-AN186,Constants!$B$14),$Z186))</f>
        <v/>
      </c>
      <c r="AP186" s="92"/>
      <c r="AQ186" s="93" t="str">
        <f aca="false">IF(ISBLANK($C186),"",IF($Z186&lt;&gt;Constants!$B$7,"",AH186))</f>
        <v/>
      </c>
      <c r="AR186" s="94" t="str">
        <f aca="false">IF(ISBLANK($C186),"",IF($Z186&lt;&gt;Constants!$B$7,"",IF(AH186=1,AB186,AE186)))</f>
        <v/>
      </c>
      <c r="AS186" s="95" t="str">
        <f aca="false">IF(ISBLANK($C186),"",IF($Z186&lt;&gt;Constants!$B$7,"",IF(AH186=1,AC186,AF186)))</f>
        <v/>
      </c>
      <c r="AT186" s="96" t="str">
        <f aca="false">IF(ISBLANK($C186),"",IF($Z186&lt;&gt;Constants!$B$7,$Z186,AJ186))</f>
        <v/>
      </c>
      <c r="AU186" s="97" t="str">
        <f aca="false">IF(ISBLANK($C186),"",IF($Z186&lt;&gt;Constants!$B$7,$Z186,AA186))</f>
        <v/>
      </c>
      <c r="AV186" s="98" t="str">
        <f aca="false">IF(ISBLANK($C186),"",AO186)</f>
        <v/>
      </c>
      <c r="AW186" s="98" t="str">
        <f aca="false">IF(ISBLANK($C186),"",AN186)</f>
        <v/>
      </c>
      <c r="AX186" s="99" t="str">
        <f aca="false">IF(ISBLANK($C186),"",IFERROR(_xlfn.SWITCH(AW186,Constants!$B$4,COUNTA($C$8:$C$507)+2,Constants!$B$5,COUNTA($C$8:$C$507)+1,Constants!$B$6,COUNTA($C$8:$C$507)),AW186))</f>
        <v/>
      </c>
      <c r="AY186" s="5"/>
      <c r="AZ186" s="100" t="n">
        <f aca="false">IF(OR(ISNUMBER(AW186),AW186=Constants!$B$4,AW186=Constants!$B$6,AW186=Constants!$B$5),1,0)</f>
        <v>0</v>
      </c>
      <c r="BA186" s="100" t="n">
        <v>179</v>
      </c>
      <c r="BB186" s="100" t="str">
        <f aca="false">IF(ISBLANK($C186),"",IF(ISNUMBER(AX186),AX186+ROW($B186)/1000,""))</f>
        <v/>
      </c>
      <c r="BC186" s="100" t="str">
        <f aca="false">IF(ISNUMBER(BB186),RANK(BB186,$BB$8:$BB$507,1),"")</f>
        <v/>
      </c>
      <c r="BD186" s="100" t="str">
        <f aca="false">IF(ISBLANK($C186),"",$B186)</f>
        <v/>
      </c>
      <c r="BE186" s="100" t="str">
        <f aca="false">IF(ISBLANK($C186),"",$C186)</f>
        <v/>
      </c>
      <c r="BF186" s="100" t="str">
        <f aca="false">IF(ISBLANK($C186),"",$D186)</f>
        <v/>
      </c>
      <c r="BG186" s="101" t="str">
        <f aca="false">AU186</f>
        <v/>
      </c>
      <c r="BH186" s="102" t="str">
        <f aca="false">AT186</f>
        <v/>
      </c>
      <c r="BI186" s="100" t="str">
        <f aca="false">IF(ISBLANK($C186),"",AW186)</f>
        <v/>
      </c>
      <c r="BJ186" s="103" t="str">
        <f aca="false">IF($BA186&gt;$AZ$7,"",VLOOKUP($BA186,$BC$8:$BI$507,7,FALSE()))</f>
        <v/>
      </c>
      <c r="BK186" s="104" t="str">
        <f aca="false">IF($BA186&gt;$AZ$7,"",VLOOKUP($BA186,$BC$8:$BI$507,2,FALSE()))</f>
        <v/>
      </c>
      <c r="BL186" s="104" t="str">
        <f aca="false">IF($BA186&gt;$AZ$7,"",VLOOKUP($BA186,$BC$8:$BI$507,3,FALSE()))</f>
        <v/>
      </c>
      <c r="BM186" s="104" t="str">
        <f aca="false">IF($BA186&gt;$AZ$7,"",VLOOKUP($BA186,$BC$8:$BI$507,4,FALSE()))</f>
        <v/>
      </c>
      <c r="BN186" s="104" t="str">
        <f aca="false">IF($BA186&gt;$AZ$7,"",VLOOKUP($BA186,$BC$8:$BI$507,5,FALSE()))</f>
        <v/>
      </c>
      <c r="BO186" s="105" t="str">
        <f aca="false">IF($BA186&gt;$AZ$7,"",VLOOKUP($BA186,$BC$8:$BI$507,6,FALSE()))</f>
        <v/>
      </c>
      <c r="BP186" s="52"/>
    </row>
    <row r="187" customFormat="false" ht="15.75" hidden="false" customHeight="false" outlineLevel="0" collapsed="false">
      <c r="A187" s="5"/>
      <c r="B187" s="114"/>
      <c r="C187" s="115"/>
      <c r="D187" s="106"/>
      <c r="E187" s="117"/>
      <c r="F187" s="87"/>
      <c r="G187" s="88"/>
      <c r="H187" s="88"/>
      <c r="I187" s="87"/>
      <c r="J187" s="88"/>
      <c r="K187" s="88"/>
      <c r="L187" s="87"/>
      <c r="M187" s="117"/>
      <c r="N187" s="90"/>
      <c r="O187" s="91" t="str">
        <f aca="false">IF(ISBLANK($C187),"",IF(E187=Constants!$B$2, TRUE(), IF(E187=Constants!$B$3, FALSE(), TRUE())))</f>
        <v/>
      </c>
      <c r="P187" s="91" t="str">
        <f aca="false">IF(ISBLANK($C187),"",IF(F187=Constants!$B$16,Constants!$B$9,IF(F187=Constants!$B$17,Constants!$B$10,Constants!$B$8)))</f>
        <v/>
      </c>
      <c r="Q187" s="91" t="str">
        <f aca="false">IF(ISBLANK($C187),"",IF(ISNUMBER(G187),IF(G187&gt;=0,G187,""),""))</f>
        <v/>
      </c>
      <c r="R187" s="91" t="str">
        <f aca="false">IF(ISBLANK($C187),"",IF(H187=Constants!$B$2, TRUE(), IF(H187=Constants!$B$3, FALSE(), TRUE())))</f>
        <v/>
      </c>
      <c r="S187" s="91" t="str">
        <f aca="false">IF(ISBLANK($C187),"",IF(I187=Constants!$B$2, TRUE(), IF(I187=Constants!$B$3, FALSE(), TRUE())))</f>
        <v/>
      </c>
      <c r="T187" s="91" t="str">
        <f aca="false">IF(ISBLANK($C187),"",IF(ISNUMBER(J187),IF(J187&gt;=0,J187,""),""))</f>
        <v/>
      </c>
      <c r="U187" s="91" t="str">
        <f aca="false">IF(ISBLANK($C187),"",IF(K187=Constants!$B$2, TRUE(), IF(K187=Constants!$B$3, FALSE(), TRUE())))</f>
        <v/>
      </c>
      <c r="V187" s="91" t="str">
        <f aca="false">IF(ISBLANK($C187),"",IF(L187=Constants!$B$2, TRUE(), IF(L187=Constants!$B$3, FALSE(), TRUE())))</f>
        <v/>
      </c>
      <c r="W187" s="91" t="str">
        <f aca="false">IF(ISBLANK($C187),"",IF(M187=Constants!$B$2, TRUE(), IF(M187=Constants!$B$3, FALSE(), FALSE())))</f>
        <v/>
      </c>
      <c r="X187" s="91" t="str">
        <f aca="false">IF(ISBLANK($C187),"",AND(Q187&lt;&gt;"",O187))</f>
        <v/>
      </c>
      <c r="Y187" s="91" t="str">
        <f aca="false">IF(ISBLANK($C187),"",AND(T187&lt;&gt;"",O187))</f>
        <v/>
      </c>
      <c r="Z187" s="91" t="str">
        <f aca="false">IF(ISBLANK($C187),"",IF(W187,Constants!$B$4,IF(COUNTA(E187:L187)=0,Constants!$B$5,IF(NOT(O187),Constants!$B$6,IF(AND(NOT(X187),NOT(Y187)),Constants!$B$6,Constants!$B$7)))))</f>
        <v/>
      </c>
      <c r="AA187" s="91" t="str">
        <f aca="false">IF(ISBLANK($C187),"",IF($Z187&lt;&gt;Constants!$B$7,$Z187,Constants!$B$20))</f>
        <v/>
      </c>
      <c r="AB187" s="91" t="str">
        <f aca="false">IF($Z187=Constants!$B$7,IF(X187,Q187,Constants!$B$13),"")</f>
        <v/>
      </c>
      <c r="AC187" s="91" t="str">
        <f aca="false">IF($Z187=Constants!$B$7,IF(X187,P187*IF(R187, 1, Constants!$B$11)*IF(S187, 1, Constants!$B$12),Constants!$B$13),"")</f>
        <v/>
      </c>
      <c r="AD187" s="91" t="str">
        <f aca="false">IF($Z187=Constants!$B$7,AB187*AC187,"")</f>
        <v/>
      </c>
      <c r="AE187" s="91" t="str">
        <f aca="false">IF($Z187=Constants!$B$7,IF(Y187,T187,Constants!$B$13),"")</f>
        <v/>
      </c>
      <c r="AF187" s="91" t="str">
        <f aca="false">IF($Z187=Constants!$B$7,IF(Y187,P187*IF(U187, 1, Constants!$B$11)*IF(V187, 1, Constants!$B$12),Constants!$B$13),"")</f>
        <v/>
      </c>
      <c r="AG187" s="91" t="str">
        <f aca="false">IF($Z187=Constants!$B$7,AE187*AF187,"")</f>
        <v/>
      </c>
      <c r="AH187" s="91" t="str">
        <f aca="false">IF($Z187=Constants!$B$7,IF(AG187&gt;AD187,2,1),"")</f>
        <v/>
      </c>
      <c r="AI187" s="91" t="str">
        <f aca="false">IF($Z187=Constants!$B$7,IF(AH187=1,2,1),"")</f>
        <v/>
      </c>
      <c r="AJ187" s="91" t="str">
        <f aca="false">IF(ISBLANK($C187),"",IF($Z187&lt;&gt;Constants!$B$7,$Z187,IF(AH187=1,AD187,AG187)))</f>
        <v/>
      </c>
      <c r="AK187" s="91" t="str">
        <f aca="false">IF(ISBLANK($C187),"",IF($Z187=Constants!$B$7,IF(ISNUMBER(AJ187),RANK(AJ187,$AJ$8:$AJ$507),Constants!$B$14),$Z187))</f>
        <v/>
      </c>
      <c r="AL187" s="91" t="str">
        <f aca="false">IF(ISBLANK($C187),"",IF($Z187=Constants!$B$7,IF(AI187=1,AD187,AG187),""))</f>
        <v/>
      </c>
      <c r="AM187" s="91" t="str">
        <f aca="false">IF(ISBLANK($C187),"",IF($Z187=Constants!$B$7,RANK(AL187,$AL$8:$AL$507),$Z187))</f>
        <v/>
      </c>
      <c r="AN187" s="91" t="str">
        <f aca="false">IF(ISBLANK($C187),"",IF($Z187=Constants!$B$7,IF(ISNUMBER(AK187),COUNTIFS($AK$8:$AK$507,"&lt;"&amp;$AK187)+COUNTIFS($AK$8:$AK$507,$AK187,$AM$8:$AM$507,"&lt;"&amp;$AM187)+1,Constants!$B$14),$Z187))</f>
        <v/>
      </c>
      <c r="AO187" s="91" t="str">
        <f aca="false">IF(ISBLANK($C187),"",IF($Z187=Constants!$B$7,IF(ISNUMBER(AK187),AK187-AN187,Constants!$B$14),$Z187))</f>
        <v/>
      </c>
      <c r="AP187" s="92"/>
      <c r="AQ187" s="93" t="str">
        <f aca="false">IF(ISBLANK($C187),"",IF($Z187&lt;&gt;Constants!$B$7,"",AH187))</f>
        <v/>
      </c>
      <c r="AR187" s="94" t="str">
        <f aca="false">IF(ISBLANK($C187),"",IF($Z187&lt;&gt;Constants!$B$7,"",IF(AH187=1,AB187,AE187)))</f>
        <v/>
      </c>
      <c r="AS187" s="95" t="str">
        <f aca="false">IF(ISBLANK($C187),"",IF($Z187&lt;&gt;Constants!$B$7,"",IF(AH187=1,AC187,AF187)))</f>
        <v/>
      </c>
      <c r="AT187" s="96" t="str">
        <f aca="false">IF(ISBLANK($C187),"",IF($Z187&lt;&gt;Constants!$B$7,$Z187,AJ187))</f>
        <v/>
      </c>
      <c r="AU187" s="97" t="str">
        <f aca="false">IF(ISBLANK($C187),"",IF($Z187&lt;&gt;Constants!$B$7,$Z187,AA187))</f>
        <v/>
      </c>
      <c r="AV187" s="98" t="str">
        <f aca="false">IF(ISBLANK($C187),"",AO187)</f>
        <v/>
      </c>
      <c r="AW187" s="98" t="str">
        <f aca="false">IF(ISBLANK($C187),"",AN187)</f>
        <v/>
      </c>
      <c r="AX187" s="99" t="str">
        <f aca="false">IF(ISBLANK($C187),"",IFERROR(_xlfn.SWITCH(AW187,Constants!$B$4,COUNTA($C$8:$C$507)+2,Constants!$B$5,COUNTA($C$8:$C$507)+1,Constants!$B$6,COUNTA($C$8:$C$507)),AW187))</f>
        <v/>
      </c>
      <c r="AY187" s="5"/>
      <c r="AZ187" s="100" t="n">
        <f aca="false">IF(OR(ISNUMBER(AW187),AW187=Constants!$B$4,AW187=Constants!$B$6,AW187=Constants!$B$5),1,0)</f>
        <v>0</v>
      </c>
      <c r="BA187" s="100" t="n">
        <v>180</v>
      </c>
      <c r="BB187" s="100" t="str">
        <f aca="false">IF(ISBLANK($C187),"",IF(ISNUMBER(AX187),AX187+ROW($B187)/1000,""))</f>
        <v/>
      </c>
      <c r="BC187" s="100" t="str">
        <f aca="false">IF(ISNUMBER(BB187),RANK(BB187,$BB$8:$BB$507,1),"")</f>
        <v/>
      </c>
      <c r="BD187" s="100" t="str">
        <f aca="false">IF(ISBLANK($C187),"",$B187)</f>
        <v/>
      </c>
      <c r="BE187" s="100" t="str">
        <f aca="false">IF(ISBLANK($C187),"",$C187)</f>
        <v/>
      </c>
      <c r="BF187" s="100" t="str">
        <f aca="false">IF(ISBLANK($C187),"",$D187)</f>
        <v/>
      </c>
      <c r="BG187" s="101" t="str">
        <f aca="false">AU187</f>
        <v/>
      </c>
      <c r="BH187" s="102" t="str">
        <f aca="false">AT187</f>
        <v/>
      </c>
      <c r="BI187" s="100" t="str">
        <f aca="false">IF(ISBLANK($C187),"",AW187)</f>
        <v/>
      </c>
      <c r="BJ187" s="103" t="str">
        <f aca="false">IF($BA187&gt;$AZ$7,"",VLOOKUP($BA187,$BC$8:$BI$507,7,FALSE()))</f>
        <v/>
      </c>
      <c r="BK187" s="104" t="str">
        <f aca="false">IF($BA187&gt;$AZ$7,"",VLOOKUP($BA187,$BC$8:$BI$507,2,FALSE()))</f>
        <v/>
      </c>
      <c r="BL187" s="104" t="str">
        <f aca="false">IF($BA187&gt;$AZ$7,"",VLOOKUP($BA187,$BC$8:$BI$507,3,FALSE()))</f>
        <v/>
      </c>
      <c r="BM187" s="104" t="str">
        <f aca="false">IF($BA187&gt;$AZ$7,"",VLOOKUP($BA187,$BC$8:$BI$507,4,FALSE()))</f>
        <v/>
      </c>
      <c r="BN187" s="104" t="str">
        <f aca="false">IF($BA187&gt;$AZ$7,"",VLOOKUP($BA187,$BC$8:$BI$507,5,FALSE()))</f>
        <v/>
      </c>
      <c r="BO187" s="105" t="str">
        <f aca="false">IF($BA187&gt;$AZ$7,"",VLOOKUP($BA187,$BC$8:$BI$507,6,FALSE()))</f>
        <v/>
      </c>
      <c r="BP187" s="52"/>
    </row>
    <row r="188" customFormat="false" ht="15.75" hidden="false" customHeight="false" outlineLevel="0" collapsed="false">
      <c r="A188" s="5"/>
      <c r="B188" s="118"/>
      <c r="C188" s="54"/>
      <c r="D188" s="55"/>
      <c r="E188" s="79"/>
      <c r="F188" s="57"/>
      <c r="G188" s="58"/>
      <c r="H188" s="58"/>
      <c r="I188" s="57"/>
      <c r="J188" s="58"/>
      <c r="K188" s="58"/>
      <c r="L188" s="57"/>
      <c r="M188" s="79"/>
      <c r="N188" s="60"/>
      <c r="O188" s="62" t="str">
        <f aca="false">IF(ISBLANK($C188),"",IF(E188=Constants!$B$2, TRUE(), IF(E188=Constants!$B$3, FALSE(), TRUE())))</f>
        <v/>
      </c>
      <c r="P188" s="62" t="str">
        <f aca="false">IF(ISBLANK($C188),"",IF(F188=Constants!$B$16,Constants!$B$9,IF(F188=Constants!$B$17,Constants!$B$10,Constants!$B$8)))</f>
        <v/>
      </c>
      <c r="Q188" s="62" t="str">
        <f aca="false">IF(ISBLANK($C188),"",IF(ISNUMBER(G188),IF(G188&gt;=0,G188,""),""))</f>
        <v/>
      </c>
      <c r="R188" s="62" t="str">
        <f aca="false">IF(ISBLANK($C188),"",IF(H188=Constants!$B$2, TRUE(), IF(H188=Constants!$B$3, FALSE(), TRUE())))</f>
        <v/>
      </c>
      <c r="S188" s="62" t="str">
        <f aca="false">IF(ISBLANK($C188),"",IF(I188=Constants!$B$2, TRUE(), IF(I188=Constants!$B$3, FALSE(), TRUE())))</f>
        <v/>
      </c>
      <c r="T188" s="62" t="str">
        <f aca="false">IF(ISBLANK($C188),"",IF(ISNUMBER(J188),IF(J188&gt;=0,J188,""),""))</f>
        <v/>
      </c>
      <c r="U188" s="62" t="str">
        <f aca="false">IF(ISBLANK($C188),"",IF(K188=Constants!$B$2, TRUE(), IF(K188=Constants!$B$3, FALSE(), TRUE())))</f>
        <v/>
      </c>
      <c r="V188" s="62" t="str">
        <f aca="false">IF(ISBLANK($C188),"",IF(L188=Constants!$B$2, TRUE(), IF(L188=Constants!$B$3, FALSE(), TRUE())))</f>
        <v/>
      </c>
      <c r="W188" s="62" t="str">
        <f aca="false">IF(ISBLANK($C188),"",IF(M188=Constants!$B$2, TRUE(), IF(M188=Constants!$B$3, FALSE(), FALSE())))</f>
        <v/>
      </c>
      <c r="X188" s="62" t="str">
        <f aca="false">IF(ISBLANK($C188),"",AND(Q188&lt;&gt;"",O188))</f>
        <v/>
      </c>
      <c r="Y188" s="62" t="str">
        <f aca="false">IF(ISBLANK($C188),"",AND(T188&lt;&gt;"",O188))</f>
        <v/>
      </c>
      <c r="Z188" s="62" t="str">
        <f aca="false">IF(ISBLANK($C188),"",IF(W188,Constants!$B$4,IF(COUNTA(E188:L188)=0,Constants!$B$5,IF(NOT(O188),Constants!$B$6,IF(AND(NOT(X188),NOT(Y188)),Constants!$B$6,Constants!$B$7)))))</f>
        <v/>
      </c>
      <c r="AA188" s="62" t="str">
        <f aca="false">IF(ISBLANK($C188),"",IF($Z188&lt;&gt;Constants!$B$7,$Z188,Constants!$B$20))</f>
        <v/>
      </c>
      <c r="AB188" s="62" t="str">
        <f aca="false">IF($Z188=Constants!$B$7,IF(X188,Q188,Constants!$B$13),"")</f>
        <v/>
      </c>
      <c r="AC188" s="62" t="str">
        <f aca="false">IF($Z188=Constants!$B$7,IF(X188,P188*IF(R188, 1, Constants!$B$11)*IF(S188, 1, Constants!$B$12),Constants!$B$13),"")</f>
        <v/>
      </c>
      <c r="AD188" s="62" t="str">
        <f aca="false">IF($Z188=Constants!$B$7,AB188*AC188,"")</f>
        <v/>
      </c>
      <c r="AE188" s="62" t="str">
        <f aca="false">IF($Z188=Constants!$B$7,IF(Y188,T188,Constants!$B$13),"")</f>
        <v/>
      </c>
      <c r="AF188" s="62" t="str">
        <f aca="false">IF($Z188=Constants!$B$7,IF(Y188,P188*IF(U188, 1, Constants!$B$11)*IF(V188, 1, Constants!$B$12),Constants!$B$13),"")</f>
        <v/>
      </c>
      <c r="AG188" s="62" t="str">
        <f aca="false">IF($Z188=Constants!$B$7,AE188*AF188,"")</f>
        <v/>
      </c>
      <c r="AH188" s="62" t="str">
        <f aca="false">IF($Z188=Constants!$B$7,IF(AG188&gt;AD188,2,1),"")</f>
        <v/>
      </c>
      <c r="AI188" s="62" t="str">
        <f aca="false">IF($Z188=Constants!$B$7,IF(AH188=1,2,1),"")</f>
        <v/>
      </c>
      <c r="AJ188" s="62" t="str">
        <f aca="false">IF(ISBLANK($C188),"",IF($Z188&lt;&gt;Constants!$B$7,$Z188,IF(AH188=1,AD188,AG188)))</f>
        <v/>
      </c>
      <c r="AK188" s="62" t="str">
        <f aca="false">IF(ISBLANK($C188),"",IF($Z188=Constants!$B$7,IF(ISNUMBER(AJ188),RANK(AJ188,$AJ$8:$AJ$507),Constants!$B$14),$Z188))</f>
        <v/>
      </c>
      <c r="AL188" s="62" t="str">
        <f aca="false">IF(ISBLANK($C188),"",IF($Z188=Constants!$B$7,IF(AI188=1,AD188,AG188),""))</f>
        <v/>
      </c>
      <c r="AM188" s="62" t="str">
        <f aca="false">IF(ISBLANK($C188),"",IF($Z188=Constants!$B$7,RANK(AL188,$AL$8:$AL$507),$Z188))</f>
        <v/>
      </c>
      <c r="AN188" s="62" t="str">
        <f aca="false">IF(ISBLANK($C188),"",IF($Z188=Constants!$B$7,IF(ISNUMBER(AK188),COUNTIFS($AK$8:$AK$507,"&lt;"&amp;$AK188)+COUNTIFS($AK$8:$AK$507,$AK188,$AM$8:$AM$507,"&lt;"&amp;$AM188)+1,Constants!$B$14),$Z188))</f>
        <v/>
      </c>
      <c r="AO188" s="62" t="str">
        <f aca="false">IF(ISBLANK($C188),"",IF($Z188=Constants!$B$7,IF(ISNUMBER(AK188),AK188-AN188,Constants!$B$14),$Z188))</f>
        <v/>
      </c>
      <c r="AP188" s="64"/>
      <c r="AQ188" s="65" t="str">
        <f aca="false">IF(ISBLANK($C188),"",IF($Z188&lt;&gt;Constants!$B$7,"",AH188))</f>
        <v/>
      </c>
      <c r="AR188" s="80" t="str">
        <f aca="false">IF(ISBLANK($C188),"",IF($Z188&lt;&gt;Constants!$B$7,"",IF(AH188=1,AB188,AE188)))</f>
        <v/>
      </c>
      <c r="AS188" s="67" t="str">
        <f aca="false">IF(ISBLANK($C188),"",IF($Z188&lt;&gt;Constants!$B$7,"",IF(AH188=1,AC188,AF188)))</f>
        <v/>
      </c>
      <c r="AT188" s="68" t="str">
        <f aca="false">IF(ISBLANK($C188),"",IF($Z188&lt;&gt;Constants!$B$7,$Z188,AJ188))</f>
        <v/>
      </c>
      <c r="AU188" s="69" t="str">
        <f aca="false">IF(ISBLANK($C188),"",IF($Z188&lt;&gt;Constants!$B$7,$Z188,AA188))</f>
        <v/>
      </c>
      <c r="AV188" s="70" t="str">
        <f aca="false">IF(ISBLANK($C188),"",AO188)</f>
        <v/>
      </c>
      <c r="AW188" s="70" t="str">
        <f aca="false">IF(ISBLANK($C188),"",AN188)</f>
        <v/>
      </c>
      <c r="AX188" s="71" t="str">
        <f aca="false">IF(ISBLANK($C188),"",IFERROR(_xlfn.SWITCH(AW188,Constants!$B$4,COUNTA($C$8:$C$507)+2,Constants!$B$5,COUNTA($C$8:$C$507)+1,Constants!$B$6,COUNTA($C$8:$C$507)),AW188))</f>
        <v/>
      </c>
      <c r="AY188" s="5"/>
      <c r="AZ188" s="72" t="n">
        <f aca="false">IF(OR(ISNUMBER(AW188),AW188=Constants!$B$4,AW188=Constants!$B$6,AW188=Constants!$B$5),1,0)</f>
        <v>0</v>
      </c>
      <c r="BA188" s="72" t="n">
        <v>181</v>
      </c>
      <c r="BB188" s="72" t="str">
        <f aca="false">IF(ISBLANK($C188),"",IF(ISNUMBER(AX188),AX188+ROW($B188)/1000,""))</f>
        <v/>
      </c>
      <c r="BC188" s="72" t="str">
        <f aca="false">IF(ISNUMBER(BB188),RANK(BB188,$BB$8:$BB$507,1),"")</f>
        <v/>
      </c>
      <c r="BD188" s="72" t="str">
        <f aca="false">IF(ISBLANK($C188),"",$B188)</f>
        <v/>
      </c>
      <c r="BE188" s="72" t="str">
        <f aca="false">IF(ISBLANK($C188),"",$C188)</f>
        <v/>
      </c>
      <c r="BF188" s="72" t="str">
        <f aca="false">IF(ISBLANK($C188),"",$D188)</f>
        <v/>
      </c>
      <c r="BG188" s="73" t="str">
        <f aca="false">AU188</f>
        <v/>
      </c>
      <c r="BH188" s="74" t="str">
        <f aca="false">AT188</f>
        <v/>
      </c>
      <c r="BI188" s="72" t="str">
        <f aca="false">IF(ISBLANK($C188),"",AW188)</f>
        <v/>
      </c>
      <c r="BJ188" s="75" t="str">
        <f aca="false">IF($BA188&gt;$AZ$7,"",VLOOKUP($BA188,$BC$8:$BI$507,7,FALSE()))</f>
        <v/>
      </c>
      <c r="BK188" s="76" t="str">
        <f aca="false">IF($BA188&gt;$AZ$7,"",VLOOKUP($BA188,$BC$8:$BI$507,2,FALSE()))</f>
        <v/>
      </c>
      <c r="BL188" s="76" t="str">
        <f aca="false">IF($BA188&gt;$AZ$7,"",VLOOKUP($BA188,$BC$8:$BI$507,3,FALSE()))</f>
        <v/>
      </c>
      <c r="BM188" s="76" t="str">
        <f aca="false">IF($BA188&gt;$AZ$7,"",VLOOKUP($BA188,$BC$8:$BI$507,4,FALSE()))</f>
        <v/>
      </c>
      <c r="BN188" s="76" t="str">
        <f aca="false">IF($BA188&gt;$AZ$7,"",VLOOKUP($BA188,$BC$8:$BI$507,5,FALSE()))</f>
        <v/>
      </c>
      <c r="BO188" s="77" t="str">
        <f aca="false">IF($BA188&gt;$AZ$7,"",VLOOKUP($BA188,$BC$8:$BI$507,6,FALSE()))</f>
        <v/>
      </c>
      <c r="BP188" s="52"/>
    </row>
    <row r="189" customFormat="false" ht="15.75" hidden="false" customHeight="false" outlineLevel="0" collapsed="false">
      <c r="A189" s="5"/>
      <c r="B189" s="118"/>
      <c r="C189" s="54"/>
      <c r="D189" s="55"/>
      <c r="E189" s="79"/>
      <c r="F189" s="57"/>
      <c r="G189" s="58"/>
      <c r="H189" s="58"/>
      <c r="I189" s="57"/>
      <c r="J189" s="58"/>
      <c r="K189" s="58"/>
      <c r="L189" s="57"/>
      <c r="M189" s="79"/>
      <c r="N189" s="60"/>
      <c r="O189" s="62" t="str">
        <f aca="false">IF(ISBLANK($C189),"",IF(E189=Constants!$B$2, TRUE(), IF(E189=Constants!$B$3, FALSE(), TRUE())))</f>
        <v/>
      </c>
      <c r="P189" s="62" t="str">
        <f aca="false">IF(ISBLANK($C189),"",IF(F189=Constants!$B$16,Constants!$B$9,IF(F189=Constants!$B$17,Constants!$B$10,Constants!$B$8)))</f>
        <v/>
      </c>
      <c r="Q189" s="62" t="str">
        <f aca="false">IF(ISBLANK($C189),"",IF(ISNUMBER(G189),IF(G189&gt;=0,G189,""),""))</f>
        <v/>
      </c>
      <c r="R189" s="62" t="str">
        <f aca="false">IF(ISBLANK($C189),"",IF(H189=Constants!$B$2, TRUE(), IF(H189=Constants!$B$3, FALSE(), TRUE())))</f>
        <v/>
      </c>
      <c r="S189" s="62" t="str">
        <f aca="false">IF(ISBLANK($C189),"",IF(I189=Constants!$B$2, TRUE(), IF(I189=Constants!$B$3, FALSE(), TRUE())))</f>
        <v/>
      </c>
      <c r="T189" s="62" t="str">
        <f aca="false">IF(ISBLANK($C189),"",IF(ISNUMBER(J189),IF(J189&gt;=0,J189,""),""))</f>
        <v/>
      </c>
      <c r="U189" s="62" t="str">
        <f aca="false">IF(ISBLANK($C189),"",IF(K189=Constants!$B$2, TRUE(), IF(K189=Constants!$B$3, FALSE(), TRUE())))</f>
        <v/>
      </c>
      <c r="V189" s="62" t="str">
        <f aca="false">IF(ISBLANK($C189),"",IF(L189=Constants!$B$2, TRUE(), IF(L189=Constants!$B$3, FALSE(), TRUE())))</f>
        <v/>
      </c>
      <c r="W189" s="62" t="str">
        <f aca="false">IF(ISBLANK($C189),"",IF(M189=Constants!$B$2, TRUE(), IF(M189=Constants!$B$3, FALSE(), FALSE())))</f>
        <v/>
      </c>
      <c r="X189" s="62" t="str">
        <f aca="false">IF(ISBLANK($C189),"",AND(Q189&lt;&gt;"",O189))</f>
        <v/>
      </c>
      <c r="Y189" s="62" t="str">
        <f aca="false">IF(ISBLANK($C189),"",AND(T189&lt;&gt;"",O189))</f>
        <v/>
      </c>
      <c r="Z189" s="62" t="str">
        <f aca="false">IF(ISBLANK($C189),"",IF(W189,Constants!$B$4,IF(COUNTA(E189:L189)=0,Constants!$B$5,IF(NOT(O189),Constants!$B$6,IF(AND(NOT(X189),NOT(Y189)),Constants!$B$6,Constants!$B$7)))))</f>
        <v/>
      </c>
      <c r="AA189" s="62" t="str">
        <f aca="false">IF(ISBLANK($C189),"",IF($Z189&lt;&gt;Constants!$B$7,$Z189,Constants!$B$20))</f>
        <v/>
      </c>
      <c r="AB189" s="62" t="str">
        <f aca="false">IF($Z189=Constants!$B$7,IF(X189,Q189,Constants!$B$13),"")</f>
        <v/>
      </c>
      <c r="AC189" s="62" t="str">
        <f aca="false">IF($Z189=Constants!$B$7,IF(X189,P189*IF(R189, 1, Constants!$B$11)*IF(S189, 1, Constants!$B$12),Constants!$B$13),"")</f>
        <v/>
      </c>
      <c r="AD189" s="62" t="str">
        <f aca="false">IF($Z189=Constants!$B$7,AB189*AC189,"")</f>
        <v/>
      </c>
      <c r="AE189" s="62" t="str">
        <f aca="false">IF($Z189=Constants!$B$7,IF(Y189,T189,Constants!$B$13),"")</f>
        <v/>
      </c>
      <c r="AF189" s="62" t="str">
        <f aca="false">IF($Z189=Constants!$B$7,IF(Y189,P189*IF(U189, 1, Constants!$B$11)*IF(V189, 1, Constants!$B$12),Constants!$B$13),"")</f>
        <v/>
      </c>
      <c r="AG189" s="62" t="str">
        <f aca="false">IF($Z189=Constants!$B$7,AE189*AF189,"")</f>
        <v/>
      </c>
      <c r="AH189" s="62" t="str">
        <f aca="false">IF($Z189=Constants!$B$7,IF(AG189&gt;AD189,2,1),"")</f>
        <v/>
      </c>
      <c r="AI189" s="62" t="str">
        <f aca="false">IF($Z189=Constants!$B$7,IF(AH189=1,2,1),"")</f>
        <v/>
      </c>
      <c r="AJ189" s="62" t="str">
        <f aca="false">IF(ISBLANK($C189),"",IF($Z189&lt;&gt;Constants!$B$7,$Z189,IF(AH189=1,AD189,AG189)))</f>
        <v/>
      </c>
      <c r="AK189" s="62" t="str">
        <f aca="false">IF(ISBLANK($C189),"",IF($Z189=Constants!$B$7,IF(ISNUMBER(AJ189),RANK(AJ189,$AJ$8:$AJ$507),Constants!$B$14),$Z189))</f>
        <v/>
      </c>
      <c r="AL189" s="62" t="str">
        <f aca="false">IF(ISBLANK($C189),"",IF($Z189=Constants!$B$7,IF(AI189=1,AD189,AG189),""))</f>
        <v/>
      </c>
      <c r="AM189" s="62" t="str">
        <f aca="false">IF(ISBLANK($C189),"",IF($Z189=Constants!$B$7,RANK(AL189,$AL$8:$AL$507),$Z189))</f>
        <v/>
      </c>
      <c r="AN189" s="62" t="str">
        <f aca="false">IF(ISBLANK($C189),"",IF($Z189=Constants!$B$7,IF(ISNUMBER(AK189),COUNTIFS($AK$8:$AK$507,"&lt;"&amp;$AK189)+COUNTIFS($AK$8:$AK$507,$AK189,$AM$8:$AM$507,"&lt;"&amp;$AM189)+1,Constants!$B$14),$Z189))</f>
        <v/>
      </c>
      <c r="AO189" s="62" t="str">
        <f aca="false">IF(ISBLANK($C189),"",IF($Z189=Constants!$B$7,IF(ISNUMBER(AK189),AK189-AN189,Constants!$B$14),$Z189))</f>
        <v/>
      </c>
      <c r="AP189" s="64"/>
      <c r="AQ189" s="65" t="str">
        <f aca="false">IF(ISBLANK($C189),"",IF($Z189&lt;&gt;Constants!$B$7,"",AH189))</f>
        <v/>
      </c>
      <c r="AR189" s="80" t="str">
        <f aca="false">IF(ISBLANK($C189),"",IF($Z189&lt;&gt;Constants!$B$7,"",IF(AH189=1,AB189,AE189)))</f>
        <v/>
      </c>
      <c r="AS189" s="67" t="str">
        <f aca="false">IF(ISBLANK($C189),"",IF($Z189&lt;&gt;Constants!$B$7,"",IF(AH189=1,AC189,AF189)))</f>
        <v/>
      </c>
      <c r="AT189" s="68" t="str">
        <f aca="false">IF(ISBLANK($C189),"",IF($Z189&lt;&gt;Constants!$B$7,$Z189,AJ189))</f>
        <v/>
      </c>
      <c r="AU189" s="69" t="str">
        <f aca="false">IF(ISBLANK($C189),"",IF($Z189&lt;&gt;Constants!$B$7,$Z189,AA189))</f>
        <v/>
      </c>
      <c r="AV189" s="70" t="str">
        <f aca="false">IF(ISBLANK($C189),"",AO189)</f>
        <v/>
      </c>
      <c r="AW189" s="70" t="str">
        <f aca="false">IF(ISBLANK($C189),"",AN189)</f>
        <v/>
      </c>
      <c r="AX189" s="71" t="str">
        <f aca="false">IF(ISBLANK($C189),"",IFERROR(_xlfn.SWITCH(AW189,Constants!$B$4,COUNTA($C$8:$C$507)+2,Constants!$B$5,COUNTA($C$8:$C$507)+1,Constants!$B$6,COUNTA($C$8:$C$507)),AW189))</f>
        <v/>
      </c>
      <c r="AY189" s="5"/>
      <c r="AZ189" s="72" t="n">
        <f aca="false">IF(OR(ISNUMBER(AW189),AW189=Constants!$B$4,AW189=Constants!$B$6,AW189=Constants!$B$5),1,0)</f>
        <v>0</v>
      </c>
      <c r="BA189" s="72" t="n">
        <v>182</v>
      </c>
      <c r="BB189" s="72" t="str">
        <f aca="false">IF(ISBLANK($C189),"",IF(ISNUMBER(AX189),AX189+ROW($B189)/1000,""))</f>
        <v/>
      </c>
      <c r="BC189" s="72" t="str">
        <f aca="false">IF(ISNUMBER(BB189),RANK(BB189,$BB$8:$BB$507,1),"")</f>
        <v/>
      </c>
      <c r="BD189" s="72" t="str">
        <f aca="false">IF(ISBLANK($C189),"",$B189)</f>
        <v/>
      </c>
      <c r="BE189" s="72" t="str">
        <f aca="false">IF(ISBLANK($C189),"",$C189)</f>
        <v/>
      </c>
      <c r="BF189" s="72" t="str">
        <f aca="false">IF(ISBLANK($C189),"",$D189)</f>
        <v/>
      </c>
      <c r="BG189" s="73" t="str">
        <f aca="false">AU189</f>
        <v/>
      </c>
      <c r="BH189" s="74" t="str">
        <f aca="false">AT189</f>
        <v/>
      </c>
      <c r="BI189" s="72" t="str">
        <f aca="false">IF(ISBLANK($C189),"",AW189)</f>
        <v/>
      </c>
      <c r="BJ189" s="75" t="str">
        <f aca="false">IF($BA189&gt;$AZ$7,"",VLOOKUP($BA189,$BC$8:$BI$507,7,FALSE()))</f>
        <v/>
      </c>
      <c r="BK189" s="76" t="str">
        <f aca="false">IF($BA189&gt;$AZ$7,"",VLOOKUP($BA189,$BC$8:$BI$507,2,FALSE()))</f>
        <v/>
      </c>
      <c r="BL189" s="76" t="str">
        <f aca="false">IF($BA189&gt;$AZ$7,"",VLOOKUP($BA189,$BC$8:$BI$507,3,FALSE()))</f>
        <v/>
      </c>
      <c r="BM189" s="76" t="str">
        <f aca="false">IF($BA189&gt;$AZ$7,"",VLOOKUP($BA189,$BC$8:$BI$507,4,FALSE()))</f>
        <v/>
      </c>
      <c r="BN189" s="76" t="str">
        <f aca="false">IF($BA189&gt;$AZ$7,"",VLOOKUP($BA189,$BC$8:$BI$507,5,FALSE()))</f>
        <v/>
      </c>
      <c r="BO189" s="77" t="str">
        <f aca="false">IF($BA189&gt;$AZ$7,"",VLOOKUP($BA189,$BC$8:$BI$507,6,FALSE()))</f>
        <v/>
      </c>
      <c r="BP189" s="52"/>
    </row>
    <row r="190" customFormat="false" ht="15.75" hidden="false" customHeight="false" outlineLevel="0" collapsed="false">
      <c r="A190" s="5"/>
      <c r="B190" s="118"/>
      <c r="C190" s="54"/>
      <c r="D190" s="55"/>
      <c r="E190" s="79"/>
      <c r="F190" s="57"/>
      <c r="G190" s="58"/>
      <c r="H190" s="58"/>
      <c r="I190" s="57"/>
      <c r="J190" s="58"/>
      <c r="K190" s="58"/>
      <c r="L190" s="57"/>
      <c r="M190" s="79"/>
      <c r="N190" s="60"/>
      <c r="O190" s="62" t="str">
        <f aca="false">IF(ISBLANK($C190),"",IF(E190=Constants!$B$2, TRUE(), IF(E190=Constants!$B$3, FALSE(), TRUE())))</f>
        <v/>
      </c>
      <c r="P190" s="62" t="str">
        <f aca="false">IF(ISBLANK($C190),"",IF(F190=Constants!$B$16,Constants!$B$9,IF(F190=Constants!$B$17,Constants!$B$10,Constants!$B$8)))</f>
        <v/>
      </c>
      <c r="Q190" s="62" t="str">
        <f aca="false">IF(ISBLANK($C190),"",IF(ISNUMBER(G190),IF(G190&gt;=0,G190,""),""))</f>
        <v/>
      </c>
      <c r="R190" s="62" t="str">
        <f aca="false">IF(ISBLANK($C190),"",IF(H190=Constants!$B$2, TRUE(), IF(H190=Constants!$B$3, FALSE(), TRUE())))</f>
        <v/>
      </c>
      <c r="S190" s="62" t="str">
        <f aca="false">IF(ISBLANK($C190),"",IF(I190=Constants!$B$2, TRUE(), IF(I190=Constants!$B$3, FALSE(), TRUE())))</f>
        <v/>
      </c>
      <c r="T190" s="62" t="str">
        <f aca="false">IF(ISBLANK($C190),"",IF(ISNUMBER(J190),IF(J190&gt;=0,J190,""),""))</f>
        <v/>
      </c>
      <c r="U190" s="62" t="str">
        <f aca="false">IF(ISBLANK($C190),"",IF(K190=Constants!$B$2, TRUE(), IF(K190=Constants!$B$3, FALSE(), TRUE())))</f>
        <v/>
      </c>
      <c r="V190" s="62" t="str">
        <f aca="false">IF(ISBLANK($C190),"",IF(L190=Constants!$B$2, TRUE(), IF(L190=Constants!$B$3, FALSE(), TRUE())))</f>
        <v/>
      </c>
      <c r="W190" s="62" t="str">
        <f aca="false">IF(ISBLANK($C190),"",IF(M190=Constants!$B$2, TRUE(), IF(M190=Constants!$B$3, FALSE(), FALSE())))</f>
        <v/>
      </c>
      <c r="X190" s="62" t="str">
        <f aca="false">IF(ISBLANK($C190),"",AND(Q190&lt;&gt;"",O190))</f>
        <v/>
      </c>
      <c r="Y190" s="62" t="str">
        <f aca="false">IF(ISBLANK($C190),"",AND(T190&lt;&gt;"",O190))</f>
        <v/>
      </c>
      <c r="Z190" s="62" t="str">
        <f aca="false">IF(ISBLANK($C190),"",IF(W190,Constants!$B$4,IF(COUNTA(E190:L190)=0,Constants!$B$5,IF(NOT(O190),Constants!$B$6,IF(AND(NOT(X190),NOT(Y190)),Constants!$B$6,Constants!$B$7)))))</f>
        <v/>
      </c>
      <c r="AA190" s="62" t="str">
        <f aca="false">IF(ISBLANK($C190),"",IF($Z190&lt;&gt;Constants!$B$7,$Z190,Constants!$B$20))</f>
        <v/>
      </c>
      <c r="AB190" s="62" t="str">
        <f aca="false">IF($Z190=Constants!$B$7,IF(X190,Q190,Constants!$B$13),"")</f>
        <v/>
      </c>
      <c r="AC190" s="62" t="str">
        <f aca="false">IF($Z190=Constants!$B$7,IF(X190,P190*IF(R190, 1, Constants!$B$11)*IF(S190, 1, Constants!$B$12),Constants!$B$13),"")</f>
        <v/>
      </c>
      <c r="AD190" s="62" t="str">
        <f aca="false">IF($Z190=Constants!$B$7,AB190*AC190,"")</f>
        <v/>
      </c>
      <c r="AE190" s="62" t="str">
        <f aca="false">IF($Z190=Constants!$B$7,IF(Y190,T190,Constants!$B$13),"")</f>
        <v/>
      </c>
      <c r="AF190" s="62" t="str">
        <f aca="false">IF($Z190=Constants!$B$7,IF(Y190,P190*IF(U190, 1, Constants!$B$11)*IF(V190, 1, Constants!$B$12),Constants!$B$13),"")</f>
        <v/>
      </c>
      <c r="AG190" s="62" t="str">
        <f aca="false">IF($Z190=Constants!$B$7,AE190*AF190,"")</f>
        <v/>
      </c>
      <c r="AH190" s="62" t="str">
        <f aca="false">IF($Z190=Constants!$B$7,IF(AG190&gt;AD190,2,1),"")</f>
        <v/>
      </c>
      <c r="AI190" s="62" t="str">
        <f aca="false">IF($Z190=Constants!$B$7,IF(AH190=1,2,1),"")</f>
        <v/>
      </c>
      <c r="AJ190" s="62" t="str">
        <f aca="false">IF(ISBLANK($C190),"",IF($Z190&lt;&gt;Constants!$B$7,$Z190,IF(AH190=1,AD190,AG190)))</f>
        <v/>
      </c>
      <c r="AK190" s="62" t="str">
        <f aca="false">IF(ISBLANK($C190),"",IF($Z190=Constants!$B$7,IF(ISNUMBER(AJ190),RANK(AJ190,$AJ$8:$AJ$507),Constants!$B$14),$Z190))</f>
        <v/>
      </c>
      <c r="AL190" s="62" t="str">
        <f aca="false">IF(ISBLANK($C190),"",IF($Z190=Constants!$B$7,IF(AI190=1,AD190,AG190),""))</f>
        <v/>
      </c>
      <c r="AM190" s="62" t="str">
        <f aca="false">IF(ISBLANK($C190),"",IF($Z190=Constants!$B$7,RANK(AL190,$AL$8:$AL$507),$Z190))</f>
        <v/>
      </c>
      <c r="AN190" s="62" t="str">
        <f aca="false">IF(ISBLANK($C190),"",IF($Z190=Constants!$B$7,IF(ISNUMBER(AK190),COUNTIFS($AK$8:$AK$507,"&lt;"&amp;$AK190)+COUNTIFS($AK$8:$AK$507,$AK190,$AM$8:$AM$507,"&lt;"&amp;$AM190)+1,Constants!$B$14),$Z190))</f>
        <v/>
      </c>
      <c r="AO190" s="62" t="str">
        <f aca="false">IF(ISBLANK($C190),"",IF($Z190=Constants!$B$7,IF(ISNUMBER(AK190),AK190-AN190,Constants!$B$14),$Z190))</f>
        <v/>
      </c>
      <c r="AP190" s="64"/>
      <c r="AQ190" s="65" t="str">
        <f aca="false">IF(ISBLANK($C190),"",IF($Z190&lt;&gt;Constants!$B$7,"",AH190))</f>
        <v/>
      </c>
      <c r="AR190" s="80" t="str">
        <f aca="false">IF(ISBLANK($C190),"",IF($Z190&lt;&gt;Constants!$B$7,"",IF(AH190=1,AB190,AE190)))</f>
        <v/>
      </c>
      <c r="AS190" s="67" t="str">
        <f aca="false">IF(ISBLANK($C190),"",IF($Z190&lt;&gt;Constants!$B$7,"",IF(AH190=1,AC190,AF190)))</f>
        <v/>
      </c>
      <c r="AT190" s="68" t="str">
        <f aca="false">IF(ISBLANK($C190),"",IF($Z190&lt;&gt;Constants!$B$7,$Z190,AJ190))</f>
        <v/>
      </c>
      <c r="AU190" s="69" t="str">
        <f aca="false">IF(ISBLANK($C190),"",IF($Z190&lt;&gt;Constants!$B$7,$Z190,AA190))</f>
        <v/>
      </c>
      <c r="AV190" s="70" t="str">
        <f aca="false">IF(ISBLANK($C190),"",AO190)</f>
        <v/>
      </c>
      <c r="AW190" s="70" t="str">
        <f aca="false">IF(ISBLANK($C190),"",AN190)</f>
        <v/>
      </c>
      <c r="AX190" s="71" t="str">
        <f aca="false">IF(ISBLANK($C190),"",IFERROR(_xlfn.SWITCH(AW190,Constants!$B$4,COUNTA($C$8:$C$507)+2,Constants!$B$5,COUNTA($C$8:$C$507)+1,Constants!$B$6,COUNTA($C$8:$C$507)),AW190))</f>
        <v/>
      </c>
      <c r="AY190" s="5"/>
      <c r="AZ190" s="72" t="n">
        <f aca="false">IF(OR(ISNUMBER(AW190),AW190=Constants!$B$4,AW190=Constants!$B$6,AW190=Constants!$B$5),1,0)</f>
        <v>0</v>
      </c>
      <c r="BA190" s="72" t="n">
        <v>183</v>
      </c>
      <c r="BB190" s="72" t="str">
        <f aca="false">IF(ISBLANK($C190),"",IF(ISNUMBER(AX190),AX190+ROW($B190)/1000,""))</f>
        <v/>
      </c>
      <c r="BC190" s="72" t="str">
        <f aca="false">IF(ISNUMBER(BB190),RANK(BB190,$BB$8:$BB$507,1),"")</f>
        <v/>
      </c>
      <c r="BD190" s="72" t="str">
        <f aca="false">IF(ISBLANK($C190),"",$B190)</f>
        <v/>
      </c>
      <c r="BE190" s="72" t="str">
        <f aca="false">IF(ISBLANK($C190),"",$C190)</f>
        <v/>
      </c>
      <c r="BF190" s="72" t="str">
        <f aca="false">IF(ISBLANK($C190),"",$D190)</f>
        <v/>
      </c>
      <c r="BG190" s="73" t="str">
        <f aca="false">AU190</f>
        <v/>
      </c>
      <c r="BH190" s="74" t="str">
        <f aca="false">AT190</f>
        <v/>
      </c>
      <c r="BI190" s="72" t="str">
        <f aca="false">IF(ISBLANK($C190),"",AW190)</f>
        <v/>
      </c>
      <c r="BJ190" s="75" t="str">
        <f aca="false">IF($BA190&gt;$AZ$7,"",VLOOKUP($BA190,$BC$8:$BI$507,7,FALSE()))</f>
        <v/>
      </c>
      <c r="BK190" s="76" t="str">
        <f aca="false">IF($BA190&gt;$AZ$7,"",VLOOKUP($BA190,$BC$8:$BI$507,2,FALSE()))</f>
        <v/>
      </c>
      <c r="BL190" s="76" t="str">
        <f aca="false">IF($BA190&gt;$AZ$7,"",VLOOKUP($BA190,$BC$8:$BI$507,3,FALSE()))</f>
        <v/>
      </c>
      <c r="BM190" s="76" t="str">
        <f aca="false">IF($BA190&gt;$AZ$7,"",VLOOKUP($BA190,$BC$8:$BI$507,4,FALSE()))</f>
        <v/>
      </c>
      <c r="BN190" s="76" t="str">
        <f aca="false">IF($BA190&gt;$AZ$7,"",VLOOKUP($BA190,$BC$8:$BI$507,5,FALSE()))</f>
        <v/>
      </c>
      <c r="BO190" s="77" t="str">
        <f aca="false">IF($BA190&gt;$AZ$7,"",VLOOKUP($BA190,$BC$8:$BI$507,6,FALSE()))</f>
        <v/>
      </c>
      <c r="BP190" s="52"/>
    </row>
    <row r="191" customFormat="false" ht="15.75" hidden="false" customHeight="false" outlineLevel="0" collapsed="false">
      <c r="A191" s="5"/>
      <c r="B191" s="114"/>
      <c r="C191" s="115"/>
      <c r="D191" s="106"/>
      <c r="E191" s="117"/>
      <c r="F191" s="87"/>
      <c r="G191" s="88"/>
      <c r="H191" s="88"/>
      <c r="I191" s="87"/>
      <c r="J191" s="88"/>
      <c r="K191" s="88"/>
      <c r="L191" s="87"/>
      <c r="M191" s="117"/>
      <c r="N191" s="90"/>
      <c r="O191" s="91" t="str">
        <f aca="false">IF(ISBLANK($C191),"",IF(E191=Constants!$B$2, TRUE(), IF(E191=Constants!$B$3, FALSE(), TRUE())))</f>
        <v/>
      </c>
      <c r="P191" s="91" t="str">
        <f aca="false">IF(ISBLANK($C191),"",IF(F191=Constants!$B$16,Constants!$B$9,IF(F191=Constants!$B$17,Constants!$B$10,Constants!$B$8)))</f>
        <v/>
      </c>
      <c r="Q191" s="91" t="str">
        <f aca="false">IF(ISBLANK($C191),"",IF(ISNUMBER(G191),IF(G191&gt;=0,G191,""),""))</f>
        <v/>
      </c>
      <c r="R191" s="91" t="str">
        <f aca="false">IF(ISBLANK($C191),"",IF(H191=Constants!$B$2, TRUE(), IF(H191=Constants!$B$3, FALSE(), TRUE())))</f>
        <v/>
      </c>
      <c r="S191" s="91" t="str">
        <f aca="false">IF(ISBLANK($C191),"",IF(I191=Constants!$B$2, TRUE(), IF(I191=Constants!$B$3, FALSE(), TRUE())))</f>
        <v/>
      </c>
      <c r="T191" s="91" t="str">
        <f aca="false">IF(ISBLANK($C191),"",IF(ISNUMBER(J191),IF(J191&gt;=0,J191,""),""))</f>
        <v/>
      </c>
      <c r="U191" s="91" t="str">
        <f aca="false">IF(ISBLANK($C191),"",IF(K191=Constants!$B$2, TRUE(), IF(K191=Constants!$B$3, FALSE(), TRUE())))</f>
        <v/>
      </c>
      <c r="V191" s="91" t="str">
        <f aca="false">IF(ISBLANK($C191),"",IF(L191=Constants!$B$2, TRUE(), IF(L191=Constants!$B$3, FALSE(), TRUE())))</f>
        <v/>
      </c>
      <c r="W191" s="91" t="str">
        <f aca="false">IF(ISBLANK($C191),"",IF(M191=Constants!$B$2, TRUE(), IF(M191=Constants!$B$3, FALSE(), FALSE())))</f>
        <v/>
      </c>
      <c r="X191" s="91" t="str">
        <f aca="false">IF(ISBLANK($C191),"",AND(Q191&lt;&gt;"",O191))</f>
        <v/>
      </c>
      <c r="Y191" s="91" t="str">
        <f aca="false">IF(ISBLANK($C191),"",AND(T191&lt;&gt;"",O191))</f>
        <v/>
      </c>
      <c r="Z191" s="91" t="str">
        <f aca="false">IF(ISBLANK($C191),"",IF(W191,Constants!$B$4,IF(COUNTA(E191:L191)=0,Constants!$B$5,IF(NOT(O191),Constants!$B$6,IF(AND(NOT(X191),NOT(Y191)),Constants!$B$6,Constants!$B$7)))))</f>
        <v/>
      </c>
      <c r="AA191" s="91" t="str">
        <f aca="false">IF(ISBLANK($C191),"",IF($Z191&lt;&gt;Constants!$B$7,$Z191,Constants!$B$20))</f>
        <v/>
      </c>
      <c r="AB191" s="91" t="str">
        <f aca="false">IF($Z191=Constants!$B$7,IF(X191,Q191,Constants!$B$13),"")</f>
        <v/>
      </c>
      <c r="AC191" s="91" t="str">
        <f aca="false">IF($Z191=Constants!$B$7,IF(X191,P191*IF(R191, 1, Constants!$B$11)*IF(S191, 1, Constants!$B$12),Constants!$B$13),"")</f>
        <v/>
      </c>
      <c r="AD191" s="91" t="str">
        <f aca="false">IF($Z191=Constants!$B$7,AB191*AC191,"")</f>
        <v/>
      </c>
      <c r="AE191" s="91" t="str">
        <f aca="false">IF($Z191=Constants!$B$7,IF(Y191,T191,Constants!$B$13),"")</f>
        <v/>
      </c>
      <c r="AF191" s="91" t="str">
        <f aca="false">IF($Z191=Constants!$B$7,IF(Y191,P191*IF(U191, 1, Constants!$B$11)*IF(V191, 1, Constants!$B$12),Constants!$B$13),"")</f>
        <v/>
      </c>
      <c r="AG191" s="91" t="str">
        <f aca="false">IF($Z191=Constants!$B$7,AE191*AF191,"")</f>
        <v/>
      </c>
      <c r="AH191" s="91" t="str">
        <f aca="false">IF($Z191=Constants!$B$7,IF(AG191&gt;AD191,2,1),"")</f>
        <v/>
      </c>
      <c r="AI191" s="91" t="str">
        <f aca="false">IF($Z191=Constants!$B$7,IF(AH191=1,2,1),"")</f>
        <v/>
      </c>
      <c r="AJ191" s="91" t="str">
        <f aca="false">IF(ISBLANK($C191),"",IF($Z191&lt;&gt;Constants!$B$7,$Z191,IF(AH191=1,AD191,AG191)))</f>
        <v/>
      </c>
      <c r="AK191" s="91" t="str">
        <f aca="false">IF(ISBLANK($C191),"",IF($Z191=Constants!$B$7,IF(ISNUMBER(AJ191),RANK(AJ191,$AJ$8:$AJ$507),Constants!$B$14),$Z191))</f>
        <v/>
      </c>
      <c r="AL191" s="91" t="str">
        <f aca="false">IF(ISBLANK($C191),"",IF($Z191=Constants!$B$7,IF(AI191=1,AD191,AG191),""))</f>
        <v/>
      </c>
      <c r="AM191" s="91" t="str">
        <f aca="false">IF(ISBLANK($C191),"",IF($Z191=Constants!$B$7,RANK(AL191,$AL$8:$AL$507),$Z191))</f>
        <v/>
      </c>
      <c r="AN191" s="91" t="str">
        <f aca="false">IF(ISBLANK($C191),"",IF($Z191=Constants!$B$7,IF(ISNUMBER(AK191),COUNTIFS($AK$8:$AK$507,"&lt;"&amp;$AK191)+COUNTIFS($AK$8:$AK$507,$AK191,$AM$8:$AM$507,"&lt;"&amp;$AM191)+1,Constants!$B$14),$Z191))</f>
        <v/>
      </c>
      <c r="AO191" s="91" t="str">
        <f aca="false">IF(ISBLANK($C191),"",IF($Z191=Constants!$B$7,IF(ISNUMBER(AK191),AK191-AN191,Constants!$B$14),$Z191))</f>
        <v/>
      </c>
      <c r="AP191" s="92"/>
      <c r="AQ191" s="93" t="str">
        <f aca="false">IF(ISBLANK($C191),"",IF($Z191&lt;&gt;Constants!$B$7,"",AH191))</f>
        <v/>
      </c>
      <c r="AR191" s="94" t="str">
        <f aca="false">IF(ISBLANK($C191),"",IF($Z191&lt;&gt;Constants!$B$7,"",IF(AH191=1,AB191,AE191)))</f>
        <v/>
      </c>
      <c r="AS191" s="95" t="str">
        <f aca="false">IF(ISBLANK($C191),"",IF($Z191&lt;&gt;Constants!$B$7,"",IF(AH191=1,AC191,AF191)))</f>
        <v/>
      </c>
      <c r="AT191" s="96" t="str">
        <f aca="false">IF(ISBLANK($C191),"",IF($Z191&lt;&gt;Constants!$B$7,$Z191,AJ191))</f>
        <v/>
      </c>
      <c r="AU191" s="97" t="str">
        <f aca="false">IF(ISBLANK($C191),"",IF($Z191&lt;&gt;Constants!$B$7,$Z191,AA191))</f>
        <v/>
      </c>
      <c r="AV191" s="98" t="str">
        <f aca="false">IF(ISBLANK($C191),"",AO191)</f>
        <v/>
      </c>
      <c r="AW191" s="98" t="str">
        <f aca="false">IF(ISBLANK($C191),"",AN191)</f>
        <v/>
      </c>
      <c r="AX191" s="99" t="str">
        <f aca="false">IF(ISBLANK($C191),"",IFERROR(_xlfn.SWITCH(AW191,Constants!$B$4,COUNTA($C$8:$C$507)+2,Constants!$B$5,COUNTA($C$8:$C$507)+1,Constants!$B$6,COUNTA($C$8:$C$507)),AW191))</f>
        <v/>
      </c>
      <c r="AY191" s="5"/>
      <c r="AZ191" s="100" t="n">
        <f aca="false">IF(OR(ISNUMBER(AW191),AW191=Constants!$B$4,AW191=Constants!$B$6,AW191=Constants!$B$5),1,0)</f>
        <v>0</v>
      </c>
      <c r="BA191" s="100" t="n">
        <v>184</v>
      </c>
      <c r="BB191" s="100" t="str">
        <f aca="false">IF(ISBLANK($C191),"",IF(ISNUMBER(AX191),AX191+ROW($B191)/1000,""))</f>
        <v/>
      </c>
      <c r="BC191" s="100" t="str">
        <f aca="false">IF(ISNUMBER(BB191),RANK(BB191,$BB$8:$BB$507,1),"")</f>
        <v/>
      </c>
      <c r="BD191" s="100" t="str">
        <f aca="false">IF(ISBLANK($C191),"",$B191)</f>
        <v/>
      </c>
      <c r="BE191" s="100" t="str">
        <f aca="false">IF(ISBLANK($C191),"",$C191)</f>
        <v/>
      </c>
      <c r="BF191" s="100" t="str">
        <f aca="false">IF(ISBLANK($C191),"",$D191)</f>
        <v/>
      </c>
      <c r="BG191" s="101" t="str">
        <f aca="false">AU191</f>
        <v/>
      </c>
      <c r="BH191" s="102" t="str">
        <f aca="false">AT191</f>
        <v/>
      </c>
      <c r="BI191" s="100" t="str">
        <f aca="false">IF(ISBLANK($C191),"",AW191)</f>
        <v/>
      </c>
      <c r="BJ191" s="103" t="str">
        <f aca="false">IF($BA191&gt;$AZ$7,"",VLOOKUP($BA191,$BC$8:$BI$507,7,FALSE()))</f>
        <v/>
      </c>
      <c r="BK191" s="104" t="str">
        <f aca="false">IF($BA191&gt;$AZ$7,"",VLOOKUP($BA191,$BC$8:$BI$507,2,FALSE()))</f>
        <v/>
      </c>
      <c r="BL191" s="104" t="str">
        <f aca="false">IF($BA191&gt;$AZ$7,"",VLOOKUP($BA191,$BC$8:$BI$507,3,FALSE()))</f>
        <v/>
      </c>
      <c r="BM191" s="104" t="str">
        <f aca="false">IF($BA191&gt;$AZ$7,"",VLOOKUP($BA191,$BC$8:$BI$507,4,FALSE()))</f>
        <v/>
      </c>
      <c r="BN191" s="104" t="str">
        <f aca="false">IF($BA191&gt;$AZ$7,"",VLOOKUP($BA191,$BC$8:$BI$507,5,FALSE()))</f>
        <v/>
      </c>
      <c r="BO191" s="105" t="str">
        <f aca="false">IF($BA191&gt;$AZ$7,"",VLOOKUP($BA191,$BC$8:$BI$507,6,FALSE()))</f>
        <v/>
      </c>
      <c r="BP191" s="52"/>
    </row>
    <row r="192" customFormat="false" ht="15.75" hidden="false" customHeight="false" outlineLevel="0" collapsed="false">
      <c r="A192" s="5"/>
      <c r="B192" s="114"/>
      <c r="C192" s="115"/>
      <c r="D192" s="106"/>
      <c r="E192" s="117"/>
      <c r="F192" s="87"/>
      <c r="G192" s="88"/>
      <c r="H192" s="88"/>
      <c r="I192" s="87"/>
      <c r="J192" s="88"/>
      <c r="K192" s="88"/>
      <c r="L192" s="87"/>
      <c r="M192" s="117"/>
      <c r="N192" s="90"/>
      <c r="O192" s="91" t="str">
        <f aca="false">IF(ISBLANK($C192),"",IF(E192=Constants!$B$2, TRUE(), IF(E192=Constants!$B$3, FALSE(), TRUE())))</f>
        <v/>
      </c>
      <c r="P192" s="91" t="str">
        <f aca="false">IF(ISBLANK($C192),"",IF(F192=Constants!$B$16,Constants!$B$9,IF(F192=Constants!$B$17,Constants!$B$10,Constants!$B$8)))</f>
        <v/>
      </c>
      <c r="Q192" s="91" t="str">
        <f aca="false">IF(ISBLANK($C192),"",IF(ISNUMBER(G192),IF(G192&gt;=0,G192,""),""))</f>
        <v/>
      </c>
      <c r="R192" s="91" t="str">
        <f aca="false">IF(ISBLANK($C192),"",IF(H192=Constants!$B$2, TRUE(), IF(H192=Constants!$B$3, FALSE(), TRUE())))</f>
        <v/>
      </c>
      <c r="S192" s="91" t="str">
        <f aca="false">IF(ISBLANK($C192),"",IF(I192=Constants!$B$2, TRUE(), IF(I192=Constants!$B$3, FALSE(), TRUE())))</f>
        <v/>
      </c>
      <c r="T192" s="91" t="str">
        <f aca="false">IF(ISBLANK($C192),"",IF(ISNUMBER(J192),IF(J192&gt;=0,J192,""),""))</f>
        <v/>
      </c>
      <c r="U192" s="91" t="str">
        <f aca="false">IF(ISBLANK($C192),"",IF(K192=Constants!$B$2, TRUE(), IF(K192=Constants!$B$3, FALSE(), TRUE())))</f>
        <v/>
      </c>
      <c r="V192" s="91" t="str">
        <f aca="false">IF(ISBLANK($C192),"",IF(L192=Constants!$B$2, TRUE(), IF(L192=Constants!$B$3, FALSE(), TRUE())))</f>
        <v/>
      </c>
      <c r="W192" s="91" t="str">
        <f aca="false">IF(ISBLANK($C192),"",IF(M192=Constants!$B$2, TRUE(), IF(M192=Constants!$B$3, FALSE(), FALSE())))</f>
        <v/>
      </c>
      <c r="X192" s="91" t="str">
        <f aca="false">IF(ISBLANK($C192),"",AND(Q192&lt;&gt;"",O192))</f>
        <v/>
      </c>
      <c r="Y192" s="91" t="str">
        <f aca="false">IF(ISBLANK($C192),"",AND(T192&lt;&gt;"",O192))</f>
        <v/>
      </c>
      <c r="Z192" s="91" t="str">
        <f aca="false">IF(ISBLANK($C192),"",IF(W192,Constants!$B$4,IF(COUNTA(E192:L192)=0,Constants!$B$5,IF(NOT(O192),Constants!$B$6,IF(AND(NOT(X192),NOT(Y192)),Constants!$B$6,Constants!$B$7)))))</f>
        <v/>
      </c>
      <c r="AA192" s="91" t="str">
        <f aca="false">IF(ISBLANK($C192),"",IF($Z192&lt;&gt;Constants!$B$7,$Z192,Constants!$B$20))</f>
        <v/>
      </c>
      <c r="AB192" s="91" t="str">
        <f aca="false">IF($Z192=Constants!$B$7,IF(X192,Q192,Constants!$B$13),"")</f>
        <v/>
      </c>
      <c r="AC192" s="91" t="str">
        <f aca="false">IF($Z192=Constants!$B$7,IF(X192,P192*IF(R192, 1, Constants!$B$11)*IF(S192, 1, Constants!$B$12),Constants!$B$13),"")</f>
        <v/>
      </c>
      <c r="AD192" s="91" t="str">
        <f aca="false">IF($Z192=Constants!$B$7,AB192*AC192,"")</f>
        <v/>
      </c>
      <c r="AE192" s="91" t="str">
        <f aca="false">IF($Z192=Constants!$B$7,IF(Y192,T192,Constants!$B$13),"")</f>
        <v/>
      </c>
      <c r="AF192" s="91" t="str">
        <f aca="false">IF($Z192=Constants!$B$7,IF(Y192,P192*IF(U192, 1, Constants!$B$11)*IF(V192, 1, Constants!$B$12),Constants!$B$13),"")</f>
        <v/>
      </c>
      <c r="AG192" s="91" t="str">
        <f aca="false">IF($Z192=Constants!$B$7,AE192*AF192,"")</f>
        <v/>
      </c>
      <c r="AH192" s="91" t="str">
        <f aca="false">IF($Z192=Constants!$B$7,IF(AG192&gt;AD192,2,1),"")</f>
        <v/>
      </c>
      <c r="AI192" s="91" t="str">
        <f aca="false">IF($Z192=Constants!$B$7,IF(AH192=1,2,1),"")</f>
        <v/>
      </c>
      <c r="AJ192" s="91" t="str">
        <f aca="false">IF(ISBLANK($C192),"",IF($Z192&lt;&gt;Constants!$B$7,$Z192,IF(AH192=1,AD192,AG192)))</f>
        <v/>
      </c>
      <c r="AK192" s="91" t="str">
        <f aca="false">IF(ISBLANK($C192),"",IF($Z192=Constants!$B$7,IF(ISNUMBER(AJ192),RANK(AJ192,$AJ$8:$AJ$507),Constants!$B$14),$Z192))</f>
        <v/>
      </c>
      <c r="AL192" s="91" t="str">
        <f aca="false">IF(ISBLANK($C192),"",IF($Z192=Constants!$B$7,IF(AI192=1,AD192,AG192),""))</f>
        <v/>
      </c>
      <c r="AM192" s="91" t="str">
        <f aca="false">IF(ISBLANK($C192),"",IF($Z192=Constants!$B$7,RANK(AL192,$AL$8:$AL$507),$Z192))</f>
        <v/>
      </c>
      <c r="AN192" s="91" t="str">
        <f aca="false">IF(ISBLANK($C192),"",IF($Z192=Constants!$B$7,IF(ISNUMBER(AK192),COUNTIFS($AK$8:$AK$507,"&lt;"&amp;$AK192)+COUNTIFS($AK$8:$AK$507,$AK192,$AM$8:$AM$507,"&lt;"&amp;$AM192)+1,Constants!$B$14),$Z192))</f>
        <v/>
      </c>
      <c r="AO192" s="91" t="str">
        <f aca="false">IF(ISBLANK($C192),"",IF($Z192=Constants!$B$7,IF(ISNUMBER(AK192),AK192-AN192,Constants!$B$14),$Z192))</f>
        <v/>
      </c>
      <c r="AP192" s="92"/>
      <c r="AQ192" s="93" t="str">
        <f aca="false">IF(ISBLANK($C192),"",IF($Z192&lt;&gt;Constants!$B$7,"",AH192))</f>
        <v/>
      </c>
      <c r="AR192" s="94" t="str">
        <f aca="false">IF(ISBLANK($C192),"",IF($Z192&lt;&gt;Constants!$B$7,"",IF(AH192=1,AB192,AE192)))</f>
        <v/>
      </c>
      <c r="AS192" s="95" t="str">
        <f aca="false">IF(ISBLANK($C192),"",IF($Z192&lt;&gt;Constants!$B$7,"",IF(AH192=1,AC192,AF192)))</f>
        <v/>
      </c>
      <c r="AT192" s="96" t="str">
        <f aca="false">IF(ISBLANK($C192),"",IF($Z192&lt;&gt;Constants!$B$7,$Z192,AJ192))</f>
        <v/>
      </c>
      <c r="AU192" s="97" t="str">
        <f aca="false">IF(ISBLANK($C192),"",IF($Z192&lt;&gt;Constants!$B$7,$Z192,AA192))</f>
        <v/>
      </c>
      <c r="AV192" s="98" t="str">
        <f aca="false">IF(ISBLANK($C192),"",AO192)</f>
        <v/>
      </c>
      <c r="AW192" s="98" t="str">
        <f aca="false">IF(ISBLANK($C192),"",AN192)</f>
        <v/>
      </c>
      <c r="AX192" s="99" t="str">
        <f aca="false">IF(ISBLANK($C192),"",IFERROR(_xlfn.SWITCH(AW192,Constants!$B$4,COUNTA($C$8:$C$507)+2,Constants!$B$5,COUNTA($C$8:$C$507)+1,Constants!$B$6,COUNTA($C$8:$C$507)),AW192))</f>
        <v/>
      </c>
      <c r="AY192" s="5"/>
      <c r="AZ192" s="100" t="n">
        <f aca="false">IF(OR(ISNUMBER(AW192),AW192=Constants!$B$4,AW192=Constants!$B$6,AW192=Constants!$B$5),1,0)</f>
        <v>0</v>
      </c>
      <c r="BA192" s="100" t="n">
        <v>185</v>
      </c>
      <c r="BB192" s="100" t="str">
        <f aca="false">IF(ISBLANK($C192),"",IF(ISNUMBER(AX192),AX192+ROW($B192)/1000,""))</f>
        <v/>
      </c>
      <c r="BC192" s="100" t="str">
        <f aca="false">IF(ISNUMBER(BB192),RANK(BB192,$BB$8:$BB$507,1),"")</f>
        <v/>
      </c>
      <c r="BD192" s="100" t="str">
        <f aca="false">IF(ISBLANK($C192),"",$B192)</f>
        <v/>
      </c>
      <c r="BE192" s="100" t="str">
        <f aca="false">IF(ISBLANK($C192),"",$C192)</f>
        <v/>
      </c>
      <c r="BF192" s="100" t="str">
        <f aca="false">IF(ISBLANK($C192),"",$D192)</f>
        <v/>
      </c>
      <c r="BG192" s="101" t="str">
        <f aca="false">AU192</f>
        <v/>
      </c>
      <c r="BH192" s="102" t="str">
        <f aca="false">AT192</f>
        <v/>
      </c>
      <c r="BI192" s="100" t="str">
        <f aca="false">IF(ISBLANK($C192),"",AW192)</f>
        <v/>
      </c>
      <c r="BJ192" s="103" t="str">
        <f aca="false">IF($BA192&gt;$AZ$7,"",VLOOKUP($BA192,$BC$8:$BI$507,7,FALSE()))</f>
        <v/>
      </c>
      <c r="BK192" s="104" t="str">
        <f aca="false">IF($BA192&gt;$AZ$7,"",VLOOKUP($BA192,$BC$8:$BI$507,2,FALSE()))</f>
        <v/>
      </c>
      <c r="BL192" s="104" t="str">
        <f aca="false">IF($BA192&gt;$AZ$7,"",VLOOKUP($BA192,$BC$8:$BI$507,3,FALSE()))</f>
        <v/>
      </c>
      <c r="BM192" s="104" t="str">
        <f aca="false">IF($BA192&gt;$AZ$7,"",VLOOKUP($BA192,$BC$8:$BI$507,4,FALSE()))</f>
        <v/>
      </c>
      <c r="BN192" s="104" t="str">
        <f aca="false">IF($BA192&gt;$AZ$7,"",VLOOKUP($BA192,$BC$8:$BI$507,5,FALSE()))</f>
        <v/>
      </c>
      <c r="BO192" s="105" t="str">
        <f aca="false">IF($BA192&gt;$AZ$7,"",VLOOKUP($BA192,$BC$8:$BI$507,6,FALSE()))</f>
        <v/>
      </c>
      <c r="BP192" s="52"/>
    </row>
    <row r="193" customFormat="false" ht="15.75" hidden="false" customHeight="false" outlineLevel="0" collapsed="false">
      <c r="A193" s="5"/>
      <c r="B193" s="114"/>
      <c r="C193" s="115"/>
      <c r="D193" s="106"/>
      <c r="E193" s="117"/>
      <c r="F193" s="87"/>
      <c r="G193" s="88"/>
      <c r="H193" s="88"/>
      <c r="I193" s="87"/>
      <c r="J193" s="88"/>
      <c r="K193" s="88"/>
      <c r="L193" s="87"/>
      <c r="M193" s="117"/>
      <c r="N193" s="90"/>
      <c r="O193" s="91" t="str">
        <f aca="false">IF(ISBLANK($C193),"",IF(E193=Constants!$B$2, TRUE(), IF(E193=Constants!$B$3, FALSE(), TRUE())))</f>
        <v/>
      </c>
      <c r="P193" s="91" t="str">
        <f aca="false">IF(ISBLANK($C193),"",IF(F193=Constants!$B$16,Constants!$B$9,IF(F193=Constants!$B$17,Constants!$B$10,Constants!$B$8)))</f>
        <v/>
      </c>
      <c r="Q193" s="91" t="str">
        <f aca="false">IF(ISBLANK($C193),"",IF(ISNUMBER(G193),IF(G193&gt;=0,G193,""),""))</f>
        <v/>
      </c>
      <c r="R193" s="91" t="str">
        <f aca="false">IF(ISBLANK($C193),"",IF(H193=Constants!$B$2, TRUE(), IF(H193=Constants!$B$3, FALSE(), TRUE())))</f>
        <v/>
      </c>
      <c r="S193" s="91" t="str">
        <f aca="false">IF(ISBLANK($C193),"",IF(I193=Constants!$B$2, TRUE(), IF(I193=Constants!$B$3, FALSE(), TRUE())))</f>
        <v/>
      </c>
      <c r="T193" s="91" t="str">
        <f aca="false">IF(ISBLANK($C193),"",IF(ISNUMBER(J193),IF(J193&gt;=0,J193,""),""))</f>
        <v/>
      </c>
      <c r="U193" s="91" t="str">
        <f aca="false">IF(ISBLANK($C193),"",IF(K193=Constants!$B$2, TRUE(), IF(K193=Constants!$B$3, FALSE(), TRUE())))</f>
        <v/>
      </c>
      <c r="V193" s="91" t="str">
        <f aca="false">IF(ISBLANK($C193),"",IF(L193=Constants!$B$2, TRUE(), IF(L193=Constants!$B$3, FALSE(), TRUE())))</f>
        <v/>
      </c>
      <c r="W193" s="91" t="str">
        <f aca="false">IF(ISBLANK($C193),"",IF(M193=Constants!$B$2, TRUE(), IF(M193=Constants!$B$3, FALSE(), FALSE())))</f>
        <v/>
      </c>
      <c r="X193" s="91" t="str">
        <f aca="false">IF(ISBLANK($C193),"",AND(Q193&lt;&gt;"",O193))</f>
        <v/>
      </c>
      <c r="Y193" s="91" t="str">
        <f aca="false">IF(ISBLANK($C193),"",AND(T193&lt;&gt;"",O193))</f>
        <v/>
      </c>
      <c r="Z193" s="91" t="str">
        <f aca="false">IF(ISBLANK($C193),"",IF(W193,Constants!$B$4,IF(COUNTA(E193:L193)=0,Constants!$B$5,IF(NOT(O193),Constants!$B$6,IF(AND(NOT(X193),NOT(Y193)),Constants!$B$6,Constants!$B$7)))))</f>
        <v/>
      </c>
      <c r="AA193" s="91" t="str">
        <f aca="false">IF(ISBLANK($C193),"",IF($Z193&lt;&gt;Constants!$B$7,$Z193,Constants!$B$20))</f>
        <v/>
      </c>
      <c r="AB193" s="91" t="str">
        <f aca="false">IF($Z193=Constants!$B$7,IF(X193,Q193,Constants!$B$13),"")</f>
        <v/>
      </c>
      <c r="AC193" s="91" t="str">
        <f aca="false">IF($Z193=Constants!$B$7,IF(X193,P193*IF(R193, 1, Constants!$B$11)*IF(S193, 1, Constants!$B$12),Constants!$B$13),"")</f>
        <v/>
      </c>
      <c r="AD193" s="91" t="str">
        <f aca="false">IF($Z193=Constants!$B$7,AB193*AC193,"")</f>
        <v/>
      </c>
      <c r="AE193" s="91" t="str">
        <f aca="false">IF($Z193=Constants!$B$7,IF(Y193,T193,Constants!$B$13),"")</f>
        <v/>
      </c>
      <c r="AF193" s="91" t="str">
        <f aca="false">IF($Z193=Constants!$B$7,IF(Y193,P193*IF(U193, 1, Constants!$B$11)*IF(V193, 1, Constants!$B$12),Constants!$B$13),"")</f>
        <v/>
      </c>
      <c r="AG193" s="91" t="str">
        <f aca="false">IF($Z193=Constants!$B$7,AE193*AF193,"")</f>
        <v/>
      </c>
      <c r="AH193" s="91" t="str">
        <f aca="false">IF($Z193=Constants!$B$7,IF(AG193&gt;AD193,2,1),"")</f>
        <v/>
      </c>
      <c r="AI193" s="91" t="str">
        <f aca="false">IF($Z193=Constants!$B$7,IF(AH193=1,2,1),"")</f>
        <v/>
      </c>
      <c r="AJ193" s="91" t="str">
        <f aca="false">IF(ISBLANK($C193),"",IF($Z193&lt;&gt;Constants!$B$7,$Z193,IF(AH193=1,AD193,AG193)))</f>
        <v/>
      </c>
      <c r="AK193" s="91" t="str">
        <f aca="false">IF(ISBLANK($C193),"",IF($Z193=Constants!$B$7,IF(ISNUMBER(AJ193),RANK(AJ193,$AJ$8:$AJ$507),Constants!$B$14),$Z193))</f>
        <v/>
      </c>
      <c r="AL193" s="91" t="str">
        <f aca="false">IF(ISBLANK($C193),"",IF($Z193=Constants!$B$7,IF(AI193=1,AD193,AG193),""))</f>
        <v/>
      </c>
      <c r="AM193" s="91" t="str">
        <f aca="false">IF(ISBLANK($C193),"",IF($Z193=Constants!$B$7,RANK(AL193,$AL$8:$AL$507),$Z193))</f>
        <v/>
      </c>
      <c r="AN193" s="91" t="str">
        <f aca="false">IF(ISBLANK($C193),"",IF($Z193=Constants!$B$7,IF(ISNUMBER(AK193),COUNTIFS($AK$8:$AK$507,"&lt;"&amp;$AK193)+COUNTIFS($AK$8:$AK$507,$AK193,$AM$8:$AM$507,"&lt;"&amp;$AM193)+1,Constants!$B$14),$Z193))</f>
        <v/>
      </c>
      <c r="AO193" s="91" t="str">
        <f aca="false">IF(ISBLANK($C193),"",IF($Z193=Constants!$B$7,IF(ISNUMBER(AK193),AK193-AN193,Constants!$B$14),$Z193))</f>
        <v/>
      </c>
      <c r="AP193" s="92"/>
      <c r="AQ193" s="93" t="str">
        <f aca="false">IF(ISBLANK($C193),"",IF($Z193&lt;&gt;Constants!$B$7,"",AH193))</f>
        <v/>
      </c>
      <c r="AR193" s="94" t="str">
        <f aca="false">IF(ISBLANK($C193),"",IF($Z193&lt;&gt;Constants!$B$7,"",IF(AH193=1,AB193,AE193)))</f>
        <v/>
      </c>
      <c r="AS193" s="95" t="str">
        <f aca="false">IF(ISBLANK($C193),"",IF($Z193&lt;&gt;Constants!$B$7,"",IF(AH193=1,AC193,AF193)))</f>
        <v/>
      </c>
      <c r="AT193" s="96" t="str">
        <f aca="false">IF(ISBLANK($C193),"",IF($Z193&lt;&gt;Constants!$B$7,$Z193,AJ193))</f>
        <v/>
      </c>
      <c r="AU193" s="97" t="str">
        <f aca="false">IF(ISBLANK($C193),"",IF($Z193&lt;&gt;Constants!$B$7,$Z193,AA193))</f>
        <v/>
      </c>
      <c r="AV193" s="98" t="str">
        <f aca="false">IF(ISBLANK($C193),"",AO193)</f>
        <v/>
      </c>
      <c r="AW193" s="98" t="str">
        <f aca="false">IF(ISBLANK($C193),"",AN193)</f>
        <v/>
      </c>
      <c r="AX193" s="99" t="str">
        <f aca="false">IF(ISBLANK($C193),"",IFERROR(_xlfn.SWITCH(AW193,Constants!$B$4,COUNTA($C$8:$C$507)+2,Constants!$B$5,COUNTA($C$8:$C$507)+1,Constants!$B$6,COUNTA($C$8:$C$507)),AW193))</f>
        <v/>
      </c>
      <c r="AY193" s="5"/>
      <c r="AZ193" s="100" t="n">
        <f aca="false">IF(OR(ISNUMBER(AW193),AW193=Constants!$B$4,AW193=Constants!$B$6,AW193=Constants!$B$5),1,0)</f>
        <v>0</v>
      </c>
      <c r="BA193" s="100" t="n">
        <v>186</v>
      </c>
      <c r="BB193" s="100" t="str">
        <f aca="false">IF(ISBLANK($C193),"",IF(ISNUMBER(AX193),AX193+ROW($B193)/1000,""))</f>
        <v/>
      </c>
      <c r="BC193" s="100" t="str">
        <f aca="false">IF(ISNUMBER(BB193),RANK(BB193,$BB$8:$BB$507,1),"")</f>
        <v/>
      </c>
      <c r="BD193" s="100" t="str">
        <f aca="false">IF(ISBLANK($C193),"",$B193)</f>
        <v/>
      </c>
      <c r="BE193" s="100" t="str">
        <f aca="false">IF(ISBLANK($C193),"",$C193)</f>
        <v/>
      </c>
      <c r="BF193" s="100" t="str">
        <f aca="false">IF(ISBLANK($C193),"",$D193)</f>
        <v/>
      </c>
      <c r="BG193" s="101" t="str">
        <f aca="false">AU193</f>
        <v/>
      </c>
      <c r="BH193" s="102" t="str">
        <f aca="false">AT193</f>
        <v/>
      </c>
      <c r="BI193" s="100" t="str">
        <f aca="false">IF(ISBLANK($C193),"",AW193)</f>
        <v/>
      </c>
      <c r="BJ193" s="103" t="str">
        <f aca="false">IF($BA193&gt;$AZ$7,"",VLOOKUP($BA193,$BC$8:$BI$507,7,FALSE()))</f>
        <v/>
      </c>
      <c r="BK193" s="104" t="str">
        <f aca="false">IF($BA193&gt;$AZ$7,"",VLOOKUP($BA193,$BC$8:$BI$507,2,FALSE()))</f>
        <v/>
      </c>
      <c r="BL193" s="104" t="str">
        <f aca="false">IF($BA193&gt;$AZ$7,"",VLOOKUP($BA193,$BC$8:$BI$507,3,FALSE()))</f>
        <v/>
      </c>
      <c r="BM193" s="104" t="str">
        <f aca="false">IF($BA193&gt;$AZ$7,"",VLOOKUP($BA193,$BC$8:$BI$507,4,FALSE()))</f>
        <v/>
      </c>
      <c r="BN193" s="104" t="str">
        <f aca="false">IF($BA193&gt;$AZ$7,"",VLOOKUP($BA193,$BC$8:$BI$507,5,FALSE()))</f>
        <v/>
      </c>
      <c r="BO193" s="105" t="str">
        <f aca="false">IF($BA193&gt;$AZ$7,"",VLOOKUP($BA193,$BC$8:$BI$507,6,FALSE()))</f>
        <v/>
      </c>
      <c r="BP193" s="52"/>
    </row>
    <row r="194" customFormat="false" ht="15.75" hidden="false" customHeight="false" outlineLevel="0" collapsed="false">
      <c r="A194" s="5"/>
      <c r="B194" s="118"/>
      <c r="C194" s="54"/>
      <c r="D194" s="55"/>
      <c r="E194" s="79"/>
      <c r="F194" s="57"/>
      <c r="G194" s="58"/>
      <c r="H194" s="58"/>
      <c r="I194" s="57"/>
      <c r="J194" s="58"/>
      <c r="K194" s="58"/>
      <c r="L194" s="57"/>
      <c r="M194" s="79"/>
      <c r="N194" s="60"/>
      <c r="O194" s="62" t="str">
        <f aca="false">IF(ISBLANK($C194),"",IF(E194=Constants!$B$2, TRUE(), IF(E194=Constants!$B$3, FALSE(), TRUE())))</f>
        <v/>
      </c>
      <c r="P194" s="62" t="str">
        <f aca="false">IF(ISBLANK($C194),"",IF(F194=Constants!$B$16,Constants!$B$9,IF(F194=Constants!$B$17,Constants!$B$10,Constants!$B$8)))</f>
        <v/>
      </c>
      <c r="Q194" s="62" t="str">
        <f aca="false">IF(ISBLANK($C194),"",IF(ISNUMBER(G194),IF(G194&gt;=0,G194,""),""))</f>
        <v/>
      </c>
      <c r="R194" s="62" t="str">
        <f aca="false">IF(ISBLANK($C194),"",IF(H194=Constants!$B$2, TRUE(), IF(H194=Constants!$B$3, FALSE(), TRUE())))</f>
        <v/>
      </c>
      <c r="S194" s="62" t="str">
        <f aca="false">IF(ISBLANK($C194),"",IF(I194=Constants!$B$2, TRUE(), IF(I194=Constants!$B$3, FALSE(), TRUE())))</f>
        <v/>
      </c>
      <c r="T194" s="62" t="str">
        <f aca="false">IF(ISBLANK($C194),"",IF(ISNUMBER(J194),IF(J194&gt;=0,J194,""),""))</f>
        <v/>
      </c>
      <c r="U194" s="62" t="str">
        <f aca="false">IF(ISBLANK($C194),"",IF(K194=Constants!$B$2, TRUE(), IF(K194=Constants!$B$3, FALSE(), TRUE())))</f>
        <v/>
      </c>
      <c r="V194" s="62" t="str">
        <f aca="false">IF(ISBLANK($C194),"",IF(L194=Constants!$B$2, TRUE(), IF(L194=Constants!$B$3, FALSE(), TRUE())))</f>
        <v/>
      </c>
      <c r="W194" s="62" t="str">
        <f aca="false">IF(ISBLANK($C194),"",IF(M194=Constants!$B$2, TRUE(), IF(M194=Constants!$B$3, FALSE(), FALSE())))</f>
        <v/>
      </c>
      <c r="X194" s="62" t="str">
        <f aca="false">IF(ISBLANK($C194),"",AND(Q194&lt;&gt;"",O194))</f>
        <v/>
      </c>
      <c r="Y194" s="62" t="str">
        <f aca="false">IF(ISBLANK($C194),"",AND(T194&lt;&gt;"",O194))</f>
        <v/>
      </c>
      <c r="Z194" s="62" t="str">
        <f aca="false">IF(ISBLANK($C194),"",IF(W194,Constants!$B$4,IF(COUNTA(E194:L194)=0,Constants!$B$5,IF(NOT(O194),Constants!$B$6,IF(AND(NOT(X194),NOT(Y194)),Constants!$B$6,Constants!$B$7)))))</f>
        <v/>
      </c>
      <c r="AA194" s="62" t="str">
        <f aca="false">IF(ISBLANK($C194),"",IF($Z194&lt;&gt;Constants!$B$7,$Z194,Constants!$B$20))</f>
        <v/>
      </c>
      <c r="AB194" s="62" t="str">
        <f aca="false">IF($Z194=Constants!$B$7,IF(X194,Q194,Constants!$B$13),"")</f>
        <v/>
      </c>
      <c r="AC194" s="62" t="str">
        <f aca="false">IF($Z194=Constants!$B$7,IF(X194,P194*IF(R194, 1, Constants!$B$11)*IF(S194, 1, Constants!$B$12),Constants!$B$13),"")</f>
        <v/>
      </c>
      <c r="AD194" s="62" t="str">
        <f aca="false">IF($Z194=Constants!$B$7,AB194*AC194,"")</f>
        <v/>
      </c>
      <c r="AE194" s="62" t="str">
        <f aca="false">IF($Z194=Constants!$B$7,IF(Y194,T194,Constants!$B$13),"")</f>
        <v/>
      </c>
      <c r="AF194" s="62" t="str">
        <f aca="false">IF($Z194=Constants!$B$7,IF(Y194,P194*IF(U194, 1, Constants!$B$11)*IF(V194, 1, Constants!$B$12),Constants!$B$13),"")</f>
        <v/>
      </c>
      <c r="AG194" s="62" t="str">
        <f aca="false">IF($Z194=Constants!$B$7,AE194*AF194,"")</f>
        <v/>
      </c>
      <c r="AH194" s="62" t="str">
        <f aca="false">IF($Z194=Constants!$B$7,IF(AG194&gt;AD194,2,1),"")</f>
        <v/>
      </c>
      <c r="AI194" s="62" t="str">
        <f aca="false">IF($Z194=Constants!$B$7,IF(AH194=1,2,1),"")</f>
        <v/>
      </c>
      <c r="AJ194" s="62" t="str">
        <f aca="false">IF(ISBLANK($C194),"",IF($Z194&lt;&gt;Constants!$B$7,$Z194,IF(AH194=1,AD194,AG194)))</f>
        <v/>
      </c>
      <c r="AK194" s="62" t="str">
        <f aca="false">IF(ISBLANK($C194),"",IF($Z194=Constants!$B$7,IF(ISNUMBER(AJ194),RANK(AJ194,$AJ$8:$AJ$507),Constants!$B$14),$Z194))</f>
        <v/>
      </c>
      <c r="AL194" s="62" t="str">
        <f aca="false">IF(ISBLANK($C194),"",IF($Z194=Constants!$B$7,IF(AI194=1,AD194,AG194),""))</f>
        <v/>
      </c>
      <c r="AM194" s="62" t="str">
        <f aca="false">IF(ISBLANK($C194),"",IF($Z194=Constants!$B$7,RANK(AL194,$AL$8:$AL$507),$Z194))</f>
        <v/>
      </c>
      <c r="AN194" s="62" t="str">
        <f aca="false">IF(ISBLANK($C194),"",IF($Z194=Constants!$B$7,IF(ISNUMBER(AK194),COUNTIFS($AK$8:$AK$507,"&lt;"&amp;$AK194)+COUNTIFS($AK$8:$AK$507,$AK194,$AM$8:$AM$507,"&lt;"&amp;$AM194)+1,Constants!$B$14),$Z194))</f>
        <v/>
      </c>
      <c r="AO194" s="62" t="str">
        <f aca="false">IF(ISBLANK($C194),"",IF($Z194=Constants!$B$7,IF(ISNUMBER(AK194),AK194-AN194,Constants!$B$14),$Z194))</f>
        <v/>
      </c>
      <c r="AP194" s="64"/>
      <c r="AQ194" s="65" t="str">
        <f aca="false">IF(ISBLANK($C194),"",IF($Z194&lt;&gt;Constants!$B$7,"",AH194))</f>
        <v/>
      </c>
      <c r="AR194" s="80" t="str">
        <f aca="false">IF(ISBLANK($C194),"",IF($Z194&lt;&gt;Constants!$B$7,"",IF(AH194=1,AB194,AE194)))</f>
        <v/>
      </c>
      <c r="AS194" s="67" t="str">
        <f aca="false">IF(ISBLANK($C194),"",IF($Z194&lt;&gt;Constants!$B$7,"",IF(AH194=1,AC194,AF194)))</f>
        <v/>
      </c>
      <c r="AT194" s="68" t="str">
        <f aca="false">IF(ISBLANK($C194),"",IF($Z194&lt;&gt;Constants!$B$7,$Z194,AJ194))</f>
        <v/>
      </c>
      <c r="AU194" s="69" t="str">
        <f aca="false">IF(ISBLANK($C194),"",IF($Z194&lt;&gt;Constants!$B$7,$Z194,AA194))</f>
        <v/>
      </c>
      <c r="AV194" s="70" t="str">
        <f aca="false">IF(ISBLANK($C194),"",AO194)</f>
        <v/>
      </c>
      <c r="AW194" s="70" t="str">
        <f aca="false">IF(ISBLANK($C194),"",AN194)</f>
        <v/>
      </c>
      <c r="AX194" s="71" t="str">
        <f aca="false">IF(ISBLANK($C194),"",IFERROR(_xlfn.SWITCH(AW194,Constants!$B$4,COUNTA($C$8:$C$507)+2,Constants!$B$5,COUNTA($C$8:$C$507)+1,Constants!$B$6,COUNTA($C$8:$C$507)),AW194))</f>
        <v/>
      </c>
      <c r="AY194" s="5"/>
      <c r="AZ194" s="72" t="n">
        <f aca="false">IF(OR(ISNUMBER(AW194),AW194=Constants!$B$4,AW194=Constants!$B$6,AW194=Constants!$B$5),1,0)</f>
        <v>0</v>
      </c>
      <c r="BA194" s="72" t="n">
        <v>187</v>
      </c>
      <c r="BB194" s="72" t="str">
        <f aca="false">IF(ISBLANK($C194),"",IF(ISNUMBER(AX194),AX194+ROW($B194)/1000,""))</f>
        <v/>
      </c>
      <c r="BC194" s="72" t="str">
        <f aca="false">IF(ISNUMBER(BB194),RANK(BB194,$BB$8:$BB$507,1),"")</f>
        <v/>
      </c>
      <c r="BD194" s="72" t="str">
        <f aca="false">IF(ISBLANK($C194),"",$B194)</f>
        <v/>
      </c>
      <c r="BE194" s="72" t="str">
        <f aca="false">IF(ISBLANK($C194),"",$C194)</f>
        <v/>
      </c>
      <c r="BF194" s="72" t="str">
        <f aca="false">IF(ISBLANK($C194),"",$D194)</f>
        <v/>
      </c>
      <c r="BG194" s="73" t="str">
        <f aca="false">AU194</f>
        <v/>
      </c>
      <c r="BH194" s="74" t="str">
        <f aca="false">AT194</f>
        <v/>
      </c>
      <c r="BI194" s="72" t="str">
        <f aca="false">IF(ISBLANK($C194),"",AW194)</f>
        <v/>
      </c>
      <c r="BJ194" s="75" t="str">
        <f aca="false">IF($BA194&gt;$AZ$7,"",VLOOKUP($BA194,$BC$8:$BI$507,7,FALSE()))</f>
        <v/>
      </c>
      <c r="BK194" s="76" t="str">
        <f aca="false">IF($BA194&gt;$AZ$7,"",VLOOKUP($BA194,$BC$8:$BI$507,2,FALSE()))</f>
        <v/>
      </c>
      <c r="BL194" s="76" t="str">
        <f aca="false">IF($BA194&gt;$AZ$7,"",VLOOKUP($BA194,$BC$8:$BI$507,3,FALSE()))</f>
        <v/>
      </c>
      <c r="BM194" s="76" t="str">
        <f aca="false">IF($BA194&gt;$AZ$7,"",VLOOKUP($BA194,$BC$8:$BI$507,4,FALSE()))</f>
        <v/>
      </c>
      <c r="BN194" s="76" t="str">
        <f aca="false">IF($BA194&gt;$AZ$7,"",VLOOKUP($BA194,$BC$8:$BI$507,5,FALSE()))</f>
        <v/>
      </c>
      <c r="BO194" s="77" t="str">
        <f aca="false">IF($BA194&gt;$AZ$7,"",VLOOKUP($BA194,$BC$8:$BI$507,6,FALSE()))</f>
        <v/>
      </c>
      <c r="BP194" s="52"/>
    </row>
    <row r="195" customFormat="false" ht="15.75" hidden="false" customHeight="false" outlineLevel="0" collapsed="false">
      <c r="A195" s="5"/>
      <c r="B195" s="118"/>
      <c r="C195" s="54"/>
      <c r="D195" s="55"/>
      <c r="E195" s="79"/>
      <c r="F195" s="57"/>
      <c r="G195" s="58"/>
      <c r="H195" s="58"/>
      <c r="I195" s="57"/>
      <c r="J195" s="58"/>
      <c r="K195" s="58"/>
      <c r="L195" s="57"/>
      <c r="M195" s="79"/>
      <c r="N195" s="60"/>
      <c r="O195" s="62" t="str">
        <f aca="false">IF(ISBLANK($C195),"",IF(E195=Constants!$B$2, TRUE(), IF(E195=Constants!$B$3, FALSE(), TRUE())))</f>
        <v/>
      </c>
      <c r="P195" s="62" t="str">
        <f aca="false">IF(ISBLANK($C195),"",IF(F195=Constants!$B$16,Constants!$B$9,IF(F195=Constants!$B$17,Constants!$B$10,Constants!$B$8)))</f>
        <v/>
      </c>
      <c r="Q195" s="62" t="str">
        <f aca="false">IF(ISBLANK($C195),"",IF(ISNUMBER(G195),IF(G195&gt;=0,G195,""),""))</f>
        <v/>
      </c>
      <c r="R195" s="62" t="str">
        <f aca="false">IF(ISBLANK($C195),"",IF(H195=Constants!$B$2, TRUE(), IF(H195=Constants!$B$3, FALSE(), TRUE())))</f>
        <v/>
      </c>
      <c r="S195" s="62" t="str">
        <f aca="false">IF(ISBLANK($C195),"",IF(I195=Constants!$B$2, TRUE(), IF(I195=Constants!$B$3, FALSE(), TRUE())))</f>
        <v/>
      </c>
      <c r="T195" s="62" t="str">
        <f aca="false">IF(ISBLANK($C195),"",IF(ISNUMBER(J195),IF(J195&gt;=0,J195,""),""))</f>
        <v/>
      </c>
      <c r="U195" s="62" t="str">
        <f aca="false">IF(ISBLANK($C195),"",IF(K195=Constants!$B$2, TRUE(), IF(K195=Constants!$B$3, FALSE(), TRUE())))</f>
        <v/>
      </c>
      <c r="V195" s="62" t="str">
        <f aca="false">IF(ISBLANK($C195),"",IF(L195=Constants!$B$2, TRUE(), IF(L195=Constants!$B$3, FALSE(), TRUE())))</f>
        <v/>
      </c>
      <c r="W195" s="62" t="str">
        <f aca="false">IF(ISBLANK($C195),"",IF(M195=Constants!$B$2, TRUE(), IF(M195=Constants!$B$3, FALSE(), FALSE())))</f>
        <v/>
      </c>
      <c r="X195" s="62" t="str">
        <f aca="false">IF(ISBLANK($C195),"",AND(Q195&lt;&gt;"",O195))</f>
        <v/>
      </c>
      <c r="Y195" s="62" t="str">
        <f aca="false">IF(ISBLANK($C195),"",AND(T195&lt;&gt;"",O195))</f>
        <v/>
      </c>
      <c r="Z195" s="62" t="str">
        <f aca="false">IF(ISBLANK($C195),"",IF(W195,Constants!$B$4,IF(COUNTA(E195:L195)=0,Constants!$B$5,IF(NOT(O195),Constants!$B$6,IF(AND(NOT(X195),NOT(Y195)),Constants!$B$6,Constants!$B$7)))))</f>
        <v/>
      </c>
      <c r="AA195" s="62" t="str">
        <f aca="false">IF(ISBLANK($C195),"",IF($Z195&lt;&gt;Constants!$B$7,$Z195,Constants!$B$20))</f>
        <v/>
      </c>
      <c r="AB195" s="62" t="str">
        <f aca="false">IF($Z195=Constants!$B$7,IF(X195,Q195,Constants!$B$13),"")</f>
        <v/>
      </c>
      <c r="AC195" s="62" t="str">
        <f aca="false">IF($Z195=Constants!$B$7,IF(X195,P195*IF(R195, 1, Constants!$B$11)*IF(S195, 1, Constants!$B$12),Constants!$B$13),"")</f>
        <v/>
      </c>
      <c r="AD195" s="62" t="str">
        <f aca="false">IF($Z195=Constants!$B$7,AB195*AC195,"")</f>
        <v/>
      </c>
      <c r="AE195" s="62" t="str">
        <f aca="false">IF($Z195=Constants!$B$7,IF(Y195,T195,Constants!$B$13),"")</f>
        <v/>
      </c>
      <c r="AF195" s="62" t="str">
        <f aca="false">IF($Z195=Constants!$B$7,IF(Y195,P195*IF(U195, 1, Constants!$B$11)*IF(V195, 1, Constants!$B$12),Constants!$B$13),"")</f>
        <v/>
      </c>
      <c r="AG195" s="62" t="str">
        <f aca="false">IF($Z195=Constants!$B$7,AE195*AF195,"")</f>
        <v/>
      </c>
      <c r="AH195" s="62" t="str">
        <f aca="false">IF($Z195=Constants!$B$7,IF(AG195&gt;AD195,2,1),"")</f>
        <v/>
      </c>
      <c r="AI195" s="62" t="str">
        <f aca="false">IF($Z195=Constants!$B$7,IF(AH195=1,2,1),"")</f>
        <v/>
      </c>
      <c r="AJ195" s="62" t="str">
        <f aca="false">IF(ISBLANK($C195),"",IF($Z195&lt;&gt;Constants!$B$7,$Z195,IF(AH195=1,AD195,AG195)))</f>
        <v/>
      </c>
      <c r="AK195" s="62" t="str">
        <f aca="false">IF(ISBLANK($C195),"",IF($Z195=Constants!$B$7,IF(ISNUMBER(AJ195),RANK(AJ195,$AJ$8:$AJ$507),Constants!$B$14),$Z195))</f>
        <v/>
      </c>
      <c r="AL195" s="62" t="str">
        <f aca="false">IF(ISBLANK($C195),"",IF($Z195=Constants!$B$7,IF(AI195=1,AD195,AG195),""))</f>
        <v/>
      </c>
      <c r="AM195" s="62" t="str">
        <f aca="false">IF(ISBLANK($C195),"",IF($Z195=Constants!$B$7,RANK(AL195,$AL$8:$AL$507),$Z195))</f>
        <v/>
      </c>
      <c r="AN195" s="62" t="str">
        <f aca="false">IF(ISBLANK($C195),"",IF($Z195=Constants!$B$7,IF(ISNUMBER(AK195),COUNTIFS($AK$8:$AK$507,"&lt;"&amp;$AK195)+COUNTIFS($AK$8:$AK$507,$AK195,$AM$8:$AM$507,"&lt;"&amp;$AM195)+1,Constants!$B$14),$Z195))</f>
        <v/>
      </c>
      <c r="AO195" s="62" t="str">
        <f aca="false">IF(ISBLANK($C195),"",IF($Z195=Constants!$B$7,IF(ISNUMBER(AK195),AK195-AN195,Constants!$B$14),$Z195))</f>
        <v/>
      </c>
      <c r="AP195" s="64"/>
      <c r="AQ195" s="65" t="str">
        <f aca="false">IF(ISBLANK($C195),"",IF($Z195&lt;&gt;Constants!$B$7,"",AH195))</f>
        <v/>
      </c>
      <c r="AR195" s="80" t="str">
        <f aca="false">IF(ISBLANK($C195),"",IF($Z195&lt;&gt;Constants!$B$7,"",IF(AH195=1,AB195,AE195)))</f>
        <v/>
      </c>
      <c r="AS195" s="67" t="str">
        <f aca="false">IF(ISBLANK($C195),"",IF($Z195&lt;&gt;Constants!$B$7,"",IF(AH195=1,AC195,AF195)))</f>
        <v/>
      </c>
      <c r="AT195" s="68" t="str">
        <f aca="false">IF(ISBLANK($C195),"",IF($Z195&lt;&gt;Constants!$B$7,$Z195,AJ195))</f>
        <v/>
      </c>
      <c r="AU195" s="69" t="str">
        <f aca="false">IF(ISBLANK($C195),"",IF($Z195&lt;&gt;Constants!$B$7,$Z195,AA195))</f>
        <v/>
      </c>
      <c r="AV195" s="70" t="str">
        <f aca="false">IF(ISBLANK($C195),"",AO195)</f>
        <v/>
      </c>
      <c r="AW195" s="70" t="str">
        <f aca="false">IF(ISBLANK($C195),"",AN195)</f>
        <v/>
      </c>
      <c r="AX195" s="71" t="str">
        <f aca="false">IF(ISBLANK($C195),"",IFERROR(_xlfn.SWITCH(AW195,Constants!$B$4,COUNTA($C$8:$C$507)+2,Constants!$B$5,COUNTA($C$8:$C$507)+1,Constants!$B$6,COUNTA($C$8:$C$507)),AW195))</f>
        <v/>
      </c>
      <c r="AY195" s="5"/>
      <c r="AZ195" s="72" t="n">
        <f aca="false">IF(OR(ISNUMBER(AW195),AW195=Constants!$B$4,AW195=Constants!$B$6,AW195=Constants!$B$5),1,0)</f>
        <v>0</v>
      </c>
      <c r="BA195" s="72" t="n">
        <v>188</v>
      </c>
      <c r="BB195" s="72" t="str">
        <f aca="false">IF(ISBLANK($C195),"",IF(ISNUMBER(AX195),AX195+ROW($B195)/1000,""))</f>
        <v/>
      </c>
      <c r="BC195" s="72" t="str">
        <f aca="false">IF(ISNUMBER(BB195),RANK(BB195,$BB$8:$BB$507,1),"")</f>
        <v/>
      </c>
      <c r="BD195" s="72" t="str">
        <f aca="false">IF(ISBLANK($C195),"",$B195)</f>
        <v/>
      </c>
      <c r="BE195" s="72" t="str">
        <f aca="false">IF(ISBLANK($C195),"",$C195)</f>
        <v/>
      </c>
      <c r="BF195" s="72" t="str">
        <f aca="false">IF(ISBLANK($C195),"",$D195)</f>
        <v/>
      </c>
      <c r="BG195" s="73" t="str">
        <f aca="false">AU195</f>
        <v/>
      </c>
      <c r="BH195" s="74" t="str">
        <f aca="false">AT195</f>
        <v/>
      </c>
      <c r="BI195" s="72" t="str">
        <f aca="false">IF(ISBLANK($C195),"",AW195)</f>
        <v/>
      </c>
      <c r="BJ195" s="75" t="str">
        <f aca="false">IF($BA195&gt;$AZ$7,"",VLOOKUP($BA195,$BC$8:$BI$507,7,FALSE()))</f>
        <v/>
      </c>
      <c r="BK195" s="76" t="str">
        <f aca="false">IF($BA195&gt;$AZ$7,"",VLOOKUP($BA195,$BC$8:$BI$507,2,FALSE()))</f>
        <v/>
      </c>
      <c r="BL195" s="76" t="str">
        <f aca="false">IF($BA195&gt;$AZ$7,"",VLOOKUP($BA195,$BC$8:$BI$507,3,FALSE()))</f>
        <v/>
      </c>
      <c r="BM195" s="76" t="str">
        <f aca="false">IF($BA195&gt;$AZ$7,"",VLOOKUP($BA195,$BC$8:$BI$507,4,FALSE()))</f>
        <v/>
      </c>
      <c r="BN195" s="76" t="str">
        <f aca="false">IF($BA195&gt;$AZ$7,"",VLOOKUP($BA195,$BC$8:$BI$507,5,FALSE()))</f>
        <v/>
      </c>
      <c r="BO195" s="77" t="str">
        <f aca="false">IF($BA195&gt;$AZ$7,"",VLOOKUP($BA195,$BC$8:$BI$507,6,FALSE()))</f>
        <v/>
      </c>
      <c r="BP195" s="52"/>
    </row>
    <row r="196" customFormat="false" ht="15.75" hidden="false" customHeight="false" outlineLevel="0" collapsed="false">
      <c r="A196" s="5"/>
      <c r="B196" s="118"/>
      <c r="C196" s="54"/>
      <c r="D196" s="55"/>
      <c r="E196" s="79"/>
      <c r="F196" s="57"/>
      <c r="G196" s="58"/>
      <c r="H196" s="58"/>
      <c r="I196" s="57"/>
      <c r="J196" s="58"/>
      <c r="K196" s="58"/>
      <c r="L196" s="57"/>
      <c r="M196" s="79"/>
      <c r="N196" s="60"/>
      <c r="O196" s="62" t="str">
        <f aca="false">IF(ISBLANK($C196),"",IF(E196=Constants!$B$2, TRUE(), IF(E196=Constants!$B$3, FALSE(), TRUE())))</f>
        <v/>
      </c>
      <c r="P196" s="62" t="str">
        <f aca="false">IF(ISBLANK($C196),"",IF(F196=Constants!$B$16,Constants!$B$9,IF(F196=Constants!$B$17,Constants!$B$10,Constants!$B$8)))</f>
        <v/>
      </c>
      <c r="Q196" s="62" t="str">
        <f aca="false">IF(ISBLANK($C196),"",IF(ISNUMBER(G196),IF(G196&gt;=0,G196,""),""))</f>
        <v/>
      </c>
      <c r="R196" s="62" t="str">
        <f aca="false">IF(ISBLANK($C196),"",IF(H196=Constants!$B$2, TRUE(), IF(H196=Constants!$B$3, FALSE(), TRUE())))</f>
        <v/>
      </c>
      <c r="S196" s="62" t="str">
        <f aca="false">IF(ISBLANK($C196),"",IF(I196=Constants!$B$2, TRUE(), IF(I196=Constants!$B$3, FALSE(), TRUE())))</f>
        <v/>
      </c>
      <c r="T196" s="62" t="str">
        <f aca="false">IF(ISBLANK($C196),"",IF(ISNUMBER(J196),IF(J196&gt;=0,J196,""),""))</f>
        <v/>
      </c>
      <c r="U196" s="62" t="str">
        <f aca="false">IF(ISBLANK($C196),"",IF(K196=Constants!$B$2, TRUE(), IF(K196=Constants!$B$3, FALSE(), TRUE())))</f>
        <v/>
      </c>
      <c r="V196" s="62" t="str">
        <f aca="false">IF(ISBLANK($C196),"",IF(L196=Constants!$B$2, TRUE(), IF(L196=Constants!$B$3, FALSE(), TRUE())))</f>
        <v/>
      </c>
      <c r="W196" s="62" t="str">
        <f aca="false">IF(ISBLANK($C196),"",IF(M196=Constants!$B$2, TRUE(), IF(M196=Constants!$B$3, FALSE(), FALSE())))</f>
        <v/>
      </c>
      <c r="X196" s="62" t="str">
        <f aca="false">IF(ISBLANK($C196),"",AND(Q196&lt;&gt;"",O196))</f>
        <v/>
      </c>
      <c r="Y196" s="62" t="str">
        <f aca="false">IF(ISBLANK($C196),"",AND(T196&lt;&gt;"",O196))</f>
        <v/>
      </c>
      <c r="Z196" s="62" t="str">
        <f aca="false">IF(ISBLANK($C196),"",IF(W196,Constants!$B$4,IF(COUNTA(E196:L196)=0,Constants!$B$5,IF(NOT(O196),Constants!$B$6,IF(AND(NOT(X196),NOT(Y196)),Constants!$B$6,Constants!$B$7)))))</f>
        <v/>
      </c>
      <c r="AA196" s="62" t="str">
        <f aca="false">IF(ISBLANK($C196),"",IF($Z196&lt;&gt;Constants!$B$7,$Z196,Constants!$B$20))</f>
        <v/>
      </c>
      <c r="AB196" s="62" t="str">
        <f aca="false">IF($Z196=Constants!$B$7,IF(X196,Q196,Constants!$B$13),"")</f>
        <v/>
      </c>
      <c r="AC196" s="62" t="str">
        <f aca="false">IF($Z196=Constants!$B$7,IF(X196,P196*IF(R196, 1, Constants!$B$11)*IF(S196, 1, Constants!$B$12),Constants!$B$13),"")</f>
        <v/>
      </c>
      <c r="AD196" s="62" t="str">
        <f aca="false">IF($Z196=Constants!$B$7,AB196*AC196,"")</f>
        <v/>
      </c>
      <c r="AE196" s="62" t="str">
        <f aca="false">IF($Z196=Constants!$B$7,IF(Y196,T196,Constants!$B$13),"")</f>
        <v/>
      </c>
      <c r="AF196" s="62" t="str">
        <f aca="false">IF($Z196=Constants!$B$7,IF(Y196,P196*IF(U196, 1, Constants!$B$11)*IF(V196, 1, Constants!$B$12),Constants!$B$13),"")</f>
        <v/>
      </c>
      <c r="AG196" s="62" t="str">
        <f aca="false">IF($Z196=Constants!$B$7,AE196*AF196,"")</f>
        <v/>
      </c>
      <c r="AH196" s="62" t="str">
        <f aca="false">IF($Z196=Constants!$B$7,IF(AG196&gt;AD196,2,1),"")</f>
        <v/>
      </c>
      <c r="AI196" s="62" t="str">
        <f aca="false">IF($Z196=Constants!$B$7,IF(AH196=1,2,1),"")</f>
        <v/>
      </c>
      <c r="AJ196" s="62" t="str">
        <f aca="false">IF(ISBLANK($C196),"",IF($Z196&lt;&gt;Constants!$B$7,$Z196,IF(AH196=1,AD196,AG196)))</f>
        <v/>
      </c>
      <c r="AK196" s="62" t="str">
        <f aca="false">IF(ISBLANK($C196),"",IF($Z196=Constants!$B$7,IF(ISNUMBER(AJ196),RANK(AJ196,$AJ$8:$AJ$507),Constants!$B$14),$Z196))</f>
        <v/>
      </c>
      <c r="AL196" s="62" t="str">
        <f aca="false">IF(ISBLANK($C196),"",IF($Z196=Constants!$B$7,IF(AI196=1,AD196,AG196),""))</f>
        <v/>
      </c>
      <c r="AM196" s="62" t="str">
        <f aca="false">IF(ISBLANK($C196),"",IF($Z196=Constants!$B$7,RANK(AL196,$AL$8:$AL$507),$Z196))</f>
        <v/>
      </c>
      <c r="AN196" s="62" t="str">
        <f aca="false">IF(ISBLANK($C196),"",IF($Z196=Constants!$B$7,IF(ISNUMBER(AK196),COUNTIFS($AK$8:$AK$507,"&lt;"&amp;$AK196)+COUNTIFS($AK$8:$AK$507,$AK196,$AM$8:$AM$507,"&lt;"&amp;$AM196)+1,Constants!$B$14),$Z196))</f>
        <v/>
      </c>
      <c r="AO196" s="62" t="str">
        <f aca="false">IF(ISBLANK($C196),"",IF($Z196=Constants!$B$7,IF(ISNUMBER(AK196),AK196-AN196,Constants!$B$14),$Z196))</f>
        <v/>
      </c>
      <c r="AP196" s="64"/>
      <c r="AQ196" s="65" t="str">
        <f aca="false">IF(ISBLANK($C196),"",IF($Z196&lt;&gt;Constants!$B$7,"",AH196))</f>
        <v/>
      </c>
      <c r="AR196" s="80" t="str">
        <f aca="false">IF(ISBLANK($C196),"",IF($Z196&lt;&gt;Constants!$B$7,"",IF(AH196=1,AB196,AE196)))</f>
        <v/>
      </c>
      <c r="AS196" s="67" t="str">
        <f aca="false">IF(ISBLANK($C196),"",IF($Z196&lt;&gt;Constants!$B$7,"",IF(AH196=1,AC196,AF196)))</f>
        <v/>
      </c>
      <c r="AT196" s="68" t="str">
        <f aca="false">IF(ISBLANK($C196),"",IF($Z196&lt;&gt;Constants!$B$7,$Z196,AJ196))</f>
        <v/>
      </c>
      <c r="AU196" s="69" t="str">
        <f aca="false">IF(ISBLANK($C196),"",IF($Z196&lt;&gt;Constants!$B$7,$Z196,AA196))</f>
        <v/>
      </c>
      <c r="AV196" s="70" t="str">
        <f aca="false">IF(ISBLANK($C196),"",AO196)</f>
        <v/>
      </c>
      <c r="AW196" s="70" t="str">
        <f aca="false">IF(ISBLANK($C196),"",AN196)</f>
        <v/>
      </c>
      <c r="AX196" s="71" t="str">
        <f aca="false">IF(ISBLANK($C196),"",IFERROR(_xlfn.SWITCH(AW196,Constants!$B$4,COUNTA($C$8:$C$507)+2,Constants!$B$5,COUNTA($C$8:$C$507)+1,Constants!$B$6,COUNTA($C$8:$C$507)),AW196))</f>
        <v/>
      </c>
      <c r="AY196" s="5"/>
      <c r="AZ196" s="72" t="n">
        <f aca="false">IF(OR(ISNUMBER(AW196),AW196=Constants!$B$4,AW196=Constants!$B$6,AW196=Constants!$B$5),1,0)</f>
        <v>0</v>
      </c>
      <c r="BA196" s="72" t="n">
        <v>189</v>
      </c>
      <c r="BB196" s="72" t="str">
        <f aca="false">IF(ISBLANK($C196),"",IF(ISNUMBER(AX196),AX196+ROW($B196)/1000,""))</f>
        <v/>
      </c>
      <c r="BC196" s="72" t="str">
        <f aca="false">IF(ISNUMBER(BB196),RANK(BB196,$BB$8:$BB$507,1),"")</f>
        <v/>
      </c>
      <c r="BD196" s="72" t="str">
        <f aca="false">IF(ISBLANK($C196),"",$B196)</f>
        <v/>
      </c>
      <c r="BE196" s="72" t="str">
        <f aca="false">IF(ISBLANK($C196),"",$C196)</f>
        <v/>
      </c>
      <c r="BF196" s="72" t="str">
        <f aca="false">IF(ISBLANK($C196),"",$D196)</f>
        <v/>
      </c>
      <c r="BG196" s="73" t="str">
        <f aca="false">AU196</f>
        <v/>
      </c>
      <c r="BH196" s="74" t="str">
        <f aca="false">AT196</f>
        <v/>
      </c>
      <c r="BI196" s="72" t="str">
        <f aca="false">IF(ISBLANK($C196),"",AW196)</f>
        <v/>
      </c>
      <c r="BJ196" s="75" t="str">
        <f aca="false">IF($BA196&gt;$AZ$7,"",VLOOKUP($BA196,$BC$8:$BI$507,7,FALSE()))</f>
        <v/>
      </c>
      <c r="BK196" s="76" t="str">
        <f aca="false">IF($BA196&gt;$AZ$7,"",VLOOKUP($BA196,$BC$8:$BI$507,2,FALSE()))</f>
        <v/>
      </c>
      <c r="BL196" s="76" t="str">
        <f aca="false">IF($BA196&gt;$AZ$7,"",VLOOKUP($BA196,$BC$8:$BI$507,3,FALSE()))</f>
        <v/>
      </c>
      <c r="BM196" s="76" t="str">
        <f aca="false">IF($BA196&gt;$AZ$7,"",VLOOKUP($BA196,$BC$8:$BI$507,4,FALSE()))</f>
        <v/>
      </c>
      <c r="BN196" s="76" t="str">
        <f aca="false">IF($BA196&gt;$AZ$7,"",VLOOKUP($BA196,$BC$8:$BI$507,5,FALSE()))</f>
        <v/>
      </c>
      <c r="BO196" s="77" t="str">
        <f aca="false">IF($BA196&gt;$AZ$7,"",VLOOKUP($BA196,$BC$8:$BI$507,6,FALSE()))</f>
        <v/>
      </c>
      <c r="BP196" s="52"/>
    </row>
    <row r="197" customFormat="false" ht="15.75" hidden="false" customHeight="false" outlineLevel="0" collapsed="false">
      <c r="A197" s="5"/>
      <c r="B197" s="114"/>
      <c r="C197" s="115"/>
      <c r="D197" s="106"/>
      <c r="E197" s="117"/>
      <c r="F197" s="87"/>
      <c r="G197" s="88"/>
      <c r="H197" s="88"/>
      <c r="I197" s="87"/>
      <c r="J197" s="88"/>
      <c r="K197" s="88"/>
      <c r="L197" s="87"/>
      <c r="M197" s="117"/>
      <c r="N197" s="90"/>
      <c r="O197" s="91" t="str">
        <f aca="false">IF(ISBLANK($C197),"",IF(E197=Constants!$B$2, TRUE(), IF(E197=Constants!$B$3, FALSE(), TRUE())))</f>
        <v/>
      </c>
      <c r="P197" s="91" t="str">
        <f aca="false">IF(ISBLANK($C197),"",IF(F197=Constants!$B$16,Constants!$B$9,IF(F197=Constants!$B$17,Constants!$B$10,Constants!$B$8)))</f>
        <v/>
      </c>
      <c r="Q197" s="91" t="str">
        <f aca="false">IF(ISBLANK($C197),"",IF(ISNUMBER(G197),IF(G197&gt;=0,G197,""),""))</f>
        <v/>
      </c>
      <c r="R197" s="91" t="str">
        <f aca="false">IF(ISBLANK($C197),"",IF(H197=Constants!$B$2, TRUE(), IF(H197=Constants!$B$3, FALSE(), TRUE())))</f>
        <v/>
      </c>
      <c r="S197" s="91" t="str">
        <f aca="false">IF(ISBLANK($C197),"",IF(I197=Constants!$B$2, TRUE(), IF(I197=Constants!$B$3, FALSE(), TRUE())))</f>
        <v/>
      </c>
      <c r="T197" s="91" t="str">
        <f aca="false">IF(ISBLANK($C197),"",IF(ISNUMBER(J197),IF(J197&gt;=0,J197,""),""))</f>
        <v/>
      </c>
      <c r="U197" s="91" t="str">
        <f aca="false">IF(ISBLANK($C197),"",IF(K197=Constants!$B$2, TRUE(), IF(K197=Constants!$B$3, FALSE(), TRUE())))</f>
        <v/>
      </c>
      <c r="V197" s="91" t="str">
        <f aca="false">IF(ISBLANK($C197),"",IF(L197=Constants!$B$2, TRUE(), IF(L197=Constants!$B$3, FALSE(), TRUE())))</f>
        <v/>
      </c>
      <c r="W197" s="91" t="str">
        <f aca="false">IF(ISBLANK($C197),"",IF(M197=Constants!$B$2, TRUE(), IF(M197=Constants!$B$3, FALSE(), FALSE())))</f>
        <v/>
      </c>
      <c r="X197" s="91" t="str">
        <f aca="false">IF(ISBLANK($C197),"",AND(Q197&lt;&gt;"",O197))</f>
        <v/>
      </c>
      <c r="Y197" s="91" t="str">
        <f aca="false">IF(ISBLANK($C197),"",AND(T197&lt;&gt;"",O197))</f>
        <v/>
      </c>
      <c r="Z197" s="91" t="str">
        <f aca="false">IF(ISBLANK($C197),"",IF(W197,Constants!$B$4,IF(COUNTA(E197:L197)=0,Constants!$B$5,IF(NOT(O197),Constants!$B$6,IF(AND(NOT(X197),NOT(Y197)),Constants!$B$6,Constants!$B$7)))))</f>
        <v/>
      </c>
      <c r="AA197" s="91" t="str">
        <f aca="false">IF(ISBLANK($C197),"",IF($Z197&lt;&gt;Constants!$B$7,$Z197,Constants!$B$20))</f>
        <v/>
      </c>
      <c r="AB197" s="91" t="str">
        <f aca="false">IF($Z197=Constants!$B$7,IF(X197,Q197,Constants!$B$13),"")</f>
        <v/>
      </c>
      <c r="AC197" s="91" t="str">
        <f aca="false">IF($Z197=Constants!$B$7,IF(X197,P197*IF(R197, 1, Constants!$B$11)*IF(S197, 1, Constants!$B$12),Constants!$B$13),"")</f>
        <v/>
      </c>
      <c r="AD197" s="91" t="str">
        <f aca="false">IF($Z197=Constants!$B$7,AB197*AC197,"")</f>
        <v/>
      </c>
      <c r="AE197" s="91" t="str">
        <f aca="false">IF($Z197=Constants!$B$7,IF(Y197,T197,Constants!$B$13),"")</f>
        <v/>
      </c>
      <c r="AF197" s="91" t="str">
        <f aca="false">IF($Z197=Constants!$B$7,IF(Y197,P197*IF(U197, 1, Constants!$B$11)*IF(V197, 1, Constants!$B$12),Constants!$B$13),"")</f>
        <v/>
      </c>
      <c r="AG197" s="91" t="str">
        <f aca="false">IF($Z197=Constants!$B$7,AE197*AF197,"")</f>
        <v/>
      </c>
      <c r="AH197" s="91" t="str">
        <f aca="false">IF($Z197=Constants!$B$7,IF(AG197&gt;AD197,2,1),"")</f>
        <v/>
      </c>
      <c r="AI197" s="91" t="str">
        <f aca="false">IF($Z197=Constants!$B$7,IF(AH197=1,2,1),"")</f>
        <v/>
      </c>
      <c r="AJ197" s="91" t="str">
        <f aca="false">IF(ISBLANK($C197),"",IF($Z197&lt;&gt;Constants!$B$7,$Z197,IF(AH197=1,AD197,AG197)))</f>
        <v/>
      </c>
      <c r="AK197" s="91" t="str">
        <f aca="false">IF(ISBLANK($C197),"",IF($Z197=Constants!$B$7,IF(ISNUMBER(AJ197),RANK(AJ197,$AJ$8:$AJ$507),Constants!$B$14),$Z197))</f>
        <v/>
      </c>
      <c r="AL197" s="91" t="str">
        <f aca="false">IF(ISBLANK($C197),"",IF($Z197=Constants!$B$7,IF(AI197=1,AD197,AG197),""))</f>
        <v/>
      </c>
      <c r="AM197" s="91" t="str">
        <f aca="false">IF(ISBLANK($C197),"",IF($Z197=Constants!$B$7,RANK(AL197,$AL$8:$AL$507),$Z197))</f>
        <v/>
      </c>
      <c r="AN197" s="91" t="str">
        <f aca="false">IF(ISBLANK($C197),"",IF($Z197=Constants!$B$7,IF(ISNUMBER(AK197),COUNTIFS($AK$8:$AK$507,"&lt;"&amp;$AK197)+COUNTIFS($AK$8:$AK$507,$AK197,$AM$8:$AM$507,"&lt;"&amp;$AM197)+1,Constants!$B$14),$Z197))</f>
        <v/>
      </c>
      <c r="AO197" s="91" t="str">
        <f aca="false">IF(ISBLANK($C197),"",IF($Z197=Constants!$B$7,IF(ISNUMBER(AK197),AK197-AN197,Constants!$B$14),$Z197))</f>
        <v/>
      </c>
      <c r="AP197" s="92"/>
      <c r="AQ197" s="93" t="str">
        <f aca="false">IF(ISBLANK($C197),"",IF($Z197&lt;&gt;Constants!$B$7,"",AH197))</f>
        <v/>
      </c>
      <c r="AR197" s="94" t="str">
        <f aca="false">IF(ISBLANK($C197),"",IF($Z197&lt;&gt;Constants!$B$7,"",IF(AH197=1,AB197,AE197)))</f>
        <v/>
      </c>
      <c r="AS197" s="95" t="str">
        <f aca="false">IF(ISBLANK($C197),"",IF($Z197&lt;&gt;Constants!$B$7,"",IF(AH197=1,AC197,AF197)))</f>
        <v/>
      </c>
      <c r="AT197" s="96" t="str">
        <f aca="false">IF(ISBLANK($C197),"",IF($Z197&lt;&gt;Constants!$B$7,$Z197,AJ197))</f>
        <v/>
      </c>
      <c r="AU197" s="97" t="str">
        <f aca="false">IF(ISBLANK($C197),"",IF($Z197&lt;&gt;Constants!$B$7,$Z197,AA197))</f>
        <v/>
      </c>
      <c r="AV197" s="98" t="str">
        <f aca="false">IF(ISBLANK($C197),"",AO197)</f>
        <v/>
      </c>
      <c r="AW197" s="98" t="str">
        <f aca="false">IF(ISBLANK($C197),"",AN197)</f>
        <v/>
      </c>
      <c r="AX197" s="99" t="str">
        <f aca="false">IF(ISBLANK($C197),"",IFERROR(_xlfn.SWITCH(AW197,Constants!$B$4,COUNTA($C$8:$C$507)+2,Constants!$B$5,COUNTA($C$8:$C$507)+1,Constants!$B$6,COUNTA($C$8:$C$507)),AW197))</f>
        <v/>
      </c>
      <c r="AY197" s="5"/>
      <c r="AZ197" s="100" t="n">
        <f aca="false">IF(OR(ISNUMBER(AW197),AW197=Constants!$B$4,AW197=Constants!$B$6,AW197=Constants!$B$5),1,0)</f>
        <v>0</v>
      </c>
      <c r="BA197" s="100" t="n">
        <v>190</v>
      </c>
      <c r="BB197" s="100" t="str">
        <f aca="false">IF(ISBLANK($C197),"",IF(ISNUMBER(AX197),AX197+ROW($B197)/1000,""))</f>
        <v/>
      </c>
      <c r="BC197" s="100" t="str">
        <f aca="false">IF(ISNUMBER(BB197),RANK(BB197,$BB$8:$BB$507,1),"")</f>
        <v/>
      </c>
      <c r="BD197" s="100" t="str">
        <f aca="false">IF(ISBLANK($C197),"",$B197)</f>
        <v/>
      </c>
      <c r="BE197" s="100" t="str">
        <f aca="false">IF(ISBLANK($C197),"",$C197)</f>
        <v/>
      </c>
      <c r="BF197" s="100" t="str">
        <f aca="false">IF(ISBLANK($C197),"",$D197)</f>
        <v/>
      </c>
      <c r="BG197" s="101" t="str">
        <f aca="false">AU197</f>
        <v/>
      </c>
      <c r="BH197" s="102" t="str">
        <f aca="false">AT197</f>
        <v/>
      </c>
      <c r="BI197" s="100" t="str">
        <f aca="false">IF(ISBLANK($C197),"",AW197)</f>
        <v/>
      </c>
      <c r="BJ197" s="103" t="str">
        <f aca="false">IF($BA197&gt;$AZ$7,"",VLOOKUP($BA197,$BC$8:$BI$507,7,FALSE()))</f>
        <v/>
      </c>
      <c r="BK197" s="104" t="str">
        <f aca="false">IF($BA197&gt;$AZ$7,"",VLOOKUP($BA197,$BC$8:$BI$507,2,FALSE()))</f>
        <v/>
      </c>
      <c r="BL197" s="104" t="str">
        <f aca="false">IF($BA197&gt;$AZ$7,"",VLOOKUP($BA197,$BC$8:$BI$507,3,FALSE()))</f>
        <v/>
      </c>
      <c r="BM197" s="104" t="str">
        <f aca="false">IF($BA197&gt;$AZ$7,"",VLOOKUP($BA197,$BC$8:$BI$507,4,FALSE()))</f>
        <v/>
      </c>
      <c r="BN197" s="104" t="str">
        <f aca="false">IF($BA197&gt;$AZ$7,"",VLOOKUP($BA197,$BC$8:$BI$507,5,FALSE()))</f>
        <v/>
      </c>
      <c r="BO197" s="105" t="str">
        <f aca="false">IF($BA197&gt;$AZ$7,"",VLOOKUP($BA197,$BC$8:$BI$507,6,FALSE()))</f>
        <v/>
      </c>
      <c r="BP197" s="52"/>
    </row>
    <row r="198" customFormat="false" ht="15.75" hidden="false" customHeight="false" outlineLevel="0" collapsed="false">
      <c r="A198" s="5"/>
      <c r="B198" s="114"/>
      <c r="C198" s="115"/>
      <c r="D198" s="106"/>
      <c r="E198" s="117"/>
      <c r="F198" s="87"/>
      <c r="G198" s="88"/>
      <c r="H198" s="88"/>
      <c r="I198" s="87"/>
      <c r="J198" s="88"/>
      <c r="K198" s="88"/>
      <c r="L198" s="87"/>
      <c r="M198" s="117"/>
      <c r="N198" s="90"/>
      <c r="O198" s="91" t="str">
        <f aca="false">IF(ISBLANK($C198),"",IF(E198=Constants!$B$2, TRUE(), IF(E198=Constants!$B$3, FALSE(), TRUE())))</f>
        <v/>
      </c>
      <c r="P198" s="91" t="str">
        <f aca="false">IF(ISBLANK($C198),"",IF(F198=Constants!$B$16,Constants!$B$9,IF(F198=Constants!$B$17,Constants!$B$10,Constants!$B$8)))</f>
        <v/>
      </c>
      <c r="Q198" s="91" t="str">
        <f aca="false">IF(ISBLANK($C198),"",IF(ISNUMBER(G198),IF(G198&gt;=0,G198,""),""))</f>
        <v/>
      </c>
      <c r="R198" s="91" t="str">
        <f aca="false">IF(ISBLANK($C198),"",IF(H198=Constants!$B$2, TRUE(), IF(H198=Constants!$B$3, FALSE(), TRUE())))</f>
        <v/>
      </c>
      <c r="S198" s="91" t="str">
        <f aca="false">IF(ISBLANK($C198),"",IF(I198=Constants!$B$2, TRUE(), IF(I198=Constants!$B$3, FALSE(), TRUE())))</f>
        <v/>
      </c>
      <c r="T198" s="91" t="str">
        <f aca="false">IF(ISBLANK($C198),"",IF(ISNUMBER(J198),IF(J198&gt;=0,J198,""),""))</f>
        <v/>
      </c>
      <c r="U198" s="91" t="str">
        <f aca="false">IF(ISBLANK($C198),"",IF(K198=Constants!$B$2, TRUE(), IF(K198=Constants!$B$3, FALSE(), TRUE())))</f>
        <v/>
      </c>
      <c r="V198" s="91" t="str">
        <f aca="false">IF(ISBLANK($C198),"",IF(L198=Constants!$B$2, TRUE(), IF(L198=Constants!$B$3, FALSE(), TRUE())))</f>
        <v/>
      </c>
      <c r="W198" s="91" t="str">
        <f aca="false">IF(ISBLANK($C198),"",IF(M198=Constants!$B$2, TRUE(), IF(M198=Constants!$B$3, FALSE(), FALSE())))</f>
        <v/>
      </c>
      <c r="X198" s="91" t="str">
        <f aca="false">IF(ISBLANK($C198),"",AND(Q198&lt;&gt;"",O198))</f>
        <v/>
      </c>
      <c r="Y198" s="91" t="str">
        <f aca="false">IF(ISBLANK($C198),"",AND(T198&lt;&gt;"",O198))</f>
        <v/>
      </c>
      <c r="Z198" s="91" t="str">
        <f aca="false">IF(ISBLANK($C198),"",IF(W198,Constants!$B$4,IF(COUNTA(E198:L198)=0,Constants!$B$5,IF(NOT(O198),Constants!$B$6,IF(AND(NOT(X198),NOT(Y198)),Constants!$B$6,Constants!$B$7)))))</f>
        <v/>
      </c>
      <c r="AA198" s="91" t="str">
        <f aca="false">IF(ISBLANK($C198),"",IF($Z198&lt;&gt;Constants!$B$7,$Z198,Constants!$B$20))</f>
        <v/>
      </c>
      <c r="AB198" s="91" t="str">
        <f aca="false">IF($Z198=Constants!$B$7,IF(X198,Q198,Constants!$B$13),"")</f>
        <v/>
      </c>
      <c r="AC198" s="91" t="str">
        <f aca="false">IF($Z198=Constants!$B$7,IF(X198,P198*IF(R198, 1, Constants!$B$11)*IF(S198, 1, Constants!$B$12),Constants!$B$13),"")</f>
        <v/>
      </c>
      <c r="AD198" s="91" t="str">
        <f aca="false">IF($Z198=Constants!$B$7,AB198*AC198,"")</f>
        <v/>
      </c>
      <c r="AE198" s="91" t="str">
        <f aca="false">IF($Z198=Constants!$B$7,IF(Y198,T198,Constants!$B$13),"")</f>
        <v/>
      </c>
      <c r="AF198" s="91" t="str">
        <f aca="false">IF($Z198=Constants!$B$7,IF(Y198,P198*IF(U198, 1, Constants!$B$11)*IF(V198, 1, Constants!$B$12),Constants!$B$13),"")</f>
        <v/>
      </c>
      <c r="AG198" s="91" t="str">
        <f aca="false">IF($Z198=Constants!$B$7,AE198*AF198,"")</f>
        <v/>
      </c>
      <c r="AH198" s="91" t="str">
        <f aca="false">IF($Z198=Constants!$B$7,IF(AG198&gt;AD198,2,1),"")</f>
        <v/>
      </c>
      <c r="AI198" s="91" t="str">
        <f aca="false">IF($Z198=Constants!$B$7,IF(AH198=1,2,1),"")</f>
        <v/>
      </c>
      <c r="AJ198" s="91" t="str">
        <f aca="false">IF(ISBLANK($C198),"",IF($Z198&lt;&gt;Constants!$B$7,$Z198,IF(AH198=1,AD198,AG198)))</f>
        <v/>
      </c>
      <c r="AK198" s="91" t="str">
        <f aca="false">IF(ISBLANK($C198),"",IF($Z198=Constants!$B$7,IF(ISNUMBER(AJ198),RANK(AJ198,$AJ$8:$AJ$507),Constants!$B$14),$Z198))</f>
        <v/>
      </c>
      <c r="AL198" s="91" t="str">
        <f aca="false">IF(ISBLANK($C198),"",IF($Z198=Constants!$B$7,IF(AI198=1,AD198,AG198),""))</f>
        <v/>
      </c>
      <c r="AM198" s="91" t="str">
        <f aca="false">IF(ISBLANK($C198),"",IF($Z198=Constants!$B$7,RANK(AL198,$AL$8:$AL$507),$Z198))</f>
        <v/>
      </c>
      <c r="AN198" s="91" t="str">
        <f aca="false">IF(ISBLANK($C198),"",IF($Z198=Constants!$B$7,IF(ISNUMBER(AK198),COUNTIFS($AK$8:$AK$507,"&lt;"&amp;$AK198)+COUNTIFS($AK$8:$AK$507,$AK198,$AM$8:$AM$507,"&lt;"&amp;$AM198)+1,Constants!$B$14),$Z198))</f>
        <v/>
      </c>
      <c r="AO198" s="91" t="str">
        <f aca="false">IF(ISBLANK($C198),"",IF($Z198=Constants!$B$7,IF(ISNUMBER(AK198),AK198-AN198,Constants!$B$14),$Z198))</f>
        <v/>
      </c>
      <c r="AP198" s="92"/>
      <c r="AQ198" s="93" t="str">
        <f aca="false">IF(ISBLANK($C198),"",IF($Z198&lt;&gt;Constants!$B$7,"",AH198))</f>
        <v/>
      </c>
      <c r="AR198" s="94" t="str">
        <f aca="false">IF(ISBLANK($C198),"",IF($Z198&lt;&gt;Constants!$B$7,"",IF(AH198=1,AB198,AE198)))</f>
        <v/>
      </c>
      <c r="AS198" s="95" t="str">
        <f aca="false">IF(ISBLANK($C198),"",IF($Z198&lt;&gt;Constants!$B$7,"",IF(AH198=1,AC198,AF198)))</f>
        <v/>
      </c>
      <c r="AT198" s="96" t="str">
        <f aca="false">IF(ISBLANK($C198),"",IF($Z198&lt;&gt;Constants!$B$7,$Z198,AJ198))</f>
        <v/>
      </c>
      <c r="AU198" s="97" t="str">
        <f aca="false">IF(ISBLANK($C198),"",IF($Z198&lt;&gt;Constants!$B$7,$Z198,AA198))</f>
        <v/>
      </c>
      <c r="AV198" s="98" t="str">
        <f aca="false">IF(ISBLANK($C198),"",AO198)</f>
        <v/>
      </c>
      <c r="AW198" s="98" t="str">
        <f aca="false">IF(ISBLANK($C198),"",AN198)</f>
        <v/>
      </c>
      <c r="AX198" s="99" t="str">
        <f aca="false">IF(ISBLANK($C198),"",IFERROR(_xlfn.SWITCH(AW198,Constants!$B$4,COUNTA($C$8:$C$507)+2,Constants!$B$5,COUNTA($C$8:$C$507)+1,Constants!$B$6,COUNTA($C$8:$C$507)),AW198))</f>
        <v/>
      </c>
      <c r="AY198" s="5"/>
      <c r="AZ198" s="100" t="n">
        <f aca="false">IF(OR(ISNUMBER(AW198),AW198=Constants!$B$4,AW198=Constants!$B$6,AW198=Constants!$B$5),1,0)</f>
        <v>0</v>
      </c>
      <c r="BA198" s="100" t="n">
        <v>191</v>
      </c>
      <c r="BB198" s="100" t="str">
        <f aca="false">IF(ISBLANK($C198),"",IF(ISNUMBER(AX198),AX198+ROW($B198)/1000,""))</f>
        <v/>
      </c>
      <c r="BC198" s="100" t="str">
        <f aca="false">IF(ISNUMBER(BB198),RANK(BB198,$BB$8:$BB$507,1),"")</f>
        <v/>
      </c>
      <c r="BD198" s="100" t="str">
        <f aca="false">IF(ISBLANK($C198),"",$B198)</f>
        <v/>
      </c>
      <c r="BE198" s="100" t="str">
        <f aca="false">IF(ISBLANK($C198),"",$C198)</f>
        <v/>
      </c>
      <c r="BF198" s="100" t="str">
        <f aca="false">IF(ISBLANK($C198),"",$D198)</f>
        <v/>
      </c>
      <c r="BG198" s="101" t="str">
        <f aca="false">AU198</f>
        <v/>
      </c>
      <c r="BH198" s="102" t="str">
        <f aca="false">AT198</f>
        <v/>
      </c>
      <c r="BI198" s="100" t="str">
        <f aca="false">IF(ISBLANK($C198),"",AW198)</f>
        <v/>
      </c>
      <c r="BJ198" s="103" t="str">
        <f aca="false">IF($BA198&gt;$AZ$7,"",VLOOKUP($BA198,$BC$8:$BI$507,7,FALSE()))</f>
        <v/>
      </c>
      <c r="BK198" s="104" t="str">
        <f aca="false">IF($BA198&gt;$AZ$7,"",VLOOKUP($BA198,$BC$8:$BI$507,2,FALSE()))</f>
        <v/>
      </c>
      <c r="BL198" s="104" t="str">
        <f aca="false">IF($BA198&gt;$AZ$7,"",VLOOKUP($BA198,$BC$8:$BI$507,3,FALSE()))</f>
        <v/>
      </c>
      <c r="BM198" s="104" t="str">
        <f aca="false">IF($BA198&gt;$AZ$7,"",VLOOKUP($BA198,$BC$8:$BI$507,4,FALSE()))</f>
        <v/>
      </c>
      <c r="BN198" s="104" t="str">
        <f aca="false">IF($BA198&gt;$AZ$7,"",VLOOKUP($BA198,$BC$8:$BI$507,5,FALSE()))</f>
        <v/>
      </c>
      <c r="BO198" s="105" t="str">
        <f aca="false">IF($BA198&gt;$AZ$7,"",VLOOKUP($BA198,$BC$8:$BI$507,6,FALSE()))</f>
        <v/>
      </c>
      <c r="BP198" s="52"/>
    </row>
    <row r="199" customFormat="false" ht="15.75" hidden="false" customHeight="false" outlineLevel="0" collapsed="false">
      <c r="A199" s="5"/>
      <c r="B199" s="114"/>
      <c r="C199" s="115"/>
      <c r="D199" s="106"/>
      <c r="E199" s="117"/>
      <c r="F199" s="87"/>
      <c r="G199" s="88"/>
      <c r="H199" s="88"/>
      <c r="I199" s="87"/>
      <c r="J199" s="88"/>
      <c r="K199" s="88"/>
      <c r="L199" s="87"/>
      <c r="M199" s="117"/>
      <c r="N199" s="90"/>
      <c r="O199" s="91" t="str">
        <f aca="false">IF(ISBLANK($C199),"",IF(E199=Constants!$B$2, TRUE(), IF(E199=Constants!$B$3, FALSE(), TRUE())))</f>
        <v/>
      </c>
      <c r="P199" s="91" t="str">
        <f aca="false">IF(ISBLANK($C199),"",IF(F199=Constants!$B$16,Constants!$B$9,IF(F199=Constants!$B$17,Constants!$B$10,Constants!$B$8)))</f>
        <v/>
      </c>
      <c r="Q199" s="91" t="str">
        <f aca="false">IF(ISBLANK($C199),"",IF(ISNUMBER(G199),IF(G199&gt;=0,G199,""),""))</f>
        <v/>
      </c>
      <c r="R199" s="91" t="str">
        <f aca="false">IF(ISBLANK($C199),"",IF(H199=Constants!$B$2, TRUE(), IF(H199=Constants!$B$3, FALSE(), TRUE())))</f>
        <v/>
      </c>
      <c r="S199" s="91" t="str">
        <f aca="false">IF(ISBLANK($C199),"",IF(I199=Constants!$B$2, TRUE(), IF(I199=Constants!$B$3, FALSE(), TRUE())))</f>
        <v/>
      </c>
      <c r="T199" s="91" t="str">
        <f aca="false">IF(ISBLANK($C199),"",IF(ISNUMBER(J199),IF(J199&gt;=0,J199,""),""))</f>
        <v/>
      </c>
      <c r="U199" s="91" t="str">
        <f aca="false">IF(ISBLANK($C199),"",IF(K199=Constants!$B$2, TRUE(), IF(K199=Constants!$B$3, FALSE(), TRUE())))</f>
        <v/>
      </c>
      <c r="V199" s="91" t="str">
        <f aca="false">IF(ISBLANK($C199),"",IF(L199=Constants!$B$2, TRUE(), IF(L199=Constants!$B$3, FALSE(), TRUE())))</f>
        <v/>
      </c>
      <c r="W199" s="91" t="str">
        <f aca="false">IF(ISBLANK($C199),"",IF(M199=Constants!$B$2, TRUE(), IF(M199=Constants!$B$3, FALSE(), FALSE())))</f>
        <v/>
      </c>
      <c r="X199" s="91" t="str">
        <f aca="false">IF(ISBLANK($C199),"",AND(Q199&lt;&gt;"",O199))</f>
        <v/>
      </c>
      <c r="Y199" s="91" t="str">
        <f aca="false">IF(ISBLANK($C199),"",AND(T199&lt;&gt;"",O199))</f>
        <v/>
      </c>
      <c r="Z199" s="91" t="str">
        <f aca="false">IF(ISBLANK($C199),"",IF(W199,Constants!$B$4,IF(COUNTA(E199:L199)=0,Constants!$B$5,IF(NOT(O199),Constants!$B$6,IF(AND(NOT(X199),NOT(Y199)),Constants!$B$6,Constants!$B$7)))))</f>
        <v/>
      </c>
      <c r="AA199" s="91" t="str">
        <f aca="false">IF(ISBLANK($C199),"",IF($Z199&lt;&gt;Constants!$B$7,$Z199,Constants!$B$20))</f>
        <v/>
      </c>
      <c r="AB199" s="91" t="str">
        <f aca="false">IF($Z199=Constants!$B$7,IF(X199,Q199,Constants!$B$13),"")</f>
        <v/>
      </c>
      <c r="AC199" s="91" t="str">
        <f aca="false">IF($Z199=Constants!$B$7,IF(X199,P199*IF(R199, 1, Constants!$B$11)*IF(S199, 1, Constants!$B$12),Constants!$B$13),"")</f>
        <v/>
      </c>
      <c r="AD199" s="91" t="str">
        <f aca="false">IF($Z199=Constants!$B$7,AB199*AC199,"")</f>
        <v/>
      </c>
      <c r="AE199" s="91" t="str">
        <f aca="false">IF($Z199=Constants!$B$7,IF(Y199,T199,Constants!$B$13),"")</f>
        <v/>
      </c>
      <c r="AF199" s="91" t="str">
        <f aca="false">IF($Z199=Constants!$B$7,IF(Y199,P199*IF(U199, 1, Constants!$B$11)*IF(V199, 1, Constants!$B$12),Constants!$B$13),"")</f>
        <v/>
      </c>
      <c r="AG199" s="91" t="str">
        <f aca="false">IF($Z199=Constants!$B$7,AE199*AF199,"")</f>
        <v/>
      </c>
      <c r="AH199" s="91" t="str">
        <f aca="false">IF($Z199=Constants!$B$7,IF(AG199&gt;AD199,2,1),"")</f>
        <v/>
      </c>
      <c r="AI199" s="91" t="str">
        <f aca="false">IF($Z199=Constants!$B$7,IF(AH199=1,2,1),"")</f>
        <v/>
      </c>
      <c r="AJ199" s="91" t="str">
        <f aca="false">IF(ISBLANK($C199),"",IF($Z199&lt;&gt;Constants!$B$7,$Z199,IF(AH199=1,AD199,AG199)))</f>
        <v/>
      </c>
      <c r="AK199" s="91" t="str">
        <f aca="false">IF(ISBLANK($C199),"",IF($Z199=Constants!$B$7,IF(ISNUMBER(AJ199),RANK(AJ199,$AJ$8:$AJ$507),Constants!$B$14),$Z199))</f>
        <v/>
      </c>
      <c r="AL199" s="91" t="str">
        <f aca="false">IF(ISBLANK($C199),"",IF($Z199=Constants!$B$7,IF(AI199=1,AD199,AG199),""))</f>
        <v/>
      </c>
      <c r="AM199" s="91" t="str">
        <f aca="false">IF(ISBLANK($C199),"",IF($Z199=Constants!$B$7,RANK(AL199,$AL$8:$AL$507),$Z199))</f>
        <v/>
      </c>
      <c r="AN199" s="91" t="str">
        <f aca="false">IF(ISBLANK($C199),"",IF($Z199=Constants!$B$7,IF(ISNUMBER(AK199),COUNTIFS($AK$8:$AK$507,"&lt;"&amp;$AK199)+COUNTIFS($AK$8:$AK$507,$AK199,$AM$8:$AM$507,"&lt;"&amp;$AM199)+1,Constants!$B$14),$Z199))</f>
        <v/>
      </c>
      <c r="AO199" s="91" t="str">
        <f aca="false">IF(ISBLANK($C199),"",IF($Z199=Constants!$B$7,IF(ISNUMBER(AK199),AK199-AN199,Constants!$B$14),$Z199))</f>
        <v/>
      </c>
      <c r="AP199" s="92"/>
      <c r="AQ199" s="93" t="str">
        <f aca="false">IF(ISBLANK($C199),"",IF($Z199&lt;&gt;Constants!$B$7,"",AH199))</f>
        <v/>
      </c>
      <c r="AR199" s="94" t="str">
        <f aca="false">IF(ISBLANK($C199),"",IF($Z199&lt;&gt;Constants!$B$7,"",IF(AH199=1,AB199,AE199)))</f>
        <v/>
      </c>
      <c r="AS199" s="95" t="str">
        <f aca="false">IF(ISBLANK($C199),"",IF($Z199&lt;&gt;Constants!$B$7,"",IF(AH199=1,AC199,AF199)))</f>
        <v/>
      </c>
      <c r="AT199" s="96" t="str">
        <f aca="false">IF(ISBLANK($C199),"",IF($Z199&lt;&gt;Constants!$B$7,$Z199,AJ199))</f>
        <v/>
      </c>
      <c r="AU199" s="97" t="str">
        <f aca="false">IF(ISBLANK($C199),"",IF($Z199&lt;&gt;Constants!$B$7,$Z199,AA199))</f>
        <v/>
      </c>
      <c r="AV199" s="98" t="str">
        <f aca="false">IF(ISBLANK($C199),"",AO199)</f>
        <v/>
      </c>
      <c r="AW199" s="98" t="str">
        <f aca="false">IF(ISBLANK($C199),"",AN199)</f>
        <v/>
      </c>
      <c r="AX199" s="99" t="str">
        <f aca="false">IF(ISBLANK($C199),"",IFERROR(_xlfn.SWITCH(AW199,Constants!$B$4,COUNTA($C$8:$C$507)+2,Constants!$B$5,COUNTA($C$8:$C$507)+1,Constants!$B$6,COUNTA($C$8:$C$507)),AW199))</f>
        <v/>
      </c>
      <c r="AY199" s="5"/>
      <c r="AZ199" s="100" t="n">
        <f aca="false">IF(OR(ISNUMBER(AW199),AW199=Constants!$B$4,AW199=Constants!$B$6,AW199=Constants!$B$5),1,0)</f>
        <v>0</v>
      </c>
      <c r="BA199" s="100" t="n">
        <v>192</v>
      </c>
      <c r="BB199" s="100" t="str">
        <f aca="false">IF(ISBLANK($C199),"",IF(ISNUMBER(AX199),AX199+ROW($B199)/1000,""))</f>
        <v/>
      </c>
      <c r="BC199" s="100" t="str">
        <f aca="false">IF(ISNUMBER(BB199),RANK(BB199,$BB$8:$BB$507,1),"")</f>
        <v/>
      </c>
      <c r="BD199" s="100" t="str">
        <f aca="false">IF(ISBLANK($C199),"",$B199)</f>
        <v/>
      </c>
      <c r="BE199" s="100" t="str">
        <f aca="false">IF(ISBLANK($C199),"",$C199)</f>
        <v/>
      </c>
      <c r="BF199" s="100" t="str">
        <f aca="false">IF(ISBLANK($C199),"",$D199)</f>
        <v/>
      </c>
      <c r="BG199" s="101" t="str">
        <f aca="false">AU199</f>
        <v/>
      </c>
      <c r="BH199" s="102" t="str">
        <f aca="false">AT199</f>
        <v/>
      </c>
      <c r="BI199" s="100" t="str">
        <f aca="false">IF(ISBLANK($C199),"",AW199)</f>
        <v/>
      </c>
      <c r="BJ199" s="103" t="str">
        <f aca="false">IF($BA199&gt;$AZ$7,"",VLOOKUP($BA199,$BC$8:$BI$507,7,FALSE()))</f>
        <v/>
      </c>
      <c r="BK199" s="104" t="str">
        <f aca="false">IF($BA199&gt;$AZ$7,"",VLOOKUP($BA199,$BC$8:$BI$507,2,FALSE()))</f>
        <v/>
      </c>
      <c r="BL199" s="104" t="str">
        <f aca="false">IF($BA199&gt;$AZ$7,"",VLOOKUP($BA199,$BC$8:$BI$507,3,FALSE()))</f>
        <v/>
      </c>
      <c r="BM199" s="104" t="str">
        <f aca="false">IF($BA199&gt;$AZ$7,"",VLOOKUP($BA199,$BC$8:$BI$507,4,FALSE()))</f>
        <v/>
      </c>
      <c r="BN199" s="104" t="str">
        <f aca="false">IF($BA199&gt;$AZ$7,"",VLOOKUP($BA199,$BC$8:$BI$507,5,FALSE()))</f>
        <v/>
      </c>
      <c r="BO199" s="105" t="str">
        <f aca="false">IF($BA199&gt;$AZ$7,"",VLOOKUP($BA199,$BC$8:$BI$507,6,FALSE()))</f>
        <v/>
      </c>
      <c r="BP199" s="52"/>
    </row>
    <row r="200" customFormat="false" ht="15.75" hidden="false" customHeight="false" outlineLevel="0" collapsed="false">
      <c r="A200" s="5"/>
      <c r="B200" s="118"/>
      <c r="C200" s="54"/>
      <c r="D200" s="55"/>
      <c r="E200" s="79"/>
      <c r="F200" s="57"/>
      <c r="G200" s="58"/>
      <c r="H200" s="58"/>
      <c r="I200" s="57"/>
      <c r="J200" s="58"/>
      <c r="K200" s="58"/>
      <c r="L200" s="57"/>
      <c r="M200" s="79"/>
      <c r="N200" s="60"/>
      <c r="O200" s="62" t="str">
        <f aca="false">IF(ISBLANK($C200),"",IF(E200=Constants!$B$2, TRUE(), IF(E200=Constants!$B$3, FALSE(), TRUE())))</f>
        <v/>
      </c>
      <c r="P200" s="62" t="str">
        <f aca="false">IF(ISBLANK($C200),"",IF(F200=Constants!$B$16,Constants!$B$9,IF(F200=Constants!$B$17,Constants!$B$10,Constants!$B$8)))</f>
        <v/>
      </c>
      <c r="Q200" s="62" t="str">
        <f aca="false">IF(ISBLANK($C200),"",IF(ISNUMBER(G200),IF(G200&gt;=0,G200,""),""))</f>
        <v/>
      </c>
      <c r="R200" s="62" t="str">
        <f aca="false">IF(ISBLANK($C200),"",IF(H200=Constants!$B$2, TRUE(), IF(H200=Constants!$B$3, FALSE(), TRUE())))</f>
        <v/>
      </c>
      <c r="S200" s="62" t="str">
        <f aca="false">IF(ISBLANK($C200),"",IF(I200=Constants!$B$2, TRUE(), IF(I200=Constants!$B$3, FALSE(), TRUE())))</f>
        <v/>
      </c>
      <c r="T200" s="62" t="str">
        <f aca="false">IF(ISBLANK($C200),"",IF(ISNUMBER(J200),IF(J200&gt;=0,J200,""),""))</f>
        <v/>
      </c>
      <c r="U200" s="62" t="str">
        <f aca="false">IF(ISBLANK($C200),"",IF(K200=Constants!$B$2, TRUE(), IF(K200=Constants!$B$3, FALSE(), TRUE())))</f>
        <v/>
      </c>
      <c r="V200" s="62" t="str">
        <f aca="false">IF(ISBLANK($C200),"",IF(L200=Constants!$B$2, TRUE(), IF(L200=Constants!$B$3, FALSE(), TRUE())))</f>
        <v/>
      </c>
      <c r="W200" s="62" t="str">
        <f aca="false">IF(ISBLANK($C200),"",IF(M200=Constants!$B$2, TRUE(), IF(M200=Constants!$B$3, FALSE(), FALSE())))</f>
        <v/>
      </c>
      <c r="X200" s="62" t="str">
        <f aca="false">IF(ISBLANK($C200),"",AND(Q200&lt;&gt;"",O200))</f>
        <v/>
      </c>
      <c r="Y200" s="62" t="str">
        <f aca="false">IF(ISBLANK($C200),"",AND(T200&lt;&gt;"",O200))</f>
        <v/>
      </c>
      <c r="Z200" s="62" t="str">
        <f aca="false">IF(ISBLANK($C200),"",IF(W200,Constants!$B$4,IF(COUNTA(E200:L200)=0,Constants!$B$5,IF(NOT(O200),Constants!$B$6,IF(AND(NOT(X200),NOT(Y200)),Constants!$B$6,Constants!$B$7)))))</f>
        <v/>
      </c>
      <c r="AA200" s="62" t="str">
        <f aca="false">IF(ISBLANK($C200),"",IF($Z200&lt;&gt;Constants!$B$7,$Z200,Constants!$B$20))</f>
        <v/>
      </c>
      <c r="AB200" s="62" t="str">
        <f aca="false">IF($Z200=Constants!$B$7,IF(X200,Q200,Constants!$B$13),"")</f>
        <v/>
      </c>
      <c r="AC200" s="62" t="str">
        <f aca="false">IF($Z200=Constants!$B$7,IF(X200,P200*IF(R200, 1, Constants!$B$11)*IF(S200, 1, Constants!$B$12),Constants!$B$13),"")</f>
        <v/>
      </c>
      <c r="AD200" s="62" t="str">
        <f aca="false">IF($Z200=Constants!$B$7,AB200*AC200,"")</f>
        <v/>
      </c>
      <c r="AE200" s="62" t="str">
        <f aca="false">IF($Z200=Constants!$B$7,IF(Y200,T200,Constants!$B$13),"")</f>
        <v/>
      </c>
      <c r="AF200" s="62" t="str">
        <f aca="false">IF($Z200=Constants!$B$7,IF(Y200,P200*IF(U200, 1, Constants!$B$11)*IF(V200, 1, Constants!$B$12),Constants!$B$13),"")</f>
        <v/>
      </c>
      <c r="AG200" s="62" t="str">
        <f aca="false">IF($Z200=Constants!$B$7,AE200*AF200,"")</f>
        <v/>
      </c>
      <c r="AH200" s="62" t="str">
        <f aca="false">IF($Z200=Constants!$B$7,IF(AG200&gt;AD200,2,1),"")</f>
        <v/>
      </c>
      <c r="AI200" s="62" t="str">
        <f aca="false">IF($Z200=Constants!$B$7,IF(AH200=1,2,1),"")</f>
        <v/>
      </c>
      <c r="AJ200" s="62" t="str">
        <f aca="false">IF(ISBLANK($C200),"",IF($Z200&lt;&gt;Constants!$B$7,$Z200,IF(AH200=1,AD200,AG200)))</f>
        <v/>
      </c>
      <c r="AK200" s="62" t="str">
        <f aca="false">IF(ISBLANK($C200),"",IF($Z200=Constants!$B$7,IF(ISNUMBER(AJ200),RANK(AJ200,$AJ$8:$AJ$507),Constants!$B$14),$Z200))</f>
        <v/>
      </c>
      <c r="AL200" s="62" t="str">
        <f aca="false">IF(ISBLANK($C200),"",IF($Z200=Constants!$B$7,IF(AI200=1,AD200,AG200),""))</f>
        <v/>
      </c>
      <c r="AM200" s="62" t="str">
        <f aca="false">IF(ISBLANK($C200),"",IF($Z200=Constants!$B$7,RANK(AL200,$AL$8:$AL$507),$Z200))</f>
        <v/>
      </c>
      <c r="AN200" s="62" t="str">
        <f aca="false">IF(ISBLANK($C200),"",IF($Z200=Constants!$B$7,IF(ISNUMBER(AK200),COUNTIFS($AK$8:$AK$507,"&lt;"&amp;$AK200)+COUNTIFS($AK$8:$AK$507,$AK200,$AM$8:$AM$507,"&lt;"&amp;$AM200)+1,Constants!$B$14),$Z200))</f>
        <v/>
      </c>
      <c r="AO200" s="62" t="str">
        <f aca="false">IF(ISBLANK($C200),"",IF($Z200=Constants!$B$7,IF(ISNUMBER(AK200),AK200-AN200,Constants!$B$14),$Z200))</f>
        <v/>
      </c>
      <c r="AP200" s="64"/>
      <c r="AQ200" s="65" t="str">
        <f aca="false">IF(ISBLANK($C200),"",IF($Z200&lt;&gt;Constants!$B$7,"",AH200))</f>
        <v/>
      </c>
      <c r="AR200" s="80" t="str">
        <f aca="false">IF(ISBLANK($C200),"",IF($Z200&lt;&gt;Constants!$B$7,"",IF(AH200=1,AB200,AE200)))</f>
        <v/>
      </c>
      <c r="AS200" s="67" t="str">
        <f aca="false">IF(ISBLANK($C200),"",IF($Z200&lt;&gt;Constants!$B$7,"",IF(AH200=1,AC200,AF200)))</f>
        <v/>
      </c>
      <c r="AT200" s="68" t="str">
        <f aca="false">IF(ISBLANK($C200),"",IF($Z200&lt;&gt;Constants!$B$7,$Z200,AJ200))</f>
        <v/>
      </c>
      <c r="AU200" s="69" t="str">
        <f aca="false">IF(ISBLANK($C200),"",IF($Z200&lt;&gt;Constants!$B$7,$Z200,AA200))</f>
        <v/>
      </c>
      <c r="AV200" s="70" t="str">
        <f aca="false">IF(ISBLANK($C200),"",AO200)</f>
        <v/>
      </c>
      <c r="AW200" s="70" t="str">
        <f aca="false">IF(ISBLANK($C200),"",AN200)</f>
        <v/>
      </c>
      <c r="AX200" s="71" t="str">
        <f aca="false">IF(ISBLANK($C200),"",IFERROR(_xlfn.SWITCH(AW200,Constants!$B$4,COUNTA($C$8:$C$507)+2,Constants!$B$5,COUNTA($C$8:$C$507)+1,Constants!$B$6,COUNTA($C$8:$C$507)),AW200))</f>
        <v/>
      </c>
      <c r="AY200" s="5"/>
      <c r="AZ200" s="72" t="n">
        <f aca="false">IF(OR(ISNUMBER(AW200),AW200=Constants!$B$4,AW200=Constants!$B$6,AW200=Constants!$B$5),1,0)</f>
        <v>0</v>
      </c>
      <c r="BA200" s="72" t="n">
        <v>193</v>
      </c>
      <c r="BB200" s="72" t="str">
        <f aca="false">IF(ISBLANK($C200),"",IF(ISNUMBER(AX200),AX200+ROW($B200)/1000,""))</f>
        <v/>
      </c>
      <c r="BC200" s="72" t="str">
        <f aca="false">IF(ISNUMBER(BB200),RANK(BB200,$BB$8:$BB$507,1),"")</f>
        <v/>
      </c>
      <c r="BD200" s="72" t="str">
        <f aca="false">IF(ISBLANK($C200),"",$B200)</f>
        <v/>
      </c>
      <c r="BE200" s="72" t="str">
        <f aca="false">IF(ISBLANK($C200),"",$C200)</f>
        <v/>
      </c>
      <c r="BF200" s="72" t="str">
        <f aca="false">IF(ISBLANK($C200),"",$D200)</f>
        <v/>
      </c>
      <c r="BG200" s="73" t="str">
        <f aca="false">AU200</f>
        <v/>
      </c>
      <c r="BH200" s="74" t="str">
        <f aca="false">AT200</f>
        <v/>
      </c>
      <c r="BI200" s="72" t="str">
        <f aca="false">IF(ISBLANK($C200),"",AW200)</f>
        <v/>
      </c>
      <c r="BJ200" s="75" t="str">
        <f aca="false">IF($BA200&gt;$AZ$7,"",VLOOKUP($BA200,$BC$8:$BI$507,7,FALSE()))</f>
        <v/>
      </c>
      <c r="BK200" s="76" t="str">
        <f aca="false">IF($BA200&gt;$AZ$7,"",VLOOKUP($BA200,$BC$8:$BI$507,2,FALSE()))</f>
        <v/>
      </c>
      <c r="BL200" s="76" t="str">
        <f aca="false">IF($BA200&gt;$AZ$7,"",VLOOKUP($BA200,$BC$8:$BI$507,3,FALSE()))</f>
        <v/>
      </c>
      <c r="BM200" s="76" t="str">
        <f aca="false">IF($BA200&gt;$AZ$7,"",VLOOKUP($BA200,$BC$8:$BI$507,4,FALSE()))</f>
        <v/>
      </c>
      <c r="BN200" s="76" t="str">
        <f aca="false">IF($BA200&gt;$AZ$7,"",VLOOKUP($BA200,$BC$8:$BI$507,5,FALSE()))</f>
        <v/>
      </c>
      <c r="BO200" s="77" t="str">
        <f aca="false">IF($BA200&gt;$AZ$7,"",VLOOKUP($BA200,$BC$8:$BI$507,6,FALSE()))</f>
        <v/>
      </c>
      <c r="BP200" s="52"/>
    </row>
    <row r="201" customFormat="false" ht="15.75" hidden="false" customHeight="false" outlineLevel="0" collapsed="false">
      <c r="A201" s="5"/>
      <c r="B201" s="118"/>
      <c r="C201" s="54"/>
      <c r="D201" s="55"/>
      <c r="E201" s="79"/>
      <c r="F201" s="57"/>
      <c r="G201" s="58"/>
      <c r="H201" s="58"/>
      <c r="I201" s="57"/>
      <c r="J201" s="58"/>
      <c r="K201" s="58"/>
      <c r="L201" s="57"/>
      <c r="M201" s="79"/>
      <c r="N201" s="60"/>
      <c r="O201" s="62" t="str">
        <f aca="false">IF(ISBLANK($C201),"",IF(E201=Constants!$B$2, TRUE(), IF(E201=Constants!$B$3, FALSE(), TRUE())))</f>
        <v/>
      </c>
      <c r="P201" s="62" t="str">
        <f aca="false">IF(ISBLANK($C201),"",IF(F201=Constants!$B$16,Constants!$B$9,IF(F201=Constants!$B$17,Constants!$B$10,Constants!$B$8)))</f>
        <v/>
      </c>
      <c r="Q201" s="62" t="str">
        <f aca="false">IF(ISBLANK($C201),"",IF(ISNUMBER(G201),IF(G201&gt;=0,G201,""),""))</f>
        <v/>
      </c>
      <c r="R201" s="62" t="str">
        <f aca="false">IF(ISBLANK($C201),"",IF(H201=Constants!$B$2, TRUE(), IF(H201=Constants!$B$3, FALSE(), TRUE())))</f>
        <v/>
      </c>
      <c r="S201" s="62" t="str">
        <f aca="false">IF(ISBLANK($C201),"",IF(I201=Constants!$B$2, TRUE(), IF(I201=Constants!$B$3, FALSE(), TRUE())))</f>
        <v/>
      </c>
      <c r="T201" s="62" t="str">
        <f aca="false">IF(ISBLANK($C201),"",IF(ISNUMBER(J201),IF(J201&gt;=0,J201,""),""))</f>
        <v/>
      </c>
      <c r="U201" s="62" t="str">
        <f aca="false">IF(ISBLANK($C201),"",IF(K201=Constants!$B$2, TRUE(), IF(K201=Constants!$B$3, FALSE(), TRUE())))</f>
        <v/>
      </c>
      <c r="V201" s="62" t="str">
        <f aca="false">IF(ISBLANK($C201),"",IF(L201=Constants!$B$2, TRUE(), IF(L201=Constants!$B$3, FALSE(), TRUE())))</f>
        <v/>
      </c>
      <c r="W201" s="62" t="str">
        <f aca="false">IF(ISBLANK($C201),"",IF(M201=Constants!$B$2, TRUE(), IF(M201=Constants!$B$3, FALSE(), FALSE())))</f>
        <v/>
      </c>
      <c r="X201" s="62" t="str">
        <f aca="false">IF(ISBLANK($C201),"",AND(Q201&lt;&gt;"",O201))</f>
        <v/>
      </c>
      <c r="Y201" s="62" t="str">
        <f aca="false">IF(ISBLANK($C201),"",AND(T201&lt;&gt;"",O201))</f>
        <v/>
      </c>
      <c r="Z201" s="62" t="str">
        <f aca="false">IF(ISBLANK($C201),"",IF(W201,Constants!$B$4,IF(COUNTA(E201:L201)=0,Constants!$B$5,IF(NOT(O201),Constants!$B$6,IF(AND(NOT(X201),NOT(Y201)),Constants!$B$6,Constants!$B$7)))))</f>
        <v/>
      </c>
      <c r="AA201" s="62" t="str">
        <f aca="false">IF(ISBLANK($C201),"",IF($Z201&lt;&gt;Constants!$B$7,$Z201,Constants!$B$20))</f>
        <v/>
      </c>
      <c r="AB201" s="62" t="str">
        <f aca="false">IF($Z201=Constants!$B$7,IF(X201,Q201,Constants!$B$13),"")</f>
        <v/>
      </c>
      <c r="AC201" s="62" t="str">
        <f aca="false">IF($Z201=Constants!$B$7,IF(X201,P201*IF(R201, 1, Constants!$B$11)*IF(S201, 1, Constants!$B$12),Constants!$B$13),"")</f>
        <v/>
      </c>
      <c r="AD201" s="62" t="str">
        <f aca="false">IF($Z201=Constants!$B$7,AB201*AC201,"")</f>
        <v/>
      </c>
      <c r="AE201" s="62" t="str">
        <f aca="false">IF($Z201=Constants!$B$7,IF(Y201,T201,Constants!$B$13),"")</f>
        <v/>
      </c>
      <c r="AF201" s="62" t="str">
        <f aca="false">IF($Z201=Constants!$B$7,IF(Y201,P201*IF(U201, 1, Constants!$B$11)*IF(V201, 1, Constants!$B$12),Constants!$B$13),"")</f>
        <v/>
      </c>
      <c r="AG201" s="62" t="str">
        <f aca="false">IF($Z201=Constants!$B$7,AE201*AF201,"")</f>
        <v/>
      </c>
      <c r="AH201" s="62" t="str">
        <f aca="false">IF($Z201=Constants!$B$7,IF(AG201&gt;AD201,2,1),"")</f>
        <v/>
      </c>
      <c r="AI201" s="62" t="str">
        <f aca="false">IF($Z201=Constants!$B$7,IF(AH201=1,2,1),"")</f>
        <v/>
      </c>
      <c r="AJ201" s="62" t="str">
        <f aca="false">IF(ISBLANK($C201),"",IF($Z201&lt;&gt;Constants!$B$7,$Z201,IF(AH201=1,AD201,AG201)))</f>
        <v/>
      </c>
      <c r="AK201" s="62" t="str">
        <f aca="false">IF(ISBLANK($C201),"",IF($Z201=Constants!$B$7,IF(ISNUMBER(AJ201),RANK(AJ201,$AJ$8:$AJ$507),Constants!$B$14),$Z201))</f>
        <v/>
      </c>
      <c r="AL201" s="62" t="str">
        <f aca="false">IF(ISBLANK($C201),"",IF($Z201=Constants!$B$7,IF(AI201=1,AD201,AG201),""))</f>
        <v/>
      </c>
      <c r="AM201" s="62" t="str">
        <f aca="false">IF(ISBLANK($C201),"",IF($Z201=Constants!$B$7,RANK(AL201,$AL$8:$AL$507),$Z201))</f>
        <v/>
      </c>
      <c r="AN201" s="62" t="str">
        <f aca="false">IF(ISBLANK($C201),"",IF($Z201=Constants!$B$7,IF(ISNUMBER(AK201),COUNTIFS($AK$8:$AK$507,"&lt;"&amp;$AK201)+COUNTIFS($AK$8:$AK$507,$AK201,$AM$8:$AM$507,"&lt;"&amp;$AM201)+1,Constants!$B$14),$Z201))</f>
        <v/>
      </c>
      <c r="AO201" s="62" t="str">
        <f aca="false">IF(ISBLANK($C201),"",IF($Z201=Constants!$B$7,IF(ISNUMBER(AK201),AK201-AN201,Constants!$B$14),$Z201))</f>
        <v/>
      </c>
      <c r="AP201" s="64"/>
      <c r="AQ201" s="65" t="str">
        <f aca="false">IF(ISBLANK($C201),"",IF($Z201&lt;&gt;Constants!$B$7,"",AH201))</f>
        <v/>
      </c>
      <c r="AR201" s="80" t="str">
        <f aca="false">IF(ISBLANK($C201),"",IF($Z201&lt;&gt;Constants!$B$7,"",IF(AH201=1,AB201,AE201)))</f>
        <v/>
      </c>
      <c r="AS201" s="67" t="str">
        <f aca="false">IF(ISBLANK($C201),"",IF($Z201&lt;&gt;Constants!$B$7,"",IF(AH201=1,AC201,AF201)))</f>
        <v/>
      </c>
      <c r="AT201" s="68" t="str">
        <f aca="false">IF(ISBLANK($C201),"",IF($Z201&lt;&gt;Constants!$B$7,$Z201,AJ201))</f>
        <v/>
      </c>
      <c r="AU201" s="69" t="str">
        <f aca="false">IF(ISBLANK($C201),"",IF($Z201&lt;&gt;Constants!$B$7,$Z201,AA201))</f>
        <v/>
      </c>
      <c r="AV201" s="70" t="str">
        <f aca="false">IF(ISBLANK($C201),"",AO201)</f>
        <v/>
      </c>
      <c r="AW201" s="70" t="str">
        <f aca="false">IF(ISBLANK($C201),"",AN201)</f>
        <v/>
      </c>
      <c r="AX201" s="71" t="str">
        <f aca="false">IF(ISBLANK($C201),"",IFERROR(_xlfn.SWITCH(AW201,Constants!$B$4,COUNTA($C$8:$C$507)+2,Constants!$B$5,COUNTA($C$8:$C$507)+1,Constants!$B$6,COUNTA($C$8:$C$507)),AW201))</f>
        <v/>
      </c>
      <c r="AY201" s="5"/>
      <c r="AZ201" s="72" t="n">
        <f aca="false">IF(OR(ISNUMBER(AW201),AW201=Constants!$B$4,AW201=Constants!$B$6,AW201=Constants!$B$5),1,0)</f>
        <v>0</v>
      </c>
      <c r="BA201" s="72" t="n">
        <v>194</v>
      </c>
      <c r="BB201" s="72" t="str">
        <f aca="false">IF(ISBLANK($C201),"",IF(ISNUMBER(AX201),AX201+ROW($B201)/1000,""))</f>
        <v/>
      </c>
      <c r="BC201" s="72" t="str">
        <f aca="false">IF(ISNUMBER(BB201),RANK(BB201,$BB$8:$BB$507,1),"")</f>
        <v/>
      </c>
      <c r="BD201" s="72" t="str">
        <f aca="false">IF(ISBLANK($C201),"",$B201)</f>
        <v/>
      </c>
      <c r="BE201" s="72" t="str">
        <f aca="false">IF(ISBLANK($C201),"",$C201)</f>
        <v/>
      </c>
      <c r="BF201" s="72" t="str">
        <f aca="false">IF(ISBLANK($C201),"",$D201)</f>
        <v/>
      </c>
      <c r="BG201" s="73" t="str">
        <f aca="false">AU201</f>
        <v/>
      </c>
      <c r="BH201" s="74" t="str">
        <f aca="false">AT201</f>
        <v/>
      </c>
      <c r="BI201" s="72" t="str">
        <f aca="false">IF(ISBLANK($C201),"",AW201)</f>
        <v/>
      </c>
      <c r="BJ201" s="75" t="str">
        <f aca="false">IF($BA201&gt;$AZ$7,"",VLOOKUP($BA201,$BC$8:$BI$507,7,FALSE()))</f>
        <v/>
      </c>
      <c r="BK201" s="76" t="str">
        <f aca="false">IF($BA201&gt;$AZ$7,"",VLOOKUP($BA201,$BC$8:$BI$507,2,FALSE()))</f>
        <v/>
      </c>
      <c r="BL201" s="76" t="str">
        <f aca="false">IF($BA201&gt;$AZ$7,"",VLOOKUP($BA201,$BC$8:$BI$507,3,FALSE()))</f>
        <v/>
      </c>
      <c r="BM201" s="76" t="str">
        <f aca="false">IF($BA201&gt;$AZ$7,"",VLOOKUP($BA201,$BC$8:$BI$507,4,FALSE()))</f>
        <v/>
      </c>
      <c r="BN201" s="76" t="str">
        <f aca="false">IF($BA201&gt;$AZ$7,"",VLOOKUP($BA201,$BC$8:$BI$507,5,FALSE()))</f>
        <v/>
      </c>
      <c r="BO201" s="77" t="str">
        <f aca="false">IF($BA201&gt;$AZ$7,"",VLOOKUP($BA201,$BC$8:$BI$507,6,FALSE()))</f>
        <v/>
      </c>
      <c r="BP201" s="52"/>
    </row>
    <row r="202" customFormat="false" ht="15.75" hidden="false" customHeight="false" outlineLevel="0" collapsed="false">
      <c r="A202" s="5"/>
      <c r="B202" s="118"/>
      <c r="C202" s="54"/>
      <c r="D202" s="55"/>
      <c r="E202" s="79"/>
      <c r="F202" s="57"/>
      <c r="G202" s="58"/>
      <c r="H202" s="58"/>
      <c r="I202" s="57"/>
      <c r="J202" s="58"/>
      <c r="K202" s="58"/>
      <c r="L202" s="57"/>
      <c r="M202" s="79"/>
      <c r="N202" s="60"/>
      <c r="O202" s="62" t="str">
        <f aca="false">IF(ISBLANK($C202),"",IF(E202=Constants!$B$2, TRUE(), IF(E202=Constants!$B$3, FALSE(), TRUE())))</f>
        <v/>
      </c>
      <c r="P202" s="62" t="str">
        <f aca="false">IF(ISBLANK($C202),"",IF(F202=Constants!$B$16,Constants!$B$9,IF(F202=Constants!$B$17,Constants!$B$10,Constants!$B$8)))</f>
        <v/>
      </c>
      <c r="Q202" s="62" t="str">
        <f aca="false">IF(ISBLANK($C202),"",IF(ISNUMBER(G202),IF(G202&gt;=0,G202,""),""))</f>
        <v/>
      </c>
      <c r="R202" s="62" t="str">
        <f aca="false">IF(ISBLANK($C202),"",IF(H202=Constants!$B$2, TRUE(), IF(H202=Constants!$B$3, FALSE(), TRUE())))</f>
        <v/>
      </c>
      <c r="S202" s="62" t="str">
        <f aca="false">IF(ISBLANK($C202),"",IF(I202=Constants!$B$2, TRUE(), IF(I202=Constants!$B$3, FALSE(), TRUE())))</f>
        <v/>
      </c>
      <c r="T202" s="62" t="str">
        <f aca="false">IF(ISBLANK($C202),"",IF(ISNUMBER(J202),IF(J202&gt;=0,J202,""),""))</f>
        <v/>
      </c>
      <c r="U202" s="62" t="str">
        <f aca="false">IF(ISBLANK($C202),"",IF(K202=Constants!$B$2, TRUE(), IF(K202=Constants!$B$3, FALSE(), TRUE())))</f>
        <v/>
      </c>
      <c r="V202" s="62" t="str">
        <f aca="false">IF(ISBLANK($C202),"",IF(L202=Constants!$B$2, TRUE(), IF(L202=Constants!$B$3, FALSE(), TRUE())))</f>
        <v/>
      </c>
      <c r="W202" s="62" t="str">
        <f aca="false">IF(ISBLANK($C202),"",IF(M202=Constants!$B$2, TRUE(), IF(M202=Constants!$B$3, FALSE(), FALSE())))</f>
        <v/>
      </c>
      <c r="X202" s="62" t="str">
        <f aca="false">IF(ISBLANK($C202),"",AND(Q202&lt;&gt;"",O202))</f>
        <v/>
      </c>
      <c r="Y202" s="62" t="str">
        <f aca="false">IF(ISBLANK($C202),"",AND(T202&lt;&gt;"",O202))</f>
        <v/>
      </c>
      <c r="Z202" s="62" t="str">
        <f aca="false">IF(ISBLANK($C202),"",IF(W202,Constants!$B$4,IF(COUNTA(E202:L202)=0,Constants!$B$5,IF(NOT(O202),Constants!$B$6,IF(AND(NOT(X202),NOT(Y202)),Constants!$B$6,Constants!$B$7)))))</f>
        <v/>
      </c>
      <c r="AA202" s="62" t="str">
        <f aca="false">IF(ISBLANK($C202),"",IF($Z202&lt;&gt;Constants!$B$7,$Z202,Constants!$B$20))</f>
        <v/>
      </c>
      <c r="AB202" s="62" t="str">
        <f aca="false">IF($Z202=Constants!$B$7,IF(X202,Q202,Constants!$B$13),"")</f>
        <v/>
      </c>
      <c r="AC202" s="62" t="str">
        <f aca="false">IF($Z202=Constants!$B$7,IF(X202,P202*IF(R202, 1, Constants!$B$11)*IF(S202, 1, Constants!$B$12),Constants!$B$13),"")</f>
        <v/>
      </c>
      <c r="AD202" s="62" t="str">
        <f aca="false">IF($Z202=Constants!$B$7,AB202*AC202,"")</f>
        <v/>
      </c>
      <c r="AE202" s="62" t="str">
        <f aca="false">IF($Z202=Constants!$B$7,IF(Y202,T202,Constants!$B$13),"")</f>
        <v/>
      </c>
      <c r="AF202" s="62" t="str">
        <f aca="false">IF($Z202=Constants!$B$7,IF(Y202,P202*IF(U202, 1, Constants!$B$11)*IF(V202, 1, Constants!$B$12),Constants!$B$13),"")</f>
        <v/>
      </c>
      <c r="AG202" s="62" t="str">
        <f aca="false">IF($Z202=Constants!$B$7,AE202*AF202,"")</f>
        <v/>
      </c>
      <c r="AH202" s="62" t="str">
        <f aca="false">IF($Z202=Constants!$B$7,IF(AG202&gt;AD202,2,1),"")</f>
        <v/>
      </c>
      <c r="AI202" s="62" t="str">
        <f aca="false">IF($Z202=Constants!$B$7,IF(AH202=1,2,1),"")</f>
        <v/>
      </c>
      <c r="AJ202" s="62" t="str">
        <f aca="false">IF(ISBLANK($C202),"",IF($Z202&lt;&gt;Constants!$B$7,$Z202,IF(AH202=1,AD202,AG202)))</f>
        <v/>
      </c>
      <c r="AK202" s="62" t="str">
        <f aca="false">IF(ISBLANK($C202),"",IF($Z202=Constants!$B$7,IF(ISNUMBER(AJ202),RANK(AJ202,$AJ$8:$AJ$507),Constants!$B$14),$Z202))</f>
        <v/>
      </c>
      <c r="AL202" s="62" t="str">
        <f aca="false">IF(ISBLANK($C202),"",IF($Z202=Constants!$B$7,IF(AI202=1,AD202,AG202),""))</f>
        <v/>
      </c>
      <c r="AM202" s="62" t="str">
        <f aca="false">IF(ISBLANK($C202),"",IF($Z202=Constants!$B$7,RANK(AL202,$AL$8:$AL$507),$Z202))</f>
        <v/>
      </c>
      <c r="AN202" s="62" t="str">
        <f aca="false">IF(ISBLANK($C202),"",IF($Z202=Constants!$B$7,IF(ISNUMBER(AK202),COUNTIFS($AK$8:$AK$507,"&lt;"&amp;$AK202)+COUNTIFS($AK$8:$AK$507,$AK202,$AM$8:$AM$507,"&lt;"&amp;$AM202)+1,Constants!$B$14),$Z202))</f>
        <v/>
      </c>
      <c r="AO202" s="62" t="str">
        <f aca="false">IF(ISBLANK($C202),"",IF($Z202=Constants!$B$7,IF(ISNUMBER(AK202),AK202-AN202,Constants!$B$14),$Z202))</f>
        <v/>
      </c>
      <c r="AP202" s="64"/>
      <c r="AQ202" s="65" t="str">
        <f aca="false">IF(ISBLANK($C202),"",IF($Z202&lt;&gt;Constants!$B$7,"",AH202))</f>
        <v/>
      </c>
      <c r="AR202" s="80" t="str">
        <f aca="false">IF(ISBLANK($C202),"",IF($Z202&lt;&gt;Constants!$B$7,"",IF(AH202=1,AB202,AE202)))</f>
        <v/>
      </c>
      <c r="AS202" s="67" t="str">
        <f aca="false">IF(ISBLANK($C202),"",IF($Z202&lt;&gt;Constants!$B$7,"",IF(AH202=1,AC202,AF202)))</f>
        <v/>
      </c>
      <c r="AT202" s="68" t="str">
        <f aca="false">IF(ISBLANK($C202),"",IF($Z202&lt;&gt;Constants!$B$7,$Z202,AJ202))</f>
        <v/>
      </c>
      <c r="AU202" s="69" t="str">
        <f aca="false">IF(ISBLANK($C202),"",IF($Z202&lt;&gt;Constants!$B$7,$Z202,AA202))</f>
        <v/>
      </c>
      <c r="AV202" s="70" t="str">
        <f aca="false">IF(ISBLANK($C202),"",AO202)</f>
        <v/>
      </c>
      <c r="AW202" s="70" t="str">
        <f aca="false">IF(ISBLANK($C202),"",AN202)</f>
        <v/>
      </c>
      <c r="AX202" s="71" t="str">
        <f aca="false">IF(ISBLANK($C202),"",IFERROR(_xlfn.SWITCH(AW202,Constants!$B$4,COUNTA($C$8:$C$507)+2,Constants!$B$5,COUNTA($C$8:$C$507)+1,Constants!$B$6,COUNTA($C$8:$C$507)),AW202))</f>
        <v/>
      </c>
      <c r="AY202" s="5"/>
      <c r="AZ202" s="72" t="n">
        <f aca="false">IF(OR(ISNUMBER(AW202),AW202=Constants!$B$4,AW202=Constants!$B$6,AW202=Constants!$B$5),1,0)</f>
        <v>0</v>
      </c>
      <c r="BA202" s="72" t="n">
        <v>195</v>
      </c>
      <c r="BB202" s="72" t="str">
        <f aca="false">IF(ISBLANK($C202),"",IF(ISNUMBER(AX202),AX202+ROW($B202)/1000,""))</f>
        <v/>
      </c>
      <c r="BC202" s="72" t="str">
        <f aca="false">IF(ISNUMBER(BB202),RANK(BB202,$BB$8:$BB$507,1),"")</f>
        <v/>
      </c>
      <c r="BD202" s="72" t="str">
        <f aca="false">IF(ISBLANK($C202),"",$B202)</f>
        <v/>
      </c>
      <c r="BE202" s="72" t="str">
        <f aca="false">IF(ISBLANK($C202),"",$C202)</f>
        <v/>
      </c>
      <c r="BF202" s="72" t="str">
        <f aca="false">IF(ISBLANK($C202),"",$D202)</f>
        <v/>
      </c>
      <c r="BG202" s="73" t="str">
        <f aca="false">AU202</f>
        <v/>
      </c>
      <c r="BH202" s="74" t="str">
        <f aca="false">AT202</f>
        <v/>
      </c>
      <c r="BI202" s="72" t="str">
        <f aca="false">IF(ISBLANK($C202),"",AW202)</f>
        <v/>
      </c>
      <c r="BJ202" s="75" t="str">
        <f aca="false">IF($BA202&gt;$AZ$7,"",VLOOKUP($BA202,$BC$8:$BI$507,7,FALSE()))</f>
        <v/>
      </c>
      <c r="BK202" s="76" t="str">
        <f aca="false">IF($BA202&gt;$AZ$7,"",VLOOKUP($BA202,$BC$8:$BI$507,2,FALSE()))</f>
        <v/>
      </c>
      <c r="BL202" s="76" t="str">
        <f aca="false">IF($BA202&gt;$AZ$7,"",VLOOKUP($BA202,$BC$8:$BI$507,3,FALSE()))</f>
        <v/>
      </c>
      <c r="BM202" s="76" t="str">
        <f aca="false">IF($BA202&gt;$AZ$7,"",VLOOKUP($BA202,$BC$8:$BI$507,4,FALSE()))</f>
        <v/>
      </c>
      <c r="BN202" s="76" t="str">
        <f aca="false">IF($BA202&gt;$AZ$7,"",VLOOKUP($BA202,$BC$8:$BI$507,5,FALSE()))</f>
        <v/>
      </c>
      <c r="BO202" s="77" t="str">
        <f aca="false">IF($BA202&gt;$AZ$7,"",VLOOKUP($BA202,$BC$8:$BI$507,6,FALSE()))</f>
        <v/>
      </c>
      <c r="BP202" s="52"/>
    </row>
    <row r="203" customFormat="false" ht="15.75" hidden="false" customHeight="false" outlineLevel="0" collapsed="false">
      <c r="A203" s="5"/>
      <c r="B203" s="114"/>
      <c r="C203" s="115"/>
      <c r="D203" s="106"/>
      <c r="E203" s="117"/>
      <c r="F203" s="87"/>
      <c r="G203" s="88"/>
      <c r="H203" s="88"/>
      <c r="I203" s="87"/>
      <c r="J203" s="88"/>
      <c r="K203" s="88"/>
      <c r="L203" s="87"/>
      <c r="M203" s="117"/>
      <c r="N203" s="90"/>
      <c r="O203" s="91" t="str">
        <f aca="false">IF(ISBLANK($C203),"",IF(E203=Constants!$B$2, TRUE(), IF(E203=Constants!$B$3, FALSE(), TRUE())))</f>
        <v/>
      </c>
      <c r="P203" s="91" t="str">
        <f aca="false">IF(ISBLANK($C203),"",IF(F203=Constants!$B$16,Constants!$B$9,IF(F203=Constants!$B$17,Constants!$B$10,Constants!$B$8)))</f>
        <v/>
      </c>
      <c r="Q203" s="91" t="str">
        <f aca="false">IF(ISBLANK($C203),"",IF(ISNUMBER(G203),IF(G203&gt;=0,G203,""),""))</f>
        <v/>
      </c>
      <c r="R203" s="91" t="str">
        <f aca="false">IF(ISBLANK($C203),"",IF(H203=Constants!$B$2, TRUE(), IF(H203=Constants!$B$3, FALSE(), TRUE())))</f>
        <v/>
      </c>
      <c r="S203" s="91" t="str">
        <f aca="false">IF(ISBLANK($C203),"",IF(I203=Constants!$B$2, TRUE(), IF(I203=Constants!$B$3, FALSE(), TRUE())))</f>
        <v/>
      </c>
      <c r="T203" s="91" t="str">
        <f aca="false">IF(ISBLANK($C203),"",IF(ISNUMBER(J203),IF(J203&gt;=0,J203,""),""))</f>
        <v/>
      </c>
      <c r="U203" s="91" t="str">
        <f aca="false">IF(ISBLANK($C203),"",IF(K203=Constants!$B$2, TRUE(), IF(K203=Constants!$B$3, FALSE(), TRUE())))</f>
        <v/>
      </c>
      <c r="V203" s="91" t="str">
        <f aca="false">IF(ISBLANK($C203),"",IF(L203=Constants!$B$2, TRUE(), IF(L203=Constants!$B$3, FALSE(), TRUE())))</f>
        <v/>
      </c>
      <c r="W203" s="91" t="str">
        <f aca="false">IF(ISBLANK($C203),"",IF(M203=Constants!$B$2, TRUE(), IF(M203=Constants!$B$3, FALSE(), FALSE())))</f>
        <v/>
      </c>
      <c r="X203" s="91" t="str">
        <f aca="false">IF(ISBLANK($C203),"",AND(Q203&lt;&gt;"",O203))</f>
        <v/>
      </c>
      <c r="Y203" s="91" t="str">
        <f aca="false">IF(ISBLANK($C203),"",AND(T203&lt;&gt;"",O203))</f>
        <v/>
      </c>
      <c r="Z203" s="91" t="str">
        <f aca="false">IF(ISBLANK($C203),"",IF(W203,Constants!$B$4,IF(COUNTA(E203:L203)=0,Constants!$B$5,IF(NOT(O203),Constants!$B$6,IF(AND(NOT(X203),NOT(Y203)),Constants!$B$6,Constants!$B$7)))))</f>
        <v/>
      </c>
      <c r="AA203" s="91" t="str">
        <f aca="false">IF(ISBLANK($C203),"",IF($Z203&lt;&gt;Constants!$B$7,$Z203,Constants!$B$20))</f>
        <v/>
      </c>
      <c r="AB203" s="91" t="str">
        <f aca="false">IF($Z203=Constants!$B$7,IF(X203,Q203,Constants!$B$13),"")</f>
        <v/>
      </c>
      <c r="AC203" s="91" t="str">
        <f aca="false">IF($Z203=Constants!$B$7,IF(X203,P203*IF(R203, 1, Constants!$B$11)*IF(S203, 1, Constants!$B$12),Constants!$B$13),"")</f>
        <v/>
      </c>
      <c r="AD203" s="91" t="str">
        <f aca="false">IF($Z203=Constants!$B$7,AB203*AC203,"")</f>
        <v/>
      </c>
      <c r="AE203" s="91" t="str">
        <f aca="false">IF($Z203=Constants!$B$7,IF(Y203,T203,Constants!$B$13),"")</f>
        <v/>
      </c>
      <c r="AF203" s="91" t="str">
        <f aca="false">IF($Z203=Constants!$B$7,IF(Y203,P203*IF(U203, 1, Constants!$B$11)*IF(V203, 1, Constants!$B$12),Constants!$B$13),"")</f>
        <v/>
      </c>
      <c r="AG203" s="91" t="str">
        <f aca="false">IF($Z203=Constants!$B$7,AE203*AF203,"")</f>
        <v/>
      </c>
      <c r="AH203" s="91" t="str">
        <f aca="false">IF($Z203=Constants!$B$7,IF(AG203&gt;AD203,2,1),"")</f>
        <v/>
      </c>
      <c r="AI203" s="91" t="str">
        <f aca="false">IF($Z203=Constants!$B$7,IF(AH203=1,2,1),"")</f>
        <v/>
      </c>
      <c r="AJ203" s="91" t="str">
        <f aca="false">IF(ISBLANK($C203),"",IF($Z203&lt;&gt;Constants!$B$7,$Z203,IF(AH203=1,AD203,AG203)))</f>
        <v/>
      </c>
      <c r="AK203" s="91" t="str">
        <f aca="false">IF(ISBLANK($C203),"",IF($Z203=Constants!$B$7,IF(ISNUMBER(AJ203),RANK(AJ203,$AJ$8:$AJ$507),Constants!$B$14),$Z203))</f>
        <v/>
      </c>
      <c r="AL203" s="91" t="str">
        <f aca="false">IF(ISBLANK($C203),"",IF($Z203=Constants!$B$7,IF(AI203=1,AD203,AG203),""))</f>
        <v/>
      </c>
      <c r="AM203" s="91" t="str">
        <f aca="false">IF(ISBLANK($C203),"",IF($Z203=Constants!$B$7,RANK(AL203,$AL$8:$AL$507),$Z203))</f>
        <v/>
      </c>
      <c r="AN203" s="91" t="str">
        <f aca="false">IF(ISBLANK($C203),"",IF($Z203=Constants!$B$7,IF(ISNUMBER(AK203),COUNTIFS($AK$8:$AK$507,"&lt;"&amp;$AK203)+COUNTIFS($AK$8:$AK$507,$AK203,$AM$8:$AM$507,"&lt;"&amp;$AM203)+1,Constants!$B$14),$Z203))</f>
        <v/>
      </c>
      <c r="AO203" s="91" t="str">
        <f aca="false">IF(ISBLANK($C203),"",IF($Z203=Constants!$B$7,IF(ISNUMBER(AK203),AK203-AN203,Constants!$B$14),$Z203))</f>
        <v/>
      </c>
      <c r="AP203" s="92"/>
      <c r="AQ203" s="93" t="str">
        <f aca="false">IF(ISBLANK($C203),"",IF($Z203&lt;&gt;Constants!$B$7,"",AH203))</f>
        <v/>
      </c>
      <c r="AR203" s="94" t="str">
        <f aca="false">IF(ISBLANK($C203),"",IF($Z203&lt;&gt;Constants!$B$7,"",IF(AH203=1,AB203,AE203)))</f>
        <v/>
      </c>
      <c r="AS203" s="95" t="str">
        <f aca="false">IF(ISBLANK($C203),"",IF($Z203&lt;&gt;Constants!$B$7,"",IF(AH203=1,AC203,AF203)))</f>
        <v/>
      </c>
      <c r="AT203" s="96" t="str">
        <f aca="false">IF(ISBLANK($C203),"",IF($Z203&lt;&gt;Constants!$B$7,$Z203,AJ203))</f>
        <v/>
      </c>
      <c r="AU203" s="97" t="str">
        <f aca="false">IF(ISBLANK($C203),"",IF($Z203&lt;&gt;Constants!$B$7,$Z203,AA203))</f>
        <v/>
      </c>
      <c r="AV203" s="98" t="str">
        <f aca="false">IF(ISBLANK($C203),"",AO203)</f>
        <v/>
      </c>
      <c r="AW203" s="98" t="str">
        <f aca="false">IF(ISBLANK($C203),"",AN203)</f>
        <v/>
      </c>
      <c r="AX203" s="99" t="str">
        <f aca="false">IF(ISBLANK($C203),"",IFERROR(_xlfn.SWITCH(AW203,Constants!$B$4,COUNTA($C$8:$C$507)+2,Constants!$B$5,COUNTA($C$8:$C$507)+1,Constants!$B$6,COUNTA($C$8:$C$507)),AW203))</f>
        <v/>
      </c>
      <c r="AY203" s="5"/>
      <c r="AZ203" s="100" t="n">
        <f aca="false">IF(OR(ISNUMBER(AW203),AW203=Constants!$B$4,AW203=Constants!$B$6,AW203=Constants!$B$5),1,0)</f>
        <v>0</v>
      </c>
      <c r="BA203" s="100" t="n">
        <v>196</v>
      </c>
      <c r="BB203" s="100" t="str">
        <f aca="false">IF(ISBLANK($C203),"",IF(ISNUMBER(AX203),AX203+ROW($B203)/1000,""))</f>
        <v/>
      </c>
      <c r="BC203" s="100" t="str">
        <f aca="false">IF(ISNUMBER(BB203),RANK(BB203,$BB$8:$BB$507,1),"")</f>
        <v/>
      </c>
      <c r="BD203" s="100" t="str">
        <f aca="false">IF(ISBLANK($C203),"",$B203)</f>
        <v/>
      </c>
      <c r="BE203" s="100" t="str">
        <f aca="false">IF(ISBLANK($C203),"",$C203)</f>
        <v/>
      </c>
      <c r="BF203" s="100" t="str">
        <f aca="false">IF(ISBLANK($C203),"",$D203)</f>
        <v/>
      </c>
      <c r="BG203" s="101" t="str">
        <f aca="false">AU203</f>
        <v/>
      </c>
      <c r="BH203" s="102" t="str">
        <f aca="false">AT203</f>
        <v/>
      </c>
      <c r="BI203" s="100" t="str">
        <f aca="false">IF(ISBLANK($C203),"",AW203)</f>
        <v/>
      </c>
      <c r="BJ203" s="103" t="str">
        <f aca="false">IF($BA203&gt;$AZ$7,"",VLOOKUP($BA203,$BC$8:$BI$507,7,FALSE()))</f>
        <v/>
      </c>
      <c r="BK203" s="104" t="str">
        <f aca="false">IF($BA203&gt;$AZ$7,"",VLOOKUP($BA203,$BC$8:$BI$507,2,FALSE()))</f>
        <v/>
      </c>
      <c r="BL203" s="104" t="str">
        <f aca="false">IF($BA203&gt;$AZ$7,"",VLOOKUP($BA203,$BC$8:$BI$507,3,FALSE()))</f>
        <v/>
      </c>
      <c r="BM203" s="104" t="str">
        <f aca="false">IF($BA203&gt;$AZ$7,"",VLOOKUP($BA203,$BC$8:$BI$507,4,FALSE()))</f>
        <v/>
      </c>
      <c r="BN203" s="104" t="str">
        <f aca="false">IF($BA203&gt;$AZ$7,"",VLOOKUP($BA203,$BC$8:$BI$507,5,FALSE()))</f>
        <v/>
      </c>
      <c r="BO203" s="105" t="str">
        <f aca="false">IF($BA203&gt;$AZ$7,"",VLOOKUP($BA203,$BC$8:$BI$507,6,FALSE()))</f>
        <v/>
      </c>
      <c r="BP203" s="52"/>
    </row>
    <row r="204" customFormat="false" ht="15.75" hidden="false" customHeight="false" outlineLevel="0" collapsed="false">
      <c r="A204" s="5"/>
      <c r="B204" s="114"/>
      <c r="C204" s="115"/>
      <c r="D204" s="106"/>
      <c r="E204" s="117"/>
      <c r="F204" s="87"/>
      <c r="G204" s="88"/>
      <c r="H204" s="88"/>
      <c r="I204" s="87"/>
      <c r="J204" s="88"/>
      <c r="K204" s="88"/>
      <c r="L204" s="87"/>
      <c r="M204" s="117"/>
      <c r="N204" s="90"/>
      <c r="O204" s="91" t="str">
        <f aca="false">IF(ISBLANK($C204),"",IF(E204=Constants!$B$2, TRUE(), IF(E204=Constants!$B$3, FALSE(), TRUE())))</f>
        <v/>
      </c>
      <c r="P204" s="91" t="str">
        <f aca="false">IF(ISBLANK($C204),"",IF(F204=Constants!$B$16,Constants!$B$9,IF(F204=Constants!$B$17,Constants!$B$10,Constants!$B$8)))</f>
        <v/>
      </c>
      <c r="Q204" s="91" t="str">
        <f aca="false">IF(ISBLANK($C204),"",IF(ISNUMBER(G204),IF(G204&gt;=0,G204,""),""))</f>
        <v/>
      </c>
      <c r="R204" s="91" t="str">
        <f aca="false">IF(ISBLANK($C204),"",IF(H204=Constants!$B$2, TRUE(), IF(H204=Constants!$B$3, FALSE(), TRUE())))</f>
        <v/>
      </c>
      <c r="S204" s="91" t="str">
        <f aca="false">IF(ISBLANK($C204),"",IF(I204=Constants!$B$2, TRUE(), IF(I204=Constants!$B$3, FALSE(), TRUE())))</f>
        <v/>
      </c>
      <c r="T204" s="91" t="str">
        <f aca="false">IF(ISBLANK($C204),"",IF(ISNUMBER(J204),IF(J204&gt;=0,J204,""),""))</f>
        <v/>
      </c>
      <c r="U204" s="91" t="str">
        <f aca="false">IF(ISBLANK($C204),"",IF(K204=Constants!$B$2, TRUE(), IF(K204=Constants!$B$3, FALSE(), TRUE())))</f>
        <v/>
      </c>
      <c r="V204" s="91" t="str">
        <f aca="false">IF(ISBLANK($C204),"",IF(L204=Constants!$B$2, TRUE(), IF(L204=Constants!$B$3, FALSE(), TRUE())))</f>
        <v/>
      </c>
      <c r="W204" s="91" t="str">
        <f aca="false">IF(ISBLANK($C204),"",IF(M204=Constants!$B$2, TRUE(), IF(M204=Constants!$B$3, FALSE(), FALSE())))</f>
        <v/>
      </c>
      <c r="X204" s="91" t="str">
        <f aca="false">IF(ISBLANK($C204),"",AND(Q204&lt;&gt;"",O204))</f>
        <v/>
      </c>
      <c r="Y204" s="91" t="str">
        <f aca="false">IF(ISBLANK($C204),"",AND(T204&lt;&gt;"",O204))</f>
        <v/>
      </c>
      <c r="Z204" s="91" t="str">
        <f aca="false">IF(ISBLANK($C204),"",IF(W204,Constants!$B$4,IF(COUNTA(E204:L204)=0,Constants!$B$5,IF(NOT(O204),Constants!$B$6,IF(AND(NOT(X204),NOT(Y204)),Constants!$B$6,Constants!$B$7)))))</f>
        <v/>
      </c>
      <c r="AA204" s="91" t="str">
        <f aca="false">IF(ISBLANK($C204),"",IF($Z204&lt;&gt;Constants!$B$7,$Z204,Constants!$B$20))</f>
        <v/>
      </c>
      <c r="AB204" s="91" t="str">
        <f aca="false">IF($Z204=Constants!$B$7,IF(X204,Q204,Constants!$B$13),"")</f>
        <v/>
      </c>
      <c r="AC204" s="91" t="str">
        <f aca="false">IF($Z204=Constants!$B$7,IF(X204,P204*IF(R204, 1, Constants!$B$11)*IF(S204, 1, Constants!$B$12),Constants!$B$13),"")</f>
        <v/>
      </c>
      <c r="AD204" s="91" t="str">
        <f aca="false">IF($Z204=Constants!$B$7,AB204*AC204,"")</f>
        <v/>
      </c>
      <c r="AE204" s="91" t="str">
        <f aca="false">IF($Z204=Constants!$B$7,IF(Y204,T204,Constants!$B$13),"")</f>
        <v/>
      </c>
      <c r="AF204" s="91" t="str">
        <f aca="false">IF($Z204=Constants!$B$7,IF(Y204,P204*IF(U204, 1, Constants!$B$11)*IF(V204, 1, Constants!$B$12),Constants!$B$13),"")</f>
        <v/>
      </c>
      <c r="AG204" s="91" t="str">
        <f aca="false">IF($Z204=Constants!$B$7,AE204*AF204,"")</f>
        <v/>
      </c>
      <c r="AH204" s="91" t="str">
        <f aca="false">IF($Z204=Constants!$B$7,IF(AG204&gt;AD204,2,1),"")</f>
        <v/>
      </c>
      <c r="AI204" s="91" t="str">
        <f aca="false">IF($Z204=Constants!$B$7,IF(AH204=1,2,1),"")</f>
        <v/>
      </c>
      <c r="AJ204" s="91" t="str">
        <f aca="false">IF(ISBLANK($C204),"",IF($Z204&lt;&gt;Constants!$B$7,$Z204,IF(AH204=1,AD204,AG204)))</f>
        <v/>
      </c>
      <c r="AK204" s="91" t="str">
        <f aca="false">IF(ISBLANK($C204),"",IF($Z204=Constants!$B$7,IF(ISNUMBER(AJ204),RANK(AJ204,$AJ$8:$AJ$507),Constants!$B$14),$Z204))</f>
        <v/>
      </c>
      <c r="AL204" s="91" t="str">
        <f aca="false">IF(ISBLANK($C204),"",IF($Z204=Constants!$B$7,IF(AI204=1,AD204,AG204),""))</f>
        <v/>
      </c>
      <c r="AM204" s="91" t="str">
        <f aca="false">IF(ISBLANK($C204),"",IF($Z204=Constants!$B$7,RANK(AL204,$AL$8:$AL$507),$Z204))</f>
        <v/>
      </c>
      <c r="AN204" s="91" t="str">
        <f aca="false">IF(ISBLANK($C204),"",IF($Z204=Constants!$B$7,IF(ISNUMBER(AK204),COUNTIFS($AK$8:$AK$507,"&lt;"&amp;$AK204)+COUNTIFS($AK$8:$AK$507,$AK204,$AM$8:$AM$507,"&lt;"&amp;$AM204)+1,Constants!$B$14),$Z204))</f>
        <v/>
      </c>
      <c r="AO204" s="91" t="str">
        <f aca="false">IF(ISBLANK($C204),"",IF($Z204=Constants!$B$7,IF(ISNUMBER(AK204),AK204-AN204,Constants!$B$14),$Z204))</f>
        <v/>
      </c>
      <c r="AP204" s="92"/>
      <c r="AQ204" s="93" t="str">
        <f aca="false">IF(ISBLANK($C204),"",IF($Z204&lt;&gt;Constants!$B$7,"",AH204))</f>
        <v/>
      </c>
      <c r="AR204" s="94" t="str">
        <f aca="false">IF(ISBLANK($C204),"",IF($Z204&lt;&gt;Constants!$B$7,"",IF(AH204=1,AB204,AE204)))</f>
        <v/>
      </c>
      <c r="AS204" s="95" t="str">
        <f aca="false">IF(ISBLANK($C204),"",IF($Z204&lt;&gt;Constants!$B$7,"",IF(AH204=1,AC204,AF204)))</f>
        <v/>
      </c>
      <c r="AT204" s="96" t="str">
        <f aca="false">IF(ISBLANK($C204),"",IF($Z204&lt;&gt;Constants!$B$7,$Z204,AJ204))</f>
        <v/>
      </c>
      <c r="AU204" s="97" t="str">
        <f aca="false">IF(ISBLANK($C204),"",IF($Z204&lt;&gt;Constants!$B$7,$Z204,AA204))</f>
        <v/>
      </c>
      <c r="AV204" s="98" t="str">
        <f aca="false">IF(ISBLANK($C204),"",AO204)</f>
        <v/>
      </c>
      <c r="AW204" s="98" t="str">
        <f aca="false">IF(ISBLANK($C204),"",AN204)</f>
        <v/>
      </c>
      <c r="AX204" s="99" t="str">
        <f aca="false">IF(ISBLANK($C204),"",IFERROR(_xlfn.SWITCH(AW204,Constants!$B$4,COUNTA($C$8:$C$507)+2,Constants!$B$5,COUNTA($C$8:$C$507)+1,Constants!$B$6,COUNTA($C$8:$C$507)),AW204))</f>
        <v/>
      </c>
      <c r="AY204" s="5"/>
      <c r="AZ204" s="100" t="n">
        <f aca="false">IF(OR(ISNUMBER(AW204),AW204=Constants!$B$4,AW204=Constants!$B$6,AW204=Constants!$B$5),1,0)</f>
        <v>0</v>
      </c>
      <c r="BA204" s="100" t="n">
        <v>197</v>
      </c>
      <c r="BB204" s="100" t="str">
        <f aca="false">IF(ISBLANK($C204),"",IF(ISNUMBER(AX204),AX204+ROW($B204)/1000,""))</f>
        <v/>
      </c>
      <c r="BC204" s="100" t="str">
        <f aca="false">IF(ISNUMBER(BB204),RANK(BB204,$BB$8:$BB$507,1),"")</f>
        <v/>
      </c>
      <c r="BD204" s="100" t="str">
        <f aca="false">IF(ISBLANK($C204),"",$B204)</f>
        <v/>
      </c>
      <c r="BE204" s="100" t="str">
        <f aca="false">IF(ISBLANK($C204),"",$C204)</f>
        <v/>
      </c>
      <c r="BF204" s="100" t="str">
        <f aca="false">IF(ISBLANK($C204),"",$D204)</f>
        <v/>
      </c>
      <c r="BG204" s="101" t="str">
        <f aca="false">AU204</f>
        <v/>
      </c>
      <c r="BH204" s="102" t="str">
        <f aca="false">AT204</f>
        <v/>
      </c>
      <c r="BI204" s="100" t="str">
        <f aca="false">IF(ISBLANK($C204),"",AW204)</f>
        <v/>
      </c>
      <c r="BJ204" s="103" t="str">
        <f aca="false">IF($BA204&gt;$AZ$7,"",VLOOKUP($BA204,$BC$8:$BI$507,7,FALSE()))</f>
        <v/>
      </c>
      <c r="BK204" s="104" t="str">
        <f aca="false">IF($BA204&gt;$AZ$7,"",VLOOKUP($BA204,$BC$8:$BI$507,2,FALSE()))</f>
        <v/>
      </c>
      <c r="BL204" s="104" t="str">
        <f aca="false">IF($BA204&gt;$AZ$7,"",VLOOKUP($BA204,$BC$8:$BI$507,3,FALSE()))</f>
        <v/>
      </c>
      <c r="BM204" s="104" t="str">
        <f aca="false">IF($BA204&gt;$AZ$7,"",VLOOKUP($BA204,$BC$8:$BI$507,4,FALSE()))</f>
        <v/>
      </c>
      <c r="BN204" s="104" t="str">
        <f aca="false">IF($BA204&gt;$AZ$7,"",VLOOKUP($BA204,$BC$8:$BI$507,5,FALSE()))</f>
        <v/>
      </c>
      <c r="BO204" s="105" t="str">
        <f aca="false">IF($BA204&gt;$AZ$7,"",VLOOKUP($BA204,$BC$8:$BI$507,6,FALSE()))</f>
        <v/>
      </c>
      <c r="BP204" s="52"/>
    </row>
    <row r="205" customFormat="false" ht="15.75" hidden="false" customHeight="false" outlineLevel="0" collapsed="false">
      <c r="A205" s="5"/>
      <c r="B205" s="114"/>
      <c r="C205" s="115"/>
      <c r="D205" s="106"/>
      <c r="E205" s="117"/>
      <c r="F205" s="87"/>
      <c r="G205" s="88"/>
      <c r="H205" s="88"/>
      <c r="I205" s="87"/>
      <c r="J205" s="88"/>
      <c r="K205" s="88"/>
      <c r="L205" s="87"/>
      <c r="M205" s="117"/>
      <c r="N205" s="90"/>
      <c r="O205" s="91" t="str">
        <f aca="false">IF(ISBLANK($C205),"",IF(E205=Constants!$B$2, TRUE(), IF(E205=Constants!$B$3, FALSE(), TRUE())))</f>
        <v/>
      </c>
      <c r="P205" s="91" t="str">
        <f aca="false">IF(ISBLANK($C205),"",IF(F205=Constants!$B$16,Constants!$B$9,IF(F205=Constants!$B$17,Constants!$B$10,Constants!$B$8)))</f>
        <v/>
      </c>
      <c r="Q205" s="91" t="str">
        <f aca="false">IF(ISBLANK($C205),"",IF(ISNUMBER(G205),IF(G205&gt;=0,G205,""),""))</f>
        <v/>
      </c>
      <c r="R205" s="91" t="str">
        <f aca="false">IF(ISBLANK($C205),"",IF(H205=Constants!$B$2, TRUE(), IF(H205=Constants!$B$3, FALSE(), TRUE())))</f>
        <v/>
      </c>
      <c r="S205" s="91" t="str">
        <f aca="false">IF(ISBLANK($C205),"",IF(I205=Constants!$B$2, TRUE(), IF(I205=Constants!$B$3, FALSE(), TRUE())))</f>
        <v/>
      </c>
      <c r="T205" s="91" t="str">
        <f aca="false">IF(ISBLANK($C205),"",IF(ISNUMBER(J205),IF(J205&gt;=0,J205,""),""))</f>
        <v/>
      </c>
      <c r="U205" s="91" t="str">
        <f aca="false">IF(ISBLANK($C205),"",IF(K205=Constants!$B$2, TRUE(), IF(K205=Constants!$B$3, FALSE(), TRUE())))</f>
        <v/>
      </c>
      <c r="V205" s="91" t="str">
        <f aca="false">IF(ISBLANK($C205),"",IF(L205=Constants!$B$2, TRUE(), IF(L205=Constants!$B$3, FALSE(), TRUE())))</f>
        <v/>
      </c>
      <c r="W205" s="91" t="str">
        <f aca="false">IF(ISBLANK($C205),"",IF(M205=Constants!$B$2, TRUE(), IF(M205=Constants!$B$3, FALSE(), FALSE())))</f>
        <v/>
      </c>
      <c r="X205" s="91" t="str">
        <f aca="false">IF(ISBLANK($C205),"",AND(Q205&lt;&gt;"",O205))</f>
        <v/>
      </c>
      <c r="Y205" s="91" t="str">
        <f aca="false">IF(ISBLANK($C205),"",AND(T205&lt;&gt;"",O205))</f>
        <v/>
      </c>
      <c r="Z205" s="91" t="str">
        <f aca="false">IF(ISBLANK($C205),"",IF(W205,Constants!$B$4,IF(COUNTA(E205:L205)=0,Constants!$B$5,IF(NOT(O205),Constants!$B$6,IF(AND(NOT(X205),NOT(Y205)),Constants!$B$6,Constants!$B$7)))))</f>
        <v/>
      </c>
      <c r="AA205" s="91" t="str">
        <f aca="false">IF(ISBLANK($C205),"",IF($Z205&lt;&gt;Constants!$B$7,$Z205,Constants!$B$20))</f>
        <v/>
      </c>
      <c r="AB205" s="91" t="str">
        <f aca="false">IF($Z205=Constants!$B$7,IF(X205,Q205,Constants!$B$13),"")</f>
        <v/>
      </c>
      <c r="AC205" s="91" t="str">
        <f aca="false">IF($Z205=Constants!$B$7,IF(X205,P205*IF(R205, 1, Constants!$B$11)*IF(S205, 1, Constants!$B$12),Constants!$B$13),"")</f>
        <v/>
      </c>
      <c r="AD205" s="91" t="str">
        <f aca="false">IF($Z205=Constants!$B$7,AB205*AC205,"")</f>
        <v/>
      </c>
      <c r="AE205" s="91" t="str">
        <f aca="false">IF($Z205=Constants!$B$7,IF(Y205,T205,Constants!$B$13),"")</f>
        <v/>
      </c>
      <c r="AF205" s="91" t="str">
        <f aca="false">IF($Z205=Constants!$B$7,IF(Y205,P205*IF(U205, 1, Constants!$B$11)*IF(V205, 1, Constants!$B$12),Constants!$B$13),"")</f>
        <v/>
      </c>
      <c r="AG205" s="91" t="str">
        <f aca="false">IF($Z205=Constants!$B$7,AE205*AF205,"")</f>
        <v/>
      </c>
      <c r="AH205" s="91" t="str">
        <f aca="false">IF($Z205=Constants!$B$7,IF(AG205&gt;AD205,2,1),"")</f>
        <v/>
      </c>
      <c r="AI205" s="91" t="str">
        <f aca="false">IF($Z205=Constants!$B$7,IF(AH205=1,2,1),"")</f>
        <v/>
      </c>
      <c r="AJ205" s="91" t="str">
        <f aca="false">IF(ISBLANK($C205),"",IF($Z205&lt;&gt;Constants!$B$7,$Z205,IF(AH205=1,AD205,AG205)))</f>
        <v/>
      </c>
      <c r="AK205" s="91" t="str">
        <f aca="false">IF(ISBLANK($C205),"",IF($Z205=Constants!$B$7,IF(ISNUMBER(AJ205),RANK(AJ205,$AJ$8:$AJ$507),Constants!$B$14),$Z205))</f>
        <v/>
      </c>
      <c r="AL205" s="91" t="str">
        <f aca="false">IF(ISBLANK($C205),"",IF($Z205=Constants!$B$7,IF(AI205=1,AD205,AG205),""))</f>
        <v/>
      </c>
      <c r="AM205" s="91" t="str">
        <f aca="false">IF(ISBLANK($C205),"",IF($Z205=Constants!$B$7,RANK(AL205,$AL$8:$AL$507),$Z205))</f>
        <v/>
      </c>
      <c r="AN205" s="91" t="str">
        <f aca="false">IF(ISBLANK($C205),"",IF($Z205=Constants!$B$7,IF(ISNUMBER(AK205),COUNTIFS($AK$8:$AK$507,"&lt;"&amp;$AK205)+COUNTIFS($AK$8:$AK$507,$AK205,$AM$8:$AM$507,"&lt;"&amp;$AM205)+1,Constants!$B$14),$Z205))</f>
        <v/>
      </c>
      <c r="AO205" s="91" t="str">
        <f aca="false">IF(ISBLANK($C205),"",IF($Z205=Constants!$B$7,IF(ISNUMBER(AK205),AK205-AN205,Constants!$B$14),$Z205))</f>
        <v/>
      </c>
      <c r="AP205" s="92"/>
      <c r="AQ205" s="93" t="str">
        <f aca="false">IF(ISBLANK($C205),"",IF($Z205&lt;&gt;Constants!$B$7,"",AH205))</f>
        <v/>
      </c>
      <c r="AR205" s="94" t="str">
        <f aca="false">IF(ISBLANK($C205),"",IF($Z205&lt;&gt;Constants!$B$7,"",IF(AH205=1,AB205,AE205)))</f>
        <v/>
      </c>
      <c r="AS205" s="95" t="str">
        <f aca="false">IF(ISBLANK($C205),"",IF($Z205&lt;&gt;Constants!$B$7,"",IF(AH205=1,AC205,AF205)))</f>
        <v/>
      </c>
      <c r="AT205" s="96" t="str">
        <f aca="false">IF(ISBLANK($C205),"",IF($Z205&lt;&gt;Constants!$B$7,$Z205,AJ205))</f>
        <v/>
      </c>
      <c r="AU205" s="97" t="str">
        <f aca="false">IF(ISBLANK($C205),"",IF($Z205&lt;&gt;Constants!$B$7,$Z205,AA205))</f>
        <v/>
      </c>
      <c r="AV205" s="98" t="str">
        <f aca="false">IF(ISBLANK($C205),"",AO205)</f>
        <v/>
      </c>
      <c r="AW205" s="98" t="str">
        <f aca="false">IF(ISBLANK($C205),"",AN205)</f>
        <v/>
      </c>
      <c r="AX205" s="99" t="str">
        <f aca="false">IF(ISBLANK($C205),"",IFERROR(_xlfn.SWITCH(AW205,Constants!$B$4,COUNTA($C$8:$C$507)+2,Constants!$B$5,COUNTA($C$8:$C$507)+1,Constants!$B$6,COUNTA($C$8:$C$507)),AW205))</f>
        <v/>
      </c>
      <c r="AY205" s="5"/>
      <c r="AZ205" s="100" t="n">
        <f aca="false">IF(OR(ISNUMBER(AW205),AW205=Constants!$B$4,AW205=Constants!$B$6,AW205=Constants!$B$5),1,0)</f>
        <v>0</v>
      </c>
      <c r="BA205" s="100" t="n">
        <v>198</v>
      </c>
      <c r="BB205" s="100" t="str">
        <f aca="false">IF(ISBLANK($C205),"",IF(ISNUMBER(AX205),AX205+ROW($B205)/1000,""))</f>
        <v/>
      </c>
      <c r="BC205" s="100" t="str">
        <f aca="false">IF(ISNUMBER(BB205),RANK(BB205,$BB$8:$BB$507,1),"")</f>
        <v/>
      </c>
      <c r="BD205" s="100" t="str">
        <f aca="false">IF(ISBLANK($C205),"",$B205)</f>
        <v/>
      </c>
      <c r="BE205" s="100" t="str">
        <f aca="false">IF(ISBLANK($C205),"",$C205)</f>
        <v/>
      </c>
      <c r="BF205" s="100" t="str">
        <f aca="false">IF(ISBLANK($C205),"",$D205)</f>
        <v/>
      </c>
      <c r="BG205" s="101" t="str">
        <f aca="false">AU205</f>
        <v/>
      </c>
      <c r="BH205" s="102" t="str">
        <f aca="false">AT205</f>
        <v/>
      </c>
      <c r="BI205" s="100" t="str">
        <f aca="false">IF(ISBLANK($C205),"",AW205)</f>
        <v/>
      </c>
      <c r="BJ205" s="103" t="str">
        <f aca="false">IF($BA205&gt;$AZ$7,"",VLOOKUP($BA205,$BC$8:$BI$507,7,FALSE()))</f>
        <v/>
      </c>
      <c r="BK205" s="104" t="str">
        <f aca="false">IF($BA205&gt;$AZ$7,"",VLOOKUP($BA205,$BC$8:$BI$507,2,FALSE()))</f>
        <v/>
      </c>
      <c r="BL205" s="104" t="str">
        <f aca="false">IF($BA205&gt;$AZ$7,"",VLOOKUP($BA205,$BC$8:$BI$507,3,FALSE()))</f>
        <v/>
      </c>
      <c r="BM205" s="104" t="str">
        <f aca="false">IF($BA205&gt;$AZ$7,"",VLOOKUP($BA205,$BC$8:$BI$507,4,FALSE()))</f>
        <v/>
      </c>
      <c r="BN205" s="104" t="str">
        <f aca="false">IF($BA205&gt;$AZ$7,"",VLOOKUP($BA205,$BC$8:$BI$507,5,FALSE()))</f>
        <v/>
      </c>
      <c r="BO205" s="105" t="str">
        <f aca="false">IF($BA205&gt;$AZ$7,"",VLOOKUP($BA205,$BC$8:$BI$507,6,FALSE()))</f>
        <v/>
      </c>
      <c r="BP205" s="52"/>
    </row>
    <row r="206" customFormat="false" ht="15.75" hidden="false" customHeight="false" outlineLevel="0" collapsed="false">
      <c r="A206" s="5"/>
      <c r="B206" s="118"/>
      <c r="C206" s="54"/>
      <c r="D206" s="55"/>
      <c r="E206" s="79"/>
      <c r="F206" s="57"/>
      <c r="G206" s="58"/>
      <c r="H206" s="58"/>
      <c r="I206" s="57"/>
      <c r="J206" s="58"/>
      <c r="K206" s="58"/>
      <c r="L206" s="57"/>
      <c r="M206" s="79"/>
      <c r="N206" s="60"/>
      <c r="O206" s="62" t="str">
        <f aca="false">IF(ISBLANK($C206),"",IF(E206=Constants!$B$2, TRUE(), IF(E206=Constants!$B$3, FALSE(), TRUE())))</f>
        <v/>
      </c>
      <c r="P206" s="62" t="str">
        <f aca="false">IF(ISBLANK($C206),"",IF(F206=Constants!$B$16,Constants!$B$9,IF(F206=Constants!$B$17,Constants!$B$10,Constants!$B$8)))</f>
        <v/>
      </c>
      <c r="Q206" s="62" t="str">
        <f aca="false">IF(ISBLANK($C206),"",IF(ISNUMBER(G206),IF(G206&gt;=0,G206,""),""))</f>
        <v/>
      </c>
      <c r="R206" s="62" t="str">
        <f aca="false">IF(ISBLANK($C206),"",IF(H206=Constants!$B$2, TRUE(), IF(H206=Constants!$B$3, FALSE(), TRUE())))</f>
        <v/>
      </c>
      <c r="S206" s="62" t="str">
        <f aca="false">IF(ISBLANK($C206),"",IF(I206=Constants!$B$2, TRUE(), IF(I206=Constants!$B$3, FALSE(), TRUE())))</f>
        <v/>
      </c>
      <c r="T206" s="62" t="str">
        <f aca="false">IF(ISBLANK($C206),"",IF(ISNUMBER(J206),IF(J206&gt;=0,J206,""),""))</f>
        <v/>
      </c>
      <c r="U206" s="62" t="str">
        <f aca="false">IF(ISBLANK($C206),"",IF(K206=Constants!$B$2, TRUE(), IF(K206=Constants!$B$3, FALSE(), TRUE())))</f>
        <v/>
      </c>
      <c r="V206" s="62" t="str">
        <f aca="false">IF(ISBLANK($C206),"",IF(L206=Constants!$B$2, TRUE(), IF(L206=Constants!$B$3, FALSE(), TRUE())))</f>
        <v/>
      </c>
      <c r="W206" s="62" t="str">
        <f aca="false">IF(ISBLANK($C206),"",IF(M206=Constants!$B$2, TRUE(), IF(M206=Constants!$B$3, FALSE(), FALSE())))</f>
        <v/>
      </c>
      <c r="X206" s="62" t="str">
        <f aca="false">IF(ISBLANK($C206),"",AND(Q206&lt;&gt;"",O206))</f>
        <v/>
      </c>
      <c r="Y206" s="62" t="str">
        <f aca="false">IF(ISBLANK($C206),"",AND(T206&lt;&gt;"",O206))</f>
        <v/>
      </c>
      <c r="Z206" s="62" t="str">
        <f aca="false">IF(ISBLANK($C206),"",IF(W206,Constants!$B$4,IF(COUNTA(E206:L206)=0,Constants!$B$5,IF(NOT(O206),Constants!$B$6,IF(AND(NOT(X206),NOT(Y206)),Constants!$B$6,Constants!$B$7)))))</f>
        <v/>
      </c>
      <c r="AA206" s="62" t="str">
        <f aca="false">IF(ISBLANK($C206),"",IF($Z206&lt;&gt;Constants!$B$7,$Z206,Constants!$B$20))</f>
        <v/>
      </c>
      <c r="AB206" s="62" t="str">
        <f aca="false">IF($Z206=Constants!$B$7,IF(X206,Q206,Constants!$B$13),"")</f>
        <v/>
      </c>
      <c r="AC206" s="62" t="str">
        <f aca="false">IF($Z206=Constants!$B$7,IF(X206,P206*IF(R206, 1, Constants!$B$11)*IF(S206, 1, Constants!$B$12),Constants!$B$13),"")</f>
        <v/>
      </c>
      <c r="AD206" s="62" t="str">
        <f aca="false">IF($Z206=Constants!$B$7,AB206*AC206,"")</f>
        <v/>
      </c>
      <c r="AE206" s="62" t="str">
        <f aca="false">IF($Z206=Constants!$B$7,IF(Y206,T206,Constants!$B$13),"")</f>
        <v/>
      </c>
      <c r="AF206" s="62" t="str">
        <f aca="false">IF($Z206=Constants!$B$7,IF(Y206,P206*IF(U206, 1, Constants!$B$11)*IF(V206, 1, Constants!$B$12),Constants!$B$13),"")</f>
        <v/>
      </c>
      <c r="AG206" s="62" t="str">
        <f aca="false">IF($Z206=Constants!$B$7,AE206*AF206,"")</f>
        <v/>
      </c>
      <c r="AH206" s="62" t="str">
        <f aca="false">IF($Z206=Constants!$B$7,IF(AG206&gt;AD206,2,1),"")</f>
        <v/>
      </c>
      <c r="AI206" s="62" t="str">
        <f aca="false">IF($Z206=Constants!$B$7,IF(AH206=1,2,1),"")</f>
        <v/>
      </c>
      <c r="AJ206" s="62" t="str">
        <f aca="false">IF(ISBLANK($C206),"",IF($Z206&lt;&gt;Constants!$B$7,$Z206,IF(AH206=1,AD206,AG206)))</f>
        <v/>
      </c>
      <c r="AK206" s="62" t="str">
        <f aca="false">IF(ISBLANK($C206),"",IF($Z206=Constants!$B$7,IF(ISNUMBER(AJ206),RANK(AJ206,$AJ$8:$AJ$507),Constants!$B$14),$Z206))</f>
        <v/>
      </c>
      <c r="AL206" s="62" t="str">
        <f aca="false">IF(ISBLANK($C206),"",IF($Z206=Constants!$B$7,IF(AI206=1,AD206,AG206),""))</f>
        <v/>
      </c>
      <c r="AM206" s="62" t="str">
        <f aca="false">IF(ISBLANK($C206),"",IF($Z206=Constants!$B$7,RANK(AL206,$AL$8:$AL$507),$Z206))</f>
        <v/>
      </c>
      <c r="AN206" s="62" t="str">
        <f aca="false">IF(ISBLANK($C206),"",IF($Z206=Constants!$B$7,IF(ISNUMBER(AK206),COUNTIFS($AK$8:$AK$507,"&lt;"&amp;$AK206)+COUNTIFS($AK$8:$AK$507,$AK206,$AM$8:$AM$507,"&lt;"&amp;$AM206)+1,Constants!$B$14),$Z206))</f>
        <v/>
      </c>
      <c r="AO206" s="62" t="str">
        <f aca="false">IF(ISBLANK($C206),"",IF($Z206=Constants!$B$7,IF(ISNUMBER(AK206),AK206-AN206,Constants!$B$14),$Z206))</f>
        <v/>
      </c>
      <c r="AP206" s="64"/>
      <c r="AQ206" s="65" t="str">
        <f aca="false">IF(ISBLANK($C206),"",IF($Z206&lt;&gt;Constants!$B$7,"",AH206))</f>
        <v/>
      </c>
      <c r="AR206" s="80" t="str">
        <f aca="false">IF(ISBLANK($C206),"",IF($Z206&lt;&gt;Constants!$B$7,"",IF(AH206=1,AB206,AE206)))</f>
        <v/>
      </c>
      <c r="AS206" s="67" t="str">
        <f aca="false">IF(ISBLANK($C206),"",IF($Z206&lt;&gt;Constants!$B$7,"",IF(AH206=1,AC206,AF206)))</f>
        <v/>
      </c>
      <c r="AT206" s="68" t="str">
        <f aca="false">IF(ISBLANK($C206),"",IF($Z206&lt;&gt;Constants!$B$7,$Z206,AJ206))</f>
        <v/>
      </c>
      <c r="AU206" s="69" t="str">
        <f aca="false">IF(ISBLANK($C206),"",IF($Z206&lt;&gt;Constants!$B$7,$Z206,AA206))</f>
        <v/>
      </c>
      <c r="AV206" s="70" t="str">
        <f aca="false">IF(ISBLANK($C206),"",AO206)</f>
        <v/>
      </c>
      <c r="AW206" s="70" t="str">
        <f aca="false">IF(ISBLANK($C206),"",AN206)</f>
        <v/>
      </c>
      <c r="AX206" s="71" t="str">
        <f aca="false">IF(ISBLANK($C206),"",IFERROR(_xlfn.SWITCH(AW206,Constants!$B$4,COUNTA($C$8:$C$507)+2,Constants!$B$5,COUNTA($C$8:$C$507)+1,Constants!$B$6,COUNTA($C$8:$C$507)),AW206))</f>
        <v/>
      </c>
      <c r="AY206" s="5"/>
      <c r="AZ206" s="72" t="n">
        <f aca="false">IF(OR(ISNUMBER(AW206),AW206=Constants!$B$4,AW206=Constants!$B$6,AW206=Constants!$B$5),1,0)</f>
        <v>0</v>
      </c>
      <c r="BA206" s="72" t="n">
        <v>199</v>
      </c>
      <c r="BB206" s="72" t="str">
        <f aca="false">IF(ISBLANK($C206),"",IF(ISNUMBER(AX206),AX206+ROW($B206)/1000,""))</f>
        <v/>
      </c>
      <c r="BC206" s="72" t="str">
        <f aca="false">IF(ISNUMBER(BB206),RANK(BB206,$BB$8:$BB$507,1),"")</f>
        <v/>
      </c>
      <c r="BD206" s="72" t="str">
        <f aca="false">IF(ISBLANK($C206),"",$B206)</f>
        <v/>
      </c>
      <c r="BE206" s="72" t="str">
        <f aca="false">IF(ISBLANK($C206),"",$C206)</f>
        <v/>
      </c>
      <c r="BF206" s="72" t="str">
        <f aca="false">IF(ISBLANK($C206),"",$D206)</f>
        <v/>
      </c>
      <c r="BG206" s="73" t="str">
        <f aca="false">AU206</f>
        <v/>
      </c>
      <c r="BH206" s="74" t="str">
        <f aca="false">AT206</f>
        <v/>
      </c>
      <c r="BI206" s="72" t="str">
        <f aca="false">IF(ISBLANK($C206),"",AW206)</f>
        <v/>
      </c>
      <c r="BJ206" s="75" t="str">
        <f aca="false">IF($BA206&gt;$AZ$7,"",VLOOKUP($BA206,$BC$8:$BI$507,7,FALSE()))</f>
        <v/>
      </c>
      <c r="BK206" s="76" t="str">
        <f aca="false">IF($BA206&gt;$AZ$7,"",VLOOKUP($BA206,$BC$8:$BI$507,2,FALSE()))</f>
        <v/>
      </c>
      <c r="BL206" s="76" t="str">
        <f aca="false">IF($BA206&gt;$AZ$7,"",VLOOKUP($BA206,$BC$8:$BI$507,3,FALSE()))</f>
        <v/>
      </c>
      <c r="BM206" s="76" t="str">
        <f aca="false">IF($BA206&gt;$AZ$7,"",VLOOKUP($BA206,$BC$8:$BI$507,4,FALSE()))</f>
        <v/>
      </c>
      <c r="BN206" s="76" t="str">
        <f aca="false">IF($BA206&gt;$AZ$7,"",VLOOKUP($BA206,$BC$8:$BI$507,5,FALSE()))</f>
        <v/>
      </c>
      <c r="BO206" s="77" t="str">
        <f aca="false">IF($BA206&gt;$AZ$7,"",VLOOKUP($BA206,$BC$8:$BI$507,6,FALSE()))</f>
        <v/>
      </c>
      <c r="BP206" s="52"/>
    </row>
    <row r="207" customFormat="false" ht="15.75" hidden="false" customHeight="false" outlineLevel="0" collapsed="false">
      <c r="A207" s="5"/>
      <c r="B207" s="118"/>
      <c r="C207" s="54"/>
      <c r="D207" s="55"/>
      <c r="E207" s="79"/>
      <c r="F207" s="57"/>
      <c r="G207" s="58"/>
      <c r="H207" s="58"/>
      <c r="I207" s="57"/>
      <c r="J207" s="58"/>
      <c r="K207" s="58"/>
      <c r="L207" s="57"/>
      <c r="M207" s="79"/>
      <c r="N207" s="60"/>
      <c r="O207" s="62" t="str">
        <f aca="false">IF(ISBLANK($C207),"",IF(E207=Constants!$B$2, TRUE(), IF(E207=Constants!$B$3, FALSE(), TRUE())))</f>
        <v/>
      </c>
      <c r="P207" s="62" t="str">
        <f aca="false">IF(ISBLANK($C207),"",IF(F207=Constants!$B$16,Constants!$B$9,IF(F207=Constants!$B$17,Constants!$B$10,Constants!$B$8)))</f>
        <v/>
      </c>
      <c r="Q207" s="62" t="str">
        <f aca="false">IF(ISBLANK($C207),"",IF(ISNUMBER(G207),IF(G207&gt;=0,G207,""),""))</f>
        <v/>
      </c>
      <c r="R207" s="62" t="str">
        <f aca="false">IF(ISBLANK($C207),"",IF(H207=Constants!$B$2, TRUE(), IF(H207=Constants!$B$3, FALSE(), TRUE())))</f>
        <v/>
      </c>
      <c r="S207" s="62" t="str">
        <f aca="false">IF(ISBLANK($C207),"",IF(I207=Constants!$B$2, TRUE(), IF(I207=Constants!$B$3, FALSE(), TRUE())))</f>
        <v/>
      </c>
      <c r="T207" s="62" t="str">
        <f aca="false">IF(ISBLANK($C207),"",IF(ISNUMBER(J207),IF(J207&gt;=0,J207,""),""))</f>
        <v/>
      </c>
      <c r="U207" s="62" t="str">
        <f aca="false">IF(ISBLANK($C207),"",IF(K207=Constants!$B$2, TRUE(), IF(K207=Constants!$B$3, FALSE(), TRUE())))</f>
        <v/>
      </c>
      <c r="V207" s="62" t="str">
        <f aca="false">IF(ISBLANK($C207),"",IF(L207=Constants!$B$2, TRUE(), IF(L207=Constants!$B$3, FALSE(), TRUE())))</f>
        <v/>
      </c>
      <c r="W207" s="62" t="str">
        <f aca="false">IF(ISBLANK($C207),"",IF(M207=Constants!$B$2, TRUE(), IF(M207=Constants!$B$3, FALSE(), FALSE())))</f>
        <v/>
      </c>
      <c r="X207" s="62" t="str">
        <f aca="false">IF(ISBLANK($C207),"",AND(Q207&lt;&gt;"",O207))</f>
        <v/>
      </c>
      <c r="Y207" s="62" t="str">
        <f aca="false">IF(ISBLANK($C207),"",AND(T207&lt;&gt;"",O207))</f>
        <v/>
      </c>
      <c r="Z207" s="62" t="str">
        <f aca="false">IF(ISBLANK($C207),"",IF(W207,Constants!$B$4,IF(COUNTA(E207:L207)=0,Constants!$B$5,IF(NOT(O207),Constants!$B$6,IF(AND(NOT(X207),NOT(Y207)),Constants!$B$6,Constants!$B$7)))))</f>
        <v/>
      </c>
      <c r="AA207" s="62" t="str">
        <f aca="false">IF(ISBLANK($C207),"",IF($Z207&lt;&gt;Constants!$B$7,$Z207,Constants!$B$20))</f>
        <v/>
      </c>
      <c r="AB207" s="62" t="str">
        <f aca="false">IF($Z207=Constants!$B$7,IF(X207,Q207,Constants!$B$13),"")</f>
        <v/>
      </c>
      <c r="AC207" s="62" t="str">
        <f aca="false">IF($Z207=Constants!$B$7,IF(X207,P207*IF(R207, 1, Constants!$B$11)*IF(S207, 1, Constants!$B$12),Constants!$B$13),"")</f>
        <v/>
      </c>
      <c r="AD207" s="62" t="str">
        <f aca="false">IF($Z207=Constants!$B$7,AB207*AC207,"")</f>
        <v/>
      </c>
      <c r="AE207" s="62" t="str">
        <f aca="false">IF($Z207=Constants!$B$7,IF(Y207,T207,Constants!$B$13),"")</f>
        <v/>
      </c>
      <c r="AF207" s="62" t="str">
        <f aca="false">IF($Z207=Constants!$B$7,IF(Y207,P207*IF(U207, 1, Constants!$B$11)*IF(V207, 1, Constants!$B$12),Constants!$B$13),"")</f>
        <v/>
      </c>
      <c r="AG207" s="62" t="str">
        <f aca="false">IF($Z207=Constants!$B$7,AE207*AF207,"")</f>
        <v/>
      </c>
      <c r="AH207" s="62" t="str">
        <f aca="false">IF($Z207=Constants!$B$7,IF(AG207&gt;AD207,2,1),"")</f>
        <v/>
      </c>
      <c r="AI207" s="62" t="str">
        <f aca="false">IF($Z207=Constants!$B$7,IF(AH207=1,2,1),"")</f>
        <v/>
      </c>
      <c r="AJ207" s="62" t="str">
        <f aca="false">IF(ISBLANK($C207),"",IF($Z207&lt;&gt;Constants!$B$7,$Z207,IF(AH207=1,AD207,AG207)))</f>
        <v/>
      </c>
      <c r="AK207" s="62" t="str">
        <f aca="false">IF(ISBLANK($C207),"",IF($Z207=Constants!$B$7,IF(ISNUMBER(AJ207),RANK(AJ207,$AJ$8:$AJ$507),Constants!$B$14),$Z207))</f>
        <v/>
      </c>
      <c r="AL207" s="62" t="str">
        <f aca="false">IF(ISBLANK($C207),"",IF($Z207=Constants!$B$7,IF(AI207=1,AD207,AG207),""))</f>
        <v/>
      </c>
      <c r="AM207" s="62" t="str">
        <f aca="false">IF(ISBLANK($C207),"",IF($Z207=Constants!$B$7,RANK(AL207,$AL$8:$AL$507),$Z207))</f>
        <v/>
      </c>
      <c r="AN207" s="62" t="str">
        <f aca="false">IF(ISBLANK($C207),"",IF($Z207=Constants!$B$7,IF(ISNUMBER(AK207),COUNTIFS($AK$8:$AK$507,"&lt;"&amp;$AK207)+COUNTIFS($AK$8:$AK$507,$AK207,$AM$8:$AM$507,"&lt;"&amp;$AM207)+1,Constants!$B$14),$Z207))</f>
        <v/>
      </c>
      <c r="AO207" s="62" t="str">
        <f aca="false">IF(ISBLANK($C207),"",IF($Z207=Constants!$B$7,IF(ISNUMBER(AK207),AK207-AN207,Constants!$B$14),$Z207))</f>
        <v/>
      </c>
      <c r="AP207" s="64"/>
      <c r="AQ207" s="65" t="str">
        <f aca="false">IF(ISBLANK($C207),"",IF($Z207&lt;&gt;Constants!$B$7,"",AH207))</f>
        <v/>
      </c>
      <c r="AR207" s="80" t="str">
        <f aca="false">IF(ISBLANK($C207),"",IF($Z207&lt;&gt;Constants!$B$7,"",IF(AH207=1,AB207,AE207)))</f>
        <v/>
      </c>
      <c r="AS207" s="67" t="str">
        <f aca="false">IF(ISBLANK($C207),"",IF($Z207&lt;&gt;Constants!$B$7,"",IF(AH207=1,AC207,AF207)))</f>
        <v/>
      </c>
      <c r="AT207" s="68" t="str">
        <f aca="false">IF(ISBLANK($C207),"",IF($Z207&lt;&gt;Constants!$B$7,$Z207,AJ207))</f>
        <v/>
      </c>
      <c r="AU207" s="69" t="str">
        <f aca="false">IF(ISBLANK($C207),"",IF($Z207&lt;&gt;Constants!$B$7,$Z207,AA207))</f>
        <v/>
      </c>
      <c r="AV207" s="70" t="str">
        <f aca="false">IF(ISBLANK($C207),"",AO207)</f>
        <v/>
      </c>
      <c r="AW207" s="70" t="str">
        <f aca="false">IF(ISBLANK($C207),"",AN207)</f>
        <v/>
      </c>
      <c r="AX207" s="71" t="str">
        <f aca="false">IF(ISBLANK($C207),"",IFERROR(_xlfn.SWITCH(AW207,Constants!$B$4,COUNTA($C$8:$C$507)+2,Constants!$B$5,COUNTA($C$8:$C$507)+1,Constants!$B$6,COUNTA($C$8:$C$507)),AW207))</f>
        <v/>
      </c>
      <c r="AY207" s="5"/>
      <c r="AZ207" s="72" t="n">
        <f aca="false">IF(OR(ISNUMBER(AW207),AW207=Constants!$B$4,AW207=Constants!$B$6,AW207=Constants!$B$5),1,0)</f>
        <v>0</v>
      </c>
      <c r="BA207" s="72" t="n">
        <v>200</v>
      </c>
      <c r="BB207" s="72" t="str">
        <f aca="false">IF(ISBLANK($C207),"",IF(ISNUMBER(AX207),AX207+ROW($B207)/1000,""))</f>
        <v/>
      </c>
      <c r="BC207" s="72" t="str">
        <f aca="false">IF(ISNUMBER(BB207),RANK(BB207,$BB$8:$BB$507,1),"")</f>
        <v/>
      </c>
      <c r="BD207" s="72" t="str">
        <f aca="false">IF(ISBLANK($C207),"",$B207)</f>
        <v/>
      </c>
      <c r="BE207" s="72" t="str">
        <f aca="false">IF(ISBLANK($C207),"",$C207)</f>
        <v/>
      </c>
      <c r="BF207" s="72" t="str">
        <f aca="false">IF(ISBLANK($C207),"",$D207)</f>
        <v/>
      </c>
      <c r="BG207" s="73" t="str">
        <f aca="false">AU207</f>
        <v/>
      </c>
      <c r="BH207" s="74" t="str">
        <f aca="false">AT207</f>
        <v/>
      </c>
      <c r="BI207" s="72" t="str">
        <f aca="false">IF(ISBLANK($C207),"",AW207)</f>
        <v/>
      </c>
      <c r="BJ207" s="75" t="str">
        <f aca="false">IF($BA207&gt;$AZ$7,"",VLOOKUP($BA207,$BC$8:$BI$507,7,FALSE()))</f>
        <v/>
      </c>
      <c r="BK207" s="76" t="str">
        <f aca="false">IF($BA207&gt;$AZ$7,"",VLOOKUP($BA207,$BC$8:$BI$507,2,FALSE()))</f>
        <v/>
      </c>
      <c r="BL207" s="76" t="str">
        <f aca="false">IF($BA207&gt;$AZ$7,"",VLOOKUP($BA207,$BC$8:$BI$507,3,FALSE()))</f>
        <v/>
      </c>
      <c r="BM207" s="76" t="str">
        <f aca="false">IF($BA207&gt;$AZ$7,"",VLOOKUP($BA207,$BC$8:$BI$507,4,FALSE()))</f>
        <v/>
      </c>
      <c r="BN207" s="76" t="str">
        <f aca="false">IF($BA207&gt;$AZ$7,"",VLOOKUP($BA207,$BC$8:$BI$507,5,FALSE()))</f>
        <v/>
      </c>
      <c r="BO207" s="77" t="str">
        <f aca="false">IF($BA207&gt;$AZ$7,"",VLOOKUP($BA207,$BC$8:$BI$507,6,FALSE()))</f>
        <v/>
      </c>
      <c r="BP207" s="52"/>
    </row>
    <row r="208" customFormat="false" ht="15.75" hidden="false" customHeight="false" outlineLevel="0" collapsed="false">
      <c r="A208" s="5"/>
      <c r="B208" s="118"/>
      <c r="C208" s="54"/>
      <c r="D208" s="55"/>
      <c r="E208" s="79"/>
      <c r="F208" s="57"/>
      <c r="G208" s="58"/>
      <c r="H208" s="58"/>
      <c r="I208" s="57"/>
      <c r="J208" s="58"/>
      <c r="K208" s="58"/>
      <c r="L208" s="57"/>
      <c r="M208" s="79"/>
      <c r="N208" s="60"/>
      <c r="O208" s="62" t="str">
        <f aca="false">IF(ISBLANK($C208),"",IF(E208=Constants!$B$2, TRUE(), IF(E208=Constants!$B$3, FALSE(), TRUE())))</f>
        <v/>
      </c>
      <c r="P208" s="62" t="str">
        <f aca="false">IF(ISBLANK($C208),"",IF(F208=Constants!$B$16,Constants!$B$9,IF(F208=Constants!$B$17,Constants!$B$10,Constants!$B$8)))</f>
        <v/>
      </c>
      <c r="Q208" s="62" t="str">
        <f aca="false">IF(ISBLANK($C208),"",IF(ISNUMBER(G208),IF(G208&gt;=0,G208,""),""))</f>
        <v/>
      </c>
      <c r="R208" s="62" t="str">
        <f aca="false">IF(ISBLANK($C208),"",IF(H208=Constants!$B$2, TRUE(), IF(H208=Constants!$B$3, FALSE(), TRUE())))</f>
        <v/>
      </c>
      <c r="S208" s="62" t="str">
        <f aca="false">IF(ISBLANK($C208),"",IF(I208=Constants!$B$2, TRUE(), IF(I208=Constants!$B$3, FALSE(), TRUE())))</f>
        <v/>
      </c>
      <c r="T208" s="62" t="str">
        <f aca="false">IF(ISBLANK($C208),"",IF(ISNUMBER(J208),IF(J208&gt;=0,J208,""),""))</f>
        <v/>
      </c>
      <c r="U208" s="62" t="str">
        <f aca="false">IF(ISBLANK($C208),"",IF(K208=Constants!$B$2, TRUE(), IF(K208=Constants!$B$3, FALSE(), TRUE())))</f>
        <v/>
      </c>
      <c r="V208" s="62" t="str">
        <f aca="false">IF(ISBLANK($C208),"",IF(L208=Constants!$B$2, TRUE(), IF(L208=Constants!$B$3, FALSE(), TRUE())))</f>
        <v/>
      </c>
      <c r="W208" s="62" t="str">
        <f aca="false">IF(ISBLANK($C208),"",IF(M208=Constants!$B$2, TRUE(), IF(M208=Constants!$B$3, FALSE(), FALSE())))</f>
        <v/>
      </c>
      <c r="X208" s="62" t="str">
        <f aca="false">IF(ISBLANK($C208),"",AND(Q208&lt;&gt;"",O208))</f>
        <v/>
      </c>
      <c r="Y208" s="62" t="str">
        <f aca="false">IF(ISBLANK($C208),"",AND(T208&lt;&gt;"",O208))</f>
        <v/>
      </c>
      <c r="Z208" s="62" t="str">
        <f aca="false">IF(ISBLANK($C208),"",IF(W208,Constants!$B$4,IF(COUNTA(E208:L208)=0,Constants!$B$5,IF(NOT(O208),Constants!$B$6,IF(AND(NOT(X208),NOT(Y208)),Constants!$B$6,Constants!$B$7)))))</f>
        <v/>
      </c>
      <c r="AA208" s="62" t="str">
        <f aca="false">IF(ISBLANK($C208),"",IF($Z208&lt;&gt;Constants!$B$7,$Z208,Constants!$B$20))</f>
        <v/>
      </c>
      <c r="AB208" s="62" t="str">
        <f aca="false">IF($Z208=Constants!$B$7,IF(X208,Q208,Constants!$B$13),"")</f>
        <v/>
      </c>
      <c r="AC208" s="62" t="str">
        <f aca="false">IF($Z208=Constants!$B$7,IF(X208,P208*IF(R208, 1, Constants!$B$11)*IF(S208, 1, Constants!$B$12),Constants!$B$13),"")</f>
        <v/>
      </c>
      <c r="AD208" s="62" t="str">
        <f aca="false">IF($Z208=Constants!$B$7,AB208*AC208,"")</f>
        <v/>
      </c>
      <c r="AE208" s="62" t="str">
        <f aca="false">IF($Z208=Constants!$B$7,IF(Y208,T208,Constants!$B$13),"")</f>
        <v/>
      </c>
      <c r="AF208" s="62" t="str">
        <f aca="false">IF($Z208=Constants!$B$7,IF(Y208,P208*IF(U208, 1, Constants!$B$11)*IF(V208, 1, Constants!$B$12),Constants!$B$13),"")</f>
        <v/>
      </c>
      <c r="AG208" s="62" t="str">
        <f aca="false">IF($Z208=Constants!$B$7,AE208*AF208,"")</f>
        <v/>
      </c>
      <c r="AH208" s="62" t="str">
        <f aca="false">IF($Z208=Constants!$B$7,IF(AG208&gt;AD208,2,1),"")</f>
        <v/>
      </c>
      <c r="AI208" s="62" t="str">
        <f aca="false">IF($Z208=Constants!$B$7,IF(AH208=1,2,1),"")</f>
        <v/>
      </c>
      <c r="AJ208" s="62" t="str">
        <f aca="false">IF(ISBLANK($C208),"",IF($Z208&lt;&gt;Constants!$B$7,$Z208,IF(AH208=1,AD208,AG208)))</f>
        <v/>
      </c>
      <c r="AK208" s="62" t="str">
        <f aca="false">IF(ISBLANK($C208),"",IF($Z208=Constants!$B$7,IF(ISNUMBER(AJ208),RANK(AJ208,$AJ$8:$AJ$507),Constants!$B$14),$Z208))</f>
        <v/>
      </c>
      <c r="AL208" s="62" t="str">
        <f aca="false">IF(ISBLANK($C208),"",IF($Z208=Constants!$B$7,IF(AI208=1,AD208,AG208),""))</f>
        <v/>
      </c>
      <c r="AM208" s="62" t="str">
        <f aca="false">IF(ISBLANK($C208),"",IF($Z208=Constants!$B$7,RANK(AL208,$AL$8:$AL$507),$Z208))</f>
        <v/>
      </c>
      <c r="AN208" s="62" t="str">
        <f aca="false">IF(ISBLANK($C208),"",IF($Z208=Constants!$B$7,IF(ISNUMBER(AK208),COUNTIFS($AK$8:$AK$507,"&lt;"&amp;$AK208)+COUNTIFS($AK$8:$AK$507,$AK208,$AM$8:$AM$507,"&lt;"&amp;$AM208)+1,Constants!$B$14),$Z208))</f>
        <v/>
      </c>
      <c r="AO208" s="62" t="str">
        <f aca="false">IF(ISBLANK($C208),"",IF($Z208=Constants!$B$7,IF(ISNUMBER(AK208),AK208-AN208,Constants!$B$14),$Z208))</f>
        <v/>
      </c>
      <c r="AP208" s="64"/>
      <c r="AQ208" s="65" t="str">
        <f aca="false">IF(ISBLANK($C208),"",IF($Z208&lt;&gt;Constants!$B$7,"",AH208))</f>
        <v/>
      </c>
      <c r="AR208" s="80" t="str">
        <f aca="false">IF(ISBLANK($C208),"",IF($Z208&lt;&gt;Constants!$B$7,"",IF(AH208=1,AB208,AE208)))</f>
        <v/>
      </c>
      <c r="AS208" s="67" t="str">
        <f aca="false">IF(ISBLANK($C208),"",IF($Z208&lt;&gt;Constants!$B$7,"",IF(AH208=1,AC208,AF208)))</f>
        <v/>
      </c>
      <c r="AT208" s="68" t="str">
        <f aca="false">IF(ISBLANK($C208),"",IF($Z208&lt;&gt;Constants!$B$7,$Z208,AJ208))</f>
        <v/>
      </c>
      <c r="AU208" s="69" t="str">
        <f aca="false">IF(ISBLANK($C208),"",IF($Z208&lt;&gt;Constants!$B$7,$Z208,AA208))</f>
        <v/>
      </c>
      <c r="AV208" s="70" t="str">
        <f aca="false">IF(ISBLANK($C208),"",AO208)</f>
        <v/>
      </c>
      <c r="AW208" s="70" t="str">
        <f aca="false">IF(ISBLANK($C208),"",AN208)</f>
        <v/>
      </c>
      <c r="AX208" s="71" t="str">
        <f aca="false">IF(ISBLANK($C208),"",IFERROR(_xlfn.SWITCH(AW208,Constants!$B$4,COUNTA($C$8:$C$507)+2,Constants!$B$5,COUNTA($C$8:$C$507)+1,Constants!$B$6,COUNTA($C$8:$C$507)),AW208))</f>
        <v/>
      </c>
      <c r="AY208" s="5"/>
      <c r="AZ208" s="72" t="n">
        <f aca="false">IF(OR(ISNUMBER(AW208),AW208=Constants!$B$4,AW208=Constants!$B$6,AW208=Constants!$B$5),1,0)</f>
        <v>0</v>
      </c>
      <c r="BA208" s="72" t="n">
        <v>201</v>
      </c>
      <c r="BB208" s="72" t="str">
        <f aca="false">IF(ISBLANK($C208),"",IF(ISNUMBER(AX208),AX208+ROW($B208)/1000,""))</f>
        <v/>
      </c>
      <c r="BC208" s="72" t="str">
        <f aca="false">IF(ISNUMBER(BB208),RANK(BB208,$BB$8:$BB$507,1),"")</f>
        <v/>
      </c>
      <c r="BD208" s="72" t="str">
        <f aca="false">IF(ISBLANK($C208),"",$B208)</f>
        <v/>
      </c>
      <c r="BE208" s="72" t="str">
        <f aca="false">IF(ISBLANK($C208),"",$C208)</f>
        <v/>
      </c>
      <c r="BF208" s="72" t="str">
        <f aca="false">IF(ISBLANK($C208),"",$D208)</f>
        <v/>
      </c>
      <c r="BG208" s="73" t="str">
        <f aca="false">AU208</f>
        <v/>
      </c>
      <c r="BH208" s="74" t="str">
        <f aca="false">AT208</f>
        <v/>
      </c>
      <c r="BI208" s="72" t="str">
        <f aca="false">IF(ISBLANK($C208),"",AW208)</f>
        <v/>
      </c>
      <c r="BJ208" s="75" t="str">
        <f aca="false">IF($BA208&gt;$AZ$7,"",VLOOKUP($BA208,$BC$8:$BI$507,7,FALSE()))</f>
        <v/>
      </c>
      <c r="BK208" s="76" t="str">
        <f aca="false">IF($BA208&gt;$AZ$7,"",VLOOKUP($BA208,$BC$8:$BI$507,2,FALSE()))</f>
        <v/>
      </c>
      <c r="BL208" s="76" t="str">
        <f aca="false">IF($BA208&gt;$AZ$7,"",VLOOKUP($BA208,$BC$8:$BI$507,3,FALSE()))</f>
        <v/>
      </c>
      <c r="BM208" s="76" t="str">
        <f aca="false">IF($BA208&gt;$AZ$7,"",VLOOKUP($BA208,$BC$8:$BI$507,4,FALSE()))</f>
        <v/>
      </c>
      <c r="BN208" s="76" t="str">
        <f aca="false">IF($BA208&gt;$AZ$7,"",VLOOKUP($BA208,$BC$8:$BI$507,5,FALSE()))</f>
        <v/>
      </c>
      <c r="BO208" s="77" t="str">
        <f aca="false">IF($BA208&gt;$AZ$7,"",VLOOKUP($BA208,$BC$8:$BI$507,6,FALSE()))</f>
        <v/>
      </c>
      <c r="BP208" s="52"/>
    </row>
    <row r="209" customFormat="false" ht="15.75" hidden="false" customHeight="false" outlineLevel="0" collapsed="false">
      <c r="A209" s="5"/>
      <c r="B209" s="114"/>
      <c r="C209" s="115"/>
      <c r="D209" s="106"/>
      <c r="E209" s="117"/>
      <c r="F209" s="87"/>
      <c r="G209" s="88"/>
      <c r="H209" s="88"/>
      <c r="I209" s="87"/>
      <c r="J209" s="88"/>
      <c r="K209" s="88"/>
      <c r="L209" s="87"/>
      <c r="M209" s="117"/>
      <c r="N209" s="90"/>
      <c r="O209" s="91" t="str">
        <f aca="false">IF(ISBLANK($C209),"",IF(E209=Constants!$B$2, TRUE(), IF(E209=Constants!$B$3, FALSE(), TRUE())))</f>
        <v/>
      </c>
      <c r="P209" s="91" t="str">
        <f aca="false">IF(ISBLANK($C209),"",IF(F209=Constants!$B$16,Constants!$B$9,IF(F209=Constants!$B$17,Constants!$B$10,Constants!$B$8)))</f>
        <v/>
      </c>
      <c r="Q209" s="91" t="str">
        <f aca="false">IF(ISBLANK($C209),"",IF(ISNUMBER(G209),IF(G209&gt;=0,G209,""),""))</f>
        <v/>
      </c>
      <c r="R209" s="91" t="str">
        <f aca="false">IF(ISBLANK($C209),"",IF(H209=Constants!$B$2, TRUE(), IF(H209=Constants!$B$3, FALSE(), TRUE())))</f>
        <v/>
      </c>
      <c r="S209" s="91" t="str">
        <f aca="false">IF(ISBLANK($C209),"",IF(I209=Constants!$B$2, TRUE(), IF(I209=Constants!$B$3, FALSE(), TRUE())))</f>
        <v/>
      </c>
      <c r="T209" s="91" t="str">
        <f aca="false">IF(ISBLANK($C209),"",IF(ISNUMBER(J209),IF(J209&gt;=0,J209,""),""))</f>
        <v/>
      </c>
      <c r="U209" s="91" t="str">
        <f aca="false">IF(ISBLANK($C209),"",IF(K209=Constants!$B$2, TRUE(), IF(K209=Constants!$B$3, FALSE(), TRUE())))</f>
        <v/>
      </c>
      <c r="V209" s="91" t="str">
        <f aca="false">IF(ISBLANK($C209),"",IF(L209=Constants!$B$2, TRUE(), IF(L209=Constants!$B$3, FALSE(), TRUE())))</f>
        <v/>
      </c>
      <c r="W209" s="91" t="str">
        <f aca="false">IF(ISBLANK($C209),"",IF(M209=Constants!$B$2, TRUE(), IF(M209=Constants!$B$3, FALSE(), FALSE())))</f>
        <v/>
      </c>
      <c r="X209" s="91" t="str">
        <f aca="false">IF(ISBLANK($C209),"",AND(Q209&lt;&gt;"",O209))</f>
        <v/>
      </c>
      <c r="Y209" s="91" t="str">
        <f aca="false">IF(ISBLANK($C209),"",AND(T209&lt;&gt;"",O209))</f>
        <v/>
      </c>
      <c r="Z209" s="91" t="str">
        <f aca="false">IF(ISBLANK($C209),"",IF(W209,Constants!$B$4,IF(COUNTA(E209:L209)=0,Constants!$B$5,IF(NOT(O209),Constants!$B$6,IF(AND(NOT(X209),NOT(Y209)),Constants!$B$6,Constants!$B$7)))))</f>
        <v/>
      </c>
      <c r="AA209" s="91" t="str">
        <f aca="false">IF(ISBLANK($C209),"",IF($Z209&lt;&gt;Constants!$B$7,$Z209,Constants!$B$20))</f>
        <v/>
      </c>
      <c r="AB209" s="91" t="str">
        <f aca="false">IF($Z209=Constants!$B$7,IF(X209,Q209,Constants!$B$13),"")</f>
        <v/>
      </c>
      <c r="AC209" s="91" t="str">
        <f aca="false">IF($Z209=Constants!$B$7,IF(X209,P209*IF(R209, 1, Constants!$B$11)*IF(S209, 1, Constants!$B$12),Constants!$B$13),"")</f>
        <v/>
      </c>
      <c r="AD209" s="91" t="str">
        <f aca="false">IF($Z209=Constants!$B$7,AB209*AC209,"")</f>
        <v/>
      </c>
      <c r="AE209" s="91" t="str">
        <f aca="false">IF($Z209=Constants!$B$7,IF(Y209,T209,Constants!$B$13),"")</f>
        <v/>
      </c>
      <c r="AF209" s="91" t="str">
        <f aca="false">IF($Z209=Constants!$B$7,IF(Y209,P209*IF(U209, 1, Constants!$B$11)*IF(V209, 1, Constants!$B$12),Constants!$B$13),"")</f>
        <v/>
      </c>
      <c r="AG209" s="91" t="str">
        <f aca="false">IF($Z209=Constants!$B$7,AE209*AF209,"")</f>
        <v/>
      </c>
      <c r="AH209" s="91" t="str">
        <f aca="false">IF($Z209=Constants!$B$7,IF(AG209&gt;AD209,2,1),"")</f>
        <v/>
      </c>
      <c r="AI209" s="91" t="str">
        <f aca="false">IF($Z209=Constants!$B$7,IF(AH209=1,2,1),"")</f>
        <v/>
      </c>
      <c r="AJ209" s="91" t="str">
        <f aca="false">IF(ISBLANK($C209),"",IF($Z209&lt;&gt;Constants!$B$7,$Z209,IF(AH209=1,AD209,AG209)))</f>
        <v/>
      </c>
      <c r="AK209" s="91" t="str">
        <f aca="false">IF(ISBLANK($C209),"",IF($Z209=Constants!$B$7,IF(ISNUMBER(AJ209),RANK(AJ209,$AJ$8:$AJ$507),Constants!$B$14),$Z209))</f>
        <v/>
      </c>
      <c r="AL209" s="91" t="str">
        <f aca="false">IF(ISBLANK($C209),"",IF($Z209=Constants!$B$7,IF(AI209=1,AD209,AG209),""))</f>
        <v/>
      </c>
      <c r="AM209" s="91" t="str">
        <f aca="false">IF(ISBLANK($C209),"",IF($Z209=Constants!$B$7,RANK(AL209,$AL$8:$AL$507),$Z209))</f>
        <v/>
      </c>
      <c r="AN209" s="91" t="str">
        <f aca="false">IF(ISBLANK($C209),"",IF($Z209=Constants!$B$7,IF(ISNUMBER(AK209),COUNTIFS($AK$8:$AK$507,"&lt;"&amp;$AK209)+COUNTIFS($AK$8:$AK$507,$AK209,$AM$8:$AM$507,"&lt;"&amp;$AM209)+1,Constants!$B$14),$Z209))</f>
        <v/>
      </c>
      <c r="AO209" s="91" t="str">
        <f aca="false">IF(ISBLANK($C209),"",IF($Z209=Constants!$B$7,IF(ISNUMBER(AK209),AK209-AN209,Constants!$B$14),$Z209))</f>
        <v/>
      </c>
      <c r="AP209" s="92"/>
      <c r="AQ209" s="93" t="str">
        <f aca="false">IF(ISBLANK($C209),"",IF($Z209&lt;&gt;Constants!$B$7,"",AH209))</f>
        <v/>
      </c>
      <c r="AR209" s="94" t="str">
        <f aca="false">IF(ISBLANK($C209),"",IF($Z209&lt;&gt;Constants!$B$7,"",IF(AH209=1,AB209,AE209)))</f>
        <v/>
      </c>
      <c r="AS209" s="95" t="str">
        <f aca="false">IF(ISBLANK($C209),"",IF($Z209&lt;&gt;Constants!$B$7,"",IF(AH209=1,AC209,AF209)))</f>
        <v/>
      </c>
      <c r="AT209" s="96" t="str">
        <f aca="false">IF(ISBLANK($C209),"",IF($Z209&lt;&gt;Constants!$B$7,$Z209,AJ209))</f>
        <v/>
      </c>
      <c r="AU209" s="97" t="str">
        <f aca="false">IF(ISBLANK($C209),"",IF($Z209&lt;&gt;Constants!$B$7,$Z209,AA209))</f>
        <v/>
      </c>
      <c r="AV209" s="98" t="str">
        <f aca="false">IF(ISBLANK($C209),"",AO209)</f>
        <v/>
      </c>
      <c r="AW209" s="98" t="str">
        <f aca="false">IF(ISBLANK($C209),"",AN209)</f>
        <v/>
      </c>
      <c r="AX209" s="99" t="str">
        <f aca="false">IF(ISBLANK($C209),"",IFERROR(_xlfn.SWITCH(AW209,Constants!$B$4,COUNTA($C$8:$C$507)+2,Constants!$B$5,COUNTA($C$8:$C$507)+1,Constants!$B$6,COUNTA($C$8:$C$507)),AW209))</f>
        <v/>
      </c>
      <c r="AY209" s="5"/>
      <c r="AZ209" s="100" t="n">
        <f aca="false">IF(OR(ISNUMBER(AW209),AW209=Constants!$B$4,AW209=Constants!$B$6,AW209=Constants!$B$5),1,0)</f>
        <v>0</v>
      </c>
      <c r="BA209" s="100" t="n">
        <v>202</v>
      </c>
      <c r="BB209" s="100" t="str">
        <f aca="false">IF(ISBLANK($C209),"",IF(ISNUMBER(AX209),AX209+ROW($B209)/1000,""))</f>
        <v/>
      </c>
      <c r="BC209" s="100" t="str">
        <f aca="false">IF(ISNUMBER(BB209),RANK(BB209,$BB$8:$BB$507,1),"")</f>
        <v/>
      </c>
      <c r="BD209" s="100" t="str">
        <f aca="false">IF(ISBLANK($C209),"",$B209)</f>
        <v/>
      </c>
      <c r="BE209" s="100" t="str">
        <f aca="false">IF(ISBLANK($C209),"",$C209)</f>
        <v/>
      </c>
      <c r="BF209" s="100" t="str">
        <f aca="false">IF(ISBLANK($C209),"",$D209)</f>
        <v/>
      </c>
      <c r="BG209" s="101" t="str">
        <f aca="false">AU209</f>
        <v/>
      </c>
      <c r="BH209" s="102" t="str">
        <f aca="false">AT209</f>
        <v/>
      </c>
      <c r="BI209" s="100" t="str">
        <f aca="false">IF(ISBLANK($C209),"",AW209)</f>
        <v/>
      </c>
      <c r="BJ209" s="103" t="str">
        <f aca="false">IF($BA209&gt;$AZ$7,"",VLOOKUP($BA209,$BC$8:$BI$507,7,FALSE()))</f>
        <v/>
      </c>
      <c r="BK209" s="104" t="str">
        <f aca="false">IF($BA209&gt;$AZ$7,"",VLOOKUP($BA209,$BC$8:$BI$507,2,FALSE()))</f>
        <v/>
      </c>
      <c r="BL209" s="104" t="str">
        <f aca="false">IF($BA209&gt;$AZ$7,"",VLOOKUP($BA209,$BC$8:$BI$507,3,FALSE()))</f>
        <v/>
      </c>
      <c r="BM209" s="104" t="str">
        <f aca="false">IF($BA209&gt;$AZ$7,"",VLOOKUP($BA209,$BC$8:$BI$507,4,FALSE()))</f>
        <v/>
      </c>
      <c r="BN209" s="104" t="str">
        <f aca="false">IF($BA209&gt;$AZ$7,"",VLOOKUP($BA209,$BC$8:$BI$507,5,FALSE()))</f>
        <v/>
      </c>
      <c r="BO209" s="105" t="str">
        <f aca="false">IF($BA209&gt;$AZ$7,"",VLOOKUP($BA209,$BC$8:$BI$507,6,FALSE()))</f>
        <v/>
      </c>
      <c r="BP209" s="52"/>
    </row>
    <row r="210" customFormat="false" ht="15.75" hidden="false" customHeight="false" outlineLevel="0" collapsed="false">
      <c r="A210" s="5"/>
      <c r="B210" s="114"/>
      <c r="C210" s="115"/>
      <c r="D210" s="106"/>
      <c r="E210" s="117"/>
      <c r="F210" s="87"/>
      <c r="G210" s="88"/>
      <c r="H210" s="88"/>
      <c r="I210" s="87"/>
      <c r="J210" s="88"/>
      <c r="K210" s="88"/>
      <c r="L210" s="87"/>
      <c r="M210" s="117"/>
      <c r="N210" s="90"/>
      <c r="O210" s="91" t="str">
        <f aca="false">IF(ISBLANK($C210),"",IF(E210=Constants!$B$2, TRUE(), IF(E210=Constants!$B$3, FALSE(), TRUE())))</f>
        <v/>
      </c>
      <c r="P210" s="91" t="str">
        <f aca="false">IF(ISBLANK($C210),"",IF(F210=Constants!$B$16,Constants!$B$9,IF(F210=Constants!$B$17,Constants!$B$10,Constants!$B$8)))</f>
        <v/>
      </c>
      <c r="Q210" s="91" t="str">
        <f aca="false">IF(ISBLANK($C210),"",IF(ISNUMBER(G210),IF(G210&gt;=0,G210,""),""))</f>
        <v/>
      </c>
      <c r="R210" s="91" t="str">
        <f aca="false">IF(ISBLANK($C210),"",IF(H210=Constants!$B$2, TRUE(), IF(H210=Constants!$B$3, FALSE(), TRUE())))</f>
        <v/>
      </c>
      <c r="S210" s="91" t="str">
        <f aca="false">IF(ISBLANK($C210),"",IF(I210=Constants!$B$2, TRUE(), IF(I210=Constants!$B$3, FALSE(), TRUE())))</f>
        <v/>
      </c>
      <c r="T210" s="91" t="str">
        <f aca="false">IF(ISBLANK($C210),"",IF(ISNUMBER(J210),IF(J210&gt;=0,J210,""),""))</f>
        <v/>
      </c>
      <c r="U210" s="91" t="str">
        <f aca="false">IF(ISBLANK($C210),"",IF(K210=Constants!$B$2, TRUE(), IF(K210=Constants!$B$3, FALSE(), TRUE())))</f>
        <v/>
      </c>
      <c r="V210" s="91" t="str">
        <f aca="false">IF(ISBLANK($C210),"",IF(L210=Constants!$B$2, TRUE(), IF(L210=Constants!$B$3, FALSE(), TRUE())))</f>
        <v/>
      </c>
      <c r="W210" s="91" t="str">
        <f aca="false">IF(ISBLANK($C210),"",IF(M210=Constants!$B$2, TRUE(), IF(M210=Constants!$B$3, FALSE(), FALSE())))</f>
        <v/>
      </c>
      <c r="X210" s="91" t="str">
        <f aca="false">IF(ISBLANK($C210),"",AND(Q210&lt;&gt;"",O210))</f>
        <v/>
      </c>
      <c r="Y210" s="91" t="str">
        <f aca="false">IF(ISBLANK($C210),"",AND(T210&lt;&gt;"",O210))</f>
        <v/>
      </c>
      <c r="Z210" s="91" t="str">
        <f aca="false">IF(ISBLANK($C210),"",IF(W210,Constants!$B$4,IF(COUNTA(E210:L210)=0,Constants!$B$5,IF(NOT(O210),Constants!$B$6,IF(AND(NOT(X210),NOT(Y210)),Constants!$B$6,Constants!$B$7)))))</f>
        <v/>
      </c>
      <c r="AA210" s="91" t="str">
        <f aca="false">IF(ISBLANK($C210),"",IF($Z210&lt;&gt;Constants!$B$7,$Z210,Constants!$B$20))</f>
        <v/>
      </c>
      <c r="AB210" s="91" t="str">
        <f aca="false">IF($Z210=Constants!$B$7,IF(X210,Q210,Constants!$B$13),"")</f>
        <v/>
      </c>
      <c r="AC210" s="91" t="str">
        <f aca="false">IF($Z210=Constants!$B$7,IF(X210,P210*IF(R210, 1, Constants!$B$11)*IF(S210, 1, Constants!$B$12),Constants!$B$13),"")</f>
        <v/>
      </c>
      <c r="AD210" s="91" t="str">
        <f aca="false">IF($Z210=Constants!$B$7,AB210*AC210,"")</f>
        <v/>
      </c>
      <c r="AE210" s="91" t="str">
        <f aca="false">IF($Z210=Constants!$B$7,IF(Y210,T210,Constants!$B$13),"")</f>
        <v/>
      </c>
      <c r="AF210" s="91" t="str">
        <f aca="false">IF($Z210=Constants!$B$7,IF(Y210,P210*IF(U210, 1, Constants!$B$11)*IF(V210, 1, Constants!$B$12),Constants!$B$13),"")</f>
        <v/>
      </c>
      <c r="AG210" s="91" t="str">
        <f aca="false">IF($Z210=Constants!$B$7,AE210*AF210,"")</f>
        <v/>
      </c>
      <c r="AH210" s="91" t="str">
        <f aca="false">IF($Z210=Constants!$B$7,IF(AG210&gt;AD210,2,1),"")</f>
        <v/>
      </c>
      <c r="AI210" s="91" t="str">
        <f aca="false">IF($Z210=Constants!$B$7,IF(AH210=1,2,1),"")</f>
        <v/>
      </c>
      <c r="AJ210" s="91" t="str">
        <f aca="false">IF(ISBLANK($C210),"",IF($Z210&lt;&gt;Constants!$B$7,$Z210,IF(AH210=1,AD210,AG210)))</f>
        <v/>
      </c>
      <c r="AK210" s="91" t="str">
        <f aca="false">IF(ISBLANK($C210),"",IF($Z210=Constants!$B$7,IF(ISNUMBER(AJ210),RANK(AJ210,$AJ$8:$AJ$507),Constants!$B$14),$Z210))</f>
        <v/>
      </c>
      <c r="AL210" s="91" t="str">
        <f aca="false">IF(ISBLANK($C210),"",IF($Z210=Constants!$B$7,IF(AI210=1,AD210,AG210),""))</f>
        <v/>
      </c>
      <c r="AM210" s="91" t="str">
        <f aca="false">IF(ISBLANK($C210),"",IF($Z210=Constants!$B$7,RANK(AL210,$AL$8:$AL$507),$Z210))</f>
        <v/>
      </c>
      <c r="AN210" s="91" t="str">
        <f aca="false">IF(ISBLANK($C210),"",IF($Z210=Constants!$B$7,IF(ISNUMBER(AK210),COUNTIFS($AK$8:$AK$507,"&lt;"&amp;$AK210)+COUNTIFS($AK$8:$AK$507,$AK210,$AM$8:$AM$507,"&lt;"&amp;$AM210)+1,Constants!$B$14),$Z210))</f>
        <v/>
      </c>
      <c r="AO210" s="91" t="str">
        <f aca="false">IF(ISBLANK($C210),"",IF($Z210=Constants!$B$7,IF(ISNUMBER(AK210),AK210-AN210,Constants!$B$14),$Z210))</f>
        <v/>
      </c>
      <c r="AP210" s="92"/>
      <c r="AQ210" s="93" t="str">
        <f aca="false">IF(ISBLANK($C210),"",IF($Z210&lt;&gt;Constants!$B$7,"",AH210))</f>
        <v/>
      </c>
      <c r="AR210" s="94" t="str">
        <f aca="false">IF(ISBLANK($C210),"",IF($Z210&lt;&gt;Constants!$B$7,"",IF(AH210=1,AB210,AE210)))</f>
        <v/>
      </c>
      <c r="AS210" s="95" t="str">
        <f aca="false">IF(ISBLANK($C210),"",IF($Z210&lt;&gt;Constants!$B$7,"",IF(AH210=1,AC210,AF210)))</f>
        <v/>
      </c>
      <c r="AT210" s="96" t="str">
        <f aca="false">IF(ISBLANK($C210),"",IF($Z210&lt;&gt;Constants!$B$7,$Z210,AJ210))</f>
        <v/>
      </c>
      <c r="AU210" s="97" t="str">
        <f aca="false">IF(ISBLANK($C210),"",IF($Z210&lt;&gt;Constants!$B$7,$Z210,AA210))</f>
        <v/>
      </c>
      <c r="AV210" s="98" t="str">
        <f aca="false">IF(ISBLANK($C210),"",AO210)</f>
        <v/>
      </c>
      <c r="AW210" s="98" t="str">
        <f aca="false">IF(ISBLANK($C210),"",AN210)</f>
        <v/>
      </c>
      <c r="AX210" s="99" t="str">
        <f aca="false">IF(ISBLANK($C210),"",IFERROR(_xlfn.SWITCH(AW210,Constants!$B$4,COUNTA($C$8:$C$507)+2,Constants!$B$5,COUNTA($C$8:$C$507)+1,Constants!$B$6,COUNTA($C$8:$C$507)),AW210))</f>
        <v/>
      </c>
      <c r="AY210" s="5"/>
      <c r="AZ210" s="100" t="n">
        <f aca="false">IF(OR(ISNUMBER(AW210),AW210=Constants!$B$4,AW210=Constants!$B$6,AW210=Constants!$B$5),1,0)</f>
        <v>0</v>
      </c>
      <c r="BA210" s="100" t="n">
        <v>203</v>
      </c>
      <c r="BB210" s="100" t="str">
        <f aca="false">IF(ISBLANK($C210),"",IF(ISNUMBER(AX210),AX210+ROW($B210)/1000,""))</f>
        <v/>
      </c>
      <c r="BC210" s="100" t="str">
        <f aca="false">IF(ISNUMBER(BB210),RANK(BB210,$BB$8:$BB$507,1),"")</f>
        <v/>
      </c>
      <c r="BD210" s="100" t="str">
        <f aca="false">IF(ISBLANK($C210),"",$B210)</f>
        <v/>
      </c>
      <c r="BE210" s="100" t="str">
        <f aca="false">IF(ISBLANK($C210),"",$C210)</f>
        <v/>
      </c>
      <c r="BF210" s="100" t="str">
        <f aca="false">IF(ISBLANK($C210),"",$D210)</f>
        <v/>
      </c>
      <c r="BG210" s="101" t="str">
        <f aca="false">AU210</f>
        <v/>
      </c>
      <c r="BH210" s="102" t="str">
        <f aca="false">AT210</f>
        <v/>
      </c>
      <c r="BI210" s="100" t="str">
        <f aca="false">IF(ISBLANK($C210),"",AW210)</f>
        <v/>
      </c>
      <c r="BJ210" s="103" t="str">
        <f aca="false">IF($BA210&gt;$AZ$7,"",VLOOKUP($BA210,$BC$8:$BI$507,7,FALSE()))</f>
        <v/>
      </c>
      <c r="BK210" s="104" t="str">
        <f aca="false">IF($BA210&gt;$AZ$7,"",VLOOKUP($BA210,$BC$8:$BI$507,2,FALSE()))</f>
        <v/>
      </c>
      <c r="BL210" s="104" t="str">
        <f aca="false">IF($BA210&gt;$AZ$7,"",VLOOKUP($BA210,$BC$8:$BI$507,3,FALSE()))</f>
        <v/>
      </c>
      <c r="BM210" s="104" t="str">
        <f aca="false">IF($BA210&gt;$AZ$7,"",VLOOKUP($BA210,$BC$8:$BI$507,4,FALSE()))</f>
        <v/>
      </c>
      <c r="BN210" s="104" t="str">
        <f aca="false">IF($BA210&gt;$AZ$7,"",VLOOKUP($BA210,$BC$8:$BI$507,5,FALSE()))</f>
        <v/>
      </c>
      <c r="BO210" s="105" t="str">
        <f aca="false">IF($BA210&gt;$AZ$7,"",VLOOKUP($BA210,$BC$8:$BI$507,6,FALSE()))</f>
        <v/>
      </c>
      <c r="BP210" s="52"/>
    </row>
    <row r="211" customFormat="false" ht="15.75" hidden="false" customHeight="false" outlineLevel="0" collapsed="false">
      <c r="A211" s="5"/>
      <c r="B211" s="114"/>
      <c r="C211" s="115"/>
      <c r="D211" s="106"/>
      <c r="E211" s="117"/>
      <c r="F211" s="87"/>
      <c r="G211" s="88"/>
      <c r="H211" s="88"/>
      <c r="I211" s="87"/>
      <c r="J211" s="88"/>
      <c r="K211" s="88"/>
      <c r="L211" s="87"/>
      <c r="M211" s="117"/>
      <c r="N211" s="90"/>
      <c r="O211" s="91" t="str">
        <f aca="false">IF(ISBLANK($C211),"",IF(E211=Constants!$B$2, TRUE(), IF(E211=Constants!$B$3, FALSE(), TRUE())))</f>
        <v/>
      </c>
      <c r="P211" s="91" t="str">
        <f aca="false">IF(ISBLANK($C211),"",IF(F211=Constants!$B$16,Constants!$B$9,IF(F211=Constants!$B$17,Constants!$B$10,Constants!$B$8)))</f>
        <v/>
      </c>
      <c r="Q211" s="91" t="str">
        <f aca="false">IF(ISBLANK($C211),"",IF(ISNUMBER(G211),IF(G211&gt;=0,G211,""),""))</f>
        <v/>
      </c>
      <c r="R211" s="91" t="str">
        <f aca="false">IF(ISBLANK($C211),"",IF(H211=Constants!$B$2, TRUE(), IF(H211=Constants!$B$3, FALSE(), TRUE())))</f>
        <v/>
      </c>
      <c r="S211" s="91" t="str">
        <f aca="false">IF(ISBLANK($C211),"",IF(I211=Constants!$B$2, TRUE(), IF(I211=Constants!$B$3, FALSE(), TRUE())))</f>
        <v/>
      </c>
      <c r="T211" s="91" t="str">
        <f aca="false">IF(ISBLANK($C211),"",IF(ISNUMBER(J211),IF(J211&gt;=0,J211,""),""))</f>
        <v/>
      </c>
      <c r="U211" s="91" t="str">
        <f aca="false">IF(ISBLANK($C211),"",IF(K211=Constants!$B$2, TRUE(), IF(K211=Constants!$B$3, FALSE(), TRUE())))</f>
        <v/>
      </c>
      <c r="V211" s="91" t="str">
        <f aca="false">IF(ISBLANK($C211),"",IF(L211=Constants!$B$2, TRUE(), IF(L211=Constants!$B$3, FALSE(), TRUE())))</f>
        <v/>
      </c>
      <c r="W211" s="91" t="str">
        <f aca="false">IF(ISBLANK($C211),"",IF(M211=Constants!$B$2, TRUE(), IF(M211=Constants!$B$3, FALSE(), FALSE())))</f>
        <v/>
      </c>
      <c r="X211" s="91" t="str">
        <f aca="false">IF(ISBLANK($C211),"",AND(Q211&lt;&gt;"",O211))</f>
        <v/>
      </c>
      <c r="Y211" s="91" t="str">
        <f aca="false">IF(ISBLANK($C211),"",AND(T211&lt;&gt;"",O211))</f>
        <v/>
      </c>
      <c r="Z211" s="91" t="str">
        <f aca="false">IF(ISBLANK($C211),"",IF(W211,Constants!$B$4,IF(COUNTA(E211:L211)=0,Constants!$B$5,IF(NOT(O211),Constants!$B$6,IF(AND(NOT(X211),NOT(Y211)),Constants!$B$6,Constants!$B$7)))))</f>
        <v/>
      </c>
      <c r="AA211" s="91" t="str">
        <f aca="false">IF(ISBLANK($C211),"",IF($Z211&lt;&gt;Constants!$B$7,$Z211,Constants!$B$20))</f>
        <v/>
      </c>
      <c r="AB211" s="91" t="str">
        <f aca="false">IF($Z211=Constants!$B$7,IF(X211,Q211,Constants!$B$13),"")</f>
        <v/>
      </c>
      <c r="AC211" s="91" t="str">
        <f aca="false">IF($Z211=Constants!$B$7,IF(X211,P211*IF(R211, 1, Constants!$B$11)*IF(S211, 1, Constants!$B$12),Constants!$B$13),"")</f>
        <v/>
      </c>
      <c r="AD211" s="91" t="str">
        <f aca="false">IF($Z211=Constants!$B$7,AB211*AC211,"")</f>
        <v/>
      </c>
      <c r="AE211" s="91" t="str">
        <f aca="false">IF($Z211=Constants!$B$7,IF(Y211,T211,Constants!$B$13),"")</f>
        <v/>
      </c>
      <c r="AF211" s="91" t="str">
        <f aca="false">IF($Z211=Constants!$B$7,IF(Y211,P211*IF(U211, 1, Constants!$B$11)*IF(V211, 1, Constants!$B$12),Constants!$B$13),"")</f>
        <v/>
      </c>
      <c r="AG211" s="91" t="str">
        <f aca="false">IF($Z211=Constants!$B$7,AE211*AF211,"")</f>
        <v/>
      </c>
      <c r="AH211" s="91" t="str">
        <f aca="false">IF($Z211=Constants!$B$7,IF(AG211&gt;AD211,2,1),"")</f>
        <v/>
      </c>
      <c r="AI211" s="91" t="str">
        <f aca="false">IF($Z211=Constants!$B$7,IF(AH211=1,2,1),"")</f>
        <v/>
      </c>
      <c r="AJ211" s="91" t="str">
        <f aca="false">IF(ISBLANK($C211),"",IF($Z211&lt;&gt;Constants!$B$7,$Z211,IF(AH211=1,AD211,AG211)))</f>
        <v/>
      </c>
      <c r="AK211" s="91" t="str">
        <f aca="false">IF(ISBLANK($C211),"",IF($Z211=Constants!$B$7,IF(ISNUMBER(AJ211),RANK(AJ211,$AJ$8:$AJ$507),Constants!$B$14),$Z211))</f>
        <v/>
      </c>
      <c r="AL211" s="91" t="str">
        <f aca="false">IF(ISBLANK($C211),"",IF($Z211=Constants!$B$7,IF(AI211=1,AD211,AG211),""))</f>
        <v/>
      </c>
      <c r="AM211" s="91" t="str">
        <f aca="false">IF(ISBLANK($C211),"",IF($Z211=Constants!$B$7,RANK(AL211,$AL$8:$AL$507),$Z211))</f>
        <v/>
      </c>
      <c r="AN211" s="91" t="str">
        <f aca="false">IF(ISBLANK($C211),"",IF($Z211=Constants!$B$7,IF(ISNUMBER(AK211),COUNTIFS($AK$8:$AK$507,"&lt;"&amp;$AK211)+COUNTIFS($AK$8:$AK$507,$AK211,$AM$8:$AM$507,"&lt;"&amp;$AM211)+1,Constants!$B$14),$Z211))</f>
        <v/>
      </c>
      <c r="AO211" s="91" t="str">
        <f aca="false">IF(ISBLANK($C211),"",IF($Z211=Constants!$B$7,IF(ISNUMBER(AK211),AK211-AN211,Constants!$B$14),$Z211))</f>
        <v/>
      </c>
      <c r="AP211" s="92"/>
      <c r="AQ211" s="93" t="str">
        <f aca="false">IF(ISBLANK($C211),"",IF($Z211&lt;&gt;Constants!$B$7,"",AH211))</f>
        <v/>
      </c>
      <c r="AR211" s="94" t="str">
        <f aca="false">IF(ISBLANK($C211),"",IF($Z211&lt;&gt;Constants!$B$7,"",IF(AH211=1,AB211,AE211)))</f>
        <v/>
      </c>
      <c r="AS211" s="95" t="str">
        <f aca="false">IF(ISBLANK($C211),"",IF($Z211&lt;&gt;Constants!$B$7,"",IF(AH211=1,AC211,AF211)))</f>
        <v/>
      </c>
      <c r="AT211" s="96" t="str">
        <f aca="false">IF(ISBLANK($C211),"",IF($Z211&lt;&gt;Constants!$B$7,$Z211,AJ211))</f>
        <v/>
      </c>
      <c r="AU211" s="97" t="str">
        <f aca="false">IF(ISBLANK($C211),"",IF($Z211&lt;&gt;Constants!$B$7,$Z211,AA211))</f>
        <v/>
      </c>
      <c r="AV211" s="98" t="str">
        <f aca="false">IF(ISBLANK($C211),"",AO211)</f>
        <v/>
      </c>
      <c r="AW211" s="98" t="str">
        <f aca="false">IF(ISBLANK($C211),"",AN211)</f>
        <v/>
      </c>
      <c r="AX211" s="99" t="str">
        <f aca="false">IF(ISBLANK($C211),"",IFERROR(_xlfn.SWITCH(AW211,Constants!$B$4,COUNTA($C$8:$C$507)+2,Constants!$B$5,COUNTA($C$8:$C$507)+1,Constants!$B$6,COUNTA($C$8:$C$507)),AW211))</f>
        <v/>
      </c>
      <c r="AY211" s="5"/>
      <c r="AZ211" s="100" t="n">
        <f aca="false">IF(OR(ISNUMBER(AW211),AW211=Constants!$B$4,AW211=Constants!$B$6,AW211=Constants!$B$5),1,0)</f>
        <v>0</v>
      </c>
      <c r="BA211" s="100" t="n">
        <v>204</v>
      </c>
      <c r="BB211" s="100" t="str">
        <f aca="false">IF(ISBLANK($C211),"",IF(ISNUMBER(AX211),AX211+ROW($B211)/1000,""))</f>
        <v/>
      </c>
      <c r="BC211" s="100" t="str">
        <f aca="false">IF(ISNUMBER(BB211),RANK(BB211,$BB$8:$BB$507,1),"")</f>
        <v/>
      </c>
      <c r="BD211" s="100" t="str">
        <f aca="false">IF(ISBLANK($C211),"",$B211)</f>
        <v/>
      </c>
      <c r="BE211" s="100" t="str">
        <f aca="false">IF(ISBLANK($C211),"",$C211)</f>
        <v/>
      </c>
      <c r="BF211" s="100" t="str">
        <f aca="false">IF(ISBLANK($C211),"",$D211)</f>
        <v/>
      </c>
      <c r="BG211" s="101" t="str">
        <f aca="false">AU211</f>
        <v/>
      </c>
      <c r="BH211" s="102" t="str">
        <f aca="false">AT211</f>
        <v/>
      </c>
      <c r="BI211" s="100" t="str">
        <f aca="false">IF(ISBLANK($C211),"",AW211)</f>
        <v/>
      </c>
      <c r="BJ211" s="103" t="str">
        <f aca="false">IF($BA211&gt;$AZ$7,"",VLOOKUP($BA211,$BC$8:$BI$507,7,FALSE()))</f>
        <v/>
      </c>
      <c r="BK211" s="104" t="str">
        <f aca="false">IF($BA211&gt;$AZ$7,"",VLOOKUP($BA211,$BC$8:$BI$507,2,FALSE()))</f>
        <v/>
      </c>
      <c r="BL211" s="104" t="str">
        <f aca="false">IF($BA211&gt;$AZ$7,"",VLOOKUP($BA211,$BC$8:$BI$507,3,FALSE()))</f>
        <v/>
      </c>
      <c r="BM211" s="104" t="str">
        <f aca="false">IF($BA211&gt;$AZ$7,"",VLOOKUP($BA211,$BC$8:$BI$507,4,FALSE()))</f>
        <v/>
      </c>
      <c r="BN211" s="104" t="str">
        <f aca="false">IF($BA211&gt;$AZ$7,"",VLOOKUP($BA211,$BC$8:$BI$507,5,FALSE()))</f>
        <v/>
      </c>
      <c r="BO211" s="105" t="str">
        <f aca="false">IF($BA211&gt;$AZ$7,"",VLOOKUP($BA211,$BC$8:$BI$507,6,FALSE()))</f>
        <v/>
      </c>
      <c r="BP211" s="52"/>
    </row>
    <row r="212" customFormat="false" ht="15.75" hidden="false" customHeight="false" outlineLevel="0" collapsed="false">
      <c r="A212" s="5"/>
      <c r="B212" s="118"/>
      <c r="C212" s="54"/>
      <c r="D212" s="55"/>
      <c r="E212" s="79"/>
      <c r="F212" s="57"/>
      <c r="G212" s="58"/>
      <c r="H212" s="58"/>
      <c r="I212" s="57"/>
      <c r="J212" s="58"/>
      <c r="K212" s="58"/>
      <c r="L212" s="57"/>
      <c r="M212" s="79"/>
      <c r="N212" s="60"/>
      <c r="O212" s="62" t="str">
        <f aca="false">IF(ISBLANK($C212),"",IF(E212=Constants!$B$2, TRUE(), IF(E212=Constants!$B$3, FALSE(), TRUE())))</f>
        <v/>
      </c>
      <c r="P212" s="62" t="str">
        <f aca="false">IF(ISBLANK($C212),"",IF(F212=Constants!$B$16,Constants!$B$9,IF(F212=Constants!$B$17,Constants!$B$10,Constants!$B$8)))</f>
        <v/>
      </c>
      <c r="Q212" s="62" t="str">
        <f aca="false">IF(ISBLANK($C212),"",IF(ISNUMBER(G212),IF(G212&gt;=0,G212,""),""))</f>
        <v/>
      </c>
      <c r="R212" s="62" t="str">
        <f aca="false">IF(ISBLANK($C212),"",IF(H212=Constants!$B$2, TRUE(), IF(H212=Constants!$B$3, FALSE(), TRUE())))</f>
        <v/>
      </c>
      <c r="S212" s="62" t="str">
        <f aca="false">IF(ISBLANK($C212),"",IF(I212=Constants!$B$2, TRUE(), IF(I212=Constants!$B$3, FALSE(), TRUE())))</f>
        <v/>
      </c>
      <c r="T212" s="62" t="str">
        <f aca="false">IF(ISBLANK($C212),"",IF(ISNUMBER(J212),IF(J212&gt;=0,J212,""),""))</f>
        <v/>
      </c>
      <c r="U212" s="62" t="str">
        <f aca="false">IF(ISBLANK($C212),"",IF(K212=Constants!$B$2, TRUE(), IF(K212=Constants!$B$3, FALSE(), TRUE())))</f>
        <v/>
      </c>
      <c r="V212" s="62" t="str">
        <f aca="false">IF(ISBLANK($C212),"",IF(L212=Constants!$B$2, TRUE(), IF(L212=Constants!$B$3, FALSE(), TRUE())))</f>
        <v/>
      </c>
      <c r="W212" s="62" t="str">
        <f aca="false">IF(ISBLANK($C212),"",IF(M212=Constants!$B$2, TRUE(), IF(M212=Constants!$B$3, FALSE(), FALSE())))</f>
        <v/>
      </c>
      <c r="X212" s="62" t="str">
        <f aca="false">IF(ISBLANK($C212),"",AND(Q212&lt;&gt;"",O212))</f>
        <v/>
      </c>
      <c r="Y212" s="62" t="str">
        <f aca="false">IF(ISBLANK($C212),"",AND(T212&lt;&gt;"",O212))</f>
        <v/>
      </c>
      <c r="Z212" s="62" t="str">
        <f aca="false">IF(ISBLANK($C212),"",IF(W212,Constants!$B$4,IF(COUNTA(E212:L212)=0,Constants!$B$5,IF(NOT(O212),Constants!$B$6,IF(AND(NOT(X212),NOT(Y212)),Constants!$B$6,Constants!$B$7)))))</f>
        <v/>
      </c>
      <c r="AA212" s="62" t="str">
        <f aca="false">IF(ISBLANK($C212),"",IF($Z212&lt;&gt;Constants!$B$7,$Z212,Constants!$B$20))</f>
        <v/>
      </c>
      <c r="AB212" s="62" t="str">
        <f aca="false">IF($Z212=Constants!$B$7,IF(X212,Q212,Constants!$B$13),"")</f>
        <v/>
      </c>
      <c r="AC212" s="62" t="str">
        <f aca="false">IF($Z212=Constants!$B$7,IF(X212,P212*IF(R212, 1, Constants!$B$11)*IF(S212, 1, Constants!$B$12),Constants!$B$13),"")</f>
        <v/>
      </c>
      <c r="AD212" s="62" t="str">
        <f aca="false">IF($Z212=Constants!$B$7,AB212*AC212,"")</f>
        <v/>
      </c>
      <c r="AE212" s="62" t="str">
        <f aca="false">IF($Z212=Constants!$B$7,IF(Y212,T212,Constants!$B$13),"")</f>
        <v/>
      </c>
      <c r="AF212" s="62" t="str">
        <f aca="false">IF($Z212=Constants!$B$7,IF(Y212,P212*IF(U212, 1, Constants!$B$11)*IF(V212, 1, Constants!$B$12),Constants!$B$13),"")</f>
        <v/>
      </c>
      <c r="AG212" s="62" t="str">
        <f aca="false">IF($Z212=Constants!$B$7,AE212*AF212,"")</f>
        <v/>
      </c>
      <c r="AH212" s="62" t="str">
        <f aca="false">IF($Z212=Constants!$B$7,IF(AG212&gt;AD212,2,1),"")</f>
        <v/>
      </c>
      <c r="AI212" s="62" t="str">
        <f aca="false">IF($Z212=Constants!$B$7,IF(AH212=1,2,1),"")</f>
        <v/>
      </c>
      <c r="AJ212" s="62" t="str">
        <f aca="false">IF(ISBLANK($C212),"",IF($Z212&lt;&gt;Constants!$B$7,$Z212,IF(AH212=1,AD212,AG212)))</f>
        <v/>
      </c>
      <c r="AK212" s="62" t="str">
        <f aca="false">IF(ISBLANK($C212),"",IF($Z212=Constants!$B$7,IF(ISNUMBER(AJ212),RANK(AJ212,$AJ$8:$AJ$507),Constants!$B$14),$Z212))</f>
        <v/>
      </c>
      <c r="AL212" s="62" t="str">
        <f aca="false">IF(ISBLANK($C212),"",IF($Z212=Constants!$B$7,IF(AI212=1,AD212,AG212),""))</f>
        <v/>
      </c>
      <c r="AM212" s="62" t="str">
        <f aca="false">IF(ISBLANK($C212),"",IF($Z212=Constants!$B$7,RANK(AL212,$AL$8:$AL$507),$Z212))</f>
        <v/>
      </c>
      <c r="AN212" s="62" t="str">
        <f aca="false">IF(ISBLANK($C212),"",IF($Z212=Constants!$B$7,IF(ISNUMBER(AK212),COUNTIFS($AK$8:$AK$507,"&lt;"&amp;$AK212)+COUNTIFS($AK$8:$AK$507,$AK212,$AM$8:$AM$507,"&lt;"&amp;$AM212)+1,Constants!$B$14),$Z212))</f>
        <v/>
      </c>
      <c r="AO212" s="62" t="str">
        <f aca="false">IF(ISBLANK($C212),"",IF($Z212=Constants!$B$7,IF(ISNUMBER(AK212),AK212-AN212,Constants!$B$14),$Z212))</f>
        <v/>
      </c>
      <c r="AP212" s="64"/>
      <c r="AQ212" s="65" t="str">
        <f aca="false">IF(ISBLANK($C212),"",IF($Z212&lt;&gt;Constants!$B$7,"",AH212))</f>
        <v/>
      </c>
      <c r="AR212" s="80" t="str">
        <f aca="false">IF(ISBLANK($C212),"",IF($Z212&lt;&gt;Constants!$B$7,"",IF(AH212=1,AB212,AE212)))</f>
        <v/>
      </c>
      <c r="AS212" s="67" t="str">
        <f aca="false">IF(ISBLANK($C212),"",IF($Z212&lt;&gt;Constants!$B$7,"",IF(AH212=1,AC212,AF212)))</f>
        <v/>
      </c>
      <c r="AT212" s="68" t="str">
        <f aca="false">IF(ISBLANK($C212),"",IF($Z212&lt;&gt;Constants!$B$7,$Z212,AJ212))</f>
        <v/>
      </c>
      <c r="AU212" s="69" t="str">
        <f aca="false">IF(ISBLANK($C212),"",IF($Z212&lt;&gt;Constants!$B$7,$Z212,AA212))</f>
        <v/>
      </c>
      <c r="AV212" s="70" t="str">
        <f aca="false">IF(ISBLANK($C212),"",AO212)</f>
        <v/>
      </c>
      <c r="AW212" s="70" t="str">
        <f aca="false">IF(ISBLANK($C212),"",AN212)</f>
        <v/>
      </c>
      <c r="AX212" s="71" t="str">
        <f aca="false">IF(ISBLANK($C212),"",IFERROR(_xlfn.SWITCH(AW212,Constants!$B$4,COUNTA($C$8:$C$507)+2,Constants!$B$5,COUNTA($C$8:$C$507)+1,Constants!$B$6,COUNTA($C$8:$C$507)),AW212))</f>
        <v/>
      </c>
      <c r="AY212" s="5"/>
      <c r="AZ212" s="72" t="n">
        <f aca="false">IF(OR(ISNUMBER(AW212),AW212=Constants!$B$4,AW212=Constants!$B$6,AW212=Constants!$B$5),1,0)</f>
        <v>0</v>
      </c>
      <c r="BA212" s="72" t="n">
        <v>205</v>
      </c>
      <c r="BB212" s="72" t="str">
        <f aca="false">IF(ISBLANK($C212),"",IF(ISNUMBER(AX212),AX212+ROW($B212)/1000,""))</f>
        <v/>
      </c>
      <c r="BC212" s="72" t="str">
        <f aca="false">IF(ISNUMBER(BB212),RANK(BB212,$BB$8:$BB$507,1),"")</f>
        <v/>
      </c>
      <c r="BD212" s="72" t="str">
        <f aca="false">IF(ISBLANK($C212),"",$B212)</f>
        <v/>
      </c>
      <c r="BE212" s="72" t="str">
        <f aca="false">IF(ISBLANK($C212),"",$C212)</f>
        <v/>
      </c>
      <c r="BF212" s="72" t="str">
        <f aca="false">IF(ISBLANK($C212),"",$D212)</f>
        <v/>
      </c>
      <c r="BG212" s="73" t="str">
        <f aca="false">AU212</f>
        <v/>
      </c>
      <c r="BH212" s="74" t="str">
        <f aca="false">AT212</f>
        <v/>
      </c>
      <c r="BI212" s="72" t="str">
        <f aca="false">IF(ISBLANK($C212),"",AW212)</f>
        <v/>
      </c>
      <c r="BJ212" s="75" t="str">
        <f aca="false">IF($BA212&gt;$AZ$7,"",VLOOKUP($BA212,$BC$8:$BI$507,7,FALSE()))</f>
        <v/>
      </c>
      <c r="BK212" s="76" t="str">
        <f aca="false">IF($BA212&gt;$AZ$7,"",VLOOKUP($BA212,$BC$8:$BI$507,2,FALSE()))</f>
        <v/>
      </c>
      <c r="BL212" s="76" t="str">
        <f aca="false">IF($BA212&gt;$AZ$7,"",VLOOKUP($BA212,$BC$8:$BI$507,3,FALSE()))</f>
        <v/>
      </c>
      <c r="BM212" s="76" t="str">
        <f aca="false">IF($BA212&gt;$AZ$7,"",VLOOKUP($BA212,$BC$8:$BI$507,4,FALSE()))</f>
        <v/>
      </c>
      <c r="BN212" s="76" t="str">
        <f aca="false">IF($BA212&gt;$AZ$7,"",VLOOKUP($BA212,$BC$8:$BI$507,5,FALSE()))</f>
        <v/>
      </c>
      <c r="BO212" s="77" t="str">
        <f aca="false">IF($BA212&gt;$AZ$7,"",VLOOKUP($BA212,$BC$8:$BI$507,6,FALSE()))</f>
        <v/>
      </c>
      <c r="BP212" s="52"/>
    </row>
    <row r="213" customFormat="false" ht="15.75" hidden="false" customHeight="false" outlineLevel="0" collapsed="false">
      <c r="A213" s="5"/>
      <c r="B213" s="118"/>
      <c r="C213" s="54"/>
      <c r="D213" s="55"/>
      <c r="E213" s="79"/>
      <c r="F213" s="57"/>
      <c r="G213" s="58"/>
      <c r="H213" s="58"/>
      <c r="I213" s="57"/>
      <c r="J213" s="58"/>
      <c r="K213" s="58"/>
      <c r="L213" s="57"/>
      <c r="M213" s="79"/>
      <c r="N213" s="60"/>
      <c r="O213" s="62" t="str">
        <f aca="false">IF(ISBLANK($C213),"",IF(E213=Constants!$B$2, TRUE(), IF(E213=Constants!$B$3, FALSE(), TRUE())))</f>
        <v/>
      </c>
      <c r="P213" s="62" t="str">
        <f aca="false">IF(ISBLANK($C213),"",IF(F213=Constants!$B$16,Constants!$B$9,IF(F213=Constants!$B$17,Constants!$B$10,Constants!$B$8)))</f>
        <v/>
      </c>
      <c r="Q213" s="62" t="str">
        <f aca="false">IF(ISBLANK($C213),"",IF(ISNUMBER(G213),IF(G213&gt;=0,G213,""),""))</f>
        <v/>
      </c>
      <c r="R213" s="62" t="str">
        <f aca="false">IF(ISBLANK($C213),"",IF(H213=Constants!$B$2, TRUE(), IF(H213=Constants!$B$3, FALSE(), TRUE())))</f>
        <v/>
      </c>
      <c r="S213" s="62" t="str">
        <f aca="false">IF(ISBLANK($C213),"",IF(I213=Constants!$B$2, TRUE(), IF(I213=Constants!$B$3, FALSE(), TRUE())))</f>
        <v/>
      </c>
      <c r="T213" s="62" t="str">
        <f aca="false">IF(ISBLANK($C213),"",IF(ISNUMBER(J213),IF(J213&gt;=0,J213,""),""))</f>
        <v/>
      </c>
      <c r="U213" s="62" t="str">
        <f aca="false">IF(ISBLANK($C213),"",IF(K213=Constants!$B$2, TRUE(), IF(K213=Constants!$B$3, FALSE(), TRUE())))</f>
        <v/>
      </c>
      <c r="V213" s="62" t="str">
        <f aca="false">IF(ISBLANK($C213),"",IF(L213=Constants!$B$2, TRUE(), IF(L213=Constants!$B$3, FALSE(), TRUE())))</f>
        <v/>
      </c>
      <c r="W213" s="62" t="str">
        <f aca="false">IF(ISBLANK($C213),"",IF(M213=Constants!$B$2, TRUE(), IF(M213=Constants!$B$3, FALSE(), FALSE())))</f>
        <v/>
      </c>
      <c r="X213" s="62" t="str">
        <f aca="false">IF(ISBLANK($C213),"",AND(Q213&lt;&gt;"",O213))</f>
        <v/>
      </c>
      <c r="Y213" s="62" t="str">
        <f aca="false">IF(ISBLANK($C213),"",AND(T213&lt;&gt;"",O213))</f>
        <v/>
      </c>
      <c r="Z213" s="62" t="str">
        <f aca="false">IF(ISBLANK($C213),"",IF(W213,Constants!$B$4,IF(COUNTA(E213:L213)=0,Constants!$B$5,IF(NOT(O213),Constants!$B$6,IF(AND(NOT(X213),NOT(Y213)),Constants!$B$6,Constants!$B$7)))))</f>
        <v/>
      </c>
      <c r="AA213" s="62" t="str">
        <f aca="false">IF(ISBLANK($C213),"",IF($Z213&lt;&gt;Constants!$B$7,$Z213,Constants!$B$20))</f>
        <v/>
      </c>
      <c r="AB213" s="62" t="str">
        <f aca="false">IF($Z213=Constants!$B$7,IF(X213,Q213,Constants!$B$13),"")</f>
        <v/>
      </c>
      <c r="AC213" s="62" t="str">
        <f aca="false">IF($Z213=Constants!$B$7,IF(X213,P213*IF(R213, 1, Constants!$B$11)*IF(S213, 1, Constants!$B$12),Constants!$B$13),"")</f>
        <v/>
      </c>
      <c r="AD213" s="62" t="str">
        <f aca="false">IF($Z213=Constants!$B$7,AB213*AC213,"")</f>
        <v/>
      </c>
      <c r="AE213" s="62" t="str">
        <f aca="false">IF($Z213=Constants!$B$7,IF(Y213,T213,Constants!$B$13),"")</f>
        <v/>
      </c>
      <c r="AF213" s="62" t="str">
        <f aca="false">IF($Z213=Constants!$B$7,IF(Y213,P213*IF(U213, 1, Constants!$B$11)*IF(V213, 1, Constants!$B$12),Constants!$B$13),"")</f>
        <v/>
      </c>
      <c r="AG213" s="62" t="str">
        <f aca="false">IF($Z213=Constants!$B$7,AE213*AF213,"")</f>
        <v/>
      </c>
      <c r="AH213" s="62" t="str">
        <f aca="false">IF($Z213=Constants!$B$7,IF(AG213&gt;AD213,2,1),"")</f>
        <v/>
      </c>
      <c r="AI213" s="62" t="str">
        <f aca="false">IF($Z213=Constants!$B$7,IF(AH213=1,2,1),"")</f>
        <v/>
      </c>
      <c r="AJ213" s="62" t="str">
        <f aca="false">IF(ISBLANK($C213),"",IF($Z213&lt;&gt;Constants!$B$7,$Z213,IF(AH213=1,AD213,AG213)))</f>
        <v/>
      </c>
      <c r="AK213" s="62" t="str">
        <f aca="false">IF(ISBLANK($C213),"",IF($Z213=Constants!$B$7,IF(ISNUMBER(AJ213),RANK(AJ213,$AJ$8:$AJ$507),Constants!$B$14),$Z213))</f>
        <v/>
      </c>
      <c r="AL213" s="62" t="str">
        <f aca="false">IF(ISBLANK($C213),"",IF($Z213=Constants!$B$7,IF(AI213=1,AD213,AG213),""))</f>
        <v/>
      </c>
      <c r="AM213" s="62" t="str">
        <f aca="false">IF(ISBLANK($C213),"",IF($Z213=Constants!$B$7,RANK(AL213,$AL$8:$AL$507),$Z213))</f>
        <v/>
      </c>
      <c r="AN213" s="62" t="str">
        <f aca="false">IF(ISBLANK($C213),"",IF($Z213=Constants!$B$7,IF(ISNUMBER(AK213),COUNTIFS($AK$8:$AK$507,"&lt;"&amp;$AK213)+COUNTIFS($AK$8:$AK$507,$AK213,$AM$8:$AM$507,"&lt;"&amp;$AM213)+1,Constants!$B$14),$Z213))</f>
        <v/>
      </c>
      <c r="AO213" s="62" t="str">
        <f aca="false">IF(ISBLANK($C213),"",IF($Z213=Constants!$B$7,IF(ISNUMBER(AK213),AK213-AN213,Constants!$B$14),$Z213))</f>
        <v/>
      </c>
      <c r="AP213" s="64"/>
      <c r="AQ213" s="65" t="str">
        <f aca="false">IF(ISBLANK($C213),"",IF($Z213&lt;&gt;Constants!$B$7,"",AH213))</f>
        <v/>
      </c>
      <c r="AR213" s="80" t="str">
        <f aca="false">IF(ISBLANK($C213),"",IF($Z213&lt;&gt;Constants!$B$7,"",IF(AH213=1,AB213,AE213)))</f>
        <v/>
      </c>
      <c r="AS213" s="67" t="str">
        <f aca="false">IF(ISBLANK($C213),"",IF($Z213&lt;&gt;Constants!$B$7,"",IF(AH213=1,AC213,AF213)))</f>
        <v/>
      </c>
      <c r="AT213" s="68" t="str">
        <f aca="false">IF(ISBLANK($C213),"",IF($Z213&lt;&gt;Constants!$B$7,$Z213,AJ213))</f>
        <v/>
      </c>
      <c r="AU213" s="69" t="str">
        <f aca="false">IF(ISBLANK($C213),"",IF($Z213&lt;&gt;Constants!$B$7,$Z213,AA213))</f>
        <v/>
      </c>
      <c r="AV213" s="70" t="str">
        <f aca="false">IF(ISBLANK($C213),"",AO213)</f>
        <v/>
      </c>
      <c r="AW213" s="70" t="str">
        <f aca="false">IF(ISBLANK($C213),"",AN213)</f>
        <v/>
      </c>
      <c r="AX213" s="71" t="str">
        <f aca="false">IF(ISBLANK($C213),"",IFERROR(_xlfn.SWITCH(AW213,Constants!$B$4,COUNTA($C$8:$C$507)+2,Constants!$B$5,COUNTA($C$8:$C$507)+1,Constants!$B$6,COUNTA($C$8:$C$507)),AW213))</f>
        <v/>
      </c>
      <c r="AY213" s="5"/>
      <c r="AZ213" s="72" t="n">
        <f aca="false">IF(OR(ISNUMBER(AW213),AW213=Constants!$B$4,AW213=Constants!$B$6,AW213=Constants!$B$5),1,0)</f>
        <v>0</v>
      </c>
      <c r="BA213" s="72" t="n">
        <v>206</v>
      </c>
      <c r="BB213" s="72" t="str">
        <f aca="false">IF(ISBLANK($C213),"",IF(ISNUMBER(AX213),AX213+ROW($B213)/1000,""))</f>
        <v/>
      </c>
      <c r="BC213" s="72" t="str">
        <f aca="false">IF(ISNUMBER(BB213),RANK(BB213,$BB$8:$BB$507,1),"")</f>
        <v/>
      </c>
      <c r="BD213" s="72" t="str">
        <f aca="false">IF(ISBLANK($C213),"",$B213)</f>
        <v/>
      </c>
      <c r="BE213" s="72" t="str">
        <f aca="false">IF(ISBLANK($C213),"",$C213)</f>
        <v/>
      </c>
      <c r="BF213" s="72" t="str">
        <f aca="false">IF(ISBLANK($C213),"",$D213)</f>
        <v/>
      </c>
      <c r="BG213" s="73" t="str">
        <f aca="false">AU213</f>
        <v/>
      </c>
      <c r="BH213" s="74" t="str">
        <f aca="false">AT213</f>
        <v/>
      </c>
      <c r="BI213" s="72" t="str">
        <f aca="false">IF(ISBLANK($C213),"",AW213)</f>
        <v/>
      </c>
      <c r="BJ213" s="75" t="str">
        <f aca="false">IF($BA213&gt;$AZ$7,"",VLOOKUP($BA213,$BC$8:$BI$507,7,FALSE()))</f>
        <v/>
      </c>
      <c r="BK213" s="76" t="str">
        <f aca="false">IF($BA213&gt;$AZ$7,"",VLOOKUP($BA213,$BC$8:$BI$507,2,FALSE()))</f>
        <v/>
      </c>
      <c r="BL213" s="76" t="str">
        <f aca="false">IF($BA213&gt;$AZ$7,"",VLOOKUP($BA213,$BC$8:$BI$507,3,FALSE()))</f>
        <v/>
      </c>
      <c r="BM213" s="76" t="str">
        <f aca="false">IF($BA213&gt;$AZ$7,"",VLOOKUP($BA213,$BC$8:$BI$507,4,FALSE()))</f>
        <v/>
      </c>
      <c r="BN213" s="76" t="str">
        <f aca="false">IF($BA213&gt;$AZ$7,"",VLOOKUP($BA213,$BC$8:$BI$507,5,FALSE()))</f>
        <v/>
      </c>
      <c r="BO213" s="77" t="str">
        <f aca="false">IF($BA213&gt;$AZ$7,"",VLOOKUP($BA213,$BC$8:$BI$507,6,FALSE()))</f>
        <v/>
      </c>
      <c r="BP213" s="52"/>
    </row>
    <row r="214" customFormat="false" ht="15.75" hidden="false" customHeight="false" outlineLevel="0" collapsed="false">
      <c r="A214" s="5"/>
      <c r="B214" s="118"/>
      <c r="C214" s="54"/>
      <c r="D214" s="55"/>
      <c r="E214" s="79"/>
      <c r="F214" s="57"/>
      <c r="G214" s="58"/>
      <c r="H214" s="58"/>
      <c r="I214" s="57"/>
      <c r="J214" s="58"/>
      <c r="K214" s="58"/>
      <c r="L214" s="57"/>
      <c r="M214" s="79"/>
      <c r="N214" s="60"/>
      <c r="O214" s="62" t="str">
        <f aca="false">IF(ISBLANK($C214),"",IF(E214=Constants!$B$2, TRUE(), IF(E214=Constants!$B$3, FALSE(), TRUE())))</f>
        <v/>
      </c>
      <c r="P214" s="62" t="str">
        <f aca="false">IF(ISBLANK($C214),"",IF(F214=Constants!$B$16,Constants!$B$9,IF(F214=Constants!$B$17,Constants!$B$10,Constants!$B$8)))</f>
        <v/>
      </c>
      <c r="Q214" s="62" t="str">
        <f aca="false">IF(ISBLANK($C214),"",IF(ISNUMBER(G214),IF(G214&gt;=0,G214,""),""))</f>
        <v/>
      </c>
      <c r="R214" s="62" t="str">
        <f aca="false">IF(ISBLANK($C214),"",IF(H214=Constants!$B$2, TRUE(), IF(H214=Constants!$B$3, FALSE(), TRUE())))</f>
        <v/>
      </c>
      <c r="S214" s="62" t="str">
        <f aca="false">IF(ISBLANK($C214),"",IF(I214=Constants!$B$2, TRUE(), IF(I214=Constants!$B$3, FALSE(), TRUE())))</f>
        <v/>
      </c>
      <c r="T214" s="62" t="str">
        <f aca="false">IF(ISBLANK($C214),"",IF(ISNUMBER(J214),IF(J214&gt;=0,J214,""),""))</f>
        <v/>
      </c>
      <c r="U214" s="62" t="str">
        <f aca="false">IF(ISBLANK($C214),"",IF(K214=Constants!$B$2, TRUE(), IF(K214=Constants!$B$3, FALSE(), TRUE())))</f>
        <v/>
      </c>
      <c r="V214" s="62" t="str">
        <f aca="false">IF(ISBLANK($C214),"",IF(L214=Constants!$B$2, TRUE(), IF(L214=Constants!$B$3, FALSE(), TRUE())))</f>
        <v/>
      </c>
      <c r="W214" s="62" t="str">
        <f aca="false">IF(ISBLANK($C214),"",IF(M214=Constants!$B$2, TRUE(), IF(M214=Constants!$B$3, FALSE(), FALSE())))</f>
        <v/>
      </c>
      <c r="X214" s="62" t="str">
        <f aca="false">IF(ISBLANK($C214),"",AND(Q214&lt;&gt;"",O214))</f>
        <v/>
      </c>
      <c r="Y214" s="62" t="str">
        <f aca="false">IF(ISBLANK($C214),"",AND(T214&lt;&gt;"",O214))</f>
        <v/>
      </c>
      <c r="Z214" s="62" t="str">
        <f aca="false">IF(ISBLANK($C214),"",IF(W214,Constants!$B$4,IF(COUNTA(E214:L214)=0,Constants!$B$5,IF(NOT(O214),Constants!$B$6,IF(AND(NOT(X214),NOT(Y214)),Constants!$B$6,Constants!$B$7)))))</f>
        <v/>
      </c>
      <c r="AA214" s="62" t="str">
        <f aca="false">IF(ISBLANK($C214),"",IF($Z214&lt;&gt;Constants!$B$7,$Z214,Constants!$B$20))</f>
        <v/>
      </c>
      <c r="AB214" s="62" t="str">
        <f aca="false">IF($Z214=Constants!$B$7,IF(X214,Q214,Constants!$B$13),"")</f>
        <v/>
      </c>
      <c r="AC214" s="62" t="str">
        <f aca="false">IF($Z214=Constants!$B$7,IF(X214,P214*IF(R214, 1, Constants!$B$11)*IF(S214, 1, Constants!$B$12),Constants!$B$13),"")</f>
        <v/>
      </c>
      <c r="AD214" s="62" t="str">
        <f aca="false">IF($Z214=Constants!$B$7,AB214*AC214,"")</f>
        <v/>
      </c>
      <c r="AE214" s="62" t="str">
        <f aca="false">IF($Z214=Constants!$B$7,IF(Y214,T214,Constants!$B$13),"")</f>
        <v/>
      </c>
      <c r="AF214" s="62" t="str">
        <f aca="false">IF($Z214=Constants!$B$7,IF(Y214,P214*IF(U214, 1, Constants!$B$11)*IF(V214, 1, Constants!$B$12),Constants!$B$13),"")</f>
        <v/>
      </c>
      <c r="AG214" s="62" t="str">
        <f aca="false">IF($Z214=Constants!$B$7,AE214*AF214,"")</f>
        <v/>
      </c>
      <c r="AH214" s="62" t="str">
        <f aca="false">IF($Z214=Constants!$B$7,IF(AG214&gt;AD214,2,1),"")</f>
        <v/>
      </c>
      <c r="AI214" s="62" t="str">
        <f aca="false">IF($Z214=Constants!$B$7,IF(AH214=1,2,1),"")</f>
        <v/>
      </c>
      <c r="AJ214" s="62" t="str">
        <f aca="false">IF(ISBLANK($C214),"",IF($Z214&lt;&gt;Constants!$B$7,$Z214,IF(AH214=1,AD214,AG214)))</f>
        <v/>
      </c>
      <c r="AK214" s="62" t="str">
        <f aca="false">IF(ISBLANK($C214),"",IF($Z214=Constants!$B$7,IF(ISNUMBER(AJ214),RANK(AJ214,$AJ$8:$AJ$507),Constants!$B$14),$Z214))</f>
        <v/>
      </c>
      <c r="AL214" s="62" t="str">
        <f aca="false">IF(ISBLANK($C214),"",IF($Z214=Constants!$B$7,IF(AI214=1,AD214,AG214),""))</f>
        <v/>
      </c>
      <c r="AM214" s="62" t="str">
        <f aca="false">IF(ISBLANK($C214),"",IF($Z214=Constants!$B$7,RANK(AL214,$AL$8:$AL$507),$Z214))</f>
        <v/>
      </c>
      <c r="AN214" s="62" t="str">
        <f aca="false">IF(ISBLANK($C214),"",IF($Z214=Constants!$B$7,IF(ISNUMBER(AK214),COUNTIFS($AK$8:$AK$507,"&lt;"&amp;$AK214)+COUNTIFS($AK$8:$AK$507,$AK214,$AM$8:$AM$507,"&lt;"&amp;$AM214)+1,Constants!$B$14),$Z214))</f>
        <v/>
      </c>
      <c r="AO214" s="62" t="str">
        <f aca="false">IF(ISBLANK($C214),"",IF($Z214=Constants!$B$7,IF(ISNUMBER(AK214),AK214-AN214,Constants!$B$14),$Z214))</f>
        <v/>
      </c>
      <c r="AP214" s="64"/>
      <c r="AQ214" s="65" t="str">
        <f aca="false">IF(ISBLANK($C214),"",IF($Z214&lt;&gt;Constants!$B$7,"",AH214))</f>
        <v/>
      </c>
      <c r="AR214" s="80" t="str">
        <f aca="false">IF(ISBLANK($C214),"",IF($Z214&lt;&gt;Constants!$B$7,"",IF(AH214=1,AB214,AE214)))</f>
        <v/>
      </c>
      <c r="AS214" s="67" t="str">
        <f aca="false">IF(ISBLANK($C214),"",IF($Z214&lt;&gt;Constants!$B$7,"",IF(AH214=1,AC214,AF214)))</f>
        <v/>
      </c>
      <c r="AT214" s="68" t="str">
        <f aca="false">IF(ISBLANK($C214),"",IF($Z214&lt;&gt;Constants!$B$7,$Z214,AJ214))</f>
        <v/>
      </c>
      <c r="AU214" s="69" t="str">
        <f aca="false">IF(ISBLANK($C214),"",IF($Z214&lt;&gt;Constants!$B$7,$Z214,AA214))</f>
        <v/>
      </c>
      <c r="AV214" s="70" t="str">
        <f aca="false">IF(ISBLANK($C214),"",AO214)</f>
        <v/>
      </c>
      <c r="AW214" s="70" t="str">
        <f aca="false">IF(ISBLANK($C214),"",AN214)</f>
        <v/>
      </c>
      <c r="AX214" s="71" t="str">
        <f aca="false">IF(ISBLANK($C214),"",IFERROR(_xlfn.SWITCH(AW214,Constants!$B$4,COUNTA($C$8:$C$507)+2,Constants!$B$5,COUNTA($C$8:$C$507)+1,Constants!$B$6,COUNTA($C$8:$C$507)),AW214))</f>
        <v/>
      </c>
      <c r="AY214" s="5"/>
      <c r="AZ214" s="72" t="n">
        <f aca="false">IF(OR(ISNUMBER(AW214),AW214=Constants!$B$4,AW214=Constants!$B$6,AW214=Constants!$B$5),1,0)</f>
        <v>0</v>
      </c>
      <c r="BA214" s="72" t="n">
        <v>207</v>
      </c>
      <c r="BB214" s="72" t="str">
        <f aca="false">IF(ISBLANK($C214),"",IF(ISNUMBER(AX214),AX214+ROW($B214)/1000,""))</f>
        <v/>
      </c>
      <c r="BC214" s="72" t="str">
        <f aca="false">IF(ISNUMBER(BB214),RANK(BB214,$BB$8:$BB$507,1),"")</f>
        <v/>
      </c>
      <c r="BD214" s="72" t="str">
        <f aca="false">IF(ISBLANK($C214),"",$B214)</f>
        <v/>
      </c>
      <c r="BE214" s="72" t="str">
        <f aca="false">IF(ISBLANK($C214),"",$C214)</f>
        <v/>
      </c>
      <c r="BF214" s="72" t="str">
        <f aca="false">IF(ISBLANK($C214),"",$D214)</f>
        <v/>
      </c>
      <c r="BG214" s="73" t="str">
        <f aca="false">AU214</f>
        <v/>
      </c>
      <c r="BH214" s="74" t="str">
        <f aca="false">AT214</f>
        <v/>
      </c>
      <c r="BI214" s="72" t="str">
        <f aca="false">IF(ISBLANK($C214),"",AW214)</f>
        <v/>
      </c>
      <c r="BJ214" s="75" t="str">
        <f aca="false">IF($BA214&gt;$AZ$7,"",VLOOKUP($BA214,$BC$8:$BI$507,7,FALSE()))</f>
        <v/>
      </c>
      <c r="BK214" s="76" t="str">
        <f aca="false">IF($BA214&gt;$AZ$7,"",VLOOKUP($BA214,$BC$8:$BI$507,2,FALSE()))</f>
        <v/>
      </c>
      <c r="BL214" s="76" t="str">
        <f aca="false">IF($BA214&gt;$AZ$7,"",VLOOKUP($BA214,$BC$8:$BI$507,3,FALSE()))</f>
        <v/>
      </c>
      <c r="BM214" s="76" t="str">
        <f aca="false">IF($BA214&gt;$AZ$7,"",VLOOKUP($BA214,$BC$8:$BI$507,4,FALSE()))</f>
        <v/>
      </c>
      <c r="BN214" s="76" t="str">
        <f aca="false">IF($BA214&gt;$AZ$7,"",VLOOKUP($BA214,$BC$8:$BI$507,5,FALSE()))</f>
        <v/>
      </c>
      <c r="BO214" s="77" t="str">
        <f aca="false">IF($BA214&gt;$AZ$7,"",VLOOKUP($BA214,$BC$8:$BI$507,6,FALSE()))</f>
        <v/>
      </c>
      <c r="BP214" s="52"/>
    </row>
    <row r="215" customFormat="false" ht="15.75" hidden="false" customHeight="false" outlineLevel="0" collapsed="false">
      <c r="A215" s="5"/>
      <c r="B215" s="114"/>
      <c r="C215" s="115"/>
      <c r="D215" s="106"/>
      <c r="E215" s="117"/>
      <c r="F215" s="87"/>
      <c r="G215" s="88"/>
      <c r="H215" s="88"/>
      <c r="I215" s="87"/>
      <c r="J215" s="88"/>
      <c r="K215" s="88"/>
      <c r="L215" s="87"/>
      <c r="M215" s="117"/>
      <c r="N215" s="90"/>
      <c r="O215" s="91" t="str">
        <f aca="false">IF(ISBLANK($C215),"",IF(E215=Constants!$B$2, TRUE(), IF(E215=Constants!$B$3, FALSE(), TRUE())))</f>
        <v/>
      </c>
      <c r="P215" s="91" t="str">
        <f aca="false">IF(ISBLANK($C215),"",IF(F215=Constants!$B$16,Constants!$B$9,IF(F215=Constants!$B$17,Constants!$B$10,Constants!$B$8)))</f>
        <v/>
      </c>
      <c r="Q215" s="91" t="str">
        <f aca="false">IF(ISBLANK($C215),"",IF(ISNUMBER(G215),IF(G215&gt;=0,G215,""),""))</f>
        <v/>
      </c>
      <c r="R215" s="91" t="str">
        <f aca="false">IF(ISBLANK($C215),"",IF(H215=Constants!$B$2, TRUE(), IF(H215=Constants!$B$3, FALSE(), TRUE())))</f>
        <v/>
      </c>
      <c r="S215" s="91" t="str">
        <f aca="false">IF(ISBLANK($C215),"",IF(I215=Constants!$B$2, TRUE(), IF(I215=Constants!$B$3, FALSE(), TRUE())))</f>
        <v/>
      </c>
      <c r="T215" s="91" t="str">
        <f aca="false">IF(ISBLANK($C215),"",IF(ISNUMBER(J215),IF(J215&gt;=0,J215,""),""))</f>
        <v/>
      </c>
      <c r="U215" s="91" t="str">
        <f aca="false">IF(ISBLANK($C215),"",IF(K215=Constants!$B$2, TRUE(), IF(K215=Constants!$B$3, FALSE(), TRUE())))</f>
        <v/>
      </c>
      <c r="V215" s="91" t="str">
        <f aca="false">IF(ISBLANK($C215),"",IF(L215=Constants!$B$2, TRUE(), IF(L215=Constants!$B$3, FALSE(), TRUE())))</f>
        <v/>
      </c>
      <c r="W215" s="91" t="str">
        <f aca="false">IF(ISBLANK($C215),"",IF(M215=Constants!$B$2, TRUE(), IF(M215=Constants!$B$3, FALSE(), FALSE())))</f>
        <v/>
      </c>
      <c r="X215" s="91" t="str">
        <f aca="false">IF(ISBLANK($C215),"",AND(Q215&lt;&gt;"",O215))</f>
        <v/>
      </c>
      <c r="Y215" s="91" t="str">
        <f aca="false">IF(ISBLANK($C215),"",AND(T215&lt;&gt;"",O215))</f>
        <v/>
      </c>
      <c r="Z215" s="91" t="str">
        <f aca="false">IF(ISBLANK($C215),"",IF(W215,Constants!$B$4,IF(COUNTA(E215:L215)=0,Constants!$B$5,IF(NOT(O215),Constants!$B$6,IF(AND(NOT(X215),NOT(Y215)),Constants!$B$6,Constants!$B$7)))))</f>
        <v/>
      </c>
      <c r="AA215" s="91" t="str">
        <f aca="false">IF(ISBLANK($C215),"",IF($Z215&lt;&gt;Constants!$B$7,$Z215,Constants!$B$20))</f>
        <v/>
      </c>
      <c r="AB215" s="91" t="str">
        <f aca="false">IF($Z215=Constants!$B$7,IF(X215,Q215,Constants!$B$13),"")</f>
        <v/>
      </c>
      <c r="AC215" s="91" t="str">
        <f aca="false">IF($Z215=Constants!$B$7,IF(X215,P215*IF(R215, 1, Constants!$B$11)*IF(S215, 1, Constants!$B$12),Constants!$B$13),"")</f>
        <v/>
      </c>
      <c r="AD215" s="91" t="str">
        <f aca="false">IF($Z215=Constants!$B$7,AB215*AC215,"")</f>
        <v/>
      </c>
      <c r="AE215" s="91" t="str">
        <f aca="false">IF($Z215=Constants!$B$7,IF(Y215,T215,Constants!$B$13),"")</f>
        <v/>
      </c>
      <c r="AF215" s="91" t="str">
        <f aca="false">IF($Z215=Constants!$B$7,IF(Y215,P215*IF(U215, 1, Constants!$B$11)*IF(V215, 1, Constants!$B$12),Constants!$B$13),"")</f>
        <v/>
      </c>
      <c r="AG215" s="91" t="str">
        <f aca="false">IF($Z215=Constants!$B$7,AE215*AF215,"")</f>
        <v/>
      </c>
      <c r="AH215" s="91" t="str">
        <f aca="false">IF($Z215=Constants!$B$7,IF(AG215&gt;AD215,2,1),"")</f>
        <v/>
      </c>
      <c r="AI215" s="91" t="str">
        <f aca="false">IF($Z215=Constants!$B$7,IF(AH215=1,2,1),"")</f>
        <v/>
      </c>
      <c r="AJ215" s="91" t="str">
        <f aca="false">IF(ISBLANK($C215),"",IF($Z215&lt;&gt;Constants!$B$7,$Z215,IF(AH215=1,AD215,AG215)))</f>
        <v/>
      </c>
      <c r="AK215" s="91" t="str">
        <f aca="false">IF(ISBLANK($C215),"",IF($Z215=Constants!$B$7,IF(ISNUMBER(AJ215),RANK(AJ215,$AJ$8:$AJ$507),Constants!$B$14),$Z215))</f>
        <v/>
      </c>
      <c r="AL215" s="91" t="str">
        <f aca="false">IF(ISBLANK($C215),"",IF($Z215=Constants!$B$7,IF(AI215=1,AD215,AG215),""))</f>
        <v/>
      </c>
      <c r="AM215" s="91" t="str">
        <f aca="false">IF(ISBLANK($C215),"",IF($Z215=Constants!$B$7,RANK(AL215,$AL$8:$AL$507),$Z215))</f>
        <v/>
      </c>
      <c r="AN215" s="91" t="str">
        <f aca="false">IF(ISBLANK($C215),"",IF($Z215=Constants!$B$7,IF(ISNUMBER(AK215),COUNTIFS($AK$8:$AK$507,"&lt;"&amp;$AK215)+COUNTIFS($AK$8:$AK$507,$AK215,$AM$8:$AM$507,"&lt;"&amp;$AM215)+1,Constants!$B$14),$Z215))</f>
        <v/>
      </c>
      <c r="AO215" s="91" t="str">
        <f aca="false">IF(ISBLANK($C215),"",IF($Z215=Constants!$B$7,IF(ISNUMBER(AK215),AK215-AN215,Constants!$B$14),$Z215))</f>
        <v/>
      </c>
      <c r="AP215" s="92"/>
      <c r="AQ215" s="93" t="str">
        <f aca="false">IF(ISBLANK($C215),"",IF($Z215&lt;&gt;Constants!$B$7,"",AH215))</f>
        <v/>
      </c>
      <c r="AR215" s="94" t="str">
        <f aca="false">IF(ISBLANK($C215),"",IF($Z215&lt;&gt;Constants!$B$7,"",IF(AH215=1,AB215,AE215)))</f>
        <v/>
      </c>
      <c r="AS215" s="95" t="str">
        <f aca="false">IF(ISBLANK($C215),"",IF($Z215&lt;&gt;Constants!$B$7,"",IF(AH215=1,AC215,AF215)))</f>
        <v/>
      </c>
      <c r="AT215" s="96" t="str">
        <f aca="false">IF(ISBLANK($C215),"",IF($Z215&lt;&gt;Constants!$B$7,$Z215,AJ215))</f>
        <v/>
      </c>
      <c r="AU215" s="97" t="str">
        <f aca="false">IF(ISBLANK($C215),"",IF($Z215&lt;&gt;Constants!$B$7,$Z215,AA215))</f>
        <v/>
      </c>
      <c r="AV215" s="98" t="str">
        <f aca="false">IF(ISBLANK($C215),"",AO215)</f>
        <v/>
      </c>
      <c r="AW215" s="98" t="str">
        <f aca="false">IF(ISBLANK($C215),"",AN215)</f>
        <v/>
      </c>
      <c r="AX215" s="99" t="str">
        <f aca="false">IF(ISBLANK($C215),"",IFERROR(_xlfn.SWITCH(AW215,Constants!$B$4,COUNTA($C$8:$C$507)+2,Constants!$B$5,COUNTA($C$8:$C$507)+1,Constants!$B$6,COUNTA($C$8:$C$507)),AW215))</f>
        <v/>
      </c>
      <c r="AY215" s="5"/>
      <c r="AZ215" s="100" t="n">
        <f aca="false">IF(OR(ISNUMBER(AW215),AW215=Constants!$B$4,AW215=Constants!$B$6,AW215=Constants!$B$5),1,0)</f>
        <v>0</v>
      </c>
      <c r="BA215" s="100" t="n">
        <v>208</v>
      </c>
      <c r="BB215" s="100" t="str">
        <f aca="false">IF(ISBLANK($C215),"",IF(ISNUMBER(AX215),AX215+ROW($B215)/1000,""))</f>
        <v/>
      </c>
      <c r="BC215" s="100" t="str">
        <f aca="false">IF(ISNUMBER(BB215),RANK(BB215,$BB$8:$BB$507,1),"")</f>
        <v/>
      </c>
      <c r="BD215" s="100" t="str">
        <f aca="false">IF(ISBLANK($C215),"",$B215)</f>
        <v/>
      </c>
      <c r="BE215" s="100" t="str">
        <f aca="false">IF(ISBLANK($C215),"",$C215)</f>
        <v/>
      </c>
      <c r="BF215" s="100" t="str">
        <f aca="false">IF(ISBLANK($C215),"",$D215)</f>
        <v/>
      </c>
      <c r="BG215" s="101" t="str">
        <f aca="false">AU215</f>
        <v/>
      </c>
      <c r="BH215" s="102" t="str">
        <f aca="false">AT215</f>
        <v/>
      </c>
      <c r="BI215" s="100" t="str">
        <f aca="false">IF(ISBLANK($C215),"",AW215)</f>
        <v/>
      </c>
      <c r="BJ215" s="103" t="str">
        <f aca="false">IF($BA215&gt;$AZ$7,"",VLOOKUP($BA215,$BC$8:$BI$507,7,FALSE()))</f>
        <v/>
      </c>
      <c r="BK215" s="104" t="str">
        <f aca="false">IF($BA215&gt;$AZ$7,"",VLOOKUP($BA215,$BC$8:$BI$507,2,FALSE()))</f>
        <v/>
      </c>
      <c r="BL215" s="104" t="str">
        <f aca="false">IF($BA215&gt;$AZ$7,"",VLOOKUP($BA215,$BC$8:$BI$507,3,FALSE()))</f>
        <v/>
      </c>
      <c r="BM215" s="104" t="str">
        <f aca="false">IF($BA215&gt;$AZ$7,"",VLOOKUP($BA215,$BC$8:$BI$507,4,FALSE()))</f>
        <v/>
      </c>
      <c r="BN215" s="104" t="str">
        <f aca="false">IF($BA215&gt;$AZ$7,"",VLOOKUP($BA215,$BC$8:$BI$507,5,FALSE()))</f>
        <v/>
      </c>
      <c r="BO215" s="105" t="str">
        <f aca="false">IF($BA215&gt;$AZ$7,"",VLOOKUP($BA215,$BC$8:$BI$507,6,FALSE()))</f>
        <v/>
      </c>
      <c r="BP215" s="52"/>
    </row>
    <row r="216" customFormat="false" ht="15.75" hidden="false" customHeight="false" outlineLevel="0" collapsed="false">
      <c r="A216" s="5"/>
      <c r="B216" s="114"/>
      <c r="C216" s="115"/>
      <c r="D216" s="106"/>
      <c r="E216" s="117"/>
      <c r="F216" s="87"/>
      <c r="G216" s="88"/>
      <c r="H216" s="88"/>
      <c r="I216" s="87"/>
      <c r="J216" s="88"/>
      <c r="K216" s="88"/>
      <c r="L216" s="87"/>
      <c r="M216" s="117"/>
      <c r="N216" s="90"/>
      <c r="O216" s="91" t="str">
        <f aca="false">IF(ISBLANK($C216),"",IF(E216=Constants!$B$2, TRUE(), IF(E216=Constants!$B$3, FALSE(), TRUE())))</f>
        <v/>
      </c>
      <c r="P216" s="91" t="str">
        <f aca="false">IF(ISBLANK($C216),"",IF(F216=Constants!$B$16,Constants!$B$9,IF(F216=Constants!$B$17,Constants!$B$10,Constants!$B$8)))</f>
        <v/>
      </c>
      <c r="Q216" s="91" t="str">
        <f aca="false">IF(ISBLANK($C216),"",IF(ISNUMBER(G216),IF(G216&gt;=0,G216,""),""))</f>
        <v/>
      </c>
      <c r="R216" s="91" t="str">
        <f aca="false">IF(ISBLANK($C216),"",IF(H216=Constants!$B$2, TRUE(), IF(H216=Constants!$B$3, FALSE(), TRUE())))</f>
        <v/>
      </c>
      <c r="S216" s="91" t="str">
        <f aca="false">IF(ISBLANK($C216),"",IF(I216=Constants!$B$2, TRUE(), IF(I216=Constants!$B$3, FALSE(), TRUE())))</f>
        <v/>
      </c>
      <c r="T216" s="91" t="str">
        <f aca="false">IF(ISBLANK($C216),"",IF(ISNUMBER(J216),IF(J216&gt;=0,J216,""),""))</f>
        <v/>
      </c>
      <c r="U216" s="91" t="str">
        <f aca="false">IF(ISBLANK($C216),"",IF(K216=Constants!$B$2, TRUE(), IF(K216=Constants!$B$3, FALSE(), TRUE())))</f>
        <v/>
      </c>
      <c r="V216" s="91" t="str">
        <f aca="false">IF(ISBLANK($C216),"",IF(L216=Constants!$B$2, TRUE(), IF(L216=Constants!$B$3, FALSE(), TRUE())))</f>
        <v/>
      </c>
      <c r="W216" s="91" t="str">
        <f aca="false">IF(ISBLANK($C216),"",IF(M216=Constants!$B$2, TRUE(), IF(M216=Constants!$B$3, FALSE(), FALSE())))</f>
        <v/>
      </c>
      <c r="X216" s="91" t="str">
        <f aca="false">IF(ISBLANK($C216),"",AND(Q216&lt;&gt;"",O216))</f>
        <v/>
      </c>
      <c r="Y216" s="91" t="str">
        <f aca="false">IF(ISBLANK($C216),"",AND(T216&lt;&gt;"",O216))</f>
        <v/>
      </c>
      <c r="Z216" s="91" t="str">
        <f aca="false">IF(ISBLANK($C216),"",IF(W216,Constants!$B$4,IF(COUNTA(E216:L216)=0,Constants!$B$5,IF(NOT(O216),Constants!$B$6,IF(AND(NOT(X216),NOT(Y216)),Constants!$B$6,Constants!$B$7)))))</f>
        <v/>
      </c>
      <c r="AA216" s="91" t="str">
        <f aca="false">IF(ISBLANK($C216),"",IF($Z216&lt;&gt;Constants!$B$7,$Z216,Constants!$B$20))</f>
        <v/>
      </c>
      <c r="AB216" s="91" t="str">
        <f aca="false">IF($Z216=Constants!$B$7,IF(X216,Q216,Constants!$B$13),"")</f>
        <v/>
      </c>
      <c r="AC216" s="91" t="str">
        <f aca="false">IF($Z216=Constants!$B$7,IF(X216,P216*IF(R216, 1, Constants!$B$11)*IF(S216, 1, Constants!$B$12),Constants!$B$13),"")</f>
        <v/>
      </c>
      <c r="AD216" s="91" t="str">
        <f aca="false">IF($Z216=Constants!$B$7,AB216*AC216,"")</f>
        <v/>
      </c>
      <c r="AE216" s="91" t="str">
        <f aca="false">IF($Z216=Constants!$B$7,IF(Y216,T216,Constants!$B$13),"")</f>
        <v/>
      </c>
      <c r="AF216" s="91" t="str">
        <f aca="false">IF($Z216=Constants!$B$7,IF(Y216,P216*IF(U216, 1, Constants!$B$11)*IF(V216, 1, Constants!$B$12),Constants!$B$13),"")</f>
        <v/>
      </c>
      <c r="AG216" s="91" t="str">
        <f aca="false">IF($Z216=Constants!$B$7,AE216*AF216,"")</f>
        <v/>
      </c>
      <c r="AH216" s="91" t="str">
        <f aca="false">IF($Z216=Constants!$B$7,IF(AG216&gt;AD216,2,1),"")</f>
        <v/>
      </c>
      <c r="AI216" s="91" t="str">
        <f aca="false">IF($Z216=Constants!$B$7,IF(AH216=1,2,1),"")</f>
        <v/>
      </c>
      <c r="AJ216" s="91" t="str">
        <f aca="false">IF(ISBLANK($C216),"",IF($Z216&lt;&gt;Constants!$B$7,$Z216,IF(AH216=1,AD216,AG216)))</f>
        <v/>
      </c>
      <c r="AK216" s="91" t="str">
        <f aca="false">IF(ISBLANK($C216),"",IF($Z216=Constants!$B$7,IF(ISNUMBER(AJ216),RANK(AJ216,$AJ$8:$AJ$507),Constants!$B$14),$Z216))</f>
        <v/>
      </c>
      <c r="AL216" s="91" t="str">
        <f aca="false">IF(ISBLANK($C216),"",IF($Z216=Constants!$B$7,IF(AI216=1,AD216,AG216),""))</f>
        <v/>
      </c>
      <c r="AM216" s="91" t="str">
        <f aca="false">IF(ISBLANK($C216),"",IF($Z216=Constants!$B$7,RANK(AL216,$AL$8:$AL$507),$Z216))</f>
        <v/>
      </c>
      <c r="AN216" s="91" t="str">
        <f aca="false">IF(ISBLANK($C216),"",IF($Z216=Constants!$B$7,IF(ISNUMBER(AK216),COUNTIFS($AK$8:$AK$507,"&lt;"&amp;$AK216)+COUNTIFS($AK$8:$AK$507,$AK216,$AM$8:$AM$507,"&lt;"&amp;$AM216)+1,Constants!$B$14),$Z216))</f>
        <v/>
      </c>
      <c r="AO216" s="91" t="str">
        <f aca="false">IF(ISBLANK($C216),"",IF($Z216=Constants!$B$7,IF(ISNUMBER(AK216),AK216-AN216,Constants!$B$14),$Z216))</f>
        <v/>
      </c>
      <c r="AP216" s="92"/>
      <c r="AQ216" s="93" t="str">
        <f aca="false">IF(ISBLANK($C216),"",IF($Z216&lt;&gt;Constants!$B$7,"",AH216))</f>
        <v/>
      </c>
      <c r="AR216" s="94" t="str">
        <f aca="false">IF(ISBLANK($C216),"",IF($Z216&lt;&gt;Constants!$B$7,"",IF(AH216=1,AB216,AE216)))</f>
        <v/>
      </c>
      <c r="AS216" s="95" t="str">
        <f aca="false">IF(ISBLANK($C216),"",IF($Z216&lt;&gt;Constants!$B$7,"",IF(AH216=1,AC216,AF216)))</f>
        <v/>
      </c>
      <c r="AT216" s="96" t="str">
        <f aca="false">IF(ISBLANK($C216),"",IF($Z216&lt;&gt;Constants!$B$7,$Z216,AJ216))</f>
        <v/>
      </c>
      <c r="AU216" s="97" t="str">
        <f aca="false">IF(ISBLANK($C216),"",IF($Z216&lt;&gt;Constants!$B$7,$Z216,AA216))</f>
        <v/>
      </c>
      <c r="AV216" s="98" t="str">
        <f aca="false">IF(ISBLANK($C216),"",AO216)</f>
        <v/>
      </c>
      <c r="AW216" s="98" t="str">
        <f aca="false">IF(ISBLANK($C216),"",AN216)</f>
        <v/>
      </c>
      <c r="AX216" s="99" t="str">
        <f aca="false">IF(ISBLANK($C216),"",IFERROR(_xlfn.SWITCH(AW216,Constants!$B$4,COUNTA($C$8:$C$507)+2,Constants!$B$5,COUNTA($C$8:$C$507)+1,Constants!$B$6,COUNTA($C$8:$C$507)),AW216))</f>
        <v/>
      </c>
      <c r="AY216" s="5"/>
      <c r="AZ216" s="100" t="n">
        <f aca="false">IF(OR(ISNUMBER(AW216),AW216=Constants!$B$4,AW216=Constants!$B$6,AW216=Constants!$B$5),1,0)</f>
        <v>0</v>
      </c>
      <c r="BA216" s="100" t="n">
        <v>209</v>
      </c>
      <c r="BB216" s="100" t="str">
        <f aca="false">IF(ISBLANK($C216),"",IF(ISNUMBER(AX216),AX216+ROW($B216)/1000,""))</f>
        <v/>
      </c>
      <c r="BC216" s="100" t="str">
        <f aca="false">IF(ISNUMBER(BB216),RANK(BB216,$BB$8:$BB$507,1),"")</f>
        <v/>
      </c>
      <c r="BD216" s="100" t="str">
        <f aca="false">IF(ISBLANK($C216),"",$B216)</f>
        <v/>
      </c>
      <c r="BE216" s="100" t="str">
        <f aca="false">IF(ISBLANK($C216),"",$C216)</f>
        <v/>
      </c>
      <c r="BF216" s="100" t="str">
        <f aca="false">IF(ISBLANK($C216),"",$D216)</f>
        <v/>
      </c>
      <c r="BG216" s="101" t="str">
        <f aca="false">AU216</f>
        <v/>
      </c>
      <c r="BH216" s="102" t="str">
        <f aca="false">AT216</f>
        <v/>
      </c>
      <c r="BI216" s="100" t="str">
        <f aca="false">IF(ISBLANK($C216),"",AW216)</f>
        <v/>
      </c>
      <c r="BJ216" s="103" t="str">
        <f aca="false">IF($BA216&gt;$AZ$7,"",VLOOKUP($BA216,$BC$8:$BI$507,7,FALSE()))</f>
        <v/>
      </c>
      <c r="BK216" s="104" t="str">
        <f aca="false">IF($BA216&gt;$AZ$7,"",VLOOKUP($BA216,$BC$8:$BI$507,2,FALSE()))</f>
        <v/>
      </c>
      <c r="BL216" s="104" t="str">
        <f aca="false">IF($BA216&gt;$AZ$7,"",VLOOKUP($BA216,$BC$8:$BI$507,3,FALSE()))</f>
        <v/>
      </c>
      <c r="BM216" s="104" t="str">
        <f aca="false">IF($BA216&gt;$AZ$7,"",VLOOKUP($BA216,$BC$8:$BI$507,4,FALSE()))</f>
        <v/>
      </c>
      <c r="BN216" s="104" t="str">
        <f aca="false">IF($BA216&gt;$AZ$7,"",VLOOKUP($BA216,$BC$8:$BI$507,5,FALSE()))</f>
        <v/>
      </c>
      <c r="BO216" s="105" t="str">
        <f aca="false">IF($BA216&gt;$AZ$7,"",VLOOKUP($BA216,$BC$8:$BI$507,6,FALSE()))</f>
        <v/>
      </c>
      <c r="BP216" s="52"/>
    </row>
    <row r="217" customFormat="false" ht="15.75" hidden="false" customHeight="false" outlineLevel="0" collapsed="false">
      <c r="A217" s="5"/>
      <c r="B217" s="114"/>
      <c r="C217" s="115"/>
      <c r="D217" s="106"/>
      <c r="E217" s="117"/>
      <c r="F217" s="87"/>
      <c r="G217" s="88"/>
      <c r="H217" s="88"/>
      <c r="I217" s="87"/>
      <c r="J217" s="88"/>
      <c r="K217" s="88"/>
      <c r="L217" s="87"/>
      <c r="M217" s="117"/>
      <c r="N217" s="90"/>
      <c r="O217" s="91" t="str">
        <f aca="false">IF(ISBLANK($C217),"",IF(E217=Constants!$B$2, TRUE(), IF(E217=Constants!$B$3, FALSE(), TRUE())))</f>
        <v/>
      </c>
      <c r="P217" s="91" t="str">
        <f aca="false">IF(ISBLANK($C217),"",IF(F217=Constants!$B$16,Constants!$B$9,IF(F217=Constants!$B$17,Constants!$B$10,Constants!$B$8)))</f>
        <v/>
      </c>
      <c r="Q217" s="91" t="str">
        <f aca="false">IF(ISBLANK($C217),"",IF(ISNUMBER(G217),IF(G217&gt;=0,G217,""),""))</f>
        <v/>
      </c>
      <c r="R217" s="91" t="str">
        <f aca="false">IF(ISBLANK($C217),"",IF(H217=Constants!$B$2, TRUE(), IF(H217=Constants!$B$3, FALSE(), TRUE())))</f>
        <v/>
      </c>
      <c r="S217" s="91" t="str">
        <f aca="false">IF(ISBLANK($C217),"",IF(I217=Constants!$B$2, TRUE(), IF(I217=Constants!$B$3, FALSE(), TRUE())))</f>
        <v/>
      </c>
      <c r="T217" s="91" t="str">
        <f aca="false">IF(ISBLANK($C217),"",IF(ISNUMBER(J217),IF(J217&gt;=0,J217,""),""))</f>
        <v/>
      </c>
      <c r="U217" s="91" t="str">
        <f aca="false">IF(ISBLANK($C217),"",IF(K217=Constants!$B$2, TRUE(), IF(K217=Constants!$B$3, FALSE(), TRUE())))</f>
        <v/>
      </c>
      <c r="V217" s="91" t="str">
        <f aca="false">IF(ISBLANK($C217),"",IF(L217=Constants!$B$2, TRUE(), IF(L217=Constants!$B$3, FALSE(), TRUE())))</f>
        <v/>
      </c>
      <c r="W217" s="91" t="str">
        <f aca="false">IF(ISBLANK($C217),"",IF(M217=Constants!$B$2, TRUE(), IF(M217=Constants!$B$3, FALSE(), FALSE())))</f>
        <v/>
      </c>
      <c r="X217" s="91" t="str">
        <f aca="false">IF(ISBLANK($C217),"",AND(Q217&lt;&gt;"",O217))</f>
        <v/>
      </c>
      <c r="Y217" s="91" t="str">
        <f aca="false">IF(ISBLANK($C217),"",AND(T217&lt;&gt;"",O217))</f>
        <v/>
      </c>
      <c r="Z217" s="91" t="str">
        <f aca="false">IF(ISBLANK($C217),"",IF(W217,Constants!$B$4,IF(COUNTA(E217:L217)=0,Constants!$B$5,IF(NOT(O217),Constants!$B$6,IF(AND(NOT(X217),NOT(Y217)),Constants!$B$6,Constants!$B$7)))))</f>
        <v/>
      </c>
      <c r="AA217" s="91" t="str">
        <f aca="false">IF(ISBLANK($C217),"",IF($Z217&lt;&gt;Constants!$B$7,$Z217,Constants!$B$20))</f>
        <v/>
      </c>
      <c r="AB217" s="91" t="str">
        <f aca="false">IF($Z217=Constants!$B$7,IF(X217,Q217,Constants!$B$13),"")</f>
        <v/>
      </c>
      <c r="AC217" s="91" t="str">
        <f aca="false">IF($Z217=Constants!$B$7,IF(X217,P217*IF(R217, 1, Constants!$B$11)*IF(S217, 1, Constants!$B$12),Constants!$B$13),"")</f>
        <v/>
      </c>
      <c r="AD217" s="91" t="str">
        <f aca="false">IF($Z217=Constants!$B$7,AB217*AC217,"")</f>
        <v/>
      </c>
      <c r="AE217" s="91" t="str">
        <f aca="false">IF($Z217=Constants!$B$7,IF(Y217,T217,Constants!$B$13),"")</f>
        <v/>
      </c>
      <c r="AF217" s="91" t="str">
        <f aca="false">IF($Z217=Constants!$B$7,IF(Y217,P217*IF(U217, 1, Constants!$B$11)*IF(V217, 1, Constants!$B$12),Constants!$B$13),"")</f>
        <v/>
      </c>
      <c r="AG217" s="91" t="str">
        <f aca="false">IF($Z217=Constants!$B$7,AE217*AF217,"")</f>
        <v/>
      </c>
      <c r="AH217" s="91" t="str">
        <f aca="false">IF($Z217=Constants!$B$7,IF(AG217&gt;AD217,2,1),"")</f>
        <v/>
      </c>
      <c r="AI217" s="91" t="str">
        <f aca="false">IF($Z217=Constants!$B$7,IF(AH217=1,2,1),"")</f>
        <v/>
      </c>
      <c r="AJ217" s="91" t="str">
        <f aca="false">IF(ISBLANK($C217),"",IF($Z217&lt;&gt;Constants!$B$7,$Z217,IF(AH217=1,AD217,AG217)))</f>
        <v/>
      </c>
      <c r="AK217" s="91" t="str">
        <f aca="false">IF(ISBLANK($C217),"",IF($Z217=Constants!$B$7,IF(ISNUMBER(AJ217),RANK(AJ217,$AJ$8:$AJ$507),Constants!$B$14),$Z217))</f>
        <v/>
      </c>
      <c r="AL217" s="91" t="str">
        <f aca="false">IF(ISBLANK($C217),"",IF($Z217=Constants!$B$7,IF(AI217=1,AD217,AG217),""))</f>
        <v/>
      </c>
      <c r="AM217" s="91" t="str">
        <f aca="false">IF(ISBLANK($C217),"",IF($Z217=Constants!$B$7,RANK(AL217,$AL$8:$AL$507),$Z217))</f>
        <v/>
      </c>
      <c r="AN217" s="91" t="str">
        <f aca="false">IF(ISBLANK($C217),"",IF($Z217=Constants!$B$7,IF(ISNUMBER(AK217),COUNTIFS($AK$8:$AK$507,"&lt;"&amp;$AK217)+COUNTIFS($AK$8:$AK$507,$AK217,$AM$8:$AM$507,"&lt;"&amp;$AM217)+1,Constants!$B$14),$Z217))</f>
        <v/>
      </c>
      <c r="AO217" s="91" t="str">
        <f aca="false">IF(ISBLANK($C217),"",IF($Z217=Constants!$B$7,IF(ISNUMBER(AK217),AK217-AN217,Constants!$B$14),$Z217))</f>
        <v/>
      </c>
      <c r="AP217" s="92"/>
      <c r="AQ217" s="93" t="str">
        <f aca="false">IF(ISBLANK($C217),"",IF($Z217&lt;&gt;Constants!$B$7,"",AH217))</f>
        <v/>
      </c>
      <c r="AR217" s="94" t="str">
        <f aca="false">IF(ISBLANK($C217),"",IF($Z217&lt;&gt;Constants!$B$7,"",IF(AH217=1,AB217,AE217)))</f>
        <v/>
      </c>
      <c r="AS217" s="95" t="str">
        <f aca="false">IF(ISBLANK($C217),"",IF($Z217&lt;&gt;Constants!$B$7,"",IF(AH217=1,AC217,AF217)))</f>
        <v/>
      </c>
      <c r="AT217" s="96" t="str">
        <f aca="false">IF(ISBLANK($C217),"",IF($Z217&lt;&gt;Constants!$B$7,$Z217,AJ217))</f>
        <v/>
      </c>
      <c r="AU217" s="97" t="str">
        <f aca="false">IF(ISBLANK($C217),"",IF($Z217&lt;&gt;Constants!$B$7,$Z217,AA217))</f>
        <v/>
      </c>
      <c r="AV217" s="98" t="str">
        <f aca="false">IF(ISBLANK($C217),"",AO217)</f>
        <v/>
      </c>
      <c r="AW217" s="98" t="str">
        <f aca="false">IF(ISBLANK($C217),"",AN217)</f>
        <v/>
      </c>
      <c r="AX217" s="99" t="str">
        <f aca="false">IF(ISBLANK($C217),"",IFERROR(_xlfn.SWITCH(AW217,Constants!$B$4,COUNTA($C$8:$C$507)+2,Constants!$B$5,COUNTA($C$8:$C$507)+1,Constants!$B$6,COUNTA($C$8:$C$507)),AW217))</f>
        <v/>
      </c>
      <c r="AY217" s="5"/>
      <c r="AZ217" s="100" t="n">
        <f aca="false">IF(OR(ISNUMBER(AW217),AW217=Constants!$B$4,AW217=Constants!$B$6,AW217=Constants!$B$5),1,0)</f>
        <v>0</v>
      </c>
      <c r="BA217" s="100" t="n">
        <v>210</v>
      </c>
      <c r="BB217" s="100" t="str">
        <f aca="false">IF(ISBLANK($C217),"",IF(ISNUMBER(AX217),AX217+ROW($B217)/1000,""))</f>
        <v/>
      </c>
      <c r="BC217" s="100" t="str">
        <f aca="false">IF(ISNUMBER(BB217),RANK(BB217,$BB$8:$BB$507,1),"")</f>
        <v/>
      </c>
      <c r="BD217" s="100" t="str">
        <f aca="false">IF(ISBLANK($C217),"",$B217)</f>
        <v/>
      </c>
      <c r="BE217" s="100" t="str">
        <f aca="false">IF(ISBLANK($C217),"",$C217)</f>
        <v/>
      </c>
      <c r="BF217" s="100" t="str">
        <f aca="false">IF(ISBLANK($C217),"",$D217)</f>
        <v/>
      </c>
      <c r="BG217" s="101" t="str">
        <f aca="false">AU217</f>
        <v/>
      </c>
      <c r="BH217" s="102" t="str">
        <f aca="false">AT217</f>
        <v/>
      </c>
      <c r="BI217" s="100" t="str">
        <f aca="false">IF(ISBLANK($C217),"",AW217)</f>
        <v/>
      </c>
      <c r="BJ217" s="103" t="str">
        <f aca="false">IF($BA217&gt;$AZ$7,"",VLOOKUP($BA217,$BC$8:$BI$507,7,FALSE()))</f>
        <v/>
      </c>
      <c r="BK217" s="104" t="str">
        <f aca="false">IF($BA217&gt;$AZ$7,"",VLOOKUP($BA217,$BC$8:$BI$507,2,FALSE()))</f>
        <v/>
      </c>
      <c r="BL217" s="104" t="str">
        <f aca="false">IF($BA217&gt;$AZ$7,"",VLOOKUP($BA217,$BC$8:$BI$507,3,FALSE()))</f>
        <v/>
      </c>
      <c r="BM217" s="104" t="str">
        <f aca="false">IF($BA217&gt;$AZ$7,"",VLOOKUP($BA217,$BC$8:$BI$507,4,FALSE()))</f>
        <v/>
      </c>
      <c r="BN217" s="104" t="str">
        <f aca="false">IF($BA217&gt;$AZ$7,"",VLOOKUP($BA217,$BC$8:$BI$507,5,FALSE()))</f>
        <v/>
      </c>
      <c r="BO217" s="105" t="str">
        <f aca="false">IF($BA217&gt;$AZ$7,"",VLOOKUP($BA217,$BC$8:$BI$507,6,FALSE()))</f>
        <v/>
      </c>
      <c r="BP217" s="52"/>
    </row>
    <row r="218" customFormat="false" ht="15.75" hidden="false" customHeight="false" outlineLevel="0" collapsed="false">
      <c r="A218" s="5"/>
      <c r="B218" s="118"/>
      <c r="C218" s="54"/>
      <c r="D218" s="55"/>
      <c r="E218" s="79"/>
      <c r="F218" s="57"/>
      <c r="G218" s="58"/>
      <c r="H218" s="58"/>
      <c r="I218" s="57"/>
      <c r="J218" s="58"/>
      <c r="K218" s="58"/>
      <c r="L218" s="57"/>
      <c r="M218" s="79"/>
      <c r="N218" s="60"/>
      <c r="O218" s="62" t="str">
        <f aca="false">IF(ISBLANK($C218),"",IF(E218=Constants!$B$2, TRUE(), IF(E218=Constants!$B$3, FALSE(), TRUE())))</f>
        <v/>
      </c>
      <c r="P218" s="62" t="str">
        <f aca="false">IF(ISBLANK($C218),"",IF(F218=Constants!$B$16,Constants!$B$9,IF(F218=Constants!$B$17,Constants!$B$10,Constants!$B$8)))</f>
        <v/>
      </c>
      <c r="Q218" s="62" t="str">
        <f aca="false">IF(ISBLANK($C218),"",IF(ISNUMBER(G218),IF(G218&gt;=0,G218,""),""))</f>
        <v/>
      </c>
      <c r="R218" s="62" t="str">
        <f aca="false">IF(ISBLANK($C218),"",IF(H218=Constants!$B$2, TRUE(), IF(H218=Constants!$B$3, FALSE(), TRUE())))</f>
        <v/>
      </c>
      <c r="S218" s="62" t="str">
        <f aca="false">IF(ISBLANK($C218),"",IF(I218=Constants!$B$2, TRUE(), IF(I218=Constants!$B$3, FALSE(), TRUE())))</f>
        <v/>
      </c>
      <c r="T218" s="62" t="str">
        <f aca="false">IF(ISBLANK($C218),"",IF(ISNUMBER(J218),IF(J218&gt;=0,J218,""),""))</f>
        <v/>
      </c>
      <c r="U218" s="62" t="str">
        <f aca="false">IF(ISBLANK($C218),"",IF(K218=Constants!$B$2, TRUE(), IF(K218=Constants!$B$3, FALSE(), TRUE())))</f>
        <v/>
      </c>
      <c r="V218" s="62" t="str">
        <f aca="false">IF(ISBLANK($C218),"",IF(L218=Constants!$B$2, TRUE(), IF(L218=Constants!$B$3, FALSE(), TRUE())))</f>
        <v/>
      </c>
      <c r="W218" s="62" t="str">
        <f aca="false">IF(ISBLANK($C218),"",IF(M218=Constants!$B$2, TRUE(), IF(M218=Constants!$B$3, FALSE(), FALSE())))</f>
        <v/>
      </c>
      <c r="X218" s="62" t="str">
        <f aca="false">IF(ISBLANK($C218),"",AND(Q218&lt;&gt;"",O218))</f>
        <v/>
      </c>
      <c r="Y218" s="62" t="str">
        <f aca="false">IF(ISBLANK($C218),"",AND(T218&lt;&gt;"",O218))</f>
        <v/>
      </c>
      <c r="Z218" s="62" t="str">
        <f aca="false">IF(ISBLANK($C218),"",IF(W218,Constants!$B$4,IF(COUNTA(E218:L218)=0,Constants!$B$5,IF(NOT(O218),Constants!$B$6,IF(AND(NOT(X218),NOT(Y218)),Constants!$B$6,Constants!$B$7)))))</f>
        <v/>
      </c>
      <c r="AA218" s="62" t="str">
        <f aca="false">IF(ISBLANK($C218),"",IF($Z218&lt;&gt;Constants!$B$7,$Z218,Constants!$B$20))</f>
        <v/>
      </c>
      <c r="AB218" s="62" t="str">
        <f aca="false">IF($Z218=Constants!$B$7,IF(X218,Q218,Constants!$B$13),"")</f>
        <v/>
      </c>
      <c r="AC218" s="62" t="str">
        <f aca="false">IF($Z218=Constants!$B$7,IF(X218,P218*IF(R218, 1, Constants!$B$11)*IF(S218, 1, Constants!$B$12),Constants!$B$13),"")</f>
        <v/>
      </c>
      <c r="AD218" s="62" t="str">
        <f aca="false">IF($Z218=Constants!$B$7,AB218*AC218,"")</f>
        <v/>
      </c>
      <c r="AE218" s="62" t="str">
        <f aca="false">IF($Z218=Constants!$B$7,IF(Y218,T218,Constants!$B$13),"")</f>
        <v/>
      </c>
      <c r="AF218" s="62" t="str">
        <f aca="false">IF($Z218=Constants!$B$7,IF(Y218,P218*IF(U218, 1, Constants!$B$11)*IF(V218, 1, Constants!$B$12),Constants!$B$13),"")</f>
        <v/>
      </c>
      <c r="AG218" s="62" t="str">
        <f aca="false">IF($Z218=Constants!$B$7,AE218*AF218,"")</f>
        <v/>
      </c>
      <c r="AH218" s="62" t="str">
        <f aca="false">IF($Z218=Constants!$B$7,IF(AG218&gt;AD218,2,1),"")</f>
        <v/>
      </c>
      <c r="AI218" s="62" t="str">
        <f aca="false">IF($Z218=Constants!$B$7,IF(AH218=1,2,1),"")</f>
        <v/>
      </c>
      <c r="AJ218" s="62" t="str">
        <f aca="false">IF(ISBLANK($C218),"",IF($Z218&lt;&gt;Constants!$B$7,$Z218,IF(AH218=1,AD218,AG218)))</f>
        <v/>
      </c>
      <c r="AK218" s="62" t="str">
        <f aca="false">IF(ISBLANK($C218),"",IF($Z218=Constants!$B$7,IF(ISNUMBER(AJ218),RANK(AJ218,$AJ$8:$AJ$507),Constants!$B$14),$Z218))</f>
        <v/>
      </c>
      <c r="AL218" s="62" t="str">
        <f aca="false">IF(ISBLANK($C218),"",IF($Z218=Constants!$B$7,IF(AI218=1,AD218,AG218),""))</f>
        <v/>
      </c>
      <c r="AM218" s="62" t="str">
        <f aca="false">IF(ISBLANK($C218),"",IF($Z218=Constants!$B$7,RANK(AL218,$AL$8:$AL$507),$Z218))</f>
        <v/>
      </c>
      <c r="AN218" s="62" t="str">
        <f aca="false">IF(ISBLANK($C218),"",IF($Z218=Constants!$B$7,IF(ISNUMBER(AK218),COUNTIFS($AK$8:$AK$507,"&lt;"&amp;$AK218)+COUNTIFS($AK$8:$AK$507,$AK218,$AM$8:$AM$507,"&lt;"&amp;$AM218)+1,Constants!$B$14),$Z218))</f>
        <v/>
      </c>
      <c r="AO218" s="62" t="str">
        <f aca="false">IF(ISBLANK($C218),"",IF($Z218=Constants!$B$7,IF(ISNUMBER(AK218),AK218-AN218,Constants!$B$14),$Z218))</f>
        <v/>
      </c>
      <c r="AP218" s="64"/>
      <c r="AQ218" s="65" t="str">
        <f aca="false">IF(ISBLANK($C218),"",IF($Z218&lt;&gt;Constants!$B$7,"",AH218))</f>
        <v/>
      </c>
      <c r="AR218" s="80" t="str">
        <f aca="false">IF(ISBLANK($C218),"",IF($Z218&lt;&gt;Constants!$B$7,"",IF(AH218=1,AB218,AE218)))</f>
        <v/>
      </c>
      <c r="AS218" s="67" t="str">
        <f aca="false">IF(ISBLANK($C218),"",IF($Z218&lt;&gt;Constants!$B$7,"",IF(AH218=1,AC218,AF218)))</f>
        <v/>
      </c>
      <c r="AT218" s="68" t="str">
        <f aca="false">IF(ISBLANK($C218),"",IF($Z218&lt;&gt;Constants!$B$7,$Z218,AJ218))</f>
        <v/>
      </c>
      <c r="AU218" s="69" t="str">
        <f aca="false">IF(ISBLANK($C218),"",IF($Z218&lt;&gt;Constants!$B$7,$Z218,AA218))</f>
        <v/>
      </c>
      <c r="AV218" s="70" t="str">
        <f aca="false">IF(ISBLANK($C218),"",AO218)</f>
        <v/>
      </c>
      <c r="AW218" s="70" t="str">
        <f aca="false">IF(ISBLANK($C218),"",AN218)</f>
        <v/>
      </c>
      <c r="AX218" s="71" t="str">
        <f aca="false">IF(ISBLANK($C218),"",IFERROR(_xlfn.SWITCH(AW218,Constants!$B$4,COUNTA($C$8:$C$507)+2,Constants!$B$5,COUNTA($C$8:$C$507)+1,Constants!$B$6,COUNTA($C$8:$C$507)),AW218))</f>
        <v/>
      </c>
      <c r="AY218" s="5"/>
      <c r="AZ218" s="72" t="n">
        <f aca="false">IF(OR(ISNUMBER(AW218),AW218=Constants!$B$4,AW218=Constants!$B$6,AW218=Constants!$B$5),1,0)</f>
        <v>0</v>
      </c>
      <c r="BA218" s="72" t="n">
        <v>211</v>
      </c>
      <c r="BB218" s="72" t="str">
        <f aca="false">IF(ISBLANK($C218),"",IF(ISNUMBER(AX218),AX218+ROW($B218)/1000,""))</f>
        <v/>
      </c>
      <c r="BC218" s="72" t="str">
        <f aca="false">IF(ISNUMBER(BB218),RANK(BB218,$BB$8:$BB$507,1),"")</f>
        <v/>
      </c>
      <c r="BD218" s="72" t="str">
        <f aca="false">IF(ISBLANK($C218),"",$B218)</f>
        <v/>
      </c>
      <c r="BE218" s="72" t="str">
        <f aca="false">IF(ISBLANK($C218),"",$C218)</f>
        <v/>
      </c>
      <c r="BF218" s="72" t="str">
        <f aca="false">IF(ISBLANK($C218),"",$D218)</f>
        <v/>
      </c>
      <c r="BG218" s="73" t="str">
        <f aca="false">AU218</f>
        <v/>
      </c>
      <c r="BH218" s="74" t="str">
        <f aca="false">AT218</f>
        <v/>
      </c>
      <c r="BI218" s="72" t="str">
        <f aca="false">IF(ISBLANK($C218),"",AW218)</f>
        <v/>
      </c>
      <c r="BJ218" s="75" t="str">
        <f aca="false">IF($BA218&gt;$AZ$7,"",VLOOKUP($BA218,$BC$8:$BI$507,7,FALSE()))</f>
        <v/>
      </c>
      <c r="BK218" s="76" t="str">
        <f aca="false">IF($BA218&gt;$AZ$7,"",VLOOKUP($BA218,$BC$8:$BI$507,2,FALSE()))</f>
        <v/>
      </c>
      <c r="BL218" s="76" t="str">
        <f aca="false">IF($BA218&gt;$AZ$7,"",VLOOKUP($BA218,$BC$8:$BI$507,3,FALSE()))</f>
        <v/>
      </c>
      <c r="BM218" s="76" t="str">
        <f aca="false">IF($BA218&gt;$AZ$7,"",VLOOKUP($BA218,$BC$8:$BI$507,4,FALSE()))</f>
        <v/>
      </c>
      <c r="BN218" s="76" t="str">
        <f aca="false">IF($BA218&gt;$AZ$7,"",VLOOKUP($BA218,$BC$8:$BI$507,5,FALSE()))</f>
        <v/>
      </c>
      <c r="BO218" s="77" t="str">
        <f aca="false">IF($BA218&gt;$AZ$7,"",VLOOKUP($BA218,$BC$8:$BI$507,6,FALSE()))</f>
        <v/>
      </c>
      <c r="BP218" s="52"/>
    </row>
    <row r="219" customFormat="false" ht="15.75" hidden="false" customHeight="false" outlineLevel="0" collapsed="false">
      <c r="A219" s="5"/>
      <c r="B219" s="118"/>
      <c r="C219" s="54"/>
      <c r="D219" s="55"/>
      <c r="E219" s="79"/>
      <c r="F219" s="57"/>
      <c r="G219" s="58"/>
      <c r="H219" s="58"/>
      <c r="I219" s="57"/>
      <c r="J219" s="58"/>
      <c r="K219" s="58"/>
      <c r="L219" s="57"/>
      <c r="M219" s="79"/>
      <c r="N219" s="60"/>
      <c r="O219" s="62" t="str">
        <f aca="false">IF(ISBLANK($C219),"",IF(E219=Constants!$B$2, TRUE(), IF(E219=Constants!$B$3, FALSE(), TRUE())))</f>
        <v/>
      </c>
      <c r="P219" s="62" t="str">
        <f aca="false">IF(ISBLANK($C219),"",IF(F219=Constants!$B$16,Constants!$B$9,IF(F219=Constants!$B$17,Constants!$B$10,Constants!$B$8)))</f>
        <v/>
      </c>
      <c r="Q219" s="62" t="str">
        <f aca="false">IF(ISBLANK($C219),"",IF(ISNUMBER(G219),IF(G219&gt;=0,G219,""),""))</f>
        <v/>
      </c>
      <c r="R219" s="62" t="str">
        <f aca="false">IF(ISBLANK($C219),"",IF(H219=Constants!$B$2, TRUE(), IF(H219=Constants!$B$3, FALSE(), TRUE())))</f>
        <v/>
      </c>
      <c r="S219" s="62" t="str">
        <f aca="false">IF(ISBLANK($C219),"",IF(I219=Constants!$B$2, TRUE(), IF(I219=Constants!$B$3, FALSE(), TRUE())))</f>
        <v/>
      </c>
      <c r="T219" s="62" t="str">
        <f aca="false">IF(ISBLANK($C219),"",IF(ISNUMBER(J219),IF(J219&gt;=0,J219,""),""))</f>
        <v/>
      </c>
      <c r="U219" s="62" t="str">
        <f aca="false">IF(ISBLANK($C219),"",IF(K219=Constants!$B$2, TRUE(), IF(K219=Constants!$B$3, FALSE(), TRUE())))</f>
        <v/>
      </c>
      <c r="V219" s="62" t="str">
        <f aca="false">IF(ISBLANK($C219),"",IF(L219=Constants!$B$2, TRUE(), IF(L219=Constants!$B$3, FALSE(), TRUE())))</f>
        <v/>
      </c>
      <c r="W219" s="62" t="str">
        <f aca="false">IF(ISBLANK($C219),"",IF(M219=Constants!$B$2, TRUE(), IF(M219=Constants!$B$3, FALSE(), FALSE())))</f>
        <v/>
      </c>
      <c r="X219" s="62" t="str">
        <f aca="false">IF(ISBLANK($C219),"",AND(Q219&lt;&gt;"",O219))</f>
        <v/>
      </c>
      <c r="Y219" s="62" t="str">
        <f aca="false">IF(ISBLANK($C219),"",AND(T219&lt;&gt;"",O219))</f>
        <v/>
      </c>
      <c r="Z219" s="62" t="str">
        <f aca="false">IF(ISBLANK($C219),"",IF(W219,Constants!$B$4,IF(COUNTA(E219:L219)=0,Constants!$B$5,IF(NOT(O219),Constants!$B$6,IF(AND(NOT(X219),NOT(Y219)),Constants!$B$6,Constants!$B$7)))))</f>
        <v/>
      </c>
      <c r="AA219" s="62" t="str">
        <f aca="false">IF(ISBLANK($C219),"",IF($Z219&lt;&gt;Constants!$B$7,$Z219,Constants!$B$20))</f>
        <v/>
      </c>
      <c r="AB219" s="62" t="str">
        <f aca="false">IF($Z219=Constants!$B$7,IF(X219,Q219,Constants!$B$13),"")</f>
        <v/>
      </c>
      <c r="AC219" s="62" t="str">
        <f aca="false">IF($Z219=Constants!$B$7,IF(X219,P219*IF(R219, 1, Constants!$B$11)*IF(S219, 1, Constants!$B$12),Constants!$B$13),"")</f>
        <v/>
      </c>
      <c r="AD219" s="62" t="str">
        <f aca="false">IF($Z219=Constants!$B$7,AB219*AC219,"")</f>
        <v/>
      </c>
      <c r="AE219" s="62" t="str">
        <f aca="false">IF($Z219=Constants!$B$7,IF(Y219,T219,Constants!$B$13),"")</f>
        <v/>
      </c>
      <c r="AF219" s="62" t="str">
        <f aca="false">IF($Z219=Constants!$B$7,IF(Y219,P219*IF(U219, 1, Constants!$B$11)*IF(V219, 1, Constants!$B$12),Constants!$B$13),"")</f>
        <v/>
      </c>
      <c r="AG219" s="62" t="str">
        <f aca="false">IF($Z219=Constants!$B$7,AE219*AF219,"")</f>
        <v/>
      </c>
      <c r="AH219" s="62" t="str">
        <f aca="false">IF($Z219=Constants!$B$7,IF(AG219&gt;AD219,2,1),"")</f>
        <v/>
      </c>
      <c r="AI219" s="62" t="str">
        <f aca="false">IF($Z219=Constants!$B$7,IF(AH219=1,2,1),"")</f>
        <v/>
      </c>
      <c r="AJ219" s="62" t="str">
        <f aca="false">IF(ISBLANK($C219),"",IF($Z219&lt;&gt;Constants!$B$7,$Z219,IF(AH219=1,AD219,AG219)))</f>
        <v/>
      </c>
      <c r="AK219" s="62" t="str">
        <f aca="false">IF(ISBLANK($C219),"",IF($Z219=Constants!$B$7,IF(ISNUMBER(AJ219),RANK(AJ219,$AJ$8:$AJ$507),Constants!$B$14),$Z219))</f>
        <v/>
      </c>
      <c r="AL219" s="62" t="str">
        <f aca="false">IF(ISBLANK($C219),"",IF($Z219=Constants!$B$7,IF(AI219=1,AD219,AG219),""))</f>
        <v/>
      </c>
      <c r="AM219" s="62" t="str">
        <f aca="false">IF(ISBLANK($C219),"",IF($Z219=Constants!$B$7,RANK(AL219,$AL$8:$AL$507),$Z219))</f>
        <v/>
      </c>
      <c r="AN219" s="62" t="str">
        <f aca="false">IF(ISBLANK($C219),"",IF($Z219=Constants!$B$7,IF(ISNUMBER(AK219),COUNTIFS($AK$8:$AK$507,"&lt;"&amp;$AK219)+COUNTIFS($AK$8:$AK$507,$AK219,$AM$8:$AM$507,"&lt;"&amp;$AM219)+1,Constants!$B$14),$Z219))</f>
        <v/>
      </c>
      <c r="AO219" s="62" t="str">
        <f aca="false">IF(ISBLANK($C219),"",IF($Z219=Constants!$B$7,IF(ISNUMBER(AK219),AK219-AN219,Constants!$B$14),$Z219))</f>
        <v/>
      </c>
      <c r="AP219" s="64"/>
      <c r="AQ219" s="65" t="str">
        <f aca="false">IF(ISBLANK($C219),"",IF($Z219&lt;&gt;Constants!$B$7,"",AH219))</f>
        <v/>
      </c>
      <c r="AR219" s="80" t="str">
        <f aca="false">IF(ISBLANK($C219),"",IF($Z219&lt;&gt;Constants!$B$7,"",IF(AH219=1,AB219,AE219)))</f>
        <v/>
      </c>
      <c r="AS219" s="67" t="str">
        <f aca="false">IF(ISBLANK($C219),"",IF($Z219&lt;&gt;Constants!$B$7,"",IF(AH219=1,AC219,AF219)))</f>
        <v/>
      </c>
      <c r="AT219" s="68" t="str">
        <f aca="false">IF(ISBLANK($C219),"",IF($Z219&lt;&gt;Constants!$B$7,$Z219,AJ219))</f>
        <v/>
      </c>
      <c r="AU219" s="69" t="str">
        <f aca="false">IF(ISBLANK($C219),"",IF($Z219&lt;&gt;Constants!$B$7,$Z219,AA219))</f>
        <v/>
      </c>
      <c r="AV219" s="70" t="str">
        <f aca="false">IF(ISBLANK($C219),"",AO219)</f>
        <v/>
      </c>
      <c r="AW219" s="70" t="str">
        <f aca="false">IF(ISBLANK($C219),"",AN219)</f>
        <v/>
      </c>
      <c r="AX219" s="71" t="str">
        <f aca="false">IF(ISBLANK($C219),"",IFERROR(_xlfn.SWITCH(AW219,Constants!$B$4,COUNTA($C$8:$C$507)+2,Constants!$B$5,COUNTA($C$8:$C$507)+1,Constants!$B$6,COUNTA($C$8:$C$507)),AW219))</f>
        <v/>
      </c>
      <c r="AY219" s="5"/>
      <c r="AZ219" s="72" t="n">
        <f aca="false">IF(OR(ISNUMBER(AW219),AW219=Constants!$B$4,AW219=Constants!$B$6,AW219=Constants!$B$5),1,0)</f>
        <v>0</v>
      </c>
      <c r="BA219" s="72" t="n">
        <v>212</v>
      </c>
      <c r="BB219" s="72" t="str">
        <f aca="false">IF(ISBLANK($C219),"",IF(ISNUMBER(AX219),AX219+ROW($B219)/1000,""))</f>
        <v/>
      </c>
      <c r="BC219" s="72" t="str">
        <f aca="false">IF(ISNUMBER(BB219),RANK(BB219,$BB$8:$BB$507,1),"")</f>
        <v/>
      </c>
      <c r="BD219" s="72" t="str">
        <f aca="false">IF(ISBLANK($C219),"",$B219)</f>
        <v/>
      </c>
      <c r="BE219" s="72" t="str">
        <f aca="false">IF(ISBLANK($C219),"",$C219)</f>
        <v/>
      </c>
      <c r="BF219" s="72" t="str">
        <f aca="false">IF(ISBLANK($C219),"",$D219)</f>
        <v/>
      </c>
      <c r="BG219" s="73" t="str">
        <f aca="false">AU219</f>
        <v/>
      </c>
      <c r="BH219" s="74" t="str">
        <f aca="false">AT219</f>
        <v/>
      </c>
      <c r="BI219" s="72" t="str">
        <f aca="false">IF(ISBLANK($C219),"",AW219)</f>
        <v/>
      </c>
      <c r="BJ219" s="75" t="str">
        <f aca="false">IF($BA219&gt;$AZ$7,"",VLOOKUP($BA219,$BC$8:$BI$507,7,FALSE()))</f>
        <v/>
      </c>
      <c r="BK219" s="76" t="str">
        <f aca="false">IF($BA219&gt;$AZ$7,"",VLOOKUP($BA219,$BC$8:$BI$507,2,FALSE()))</f>
        <v/>
      </c>
      <c r="BL219" s="76" t="str">
        <f aca="false">IF($BA219&gt;$AZ$7,"",VLOOKUP($BA219,$BC$8:$BI$507,3,FALSE()))</f>
        <v/>
      </c>
      <c r="BM219" s="76" t="str">
        <f aca="false">IF($BA219&gt;$AZ$7,"",VLOOKUP($BA219,$BC$8:$BI$507,4,FALSE()))</f>
        <v/>
      </c>
      <c r="BN219" s="76" t="str">
        <f aca="false">IF($BA219&gt;$AZ$7,"",VLOOKUP($BA219,$BC$8:$BI$507,5,FALSE()))</f>
        <v/>
      </c>
      <c r="BO219" s="77" t="str">
        <f aca="false">IF($BA219&gt;$AZ$7,"",VLOOKUP($BA219,$BC$8:$BI$507,6,FALSE()))</f>
        <v/>
      </c>
      <c r="BP219" s="52"/>
    </row>
    <row r="220" customFormat="false" ht="15.75" hidden="false" customHeight="false" outlineLevel="0" collapsed="false">
      <c r="A220" s="5"/>
      <c r="B220" s="118"/>
      <c r="C220" s="54"/>
      <c r="D220" s="55"/>
      <c r="E220" s="79"/>
      <c r="F220" s="57"/>
      <c r="G220" s="58"/>
      <c r="H220" s="58"/>
      <c r="I220" s="57"/>
      <c r="J220" s="58"/>
      <c r="K220" s="58"/>
      <c r="L220" s="57"/>
      <c r="M220" s="79"/>
      <c r="N220" s="60"/>
      <c r="O220" s="62" t="str">
        <f aca="false">IF(ISBLANK($C220),"",IF(E220=Constants!$B$2, TRUE(), IF(E220=Constants!$B$3, FALSE(), TRUE())))</f>
        <v/>
      </c>
      <c r="P220" s="62" t="str">
        <f aca="false">IF(ISBLANK($C220),"",IF(F220=Constants!$B$16,Constants!$B$9,IF(F220=Constants!$B$17,Constants!$B$10,Constants!$B$8)))</f>
        <v/>
      </c>
      <c r="Q220" s="62" t="str">
        <f aca="false">IF(ISBLANK($C220),"",IF(ISNUMBER(G220),IF(G220&gt;=0,G220,""),""))</f>
        <v/>
      </c>
      <c r="R220" s="62" t="str">
        <f aca="false">IF(ISBLANK($C220),"",IF(H220=Constants!$B$2, TRUE(), IF(H220=Constants!$B$3, FALSE(), TRUE())))</f>
        <v/>
      </c>
      <c r="S220" s="62" t="str">
        <f aca="false">IF(ISBLANK($C220),"",IF(I220=Constants!$B$2, TRUE(), IF(I220=Constants!$B$3, FALSE(), TRUE())))</f>
        <v/>
      </c>
      <c r="T220" s="62" t="str">
        <f aca="false">IF(ISBLANK($C220),"",IF(ISNUMBER(J220),IF(J220&gt;=0,J220,""),""))</f>
        <v/>
      </c>
      <c r="U220" s="62" t="str">
        <f aca="false">IF(ISBLANK($C220),"",IF(K220=Constants!$B$2, TRUE(), IF(K220=Constants!$B$3, FALSE(), TRUE())))</f>
        <v/>
      </c>
      <c r="V220" s="62" t="str">
        <f aca="false">IF(ISBLANK($C220),"",IF(L220=Constants!$B$2, TRUE(), IF(L220=Constants!$B$3, FALSE(), TRUE())))</f>
        <v/>
      </c>
      <c r="W220" s="62" t="str">
        <f aca="false">IF(ISBLANK($C220),"",IF(M220=Constants!$B$2, TRUE(), IF(M220=Constants!$B$3, FALSE(), FALSE())))</f>
        <v/>
      </c>
      <c r="X220" s="62" t="str">
        <f aca="false">IF(ISBLANK($C220),"",AND(Q220&lt;&gt;"",O220))</f>
        <v/>
      </c>
      <c r="Y220" s="62" t="str">
        <f aca="false">IF(ISBLANK($C220),"",AND(T220&lt;&gt;"",O220))</f>
        <v/>
      </c>
      <c r="Z220" s="62" t="str">
        <f aca="false">IF(ISBLANK($C220),"",IF(W220,Constants!$B$4,IF(COUNTA(E220:L220)=0,Constants!$B$5,IF(NOT(O220),Constants!$B$6,IF(AND(NOT(X220),NOT(Y220)),Constants!$B$6,Constants!$B$7)))))</f>
        <v/>
      </c>
      <c r="AA220" s="62" t="str">
        <f aca="false">IF(ISBLANK($C220),"",IF($Z220&lt;&gt;Constants!$B$7,$Z220,Constants!$B$20))</f>
        <v/>
      </c>
      <c r="AB220" s="62" t="str">
        <f aca="false">IF($Z220=Constants!$B$7,IF(X220,Q220,Constants!$B$13),"")</f>
        <v/>
      </c>
      <c r="AC220" s="62" t="str">
        <f aca="false">IF($Z220=Constants!$B$7,IF(X220,P220*IF(R220, 1, Constants!$B$11)*IF(S220, 1, Constants!$B$12),Constants!$B$13),"")</f>
        <v/>
      </c>
      <c r="AD220" s="62" t="str">
        <f aca="false">IF($Z220=Constants!$B$7,AB220*AC220,"")</f>
        <v/>
      </c>
      <c r="AE220" s="62" t="str">
        <f aca="false">IF($Z220=Constants!$B$7,IF(Y220,T220,Constants!$B$13),"")</f>
        <v/>
      </c>
      <c r="AF220" s="62" t="str">
        <f aca="false">IF($Z220=Constants!$B$7,IF(Y220,P220*IF(U220, 1, Constants!$B$11)*IF(V220, 1, Constants!$B$12),Constants!$B$13),"")</f>
        <v/>
      </c>
      <c r="AG220" s="62" t="str">
        <f aca="false">IF($Z220=Constants!$B$7,AE220*AF220,"")</f>
        <v/>
      </c>
      <c r="AH220" s="62" t="str">
        <f aca="false">IF($Z220=Constants!$B$7,IF(AG220&gt;AD220,2,1),"")</f>
        <v/>
      </c>
      <c r="AI220" s="62" t="str">
        <f aca="false">IF($Z220=Constants!$B$7,IF(AH220=1,2,1),"")</f>
        <v/>
      </c>
      <c r="AJ220" s="62" t="str">
        <f aca="false">IF(ISBLANK($C220),"",IF($Z220&lt;&gt;Constants!$B$7,$Z220,IF(AH220=1,AD220,AG220)))</f>
        <v/>
      </c>
      <c r="AK220" s="62" t="str">
        <f aca="false">IF(ISBLANK($C220),"",IF($Z220=Constants!$B$7,IF(ISNUMBER(AJ220),RANK(AJ220,$AJ$8:$AJ$507),Constants!$B$14),$Z220))</f>
        <v/>
      </c>
      <c r="AL220" s="62" t="str">
        <f aca="false">IF(ISBLANK($C220),"",IF($Z220=Constants!$B$7,IF(AI220=1,AD220,AG220),""))</f>
        <v/>
      </c>
      <c r="AM220" s="62" t="str">
        <f aca="false">IF(ISBLANK($C220),"",IF($Z220=Constants!$B$7,RANK(AL220,$AL$8:$AL$507),$Z220))</f>
        <v/>
      </c>
      <c r="AN220" s="62" t="str">
        <f aca="false">IF(ISBLANK($C220),"",IF($Z220=Constants!$B$7,IF(ISNUMBER(AK220),COUNTIFS($AK$8:$AK$507,"&lt;"&amp;$AK220)+COUNTIFS($AK$8:$AK$507,$AK220,$AM$8:$AM$507,"&lt;"&amp;$AM220)+1,Constants!$B$14),$Z220))</f>
        <v/>
      </c>
      <c r="AO220" s="62" t="str">
        <f aca="false">IF(ISBLANK($C220),"",IF($Z220=Constants!$B$7,IF(ISNUMBER(AK220),AK220-AN220,Constants!$B$14),$Z220))</f>
        <v/>
      </c>
      <c r="AP220" s="64"/>
      <c r="AQ220" s="65" t="str">
        <f aca="false">IF(ISBLANK($C220),"",IF($Z220&lt;&gt;Constants!$B$7,"",AH220))</f>
        <v/>
      </c>
      <c r="AR220" s="80" t="str">
        <f aca="false">IF(ISBLANK($C220),"",IF($Z220&lt;&gt;Constants!$B$7,"",IF(AH220=1,AB220,AE220)))</f>
        <v/>
      </c>
      <c r="AS220" s="67" t="str">
        <f aca="false">IF(ISBLANK($C220),"",IF($Z220&lt;&gt;Constants!$B$7,"",IF(AH220=1,AC220,AF220)))</f>
        <v/>
      </c>
      <c r="AT220" s="68" t="str">
        <f aca="false">IF(ISBLANK($C220),"",IF($Z220&lt;&gt;Constants!$B$7,$Z220,AJ220))</f>
        <v/>
      </c>
      <c r="AU220" s="69" t="str">
        <f aca="false">IF(ISBLANK($C220),"",IF($Z220&lt;&gt;Constants!$B$7,$Z220,AA220))</f>
        <v/>
      </c>
      <c r="AV220" s="70" t="str">
        <f aca="false">IF(ISBLANK($C220),"",AO220)</f>
        <v/>
      </c>
      <c r="AW220" s="70" t="str">
        <f aca="false">IF(ISBLANK($C220),"",AN220)</f>
        <v/>
      </c>
      <c r="AX220" s="71" t="str">
        <f aca="false">IF(ISBLANK($C220),"",IFERROR(_xlfn.SWITCH(AW220,Constants!$B$4,COUNTA($C$8:$C$507)+2,Constants!$B$5,COUNTA($C$8:$C$507)+1,Constants!$B$6,COUNTA($C$8:$C$507)),AW220))</f>
        <v/>
      </c>
      <c r="AY220" s="5"/>
      <c r="AZ220" s="72" t="n">
        <f aca="false">IF(OR(ISNUMBER(AW220),AW220=Constants!$B$4,AW220=Constants!$B$6,AW220=Constants!$B$5),1,0)</f>
        <v>0</v>
      </c>
      <c r="BA220" s="72" t="n">
        <v>213</v>
      </c>
      <c r="BB220" s="72" t="str">
        <f aca="false">IF(ISBLANK($C220),"",IF(ISNUMBER(AX220),AX220+ROW($B220)/1000,""))</f>
        <v/>
      </c>
      <c r="BC220" s="72" t="str">
        <f aca="false">IF(ISNUMBER(BB220),RANK(BB220,$BB$8:$BB$507,1),"")</f>
        <v/>
      </c>
      <c r="BD220" s="72" t="str">
        <f aca="false">IF(ISBLANK($C220),"",$B220)</f>
        <v/>
      </c>
      <c r="BE220" s="72" t="str">
        <f aca="false">IF(ISBLANK($C220),"",$C220)</f>
        <v/>
      </c>
      <c r="BF220" s="72" t="str">
        <f aca="false">IF(ISBLANK($C220),"",$D220)</f>
        <v/>
      </c>
      <c r="BG220" s="73" t="str">
        <f aca="false">AU220</f>
        <v/>
      </c>
      <c r="BH220" s="74" t="str">
        <f aca="false">AT220</f>
        <v/>
      </c>
      <c r="BI220" s="72" t="str">
        <f aca="false">IF(ISBLANK($C220),"",AW220)</f>
        <v/>
      </c>
      <c r="BJ220" s="75" t="str">
        <f aca="false">IF($BA220&gt;$AZ$7,"",VLOOKUP($BA220,$BC$8:$BI$507,7,FALSE()))</f>
        <v/>
      </c>
      <c r="BK220" s="76" t="str">
        <f aca="false">IF($BA220&gt;$AZ$7,"",VLOOKUP($BA220,$BC$8:$BI$507,2,FALSE()))</f>
        <v/>
      </c>
      <c r="BL220" s="76" t="str">
        <f aca="false">IF($BA220&gt;$AZ$7,"",VLOOKUP($BA220,$BC$8:$BI$507,3,FALSE()))</f>
        <v/>
      </c>
      <c r="BM220" s="76" t="str">
        <f aca="false">IF($BA220&gt;$AZ$7,"",VLOOKUP($BA220,$BC$8:$BI$507,4,FALSE()))</f>
        <v/>
      </c>
      <c r="BN220" s="76" t="str">
        <f aca="false">IF($BA220&gt;$AZ$7,"",VLOOKUP($BA220,$BC$8:$BI$507,5,FALSE()))</f>
        <v/>
      </c>
      <c r="BO220" s="77" t="str">
        <f aca="false">IF($BA220&gt;$AZ$7,"",VLOOKUP($BA220,$BC$8:$BI$507,6,FALSE()))</f>
        <v/>
      </c>
      <c r="BP220" s="52"/>
    </row>
    <row r="221" customFormat="false" ht="15.75" hidden="false" customHeight="false" outlineLevel="0" collapsed="false">
      <c r="A221" s="5"/>
      <c r="B221" s="114"/>
      <c r="C221" s="115"/>
      <c r="D221" s="106"/>
      <c r="E221" s="117"/>
      <c r="F221" s="87"/>
      <c r="G221" s="88"/>
      <c r="H221" s="88"/>
      <c r="I221" s="87"/>
      <c r="J221" s="88"/>
      <c r="K221" s="88"/>
      <c r="L221" s="87"/>
      <c r="M221" s="117"/>
      <c r="N221" s="90"/>
      <c r="O221" s="91" t="str">
        <f aca="false">IF(ISBLANK($C221),"",IF(E221=Constants!$B$2, TRUE(), IF(E221=Constants!$B$3, FALSE(), TRUE())))</f>
        <v/>
      </c>
      <c r="P221" s="91" t="str">
        <f aca="false">IF(ISBLANK($C221),"",IF(F221=Constants!$B$16,Constants!$B$9,IF(F221=Constants!$B$17,Constants!$B$10,Constants!$B$8)))</f>
        <v/>
      </c>
      <c r="Q221" s="91" t="str">
        <f aca="false">IF(ISBLANK($C221),"",IF(ISNUMBER(G221),IF(G221&gt;=0,G221,""),""))</f>
        <v/>
      </c>
      <c r="R221" s="91" t="str">
        <f aca="false">IF(ISBLANK($C221),"",IF(H221=Constants!$B$2, TRUE(), IF(H221=Constants!$B$3, FALSE(), TRUE())))</f>
        <v/>
      </c>
      <c r="S221" s="91" t="str">
        <f aca="false">IF(ISBLANK($C221),"",IF(I221=Constants!$B$2, TRUE(), IF(I221=Constants!$B$3, FALSE(), TRUE())))</f>
        <v/>
      </c>
      <c r="T221" s="91" t="str">
        <f aca="false">IF(ISBLANK($C221),"",IF(ISNUMBER(J221),IF(J221&gt;=0,J221,""),""))</f>
        <v/>
      </c>
      <c r="U221" s="91" t="str">
        <f aca="false">IF(ISBLANK($C221),"",IF(K221=Constants!$B$2, TRUE(), IF(K221=Constants!$B$3, FALSE(), TRUE())))</f>
        <v/>
      </c>
      <c r="V221" s="91" t="str">
        <f aca="false">IF(ISBLANK($C221),"",IF(L221=Constants!$B$2, TRUE(), IF(L221=Constants!$B$3, FALSE(), TRUE())))</f>
        <v/>
      </c>
      <c r="W221" s="91" t="str">
        <f aca="false">IF(ISBLANK($C221),"",IF(M221=Constants!$B$2, TRUE(), IF(M221=Constants!$B$3, FALSE(), FALSE())))</f>
        <v/>
      </c>
      <c r="X221" s="91" t="str">
        <f aca="false">IF(ISBLANK($C221),"",AND(Q221&lt;&gt;"",O221))</f>
        <v/>
      </c>
      <c r="Y221" s="91" t="str">
        <f aca="false">IF(ISBLANK($C221),"",AND(T221&lt;&gt;"",O221))</f>
        <v/>
      </c>
      <c r="Z221" s="91" t="str">
        <f aca="false">IF(ISBLANK($C221),"",IF(W221,Constants!$B$4,IF(COUNTA(E221:L221)=0,Constants!$B$5,IF(NOT(O221),Constants!$B$6,IF(AND(NOT(X221),NOT(Y221)),Constants!$B$6,Constants!$B$7)))))</f>
        <v/>
      </c>
      <c r="AA221" s="91" t="str">
        <f aca="false">IF(ISBLANK($C221),"",IF($Z221&lt;&gt;Constants!$B$7,$Z221,Constants!$B$20))</f>
        <v/>
      </c>
      <c r="AB221" s="91" t="str">
        <f aca="false">IF($Z221=Constants!$B$7,IF(X221,Q221,Constants!$B$13),"")</f>
        <v/>
      </c>
      <c r="AC221" s="91" t="str">
        <f aca="false">IF($Z221=Constants!$B$7,IF(X221,P221*IF(R221, 1, Constants!$B$11)*IF(S221, 1, Constants!$B$12),Constants!$B$13),"")</f>
        <v/>
      </c>
      <c r="AD221" s="91" t="str">
        <f aca="false">IF($Z221=Constants!$B$7,AB221*AC221,"")</f>
        <v/>
      </c>
      <c r="AE221" s="91" t="str">
        <f aca="false">IF($Z221=Constants!$B$7,IF(Y221,T221,Constants!$B$13),"")</f>
        <v/>
      </c>
      <c r="AF221" s="91" t="str">
        <f aca="false">IF($Z221=Constants!$B$7,IF(Y221,P221*IF(U221, 1, Constants!$B$11)*IF(V221, 1, Constants!$B$12),Constants!$B$13),"")</f>
        <v/>
      </c>
      <c r="AG221" s="91" t="str">
        <f aca="false">IF($Z221=Constants!$B$7,AE221*AF221,"")</f>
        <v/>
      </c>
      <c r="AH221" s="91" t="str">
        <f aca="false">IF($Z221=Constants!$B$7,IF(AG221&gt;AD221,2,1),"")</f>
        <v/>
      </c>
      <c r="AI221" s="91" t="str">
        <f aca="false">IF($Z221=Constants!$B$7,IF(AH221=1,2,1),"")</f>
        <v/>
      </c>
      <c r="AJ221" s="91" t="str">
        <f aca="false">IF(ISBLANK($C221),"",IF($Z221&lt;&gt;Constants!$B$7,$Z221,IF(AH221=1,AD221,AG221)))</f>
        <v/>
      </c>
      <c r="AK221" s="91" t="str">
        <f aca="false">IF(ISBLANK($C221),"",IF($Z221=Constants!$B$7,IF(ISNUMBER(AJ221),RANK(AJ221,$AJ$8:$AJ$507),Constants!$B$14),$Z221))</f>
        <v/>
      </c>
      <c r="AL221" s="91" t="str">
        <f aca="false">IF(ISBLANK($C221),"",IF($Z221=Constants!$B$7,IF(AI221=1,AD221,AG221),""))</f>
        <v/>
      </c>
      <c r="AM221" s="91" t="str">
        <f aca="false">IF(ISBLANK($C221),"",IF($Z221=Constants!$B$7,RANK(AL221,$AL$8:$AL$507),$Z221))</f>
        <v/>
      </c>
      <c r="AN221" s="91" t="str">
        <f aca="false">IF(ISBLANK($C221),"",IF($Z221=Constants!$B$7,IF(ISNUMBER(AK221),COUNTIFS($AK$8:$AK$507,"&lt;"&amp;$AK221)+COUNTIFS($AK$8:$AK$507,$AK221,$AM$8:$AM$507,"&lt;"&amp;$AM221)+1,Constants!$B$14),$Z221))</f>
        <v/>
      </c>
      <c r="AO221" s="91" t="str">
        <f aca="false">IF(ISBLANK($C221),"",IF($Z221=Constants!$B$7,IF(ISNUMBER(AK221),AK221-AN221,Constants!$B$14),$Z221))</f>
        <v/>
      </c>
      <c r="AP221" s="92"/>
      <c r="AQ221" s="93" t="str">
        <f aca="false">IF(ISBLANK($C221),"",IF($Z221&lt;&gt;Constants!$B$7,"",AH221))</f>
        <v/>
      </c>
      <c r="AR221" s="94" t="str">
        <f aca="false">IF(ISBLANK($C221),"",IF($Z221&lt;&gt;Constants!$B$7,"",IF(AH221=1,AB221,AE221)))</f>
        <v/>
      </c>
      <c r="AS221" s="95" t="str">
        <f aca="false">IF(ISBLANK($C221),"",IF($Z221&lt;&gt;Constants!$B$7,"",IF(AH221=1,AC221,AF221)))</f>
        <v/>
      </c>
      <c r="AT221" s="96" t="str">
        <f aca="false">IF(ISBLANK($C221),"",IF($Z221&lt;&gt;Constants!$B$7,$Z221,AJ221))</f>
        <v/>
      </c>
      <c r="AU221" s="97" t="str">
        <f aca="false">IF(ISBLANK($C221),"",IF($Z221&lt;&gt;Constants!$B$7,$Z221,AA221))</f>
        <v/>
      </c>
      <c r="AV221" s="98" t="str">
        <f aca="false">IF(ISBLANK($C221),"",AO221)</f>
        <v/>
      </c>
      <c r="AW221" s="98" t="str">
        <f aca="false">IF(ISBLANK($C221),"",AN221)</f>
        <v/>
      </c>
      <c r="AX221" s="99" t="str">
        <f aca="false">IF(ISBLANK($C221),"",IFERROR(_xlfn.SWITCH(AW221,Constants!$B$4,COUNTA($C$8:$C$507)+2,Constants!$B$5,COUNTA($C$8:$C$507)+1,Constants!$B$6,COUNTA($C$8:$C$507)),AW221))</f>
        <v/>
      </c>
      <c r="AY221" s="5"/>
      <c r="AZ221" s="100" t="n">
        <f aca="false">IF(OR(ISNUMBER(AW221),AW221=Constants!$B$4,AW221=Constants!$B$6,AW221=Constants!$B$5),1,0)</f>
        <v>0</v>
      </c>
      <c r="BA221" s="100" t="n">
        <v>214</v>
      </c>
      <c r="BB221" s="100" t="str">
        <f aca="false">IF(ISBLANK($C221),"",IF(ISNUMBER(AX221),AX221+ROW($B221)/1000,""))</f>
        <v/>
      </c>
      <c r="BC221" s="100" t="str">
        <f aca="false">IF(ISNUMBER(BB221),RANK(BB221,$BB$8:$BB$507,1),"")</f>
        <v/>
      </c>
      <c r="BD221" s="100" t="str">
        <f aca="false">IF(ISBLANK($C221),"",$B221)</f>
        <v/>
      </c>
      <c r="BE221" s="100" t="str">
        <f aca="false">IF(ISBLANK($C221),"",$C221)</f>
        <v/>
      </c>
      <c r="BF221" s="100" t="str">
        <f aca="false">IF(ISBLANK($C221),"",$D221)</f>
        <v/>
      </c>
      <c r="BG221" s="101" t="str">
        <f aca="false">AU221</f>
        <v/>
      </c>
      <c r="BH221" s="102" t="str">
        <f aca="false">AT221</f>
        <v/>
      </c>
      <c r="BI221" s="100" t="str">
        <f aca="false">IF(ISBLANK($C221),"",AW221)</f>
        <v/>
      </c>
      <c r="BJ221" s="103" t="str">
        <f aca="false">IF($BA221&gt;$AZ$7,"",VLOOKUP($BA221,$BC$8:$BI$507,7,FALSE()))</f>
        <v/>
      </c>
      <c r="BK221" s="104" t="str">
        <f aca="false">IF($BA221&gt;$AZ$7,"",VLOOKUP($BA221,$BC$8:$BI$507,2,FALSE()))</f>
        <v/>
      </c>
      <c r="BL221" s="104" t="str">
        <f aca="false">IF($BA221&gt;$AZ$7,"",VLOOKUP($BA221,$BC$8:$BI$507,3,FALSE()))</f>
        <v/>
      </c>
      <c r="BM221" s="104" t="str">
        <f aca="false">IF($BA221&gt;$AZ$7,"",VLOOKUP($BA221,$BC$8:$BI$507,4,FALSE()))</f>
        <v/>
      </c>
      <c r="BN221" s="104" t="str">
        <f aca="false">IF($BA221&gt;$AZ$7,"",VLOOKUP($BA221,$BC$8:$BI$507,5,FALSE()))</f>
        <v/>
      </c>
      <c r="BO221" s="105" t="str">
        <f aca="false">IF($BA221&gt;$AZ$7,"",VLOOKUP($BA221,$BC$8:$BI$507,6,FALSE()))</f>
        <v/>
      </c>
      <c r="BP221" s="52"/>
    </row>
    <row r="222" customFormat="false" ht="15.75" hidden="false" customHeight="false" outlineLevel="0" collapsed="false">
      <c r="A222" s="5"/>
      <c r="B222" s="114"/>
      <c r="C222" s="115"/>
      <c r="D222" s="106"/>
      <c r="E222" s="117"/>
      <c r="F222" s="87"/>
      <c r="G222" s="88"/>
      <c r="H222" s="88"/>
      <c r="I222" s="87"/>
      <c r="J222" s="88"/>
      <c r="K222" s="88"/>
      <c r="L222" s="87"/>
      <c r="M222" s="117"/>
      <c r="N222" s="90"/>
      <c r="O222" s="91" t="str">
        <f aca="false">IF(ISBLANK($C222),"",IF(E222=Constants!$B$2, TRUE(), IF(E222=Constants!$B$3, FALSE(), TRUE())))</f>
        <v/>
      </c>
      <c r="P222" s="91" t="str">
        <f aca="false">IF(ISBLANK($C222),"",IF(F222=Constants!$B$16,Constants!$B$9,IF(F222=Constants!$B$17,Constants!$B$10,Constants!$B$8)))</f>
        <v/>
      </c>
      <c r="Q222" s="91" t="str">
        <f aca="false">IF(ISBLANK($C222),"",IF(ISNUMBER(G222),IF(G222&gt;=0,G222,""),""))</f>
        <v/>
      </c>
      <c r="R222" s="91" t="str">
        <f aca="false">IF(ISBLANK($C222),"",IF(H222=Constants!$B$2, TRUE(), IF(H222=Constants!$B$3, FALSE(), TRUE())))</f>
        <v/>
      </c>
      <c r="S222" s="91" t="str">
        <f aca="false">IF(ISBLANK($C222),"",IF(I222=Constants!$B$2, TRUE(), IF(I222=Constants!$B$3, FALSE(), TRUE())))</f>
        <v/>
      </c>
      <c r="T222" s="91" t="str">
        <f aca="false">IF(ISBLANK($C222),"",IF(ISNUMBER(J222),IF(J222&gt;=0,J222,""),""))</f>
        <v/>
      </c>
      <c r="U222" s="91" t="str">
        <f aca="false">IF(ISBLANK($C222),"",IF(K222=Constants!$B$2, TRUE(), IF(K222=Constants!$B$3, FALSE(), TRUE())))</f>
        <v/>
      </c>
      <c r="V222" s="91" t="str">
        <f aca="false">IF(ISBLANK($C222),"",IF(L222=Constants!$B$2, TRUE(), IF(L222=Constants!$B$3, FALSE(), TRUE())))</f>
        <v/>
      </c>
      <c r="W222" s="91" t="str">
        <f aca="false">IF(ISBLANK($C222),"",IF(M222=Constants!$B$2, TRUE(), IF(M222=Constants!$B$3, FALSE(), FALSE())))</f>
        <v/>
      </c>
      <c r="X222" s="91" t="str">
        <f aca="false">IF(ISBLANK($C222),"",AND(Q222&lt;&gt;"",O222))</f>
        <v/>
      </c>
      <c r="Y222" s="91" t="str">
        <f aca="false">IF(ISBLANK($C222),"",AND(T222&lt;&gt;"",O222))</f>
        <v/>
      </c>
      <c r="Z222" s="91" t="str">
        <f aca="false">IF(ISBLANK($C222),"",IF(W222,Constants!$B$4,IF(COUNTA(E222:L222)=0,Constants!$B$5,IF(NOT(O222),Constants!$B$6,IF(AND(NOT(X222),NOT(Y222)),Constants!$B$6,Constants!$B$7)))))</f>
        <v/>
      </c>
      <c r="AA222" s="91" t="str">
        <f aca="false">IF(ISBLANK($C222),"",IF($Z222&lt;&gt;Constants!$B$7,$Z222,Constants!$B$20))</f>
        <v/>
      </c>
      <c r="AB222" s="91" t="str">
        <f aca="false">IF($Z222=Constants!$B$7,IF(X222,Q222,Constants!$B$13),"")</f>
        <v/>
      </c>
      <c r="AC222" s="91" t="str">
        <f aca="false">IF($Z222=Constants!$B$7,IF(X222,P222*IF(R222, 1, Constants!$B$11)*IF(S222, 1, Constants!$B$12),Constants!$B$13),"")</f>
        <v/>
      </c>
      <c r="AD222" s="91" t="str">
        <f aca="false">IF($Z222=Constants!$B$7,AB222*AC222,"")</f>
        <v/>
      </c>
      <c r="AE222" s="91" t="str">
        <f aca="false">IF($Z222=Constants!$B$7,IF(Y222,T222,Constants!$B$13),"")</f>
        <v/>
      </c>
      <c r="AF222" s="91" t="str">
        <f aca="false">IF($Z222=Constants!$B$7,IF(Y222,P222*IF(U222, 1, Constants!$B$11)*IF(V222, 1, Constants!$B$12),Constants!$B$13),"")</f>
        <v/>
      </c>
      <c r="AG222" s="91" t="str">
        <f aca="false">IF($Z222=Constants!$B$7,AE222*AF222,"")</f>
        <v/>
      </c>
      <c r="AH222" s="91" t="str">
        <f aca="false">IF($Z222=Constants!$B$7,IF(AG222&gt;AD222,2,1),"")</f>
        <v/>
      </c>
      <c r="AI222" s="91" t="str">
        <f aca="false">IF($Z222=Constants!$B$7,IF(AH222=1,2,1),"")</f>
        <v/>
      </c>
      <c r="AJ222" s="91" t="str">
        <f aca="false">IF(ISBLANK($C222),"",IF($Z222&lt;&gt;Constants!$B$7,$Z222,IF(AH222=1,AD222,AG222)))</f>
        <v/>
      </c>
      <c r="AK222" s="91" t="str">
        <f aca="false">IF(ISBLANK($C222),"",IF($Z222=Constants!$B$7,IF(ISNUMBER(AJ222),RANK(AJ222,$AJ$8:$AJ$507),Constants!$B$14),$Z222))</f>
        <v/>
      </c>
      <c r="AL222" s="91" t="str">
        <f aca="false">IF(ISBLANK($C222),"",IF($Z222=Constants!$B$7,IF(AI222=1,AD222,AG222),""))</f>
        <v/>
      </c>
      <c r="AM222" s="91" t="str">
        <f aca="false">IF(ISBLANK($C222),"",IF($Z222=Constants!$B$7,RANK(AL222,$AL$8:$AL$507),$Z222))</f>
        <v/>
      </c>
      <c r="AN222" s="91" t="str">
        <f aca="false">IF(ISBLANK($C222),"",IF($Z222=Constants!$B$7,IF(ISNUMBER(AK222),COUNTIFS($AK$8:$AK$507,"&lt;"&amp;$AK222)+COUNTIFS($AK$8:$AK$507,$AK222,$AM$8:$AM$507,"&lt;"&amp;$AM222)+1,Constants!$B$14),$Z222))</f>
        <v/>
      </c>
      <c r="AO222" s="91" t="str">
        <f aca="false">IF(ISBLANK($C222),"",IF($Z222=Constants!$B$7,IF(ISNUMBER(AK222),AK222-AN222,Constants!$B$14),$Z222))</f>
        <v/>
      </c>
      <c r="AP222" s="92"/>
      <c r="AQ222" s="93" t="str">
        <f aca="false">IF(ISBLANK($C222),"",IF($Z222&lt;&gt;Constants!$B$7,"",AH222))</f>
        <v/>
      </c>
      <c r="AR222" s="94" t="str">
        <f aca="false">IF(ISBLANK($C222),"",IF($Z222&lt;&gt;Constants!$B$7,"",IF(AH222=1,AB222,AE222)))</f>
        <v/>
      </c>
      <c r="AS222" s="95" t="str">
        <f aca="false">IF(ISBLANK($C222),"",IF($Z222&lt;&gt;Constants!$B$7,"",IF(AH222=1,AC222,AF222)))</f>
        <v/>
      </c>
      <c r="AT222" s="96" t="str">
        <f aca="false">IF(ISBLANK($C222),"",IF($Z222&lt;&gt;Constants!$B$7,$Z222,AJ222))</f>
        <v/>
      </c>
      <c r="AU222" s="97" t="str">
        <f aca="false">IF(ISBLANK($C222),"",IF($Z222&lt;&gt;Constants!$B$7,$Z222,AA222))</f>
        <v/>
      </c>
      <c r="AV222" s="98" t="str">
        <f aca="false">IF(ISBLANK($C222),"",AO222)</f>
        <v/>
      </c>
      <c r="AW222" s="98" t="str">
        <f aca="false">IF(ISBLANK($C222),"",AN222)</f>
        <v/>
      </c>
      <c r="AX222" s="99" t="str">
        <f aca="false">IF(ISBLANK($C222),"",IFERROR(_xlfn.SWITCH(AW222,Constants!$B$4,COUNTA($C$8:$C$507)+2,Constants!$B$5,COUNTA($C$8:$C$507)+1,Constants!$B$6,COUNTA($C$8:$C$507)),AW222))</f>
        <v/>
      </c>
      <c r="AY222" s="5"/>
      <c r="AZ222" s="100" t="n">
        <f aca="false">IF(OR(ISNUMBER(AW222),AW222=Constants!$B$4,AW222=Constants!$B$6,AW222=Constants!$B$5),1,0)</f>
        <v>0</v>
      </c>
      <c r="BA222" s="100" t="n">
        <v>215</v>
      </c>
      <c r="BB222" s="100" t="str">
        <f aca="false">IF(ISBLANK($C222),"",IF(ISNUMBER(AX222),AX222+ROW($B222)/1000,""))</f>
        <v/>
      </c>
      <c r="BC222" s="100" t="str">
        <f aca="false">IF(ISNUMBER(BB222),RANK(BB222,$BB$8:$BB$507,1),"")</f>
        <v/>
      </c>
      <c r="BD222" s="100" t="str">
        <f aca="false">IF(ISBLANK($C222),"",$B222)</f>
        <v/>
      </c>
      <c r="BE222" s="100" t="str">
        <f aca="false">IF(ISBLANK($C222),"",$C222)</f>
        <v/>
      </c>
      <c r="BF222" s="100" t="str">
        <f aca="false">IF(ISBLANK($C222),"",$D222)</f>
        <v/>
      </c>
      <c r="BG222" s="101" t="str">
        <f aca="false">AU222</f>
        <v/>
      </c>
      <c r="BH222" s="102" t="str">
        <f aca="false">AT222</f>
        <v/>
      </c>
      <c r="BI222" s="100" t="str">
        <f aca="false">IF(ISBLANK($C222),"",AW222)</f>
        <v/>
      </c>
      <c r="BJ222" s="103" t="str">
        <f aca="false">IF($BA222&gt;$AZ$7,"",VLOOKUP($BA222,$BC$8:$BI$507,7,FALSE()))</f>
        <v/>
      </c>
      <c r="BK222" s="104" t="str">
        <f aca="false">IF($BA222&gt;$AZ$7,"",VLOOKUP($BA222,$BC$8:$BI$507,2,FALSE()))</f>
        <v/>
      </c>
      <c r="BL222" s="104" t="str">
        <f aca="false">IF($BA222&gt;$AZ$7,"",VLOOKUP($BA222,$BC$8:$BI$507,3,FALSE()))</f>
        <v/>
      </c>
      <c r="BM222" s="104" t="str">
        <f aca="false">IF($BA222&gt;$AZ$7,"",VLOOKUP($BA222,$BC$8:$BI$507,4,FALSE()))</f>
        <v/>
      </c>
      <c r="BN222" s="104" t="str">
        <f aca="false">IF($BA222&gt;$AZ$7,"",VLOOKUP($BA222,$BC$8:$BI$507,5,FALSE()))</f>
        <v/>
      </c>
      <c r="BO222" s="105" t="str">
        <f aca="false">IF($BA222&gt;$AZ$7,"",VLOOKUP($BA222,$BC$8:$BI$507,6,FALSE()))</f>
        <v/>
      </c>
      <c r="BP222" s="52"/>
    </row>
    <row r="223" customFormat="false" ht="15.75" hidden="false" customHeight="false" outlineLevel="0" collapsed="false">
      <c r="A223" s="5"/>
      <c r="B223" s="114"/>
      <c r="C223" s="115"/>
      <c r="D223" s="106"/>
      <c r="E223" s="117"/>
      <c r="F223" s="87"/>
      <c r="G223" s="88"/>
      <c r="H223" s="88"/>
      <c r="I223" s="87"/>
      <c r="J223" s="88"/>
      <c r="K223" s="88"/>
      <c r="L223" s="87"/>
      <c r="M223" s="117"/>
      <c r="N223" s="90"/>
      <c r="O223" s="91" t="str">
        <f aca="false">IF(ISBLANK($C223),"",IF(E223=Constants!$B$2, TRUE(), IF(E223=Constants!$B$3, FALSE(), TRUE())))</f>
        <v/>
      </c>
      <c r="P223" s="91" t="str">
        <f aca="false">IF(ISBLANK($C223),"",IF(F223=Constants!$B$16,Constants!$B$9,IF(F223=Constants!$B$17,Constants!$B$10,Constants!$B$8)))</f>
        <v/>
      </c>
      <c r="Q223" s="91" t="str">
        <f aca="false">IF(ISBLANK($C223),"",IF(ISNUMBER(G223),IF(G223&gt;=0,G223,""),""))</f>
        <v/>
      </c>
      <c r="R223" s="91" t="str">
        <f aca="false">IF(ISBLANK($C223),"",IF(H223=Constants!$B$2, TRUE(), IF(H223=Constants!$B$3, FALSE(), TRUE())))</f>
        <v/>
      </c>
      <c r="S223" s="91" t="str">
        <f aca="false">IF(ISBLANK($C223),"",IF(I223=Constants!$B$2, TRUE(), IF(I223=Constants!$B$3, FALSE(), TRUE())))</f>
        <v/>
      </c>
      <c r="T223" s="91" t="str">
        <f aca="false">IF(ISBLANK($C223),"",IF(ISNUMBER(J223),IF(J223&gt;=0,J223,""),""))</f>
        <v/>
      </c>
      <c r="U223" s="91" t="str">
        <f aca="false">IF(ISBLANK($C223),"",IF(K223=Constants!$B$2, TRUE(), IF(K223=Constants!$B$3, FALSE(), TRUE())))</f>
        <v/>
      </c>
      <c r="V223" s="91" t="str">
        <f aca="false">IF(ISBLANK($C223),"",IF(L223=Constants!$B$2, TRUE(), IF(L223=Constants!$B$3, FALSE(), TRUE())))</f>
        <v/>
      </c>
      <c r="W223" s="91" t="str">
        <f aca="false">IF(ISBLANK($C223),"",IF(M223=Constants!$B$2, TRUE(), IF(M223=Constants!$B$3, FALSE(), FALSE())))</f>
        <v/>
      </c>
      <c r="X223" s="91" t="str">
        <f aca="false">IF(ISBLANK($C223),"",AND(Q223&lt;&gt;"",O223))</f>
        <v/>
      </c>
      <c r="Y223" s="91" t="str">
        <f aca="false">IF(ISBLANK($C223),"",AND(T223&lt;&gt;"",O223))</f>
        <v/>
      </c>
      <c r="Z223" s="91" t="str">
        <f aca="false">IF(ISBLANK($C223),"",IF(W223,Constants!$B$4,IF(COUNTA(E223:L223)=0,Constants!$B$5,IF(NOT(O223),Constants!$B$6,IF(AND(NOT(X223),NOT(Y223)),Constants!$B$6,Constants!$B$7)))))</f>
        <v/>
      </c>
      <c r="AA223" s="91" t="str">
        <f aca="false">IF(ISBLANK($C223),"",IF($Z223&lt;&gt;Constants!$B$7,$Z223,Constants!$B$20))</f>
        <v/>
      </c>
      <c r="AB223" s="91" t="str">
        <f aca="false">IF($Z223=Constants!$B$7,IF(X223,Q223,Constants!$B$13),"")</f>
        <v/>
      </c>
      <c r="AC223" s="91" t="str">
        <f aca="false">IF($Z223=Constants!$B$7,IF(X223,P223*IF(R223, 1, Constants!$B$11)*IF(S223, 1, Constants!$B$12),Constants!$B$13),"")</f>
        <v/>
      </c>
      <c r="AD223" s="91" t="str">
        <f aca="false">IF($Z223=Constants!$B$7,AB223*AC223,"")</f>
        <v/>
      </c>
      <c r="AE223" s="91" t="str">
        <f aca="false">IF($Z223=Constants!$B$7,IF(Y223,T223,Constants!$B$13),"")</f>
        <v/>
      </c>
      <c r="AF223" s="91" t="str">
        <f aca="false">IF($Z223=Constants!$B$7,IF(Y223,P223*IF(U223, 1, Constants!$B$11)*IF(V223, 1, Constants!$B$12),Constants!$B$13),"")</f>
        <v/>
      </c>
      <c r="AG223" s="91" t="str">
        <f aca="false">IF($Z223=Constants!$B$7,AE223*AF223,"")</f>
        <v/>
      </c>
      <c r="AH223" s="91" t="str">
        <f aca="false">IF($Z223=Constants!$B$7,IF(AG223&gt;AD223,2,1),"")</f>
        <v/>
      </c>
      <c r="AI223" s="91" t="str">
        <f aca="false">IF($Z223=Constants!$B$7,IF(AH223=1,2,1),"")</f>
        <v/>
      </c>
      <c r="AJ223" s="91" t="str">
        <f aca="false">IF(ISBLANK($C223),"",IF($Z223&lt;&gt;Constants!$B$7,$Z223,IF(AH223=1,AD223,AG223)))</f>
        <v/>
      </c>
      <c r="AK223" s="91" t="str">
        <f aca="false">IF(ISBLANK($C223),"",IF($Z223=Constants!$B$7,IF(ISNUMBER(AJ223),RANK(AJ223,$AJ$8:$AJ$507),Constants!$B$14),$Z223))</f>
        <v/>
      </c>
      <c r="AL223" s="91" t="str">
        <f aca="false">IF(ISBLANK($C223),"",IF($Z223=Constants!$B$7,IF(AI223=1,AD223,AG223),""))</f>
        <v/>
      </c>
      <c r="AM223" s="91" t="str">
        <f aca="false">IF(ISBLANK($C223),"",IF($Z223=Constants!$B$7,RANK(AL223,$AL$8:$AL$507),$Z223))</f>
        <v/>
      </c>
      <c r="AN223" s="91" t="str">
        <f aca="false">IF(ISBLANK($C223),"",IF($Z223=Constants!$B$7,IF(ISNUMBER(AK223),COUNTIFS($AK$8:$AK$507,"&lt;"&amp;$AK223)+COUNTIFS($AK$8:$AK$507,$AK223,$AM$8:$AM$507,"&lt;"&amp;$AM223)+1,Constants!$B$14),$Z223))</f>
        <v/>
      </c>
      <c r="AO223" s="91" t="str">
        <f aca="false">IF(ISBLANK($C223),"",IF($Z223=Constants!$B$7,IF(ISNUMBER(AK223),AK223-AN223,Constants!$B$14),$Z223))</f>
        <v/>
      </c>
      <c r="AP223" s="92"/>
      <c r="AQ223" s="93" t="str">
        <f aca="false">IF(ISBLANK($C223),"",IF($Z223&lt;&gt;Constants!$B$7,"",AH223))</f>
        <v/>
      </c>
      <c r="AR223" s="94" t="str">
        <f aca="false">IF(ISBLANK($C223),"",IF($Z223&lt;&gt;Constants!$B$7,"",IF(AH223=1,AB223,AE223)))</f>
        <v/>
      </c>
      <c r="AS223" s="95" t="str">
        <f aca="false">IF(ISBLANK($C223),"",IF($Z223&lt;&gt;Constants!$B$7,"",IF(AH223=1,AC223,AF223)))</f>
        <v/>
      </c>
      <c r="AT223" s="96" t="str">
        <f aca="false">IF(ISBLANK($C223),"",IF($Z223&lt;&gt;Constants!$B$7,$Z223,AJ223))</f>
        <v/>
      </c>
      <c r="AU223" s="97" t="str">
        <f aca="false">IF(ISBLANK($C223),"",IF($Z223&lt;&gt;Constants!$B$7,$Z223,AA223))</f>
        <v/>
      </c>
      <c r="AV223" s="98" t="str">
        <f aca="false">IF(ISBLANK($C223),"",AO223)</f>
        <v/>
      </c>
      <c r="AW223" s="98" t="str">
        <f aca="false">IF(ISBLANK($C223),"",AN223)</f>
        <v/>
      </c>
      <c r="AX223" s="99" t="str">
        <f aca="false">IF(ISBLANK($C223),"",IFERROR(_xlfn.SWITCH(AW223,Constants!$B$4,COUNTA($C$8:$C$507)+2,Constants!$B$5,COUNTA($C$8:$C$507)+1,Constants!$B$6,COUNTA($C$8:$C$507)),AW223))</f>
        <v/>
      </c>
      <c r="AY223" s="5"/>
      <c r="AZ223" s="100" t="n">
        <f aca="false">IF(OR(ISNUMBER(AW223),AW223=Constants!$B$4,AW223=Constants!$B$6,AW223=Constants!$B$5),1,0)</f>
        <v>0</v>
      </c>
      <c r="BA223" s="100" t="n">
        <v>216</v>
      </c>
      <c r="BB223" s="100" t="str">
        <f aca="false">IF(ISBLANK($C223),"",IF(ISNUMBER(AX223),AX223+ROW($B223)/1000,""))</f>
        <v/>
      </c>
      <c r="BC223" s="100" t="str">
        <f aca="false">IF(ISNUMBER(BB223),RANK(BB223,$BB$8:$BB$507,1),"")</f>
        <v/>
      </c>
      <c r="BD223" s="100" t="str">
        <f aca="false">IF(ISBLANK($C223),"",$B223)</f>
        <v/>
      </c>
      <c r="BE223" s="100" t="str">
        <f aca="false">IF(ISBLANK($C223),"",$C223)</f>
        <v/>
      </c>
      <c r="BF223" s="100" t="str">
        <f aca="false">IF(ISBLANK($C223),"",$D223)</f>
        <v/>
      </c>
      <c r="BG223" s="101" t="str">
        <f aca="false">AU223</f>
        <v/>
      </c>
      <c r="BH223" s="102" t="str">
        <f aca="false">AT223</f>
        <v/>
      </c>
      <c r="BI223" s="100" t="str">
        <f aca="false">IF(ISBLANK($C223),"",AW223)</f>
        <v/>
      </c>
      <c r="BJ223" s="103" t="str">
        <f aca="false">IF($BA223&gt;$AZ$7,"",VLOOKUP($BA223,$BC$8:$BI$507,7,FALSE()))</f>
        <v/>
      </c>
      <c r="BK223" s="104" t="str">
        <f aca="false">IF($BA223&gt;$AZ$7,"",VLOOKUP($BA223,$BC$8:$BI$507,2,FALSE()))</f>
        <v/>
      </c>
      <c r="BL223" s="104" t="str">
        <f aca="false">IF($BA223&gt;$AZ$7,"",VLOOKUP($BA223,$BC$8:$BI$507,3,FALSE()))</f>
        <v/>
      </c>
      <c r="BM223" s="104" t="str">
        <f aca="false">IF($BA223&gt;$AZ$7,"",VLOOKUP($BA223,$BC$8:$BI$507,4,FALSE()))</f>
        <v/>
      </c>
      <c r="BN223" s="104" t="str">
        <f aca="false">IF($BA223&gt;$AZ$7,"",VLOOKUP($BA223,$BC$8:$BI$507,5,FALSE()))</f>
        <v/>
      </c>
      <c r="BO223" s="105" t="str">
        <f aca="false">IF($BA223&gt;$AZ$7,"",VLOOKUP($BA223,$BC$8:$BI$507,6,FALSE()))</f>
        <v/>
      </c>
      <c r="BP223" s="52"/>
    </row>
    <row r="224" customFormat="false" ht="15.75" hidden="false" customHeight="false" outlineLevel="0" collapsed="false">
      <c r="A224" s="5"/>
      <c r="B224" s="118"/>
      <c r="C224" s="54"/>
      <c r="D224" s="55"/>
      <c r="E224" s="79"/>
      <c r="F224" s="57"/>
      <c r="G224" s="58"/>
      <c r="H224" s="58"/>
      <c r="I224" s="57"/>
      <c r="J224" s="58"/>
      <c r="K224" s="58"/>
      <c r="L224" s="57"/>
      <c r="M224" s="79"/>
      <c r="N224" s="60"/>
      <c r="O224" s="62" t="str">
        <f aca="false">IF(ISBLANK($C224),"",IF(E224=Constants!$B$2, TRUE(), IF(E224=Constants!$B$3, FALSE(), TRUE())))</f>
        <v/>
      </c>
      <c r="P224" s="62" t="str">
        <f aca="false">IF(ISBLANK($C224),"",IF(F224=Constants!$B$16,Constants!$B$9,IF(F224=Constants!$B$17,Constants!$B$10,Constants!$B$8)))</f>
        <v/>
      </c>
      <c r="Q224" s="62" t="str">
        <f aca="false">IF(ISBLANK($C224),"",IF(ISNUMBER(G224),IF(G224&gt;=0,G224,""),""))</f>
        <v/>
      </c>
      <c r="R224" s="62" t="str">
        <f aca="false">IF(ISBLANK($C224),"",IF(H224=Constants!$B$2, TRUE(), IF(H224=Constants!$B$3, FALSE(), TRUE())))</f>
        <v/>
      </c>
      <c r="S224" s="62" t="str">
        <f aca="false">IF(ISBLANK($C224),"",IF(I224=Constants!$B$2, TRUE(), IF(I224=Constants!$B$3, FALSE(), TRUE())))</f>
        <v/>
      </c>
      <c r="T224" s="62" t="str">
        <f aca="false">IF(ISBLANK($C224),"",IF(ISNUMBER(J224),IF(J224&gt;=0,J224,""),""))</f>
        <v/>
      </c>
      <c r="U224" s="62" t="str">
        <f aca="false">IF(ISBLANK($C224),"",IF(K224=Constants!$B$2, TRUE(), IF(K224=Constants!$B$3, FALSE(), TRUE())))</f>
        <v/>
      </c>
      <c r="V224" s="62" t="str">
        <f aca="false">IF(ISBLANK($C224),"",IF(L224=Constants!$B$2, TRUE(), IF(L224=Constants!$B$3, FALSE(), TRUE())))</f>
        <v/>
      </c>
      <c r="W224" s="62" t="str">
        <f aca="false">IF(ISBLANK($C224),"",IF(M224=Constants!$B$2, TRUE(), IF(M224=Constants!$B$3, FALSE(), FALSE())))</f>
        <v/>
      </c>
      <c r="X224" s="62" t="str">
        <f aca="false">IF(ISBLANK($C224),"",AND(Q224&lt;&gt;"",O224))</f>
        <v/>
      </c>
      <c r="Y224" s="62" t="str">
        <f aca="false">IF(ISBLANK($C224),"",AND(T224&lt;&gt;"",O224))</f>
        <v/>
      </c>
      <c r="Z224" s="62" t="str">
        <f aca="false">IF(ISBLANK($C224),"",IF(W224,Constants!$B$4,IF(COUNTA(E224:L224)=0,Constants!$B$5,IF(NOT(O224),Constants!$B$6,IF(AND(NOT(X224),NOT(Y224)),Constants!$B$6,Constants!$B$7)))))</f>
        <v/>
      </c>
      <c r="AA224" s="62" t="str">
        <f aca="false">IF(ISBLANK($C224),"",IF($Z224&lt;&gt;Constants!$B$7,$Z224,Constants!$B$20))</f>
        <v/>
      </c>
      <c r="AB224" s="62" t="str">
        <f aca="false">IF($Z224=Constants!$B$7,IF(X224,Q224,Constants!$B$13),"")</f>
        <v/>
      </c>
      <c r="AC224" s="62" t="str">
        <f aca="false">IF($Z224=Constants!$B$7,IF(X224,P224*IF(R224, 1, Constants!$B$11)*IF(S224, 1, Constants!$B$12),Constants!$B$13),"")</f>
        <v/>
      </c>
      <c r="AD224" s="62" t="str">
        <f aca="false">IF($Z224=Constants!$B$7,AB224*AC224,"")</f>
        <v/>
      </c>
      <c r="AE224" s="62" t="str">
        <f aca="false">IF($Z224=Constants!$B$7,IF(Y224,T224,Constants!$B$13),"")</f>
        <v/>
      </c>
      <c r="AF224" s="62" t="str">
        <f aca="false">IF($Z224=Constants!$B$7,IF(Y224,P224*IF(U224, 1, Constants!$B$11)*IF(V224, 1, Constants!$B$12),Constants!$B$13),"")</f>
        <v/>
      </c>
      <c r="AG224" s="62" t="str">
        <f aca="false">IF($Z224=Constants!$B$7,AE224*AF224,"")</f>
        <v/>
      </c>
      <c r="AH224" s="62" t="str">
        <f aca="false">IF($Z224=Constants!$B$7,IF(AG224&gt;AD224,2,1),"")</f>
        <v/>
      </c>
      <c r="AI224" s="62" t="str">
        <f aca="false">IF($Z224=Constants!$B$7,IF(AH224=1,2,1),"")</f>
        <v/>
      </c>
      <c r="AJ224" s="62" t="str">
        <f aca="false">IF(ISBLANK($C224),"",IF($Z224&lt;&gt;Constants!$B$7,$Z224,IF(AH224=1,AD224,AG224)))</f>
        <v/>
      </c>
      <c r="AK224" s="62" t="str">
        <f aca="false">IF(ISBLANK($C224),"",IF($Z224=Constants!$B$7,IF(ISNUMBER(AJ224),RANK(AJ224,$AJ$8:$AJ$507),Constants!$B$14),$Z224))</f>
        <v/>
      </c>
      <c r="AL224" s="62" t="str">
        <f aca="false">IF(ISBLANK($C224),"",IF($Z224=Constants!$B$7,IF(AI224=1,AD224,AG224),""))</f>
        <v/>
      </c>
      <c r="AM224" s="62" t="str">
        <f aca="false">IF(ISBLANK($C224),"",IF($Z224=Constants!$B$7,RANK(AL224,$AL$8:$AL$507),$Z224))</f>
        <v/>
      </c>
      <c r="AN224" s="62" t="str">
        <f aca="false">IF(ISBLANK($C224),"",IF($Z224=Constants!$B$7,IF(ISNUMBER(AK224),COUNTIFS($AK$8:$AK$507,"&lt;"&amp;$AK224)+COUNTIFS($AK$8:$AK$507,$AK224,$AM$8:$AM$507,"&lt;"&amp;$AM224)+1,Constants!$B$14),$Z224))</f>
        <v/>
      </c>
      <c r="AO224" s="62" t="str">
        <f aca="false">IF(ISBLANK($C224),"",IF($Z224=Constants!$B$7,IF(ISNUMBER(AK224),AK224-AN224,Constants!$B$14),$Z224))</f>
        <v/>
      </c>
      <c r="AP224" s="64"/>
      <c r="AQ224" s="65" t="str">
        <f aca="false">IF(ISBLANK($C224),"",IF($Z224&lt;&gt;Constants!$B$7,"",AH224))</f>
        <v/>
      </c>
      <c r="AR224" s="80" t="str">
        <f aca="false">IF(ISBLANK($C224),"",IF($Z224&lt;&gt;Constants!$B$7,"",IF(AH224=1,AB224,AE224)))</f>
        <v/>
      </c>
      <c r="AS224" s="67" t="str">
        <f aca="false">IF(ISBLANK($C224),"",IF($Z224&lt;&gt;Constants!$B$7,"",IF(AH224=1,AC224,AF224)))</f>
        <v/>
      </c>
      <c r="AT224" s="68" t="str">
        <f aca="false">IF(ISBLANK($C224),"",IF($Z224&lt;&gt;Constants!$B$7,$Z224,AJ224))</f>
        <v/>
      </c>
      <c r="AU224" s="69" t="str">
        <f aca="false">IF(ISBLANK($C224),"",IF($Z224&lt;&gt;Constants!$B$7,$Z224,AA224))</f>
        <v/>
      </c>
      <c r="AV224" s="70" t="str">
        <f aca="false">IF(ISBLANK($C224),"",AO224)</f>
        <v/>
      </c>
      <c r="AW224" s="70" t="str">
        <f aca="false">IF(ISBLANK($C224),"",AN224)</f>
        <v/>
      </c>
      <c r="AX224" s="71" t="str">
        <f aca="false">IF(ISBLANK($C224),"",IFERROR(_xlfn.SWITCH(AW224,Constants!$B$4,COUNTA($C$8:$C$507)+2,Constants!$B$5,COUNTA($C$8:$C$507)+1,Constants!$B$6,COUNTA($C$8:$C$507)),AW224))</f>
        <v/>
      </c>
      <c r="AY224" s="5"/>
      <c r="AZ224" s="72" t="n">
        <f aca="false">IF(OR(ISNUMBER(AW224),AW224=Constants!$B$4,AW224=Constants!$B$6,AW224=Constants!$B$5),1,0)</f>
        <v>0</v>
      </c>
      <c r="BA224" s="72" t="n">
        <v>217</v>
      </c>
      <c r="BB224" s="72" t="str">
        <f aca="false">IF(ISBLANK($C224),"",IF(ISNUMBER(AX224),AX224+ROW($B224)/1000,""))</f>
        <v/>
      </c>
      <c r="BC224" s="72" t="str">
        <f aca="false">IF(ISNUMBER(BB224),RANK(BB224,$BB$8:$BB$507,1),"")</f>
        <v/>
      </c>
      <c r="BD224" s="72" t="str">
        <f aca="false">IF(ISBLANK($C224),"",$B224)</f>
        <v/>
      </c>
      <c r="BE224" s="72" t="str">
        <f aca="false">IF(ISBLANK($C224),"",$C224)</f>
        <v/>
      </c>
      <c r="BF224" s="72" t="str">
        <f aca="false">IF(ISBLANK($C224),"",$D224)</f>
        <v/>
      </c>
      <c r="BG224" s="73" t="str">
        <f aca="false">AU224</f>
        <v/>
      </c>
      <c r="BH224" s="74" t="str">
        <f aca="false">AT224</f>
        <v/>
      </c>
      <c r="BI224" s="72" t="str">
        <f aca="false">IF(ISBLANK($C224),"",AW224)</f>
        <v/>
      </c>
      <c r="BJ224" s="75" t="str">
        <f aca="false">IF($BA224&gt;$AZ$7,"",VLOOKUP($BA224,$BC$8:$BI$507,7,FALSE()))</f>
        <v/>
      </c>
      <c r="BK224" s="76" t="str">
        <f aca="false">IF($BA224&gt;$AZ$7,"",VLOOKUP($BA224,$BC$8:$BI$507,2,FALSE()))</f>
        <v/>
      </c>
      <c r="BL224" s="76" t="str">
        <f aca="false">IF($BA224&gt;$AZ$7,"",VLOOKUP($BA224,$BC$8:$BI$507,3,FALSE()))</f>
        <v/>
      </c>
      <c r="BM224" s="76" t="str">
        <f aca="false">IF($BA224&gt;$AZ$7,"",VLOOKUP($BA224,$BC$8:$BI$507,4,FALSE()))</f>
        <v/>
      </c>
      <c r="BN224" s="76" t="str">
        <f aca="false">IF($BA224&gt;$AZ$7,"",VLOOKUP($BA224,$BC$8:$BI$507,5,FALSE()))</f>
        <v/>
      </c>
      <c r="BO224" s="77" t="str">
        <f aca="false">IF($BA224&gt;$AZ$7,"",VLOOKUP($BA224,$BC$8:$BI$507,6,FALSE()))</f>
        <v/>
      </c>
      <c r="BP224" s="52"/>
    </row>
    <row r="225" customFormat="false" ht="15.75" hidden="false" customHeight="false" outlineLevel="0" collapsed="false">
      <c r="A225" s="5"/>
      <c r="B225" s="118"/>
      <c r="C225" s="54"/>
      <c r="D225" s="55"/>
      <c r="E225" s="79"/>
      <c r="F225" s="57"/>
      <c r="G225" s="58"/>
      <c r="H225" s="58"/>
      <c r="I225" s="57"/>
      <c r="J225" s="58"/>
      <c r="K225" s="58"/>
      <c r="L225" s="57"/>
      <c r="M225" s="79"/>
      <c r="N225" s="60"/>
      <c r="O225" s="62" t="str">
        <f aca="false">IF(ISBLANK($C225),"",IF(E225=Constants!$B$2, TRUE(), IF(E225=Constants!$B$3, FALSE(), TRUE())))</f>
        <v/>
      </c>
      <c r="P225" s="62" t="str">
        <f aca="false">IF(ISBLANK($C225),"",IF(F225=Constants!$B$16,Constants!$B$9,IF(F225=Constants!$B$17,Constants!$B$10,Constants!$B$8)))</f>
        <v/>
      </c>
      <c r="Q225" s="62" t="str">
        <f aca="false">IF(ISBLANK($C225),"",IF(ISNUMBER(G225),IF(G225&gt;=0,G225,""),""))</f>
        <v/>
      </c>
      <c r="R225" s="62" t="str">
        <f aca="false">IF(ISBLANK($C225),"",IF(H225=Constants!$B$2, TRUE(), IF(H225=Constants!$B$3, FALSE(), TRUE())))</f>
        <v/>
      </c>
      <c r="S225" s="62" t="str">
        <f aca="false">IF(ISBLANK($C225),"",IF(I225=Constants!$B$2, TRUE(), IF(I225=Constants!$B$3, FALSE(), TRUE())))</f>
        <v/>
      </c>
      <c r="T225" s="62" t="str">
        <f aca="false">IF(ISBLANK($C225),"",IF(ISNUMBER(J225),IF(J225&gt;=0,J225,""),""))</f>
        <v/>
      </c>
      <c r="U225" s="62" t="str">
        <f aca="false">IF(ISBLANK($C225),"",IF(K225=Constants!$B$2, TRUE(), IF(K225=Constants!$B$3, FALSE(), TRUE())))</f>
        <v/>
      </c>
      <c r="V225" s="62" t="str">
        <f aca="false">IF(ISBLANK($C225),"",IF(L225=Constants!$B$2, TRUE(), IF(L225=Constants!$B$3, FALSE(), TRUE())))</f>
        <v/>
      </c>
      <c r="W225" s="62" t="str">
        <f aca="false">IF(ISBLANK($C225),"",IF(M225=Constants!$B$2, TRUE(), IF(M225=Constants!$B$3, FALSE(), FALSE())))</f>
        <v/>
      </c>
      <c r="X225" s="62" t="str">
        <f aca="false">IF(ISBLANK($C225),"",AND(Q225&lt;&gt;"",O225))</f>
        <v/>
      </c>
      <c r="Y225" s="62" t="str">
        <f aca="false">IF(ISBLANK($C225),"",AND(T225&lt;&gt;"",O225))</f>
        <v/>
      </c>
      <c r="Z225" s="62" t="str">
        <f aca="false">IF(ISBLANK($C225),"",IF(W225,Constants!$B$4,IF(COUNTA(E225:L225)=0,Constants!$B$5,IF(NOT(O225),Constants!$B$6,IF(AND(NOT(X225),NOT(Y225)),Constants!$B$6,Constants!$B$7)))))</f>
        <v/>
      </c>
      <c r="AA225" s="62" t="str">
        <f aca="false">IF(ISBLANK($C225),"",IF($Z225&lt;&gt;Constants!$B$7,$Z225,Constants!$B$20))</f>
        <v/>
      </c>
      <c r="AB225" s="62" t="str">
        <f aca="false">IF($Z225=Constants!$B$7,IF(X225,Q225,Constants!$B$13),"")</f>
        <v/>
      </c>
      <c r="AC225" s="62" t="str">
        <f aca="false">IF($Z225=Constants!$B$7,IF(X225,P225*IF(R225, 1, Constants!$B$11)*IF(S225, 1, Constants!$B$12),Constants!$B$13),"")</f>
        <v/>
      </c>
      <c r="AD225" s="62" t="str">
        <f aca="false">IF($Z225=Constants!$B$7,AB225*AC225,"")</f>
        <v/>
      </c>
      <c r="AE225" s="62" t="str">
        <f aca="false">IF($Z225=Constants!$B$7,IF(Y225,T225,Constants!$B$13),"")</f>
        <v/>
      </c>
      <c r="AF225" s="62" t="str">
        <f aca="false">IF($Z225=Constants!$B$7,IF(Y225,P225*IF(U225, 1, Constants!$B$11)*IF(V225, 1, Constants!$B$12),Constants!$B$13),"")</f>
        <v/>
      </c>
      <c r="AG225" s="62" t="str">
        <f aca="false">IF($Z225=Constants!$B$7,AE225*AF225,"")</f>
        <v/>
      </c>
      <c r="AH225" s="62" t="str">
        <f aca="false">IF($Z225=Constants!$B$7,IF(AG225&gt;AD225,2,1),"")</f>
        <v/>
      </c>
      <c r="AI225" s="62" t="str">
        <f aca="false">IF($Z225=Constants!$B$7,IF(AH225=1,2,1),"")</f>
        <v/>
      </c>
      <c r="AJ225" s="62" t="str">
        <f aca="false">IF(ISBLANK($C225),"",IF($Z225&lt;&gt;Constants!$B$7,$Z225,IF(AH225=1,AD225,AG225)))</f>
        <v/>
      </c>
      <c r="AK225" s="62" t="str">
        <f aca="false">IF(ISBLANK($C225),"",IF($Z225=Constants!$B$7,IF(ISNUMBER(AJ225),RANK(AJ225,$AJ$8:$AJ$507),Constants!$B$14),$Z225))</f>
        <v/>
      </c>
      <c r="AL225" s="62" t="str">
        <f aca="false">IF(ISBLANK($C225),"",IF($Z225=Constants!$B$7,IF(AI225=1,AD225,AG225),""))</f>
        <v/>
      </c>
      <c r="AM225" s="62" t="str">
        <f aca="false">IF(ISBLANK($C225),"",IF($Z225=Constants!$B$7,RANK(AL225,$AL$8:$AL$507),$Z225))</f>
        <v/>
      </c>
      <c r="AN225" s="62" t="str">
        <f aca="false">IF(ISBLANK($C225),"",IF($Z225=Constants!$B$7,IF(ISNUMBER(AK225),COUNTIFS($AK$8:$AK$507,"&lt;"&amp;$AK225)+COUNTIFS($AK$8:$AK$507,$AK225,$AM$8:$AM$507,"&lt;"&amp;$AM225)+1,Constants!$B$14),$Z225))</f>
        <v/>
      </c>
      <c r="AO225" s="62" t="str">
        <f aca="false">IF(ISBLANK($C225),"",IF($Z225=Constants!$B$7,IF(ISNUMBER(AK225),AK225-AN225,Constants!$B$14),$Z225))</f>
        <v/>
      </c>
      <c r="AP225" s="64"/>
      <c r="AQ225" s="65" t="str">
        <f aca="false">IF(ISBLANK($C225),"",IF($Z225&lt;&gt;Constants!$B$7,"",AH225))</f>
        <v/>
      </c>
      <c r="AR225" s="80" t="str">
        <f aca="false">IF(ISBLANK($C225),"",IF($Z225&lt;&gt;Constants!$B$7,"",IF(AH225=1,AB225,AE225)))</f>
        <v/>
      </c>
      <c r="AS225" s="67" t="str">
        <f aca="false">IF(ISBLANK($C225),"",IF($Z225&lt;&gt;Constants!$B$7,"",IF(AH225=1,AC225,AF225)))</f>
        <v/>
      </c>
      <c r="AT225" s="68" t="str">
        <f aca="false">IF(ISBLANK($C225),"",IF($Z225&lt;&gt;Constants!$B$7,$Z225,AJ225))</f>
        <v/>
      </c>
      <c r="AU225" s="69" t="str">
        <f aca="false">IF(ISBLANK($C225),"",IF($Z225&lt;&gt;Constants!$B$7,$Z225,AA225))</f>
        <v/>
      </c>
      <c r="AV225" s="70" t="str">
        <f aca="false">IF(ISBLANK($C225),"",AO225)</f>
        <v/>
      </c>
      <c r="AW225" s="70" t="str">
        <f aca="false">IF(ISBLANK($C225),"",AN225)</f>
        <v/>
      </c>
      <c r="AX225" s="71" t="str">
        <f aca="false">IF(ISBLANK($C225),"",IFERROR(_xlfn.SWITCH(AW225,Constants!$B$4,COUNTA($C$8:$C$507)+2,Constants!$B$5,COUNTA($C$8:$C$507)+1,Constants!$B$6,COUNTA($C$8:$C$507)),AW225))</f>
        <v/>
      </c>
      <c r="AY225" s="5"/>
      <c r="AZ225" s="72" t="n">
        <f aca="false">IF(OR(ISNUMBER(AW225),AW225=Constants!$B$4,AW225=Constants!$B$6,AW225=Constants!$B$5),1,0)</f>
        <v>0</v>
      </c>
      <c r="BA225" s="72" t="n">
        <v>218</v>
      </c>
      <c r="BB225" s="72" t="str">
        <f aca="false">IF(ISBLANK($C225),"",IF(ISNUMBER(AX225),AX225+ROW($B225)/1000,""))</f>
        <v/>
      </c>
      <c r="BC225" s="72" t="str">
        <f aca="false">IF(ISNUMBER(BB225),RANK(BB225,$BB$8:$BB$507,1),"")</f>
        <v/>
      </c>
      <c r="BD225" s="72" t="str">
        <f aca="false">IF(ISBLANK($C225),"",$B225)</f>
        <v/>
      </c>
      <c r="BE225" s="72" t="str">
        <f aca="false">IF(ISBLANK($C225),"",$C225)</f>
        <v/>
      </c>
      <c r="BF225" s="72" t="str">
        <f aca="false">IF(ISBLANK($C225),"",$D225)</f>
        <v/>
      </c>
      <c r="BG225" s="73" t="str">
        <f aca="false">AU225</f>
        <v/>
      </c>
      <c r="BH225" s="74" t="str">
        <f aca="false">AT225</f>
        <v/>
      </c>
      <c r="BI225" s="72" t="str">
        <f aca="false">IF(ISBLANK($C225),"",AW225)</f>
        <v/>
      </c>
      <c r="BJ225" s="75" t="str">
        <f aca="false">IF($BA225&gt;$AZ$7,"",VLOOKUP($BA225,$BC$8:$BI$507,7,FALSE()))</f>
        <v/>
      </c>
      <c r="BK225" s="76" t="str">
        <f aca="false">IF($BA225&gt;$AZ$7,"",VLOOKUP($BA225,$BC$8:$BI$507,2,FALSE()))</f>
        <v/>
      </c>
      <c r="BL225" s="76" t="str">
        <f aca="false">IF($BA225&gt;$AZ$7,"",VLOOKUP($BA225,$BC$8:$BI$507,3,FALSE()))</f>
        <v/>
      </c>
      <c r="BM225" s="76" t="str">
        <f aca="false">IF($BA225&gt;$AZ$7,"",VLOOKUP($BA225,$BC$8:$BI$507,4,FALSE()))</f>
        <v/>
      </c>
      <c r="BN225" s="76" t="str">
        <f aca="false">IF($BA225&gt;$AZ$7,"",VLOOKUP($BA225,$BC$8:$BI$507,5,FALSE()))</f>
        <v/>
      </c>
      <c r="BO225" s="77" t="str">
        <f aca="false">IF($BA225&gt;$AZ$7,"",VLOOKUP($BA225,$BC$8:$BI$507,6,FALSE()))</f>
        <v/>
      </c>
      <c r="BP225" s="52"/>
    </row>
    <row r="226" customFormat="false" ht="15.75" hidden="false" customHeight="false" outlineLevel="0" collapsed="false">
      <c r="A226" s="5"/>
      <c r="B226" s="118"/>
      <c r="C226" s="54"/>
      <c r="D226" s="55"/>
      <c r="E226" s="79"/>
      <c r="F226" s="57"/>
      <c r="G226" s="58"/>
      <c r="H226" s="58"/>
      <c r="I226" s="57"/>
      <c r="J226" s="58"/>
      <c r="K226" s="58"/>
      <c r="L226" s="57"/>
      <c r="M226" s="79"/>
      <c r="N226" s="60"/>
      <c r="O226" s="62" t="str">
        <f aca="false">IF(ISBLANK($C226),"",IF(E226=Constants!$B$2, TRUE(), IF(E226=Constants!$B$3, FALSE(), TRUE())))</f>
        <v/>
      </c>
      <c r="P226" s="62" t="str">
        <f aca="false">IF(ISBLANK($C226),"",IF(F226=Constants!$B$16,Constants!$B$9,IF(F226=Constants!$B$17,Constants!$B$10,Constants!$B$8)))</f>
        <v/>
      </c>
      <c r="Q226" s="62" t="str">
        <f aca="false">IF(ISBLANK($C226),"",IF(ISNUMBER(G226),IF(G226&gt;=0,G226,""),""))</f>
        <v/>
      </c>
      <c r="R226" s="62" t="str">
        <f aca="false">IF(ISBLANK($C226),"",IF(H226=Constants!$B$2, TRUE(), IF(H226=Constants!$B$3, FALSE(), TRUE())))</f>
        <v/>
      </c>
      <c r="S226" s="62" t="str">
        <f aca="false">IF(ISBLANK($C226),"",IF(I226=Constants!$B$2, TRUE(), IF(I226=Constants!$B$3, FALSE(), TRUE())))</f>
        <v/>
      </c>
      <c r="T226" s="62" t="str">
        <f aca="false">IF(ISBLANK($C226),"",IF(ISNUMBER(J226),IF(J226&gt;=0,J226,""),""))</f>
        <v/>
      </c>
      <c r="U226" s="62" t="str">
        <f aca="false">IF(ISBLANK($C226),"",IF(K226=Constants!$B$2, TRUE(), IF(K226=Constants!$B$3, FALSE(), TRUE())))</f>
        <v/>
      </c>
      <c r="V226" s="62" t="str">
        <f aca="false">IF(ISBLANK($C226),"",IF(L226=Constants!$B$2, TRUE(), IF(L226=Constants!$B$3, FALSE(), TRUE())))</f>
        <v/>
      </c>
      <c r="W226" s="62" t="str">
        <f aca="false">IF(ISBLANK($C226),"",IF(M226=Constants!$B$2, TRUE(), IF(M226=Constants!$B$3, FALSE(), FALSE())))</f>
        <v/>
      </c>
      <c r="X226" s="62" t="str">
        <f aca="false">IF(ISBLANK($C226),"",AND(Q226&lt;&gt;"",O226))</f>
        <v/>
      </c>
      <c r="Y226" s="62" t="str">
        <f aca="false">IF(ISBLANK($C226),"",AND(T226&lt;&gt;"",O226))</f>
        <v/>
      </c>
      <c r="Z226" s="62" t="str">
        <f aca="false">IF(ISBLANK($C226),"",IF(W226,Constants!$B$4,IF(COUNTA(E226:L226)=0,Constants!$B$5,IF(NOT(O226),Constants!$B$6,IF(AND(NOT(X226),NOT(Y226)),Constants!$B$6,Constants!$B$7)))))</f>
        <v/>
      </c>
      <c r="AA226" s="62" t="str">
        <f aca="false">IF(ISBLANK($C226),"",IF($Z226&lt;&gt;Constants!$B$7,$Z226,Constants!$B$20))</f>
        <v/>
      </c>
      <c r="AB226" s="62" t="str">
        <f aca="false">IF($Z226=Constants!$B$7,IF(X226,Q226,Constants!$B$13),"")</f>
        <v/>
      </c>
      <c r="AC226" s="62" t="str">
        <f aca="false">IF($Z226=Constants!$B$7,IF(X226,P226*IF(R226, 1, Constants!$B$11)*IF(S226, 1, Constants!$B$12),Constants!$B$13),"")</f>
        <v/>
      </c>
      <c r="AD226" s="62" t="str">
        <f aca="false">IF($Z226=Constants!$B$7,AB226*AC226,"")</f>
        <v/>
      </c>
      <c r="AE226" s="62" t="str">
        <f aca="false">IF($Z226=Constants!$B$7,IF(Y226,T226,Constants!$B$13),"")</f>
        <v/>
      </c>
      <c r="AF226" s="62" t="str">
        <f aca="false">IF($Z226=Constants!$B$7,IF(Y226,P226*IF(U226, 1, Constants!$B$11)*IF(V226, 1, Constants!$B$12),Constants!$B$13),"")</f>
        <v/>
      </c>
      <c r="AG226" s="62" t="str">
        <f aca="false">IF($Z226=Constants!$B$7,AE226*AF226,"")</f>
        <v/>
      </c>
      <c r="AH226" s="62" t="str">
        <f aca="false">IF($Z226=Constants!$B$7,IF(AG226&gt;AD226,2,1),"")</f>
        <v/>
      </c>
      <c r="AI226" s="62" t="str">
        <f aca="false">IF($Z226=Constants!$B$7,IF(AH226=1,2,1),"")</f>
        <v/>
      </c>
      <c r="AJ226" s="62" t="str">
        <f aca="false">IF(ISBLANK($C226),"",IF($Z226&lt;&gt;Constants!$B$7,$Z226,IF(AH226=1,AD226,AG226)))</f>
        <v/>
      </c>
      <c r="AK226" s="62" t="str">
        <f aca="false">IF(ISBLANK($C226),"",IF($Z226=Constants!$B$7,IF(ISNUMBER(AJ226),RANK(AJ226,$AJ$8:$AJ$507),Constants!$B$14),$Z226))</f>
        <v/>
      </c>
      <c r="AL226" s="62" t="str">
        <f aca="false">IF(ISBLANK($C226),"",IF($Z226=Constants!$B$7,IF(AI226=1,AD226,AG226),""))</f>
        <v/>
      </c>
      <c r="AM226" s="62" t="str">
        <f aca="false">IF(ISBLANK($C226),"",IF($Z226=Constants!$B$7,RANK(AL226,$AL$8:$AL$507),$Z226))</f>
        <v/>
      </c>
      <c r="AN226" s="62" t="str">
        <f aca="false">IF(ISBLANK($C226),"",IF($Z226=Constants!$B$7,IF(ISNUMBER(AK226),COUNTIFS($AK$8:$AK$507,"&lt;"&amp;$AK226)+COUNTIFS($AK$8:$AK$507,$AK226,$AM$8:$AM$507,"&lt;"&amp;$AM226)+1,Constants!$B$14),$Z226))</f>
        <v/>
      </c>
      <c r="AO226" s="62" t="str">
        <f aca="false">IF(ISBLANK($C226),"",IF($Z226=Constants!$B$7,IF(ISNUMBER(AK226),AK226-AN226,Constants!$B$14),$Z226))</f>
        <v/>
      </c>
      <c r="AP226" s="64"/>
      <c r="AQ226" s="65" t="str">
        <f aca="false">IF(ISBLANK($C226),"",IF($Z226&lt;&gt;Constants!$B$7,"",AH226))</f>
        <v/>
      </c>
      <c r="AR226" s="80" t="str">
        <f aca="false">IF(ISBLANK($C226),"",IF($Z226&lt;&gt;Constants!$B$7,"",IF(AH226=1,AB226,AE226)))</f>
        <v/>
      </c>
      <c r="AS226" s="67" t="str">
        <f aca="false">IF(ISBLANK($C226),"",IF($Z226&lt;&gt;Constants!$B$7,"",IF(AH226=1,AC226,AF226)))</f>
        <v/>
      </c>
      <c r="AT226" s="68" t="str">
        <f aca="false">IF(ISBLANK($C226),"",IF($Z226&lt;&gt;Constants!$B$7,$Z226,AJ226))</f>
        <v/>
      </c>
      <c r="AU226" s="69" t="str">
        <f aca="false">IF(ISBLANK($C226),"",IF($Z226&lt;&gt;Constants!$B$7,$Z226,AA226))</f>
        <v/>
      </c>
      <c r="AV226" s="70" t="str">
        <f aca="false">IF(ISBLANK($C226),"",AO226)</f>
        <v/>
      </c>
      <c r="AW226" s="70" t="str">
        <f aca="false">IF(ISBLANK($C226),"",AN226)</f>
        <v/>
      </c>
      <c r="AX226" s="71" t="str">
        <f aca="false">IF(ISBLANK($C226),"",IFERROR(_xlfn.SWITCH(AW226,Constants!$B$4,COUNTA($C$8:$C$507)+2,Constants!$B$5,COUNTA($C$8:$C$507)+1,Constants!$B$6,COUNTA($C$8:$C$507)),AW226))</f>
        <v/>
      </c>
      <c r="AY226" s="5"/>
      <c r="AZ226" s="72" t="n">
        <f aca="false">IF(OR(ISNUMBER(AW226),AW226=Constants!$B$4,AW226=Constants!$B$6,AW226=Constants!$B$5),1,0)</f>
        <v>0</v>
      </c>
      <c r="BA226" s="72" t="n">
        <v>219</v>
      </c>
      <c r="BB226" s="72" t="str">
        <f aca="false">IF(ISBLANK($C226),"",IF(ISNUMBER(AX226),AX226+ROW($B226)/1000,""))</f>
        <v/>
      </c>
      <c r="BC226" s="72" t="str">
        <f aca="false">IF(ISNUMBER(BB226),RANK(BB226,$BB$8:$BB$507,1),"")</f>
        <v/>
      </c>
      <c r="BD226" s="72" t="str">
        <f aca="false">IF(ISBLANK($C226),"",$B226)</f>
        <v/>
      </c>
      <c r="BE226" s="72" t="str">
        <f aca="false">IF(ISBLANK($C226),"",$C226)</f>
        <v/>
      </c>
      <c r="BF226" s="72" t="str">
        <f aca="false">IF(ISBLANK($C226),"",$D226)</f>
        <v/>
      </c>
      <c r="BG226" s="73" t="str">
        <f aca="false">AU226</f>
        <v/>
      </c>
      <c r="BH226" s="74" t="str">
        <f aca="false">AT226</f>
        <v/>
      </c>
      <c r="BI226" s="72" t="str">
        <f aca="false">IF(ISBLANK($C226),"",AW226)</f>
        <v/>
      </c>
      <c r="BJ226" s="75" t="str">
        <f aca="false">IF($BA226&gt;$AZ$7,"",VLOOKUP($BA226,$BC$8:$BI$507,7,FALSE()))</f>
        <v/>
      </c>
      <c r="BK226" s="76" t="str">
        <f aca="false">IF($BA226&gt;$AZ$7,"",VLOOKUP($BA226,$BC$8:$BI$507,2,FALSE()))</f>
        <v/>
      </c>
      <c r="BL226" s="76" t="str">
        <f aca="false">IF($BA226&gt;$AZ$7,"",VLOOKUP($BA226,$BC$8:$BI$507,3,FALSE()))</f>
        <v/>
      </c>
      <c r="BM226" s="76" t="str">
        <f aca="false">IF($BA226&gt;$AZ$7,"",VLOOKUP($BA226,$BC$8:$BI$507,4,FALSE()))</f>
        <v/>
      </c>
      <c r="BN226" s="76" t="str">
        <f aca="false">IF($BA226&gt;$AZ$7,"",VLOOKUP($BA226,$BC$8:$BI$507,5,FALSE()))</f>
        <v/>
      </c>
      <c r="BO226" s="77" t="str">
        <f aca="false">IF($BA226&gt;$AZ$7,"",VLOOKUP($BA226,$BC$8:$BI$507,6,FALSE()))</f>
        <v/>
      </c>
      <c r="BP226" s="52"/>
    </row>
    <row r="227" customFormat="false" ht="15.75" hidden="false" customHeight="false" outlineLevel="0" collapsed="false">
      <c r="A227" s="5"/>
      <c r="B227" s="114"/>
      <c r="C227" s="115"/>
      <c r="D227" s="106"/>
      <c r="E227" s="117"/>
      <c r="F227" s="87"/>
      <c r="G227" s="88"/>
      <c r="H227" s="88"/>
      <c r="I227" s="87"/>
      <c r="J227" s="88"/>
      <c r="K227" s="88"/>
      <c r="L227" s="87"/>
      <c r="M227" s="117"/>
      <c r="N227" s="90"/>
      <c r="O227" s="91" t="str">
        <f aca="false">IF(ISBLANK($C227),"",IF(E227=Constants!$B$2, TRUE(), IF(E227=Constants!$B$3, FALSE(), TRUE())))</f>
        <v/>
      </c>
      <c r="P227" s="91" t="str">
        <f aca="false">IF(ISBLANK($C227),"",IF(F227=Constants!$B$16,Constants!$B$9,IF(F227=Constants!$B$17,Constants!$B$10,Constants!$B$8)))</f>
        <v/>
      </c>
      <c r="Q227" s="91" t="str">
        <f aca="false">IF(ISBLANK($C227),"",IF(ISNUMBER(G227),IF(G227&gt;=0,G227,""),""))</f>
        <v/>
      </c>
      <c r="R227" s="91" t="str">
        <f aca="false">IF(ISBLANK($C227),"",IF(H227=Constants!$B$2, TRUE(), IF(H227=Constants!$B$3, FALSE(), TRUE())))</f>
        <v/>
      </c>
      <c r="S227" s="91" t="str">
        <f aca="false">IF(ISBLANK($C227),"",IF(I227=Constants!$B$2, TRUE(), IF(I227=Constants!$B$3, FALSE(), TRUE())))</f>
        <v/>
      </c>
      <c r="T227" s="91" t="str">
        <f aca="false">IF(ISBLANK($C227),"",IF(ISNUMBER(J227),IF(J227&gt;=0,J227,""),""))</f>
        <v/>
      </c>
      <c r="U227" s="91" t="str">
        <f aca="false">IF(ISBLANK($C227),"",IF(K227=Constants!$B$2, TRUE(), IF(K227=Constants!$B$3, FALSE(), TRUE())))</f>
        <v/>
      </c>
      <c r="V227" s="91" t="str">
        <f aca="false">IF(ISBLANK($C227),"",IF(L227=Constants!$B$2, TRUE(), IF(L227=Constants!$B$3, FALSE(), TRUE())))</f>
        <v/>
      </c>
      <c r="W227" s="91" t="str">
        <f aca="false">IF(ISBLANK($C227),"",IF(M227=Constants!$B$2, TRUE(), IF(M227=Constants!$B$3, FALSE(), FALSE())))</f>
        <v/>
      </c>
      <c r="X227" s="91" t="str">
        <f aca="false">IF(ISBLANK($C227),"",AND(Q227&lt;&gt;"",O227))</f>
        <v/>
      </c>
      <c r="Y227" s="91" t="str">
        <f aca="false">IF(ISBLANK($C227),"",AND(T227&lt;&gt;"",O227))</f>
        <v/>
      </c>
      <c r="Z227" s="91" t="str">
        <f aca="false">IF(ISBLANK($C227),"",IF(W227,Constants!$B$4,IF(COUNTA(E227:L227)=0,Constants!$B$5,IF(NOT(O227),Constants!$B$6,IF(AND(NOT(X227),NOT(Y227)),Constants!$B$6,Constants!$B$7)))))</f>
        <v/>
      </c>
      <c r="AA227" s="91" t="str">
        <f aca="false">IF(ISBLANK($C227),"",IF($Z227&lt;&gt;Constants!$B$7,$Z227,Constants!$B$20))</f>
        <v/>
      </c>
      <c r="AB227" s="91" t="str">
        <f aca="false">IF($Z227=Constants!$B$7,IF(X227,Q227,Constants!$B$13),"")</f>
        <v/>
      </c>
      <c r="AC227" s="91" t="str">
        <f aca="false">IF($Z227=Constants!$B$7,IF(X227,P227*IF(R227, 1, Constants!$B$11)*IF(S227, 1, Constants!$B$12),Constants!$B$13),"")</f>
        <v/>
      </c>
      <c r="AD227" s="91" t="str">
        <f aca="false">IF($Z227=Constants!$B$7,AB227*AC227,"")</f>
        <v/>
      </c>
      <c r="AE227" s="91" t="str">
        <f aca="false">IF($Z227=Constants!$B$7,IF(Y227,T227,Constants!$B$13),"")</f>
        <v/>
      </c>
      <c r="AF227" s="91" t="str">
        <f aca="false">IF($Z227=Constants!$B$7,IF(Y227,P227*IF(U227, 1, Constants!$B$11)*IF(V227, 1, Constants!$B$12),Constants!$B$13),"")</f>
        <v/>
      </c>
      <c r="AG227" s="91" t="str">
        <f aca="false">IF($Z227=Constants!$B$7,AE227*AF227,"")</f>
        <v/>
      </c>
      <c r="AH227" s="91" t="str">
        <f aca="false">IF($Z227=Constants!$B$7,IF(AG227&gt;AD227,2,1),"")</f>
        <v/>
      </c>
      <c r="AI227" s="91" t="str">
        <f aca="false">IF($Z227=Constants!$B$7,IF(AH227=1,2,1),"")</f>
        <v/>
      </c>
      <c r="AJ227" s="91" t="str">
        <f aca="false">IF(ISBLANK($C227),"",IF($Z227&lt;&gt;Constants!$B$7,$Z227,IF(AH227=1,AD227,AG227)))</f>
        <v/>
      </c>
      <c r="AK227" s="91" t="str">
        <f aca="false">IF(ISBLANK($C227),"",IF($Z227=Constants!$B$7,IF(ISNUMBER(AJ227),RANK(AJ227,$AJ$8:$AJ$507),Constants!$B$14),$Z227))</f>
        <v/>
      </c>
      <c r="AL227" s="91" t="str">
        <f aca="false">IF(ISBLANK($C227),"",IF($Z227=Constants!$B$7,IF(AI227=1,AD227,AG227),""))</f>
        <v/>
      </c>
      <c r="AM227" s="91" t="str">
        <f aca="false">IF(ISBLANK($C227),"",IF($Z227=Constants!$B$7,RANK(AL227,$AL$8:$AL$507),$Z227))</f>
        <v/>
      </c>
      <c r="AN227" s="91" t="str">
        <f aca="false">IF(ISBLANK($C227),"",IF($Z227=Constants!$B$7,IF(ISNUMBER(AK227),COUNTIFS($AK$8:$AK$507,"&lt;"&amp;$AK227)+COUNTIFS($AK$8:$AK$507,$AK227,$AM$8:$AM$507,"&lt;"&amp;$AM227)+1,Constants!$B$14),$Z227))</f>
        <v/>
      </c>
      <c r="AO227" s="91" t="str">
        <f aca="false">IF(ISBLANK($C227),"",IF($Z227=Constants!$B$7,IF(ISNUMBER(AK227),AK227-AN227,Constants!$B$14),$Z227))</f>
        <v/>
      </c>
      <c r="AP227" s="92"/>
      <c r="AQ227" s="93" t="str">
        <f aca="false">IF(ISBLANK($C227),"",IF($Z227&lt;&gt;Constants!$B$7,"",AH227))</f>
        <v/>
      </c>
      <c r="AR227" s="94" t="str">
        <f aca="false">IF(ISBLANK($C227),"",IF($Z227&lt;&gt;Constants!$B$7,"",IF(AH227=1,AB227,AE227)))</f>
        <v/>
      </c>
      <c r="AS227" s="95" t="str">
        <f aca="false">IF(ISBLANK($C227),"",IF($Z227&lt;&gt;Constants!$B$7,"",IF(AH227=1,AC227,AF227)))</f>
        <v/>
      </c>
      <c r="AT227" s="96" t="str">
        <f aca="false">IF(ISBLANK($C227),"",IF($Z227&lt;&gt;Constants!$B$7,$Z227,AJ227))</f>
        <v/>
      </c>
      <c r="AU227" s="97" t="str">
        <f aca="false">IF(ISBLANK($C227),"",IF($Z227&lt;&gt;Constants!$B$7,$Z227,AA227))</f>
        <v/>
      </c>
      <c r="AV227" s="98" t="str">
        <f aca="false">IF(ISBLANK($C227),"",AO227)</f>
        <v/>
      </c>
      <c r="AW227" s="98" t="str">
        <f aca="false">IF(ISBLANK($C227),"",AN227)</f>
        <v/>
      </c>
      <c r="AX227" s="99" t="str">
        <f aca="false">IF(ISBLANK($C227),"",IFERROR(_xlfn.SWITCH(AW227,Constants!$B$4,COUNTA($C$8:$C$507)+2,Constants!$B$5,COUNTA($C$8:$C$507)+1,Constants!$B$6,COUNTA($C$8:$C$507)),AW227))</f>
        <v/>
      </c>
      <c r="AY227" s="5"/>
      <c r="AZ227" s="100" t="n">
        <f aca="false">IF(OR(ISNUMBER(AW227),AW227=Constants!$B$4,AW227=Constants!$B$6,AW227=Constants!$B$5),1,0)</f>
        <v>0</v>
      </c>
      <c r="BA227" s="100" t="n">
        <v>220</v>
      </c>
      <c r="BB227" s="100" t="str">
        <f aca="false">IF(ISBLANK($C227),"",IF(ISNUMBER(AX227),AX227+ROW($B227)/1000,""))</f>
        <v/>
      </c>
      <c r="BC227" s="100" t="str">
        <f aca="false">IF(ISNUMBER(BB227),RANK(BB227,$BB$8:$BB$507,1),"")</f>
        <v/>
      </c>
      <c r="BD227" s="100" t="str">
        <f aca="false">IF(ISBLANK($C227),"",$B227)</f>
        <v/>
      </c>
      <c r="BE227" s="100" t="str">
        <f aca="false">IF(ISBLANK($C227),"",$C227)</f>
        <v/>
      </c>
      <c r="BF227" s="100" t="str">
        <f aca="false">IF(ISBLANK($C227),"",$D227)</f>
        <v/>
      </c>
      <c r="BG227" s="101" t="str">
        <f aca="false">AU227</f>
        <v/>
      </c>
      <c r="BH227" s="102" t="str">
        <f aca="false">AT227</f>
        <v/>
      </c>
      <c r="BI227" s="100" t="str">
        <f aca="false">IF(ISBLANK($C227),"",AW227)</f>
        <v/>
      </c>
      <c r="BJ227" s="103" t="str">
        <f aca="false">IF($BA227&gt;$AZ$7,"",VLOOKUP($BA227,$BC$8:$BI$507,7,FALSE()))</f>
        <v/>
      </c>
      <c r="BK227" s="104" t="str">
        <f aca="false">IF($BA227&gt;$AZ$7,"",VLOOKUP($BA227,$BC$8:$BI$507,2,FALSE()))</f>
        <v/>
      </c>
      <c r="BL227" s="104" t="str">
        <f aca="false">IF($BA227&gt;$AZ$7,"",VLOOKUP($BA227,$BC$8:$BI$507,3,FALSE()))</f>
        <v/>
      </c>
      <c r="BM227" s="104" t="str">
        <f aca="false">IF($BA227&gt;$AZ$7,"",VLOOKUP($BA227,$BC$8:$BI$507,4,FALSE()))</f>
        <v/>
      </c>
      <c r="BN227" s="104" t="str">
        <f aca="false">IF($BA227&gt;$AZ$7,"",VLOOKUP($BA227,$BC$8:$BI$507,5,FALSE()))</f>
        <v/>
      </c>
      <c r="BO227" s="105" t="str">
        <f aca="false">IF($BA227&gt;$AZ$7,"",VLOOKUP($BA227,$BC$8:$BI$507,6,FALSE()))</f>
        <v/>
      </c>
      <c r="BP227" s="52"/>
    </row>
    <row r="228" customFormat="false" ht="15.75" hidden="false" customHeight="false" outlineLevel="0" collapsed="false">
      <c r="A228" s="5"/>
      <c r="B228" s="114"/>
      <c r="C228" s="115"/>
      <c r="D228" s="106"/>
      <c r="E228" s="117"/>
      <c r="F228" s="87"/>
      <c r="G228" s="88"/>
      <c r="H228" s="88"/>
      <c r="I228" s="87"/>
      <c r="J228" s="88"/>
      <c r="K228" s="88"/>
      <c r="L228" s="87"/>
      <c r="M228" s="117"/>
      <c r="N228" s="90"/>
      <c r="O228" s="91" t="str">
        <f aca="false">IF(ISBLANK($C228),"",IF(E228=Constants!$B$2, TRUE(), IF(E228=Constants!$B$3, FALSE(), TRUE())))</f>
        <v/>
      </c>
      <c r="P228" s="91" t="str">
        <f aca="false">IF(ISBLANK($C228),"",IF(F228=Constants!$B$16,Constants!$B$9,IF(F228=Constants!$B$17,Constants!$B$10,Constants!$B$8)))</f>
        <v/>
      </c>
      <c r="Q228" s="91" t="str">
        <f aca="false">IF(ISBLANK($C228),"",IF(ISNUMBER(G228),IF(G228&gt;=0,G228,""),""))</f>
        <v/>
      </c>
      <c r="R228" s="91" t="str">
        <f aca="false">IF(ISBLANK($C228),"",IF(H228=Constants!$B$2, TRUE(), IF(H228=Constants!$B$3, FALSE(), TRUE())))</f>
        <v/>
      </c>
      <c r="S228" s="91" t="str">
        <f aca="false">IF(ISBLANK($C228),"",IF(I228=Constants!$B$2, TRUE(), IF(I228=Constants!$B$3, FALSE(), TRUE())))</f>
        <v/>
      </c>
      <c r="T228" s="91" t="str">
        <f aca="false">IF(ISBLANK($C228),"",IF(ISNUMBER(J228),IF(J228&gt;=0,J228,""),""))</f>
        <v/>
      </c>
      <c r="U228" s="91" t="str">
        <f aca="false">IF(ISBLANK($C228),"",IF(K228=Constants!$B$2, TRUE(), IF(K228=Constants!$B$3, FALSE(), TRUE())))</f>
        <v/>
      </c>
      <c r="V228" s="91" t="str">
        <f aca="false">IF(ISBLANK($C228),"",IF(L228=Constants!$B$2, TRUE(), IF(L228=Constants!$B$3, FALSE(), TRUE())))</f>
        <v/>
      </c>
      <c r="W228" s="91" t="str">
        <f aca="false">IF(ISBLANK($C228),"",IF(M228=Constants!$B$2, TRUE(), IF(M228=Constants!$B$3, FALSE(), FALSE())))</f>
        <v/>
      </c>
      <c r="X228" s="91" t="str">
        <f aca="false">IF(ISBLANK($C228),"",AND(Q228&lt;&gt;"",O228))</f>
        <v/>
      </c>
      <c r="Y228" s="91" t="str">
        <f aca="false">IF(ISBLANK($C228),"",AND(T228&lt;&gt;"",O228))</f>
        <v/>
      </c>
      <c r="Z228" s="91" t="str">
        <f aca="false">IF(ISBLANK($C228),"",IF(W228,Constants!$B$4,IF(COUNTA(E228:L228)=0,Constants!$B$5,IF(NOT(O228),Constants!$B$6,IF(AND(NOT(X228),NOT(Y228)),Constants!$B$6,Constants!$B$7)))))</f>
        <v/>
      </c>
      <c r="AA228" s="91" t="str">
        <f aca="false">IF(ISBLANK($C228),"",IF($Z228&lt;&gt;Constants!$B$7,$Z228,Constants!$B$20))</f>
        <v/>
      </c>
      <c r="AB228" s="91" t="str">
        <f aca="false">IF($Z228=Constants!$B$7,IF(X228,Q228,Constants!$B$13),"")</f>
        <v/>
      </c>
      <c r="AC228" s="91" t="str">
        <f aca="false">IF($Z228=Constants!$B$7,IF(X228,P228*IF(R228, 1, Constants!$B$11)*IF(S228, 1, Constants!$B$12),Constants!$B$13),"")</f>
        <v/>
      </c>
      <c r="AD228" s="91" t="str">
        <f aca="false">IF($Z228=Constants!$B$7,AB228*AC228,"")</f>
        <v/>
      </c>
      <c r="AE228" s="91" t="str">
        <f aca="false">IF($Z228=Constants!$B$7,IF(Y228,T228,Constants!$B$13),"")</f>
        <v/>
      </c>
      <c r="AF228" s="91" t="str">
        <f aca="false">IF($Z228=Constants!$B$7,IF(Y228,P228*IF(U228, 1, Constants!$B$11)*IF(V228, 1, Constants!$B$12),Constants!$B$13),"")</f>
        <v/>
      </c>
      <c r="AG228" s="91" t="str">
        <f aca="false">IF($Z228=Constants!$B$7,AE228*AF228,"")</f>
        <v/>
      </c>
      <c r="AH228" s="91" t="str">
        <f aca="false">IF($Z228=Constants!$B$7,IF(AG228&gt;AD228,2,1),"")</f>
        <v/>
      </c>
      <c r="AI228" s="91" t="str">
        <f aca="false">IF($Z228=Constants!$B$7,IF(AH228=1,2,1),"")</f>
        <v/>
      </c>
      <c r="AJ228" s="91" t="str">
        <f aca="false">IF(ISBLANK($C228),"",IF($Z228&lt;&gt;Constants!$B$7,$Z228,IF(AH228=1,AD228,AG228)))</f>
        <v/>
      </c>
      <c r="AK228" s="91" t="str">
        <f aca="false">IF(ISBLANK($C228),"",IF($Z228=Constants!$B$7,IF(ISNUMBER(AJ228),RANK(AJ228,$AJ$8:$AJ$507),Constants!$B$14),$Z228))</f>
        <v/>
      </c>
      <c r="AL228" s="91" t="str">
        <f aca="false">IF(ISBLANK($C228),"",IF($Z228=Constants!$B$7,IF(AI228=1,AD228,AG228),""))</f>
        <v/>
      </c>
      <c r="AM228" s="91" t="str">
        <f aca="false">IF(ISBLANK($C228),"",IF($Z228=Constants!$B$7,RANK(AL228,$AL$8:$AL$507),$Z228))</f>
        <v/>
      </c>
      <c r="AN228" s="91" t="str">
        <f aca="false">IF(ISBLANK($C228),"",IF($Z228=Constants!$B$7,IF(ISNUMBER(AK228),COUNTIFS($AK$8:$AK$507,"&lt;"&amp;$AK228)+COUNTIFS($AK$8:$AK$507,$AK228,$AM$8:$AM$507,"&lt;"&amp;$AM228)+1,Constants!$B$14),$Z228))</f>
        <v/>
      </c>
      <c r="AO228" s="91" t="str">
        <f aca="false">IF(ISBLANK($C228),"",IF($Z228=Constants!$B$7,IF(ISNUMBER(AK228),AK228-AN228,Constants!$B$14),$Z228))</f>
        <v/>
      </c>
      <c r="AP228" s="92"/>
      <c r="AQ228" s="93" t="str">
        <f aca="false">IF(ISBLANK($C228),"",IF($Z228&lt;&gt;Constants!$B$7,"",AH228))</f>
        <v/>
      </c>
      <c r="AR228" s="94" t="str">
        <f aca="false">IF(ISBLANK($C228),"",IF($Z228&lt;&gt;Constants!$B$7,"",IF(AH228=1,AB228,AE228)))</f>
        <v/>
      </c>
      <c r="AS228" s="95" t="str">
        <f aca="false">IF(ISBLANK($C228),"",IF($Z228&lt;&gt;Constants!$B$7,"",IF(AH228=1,AC228,AF228)))</f>
        <v/>
      </c>
      <c r="AT228" s="96" t="str">
        <f aca="false">IF(ISBLANK($C228),"",IF($Z228&lt;&gt;Constants!$B$7,$Z228,AJ228))</f>
        <v/>
      </c>
      <c r="AU228" s="97" t="str">
        <f aca="false">IF(ISBLANK($C228),"",IF($Z228&lt;&gt;Constants!$B$7,$Z228,AA228))</f>
        <v/>
      </c>
      <c r="AV228" s="98" t="str">
        <f aca="false">IF(ISBLANK($C228),"",AO228)</f>
        <v/>
      </c>
      <c r="AW228" s="98" t="str">
        <f aca="false">IF(ISBLANK($C228),"",AN228)</f>
        <v/>
      </c>
      <c r="AX228" s="99" t="str">
        <f aca="false">IF(ISBLANK($C228),"",IFERROR(_xlfn.SWITCH(AW228,Constants!$B$4,COUNTA($C$8:$C$507)+2,Constants!$B$5,COUNTA($C$8:$C$507)+1,Constants!$B$6,COUNTA($C$8:$C$507)),AW228))</f>
        <v/>
      </c>
      <c r="AY228" s="5"/>
      <c r="AZ228" s="100" t="n">
        <f aca="false">IF(OR(ISNUMBER(AW228),AW228=Constants!$B$4,AW228=Constants!$B$6,AW228=Constants!$B$5),1,0)</f>
        <v>0</v>
      </c>
      <c r="BA228" s="100" t="n">
        <v>221</v>
      </c>
      <c r="BB228" s="100" t="str">
        <f aca="false">IF(ISBLANK($C228),"",IF(ISNUMBER(AX228),AX228+ROW($B228)/1000,""))</f>
        <v/>
      </c>
      <c r="BC228" s="100" t="str">
        <f aca="false">IF(ISNUMBER(BB228),RANK(BB228,$BB$8:$BB$507,1),"")</f>
        <v/>
      </c>
      <c r="BD228" s="100" t="str">
        <f aca="false">IF(ISBLANK($C228),"",$B228)</f>
        <v/>
      </c>
      <c r="BE228" s="100" t="str">
        <f aca="false">IF(ISBLANK($C228),"",$C228)</f>
        <v/>
      </c>
      <c r="BF228" s="100" t="str">
        <f aca="false">IF(ISBLANK($C228),"",$D228)</f>
        <v/>
      </c>
      <c r="BG228" s="101" t="str">
        <f aca="false">AU228</f>
        <v/>
      </c>
      <c r="BH228" s="102" t="str">
        <f aca="false">AT228</f>
        <v/>
      </c>
      <c r="BI228" s="100" t="str">
        <f aca="false">IF(ISBLANK($C228),"",AW228)</f>
        <v/>
      </c>
      <c r="BJ228" s="103" t="str">
        <f aca="false">IF($BA228&gt;$AZ$7,"",VLOOKUP($BA228,$BC$8:$BI$507,7,FALSE()))</f>
        <v/>
      </c>
      <c r="BK228" s="104" t="str">
        <f aca="false">IF($BA228&gt;$AZ$7,"",VLOOKUP($BA228,$BC$8:$BI$507,2,FALSE()))</f>
        <v/>
      </c>
      <c r="BL228" s="104" t="str">
        <f aca="false">IF($BA228&gt;$AZ$7,"",VLOOKUP($BA228,$BC$8:$BI$507,3,FALSE()))</f>
        <v/>
      </c>
      <c r="BM228" s="104" t="str">
        <f aca="false">IF($BA228&gt;$AZ$7,"",VLOOKUP($BA228,$BC$8:$BI$507,4,FALSE()))</f>
        <v/>
      </c>
      <c r="BN228" s="104" t="str">
        <f aca="false">IF($BA228&gt;$AZ$7,"",VLOOKUP($BA228,$BC$8:$BI$507,5,FALSE()))</f>
        <v/>
      </c>
      <c r="BO228" s="105" t="str">
        <f aca="false">IF($BA228&gt;$AZ$7,"",VLOOKUP($BA228,$BC$8:$BI$507,6,FALSE()))</f>
        <v/>
      </c>
      <c r="BP228" s="52"/>
    </row>
    <row r="229" customFormat="false" ht="15.75" hidden="false" customHeight="false" outlineLevel="0" collapsed="false">
      <c r="A229" s="5"/>
      <c r="B229" s="114"/>
      <c r="C229" s="115"/>
      <c r="D229" s="106"/>
      <c r="E229" s="117"/>
      <c r="F229" s="87"/>
      <c r="G229" s="88"/>
      <c r="H229" s="88"/>
      <c r="I229" s="87"/>
      <c r="J229" s="88"/>
      <c r="K229" s="88"/>
      <c r="L229" s="87"/>
      <c r="M229" s="117"/>
      <c r="N229" s="90"/>
      <c r="O229" s="91" t="str">
        <f aca="false">IF(ISBLANK($C229),"",IF(E229=Constants!$B$2, TRUE(), IF(E229=Constants!$B$3, FALSE(), TRUE())))</f>
        <v/>
      </c>
      <c r="P229" s="91" t="str">
        <f aca="false">IF(ISBLANK($C229),"",IF(F229=Constants!$B$16,Constants!$B$9,IF(F229=Constants!$B$17,Constants!$B$10,Constants!$B$8)))</f>
        <v/>
      </c>
      <c r="Q229" s="91" t="str">
        <f aca="false">IF(ISBLANK($C229),"",IF(ISNUMBER(G229),IF(G229&gt;=0,G229,""),""))</f>
        <v/>
      </c>
      <c r="R229" s="91" t="str">
        <f aca="false">IF(ISBLANK($C229),"",IF(H229=Constants!$B$2, TRUE(), IF(H229=Constants!$B$3, FALSE(), TRUE())))</f>
        <v/>
      </c>
      <c r="S229" s="91" t="str">
        <f aca="false">IF(ISBLANK($C229),"",IF(I229=Constants!$B$2, TRUE(), IF(I229=Constants!$B$3, FALSE(), TRUE())))</f>
        <v/>
      </c>
      <c r="T229" s="91" t="str">
        <f aca="false">IF(ISBLANK($C229),"",IF(ISNUMBER(J229),IF(J229&gt;=0,J229,""),""))</f>
        <v/>
      </c>
      <c r="U229" s="91" t="str">
        <f aca="false">IF(ISBLANK($C229),"",IF(K229=Constants!$B$2, TRUE(), IF(K229=Constants!$B$3, FALSE(), TRUE())))</f>
        <v/>
      </c>
      <c r="V229" s="91" t="str">
        <f aca="false">IF(ISBLANK($C229),"",IF(L229=Constants!$B$2, TRUE(), IF(L229=Constants!$B$3, FALSE(), TRUE())))</f>
        <v/>
      </c>
      <c r="W229" s="91" t="str">
        <f aca="false">IF(ISBLANK($C229),"",IF(M229=Constants!$B$2, TRUE(), IF(M229=Constants!$B$3, FALSE(), FALSE())))</f>
        <v/>
      </c>
      <c r="X229" s="91" t="str">
        <f aca="false">IF(ISBLANK($C229),"",AND(Q229&lt;&gt;"",O229))</f>
        <v/>
      </c>
      <c r="Y229" s="91" t="str">
        <f aca="false">IF(ISBLANK($C229),"",AND(T229&lt;&gt;"",O229))</f>
        <v/>
      </c>
      <c r="Z229" s="91" t="str">
        <f aca="false">IF(ISBLANK($C229),"",IF(W229,Constants!$B$4,IF(COUNTA(E229:L229)=0,Constants!$B$5,IF(NOT(O229),Constants!$B$6,IF(AND(NOT(X229),NOT(Y229)),Constants!$B$6,Constants!$B$7)))))</f>
        <v/>
      </c>
      <c r="AA229" s="91" t="str">
        <f aca="false">IF(ISBLANK($C229),"",IF($Z229&lt;&gt;Constants!$B$7,$Z229,Constants!$B$20))</f>
        <v/>
      </c>
      <c r="AB229" s="91" t="str">
        <f aca="false">IF($Z229=Constants!$B$7,IF(X229,Q229,Constants!$B$13),"")</f>
        <v/>
      </c>
      <c r="AC229" s="91" t="str">
        <f aca="false">IF($Z229=Constants!$B$7,IF(X229,P229*IF(R229, 1, Constants!$B$11)*IF(S229, 1, Constants!$B$12),Constants!$B$13),"")</f>
        <v/>
      </c>
      <c r="AD229" s="91" t="str">
        <f aca="false">IF($Z229=Constants!$B$7,AB229*AC229,"")</f>
        <v/>
      </c>
      <c r="AE229" s="91" t="str">
        <f aca="false">IF($Z229=Constants!$B$7,IF(Y229,T229,Constants!$B$13),"")</f>
        <v/>
      </c>
      <c r="AF229" s="91" t="str">
        <f aca="false">IF($Z229=Constants!$B$7,IF(Y229,P229*IF(U229, 1, Constants!$B$11)*IF(V229, 1, Constants!$B$12),Constants!$B$13),"")</f>
        <v/>
      </c>
      <c r="AG229" s="91" t="str">
        <f aca="false">IF($Z229=Constants!$B$7,AE229*AF229,"")</f>
        <v/>
      </c>
      <c r="AH229" s="91" t="str">
        <f aca="false">IF($Z229=Constants!$B$7,IF(AG229&gt;AD229,2,1),"")</f>
        <v/>
      </c>
      <c r="AI229" s="91" t="str">
        <f aca="false">IF($Z229=Constants!$B$7,IF(AH229=1,2,1),"")</f>
        <v/>
      </c>
      <c r="AJ229" s="91" t="str">
        <f aca="false">IF(ISBLANK($C229),"",IF($Z229&lt;&gt;Constants!$B$7,$Z229,IF(AH229=1,AD229,AG229)))</f>
        <v/>
      </c>
      <c r="AK229" s="91" t="str">
        <f aca="false">IF(ISBLANK($C229),"",IF($Z229=Constants!$B$7,IF(ISNUMBER(AJ229),RANK(AJ229,$AJ$8:$AJ$507),Constants!$B$14),$Z229))</f>
        <v/>
      </c>
      <c r="AL229" s="91" t="str">
        <f aca="false">IF(ISBLANK($C229),"",IF($Z229=Constants!$B$7,IF(AI229=1,AD229,AG229),""))</f>
        <v/>
      </c>
      <c r="AM229" s="91" t="str">
        <f aca="false">IF(ISBLANK($C229),"",IF($Z229=Constants!$B$7,RANK(AL229,$AL$8:$AL$507),$Z229))</f>
        <v/>
      </c>
      <c r="AN229" s="91" t="str">
        <f aca="false">IF(ISBLANK($C229),"",IF($Z229=Constants!$B$7,IF(ISNUMBER(AK229),COUNTIFS($AK$8:$AK$507,"&lt;"&amp;$AK229)+COUNTIFS($AK$8:$AK$507,$AK229,$AM$8:$AM$507,"&lt;"&amp;$AM229)+1,Constants!$B$14),$Z229))</f>
        <v/>
      </c>
      <c r="AO229" s="91" t="str">
        <f aca="false">IF(ISBLANK($C229),"",IF($Z229=Constants!$B$7,IF(ISNUMBER(AK229),AK229-AN229,Constants!$B$14),$Z229))</f>
        <v/>
      </c>
      <c r="AP229" s="92"/>
      <c r="AQ229" s="93" t="str">
        <f aca="false">IF(ISBLANK($C229),"",IF($Z229&lt;&gt;Constants!$B$7,"",AH229))</f>
        <v/>
      </c>
      <c r="AR229" s="94" t="str">
        <f aca="false">IF(ISBLANK($C229),"",IF($Z229&lt;&gt;Constants!$B$7,"",IF(AH229=1,AB229,AE229)))</f>
        <v/>
      </c>
      <c r="AS229" s="95" t="str">
        <f aca="false">IF(ISBLANK($C229),"",IF($Z229&lt;&gt;Constants!$B$7,"",IF(AH229=1,AC229,AF229)))</f>
        <v/>
      </c>
      <c r="AT229" s="96" t="str">
        <f aca="false">IF(ISBLANK($C229),"",IF($Z229&lt;&gt;Constants!$B$7,$Z229,AJ229))</f>
        <v/>
      </c>
      <c r="AU229" s="97" t="str">
        <f aca="false">IF(ISBLANK($C229),"",IF($Z229&lt;&gt;Constants!$B$7,$Z229,AA229))</f>
        <v/>
      </c>
      <c r="AV229" s="98" t="str">
        <f aca="false">IF(ISBLANK($C229),"",AO229)</f>
        <v/>
      </c>
      <c r="AW229" s="98" t="str">
        <f aca="false">IF(ISBLANK($C229),"",AN229)</f>
        <v/>
      </c>
      <c r="AX229" s="99" t="str">
        <f aca="false">IF(ISBLANK($C229),"",IFERROR(_xlfn.SWITCH(AW229,Constants!$B$4,COUNTA($C$8:$C$507)+2,Constants!$B$5,COUNTA($C$8:$C$507)+1,Constants!$B$6,COUNTA($C$8:$C$507)),AW229))</f>
        <v/>
      </c>
      <c r="AY229" s="5"/>
      <c r="AZ229" s="100" t="n">
        <f aca="false">IF(OR(ISNUMBER(AW229),AW229=Constants!$B$4,AW229=Constants!$B$6,AW229=Constants!$B$5),1,0)</f>
        <v>0</v>
      </c>
      <c r="BA229" s="100" t="n">
        <v>222</v>
      </c>
      <c r="BB229" s="100" t="str">
        <f aca="false">IF(ISBLANK($C229),"",IF(ISNUMBER(AX229),AX229+ROW($B229)/1000,""))</f>
        <v/>
      </c>
      <c r="BC229" s="100" t="str">
        <f aca="false">IF(ISNUMBER(BB229),RANK(BB229,$BB$8:$BB$507,1),"")</f>
        <v/>
      </c>
      <c r="BD229" s="100" t="str">
        <f aca="false">IF(ISBLANK($C229),"",$B229)</f>
        <v/>
      </c>
      <c r="BE229" s="100" t="str">
        <f aca="false">IF(ISBLANK($C229),"",$C229)</f>
        <v/>
      </c>
      <c r="BF229" s="100" t="str">
        <f aca="false">IF(ISBLANK($C229),"",$D229)</f>
        <v/>
      </c>
      <c r="BG229" s="101" t="str">
        <f aca="false">AU229</f>
        <v/>
      </c>
      <c r="BH229" s="102" t="str">
        <f aca="false">AT229</f>
        <v/>
      </c>
      <c r="BI229" s="100" t="str">
        <f aca="false">IF(ISBLANK($C229),"",AW229)</f>
        <v/>
      </c>
      <c r="BJ229" s="103" t="str">
        <f aca="false">IF($BA229&gt;$AZ$7,"",VLOOKUP($BA229,$BC$8:$BI$507,7,FALSE()))</f>
        <v/>
      </c>
      <c r="BK229" s="104" t="str">
        <f aca="false">IF($BA229&gt;$AZ$7,"",VLOOKUP($BA229,$BC$8:$BI$507,2,FALSE()))</f>
        <v/>
      </c>
      <c r="BL229" s="104" t="str">
        <f aca="false">IF($BA229&gt;$AZ$7,"",VLOOKUP($BA229,$BC$8:$BI$507,3,FALSE()))</f>
        <v/>
      </c>
      <c r="BM229" s="104" t="str">
        <f aca="false">IF($BA229&gt;$AZ$7,"",VLOOKUP($BA229,$BC$8:$BI$507,4,FALSE()))</f>
        <v/>
      </c>
      <c r="BN229" s="104" t="str">
        <f aca="false">IF($BA229&gt;$AZ$7,"",VLOOKUP($BA229,$BC$8:$BI$507,5,FALSE()))</f>
        <v/>
      </c>
      <c r="BO229" s="105" t="str">
        <f aca="false">IF($BA229&gt;$AZ$7,"",VLOOKUP($BA229,$BC$8:$BI$507,6,FALSE()))</f>
        <v/>
      </c>
      <c r="BP229" s="52"/>
    </row>
    <row r="230" customFormat="false" ht="15.75" hidden="false" customHeight="false" outlineLevel="0" collapsed="false">
      <c r="A230" s="5"/>
      <c r="B230" s="118"/>
      <c r="C230" s="54"/>
      <c r="D230" s="55"/>
      <c r="E230" s="79"/>
      <c r="F230" s="57"/>
      <c r="G230" s="58"/>
      <c r="H230" s="58"/>
      <c r="I230" s="57"/>
      <c r="J230" s="58"/>
      <c r="K230" s="58"/>
      <c r="L230" s="57"/>
      <c r="M230" s="79"/>
      <c r="N230" s="60"/>
      <c r="O230" s="62" t="str">
        <f aca="false">IF(ISBLANK($C230),"",IF(E230=Constants!$B$2, TRUE(), IF(E230=Constants!$B$3, FALSE(), TRUE())))</f>
        <v/>
      </c>
      <c r="P230" s="62" t="str">
        <f aca="false">IF(ISBLANK($C230),"",IF(F230=Constants!$B$16,Constants!$B$9,IF(F230=Constants!$B$17,Constants!$B$10,Constants!$B$8)))</f>
        <v/>
      </c>
      <c r="Q230" s="62" t="str">
        <f aca="false">IF(ISBLANK($C230),"",IF(ISNUMBER(G230),IF(G230&gt;=0,G230,""),""))</f>
        <v/>
      </c>
      <c r="R230" s="62" t="str">
        <f aca="false">IF(ISBLANK($C230),"",IF(H230=Constants!$B$2, TRUE(), IF(H230=Constants!$B$3, FALSE(), TRUE())))</f>
        <v/>
      </c>
      <c r="S230" s="62" t="str">
        <f aca="false">IF(ISBLANK($C230),"",IF(I230=Constants!$B$2, TRUE(), IF(I230=Constants!$B$3, FALSE(), TRUE())))</f>
        <v/>
      </c>
      <c r="T230" s="62" t="str">
        <f aca="false">IF(ISBLANK($C230),"",IF(ISNUMBER(J230),IF(J230&gt;=0,J230,""),""))</f>
        <v/>
      </c>
      <c r="U230" s="62" t="str">
        <f aca="false">IF(ISBLANK($C230),"",IF(K230=Constants!$B$2, TRUE(), IF(K230=Constants!$B$3, FALSE(), TRUE())))</f>
        <v/>
      </c>
      <c r="V230" s="62" t="str">
        <f aca="false">IF(ISBLANK($C230),"",IF(L230=Constants!$B$2, TRUE(), IF(L230=Constants!$B$3, FALSE(), TRUE())))</f>
        <v/>
      </c>
      <c r="W230" s="62" t="str">
        <f aca="false">IF(ISBLANK($C230),"",IF(M230=Constants!$B$2, TRUE(), IF(M230=Constants!$B$3, FALSE(), FALSE())))</f>
        <v/>
      </c>
      <c r="X230" s="62" t="str">
        <f aca="false">IF(ISBLANK($C230),"",AND(Q230&lt;&gt;"",O230))</f>
        <v/>
      </c>
      <c r="Y230" s="62" t="str">
        <f aca="false">IF(ISBLANK($C230),"",AND(T230&lt;&gt;"",O230))</f>
        <v/>
      </c>
      <c r="Z230" s="62" t="str">
        <f aca="false">IF(ISBLANK($C230),"",IF(W230,Constants!$B$4,IF(COUNTA(E230:L230)=0,Constants!$B$5,IF(NOT(O230),Constants!$B$6,IF(AND(NOT(X230),NOT(Y230)),Constants!$B$6,Constants!$B$7)))))</f>
        <v/>
      </c>
      <c r="AA230" s="62" t="str">
        <f aca="false">IF(ISBLANK($C230),"",IF($Z230&lt;&gt;Constants!$B$7,$Z230,Constants!$B$20))</f>
        <v/>
      </c>
      <c r="AB230" s="62" t="str">
        <f aca="false">IF($Z230=Constants!$B$7,IF(X230,Q230,Constants!$B$13),"")</f>
        <v/>
      </c>
      <c r="AC230" s="62" t="str">
        <f aca="false">IF($Z230=Constants!$B$7,IF(X230,P230*IF(R230, 1, Constants!$B$11)*IF(S230, 1, Constants!$B$12),Constants!$B$13),"")</f>
        <v/>
      </c>
      <c r="AD230" s="62" t="str">
        <f aca="false">IF($Z230=Constants!$B$7,AB230*AC230,"")</f>
        <v/>
      </c>
      <c r="AE230" s="62" t="str">
        <f aca="false">IF($Z230=Constants!$B$7,IF(Y230,T230,Constants!$B$13),"")</f>
        <v/>
      </c>
      <c r="AF230" s="62" t="str">
        <f aca="false">IF($Z230=Constants!$B$7,IF(Y230,P230*IF(U230, 1, Constants!$B$11)*IF(V230, 1, Constants!$B$12),Constants!$B$13),"")</f>
        <v/>
      </c>
      <c r="AG230" s="62" t="str">
        <f aca="false">IF($Z230=Constants!$B$7,AE230*AF230,"")</f>
        <v/>
      </c>
      <c r="AH230" s="62" t="str">
        <f aca="false">IF($Z230=Constants!$B$7,IF(AG230&gt;AD230,2,1),"")</f>
        <v/>
      </c>
      <c r="AI230" s="62" t="str">
        <f aca="false">IF($Z230=Constants!$B$7,IF(AH230=1,2,1),"")</f>
        <v/>
      </c>
      <c r="AJ230" s="62" t="str">
        <f aca="false">IF(ISBLANK($C230),"",IF($Z230&lt;&gt;Constants!$B$7,$Z230,IF(AH230=1,AD230,AG230)))</f>
        <v/>
      </c>
      <c r="AK230" s="62" t="str">
        <f aca="false">IF(ISBLANK($C230),"",IF($Z230=Constants!$B$7,IF(ISNUMBER(AJ230),RANK(AJ230,$AJ$8:$AJ$507),Constants!$B$14),$Z230))</f>
        <v/>
      </c>
      <c r="AL230" s="62" t="str">
        <f aca="false">IF(ISBLANK($C230),"",IF($Z230=Constants!$B$7,IF(AI230=1,AD230,AG230),""))</f>
        <v/>
      </c>
      <c r="AM230" s="62" t="str">
        <f aca="false">IF(ISBLANK($C230),"",IF($Z230=Constants!$B$7,RANK(AL230,$AL$8:$AL$507),$Z230))</f>
        <v/>
      </c>
      <c r="AN230" s="62" t="str">
        <f aca="false">IF(ISBLANK($C230),"",IF($Z230=Constants!$B$7,IF(ISNUMBER(AK230),COUNTIFS($AK$8:$AK$507,"&lt;"&amp;$AK230)+COUNTIFS($AK$8:$AK$507,$AK230,$AM$8:$AM$507,"&lt;"&amp;$AM230)+1,Constants!$B$14),$Z230))</f>
        <v/>
      </c>
      <c r="AO230" s="62" t="str">
        <f aca="false">IF(ISBLANK($C230),"",IF($Z230=Constants!$B$7,IF(ISNUMBER(AK230),AK230-AN230,Constants!$B$14),$Z230))</f>
        <v/>
      </c>
      <c r="AP230" s="64"/>
      <c r="AQ230" s="65" t="str">
        <f aca="false">IF(ISBLANK($C230),"",IF($Z230&lt;&gt;Constants!$B$7,"",AH230))</f>
        <v/>
      </c>
      <c r="AR230" s="80" t="str">
        <f aca="false">IF(ISBLANK($C230),"",IF($Z230&lt;&gt;Constants!$B$7,"",IF(AH230=1,AB230,AE230)))</f>
        <v/>
      </c>
      <c r="AS230" s="67" t="str">
        <f aca="false">IF(ISBLANK($C230),"",IF($Z230&lt;&gt;Constants!$B$7,"",IF(AH230=1,AC230,AF230)))</f>
        <v/>
      </c>
      <c r="AT230" s="68" t="str">
        <f aca="false">IF(ISBLANK($C230),"",IF($Z230&lt;&gt;Constants!$B$7,$Z230,AJ230))</f>
        <v/>
      </c>
      <c r="AU230" s="69" t="str">
        <f aca="false">IF(ISBLANK($C230),"",IF($Z230&lt;&gt;Constants!$B$7,$Z230,AA230))</f>
        <v/>
      </c>
      <c r="AV230" s="70" t="str">
        <f aca="false">IF(ISBLANK($C230),"",AO230)</f>
        <v/>
      </c>
      <c r="AW230" s="70" t="str">
        <f aca="false">IF(ISBLANK($C230),"",AN230)</f>
        <v/>
      </c>
      <c r="AX230" s="71" t="str">
        <f aca="false">IF(ISBLANK($C230),"",IFERROR(_xlfn.SWITCH(AW230,Constants!$B$4,COUNTA($C$8:$C$507)+2,Constants!$B$5,COUNTA($C$8:$C$507)+1,Constants!$B$6,COUNTA($C$8:$C$507)),AW230))</f>
        <v/>
      </c>
      <c r="AY230" s="5"/>
      <c r="AZ230" s="72" t="n">
        <f aca="false">IF(OR(ISNUMBER(AW230),AW230=Constants!$B$4,AW230=Constants!$B$6,AW230=Constants!$B$5),1,0)</f>
        <v>0</v>
      </c>
      <c r="BA230" s="72" t="n">
        <v>223</v>
      </c>
      <c r="BB230" s="72" t="str">
        <f aca="false">IF(ISBLANK($C230),"",IF(ISNUMBER(AX230),AX230+ROW($B230)/1000,""))</f>
        <v/>
      </c>
      <c r="BC230" s="72" t="str">
        <f aca="false">IF(ISNUMBER(BB230),RANK(BB230,$BB$8:$BB$507,1),"")</f>
        <v/>
      </c>
      <c r="BD230" s="72" t="str">
        <f aca="false">IF(ISBLANK($C230),"",$B230)</f>
        <v/>
      </c>
      <c r="BE230" s="72" t="str">
        <f aca="false">IF(ISBLANK($C230),"",$C230)</f>
        <v/>
      </c>
      <c r="BF230" s="72" t="str">
        <f aca="false">IF(ISBLANK($C230),"",$D230)</f>
        <v/>
      </c>
      <c r="BG230" s="73" t="str">
        <f aca="false">AU230</f>
        <v/>
      </c>
      <c r="BH230" s="74" t="str">
        <f aca="false">AT230</f>
        <v/>
      </c>
      <c r="BI230" s="72" t="str">
        <f aca="false">IF(ISBLANK($C230),"",AW230)</f>
        <v/>
      </c>
      <c r="BJ230" s="75" t="str">
        <f aca="false">IF($BA230&gt;$AZ$7,"",VLOOKUP($BA230,$BC$8:$BI$507,7,FALSE()))</f>
        <v/>
      </c>
      <c r="BK230" s="76" t="str">
        <f aca="false">IF($BA230&gt;$AZ$7,"",VLOOKUP($BA230,$BC$8:$BI$507,2,FALSE()))</f>
        <v/>
      </c>
      <c r="BL230" s="76" t="str">
        <f aca="false">IF($BA230&gt;$AZ$7,"",VLOOKUP($BA230,$BC$8:$BI$507,3,FALSE()))</f>
        <v/>
      </c>
      <c r="BM230" s="76" t="str">
        <f aca="false">IF($BA230&gt;$AZ$7,"",VLOOKUP($BA230,$BC$8:$BI$507,4,FALSE()))</f>
        <v/>
      </c>
      <c r="BN230" s="76" t="str">
        <f aca="false">IF($BA230&gt;$AZ$7,"",VLOOKUP($BA230,$BC$8:$BI$507,5,FALSE()))</f>
        <v/>
      </c>
      <c r="BO230" s="77" t="str">
        <f aca="false">IF($BA230&gt;$AZ$7,"",VLOOKUP($BA230,$BC$8:$BI$507,6,FALSE()))</f>
        <v/>
      </c>
      <c r="BP230" s="52"/>
    </row>
    <row r="231" customFormat="false" ht="15.75" hidden="false" customHeight="false" outlineLevel="0" collapsed="false">
      <c r="A231" s="5"/>
      <c r="B231" s="118"/>
      <c r="C231" s="54"/>
      <c r="D231" s="55"/>
      <c r="E231" s="79"/>
      <c r="F231" s="57"/>
      <c r="G231" s="58"/>
      <c r="H231" s="58"/>
      <c r="I231" s="57"/>
      <c r="J231" s="58"/>
      <c r="K231" s="58"/>
      <c r="L231" s="57"/>
      <c r="M231" s="79"/>
      <c r="N231" s="60"/>
      <c r="O231" s="62" t="str">
        <f aca="false">IF(ISBLANK($C231),"",IF(E231=Constants!$B$2, TRUE(), IF(E231=Constants!$B$3, FALSE(), TRUE())))</f>
        <v/>
      </c>
      <c r="P231" s="62" t="str">
        <f aca="false">IF(ISBLANK($C231),"",IF(F231=Constants!$B$16,Constants!$B$9,IF(F231=Constants!$B$17,Constants!$B$10,Constants!$B$8)))</f>
        <v/>
      </c>
      <c r="Q231" s="62" t="str">
        <f aca="false">IF(ISBLANK($C231),"",IF(ISNUMBER(G231),IF(G231&gt;=0,G231,""),""))</f>
        <v/>
      </c>
      <c r="R231" s="62" t="str">
        <f aca="false">IF(ISBLANK($C231),"",IF(H231=Constants!$B$2, TRUE(), IF(H231=Constants!$B$3, FALSE(), TRUE())))</f>
        <v/>
      </c>
      <c r="S231" s="62" t="str">
        <f aca="false">IF(ISBLANK($C231),"",IF(I231=Constants!$B$2, TRUE(), IF(I231=Constants!$B$3, FALSE(), TRUE())))</f>
        <v/>
      </c>
      <c r="T231" s="62" t="str">
        <f aca="false">IF(ISBLANK($C231),"",IF(ISNUMBER(J231),IF(J231&gt;=0,J231,""),""))</f>
        <v/>
      </c>
      <c r="U231" s="62" t="str">
        <f aca="false">IF(ISBLANK($C231),"",IF(K231=Constants!$B$2, TRUE(), IF(K231=Constants!$B$3, FALSE(), TRUE())))</f>
        <v/>
      </c>
      <c r="V231" s="62" t="str">
        <f aca="false">IF(ISBLANK($C231),"",IF(L231=Constants!$B$2, TRUE(), IF(L231=Constants!$B$3, FALSE(), TRUE())))</f>
        <v/>
      </c>
      <c r="W231" s="62" t="str">
        <f aca="false">IF(ISBLANK($C231),"",IF(M231=Constants!$B$2, TRUE(), IF(M231=Constants!$B$3, FALSE(), FALSE())))</f>
        <v/>
      </c>
      <c r="X231" s="62" t="str">
        <f aca="false">IF(ISBLANK($C231),"",AND(Q231&lt;&gt;"",O231))</f>
        <v/>
      </c>
      <c r="Y231" s="62" t="str">
        <f aca="false">IF(ISBLANK($C231),"",AND(T231&lt;&gt;"",O231))</f>
        <v/>
      </c>
      <c r="Z231" s="62" t="str">
        <f aca="false">IF(ISBLANK($C231),"",IF(W231,Constants!$B$4,IF(COUNTA(E231:L231)=0,Constants!$B$5,IF(NOT(O231),Constants!$B$6,IF(AND(NOT(X231),NOT(Y231)),Constants!$B$6,Constants!$B$7)))))</f>
        <v/>
      </c>
      <c r="AA231" s="62" t="str">
        <f aca="false">IF(ISBLANK($C231),"",IF($Z231&lt;&gt;Constants!$B$7,$Z231,Constants!$B$20))</f>
        <v/>
      </c>
      <c r="AB231" s="62" t="str">
        <f aca="false">IF($Z231=Constants!$B$7,IF(X231,Q231,Constants!$B$13),"")</f>
        <v/>
      </c>
      <c r="AC231" s="62" t="str">
        <f aca="false">IF($Z231=Constants!$B$7,IF(X231,P231*IF(R231, 1, Constants!$B$11)*IF(S231, 1, Constants!$B$12),Constants!$B$13),"")</f>
        <v/>
      </c>
      <c r="AD231" s="62" t="str">
        <f aca="false">IF($Z231=Constants!$B$7,AB231*AC231,"")</f>
        <v/>
      </c>
      <c r="AE231" s="62" t="str">
        <f aca="false">IF($Z231=Constants!$B$7,IF(Y231,T231,Constants!$B$13),"")</f>
        <v/>
      </c>
      <c r="AF231" s="62" t="str">
        <f aca="false">IF($Z231=Constants!$B$7,IF(Y231,P231*IF(U231, 1, Constants!$B$11)*IF(V231, 1, Constants!$B$12),Constants!$B$13),"")</f>
        <v/>
      </c>
      <c r="AG231" s="62" t="str">
        <f aca="false">IF($Z231=Constants!$B$7,AE231*AF231,"")</f>
        <v/>
      </c>
      <c r="AH231" s="62" t="str">
        <f aca="false">IF($Z231=Constants!$B$7,IF(AG231&gt;AD231,2,1),"")</f>
        <v/>
      </c>
      <c r="AI231" s="62" t="str">
        <f aca="false">IF($Z231=Constants!$B$7,IF(AH231=1,2,1),"")</f>
        <v/>
      </c>
      <c r="AJ231" s="62" t="str">
        <f aca="false">IF(ISBLANK($C231),"",IF($Z231&lt;&gt;Constants!$B$7,$Z231,IF(AH231=1,AD231,AG231)))</f>
        <v/>
      </c>
      <c r="AK231" s="62" t="str">
        <f aca="false">IF(ISBLANK($C231),"",IF($Z231=Constants!$B$7,IF(ISNUMBER(AJ231),RANK(AJ231,$AJ$8:$AJ$507),Constants!$B$14),$Z231))</f>
        <v/>
      </c>
      <c r="AL231" s="62" t="str">
        <f aca="false">IF(ISBLANK($C231),"",IF($Z231=Constants!$B$7,IF(AI231=1,AD231,AG231),""))</f>
        <v/>
      </c>
      <c r="AM231" s="62" t="str">
        <f aca="false">IF(ISBLANK($C231),"",IF($Z231=Constants!$B$7,RANK(AL231,$AL$8:$AL$507),$Z231))</f>
        <v/>
      </c>
      <c r="AN231" s="62" t="str">
        <f aca="false">IF(ISBLANK($C231),"",IF($Z231=Constants!$B$7,IF(ISNUMBER(AK231),COUNTIFS($AK$8:$AK$507,"&lt;"&amp;$AK231)+COUNTIFS($AK$8:$AK$507,$AK231,$AM$8:$AM$507,"&lt;"&amp;$AM231)+1,Constants!$B$14),$Z231))</f>
        <v/>
      </c>
      <c r="AO231" s="62" t="str">
        <f aca="false">IF(ISBLANK($C231),"",IF($Z231=Constants!$B$7,IF(ISNUMBER(AK231),AK231-AN231,Constants!$B$14),$Z231))</f>
        <v/>
      </c>
      <c r="AP231" s="64"/>
      <c r="AQ231" s="65" t="str">
        <f aca="false">IF(ISBLANK($C231),"",IF($Z231&lt;&gt;Constants!$B$7,"",AH231))</f>
        <v/>
      </c>
      <c r="AR231" s="80" t="str">
        <f aca="false">IF(ISBLANK($C231),"",IF($Z231&lt;&gt;Constants!$B$7,"",IF(AH231=1,AB231,AE231)))</f>
        <v/>
      </c>
      <c r="AS231" s="67" t="str">
        <f aca="false">IF(ISBLANK($C231),"",IF($Z231&lt;&gt;Constants!$B$7,"",IF(AH231=1,AC231,AF231)))</f>
        <v/>
      </c>
      <c r="AT231" s="68" t="str">
        <f aca="false">IF(ISBLANK($C231),"",IF($Z231&lt;&gt;Constants!$B$7,$Z231,AJ231))</f>
        <v/>
      </c>
      <c r="AU231" s="69" t="str">
        <f aca="false">IF(ISBLANK($C231),"",IF($Z231&lt;&gt;Constants!$B$7,$Z231,AA231))</f>
        <v/>
      </c>
      <c r="AV231" s="70" t="str">
        <f aca="false">IF(ISBLANK($C231),"",AO231)</f>
        <v/>
      </c>
      <c r="AW231" s="70" t="str">
        <f aca="false">IF(ISBLANK($C231),"",AN231)</f>
        <v/>
      </c>
      <c r="AX231" s="71" t="str">
        <f aca="false">IF(ISBLANK($C231),"",IFERROR(_xlfn.SWITCH(AW231,Constants!$B$4,COUNTA($C$8:$C$507)+2,Constants!$B$5,COUNTA($C$8:$C$507)+1,Constants!$B$6,COUNTA($C$8:$C$507)),AW231))</f>
        <v/>
      </c>
      <c r="AY231" s="5"/>
      <c r="AZ231" s="72" t="n">
        <f aca="false">IF(OR(ISNUMBER(AW231),AW231=Constants!$B$4,AW231=Constants!$B$6,AW231=Constants!$B$5),1,0)</f>
        <v>0</v>
      </c>
      <c r="BA231" s="72" t="n">
        <v>224</v>
      </c>
      <c r="BB231" s="72" t="str">
        <f aca="false">IF(ISBLANK($C231),"",IF(ISNUMBER(AX231),AX231+ROW($B231)/1000,""))</f>
        <v/>
      </c>
      <c r="BC231" s="72" t="str">
        <f aca="false">IF(ISNUMBER(BB231),RANK(BB231,$BB$8:$BB$507,1),"")</f>
        <v/>
      </c>
      <c r="BD231" s="72" t="str">
        <f aca="false">IF(ISBLANK($C231),"",$B231)</f>
        <v/>
      </c>
      <c r="BE231" s="72" t="str">
        <f aca="false">IF(ISBLANK($C231),"",$C231)</f>
        <v/>
      </c>
      <c r="BF231" s="72" t="str">
        <f aca="false">IF(ISBLANK($C231),"",$D231)</f>
        <v/>
      </c>
      <c r="BG231" s="73" t="str">
        <f aca="false">AU231</f>
        <v/>
      </c>
      <c r="BH231" s="74" t="str">
        <f aca="false">AT231</f>
        <v/>
      </c>
      <c r="BI231" s="72" t="str">
        <f aca="false">IF(ISBLANK($C231),"",AW231)</f>
        <v/>
      </c>
      <c r="BJ231" s="75" t="str">
        <f aca="false">IF($BA231&gt;$AZ$7,"",VLOOKUP($BA231,$BC$8:$BI$507,7,FALSE()))</f>
        <v/>
      </c>
      <c r="BK231" s="76" t="str">
        <f aca="false">IF($BA231&gt;$AZ$7,"",VLOOKUP($BA231,$BC$8:$BI$507,2,FALSE()))</f>
        <v/>
      </c>
      <c r="BL231" s="76" t="str">
        <f aca="false">IF($BA231&gt;$AZ$7,"",VLOOKUP($BA231,$BC$8:$BI$507,3,FALSE()))</f>
        <v/>
      </c>
      <c r="BM231" s="76" t="str">
        <f aca="false">IF($BA231&gt;$AZ$7,"",VLOOKUP($BA231,$BC$8:$BI$507,4,FALSE()))</f>
        <v/>
      </c>
      <c r="BN231" s="76" t="str">
        <f aca="false">IF($BA231&gt;$AZ$7,"",VLOOKUP($BA231,$BC$8:$BI$507,5,FALSE()))</f>
        <v/>
      </c>
      <c r="BO231" s="77" t="str">
        <f aca="false">IF($BA231&gt;$AZ$7,"",VLOOKUP($BA231,$BC$8:$BI$507,6,FALSE()))</f>
        <v/>
      </c>
      <c r="BP231" s="52"/>
    </row>
    <row r="232" customFormat="false" ht="15.75" hidden="false" customHeight="false" outlineLevel="0" collapsed="false">
      <c r="A232" s="5"/>
      <c r="B232" s="118"/>
      <c r="C232" s="54"/>
      <c r="D232" s="55"/>
      <c r="E232" s="79"/>
      <c r="F232" s="57"/>
      <c r="G232" s="58"/>
      <c r="H232" s="58"/>
      <c r="I232" s="57"/>
      <c r="J232" s="58"/>
      <c r="K232" s="58"/>
      <c r="L232" s="57"/>
      <c r="M232" s="79"/>
      <c r="N232" s="60"/>
      <c r="O232" s="62" t="str">
        <f aca="false">IF(ISBLANK($C232),"",IF(E232=Constants!$B$2, TRUE(), IF(E232=Constants!$B$3, FALSE(), TRUE())))</f>
        <v/>
      </c>
      <c r="P232" s="62" t="str">
        <f aca="false">IF(ISBLANK($C232),"",IF(F232=Constants!$B$16,Constants!$B$9,IF(F232=Constants!$B$17,Constants!$B$10,Constants!$B$8)))</f>
        <v/>
      </c>
      <c r="Q232" s="62" t="str">
        <f aca="false">IF(ISBLANK($C232),"",IF(ISNUMBER(G232),IF(G232&gt;=0,G232,""),""))</f>
        <v/>
      </c>
      <c r="R232" s="62" t="str">
        <f aca="false">IF(ISBLANK($C232),"",IF(H232=Constants!$B$2, TRUE(), IF(H232=Constants!$B$3, FALSE(), TRUE())))</f>
        <v/>
      </c>
      <c r="S232" s="62" t="str">
        <f aca="false">IF(ISBLANK($C232),"",IF(I232=Constants!$B$2, TRUE(), IF(I232=Constants!$B$3, FALSE(), TRUE())))</f>
        <v/>
      </c>
      <c r="T232" s="62" t="str">
        <f aca="false">IF(ISBLANK($C232),"",IF(ISNUMBER(J232),IF(J232&gt;=0,J232,""),""))</f>
        <v/>
      </c>
      <c r="U232" s="62" t="str">
        <f aca="false">IF(ISBLANK($C232),"",IF(K232=Constants!$B$2, TRUE(), IF(K232=Constants!$B$3, FALSE(), TRUE())))</f>
        <v/>
      </c>
      <c r="V232" s="62" t="str">
        <f aca="false">IF(ISBLANK($C232),"",IF(L232=Constants!$B$2, TRUE(), IF(L232=Constants!$B$3, FALSE(), TRUE())))</f>
        <v/>
      </c>
      <c r="W232" s="62" t="str">
        <f aca="false">IF(ISBLANK($C232),"",IF(M232=Constants!$B$2, TRUE(), IF(M232=Constants!$B$3, FALSE(), FALSE())))</f>
        <v/>
      </c>
      <c r="X232" s="62" t="str">
        <f aca="false">IF(ISBLANK($C232),"",AND(Q232&lt;&gt;"",O232))</f>
        <v/>
      </c>
      <c r="Y232" s="62" t="str">
        <f aca="false">IF(ISBLANK($C232),"",AND(T232&lt;&gt;"",O232))</f>
        <v/>
      </c>
      <c r="Z232" s="62" t="str">
        <f aca="false">IF(ISBLANK($C232),"",IF(W232,Constants!$B$4,IF(COUNTA(E232:L232)=0,Constants!$B$5,IF(NOT(O232),Constants!$B$6,IF(AND(NOT(X232),NOT(Y232)),Constants!$B$6,Constants!$B$7)))))</f>
        <v/>
      </c>
      <c r="AA232" s="62" t="str">
        <f aca="false">IF(ISBLANK($C232),"",IF($Z232&lt;&gt;Constants!$B$7,$Z232,Constants!$B$20))</f>
        <v/>
      </c>
      <c r="AB232" s="62" t="str">
        <f aca="false">IF($Z232=Constants!$B$7,IF(X232,Q232,Constants!$B$13),"")</f>
        <v/>
      </c>
      <c r="AC232" s="62" t="str">
        <f aca="false">IF($Z232=Constants!$B$7,IF(X232,P232*IF(R232, 1, Constants!$B$11)*IF(S232, 1, Constants!$B$12),Constants!$B$13),"")</f>
        <v/>
      </c>
      <c r="AD232" s="62" t="str">
        <f aca="false">IF($Z232=Constants!$B$7,AB232*AC232,"")</f>
        <v/>
      </c>
      <c r="AE232" s="62" t="str">
        <f aca="false">IF($Z232=Constants!$B$7,IF(Y232,T232,Constants!$B$13),"")</f>
        <v/>
      </c>
      <c r="AF232" s="62" t="str">
        <f aca="false">IF($Z232=Constants!$B$7,IF(Y232,P232*IF(U232, 1, Constants!$B$11)*IF(V232, 1, Constants!$B$12),Constants!$B$13),"")</f>
        <v/>
      </c>
      <c r="AG232" s="62" t="str">
        <f aca="false">IF($Z232=Constants!$B$7,AE232*AF232,"")</f>
        <v/>
      </c>
      <c r="AH232" s="62" t="str">
        <f aca="false">IF($Z232=Constants!$B$7,IF(AG232&gt;AD232,2,1),"")</f>
        <v/>
      </c>
      <c r="AI232" s="62" t="str">
        <f aca="false">IF($Z232=Constants!$B$7,IF(AH232=1,2,1),"")</f>
        <v/>
      </c>
      <c r="AJ232" s="62" t="str">
        <f aca="false">IF(ISBLANK($C232),"",IF($Z232&lt;&gt;Constants!$B$7,$Z232,IF(AH232=1,AD232,AG232)))</f>
        <v/>
      </c>
      <c r="AK232" s="62" t="str">
        <f aca="false">IF(ISBLANK($C232),"",IF($Z232=Constants!$B$7,IF(ISNUMBER(AJ232),RANK(AJ232,$AJ$8:$AJ$507),Constants!$B$14),$Z232))</f>
        <v/>
      </c>
      <c r="AL232" s="62" t="str">
        <f aca="false">IF(ISBLANK($C232),"",IF($Z232=Constants!$B$7,IF(AI232=1,AD232,AG232),""))</f>
        <v/>
      </c>
      <c r="AM232" s="62" t="str">
        <f aca="false">IF(ISBLANK($C232),"",IF($Z232=Constants!$B$7,RANK(AL232,$AL$8:$AL$507),$Z232))</f>
        <v/>
      </c>
      <c r="AN232" s="62" t="str">
        <f aca="false">IF(ISBLANK($C232),"",IF($Z232=Constants!$B$7,IF(ISNUMBER(AK232),COUNTIFS($AK$8:$AK$507,"&lt;"&amp;$AK232)+COUNTIFS($AK$8:$AK$507,$AK232,$AM$8:$AM$507,"&lt;"&amp;$AM232)+1,Constants!$B$14),$Z232))</f>
        <v/>
      </c>
      <c r="AO232" s="62" t="str">
        <f aca="false">IF(ISBLANK($C232),"",IF($Z232=Constants!$B$7,IF(ISNUMBER(AK232),AK232-AN232,Constants!$B$14),$Z232))</f>
        <v/>
      </c>
      <c r="AP232" s="64"/>
      <c r="AQ232" s="65" t="str">
        <f aca="false">IF(ISBLANK($C232),"",IF($Z232&lt;&gt;Constants!$B$7,"",AH232))</f>
        <v/>
      </c>
      <c r="AR232" s="80" t="str">
        <f aca="false">IF(ISBLANK($C232),"",IF($Z232&lt;&gt;Constants!$B$7,"",IF(AH232=1,AB232,AE232)))</f>
        <v/>
      </c>
      <c r="AS232" s="67" t="str">
        <f aca="false">IF(ISBLANK($C232),"",IF($Z232&lt;&gt;Constants!$B$7,"",IF(AH232=1,AC232,AF232)))</f>
        <v/>
      </c>
      <c r="AT232" s="68" t="str">
        <f aca="false">IF(ISBLANK($C232),"",IF($Z232&lt;&gt;Constants!$B$7,$Z232,AJ232))</f>
        <v/>
      </c>
      <c r="AU232" s="69" t="str">
        <f aca="false">IF(ISBLANK($C232),"",IF($Z232&lt;&gt;Constants!$B$7,$Z232,AA232))</f>
        <v/>
      </c>
      <c r="AV232" s="70" t="str">
        <f aca="false">IF(ISBLANK($C232),"",AO232)</f>
        <v/>
      </c>
      <c r="AW232" s="70" t="str">
        <f aca="false">IF(ISBLANK($C232),"",AN232)</f>
        <v/>
      </c>
      <c r="AX232" s="71" t="str">
        <f aca="false">IF(ISBLANK($C232),"",IFERROR(_xlfn.SWITCH(AW232,Constants!$B$4,COUNTA($C$8:$C$507)+2,Constants!$B$5,COUNTA($C$8:$C$507)+1,Constants!$B$6,COUNTA($C$8:$C$507)),AW232))</f>
        <v/>
      </c>
      <c r="AY232" s="5"/>
      <c r="AZ232" s="72" t="n">
        <f aca="false">IF(OR(ISNUMBER(AW232),AW232=Constants!$B$4,AW232=Constants!$B$6,AW232=Constants!$B$5),1,0)</f>
        <v>0</v>
      </c>
      <c r="BA232" s="72" t="n">
        <v>225</v>
      </c>
      <c r="BB232" s="72" t="str">
        <f aca="false">IF(ISBLANK($C232),"",IF(ISNUMBER(AX232),AX232+ROW($B232)/1000,""))</f>
        <v/>
      </c>
      <c r="BC232" s="72" t="str">
        <f aca="false">IF(ISNUMBER(BB232),RANK(BB232,$BB$8:$BB$507,1),"")</f>
        <v/>
      </c>
      <c r="BD232" s="72" t="str">
        <f aca="false">IF(ISBLANK($C232),"",$B232)</f>
        <v/>
      </c>
      <c r="BE232" s="72" t="str">
        <f aca="false">IF(ISBLANK($C232),"",$C232)</f>
        <v/>
      </c>
      <c r="BF232" s="72" t="str">
        <f aca="false">IF(ISBLANK($C232),"",$D232)</f>
        <v/>
      </c>
      <c r="BG232" s="73" t="str">
        <f aca="false">AU232</f>
        <v/>
      </c>
      <c r="BH232" s="74" t="str">
        <f aca="false">AT232</f>
        <v/>
      </c>
      <c r="BI232" s="72" t="str">
        <f aca="false">IF(ISBLANK($C232),"",AW232)</f>
        <v/>
      </c>
      <c r="BJ232" s="75" t="str">
        <f aca="false">IF($BA232&gt;$AZ$7,"",VLOOKUP($BA232,$BC$8:$BI$507,7,FALSE()))</f>
        <v/>
      </c>
      <c r="BK232" s="76" t="str">
        <f aca="false">IF($BA232&gt;$AZ$7,"",VLOOKUP($BA232,$BC$8:$BI$507,2,FALSE()))</f>
        <v/>
      </c>
      <c r="BL232" s="76" t="str">
        <f aca="false">IF($BA232&gt;$AZ$7,"",VLOOKUP($BA232,$BC$8:$BI$507,3,FALSE()))</f>
        <v/>
      </c>
      <c r="BM232" s="76" t="str">
        <f aca="false">IF($BA232&gt;$AZ$7,"",VLOOKUP($BA232,$BC$8:$BI$507,4,FALSE()))</f>
        <v/>
      </c>
      <c r="BN232" s="76" t="str">
        <f aca="false">IF($BA232&gt;$AZ$7,"",VLOOKUP($BA232,$BC$8:$BI$507,5,FALSE()))</f>
        <v/>
      </c>
      <c r="BO232" s="77" t="str">
        <f aca="false">IF($BA232&gt;$AZ$7,"",VLOOKUP($BA232,$BC$8:$BI$507,6,FALSE()))</f>
        <v/>
      </c>
      <c r="BP232" s="52"/>
    </row>
    <row r="233" customFormat="false" ht="15.75" hidden="false" customHeight="false" outlineLevel="0" collapsed="false">
      <c r="A233" s="5"/>
      <c r="B233" s="114"/>
      <c r="C233" s="115"/>
      <c r="D233" s="106"/>
      <c r="E233" s="117"/>
      <c r="F233" s="87"/>
      <c r="G233" s="88"/>
      <c r="H233" s="88"/>
      <c r="I233" s="87"/>
      <c r="J233" s="88"/>
      <c r="K233" s="88"/>
      <c r="L233" s="87"/>
      <c r="M233" s="117"/>
      <c r="N233" s="90"/>
      <c r="O233" s="91" t="str">
        <f aca="false">IF(ISBLANK($C233),"",IF(E233=Constants!$B$2, TRUE(), IF(E233=Constants!$B$3, FALSE(), TRUE())))</f>
        <v/>
      </c>
      <c r="P233" s="91" t="str">
        <f aca="false">IF(ISBLANK($C233),"",IF(F233=Constants!$B$16,Constants!$B$9,IF(F233=Constants!$B$17,Constants!$B$10,Constants!$B$8)))</f>
        <v/>
      </c>
      <c r="Q233" s="91" t="str">
        <f aca="false">IF(ISBLANK($C233),"",IF(ISNUMBER(G233),IF(G233&gt;=0,G233,""),""))</f>
        <v/>
      </c>
      <c r="R233" s="91" t="str">
        <f aca="false">IF(ISBLANK($C233),"",IF(H233=Constants!$B$2, TRUE(), IF(H233=Constants!$B$3, FALSE(), TRUE())))</f>
        <v/>
      </c>
      <c r="S233" s="91" t="str">
        <f aca="false">IF(ISBLANK($C233),"",IF(I233=Constants!$B$2, TRUE(), IF(I233=Constants!$B$3, FALSE(), TRUE())))</f>
        <v/>
      </c>
      <c r="T233" s="91" t="str">
        <f aca="false">IF(ISBLANK($C233),"",IF(ISNUMBER(J233),IF(J233&gt;=0,J233,""),""))</f>
        <v/>
      </c>
      <c r="U233" s="91" t="str">
        <f aca="false">IF(ISBLANK($C233),"",IF(K233=Constants!$B$2, TRUE(), IF(K233=Constants!$B$3, FALSE(), TRUE())))</f>
        <v/>
      </c>
      <c r="V233" s="91" t="str">
        <f aca="false">IF(ISBLANK($C233),"",IF(L233=Constants!$B$2, TRUE(), IF(L233=Constants!$B$3, FALSE(), TRUE())))</f>
        <v/>
      </c>
      <c r="W233" s="91" t="str">
        <f aca="false">IF(ISBLANK($C233),"",IF(M233=Constants!$B$2, TRUE(), IF(M233=Constants!$B$3, FALSE(), FALSE())))</f>
        <v/>
      </c>
      <c r="X233" s="91" t="str">
        <f aca="false">IF(ISBLANK($C233),"",AND(Q233&lt;&gt;"",O233))</f>
        <v/>
      </c>
      <c r="Y233" s="91" t="str">
        <f aca="false">IF(ISBLANK($C233),"",AND(T233&lt;&gt;"",O233))</f>
        <v/>
      </c>
      <c r="Z233" s="91" t="str">
        <f aca="false">IF(ISBLANK($C233),"",IF(W233,Constants!$B$4,IF(COUNTA(E233:L233)=0,Constants!$B$5,IF(NOT(O233),Constants!$B$6,IF(AND(NOT(X233),NOT(Y233)),Constants!$B$6,Constants!$B$7)))))</f>
        <v/>
      </c>
      <c r="AA233" s="91" t="str">
        <f aca="false">IF(ISBLANK($C233),"",IF($Z233&lt;&gt;Constants!$B$7,$Z233,Constants!$B$20))</f>
        <v/>
      </c>
      <c r="AB233" s="91" t="str">
        <f aca="false">IF($Z233=Constants!$B$7,IF(X233,Q233,Constants!$B$13),"")</f>
        <v/>
      </c>
      <c r="AC233" s="91" t="str">
        <f aca="false">IF($Z233=Constants!$B$7,IF(X233,P233*IF(R233, 1, Constants!$B$11)*IF(S233, 1, Constants!$B$12),Constants!$B$13),"")</f>
        <v/>
      </c>
      <c r="AD233" s="91" t="str">
        <f aca="false">IF($Z233=Constants!$B$7,AB233*AC233,"")</f>
        <v/>
      </c>
      <c r="AE233" s="91" t="str">
        <f aca="false">IF($Z233=Constants!$B$7,IF(Y233,T233,Constants!$B$13),"")</f>
        <v/>
      </c>
      <c r="AF233" s="91" t="str">
        <f aca="false">IF($Z233=Constants!$B$7,IF(Y233,P233*IF(U233, 1, Constants!$B$11)*IF(V233, 1, Constants!$B$12),Constants!$B$13),"")</f>
        <v/>
      </c>
      <c r="AG233" s="91" t="str">
        <f aca="false">IF($Z233=Constants!$B$7,AE233*AF233,"")</f>
        <v/>
      </c>
      <c r="AH233" s="91" t="str">
        <f aca="false">IF($Z233=Constants!$B$7,IF(AG233&gt;AD233,2,1),"")</f>
        <v/>
      </c>
      <c r="AI233" s="91" t="str">
        <f aca="false">IF($Z233=Constants!$B$7,IF(AH233=1,2,1),"")</f>
        <v/>
      </c>
      <c r="AJ233" s="91" t="str">
        <f aca="false">IF(ISBLANK($C233),"",IF($Z233&lt;&gt;Constants!$B$7,$Z233,IF(AH233=1,AD233,AG233)))</f>
        <v/>
      </c>
      <c r="AK233" s="91" t="str">
        <f aca="false">IF(ISBLANK($C233),"",IF($Z233=Constants!$B$7,IF(ISNUMBER(AJ233),RANK(AJ233,$AJ$8:$AJ$507),Constants!$B$14),$Z233))</f>
        <v/>
      </c>
      <c r="AL233" s="91" t="str">
        <f aca="false">IF(ISBLANK($C233),"",IF($Z233=Constants!$B$7,IF(AI233=1,AD233,AG233),""))</f>
        <v/>
      </c>
      <c r="AM233" s="91" t="str">
        <f aca="false">IF(ISBLANK($C233),"",IF($Z233=Constants!$B$7,RANK(AL233,$AL$8:$AL$507),$Z233))</f>
        <v/>
      </c>
      <c r="AN233" s="91" t="str">
        <f aca="false">IF(ISBLANK($C233),"",IF($Z233=Constants!$B$7,IF(ISNUMBER(AK233),COUNTIFS($AK$8:$AK$507,"&lt;"&amp;$AK233)+COUNTIFS($AK$8:$AK$507,$AK233,$AM$8:$AM$507,"&lt;"&amp;$AM233)+1,Constants!$B$14),$Z233))</f>
        <v/>
      </c>
      <c r="AO233" s="91" t="str">
        <f aca="false">IF(ISBLANK($C233),"",IF($Z233=Constants!$B$7,IF(ISNUMBER(AK233),AK233-AN233,Constants!$B$14),$Z233))</f>
        <v/>
      </c>
      <c r="AP233" s="92"/>
      <c r="AQ233" s="93" t="str">
        <f aca="false">IF(ISBLANK($C233),"",IF($Z233&lt;&gt;Constants!$B$7,"",AH233))</f>
        <v/>
      </c>
      <c r="AR233" s="94" t="str">
        <f aca="false">IF(ISBLANK($C233),"",IF($Z233&lt;&gt;Constants!$B$7,"",IF(AH233=1,AB233,AE233)))</f>
        <v/>
      </c>
      <c r="AS233" s="95" t="str">
        <f aca="false">IF(ISBLANK($C233),"",IF($Z233&lt;&gt;Constants!$B$7,"",IF(AH233=1,AC233,AF233)))</f>
        <v/>
      </c>
      <c r="AT233" s="96" t="str">
        <f aca="false">IF(ISBLANK($C233),"",IF($Z233&lt;&gt;Constants!$B$7,$Z233,AJ233))</f>
        <v/>
      </c>
      <c r="AU233" s="97" t="str">
        <f aca="false">IF(ISBLANK($C233),"",IF($Z233&lt;&gt;Constants!$B$7,$Z233,AA233))</f>
        <v/>
      </c>
      <c r="AV233" s="98" t="str">
        <f aca="false">IF(ISBLANK($C233),"",AO233)</f>
        <v/>
      </c>
      <c r="AW233" s="98" t="str">
        <f aca="false">IF(ISBLANK($C233),"",AN233)</f>
        <v/>
      </c>
      <c r="AX233" s="99" t="str">
        <f aca="false">IF(ISBLANK($C233),"",IFERROR(_xlfn.SWITCH(AW233,Constants!$B$4,COUNTA($C$8:$C$507)+2,Constants!$B$5,COUNTA($C$8:$C$507)+1,Constants!$B$6,COUNTA($C$8:$C$507)),AW233))</f>
        <v/>
      </c>
      <c r="AY233" s="5"/>
      <c r="AZ233" s="100" t="n">
        <f aca="false">IF(OR(ISNUMBER(AW233),AW233=Constants!$B$4,AW233=Constants!$B$6,AW233=Constants!$B$5),1,0)</f>
        <v>0</v>
      </c>
      <c r="BA233" s="100" t="n">
        <v>226</v>
      </c>
      <c r="BB233" s="100" t="str">
        <f aca="false">IF(ISBLANK($C233),"",IF(ISNUMBER(AX233),AX233+ROW($B233)/1000,""))</f>
        <v/>
      </c>
      <c r="BC233" s="100" t="str">
        <f aca="false">IF(ISNUMBER(BB233),RANK(BB233,$BB$8:$BB$507,1),"")</f>
        <v/>
      </c>
      <c r="BD233" s="100" t="str">
        <f aca="false">IF(ISBLANK($C233),"",$B233)</f>
        <v/>
      </c>
      <c r="BE233" s="100" t="str">
        <f aca="false">IF(ISBLANK($C233),"",$C233)</f>
        <v/>
      </c>
      <c r="BF233" s="100" t="str">
        <f aca="false">IF(ISBLANK($C233),"",$D233)</f>
        <v/>
      </c>
      <c r="BG233" s="101" t="str">
        <f aca="false">AU233</f>
        <v/>
      </c>
      <c r="BH233" s="102" t="str">
        <f aca="false">AT233</f>
        <v/>
      </c>
      <c r="BI233" s="100" t="str">
        <f aca="false">IF(ISBLANK($C233),"",AW233)</f>
        <v/>
      </c>
      <c r="BJ233" s="103" t="str">
        <f aca="false">IF($BA233&gt;$AZ$7,"",VLOOKUP($BA233,$BC$8:$BI$507,7,FALSE()))</f>
        <v/>
      </c>
      <c r="BK233" s="104" t="str">
        <f aca="false">IF($BA233&gt;$AZ$7,"",VLOOKUP($BA233,$BC$8:$BI$507,2,FALSE()))</f>
        <v/>
      </c>
      <c r="BL233" s="104" t="str">
        <f aca="false">IF($BA233&gt;$AZ$7,"",VLOOKUP($BA233,$BC$8:$BI$507,3,FALSE()))</f>
        <v/>
      </c>
      <c r="BM233" s="104" t="str">
        <f aca="false">IF($BA233&gt;$AZ$7,"",VLOOKUP($BA233,$BC$8:$BI$507,4,FALSE()))</f>
        <v/>
      </c>
      <c r="BN233" s="104" t="str">
        <f aca="false">IF($BA233&gt;$AZ$7,"",VLOOKUP($BA233,$BC$8:$BI$507,5,FALSE()))</f>
        <v/>
      </c>
      <c r="BO233" s="105" t="str">
        <f aca="false">IF($BA233&gt;$AZ$7,"",VLOOKUP($BA233,$BC$8:$BI$507,6,FALSE()))</f>
        <v/>
      </c>
      <c r="BP233" s="52"/>
    </row>
    <row r="234" customFormat="false" ht="15.75" hidden="false" customHeight="false" outlineLevel="0" collapsed="false">
      <c r="A234" s="5"/>
      <c r="B234" s="114"/>
      <c r="C234" s="115"/>
      <c r="D234" s="106"/>
      <c r="E234" s="117"/>
      <c r="F234" s="87"/>
      <c r="G234" s="88"/>
      <c r="H234" s="88"/>
      <c r="I234" s="87"/>
      <c r="J234" s="88"/>
      <c r="K234" s="88"/>
      <c r="L234" s="87"/>
      <c r="M234" s="117"/>
      <c r="N234" s="90"/>
      <c r="O234" s="91" t="str">
        <f aca="false">IF(ISBLANK($C234),"",IF(E234=Constants!$B$2, TRUE(), IF(E234=Constants!$B$3, FALSE(), TRUE())))</f>
        <v/>
      </c>
      <c r="P234" s="91" t="str">
        <f aca="false">IF(ISBLANK($C234),"",IF(F234=Constants!$B$16,Constants!$B$9,IF(F234=Constants!$B$17,Constants!$B$10,Constants!$B$8)))</f>
        <v/>
      </c>
      <c r="Q234" s="91" t="str">
        <f aca="false">IF(ISBLANK($C234),"",IF(ISNUMBER(G234),IF(G234&gt;=0,G234,""),""))</f>
        <v/>
      </c>
      <c r="R234" s="91" t="str">
        <f aca="false">IF(ISBLANK($C234),"",IF(H234=Constants!$B$2, TRUE(), IF(H234=Constants!$B$3, FALSE(), TRUE())))</f>
        <v/>
      </c>
      <c r="S234" s="91" t="str">
        <f aca="false">IF(ISBLANK($C234),"",IF(I234=Constants!$B$2, TRUE(), IF(I234=Constants!$B$3, FALSE(), TRUE())))</f>
        <v/>
      </c>
      <c r="T234" s="91" t="str">
        <f aca="false">IF(ISBLANK($C234),"",IF(ISNUMBER(J234),IF(J234&gt;=0,J234,""),""))</f>
        <v/>
      </c>
      <c r="U234" s="91" t="str">
        <f aca="false">IF(ISBLANK($C234),"",IF(K234=Constants!$B$2, TRUE(), IF(K234=Constants!$B$3, FALSE(), TRUE())))</f>
        <v/>
      </c>
      <c r="V234" s="91" t="str">
        <f aca="false">IF(ISBLANK($C234),"",IF(L234=Constants!$B$2, TRUE(), IF(L234=Constants!$B$3, FALSE(), TRUE())))</f>
        <v/>
      </c>
      <c r="W234" s="91" t="str">
        <f aca="false">IF(ISBLANK($C234),"",IF(M234=Constants!$B$2, TRUE(), IF(M234=Constants!$B$3, FALSE(), FALSE())))</f>
        <v/>
      </c>
      <c r="X234" s="91" t="str">
        <f aca="false">IF(ISBLANK($C234),"",AND(Q234&lt;&gt;"",O234))</f>
        <v/>
      </c>
      <c r="Y234" s="91" t="str">
        <f aca="false">IF(ISBLANK($C234),"",AND(T234&lt;&gt;"",O234))</f>
        <v/>
      </c>
      <c r="Z234" s="91" t="str">
        <f aca="false">IF(ISBLANK($C234),"",IF(W234,Constants!$B$4,IF(COUNTA(E234:L234)=0,Constants!$B$5,IF(NOT(O234),Constants!$B$6,IF(AND(NOT(X234),NOT(Y234)),Constants!$B$6,Constants!$B$7)))))</f>
        <v/>
      </c>
      <c r="AA234" s="91" t="str">
        <f aca="false">IF(ISBLANK($C234),"",IF($Z234&lt;&gt;Constants!$B$7,$Z234,Constants!$B$20))</f>
        <v/>
      </c>
      <c r="AB234" s="91" t="str">
        <f aca="false">IF($Z234=Constants!$B$7,IF(X234,Q234,Constants!$B$13),"")</f>
        <v/>
      </c>
      <c r="AC234" s="91" t="str">
        <f aca="false">IF($Z234=Constants!$B$7,IF(X234,P234*IF(R234, 1, Constants!$B$11)*IF(S234, 1, Constants!$B$12),Constants!$B$13),"")</f>
        <v/>
      </c>
      <c r="AD234" s="91" t="str">
        <f aca="false">IF($Z234=Constants!$B$7,AB234*AC234,"")</f>
        <v/>
      </c>
      <c r="AE234" s="91" t="str">
        <f aca="false">IF($Z234=Constants!$B$7,IF(Y234,T234,Constants!$B$13),"")</f>
        <v/>
      </c>
      <c r="AF234" s="91" t="str">
        <f aca="false">IF($Z234=Constants!$B$7,IF(Y234,P234*IF(U234, 1, Constants!$B$11)*IF(V234, 1, Constants!$B$12),Constants!$B$13),"")</f>
        <v/>
      </c>
      <c r="AG234" s="91" t="str">
        <f aca="false">IF($Z234=Constants!$B$7,AE234*AF234,"")</f>
        <v/>
      </c>
      <c r="AH234" s="91" t="str">
        <f aca="false">IF($Z234=Constants!$B$7,IF(AG234&gt;AD234,2,1),"")</f>
        <v/>
      </c>
      <c r="AI234" s="91" t="str">
        <f aca="false">IF($Z234=Constants!$B$7,IF(AH234=1,2,1),"")</f>
        <v/>
      </c>
      <c r="AJ234" s="91" t="str">
        <f aca="false">IF(ISBLANK($C234),"",IF($Z234&lt;&gt;Constants!$B$7,$Z234,IF(AH234=1,AD234,AG234)))</f>
        <v/>
      </c>
      <c r="AK234" s="91" t="str">
        <f aca="false">IF(ISBLANK($C234),"",IF($Z234=Constants!$B$7,IF(ISNUMBER(AJ234),RANK(AJ234,$AJ$8:$AJ$507),Constants!$B$14),$Z234))</f>
        <v/>
      </c>
      <c r="AL234" s="91" t="str">
        <f aca="false">IF(ISBLANK($C234),"",IF($Z234=Constants!$B$7,IF(AI234=1,AD234,AG234),""))</f>
        <v/>
      </c>
      <c r="AM234" s="91" t="str">
        <f aca="false">IF(ISBLANK($C234),"",IF($Z234=Constants!$B$7,RANK(AL234,$AL$8:$AL$507),$Z234))</f>
        <v/>
      </c>
      <c r="AN234" s="91" t="str">
        <f aca="false">IF(ISBLANK($C234),"",IF($Z234=Constants!$B$7,IF(ISNUMBER(AK234),COUNTIFS($AK$8:$AK$507,"&lt;"&amp;$AK234)+COUNTIFS($AK$8:$AK$507,$AK234,$AM$8:$AM$507,"&lt;"&amp;$AM234)+1,Constants!$B$14),$Z234))</f>
        <v/>
      </c>
      <c r="AO234" s="91" t="str">
        <f aca="false">IF(ISBLANK($C234),"",IF($Z234=Constants!$B$7,IF(ISNUMBER(AK234),AK234-AN234,Constants!$B$14),$Z234))</f>
        <v/>
      </c>
      <c r="AP234" s="92"/>
      <c r="AQ234" s="93" t="str">
        <f aca="false">IF(ISBLANK($C234),"",IF($Z234&lt;&gt;Constants!$B$7,"",AH234))</f>
        <v/>
      </c>
      <c r="AR234" s="94" t="str">
        <f aca="false">IF(ISBLANK($C234),"",IF($Z234&lt;&gt;Constants!$B$7,"",IF(AH234=1,AB234,AE234)))</f>
        <v/>
      </c>
      <c r="AS234" s="95" t="str">
        <f aca="false">IF(ISBLANK($C234),"",IF($Z234&lt;&gt;Constants!$B$7,"",IF(AH234=1,AC234,AF234)))</f>
        <v/>
      </c>
      <c r="AT234" s="96" t="str">
        <f aca="false">IF(ISBLANK($C234),"",IF($Z234&lt;&gt;Constants!$B$7,$Z234,AJ234))</f>
        <v/>
      </c>
      <c r="AU234" s="97" t="str">
        <f aca="false">IF(ISBLANK($C234),"",IF($Z234&lt;&gt;Constants!$B$7,$Z234,AA234))</f>
        <v/>
      </c>
      <c r="AV234" s="98" t="str">
        <f aca="false">IF(ISBLANK($C234),"",AO234)</f>
        <v/>
      </c>
      <c r="AW234" s="98" t="str">
        <f aca="false">IF(ISBLANK($C234),"",AN234)</f>
        <v/>
      </c>
      <c r="AX234" s="99" t="str">
        <f aca="false">IF(ISBLANK($C234),"",IFERROR(_xlfn.SWITCH(AW234,Constants!$B$4,COUNTA($C$8:$C$507)+2,Constants!$B$5,COUNTA($C$8:$C$507)+1,Constants!$B$6,COUNTA($C$8:$C$507)),AW234))</f>
        <v/>
      </c>
      <c r="AY234" s="5"/>
      <c r="AZ234" s="100" t="n">
        <f aca="false">IF(OR(ISNUMBER(AW234),AW234=Constants!$B$4,AW234=Constants!$B$6,AW234=Constants!$B$5),1,0)</f>
        <v>0</v>
      </c>
      <c r="BA234" s="100" t="n">
        <v>227</v>
      </c>
      <c r="BB234" s="100" t="str">
        <f aca="false">IF(ISBLANK($C234),"",IF(ISNUMBER(AX234),AX234+ROW($B234)/1000,""))</f>
        <v/>
      </c>
      <c r="BC234" s="100" t="str">
        <f aca="false">IF(ISNUMBER(BB234),RANK(BB234,$BB$8:$BB$507,1),"")</f>
        <v/>
      </c>
      <c r="BD234" s="100" t="str">
        <f aca="false">IF(ISBLANK($C234),"",$B234)</f>
        <v/>
      </c>
      <c r="BE234" s="100" t="str">
        <f aca="false">IF(ISBLANK($C234),"",$C234)</f>
        <v/>
      </c>
      <c r="BF234" s="100" t="str">
        <f aca="false">IF(ISBLANK($C234),"",$D234)</f>
        <v/>
      </c>
      <c r="BG234" s="101" t="str">
        <f aca="false">AU234</f>
        <v/>
      </c>
      <c r="BH234" s="102" t="str">
        <f aca="false">AT234</f>
        <v/>
      </c>
      <c r="BI234" s="100" t="str">
        <f aca="false">IF(ISBLANK($C234),"",AW234)</f>
        <v/>
      </c>
      <c r="BJ234" s="103" t="str">
        <f aca="false">IF($BA234&gt;$AZ$7,"",VLOOKUP($BA234,$BC$8:$BI$507,7,FALSE()))</f>
        <v/>
      </c>
      <c r="BK234" s="104" t="str">
        <f aca="false">IF($BA234&gt;$AZ$7,"",VLOOKUP($BA234,$BC$8:$BI$507,2,FALSE()))</f>
        <v/>
      </c>
      <c r="BL234" s="104" t="str">
        <f aca="false">IF($BA234&gt;$AZ$7,"",VLOOKUP($BA234,$BC$8:$BI$507,3,FALSE()))</f>
        <v/>
      </c>
      <c r="BM234" s="104" t="str">
        <f aca="false">IF($BA234&gt;$AZ$7,"",VLOOKUP($BA234,$BC$8:$BI$507,4,FALSE()))</f>
        <v/>
      </c>
      <c r="BN234" s="104" t="str">
        <f aca="false">IF($BA234&gt;$AZ$7,"",VLOOKUP($BA234,$BC$8:$BI$507,5,FALSE()))</f>
        <v/>
      </c>
      <c r="BO234" s="105" t="str">
        <f aca="false">IF($BA234&gt;$AZ$7,"",VLOOKUP($BA234,$BC$8:$BI$507,6,FALSE()))</f>
        <v/>
      </c>
      <c r="BP234" s="52"/>
    </row>
    <row r="235" customFormat="false" ht="15.75" hidden="false" customHeight="false" outlineLevel="0" collapsed="false">
      <c r="A235" s="5"/>
      <c r="B235" s="114"/>
      <c r="C235" s="115"/>
      <c r="D235" s="106"/>
      <c r="E235" s="117"/>
      <c r="F235" s="87"/>
      <c r="G235" s="88"/>
      <c r="H235" s="88"/>
      <c r="I235" s="87"/>
      <c r="J235" s="88"/>
      <c r="K235" s="88"/>
      <c r="L235" s="87"/>
      <c r="M235" s="117"/>
      <c r="N235" s="90"/>
      <c r="O235" s="91" t="str">
        <f aca="false">IF(ISBLANK($C235),"",IF(E235=Constants!$B$2, TRUE(), IF(E235=Constants!$B$3, FALSE(), TRUE())))</f>
        <v/>
      </c>
      <c r="P235" s="91" t="str">
        <f aca="false">IF(ISBLANK($C235),"",IF(F235=Constants!$B$16,Constants!$B$9,IF(F235=Constants!$B$17,Constants!$B$10,Constants!$B$8)))</f>
        <v/>
      </c>
      <c r="Q235" s="91" t="str">
        <f aca="false">IF(ISBLANK($C235),"",IF(ISNUMBER(G235),IF(G235&gt;=0,G235,""),""))</f>
        <v/>
      </c>
      <c r="R235" s="91" t="str">
        <f aca="false">IF(ISBLANK($C235),"",IF(H235=Constants!$B$2, TRUE(), IF(H235=Constants!$B$3, FALSE(), TRUE())))</f>
        <v/>
      </c>
      <c r="S235" s="91" t="str">
        <f aca="false">IF(ISBLANK($C235),"",IF(I235=Constants!$B$2, TRUE(), IF(I235=Constants!$B$3, FALSE(), TRUE())))</f>
        <v/>
      </c>
      <c r="T235" s="91" t="str">
        <f aca="false">IF(ISBLANK($C235),"",IF(ISNUMBER(J235),IF(J235&gt;=0,J235,""),""))</f>
        <v/>
      </c>
      <c r="U235" s="91" t="str">
        <f aca="false">IF(ISBLANK($C235),"",IF(K235=Constants!$B$2, TRUE(), IF(K235=Constants!$B$3, FALSE(), TRUE())))</f>
        <v/>
      </c>
      <c r="V235" s="91" t="str">
        <f aca="false">IF(ISBLANK($C235),"",IF(L235=Constants!$B$2, TRUE(), IF(L235=Constants!$B$3, FALSE(), TRUE())))</f>
        <v/>
      </c>
      <c r="W235" s="91" t="str">
        <f aca="false">IF(ISBLANK($C235),"",IF(M235=Constants!$B$2, TRUE(), IF(M235=Constants!$B$3, FALSE(), FALSE())))</f>
        <v/>
      </c>
      <c r="X235" s="91" t="str">
        <f aca="false">IF(ISBLANK($C235),"",AND(Q235&lt;&gt;"",O235))</f>
        <v/>
      </c>
      <c r="Y235" s="91" t="str">
        <f aca="false">IF(ISBLANK($C235),"",AND(T235&lt;&gt;"",O235))</f>
        <v/>
      </c>
      <c r="Z235" s="91" t="str">
        <f aca="false">IF(ISBLANK($C235),"",IF(W235,Constants!$B$4,IF(COUNTA(E235:L235)=0,Constants!$B$5,IF(NOT(O235),Constants!$B$6,IF(AND(NOT(X235),NOT(Y235)),Constants!$B$6,Constants!$B$7)))))</f>
        <v/>
      </c>
      <c r="AA235" s="91" t="str">
        <f aca="false">IF(ISBLANK($C235),"",IF($Z235&lt;&gt;Constants!$B$7,$Z235,Constants!$B$20))</f>
        <v/>
      </c>
      <c r="AB235" s="91" t="str">
        <f aca="false">IF($Z235=Constants!$B$7,IF(X235,Q235,Constants!$B$13),"")</f>
        <v/>
      </c>
      <c r="AC235" s="91" t="str">
        <f aca="false">IF($Z235=Constants!$B$7,IF(X235,P235*IF(R235, 1, Constants!$B$11)*IF(S235, 1, Constants!$B$12),Constants!$B$13),"")</f>
        <v/>
      </c>
      <c r="AD235" s="91" t="str">
        <f aca="false">IF($Z235=Constants!$B$7,AB235*AC235,"")</f>
        <v/>
      </c>
      <c r="AE235" s="91" t="str">
        <f aca="false">IF($Z235=Constants!$B$7,IF(Y235,T235,Constants!$B$13),"")</f>
        <v/>
      </c>
      <c r="AF235" s="91" t="str">
        <f aca="false">IF($Z235=Constants!$B$7,IF(Y235,P235*IF(U235, 1, Constants!$B$11)*IF(V235, 1, Constants!$B$12),Constants!$B$13),"")</f>
        <v/>
      </c>
      <c r="AG235" s="91" t="str">
        <f aca="false">IF($Z235=Constants!$B$7,AE235*AF235,"")</f>
        <v/>
      </c>
      <c r="AH235" s="91" t="str">
        <f aca="false">IF($Z235=Constants!$B$7,IF(AG235&gt;AD235,2,1),"")</f>
        <v/>
      </c>
      <c r="AI235" s="91" t="str">
        <f aca="false">IF($Z235=Constants!$B$7,IF(AH235=1,2,1),"")</f>
        <v/>
      </c>
      <c r="AJ235" s="91" t="str">
        <f aca="false">IF(ISBLANK($C235),"",IF($Z235&lt;&gt;Constants!$B$7,$Z235,IF(AH235=1,AD235,AG235)))</f>
        <v/>
      </c>
      <c r="AK235" s="91" t="str">
        <f aca="false">IF(ISBLANK($C235),"",IF($Z235=Constants!$B$7,IF(ISNUMBER(AJ235),RANK(AJ235,$AJ$8:$AJ$507),Constants!$B$14),$Z235))</f>
        <v/>
      </c>
      <c r="AL235" s="91" t="str">
        <f aca="false">IF(ISBLANK($C235),"",IF($Z235=Constants!$B$7,IF(AI235=1,AD235,AG235),""))</f>
        <v/>
      </c>
      <c r="AM235" s="91" t="str">
        <f aca="false">IF(ISBLANK($C235),"",IF($Z235=Constants!$B$7,RANK(AL235,$AL$8:$AL$507),$Z235))</f>
        <v/>
      </c>
      <c r="AN235" s="91" t="str">
        <f aca="false">IF(ISBLANK($C235),"",IF($Z235=Constants!$B$7,IF(ISNUMBER(AK235),COUNTIFS($AK$8:$AK$507,"&lt;"&amp;$AK235)+COUNTIFS($AK$8:$AK$507,$AK235,$AM$8:$AM$507,"&lt;"&amp;$AM235)+1,Constants!$B$14),$Z235))</f>
        <v/>
      </c>
      <c r="AO235" s="91" t="str">
        <f aca="false">IF(ISBLANK($C235),"",IF($Z235=Constants!$B$7,IF(ISNUMBER(AK235),AK235-AN235,Constants!$B$14),$Z235))</f>
        <v/>
      </c>
      <c r="AP235" s="92"/>
      <c r="AQ235" s="93" t="str">
        <f aca="false">IF(ISBLANK($C235),"",IF($Z235&lt;&gt;Constants!$B$7,"",AH235))</f>
        <v/>
      </c>
      <c r="AR235" s="94" t="str">
        <f aca="false">IF(ISBLANK($C235),"",IF($Z235&lt;&gt;Constants!$B$7,"",IF(AH235=1,AB235,AE235)))</f>
        <v/>
      </c>
      <c r="AS235" s="95" t="str">
        <f aca="false">IF(ISBLANK($C235),"",IF($Z235&lt;&gt;Constants!$B$7,"",IF(AH235=1,AC235,AF235)))</f>
        <v/>
      </c>
      <c r="AT235" s="96" t="str">
        <f aca="false">IF(ISBLANK($C235),"",IF($Z235&lt;&gt;Constants!$B$7,$Z235,AJ235))</f>
        <v/>
      </c>
      <c r="AU235" s="97" t="str">
        <f aca="false">IF(ISBLANK($C235),"",IF($Z235&lt;&gt;Constants!$B$7,$Z235,AA235))</f>
        <v/>
      </c>
      <c r="AV235" s="98" t="str">
        <f aca="false">IF(ISBLANK($C235),"",AO235)</f>
        <v/>
      </c>
      <c r="AW235" s="98" t="str">
        <f aca="false">IF(ISBLANK($C235),"",AN235)</f>
        <v/>
      </c>
      <c r="AX235" s="99" t="str">
        <f aca="false">IF(ISBLANK($C235),"",IFERROR(_xlfn.SWITCH(AW235,Constants!$B$4,COUNTA($C$8:$C$507)+2,Constants!$B$5,COUNTA($C$8:$C$507)+1,Constants!$B$6,COUNTA($C$8:$C$507)),AW235))</f>
        <v/>
      </c>
      <c r="AY235" s="5"/>
      <c r="AZ235" s="100" t="n">
        <f aca="false">IF(OR(ISNUMBER(AW235),AW235=Constants!$B$4,AW235=Constants!$B$6,AW235=Constants!$B$5),1,0)</f>
        <v>0</v>
      </c>
      <c r="BA235" s="100" t="n">
        <v>228</v>
      </c>
      <c r="BB235" s="100" t="str">
        <f aca="false">IF(ISBLANK($C235),"",IF(ISNUMBER(AX235),AX235+ROW($B235)/1000,""))</f>
        <v/>
      </c>
      <c r="BC235" s="100" t="str">
        <f aca="false">IF(ISNUMBER(BB235),RANK(BB235,$BB$8:$BB$507,1),"")</f>
        <v/>
      </c>
      <c r="BD235" s="100" t="str">
        <f aca="false">IF(ISBLANK($C235),"",$B235)</f>
        <v/>
      </c>
      <c r="BE235" s="100" t="str">
        <f aca="false">IF(ISBLANK($C235),"",$C235)</f>
        <v/>
      </c>
      <c r="BF235" s="100" t="str">
        <f aca="false">IF(ISBLANK($C235),"",$D235)</f>
        <v/>
      </c>
      <c r="BG235" s="101" t="str">
        <f aca="false">AU235</f>
        <v/>
      </c>
      <c r="BH235" s="102" t="str">
        <f aca="false">AT235</f>
        <v/>
      </c>
      <c r="BI235" s="100" t="str">
        <f aca="false">IF(ISBLANK($C235),"",AW235)</f>
        <v/>
      </c>
      <c r="BJ235" s="103" t="str">
        <f aca="false">IF($BA235&gt;$AZ$7,"",VLOOKUP($BA235,$BC$8:$BI$507,7,FALSE()))</f>
        <v/>
      </c>
      <c r="BK235" s="104" t="str">
        <f aca="false">IF($BA235&gt;$AZ$7,"",VLOOKUP($BA235,$BC$8:$BI$507,2,FALSE()))</f>
        <v/>
      </c>
      <c r="BL235" s="104" t="str">
        <f aca="false">IF($BA235&gt;$AZ$7,"",VLOOKUP($BA235,$BC$8:$BI$507,3,FALSE()))</f>
        <v/>
      </c>
      <c r="BM235" s="104" t="str">
        <f aca="false">IF($BA235&gt;$AZ$7,"",VLOOKUP($BA235,$BC$8:$BI$507,4,FALSE()))</f>
        <v/>
      </c>
      <c r="BN235" s="104" t="str">
        <f aca="false">IF($BA235&gt;$AZ$7,"",VLOOKUP($BA235,$BC$8:$BI$507,5,FALSE()))</f>
        <v/>
      </c>
      <c r="BO235" s="105" t="str">
        <f aca="false">IF($BA235&gt;$AZ$7,"",VLOOKUP($BA235,$BC$8:$BI$507,6,FALSE()))</f>
        <v/>
      </c>
      <c r="BP235" s="52"/>
    </row>
    <row r="236" customFormat="false" ht="15.75" hidden="false" customHeight="false" outlineLevel="0" collapsed="false">
      <c r="A236" s="5"/>
      <c r="B236" s="118"/>
      <c r="C236" s="54"/>
      <c r="D236" s="55"/>
      <c r="E236" s="79"/>
      <c r="F236" s="57"/>
      <c r="G236" s="58"/>
      <c r="H236" s="58"/>
      <c r="I236" s="57"/>
      <c r="J236" s="58"/>
      <c r="K236" s="58"/>
      <c r="L236" s="57"/>
      <c r="M236" s="79"/>
      <c r="N236" s="60"/>
      <c r="O236" s="62" t="str">
        <f aca="false">IF(ISBLANK($C236),"",IF(E236=Constants!$B$2, TRUE(), IF(E236=Constants!$B$3, FALSE(), TRUE())))</f>
        <v/>
      </c>
      <c r="P236" s="62" t="str">
        <f aca="false">IF(ISBLANK($C236),"",IF(F236=Constants!$B$16,Constants!$B$9,IF(F236=Constants!$B$17,Constants!$B$10,Constants!$B$8)))</f>
        <v/>
      </c>
      <c r="Q236" s="62" t="str">
        <f aca="false">IF(ISBLANK($C236),"",IF(ISNUMBER(G236),IF(G236&gt;=0,G236,""),""))</f>
        <v/>
      </c>
      <c r="R236" s="62" t="str">
        <f aca="false">IF(ISBLANK($C236),"",IF(H236=Constants!$B$2, TRUE(), IF(H236=Constants!$B$3, FALSE(), TRUE())))</f>
        <v/>
      </c>
      <c r="S236" s="62" t="str">
        <f aca="false">IF(ISBLANK($C236),"",IF(I236=Constants!$B$2, TRUE(), IF(I236=Constants!$B$3, FALSE(), TRUE())))</f>
        <v/>
      </c>
      <c r="T236" s="62" t="str">
        <f aca="false">IF(ISBLANK($C236),"",IF(ISNUMBER(J236),IF(J236&gt;=0,J236,""),""))</f>
        <v/>
      </c>
      <c r="U236" s="62" t="str">
        <f aca="false">IF(ISBLANK($C236),"",IF(K236=Constants!$B$2, TRUE(), IF(K236=Constants!$B$3, FALSE(), TRUE())))</f>
        <v/>
      </c>
      <c r="V236" s="62" t="str">
        <f aca="false">IF(ISBLANK($C236),"",IF(L236=Constants!$B$2, TRUE(), IF(L236=Constants!$B$3, FALSE(), TRUE())))</f>
        <v/>
      </c>
      <c r="W236" s="62" t="str">
        <f aca="false">IF(ISBLANK($C236),"",IF(M236=Constants!$B$2, TRUE(), IF(M236=Constants!$B$3, FALSE(), FALSE())))</f>
        <v/>
      </c>
      <c r="X236" s="62" t="str">
        <f aca="false">IF(ISBLANK($C236),"",AND(Q236&lt;&gt;"",O236))</f>
        <v/>
      </c>
      <c r="Y236" s="62" t="str">
        <f aca="false">IF(ISBLANK($C236),"",AND(T236&lt;&gt;"",O236))</f>
        <v/>
      </c>
      <c r="Z236" s="62" t="str">
        <f aca="false">IF(ISBLANK($C236),"",IF(W236,Constants!$B$4,IF(COUNTA(E236:L236)=0,Constants!$B$5,IF(NOT(O236),Constants!$B$6,IF(AND(NOT(X236),NOT(Y236)),Constants!$B$6,Constants!$B$7)))))</f>
        <v/>
      </c>
      <c r="AA236" s="62" t="str">
        <f aca="false">IF(ISBLANK($C236),"",IF($Z236&lt;&gt;Constants!$B$7,$Z236,Constants!$B$20))</f>
        <v/>
      </c>
      <c r="AB236" s="62" t="str">
        <f aca="false">IF($Z236=Constants!$B$7,IF(X236,Q236,Constants!$B$13),"")</f>
        <v/>
      </c>
      <c r="AC236" s="62" t="str">
        <f aca="false">IF($Z236=Constants!$B$7,IF(X236,P236*IF(R236, 1, Constants!$B$11)*IF(S236, 1, Constants!$B$12),Constants!$B$13),"")</f>
        <v/>
      </c>
      <c r="AD236" s="62" t="str">
        <f aca="false">IF($Z236=Constants!$B$7,AB236*AC236,"")</f>
        <v/>
      </c>
      <c r="AE236" s="62" t="str">
        <f aca="false">IF($Z236=Constants!$B$7,IF(Y236,T236,Constants!$B$13),"")</f>
        <v/>
      </c>
      <c r="AF236" s="62" t="str">
        <f aca="false">IF($Z236=Constants!$B$7,IF(Y236,P236*IF(U236, 1, Constants!$B$11)*IF(V236, 1, Constants!$B$12),Constants!$B$13),"")</f>
        <v/>
      </c>
      <c r="AG236" s="62" t="str">
        <f aca="false">IF($Z236=Constants!$B$7,AE236*AF236,"")</f>
        <v/>
      </c>
      <c r="AH236" s="62" t="str">
        <f aca="false">IF($Z236=Constants!$B$7,IF(AG236&gt;AD236,2,1),"")</f>
        <v/>
      </c>
      <c r="AI236" s="62" t="str">
        <f aca="false">IF($Z236=Constants!$B$7,IF(AH236=1,2,1),"")</f>
        <v/>
      </c>
      <c r="AJ236" s="62" t="str">
        <f aca="false">IF(ISBLANK($C236),"",IF($Z236&lt;&gt;Constants!$B$7,$Z236,IF(AH236=1,AD236,AG236)))</f>
        <v/>
      </c>
      <c r="AK236" s="62" t="str">
        <f aca="false">IF(ISBLANK($C236),"",IF($Z236=Constants!$B$7,IF(ISNUMBER(AJ236),RANK(AJ236,$AJ$8:$AJ$507),Constants!$B$14),$Z236))</f>
        <v/>
      </c>
      <c r="AL236" s="62" t="str">
        <f aca="false">IF(ISBLANK($C236),"",IF($Z236=Constants!$B$7,IF(AI236=1,AD236,AG236),""))</f>
        <v/>
      </c>
      <c r="AM236" s="62" t="str">
        <f aca="false">IF(ISBLANK($C236),"",IF($Z236=Constants!$B$7,RANK(AL236,$AL$8:$AL$507),$Z236))</f>
        <v/>
      </c>
      <c r="AN236" s="62" t="str">
        <f aca="false">IF(ISBLANK($C236),"",IF($Z236=Constants!$B$7,IF(ISNUMBER(AK236),COUNTIFS($AK$8:$AK$507,"&lt;"&amp;$AK236)+COUNTIFS($AK$8:$AK$507,$AK236,$AM$8:$AM$507,"&lt;"&amp;$AM236)+1,Constants!$B$14),$Z236))</f>
        <v/>
      </c>
      <c r="AO236" s="62" t="str">
        <f aca="false">IF(ISBLANK($C236),"",IF($Z236=Constants!$B$7,IF(ISNUMBER(AK236),AK236-AN236,Constants!$B$14),$Z236))</f>
        <v/>
      </c>
      <c r="AP236" s="64"/>
      <c r="AQ236" s="65" t="str">
        <f aca="false">IF(ISBLANK($C236),"",IF($Z236&lt;&gt;Constants!$B$7,"",AH236))</f>
        <v/>
      </c>
      <c r="AR236" s="80" t="str">
        <f aca="false">IF(ISBLANK($C236),"",IF($Z236&lt;&gt;Constants!$B$7,"",IF(AH236=1,AB236,AE236)))</f>
        <v/>
      </c>
      <c r="AS236" s="67" t="str">
        <f aca="false">IF(ISBLANK($C236),"",IF($Z236&lt;&gt;Constants!$B$7,"",IF(AH236=1,AC236,AF236)))</f>
        <v/>
      </c>
      <c r="AT236" s="68" t="str">
        <f aca="false">IF(ISBLANK($C236),"",IF($Z236&lt;&gt;Constants!$B$7,$Z236,AJ236))</f>
        <v/>
      </c>
      <c r="AU236" s="69" t="str">
        <f aca="false">IF(ISBLANK($C236),"",IF($Z236&lt;&gt;Constants!$B$7,$Z236,AA236))</f>
        <v/>
      </c>
      <c r="AV236" s="70" t="str">
        <f aca="false">IF(ISBLANK($C236),"",AO236)</f>
        <v/>
      </c>
      <c r="AW236" s="70" t="str">
        <f aca="false">IF(ISBLANK($C236),"",AN236)</f>
        <v/>
      </c>
      <c r="AX236" s="71" t="str">
        <f aca="false">IF(ISBLANK($C236),"",IFERROR(_xlfn.SWITCH(AW236,Constants!$B$4,COUNTA($C$8:$C$507)+2,Constants!$B$5,COUNTA($C$8:$C$507)+1,Constants!$B$6,COUNTA($C$8:$C$507)),AW236))</f>
        <v/>
      </c>
      <c r="AY236" s="5"/>
      <c r="AZ236" s="72" t="n">
        <f aca="false">IF(OR(ISNUMBER(AW236),AW236=Constants!$B$4,AW236=Constants!$B$6,AW236=Constants!$B$5),1,0)</f>
        <v>0</v>
      </c>
      <c r="BA236" s="72" t="n">
        <v>229</v>
      </c>
      <c r="BB236" s="72" t="str">
        <f aca="false">IF(ISBLANK($C236),"",IF(ISNUMBER(AX236),AX236+ROW($B236)/1000,""))</f>
        <v/>
      </c>
      <c r="BC236" s="72" t="str">
        <f aca="false">IF(ISNUMBER(BB236),RANK(BB236,$BB$8:$BB$507,1),"")</f>
        <v/>
      </c>
      <c r="BD236" s="72" t="str">
        <f aca="false">IF(ISBLANK($C236),"",$B236)</f>
        <v/>
      </c>
      <c r="BE236" s="72" t="str">
        <f aca="false">IF(ISBLANK($C236),"",$C236)</f>
        <v/>
      </c>
      <c r="BF236" s="72" t="str">
        <f aca="false">IF(ISBLANK($C236),"",$D236)</f>
        <v/>
      </c>
      <c r="BG236" s="73" t="str">
        <f aca="false">AU236</f>
        <v/>
      </c>
      <c r="BH236" s="74" t="str">
        <f aca="false">AT236</f>
        <v/>
      </c>
      <c r="BI236" s="72" t="str">
        <f aca="false">IF(ISBLANK($C236),"",AW236)</f>
        <v/>
      </c>
      <c r="BJ236" s="75" t="str">
        <f aca="false">IF($BA236&gt;$AZ$7,"",VLOOKUP($BA236,$BC$8:$BI$507,7,FALSE()))</f>
        <v/>
      </c>
      <c r="BK236" s="76" t="str">
        <f aca="false">IF($BA236&gt;$AZ$7,"",VLOOKUP($BA236,$BC$8:$BI$507,2,FALSE()))</f>
        <v/>
      </c>
      <c r="BL236" s="76" t="str">
        <f aca="false">IF($BA236&gt;$AZ$7,"",VLOOKUP($BA236,$BC$8:$BI$507,3,FALSE()))</f>
        <v/>
      </c>
      <c r="BM236" s="76" t="str">
        <f aca="false">IF($BA236&gt;$AZ$7,"",VLOOKUP($BA236,$BC$8:$BI$507,4,FALSE()))</f>
        <v/>
      </c>
      <c r="BN236" s="76" t="str">
        <f aca="false">IF($BA236&gt;$AZ$7,"",VLOOKUP($BA236,$BC$8:$BI$507,5,FALSE()))</f>
        <v/>
      </c>
      <c r="BO236" s="77" t="str">
        <f aca="false">IF($BA236&gt;$AZ$7,"",VLOOKUP($BA236,$BC$8:$BI$507,6,FALSE()))</f>
        <v/>
      </c>
      <c r="BP236" s="52"/>
    </row>
    <row r="237" customFormat="false" ht="15.75" hidden="false" customHeight="false" outlineLevel="0" collapsed="false">
      <c r="A237" s="5"/>
      <c r="B237" s="118"/>
      <c r="C237" s="54"/>
      <c r="D237" s="55"/>
      <c r="E237" s="79"/>
      <c r="F237" s="57"/>
      <c r="G237" s="58"/>
      <c r="H237" s="58"/>
      <c r="I237" s="57"/>
      <c r="J237" s="58"/>
      <c r="K237" s="58"/>
      <c r="L237" s="57"/>
      <c r="M237" s="79"/>
      <c r="N237" s="60"/>
      <c r="O237" s="62" t="str">
        <f aca="false">IF(ISBLANK($C237),"",IF(E237=Constants!$B$2, TRUE(), IF(E237=Constants!$B$3, FALSE(), TRUE())))</f>
        <v/>
      </c>
      <c r="P237" s="62" t="str">
        <f aca="false">IF(ISBLANK($C237),"",IF(F237=Constants!$B$16,Constants!$B$9,IF(F237=Constants!$B$17,Constants!$B$10,Constants!$B$8)))</f>
        <v/>
      </c>
      <c r="Q237" s="62" t="str">
        <f aca="false">IF(ISBLANK($C237),"",IF(ISNUMBER(G237),IF(G237&gt;=0,G237,""),""))</f>
        <v/>
      </c>
      <c r="R237" s="62" t="str">
        <f aca="false">IF(ISBLANK($C237),"",IF(H237=Constants!$B$2, TRUE(), IF(H237=Constants!$B$3, FALSE(), TRUE())))</f>
        <v/>
      </c>
      <c r="S237" s="62" t="str">
        <f aca="false">IF(ISBLANK($C237),"",IF(I237=Constants!$B$2, TRUE(), IF(I237=Constants!$B$3, FALSE(), TRUE())))</f>
        <v/>
      </c>
      <c r="T237" s="62" t="str">
        <f aca="false">IF(ISBLANK($C237),"",IF(ISNUMBER(J237),IF(J237&gt;=0,J237,""),""))</f>
        <v/>
      </c>
      <c r="U237" s="62" t="str">
        <f aca="false">IF(ISBLANK($C237),"",IF(K237=Constants!$B$2, TRUE(), IF(K237=Constants!$B$3, FALSE(), TRUE())))</f>
        <v/>
      </c>
      <c r="V237" s="62" t="str">
        <f aca="false">IF(ISBLANK($C237),"",IF(L237=Constants!$B$2, TRUE(), IF(L237=Constants!$B$3, FALSE(), TRUE())))</f>
        <v/>
      </c>
      <c r="W237" s="62" t="str">
        <f aca="false">IF(ISBLANK($C237),"",IF(M237=Constants!$B$2, TRUE(), IF(M237=Constants!$B$3, FALSE(), FALSE())))</f>
        <v/>
      </c>
      <c r="X237" s="62" t="str">
        <f aca="false">IF(ISBLANK($C237),"",AND(Q237&lt;&gt;"",O237))</f>
        <v/>
      </c>
      <c r="Y237" s="62" t="str">
        <f aca="false">IF(ISBLANK($C237),"",AND(T237&lt;&gt;"",O237))</f>
        <v/>
      </c>
      <c r="Z237" s="62" t="str">
        <f aca="false">IF(ISBLANK($C237),"",IF(W237,Constants!$B$4,IF(COUNTA(E237:L237)=0,Constants!$B$5,IF(NOT(O237),Constants!$B$6,IF(AND(NOT(X237),NOT(Y237)),Constants!$B$6,Constants!$B$7)))))</f>
        <v/>
      </c>
      <c r="AA237" s="62" t="str">
        <f aca="false">IF(ISBLANK($C237),"",IF($Z237&lt;&gt;Constants!$B$7,$Z237,Constants!$B$20))</f>
        <v/>
      </c>
      <c r="AB237" s="62" t="str">
        <f aca="false">IF($Z237=Constants!$B$7,IF(X237,Q237,Constants!$B$13),"")</f>
        <v/>
      </c>
      <c r="AC237" s="62" t="str">
        <f aca="false">IF($Z237=Constants!$B$7,IF(X237,P237*IF(R237, 1, Constants!$B$11)*IF(S237, 1, Constants!$B$12),Constants!$B$13),"")</f>
        <v/>
      </c>
      <c r="AD237" s="62" t="str">
        <f aca="false">IF($Z237=Constants!$B$7,AB237*AC237,"")</f>
        <v/>
      </c>
      <c r="AE237" s="62" t="str">
        <f aca="false">IF($Z237=Constants!$B$7,IF(Y237,T237,Constants!$B$13),"")</f>
        <v/>
      </c>
      <c r="AF237" s="62" t="str">
        <f aca="false">IF($Z237=Constants!$B$7,IF(Y237,P237*IF(U237, 1, Constants!$B$11)*IF(V237, 1, Constants!$B$12),Constants!$B$13),"")</f>
        <v/>
      </c>
      <c r="AG237" s="62" t="str">
        <f aca="false">IF($Z237=Constants!$B$7,AE237*AF237,"")</f>
        <v/>
      </c>
      <c r="AH237" s="62" t="str">
        <f aca="false">IF($Z237=Constants!$B$7,IF(AG237&gt;AD237,2,1),"")</f>
        <v/>
      </c>
      <c r="AI237" s="62" t="str">
        <f aca="false">IF($Z237=Constants!$B$7,IF(AH237=1,2,1),"")</f>
        <v/>
      </c>
      <c r="AJ237" s="62" t="str">
        <f aca="false">IF(ISBLANK($C237),"",IF($Z237&lt;&gt;Constants!$B$7,$Z237,IF(AH237=1,AD237,AG237)))</f>
        <v/>
      </c>
      <c r="AK237" s="62" t="str">
        <f aca="false">IF(ISBLANK($C237),"",IF($Z237=Constants!$B$7,IF(ISNUMBER(AJ237),RANK(AJ237,$AJ$8:$AJ$507),Constants!$B$14),$Z237))</f>
        <v/>
      </c>
      <c r="AL237" s="62" t="str">
        <f aca="false">IF(ISBLANK($C237),"",IF($Z237=Constants!$B$7,IF(AI237=1,AD237,AG237),""))</f>
        <v/>
      </c>
      <c r="AM237" s="62" t="str">
        <f aca="false">IF(ISBLANK($C237),"",IF($Z237=Constants!$B$7,RANK(AL237,$AL$8:$AL$507),$Z237))</f>
        <v/>
      </c>
      <c r="AN237" s="62" t="str">
        <f aca="false">IF(ISBLANK($C237),"",IF($Z237=Constants!$B$7,IF(ISNUMBER(AK237),COUNTIFS($AK$8:$AK$507,"&lt;"&amp;$AK237)+COUNTIFS($AK$8:$AK$507,$AK237,$AM$8:$AM$507,"&lt;"&amp;$AM237)+1,Constants!$B$14),$Z237))</f>
        <v/>
      </c>
      <c r="AO237" s="62" t="str">
        <f aca="false">IF(ISBLANK($C237),"",IF($Z237=Constants!$B$7,IF(ISNUMBER(AK237),AK237-AN237,Constants!$B$14),$Z237))</f>
        <v/>
      </c>
      <c r="AP237" s="64"/>
      <c r="AQ237" s="65" t="str">
        <f aca="false">IF(ISBLANK($C237),"",IF($Z237&lt;&gt;Constants!$B$7,"",AH237))</f>
        <v/>
      </c>
      <c r="AR237" s="80" t="str">
        <f aca="false">IF(ISBLANK($C237),"",IF($Z237&lt;&gt;Constants!$B$7,"",IF(AH237=1,AB237,AE237)))</f>
        <v/>
      </c>
      <c r="AS237" s="67" t="str">
        <f aca="false">IF(ISBLANK($C237),"",IF($Z237&lt;&gt;Constants!$B$7,"",IF(AH237=1,AC237,AF237)))</f>
        <v/>
      </c>
      <c r="AT237" s="68" t="str">
        <f aca="false">IF(ISBLANK($C237),"",IF($Z237&lt;&gt;Constants!$B$7,$Z237,AJ237))</f>
        <v/>
      </c>
      <c r="AU237" s="69" t="str">
        <f aca="false">IF(ISBLANK($C237),"",IF($Z237&lt;&gt;Constants!$B$7,$Z237,AA237))</f>
        <v/>
      </c>
      <c r="AV237" s="70" t="str">
        <f aca="false">IF(ISBLANK($C237),"",AO237)</f>
        <v/>
      </c>
      <c r="AW237" s="70" t="str">
        <f aca="false">IF(ISBLANK($C237),"",AN237)</f>
        <v/>
      </c>
      <c r="AX237" s="71" t="str">
        <f aca="false">IF(ISBLANK($C237),"",IFERROR(_xlfn.SWITCH(AW237,Constants!$B$4,COUNTA($C$8:$C$507)+2,Constants!$B$5,COUNTA($C$8:$C$507)+1,Constants!$B$6,COUNTA($C$8:$C$507)),AW237))</f>
        <v/>
      </c>
      <c r="AY237" s="5"/>
      <c r="AZ237" s="72" t="n">
        <f aca="false">IF(OR(ISNUMBER(AW237),AW237=Constants!$B$4,AW237=Constants!$B$6,AW237=Constants!$B$5),1,0)</f>
        <v>0</v>
      </c>
      <c r="BA237" s="72" t="n">
        <v>230</v>
      </c>
      <c r="BB237" s="72" t="str">
        <f aca="false">IF(ISBLANK($C237),"",IF(ISNUMBER(AX237),AX237+ROW($B237)/1000,""))</f>
        <v/>
      </c>
      <c r="BC237" s="72" t="str">
        <f aca="false">IF(ISNUMBER(BB237),RANK(BB237,$BB$8:$BB$507,1),"")</f>
        <v/>
      </c>
      <c r="BD237" s="72" t="str">
        <f aca="false">IF(ISBLANK($C237),"",$B237)</f>
        <v/>
      </c>
      <c r="BE237" s="72" t="str">
        <f aca="false">IF(ISBLANK($C237),"",$C237)</f>
        <v/>
      </c>
      <c r="BF237" s="72" t="str">
        <f aca="false">IF(ISBLANK($C237),"",$D237)</f>
        <v/>
      </c>
      <c r="BG237" s="73" t="str">
        <f aca="false">AU237</f>
        <v/>
      </c>
      <c r="BH237" s="74" t="str">
        <f aca="false">AT237</f>
        <v/>
      </c>
      <c r="BI237" s="72" t="str">
        <f aca="false">IF(ISBLANK($C237),"",AW237)</f>
        <v/>
      </c>
      <c r="BJ237" s="75" t="str">
        <f aca="false">IF($BA237&gt;$AZ$7,"",VLOOKUP($BA237,$BC$8:$BI$507,7,FALSE()))</f>
        <v/>
      </c>
      <c r="BK237" s="76" t="str">
        <f aca="false">IF($BA237&gt;$AZ$7,"",VLOOKUP($BA237,$BC$8:$BI$507,2,FALSE()))</f>
        <v/>
      </c>
      <c r="BL237" s="76" t="str">
        <f aca="false">IF($BA237&gt;$AZ$7,"",VLOOKUP($BA237,$BC$8:$BI$507,3,FALSE()))</f>
        <v/>
      </c>
      <c r="BM237" s="76" t="str">
        <f aca="false">IF($BA237&gt;$AZ$7,"",VLOOKUP($BA237,$BC$8:$BI$507,4,FALSE()))</f>
        <v/>
      </c>
      <c r="BN237" s="76" t="str">
        <f aca="false">IF($BA237&gt;$AZ$7,"",VLOOKUP($BA237,$BC$8:$BI$507,5,FALSE()))</f>
        <v/>
      </c>
      <c r="BO237" s="77" t="str">
        <f aca="false">IF($BA237&gt;$AZ$7,"",VLOOKUP($BA237,$BC$8:$BI$507,6,FALSE()))</f>
        <v/>
      </c>
      <c r="BP237" s="52"/>
    </row>
    <row r="238" customFormat="false" ht="15.75" hidden="false" customHeight="false" outlineLevel="0" collapsed="false">
      <c r="A238" s="5"/>
      <c r="B238" s="118"/>
      <c r="C238" s="54"/>
      <c r="D238" s="55"/>
      <c r="E238" s="79"/>
      <c r="F238" s="57"/>
      <c r="G238" s="58"/>
      <c r="H238" s="58"/>
      <c r="I238" s="57"/>
      <c r="J238" s="58"/>
      <c r="K238" s="58"/>
      <c r="L238" s="57"/>
      <c r="M238" s="79"/>
      <c r="N238" s="60"/>
      <c r="O238" s="62" t="str">
        <f aca="false">IF(ISBLANK($C238),"",IF(E238=Constants!$B$2, TRUE(), IF(E238=Constants!$B$3, FALSE(), TRUE())))</f>
        <v/>
      </c>
      <c r="P238" s="62" t="str">
        <f aca="false">IF(ISBLANK($C238),"",IF(F238=Constants!$B$16,Constants!$B$9,IF(F238=Constants!$B$17,Constants!$B$10,Constants!$B$8)))</f>
        <v/>
      </c>
      <c r="Q238" s="62" t="str">
        <f aca="false">IF(ISBLANK($C238),"",IF(ISNUMBER(G238),IF(G238&gt;=0,G238,""),""))</f>
        <v/>
      </c>
      <c r="R238" s="62" t="str">
        <f aca="false">IF(ISBLANK($C238),"",IF(H238=Constants!$B$2, TRUE(), IF(H238=Constants!$B$3, FALSE(), TRUE())))</f>
        <v/>
      </c>
      <c r="S238" s="62" t="str">
        <f aca="false">IF(ISBLANK($C238),"",IF(I238=Constants!$B$2, TRUE(), IF(I238=Constants!$B$3, FALSE(), TRUE())))</f>
        <v/>
      </c>
      <c r="T238" s="62" t="str">
        <f aca="false">IF(ISBLANK($C238),"",IF(ISNUMBER(J238),IF(J238&gt;=0,J238,""),""))</f>
        <v/>
      </c>
      <c r="U238" s="62" t="str">
        <f aca="false">IF(ISBLANK($C238),"",IF(K238=Constants!$B$2, TRUE(), IF(K238=Constants!$B$3, FALSE(), TRUE())))</f>
        <v/>
      </c>
      <c r="V238" s="62" t="str">
        <f aca="false">IF(ISBLANK($C238),"",IF(L238=Constants!$B$2, TRUE(), IF(L238=Constants!$B$3, FALSE(), TRUE())))</f>
        <v/>
      </c>
      <c r="W238" s="62" t="str">
        <f aca="false">IF(ISBLANK($C238),"",IF(M238=Constants!$B$2, TRUE(), IF(M238=Constants!$B$3, FALSE(), FALSE())))</f>
        <v/>
      </c>
      <c r="X238" s="62" t="str">
        <f aca="false">IF(ISBLANK($C238),"",AND(Q238&lt;&gt;"",O238))</f>
        <v/>
      </c>
      <c r="Y238" s="62" t="str">
        <f aca="false">IF(ISBLANK($C238),"",AND(T238&lt;&gt;"",O238))</f>
        <v/>
      </c>
      <c r="Z238" s="62" t="str">
        <f aca="false">IF(ISBLANK($C238),"",IF(W238,Constants!$B$4,IF(COUNTA(E238:L238)=0,Constants!$B$5,IF(NOT(O238),Constants!$B$6,IF(AND(NOT(X238),NOT(Y238)),Constants!$B$6,Constants!$B$7)))))</f>
        <v/>
      </c>
      <c r="AA238" s="62" t="str">
        <f aca="false">IF(ISBLANK($C238),"",IF($Z238&lt;&gt;Constants!$B$7,$Z238,Constants!$B$20))</f>
        <v/>
      </c>
      <c r="AB238" s="62" t="str">
        <f aca="false">IF($Z238=Constants!$B$7,IF(X238,Q238,Constants!$B$13),"")</f>
        <v/>
      </c>
      <c r="AC238" s="62" t="str">
        <f aca="false">IF($Z238=Constants!$B$7,IF(X238,P238*IF(R238, 1, Constants!$B$11)*IF(S238, 1, Constants!$B$12),Constants!$B$13),"")</f>
        <v/>
      </c>
      <c r="AD238" s="62" t="str">
        <f aca="false">IF($Z238=Constants!$B$7,AB238*AC238,"")</f>
        <v/>
      </c>
      <c r="AE238" s="62" t="str">
        <f aca="false">IF($Z238=Constants!$B$7,IF(Y238,T238,Constants!$B$13),"")</f>
        <v/>
      </c>
      <c r="AF238" s="62" t="str">
        <f aca="false">IF($Z238=Constants!$B$7,IF(Y238,P238*IF(U238, 1, Constants!$B$11)*IF(V238, 1, Constants!$B$12),Constants!$B$13),"")</f>
        <v/>
      </c>
      <c r="AG238" s="62" t="str">
        <f aca="false">IF($Z238=Constants!$B$7,AE238*AF238,"")</f>
        <v/>
      </c>
      <c r="AH238" s="62" t="str">
        <f aca="false">IF($Z238=Constants!$B$7,IF(AG238&gt;AD238,2,1),"")</f>
        <v/>
      </c>
      <c r="AI238" s="62" t="str">
        <f aca="false">IF($Z238=Constants!$B$7,IF(AH238=1,2,1),"")</f>
        <v/>
      </c>
      <c r="AJ238" s="62" t="str">
        <f aca="false">IF(ISBLANK($C238),"",IF($Z238&lt;&gt;Constants!$B$7,$Z238,IF(AH238=1,AD238,AG238)))</f>
        <v/>
      </c>
      <c r="AK238" s="62" t="str">
        <f aca="false">IF(ISBLANK($C238),"",IF($Z238=Constants!$B$7,IF(ISNUMBER(AJ238),RANK(AJ238,$AJ$8:$AJ$507),Constants!$B$14),$Z238))</f>
        <v/>
      </c>
      <c r="AL238" s="62" t="str">
        <f aca="false">IF(ISBLANK($C238),"",IF($Z238=Constants!$B$7,IF(AI238=1,AD238,AG238),""))</f>
        <v/>
      </c>
      <c r="AM238" s="62" t="str">
        <f aca="false">IF(ISBLANK($C238),"",IF($Z238=Constants!$B$7,RANK(AL238,$AL$8:$AL$507),$Z238))</f>
        <v/>
      </c>
      <c r="AN238" s="62" t="str">
        <f aca="false">IF(ISBLANK($C238),"",IF($Z238=Constants!$B$7,IF(ISNUMBER(AK238),COUNTIFS($AK$8:$AK$507,"&lt;"&amp;$AK238)+COUNTIFS($AK$8:$AK$507,$AK238,$AM$8:$AM$507,"&lt;"&amp;$AM238)+1,Constants!$B$14),$Z238))</f>
        <v/>
      </c>
      <c r="AO238" s="62" t="str">
        <f aca="false">IF(ISBLANK($C238),"",IF($Z238=Constants!$B$7,IF(ISNUMBER(AK238),AK238-AN238,Constants!$B$14),$Z238))</f>
        <v/>
      </c>
      <c r="AP238" s="64"/>
      <c r="AQ238" s="65" t="str">
        <f aca="false">IF(ISBLANK($C238),"",IF($Z238&lt;&gt;Constants!$B$7,"",AH238))</f>
        <v/>
      </c>
      <c r="AR238" s="80" t="str">
        <f aca="false">IF(ISBLANK($C238),"",IF($Z238&lt;&gt;Constants!$B$7,"",IF(AH238=1,AB238,AE238)))</f>
        <v/>
      </c>
      <c r="AS238" s="67" t="str">
        <f aca="false">IF(ISBLANK($C238),"",IF($Z238&lt;&gt;Constants!$B$7,"",IF(AH238=1,AC238,AF238)))</f>
        <v/>
      </c>
      <c r="AT238" s="68" t="str">
        <f aca="false">IF(ISBLANK($C238),"",IF($Z238&lt;&gt;Constants!$B$7,$Z238,AJ238))</f>
        <v/>
      </c>
      <c r="AU238" s="69" t="str">
        <f aca="false">IF(ISBLANK($C238),"",IF($Z238&lt;&gt;Constants!$B$7,$Z238,AA238))</f>
        <v/>
      </c>
      <c r="AV238" s="70" t="str">
        <f aca="false">IF(ISBLANK($C238),"",AO238)</f>
        <v/>
      </c>
      <c r="AW238" s="70" t="str">
        <f aca="false">IF(ISBLANK($C238),"",AN238)</f>
        <v/>
      </c>
      <c r="AX238" s="71" t="str">
        <f aca="false">IF(ISBLANK($C238),"",IFERROR(_xlfn.SWITCH(AW238,Constants!$B$4,COUNTA($C$8:$C$507)+2,Constants!$B$5,COUNTA($C$8:$C$507)+1,Constants!$B$6,COUNTA($C$8:$C$507)),AW238))</f>
        <v/>
      </c>
      <c r="AY238" s="5"/>
      <c r="AZ238" s="72" t="n">
        <f aca="false">IF(OR(ISNUMBER(AW238),AW238=Constants!$B$4,AW238=Constants!$B$6,AW238=Constants!$B$5),1,0)</f>
        <v>0</v>
      </c>
      <c r="BA238" s="72" t="n">
        <v>231</v>
      </c>
      <c r="BB238" s="72" t="str">
        <f aca="false">IF(ISBLANK($C238),"",IF(ISNUMBER(AX238),AX238+ROW($B238)/1000,""))</f>
        <v/>
      </c>
      <c r="BC238" s="72" t="str">
        <f aca="false">IF(ISNUMBER(BB238),RANK(BB238,$BB$8:$BB$507,1),"")</f>
        <v/>
      </c>
      <c r="BD238" s="72" t="str">
        <f aca="false">IF(ISBLANK($C238),"",$B238)</f>
        <v/>
      </c>
      <c r="BE238" s="72" t="str">
        <f aca="false">IF(ISBLANK($C238),"",$C238)</f>
        <v/>
      </c>
      <c r="BF238" s="72" t="str">
        <f aca="false">IF(ISBLANK($C238),"",$D238)</f>
        <v/>
      </c>
      <c r="BG238" s="73" t="str">
        <f aca="false">AU238</f>
        <v/>
      </c>
      <c r="BH238" s="74" t="str">
        <f aca="false">AT238</f>
        <v/>
      </c>
      <c r="BI238" s="72" t="str">
        <f aca="false">IF(ISBLANK($C238),"",AW238)</f>
        <v/>
      </c>
      <c r="BJ238" s="75" t="str">
        <f aca="false">IF($BA238&gt;$AZ$7,"",VLOOKUP($BA238,$BC$8:$BI$507,7,FALSE()))</f>
        <v/>
      </c>
      <c r="BK238" s="76" t="str">
        <f aca="false">IF($BA238&gt;$AZ$7,"",VLOOKUP($BA238,$BC$8:$BI$507,2,FALSE()))</f>
        <v/>
      </c>
      <c r="BL238" s="76" t="str">
        <f aca="false">IF($BA238&gt;$AZ$7,"",VLOOKUP($BA238,$BC$8:$BI$507,3,FALSE()))</f>
        <v/>
      </c>
      <c r="BM238" s="76" t="str">
        <f aca="false">IF($BA238&gt;$AZ$7,"",VLOOKUP($BA238,$BC$8:$BI$507,4,FALSE()))</f>
        <v/>
      </c>
      <c r="BN238" s="76" t="str">
        <f aca="false">IF($BA238&gt;$AZ$7,"",VLOOKUP($BA238,$BC$8:$BI$507,5,FALSE()))</f>
        <v/>
      </c>
      <c r="BO238" s="77" t="str">
        <f aca="false">IF($BA238&gt;$AZ$7,"",VLOOKUP($BA238,$BC$8:$BI$507,6,FALSE()))</f>
        <v/>
      </c>
      <c r="BP238" s="52"/>
    </row>
    <row r="239" customFormat="false" ht="15.75" hidden="false" customHeight="false" outlineLevel="0" collapsed="false">
      <c r="A239" s="5"/>
      <c r="B239" s="114"/>
      <c r="C239" s="115"/>
      <c r="D239" s="106"/>
      <c r="E239" s="117"/>
      <c r="F239" s="87"/>
      <c r="G239" s="88"/>
      <c r="H239" s="88"/>
      <c r="I239" s="87"/>
      <c r="J239" s="88"/>
      <c r="K239" s="88"/>
      <c r="L239" s="87"/>
      <c r="M239" s="117"/>
      <c r="N239" s="90"/>
      <c r="O239" s="91" t="str">
        <f aca="false">IF(ISBLANK($C239),"",IF(E239=Constants!$B$2, TRUE(), IF(E239=Constants!$B$3, FALSE(), TRUE())))</f>
        <v/>
      </c>
      <c r="P239" s="91" t="str">
        <f aca="false">IF(ISBLANK($C239),"",IF(F239=Constants!$B$16,Constants!$B$9,IF(F239=Constants!$B$17,Constants!$B$10,Constants!$B$8)))</f>
        <v/>
      </c>
      <c r="Q239" s="91" t="str">
        <f aca="false">IF(ISBLANK($C239),"",IF(ISNUMBER(G239),IF(G239&gt;=0,G239,""),""))</f>
        <v/>
      </c>
      <c r="R239" s="91" t="str">
        <f aca="false">IF(ISBLANK($C239),"",IF(H239=Constants!$B$2, TRUE(), IF(H239=Constants!$B$3, FALSE(), TRUE())))</f>
        <v/>
      </c>
      <c r="S239" s="91" t="str">
        <f aca="false">IF(ISBLANK($C239),"",IF(I239=Constants!$B$2, TRUE(), IF(I239=Constants!$B$3, FALSE(), TRUE())))</f>
        <v/>
      </c>
      <c r="T239" s="91" t="str">
        <f aca="false">IF(ISBLANK($C239),"",IF(ISNUMBER(J239),IF(J239&gt;=0,J239,""),""))</f>
        <v/>
      </c>
      <c r="U239" s="91" t="str">
        <f aca="false">IF(ISBLANK($C239),"",IF(K239=Constants!$B$2, TRUE(), IF(K239=Constants!$B$3, FALSE(), TRUE())))</f>
        <v/>
      </c>
      <c r="V239" s="91" t="str">
        <f aca="false">IF(ISBLANK($C239),"",IF(L239=Constants!$B$2, TRUE(), IF(L239=Constants!$B$3, FALSE(), TRUE())))</f>
        <v/>
      </c>
      <c r="W239" s="91" t="str">
        <f aca="false">IF(ISBLANK($C239),"",IF(M239=Constants!$B$2, TRUE(), IF(M239=Constants!$B$3, FALSE(), FALSE())))</f>
        <v/>
      </c>
      <c r="X239" s="91" t="str">
        <f aca="false">IF(ISBLANK($C239),"",AND(Q239&lt;&gt;"",O239))</f>
        <v/>
      </c>
      <c r="Y239" s="91" t="str">
        <f aca="false">IF(ISBLANK($C239),"",AND(T239&lt;&gt;"",O239))</f>
        <v/>
      </c>
      <c r="Z239" s="91" t="str">
        <f aca="false">IF(ISBLANK($C239),"",IF(W239,Constants!$B$4,IF(COUNTA(E239:L239)=0,Constants!$B$5,IF(NOT(O239),Constants!$B$6,IF(AND(NOT(X239),NOT(Y239)),Constants!$B$6,Constants!$B$7)))))</f>
        <v/>
      </c>
      <c r="AA239" s="91" t="str">
        <f aca="false">IF(ISBLANK($C239),"",IF($Z239&lt;&gt;Constants!$B$7,$Z239,Constants!$B$20))</f>
        <v/>
      </c>
      <c r="AB239" s="91" t="str">
        <f aca="false">IF($Z239=Constants!$B$7,IF(X239,Q239,Constants!$B$13),"")</f>
        <v/>
      </c>
      <c r="AC239" s="91" t="str">
        <f aca="false">IF($Z239=Constants!$B$7,IF(X239,P239*IF(R239, 1, Constants!$B$11)*IF(S239, 1, Constants!$B$12),Constants!$B$13),"")</f>
        <v/>
      </c>
      <c r="AD239" s="91" t="str">
        <f aca="false">IF($Z239=Constants!$B$7,AB239*AC239,"")</f>
        <v/>
      </c>
      <c r="AE239" s="91" t="str">
        <f aca="false">IF($Z239=Constants!$B$7,IF(Y239,T239,Constants!$B$13),"")</f>
        <v/>
      </c>
      <c r="AF239" s="91" t="str">
        <f aca="false">IF($Z239=Constants!$B$7,IF(Y239,P239*IF(U239, 1, Constants!$B$11)*IF(V239, 1, Constants!$B$12),Constants!$B$13),"")</f>
        <v/>
      </c>
      <c r="AG239" s="91" t="str">
        <f aca="false">IF($Z239=Constants!$B$7,AE239*AF239,"")</f>
        <v/>
      </c>
      <c r="AH239" s="91" t="str">
        <f aca="false">IF($Z239=Constants!$B$7,IF(AG239&gt;AD239,2,1),"")</f>
        <v/>
      </c>
      <c r="AI239" s="91" t="str">
        <f aca="false">IF($Z239=Constants!$B$7,IF(AH239=1,2,1),"")</f>
        <v/>
      </c>
      <c r="AJ239" s="91" t="str">
        <f aca="false">IF(ISBLANK($C239),"",IF($Z239&lt;&gt;Constants!$B$7,$Z239,IF(AH239=1,AD239,AG239)))</f>
        <v/>
      </c>
      <c r="AK239" s="91" t="str">
        <f aca="false">IF(ISBLANK($C239),"",IF($Z239=Constants!$B$7,IF(ISNUMBER(AJ239),RANK(AJ239,$AJ$8:$AJ$507),Constants!$B$14),$Z239))</f>
        <v/>
      </c>
      <c r="AL239" s="91" t="str">
        <f aca="false">IF(ISBLANK($C239),"",IF($Z239=Constants!$B$7,IF(AI239=1,AD239,AG239),""))</f>
        <v/>
      </c>
      <c r="AM239" s="91" t="str">
        <f aca="false">IF(ISBLANK($C239),"",IF($Z239=Constants!$B$7,RANK(AL239,$AL$8:$AL$507),$Z239))</f>
        <v/>
      </c>
      <c r="AN239" s="91" t="str">
        <f aca="false">IF(ISBLANK($C239),"",IF($Z239=Constants!$B$7,IF(ISNUMBER(AK239),COUNTIFS($AK$8:$AK$507,"&lt;"&amp;$AK239)+COUNTIFS($AK$8:$AK$507,$AK239,$AM$8:$AM$507,"&lt;"&amp;$AM239)+1,Constants!$B$14),$Z239))</f>
        <v/>
      </c>
      <c r="AO239" s="91" t="str">
        <f aca="false">IF(ISBLANK($C239),"",IF($Z239=Constants!$B$7,IF(ISNUMBER(AK239),AK239-AN239,Constants!$B$14),$Z239))</f>
        <v/>
      </c>
      <c r="AP239" s="92"/>
      <c r="AQ239" s="93" t="str">
        <f aca="false">IF(ISBLANK($C239),"",IF($Z239&lt;&gt;Constants!$B$7,"",AH239))</f>
        <v/>
      </c>
      <c r="AR239" s="94" t="str">
        <f aca="false">IF(ISBLANK($C239),"",IF($Z239&lt;&gt;Constants!$B$7,"",IF(AH239=1,AB239,AE239)))</f>
        <v/>
      </c>
      <c r="AS239" s="95" t="str">
        <f aca="false">IF(ISBLANK($C239),"",IF($Z239&lt;&gt;Constants!$B$7,"",IF(AH239=1,AC239,AF239)))</f>
        <v/>
      </c>
      <c r="AT239" s="96" t="str">
        <f aca="false">IF(ISBLANK($C239),"",IF($Z239&lt;&gt;Constants!$B$7,$Z239,AJ239))</f>
        <v/>
      </c>
      <c r="AU239" s="97" t="str">
        <f aca="false">IF(ISBLANK($C239),"",IF($Z239&lt;&gt;Constants!$B$7,$Z239,AA239))</f>
        <v/>
      </c>
      <c r="AV239" s="98" t="str">
        <f aca="false">IF(ISBLANK($C239),"",AO239)</f>
        <v/>
      </c>
      <c r="AW239" s="98" t="str">
        <f aca="false">IF(ISBLANK($C239),"",AN239)</f>
        <v/>
      </c>
      <c r="AX239" s="99" t="str">
        <f aca="false">IF(ISBLANK($C239),"",IFERROR(_xlfn.SWITCH(AW239,Constants!$B$4,COUNTA($C$8:$C$507)+2,Constants!$B$5,COUNTA($C$8:$C$507)+1,Constants!$B$6,COUNTA($C$8:$C$507)),AW239))</f>
        <v/>
      </c>
      <c r="AY239" s="5"/>
      <c r="AZ239" s="100" t="n">
        <f aca="false">IF(OR(ISNUMBER(AW239),AW239=Constants!$B$4,AW239=Constants!$B$6,AW239=Constants!$B$5),1,0)</f>
        <v>0</v>
      </c>
      <c r="BA239" s="100" t="n">
        <v>232</v>
      </c>
      <c r="BB239" s="100" t="str">
        <f aca="false">IF(ISBLANK($C239),"",IF(ISNUMBER(AX239),AX239+ROW($B239)/1000,""))</f>
        <v/>
      </c>
      <c r="BC239" s="100" t="str">
        <f aca="false">IF(ISNUMBER(BB239),RANK(BB239,$BB$8:$BB$507,1),"")</f>
        <v/>
      </c>
      <c r="BD239" s="100" t="str">
        <f aca="false">IF(ISBLANK($C239),"",$B239)</f>
        <v/>
      </c>
      <c r="BE239" s="100" t="str">
        <f aca="false">IF(ISBLANK($C239),"",$C239)</f>
        <v/>
      </c>
      <c r="BF239" s="100" t="str">
        <f aca="false">IF(ISBLANK($C239),"",$D239)</f>
        <v/>
      </c>
      <c r="BG239" s="101" t="str">
        <f aca="false">AU239</f>
        <v/>
      </c>
      <c r="BH239" s="102" t="str">
        <f aca="false">AT239</f>
        <v/>
      </c>
      <c r="BI239" s="100" t="str">
        <f aca="false">IF(ISBLANK($C239),"",AW239)</f>
        <v/>
      </c>
      <c r="BJ239" s="103" t="str">
        <f aca="false">IF($BA239&gt;$AZ$7,"",VLOOKUP($BA239,$BC$8:$BI$507,7,FALSE()))</f>
        <v/>
      </c>
      <c r="BK239" s="104" t="str">
        <f aca="false">IF($BA239&gt;$AZ$7,"",VLOOKUP($BA239,$BC$8:$BI$507,2,FALSE()))</f>
        <v/>
      </c>
      <c r="BL239" s="104" t="str">
        <f aca="false">IF($BA239&gt;$AZ$7,"",VLOOKUP($BA239,$BC$8:$BI$507,3,FALSE()))</f>
        <v/>
      </c>
      <c r="BM239" s="104" t="str">
        <f aca="false">IF($BA239&gt;$AZ$7,"",VLOOKUP($BA239,$BC$8:$BI$507,4,FALSE()))</f>
        <v/>
      </c>
      <c r="BN239" s="104" t="str">
        <f aca="false">IF($BA239&gt;$AZ$7,"",VLOOKUP($BA239,$BC$8:$BI$507,5,FALSE()))</f>
        <v/>
      </c>
      <c r="BO239" s="105" t="str">
        <f aca="false">IF($BA239&gt;$AZ$7,"",VLOOKUP($BA239,$BC$8:$BI$507,6,FALSE()))</f>
        <v/>
      </c>
      <c r="BP239" s="52"/>
    </row>
    <row r="240" customFormat="false" ht="15.75" hidden="false" customHeight="false" outlineLevel="0" collapsed="false">
      <c r="A240" s="5"/>
      <c r="B240" s="114"/>
      <c r="C240" s="115"/>
      <c r="D240" s="106"/>
      <c r="E240" s="117"/>
      <c r="F240" s="87"/>
      <c r="G240" s="88"/>
      <c r="H240" s="88"/>
      <c r="I240" s="87"/>
      <c r="J240" s="88"/>
      <c r="K240" s="88"/>
      <c r="L240" s="87"/>
      <c r="M240" s="117"/>
      <c r="N240" s="90"/>
      <c r="O240" s="91" t="str">
        <f aca="false">IF(ISBLANK($C240),"",IF(E240=Constants!$B$2, TRUE(), IF(E240=Constants!$B$3, FALSE(), TRUE())))</f>
        <v/>
      </c>
      <c r="P240" s="91" t="str">
        <f aca="false">IF(ISBLANK($C240),"",IF(F240=Constants!$B$16,Constants!$B$9,IF(F240=Constants!$B$17,Constants!$B$10,Constants!$B$8)))</f>
        <v/>
      </c>
      <c r="Q240" s="91" t="str">
        <f aca="false">IF(ISBLANK($C240),"",IF(ISNUMBER(G240),IF(G240&gt;=0,G240,""),""))</f>
        <v/>
      </c>
      <c r="R240" s="91" t="str">
        <f aca="false">IF(ISBLANK($C240),"",IF(H240=Constants!$B$2, TRUE(), IF(H240=Constants!$B$3, FALSE(), TRUE())))</f>
        <v/>
      </c>
      <c r="S240" s="91" t="str">
        <f aca="false">IF(ISBLANK($C240),"",IF(I240=Constants!$B$2, TRUE(), IF(I240=Constants!$B$3, FALSE(), TRUE())))</f>
        <v/>
      </c>
      <c r="T240" s="91" t="str">
        <f aca="false">IF(ISBLANK($C240),"",IF(ISNUMBER(J240),IF(J240&gt;=0,J240,""),""))</f>
        <v/>
      </c>
      <c r="U240" s="91" t="str">
        <f aca="false">IF(ISBLANK($C240),"",IF(K240=Constants!$B$2, TRUE(), IF(K240=Constants!$B$3, FALSE(), TRUE())))</f>
        <v/>
      </c>
      <c r="V240" s="91" t="str">
        <f aca="false">IF(ISBLANK($C240),"",IF(L240=Constants!$B$2, TRUE(), IF(L240=Constants!$B$3, FALSE(), TRUE())))</f>
        <v/>
      </c>
      <c r="W240" s="91" t="str">
        <f aca="false">IF(ISBLANK($C240),"",IF(M240=Constants!$B$2, TRUE(), IF(M240=Constants!$B$3, FALSE(), FALSE())))</f>
        <v/>
      </c>
      <c r="X240" s="91" t="str">
        <f aca="false">IF(ISBLANK($C240),"",AND(Q240&lt;&gt;"",O240))</f>
        <v/>
      </c>
      <c r="Y240" s="91" t="str">
        <f aca="false">IF(ISBLANK($C240),"",AND(T240&lt;&gt;"",O240))</f>
        <v/>
      </c>
      <c r="Z240" s="91" t="str">
        <f aca="false">IF(ISBLANK($C240),"",IF(W240,Constants!$B$4,IF(COUNTA(E240:L240)=0,Constants!$B$5,IF(NOT(O240),Constants!$B$6,IF(AND(NOT(X240),NOT(Y240)),Constants!$B$6,Constants!$B$7)))))</f>
        <v/>
      </c>
      <c r="AA240" s="91" t="str">
        <f aca="false">IF(ISBLANK($C240),"",IF($Z240&lt;&gt;Constants!$B$7,$Z240,Constants!$B$20))</f>
        <v/>
      </c>
      <c r="AB240" s="91" t="str">
        <f aca="false">IF($Z240=Constants!$B$7,IF(X240,Q240,Constants!$B$13),"")</f>
        <v/>
      </c>
      <c r="AC240" s="91" t="str">
        <f aca="false">IF($Z240=Constants!$B$7,IF(X240,P240*IF(R240, 1, Constants!$B$11)*IF(S240, 1, Constants!$B$12),Constants!$B$13),"")</f>
        <v/>
      </c>
      <c r="AD240" s="91" t="str">
        <f aca="false">IF($Z240=Constants!$B$7,AB240*AC240,"")</f>
        <v/>
      </c>
      <c r="AE240" s="91" t="str">
        <f aca="false">IF($Z240=Constants!$B$7,IF(Y240,T240,Constants!$B$13),"")</f>
        <v/>
      </c>
      <c r="AF240" s="91" t="str">
        <f aca="false">IF($Z240=Constants!$B$7,IF(Y240,P240*IF(U240, 1, Constants!$B$11)*IF(V240, 1, Constants!$B$12),Constants!$B$13),"")</f>
        <v/>
      </c>
      <c r="AG240" s="91" t="str">
        <f aca="false">IF($Z240=Constants!$B$7,AE240*AF240,"")</f>
        <v/>
      </c>
      <c r="AH240" s="91" t="str">
        <f aca="false">IF($Z240=Constants!$B$7,IF(AG240&gt;AD240,2,1),"")</f>
        <v/>
      </c>
      <c r="AI240" s="91" t="str">
        <f aca="false">IF($Z240=Constants!$B$7,IF(AH240=1,2,1),"")</f>
        <v/>
      </c>
      <c r="AJ240" s="91" t="str">
        <f aca="false">IF(ISBLANK($C240),"",IF($Z240&lt;&gt;Constants!$B$7,$Z240,IF(AH240=1,AD240,AG240)))</f>
        <v/>
      </c>
      <c r="AK240" s="91" t="str">
        <f aca="false">IF(ISBLANK($C240),"",IF($Z240=Constants!$B$7,IF(ISNUMBER(AJ240),RANK(AJ240,$AJ$8:$AJ$507),Constants!$B$14),$Z240))</f>
        <v/>
      </c>
      <c r="AL240" s="91" t="str">
        <f aca="false">IF(ISBLANK($C240),"",IF($Z240=Constants!$B$7,IF(AI240=1,AD240,AG240),""))</f>
        <v/>
      </c>
      <c r="AM240" s="91" t="str">
        <f aca="false">IF(ISBLANK($C240),"",IF($Z240=Constants!$B$7,RANK(AL240,$AL$8:$AL$507),$Z240))</f>
        <v/>
      </c>
      <c r="AN240" s="91" t="str">
        <f aca="false">IF(ISBLANK($C240),"",IF($Z240=Constants!$B$7,IF(ISNUMBER(AK240),COUNTIFS($AK$8:$AK$507,"&lt;"&amp;$AK240)+COUNTIFS($AK$8:$AK$507,$AK240,$AM$8:$AM$507,"&lt;"&amp;$AM240)+1,Constants!$B$14),$Z240))</f>
        <v/>
      </c>
      <c r="AO240" s="91" t="str">
        <f aca="false">IF(ISBLANK($C240),"",IF($Z240=Constants!$B$7,IF(ISNUMBER(AK240),AK240-AN240,Constants!$B$14),$Z240))</f>
        <v/>
      </c>
      <c r="AP240" s="92"/>
      <c r="AQ240" s="93" t="str">
        <f aca="false">IF(ISBLANK($C240),"",IF($Z240&lt;&gt;Constants!$B$7,"",AH240))</f>
        <v/>
      </c>
      <c r="AR240" s="94" t="str">
        <f aca="false">IF(ISBLANK($C240),"",IF($Z240&lt;&gt;Constants!$B$7,"",IF(AH240=1,AB240,AE240)))</f>
        <v/>
      </c>
      <c r="AS240" s="95" t="str">
        <f aca="false">IF(ISBLANK($C240),"",IF($Z240&lt;&gt;Constants!$B$7,"",IF(AH240=1,AC240,AF240)))</f>
        <v/>
      </c>
      <c r="AT240" s="96" t="str">
        <f aca="false">IF(ISBLANK($C240),"",IF($Z240&lt;&gt;Constants!$B$7,$Z240,AJ240))</f>
        <v/>
      </c>
      <c r="AU240" s="97" t="str">
        <f aca="false">IF(ISBLANK($C240),"",IF($Z240&lt;&gt;Constants!$B$7,$Z240,AA240))</f>
        <v/>
      </c>
      <c r="AV240" s="98" t="str">
        <f aca="false">IF(ISBLANK($C240),"",AO240)</f>
        <v/>
      </c>
      <c r="AW240" s="98" t="str">
        <f aca="false">IF(ISBLANK($C240),"",AN240)</f>
        <v/>
      </c>
      <c r="AX240" s="99" t="str">
        <f aca="false">IF(ISBLANK($C240),"",IFERROR(_xlfn.SWITCH(AW240,Constants!$B$4,COUNTA($C$8:$C$507)+2,Constants!$B$5,COUNTA($C$8:$C$507)+1,Constants!$B$6,COUNTA($C$8:$C$507)),AW240))</f>
        <v/>
      </c>
      <c r="AY240" s="5"/>
      <c r="AZ240" s="100" t="n">
        <f aca="false">IF(OR(ISNUMBER(AW240),AW240=Constants!$B$4,AW240=Constants!$B$6,AW240=Constants!$B$5),1,0)</f>
        <v>0</v>
      </c>
      <c r="BA240" s="100" t="n">
        <v>233</v>
      </c>
      <c r="BB240" s="100" t="str">
        <f aca="false">IF(ISBLANK($C240),"",IF(ISNUMBER(AX240),AX240+ROW($B240)/1000,""))</f>
        <v/>
      </c>
      <c r="BC240" s="100" t="str">
        <f aca="false">IF(ISNUMBER(BB240),RANK(BB240,$BB$8:$BB$507,1),"")</f>
        <v/>
      </c>
      <c r="BD240" s="100" t="str">
        <f aca="false">IF(ISBLANK($C240),"",$B240)</f>
        <v/>
      </c>
      <c r="BE240" s="100" t="str">
        <f aca="false">IF(ISBLANK($C240),"",$C240)</f>
        <v/>
      </c>
      <c r="BF240" s="100" t="str">
        <f aca="false">IF(ISBLANK($C240),"",$D240)</f>
        <v/>
      </c>
      <c r="BG240" s="101" t="str">
        <f aca="false">AU240</f>
        <v/>
      </c>
      <c r="BH240" s="102" t="str">
        <f aca="false">AT240</f>
        <v/>
      </c>
      <c r="BI240" s="100" t="str">
        <f aca="false">IF(ISBLANK($C240),"",AW240)</f>
        <v/>
      </c>
      <c r="BJ240" s="103" t="str">
        <f aca="false">IF($BA240&gt;$AZ$7,"",VLOOKUP($BA240,$BC$8:$BI$507,7,FALSE()))</f>
        <v/>
      </c>
      <c r="BK240" s="104" t="str">
        <f aca="false">IF($BA240&gt;$AZ$7,"",VLOOKUP($BA240,$BC$8:$BI$507,2,FALSE()))</f>
        <v/>
      </c>
      <c r="BL240" s="104" t="str">
        <f aca="false">IF($BA240&gt;$AZ$7,"",VLOOKUP($BA240,$BC$8:$BI$507,3,FALSE()))</f>
        <v/>
      </c>
      <c r="BM240" s="104" t="str">
        <f aca="false">IF($BA240&gt;$AZ$7,"",VLOOKUP($BA240,$BC$8:$BI$507,4,FALSE()))</f>
        <v/>
      </c>
      <c r="BN240" s="104" t="str">
        <f aca="false">IF($BA240&gt;$AZ$7,"",VLOOKUP($BA240,$BC$8:$BI$507,5,FALSE()))</f>
        <v/>
      </c>
      <c r="BO240" s="105" t="str">
        <f aca="false">IF($BA240&gt;$AZ$7,"",VLOOKUP($BA240,$BC$8:$BI$507,6,FALSE()))</f>
        <v/>
      </c>
      <c r="BP240" s="52"/>
    </row>
    <row r="241" customFormat="false" ht="15.75" hidden="false" customHeight="false" outlineLevel="0" collapsed="false">
      <c r="A241" s="5"/>
      <c r="B241" s="114"/>
      <c r="C241" s="115"/>
      <c r="D241" s="106"/>
      <c r="E241" s="117"/>
      <c r="F241" s="87"/>
      <c r="G241" s="88"/>
      <c r="H241" s="88"/>
      <c r="I241" s="87"/>
      <c r="J241" s="88"/>
      <c r="K241" s="88"/>
      <c r="L241" s="87"/>
      <c r="M241" s="117"/>
      <c r="N241" s="90"/>
      <c r="O241" s="91" t="str">
        <f aca="false">IF(ISBLANK($C241),"",IF(E241=Constants!$B$2, TRUE(), IF(E241=Constants!$B$3, FALSE(), TRUE())))</f>
        <v/>
      </c>
      <c r="P241" s="91" t="str">
        <f aca="false">IF(ISBLANK($C241),"",IF(F241=Constants!$B$16,Constants!$B$9,IF(F241=Constants!$B$17,Constants!$B$10,Constants!$B$8)))</f>
        <v/>
      </c>
      <c r="Q241" s="91" t="str">
        <f aca="false">IF(ISBLANK($C241),"",IF(ISNUMBER(G241),IF(G241&gt;=0,G241,""),""))</f>
        <v/>
      </c>
      <c r="R241" s="91" t="str">
        <f aca="false">IF(ISBLANK($C241),"",IF(H241=Constants!$B$2, TRUE(), IF(H241=Constants!$B$3, FALSE(), TRUE())))</f>
        <v/>
      </c>
      <c r="S241" s="91" t="str">
        <f aca="false">IF(ISBLANK($C241),"",IF(I241=Constants!$B$2, TRUE(), IF(I241=Constants!$B$3, FALSE(), TRUE())))</f>
        <v/>
      </c>
      <c r="T241" s="91" t="str">
        <f aca="false">IF(ISBLANK($C241),"",IF(ISNUMBER(J241),IF(J241&gt;=0,J241,""),""))</f>
        <v/>
      </c>
      <c r="U241" s="91" t="str">
        <f aca="false">IF(ISBLANK($C241),"",IF(K241=Constants!$B$2, TRUE(), IF(K241=Constants!$B$3, FALSE(), TRUE())))</f>
        <v/>
      </c>
      <c r="V241" s="91" t="str">
        <f aca="false">IF(ISBLANK($C241),"",IF(L241=Constants!$B$2, TRUE(), IF(L241=Constants!$B$3, FALSE(), TRUE())))</f>
        <v/>
      </c>
      <c r="W241" s="91" t="str">
        <f aca="false">IF(ISBLANK($C241),"",IF(M241=Constants!$B$2, TRUE(), IF(M241=Constants!$B$3, FALSE(), FALSE())))</f>
        <v/>
      </c>
      <c r="X241" s="91" t="str">
        <f aca="false">IF(ISBLANK($C241),"",AND(Q241&lt;&gt;"",O241))</f>
        <v/>
      </c>
      <c r="Y241" s="91" t="str">
        <f aca="false">IF(ISBLANK($C241),"",AND(T241&lt;&gt;"",O241))</f>
        <v/>
      </c>
      <c r="Z241" s="91" t="str">
        <f aca="false">IF(ISBLANK($C241),"",IF(W241,Constants!$B$4,IF(COUNTA(E241:L241)=0,Constants!$B$5,IF(NOT(O241),Constants!$B$6,IF(AND(NOT(X241),NOT(Y241)),Constants!$B$6,Constants!$B$7)))))</f>
        <v/>
      </c>
      <c r="AA241" s="91" t="str">
        <f aca="false">IF(ISBLANK($C241),"",IF($Z241&lt;&gt;Constants!$B$7,$Z241,Constants!$B$20))</f>
        <v/>
      </c>
      <c r="AB241" s="91" t="str">
        <f aca="false">IF($Z241=Constants!$B$7,IF(X241,Q241,Constants!$B$13),"")</f>
        <v/>
      </c>
      <c r="AC241" s="91" t="str">
        <f aca="false">IF($Z241=Constants!$B$7,IF(X241,P241*IF(R241, 1, Constants!$B$11)*IF(S241, 1, Constants!$B$12),Constants!$B$13),"")</f>
        <v/>
      </c>
      <c r="AD241" s="91" t="str">
        <f aca="false">IF($Z241=Constants!$B$7,AB241*AC241,"")</f>
        <v/>
      </c>
      <c r="AE241" s="91" t="str">
        <f aca="false">IF($Z241=Constants!$B$7,IF(Y241,T241,Constants!$B$13),"")</f>
        <v/>
      </c>
      <c r="AF241" s="91" t="str">
        <f aca="false">IF($Z241=Constants!$B$7,IF(Y241,P241*IF(U241, 1, Constants!$B$11)*IF(V241, 1, Constants!$B$12),Constants!$B$13),"")</f>
        <v/>
      </c>
      <c r="AG241" s="91" t="str">
        <f aca="false">IF($Z241=Constants!$B$7,AE241*AF241,"")</f>
        <v/>
      </c>
      <c r="AH241" s="91" t="str">
        <f aca="false">IF($Z241=Constants!$B$7,IF(AG241&gt;AD241,2,1),"")</f>
        <v/>
      </c>
      <c r="AI241" s="91" t="str">
        <f aca="false">IF($Z241=Constants!$B$7,IF(AH241=1,2,1),"")</f>
        <v/>
      </c>
      <c r="AJ241" s="91" t="str">
        <f aca="false">IF(ISBLANK($C241),"",IF($Z241&lt;&gt;Constants!$B$7,$Z241,IF(AH241=1,AD241,AG241)))</f>
        <v/>
      </c>
      <c r="AK241" s="91" t="str">
        <f aca="false">IF(ISBLANK($C241),"",IF($Z241=Constants!$B$7,IF(ISNUMBER(AJ241),RANK(AJ241,$AJ$8:$AJ$507),Constants!$B$14),$Z241))</f>
        <v/>
      </c>
      <c r="AL241" s="91" t="str">
        <f aca="false">IF(ISBLANK($C241),"",IF($Z241=Constants!$B$7,IF(AI241=1,AD241,AG241),""))</f>
        <v/>
      </c>
      <c r="AM241" s="91" t="str">
        <f aca="false">IF(ISBLANK($C241),"",IF($Z241=Constants!$B$7,RANK(AL241,$AL$8:$AL$507),$Z241))</f>
        <v/>
      </c>
      <c r="AN241" s="91" t="str">
        <f aca="false">IF(ISBLANK($C241),"",IF($Z241=Constants!$B$7,IF(ISNUMBER(AK241),COUNTIFS($AK$8:$AK$507,"&lt;"&amp;$AK241)+COUNTIFS($AK$8:$AK$507,$AK241,$AM$8:$AM$507,"&lt;"&amp;$AM241)+1,Constants!$B$14),$Z241))</f>
        <v/>
      </c>
      <c r="AO241" s="91" t="str">
        <f aca="false">IF(ISBLANK($C241),"",IF($Z241=Constants!$B$7,IF(ISNUMBER(AK241),AK241-AN241,Constants!$B$14),$Z241))</f>
        <v/>
      </c>
      <c r="AP241" s="92"/>
      <c r="AQ241" s="93" t="str">
        <f aca="false">IF(ISBLANK($C241),"",IF($Z241&lt;&gt;Constants!$B$7,"",AH241))</f>
        <v/>
      </c>
      <c r="AR241" s="94" t="str">
        <f aca="false">IF(ISBLANK($C241),"",IF($Z241&lt;&gt;Constants!$B$7,"",IF(AH241=1,AB241,AE241)))</f>
        <v/>
      </c>
      <c r="AS241" s="95" t="str">
        <f aca="false">IF(ISBLANK($C241),"",IF($Z241&lt;&gt;Constants!$B$7,"",IF(AH241=1,AC241,AF241)))</f>
        <v/>
      </c>
      <c r="AT241" s="96" t="str">
        <f aca="false">IF(ISBLANK($C241),"",IF($Z241&lt;&gt;Constants!$B$7,$Z241,AJ241))</f>
        <v/>
      </c>
      <c r="AU241" s="97" t="str">
        <f aca="false">IF(ISBLANK($C241),"",IF($Z241&lt;&gt;Constants!$B$7,$Z241,AA241))</f>
        <v/>
      </c>
      <c r="AV241" s="98" t="str">
        <f aca="false">IF(ISBLANK($C241),"",AO241)</f>
        <v/>
      </c>
      <c r="AW241" s="98" t="str">
        <f aca="false">IF(ISBLANK($C241),"",AN241)</f>
        <v/>
      </c>
      <c r="AX241" s="99" t="str">
        <f aca="false">IF(ISBLANK($C241),"",IFERROR(_xlfn.SWITCH(AW241,Constants!$B$4,COUNTA($C$8:$C$507)+2,Constants!$B$5,COUNTA($C$8:$C$507)+1,Constants!$B$6,COUNTA($C$8:$C$507)),AW241))</f>
        <v/>
      </c>
      <c r="AY241" s="5"/>
      <c r="AZ241" s="100" t="n">
        <f aca="false">IF(OR(ISNUMBER(AW241),AW241=Constants!$B$4,AW241=Constants!$B$6,AW241=Constants!$B$5),1,0)</f>
        <v>0</v>
      </c>
      <c r="BA241" s="100" t="n">
        <v>234</v>
      </c>
      <c r="BB241" s="100" t="str">
        <f aca="false">IF(ISBLANK($C241),"",IF(ISNUMBER(AX241),AX241+ROW($B241)/1000,""))</f>
        <v/>
      </c>
      <c r="BC241" s="100" t="str">
        <f aca="false">IF(ISNUMBER(BB241),RANK(BB241,$BB$8:$BB$507,1),"")</f>
        <v/>
      </c>
      <c r="BD241" s="100" t="str">
        <f aca="false">IF(ISBLANK($C241),"",$B241)</f>
        <v/>
      </c>
      <c r="BE241" s="100" t="str">
        <f aca="false">IF(ISBLANK($C241),"",$C241)</f>
        <v/>
      </c>
      <c r="BF241" s="100" t="str">
        <f aca="false">IF(ISBLANK($C241),"",$D241)</f>
        <v/>
      </c>
      <c r="BG241" s="101" t="str">
        <f aca="false">AU241</f>
        <v/>
      </c>
      <c r="BH241" s="102" t="str">
        <f aca="false">AT241</f>
        <v/>
      </c>
      <c r="BI241" s="100" t="str">
        <f aca="false">IF(ISBLANK($C241),"",AW241)</f>
        <v/>
      </c>
      <c r="BJ241" s="103" t="str">
        <f aca="false">IF($BA241&gt;$AZ$7,"",VLOOKUP($BA241,$BC$8:$BI$507,7,FALSE()))</f>
        <v/>
      </c>
      <c r="BK241" s="104" t="str">
        <f aca="false">IF($BA241&gt;$AZ$7,"",VLOOKUP($BA241,$BC$8:$BI$507,2,FALSE()))</f>
        <v/>
      </c>
      <c r="BL241" s="104" t="str">
        <f aca="false">IF($BA241&gt;$AZ$7,"",VLOOKUP($BA241,$BC$8:$BI$507,3,FALSE()))</f>
        <v/>
      </c>
      <c r="BM241" s="104" t="str">
        <f aca="false">IF($BA241&gt;$AZ$7,"",VLOOKUP($BA241,$BC$8:$BI$507,4,FALSE()))</f>
        <v/>
      </c>
      <c r="BN241" s="104" t="str">
        <f aca="false">IF($BA241&gt;$AZ$7,"",VLOOKUP($BA241,$BC$8:$BI$507,5,FALSE()))</f>
        <v/>
      </c>
      <c r="BO241" s="105" t="str">
        <f aca="false">IF($BA241&gt;$AZ$7,"",VLOOKUP($BA241,$BC$8:$BI$507,6,FALSE()))</f>
        <v/>
      </c>
      <c r="BP241" s="52"/>
    </row>
    <row r="242" customFormat="false" ht="15.75" hidden="false" customHeight="false" outlineLevel="0" collapsed="false">
      <c r="A242" s="5"/>
      <c r="B242" s="118"/>
      <c r="C242" s="54"/>
      <c r="D242" s="55"/>
      <c r="E242" s="79"/>
      <c r="F242" s="57"/>
      <c r="G242" s="58"/>
      <c r="H242" s="58"/>
      <c r="I242" s="57"/>
      <c r="J242" s="58"/>
      <c r="K242" s="58"/>
      <c r="L242" s="57"/>
      <c r="M242" s="79"/>
      <c r="N242" s="60"/>
      <c r="O242" s="62" t="str">
        <f aca="false">IF(ISBLANK($C242),"",IF(E242=Constants!$B$2, TRUE(), IF(E242=Constants!$B$3, FALSE(), TRUE())))</f>
        <v/>
      </c>
      <c r="P242" s="62" t="str">
        <f aca="false">IF(ISBLANK($C242),"",IF(F242=Constants!$B$16,Constants!$B$9,IF(F242=Constants!$B$17,Constants!$B$10,Constants!$B$8)))</f>
        <v/>
      </c>
      <c r="Q242" s="62" t="str">
        <f aca="false">IF(ISBLANK($C242),"",IF(ISNUMBER(G242),IF(G242&gt;=0,G242,""),""))</f>
        <v/>
      </c>
      <c r="R242" s="62" t="str">
        <f aca="false">IF(ISBLANK($C242),"",IF(H242=Constants!$B$2, TRUE(), IF(H242=Constants!$B$3, FALSE(), TRUE())))</f>
        <v/>
      </c>
      <c r="S242" s="62" t="str">
        <f aca="false">IF(ISBLANK($C242),"",IF(I242=Constants!$B$2, TRUE(), IF(I242=Constants!$B$3, FALSE(), TRUE())))</f>
        <v/>
      </c>
      <c r="T242" s="62" t="str">
        <f aca="false">IF(ISBLANK($C242),"",IF(ISNUMBER(J242),IF(J242&gt;=0,J242,""),""))</f>
        <v/>
      </c>
      <c r="U242" s="62" t="str">
        <f aca="false">IF(ISBLANK($C242),"",IF(K242=Constants!$B$2, TRUE(), IF(K242=Constants!$B$3, FALSE(), TRUE())))</f>
        <v/>
      </c>
      <c r="V242" s="62" t="str">
        <f aca="false">IF(ISBLANK($C242),"",IF(L242=Constants!$B$2, TRUE(), IF(L242=Constants!$B$3, FALSE(), TRUE())))</f>
        <v/>
      </c>
      <c r="W242" s="62" t="str">
        <f aca="false">IF(ISBLANK($C242),"",IF(M242=Constants!$B$2, TRUE(), IF(M242=Constants!$B$3, FALSE(), FALSE())))</f>
        <v/>
      </c>
      <c r="X242" s="62" t="str">
        <f aca="false">IF(ISBLANK($C242),"",AND(Q242&lt;&gt;"",O242))</f>
        <v/>
      </c>
      <c r="Y242" s="62" t="str">
        <f aca="false">IF(ISBLANK($C242),"",AND(T242&lt;&gt;"",O242))</f>
        <v/>
      </c>
      <c r="Z242" s="62" t="str">
        <f aca="false">IF(ISBLANK($C242),"",IF(W242,Constants!$B$4,IF(COUNTA(E242:L242)=0,Constants!$B$5,IF(NOT(O242),Constants!$B$6,IF(AND(NOT(X242),NOT(Y242)),Constants!$B$6,Constants!$B$7)))))</f>
        <v/>
      </c>
      <c r="AA242" s="62" t="str">
        <f aca="false">IF(ISBLANK($C242),"",IF($Z242&lt;&gt;Constants!$B$7,$Z242,Constants!$B$20))</f>
        <v/>
      </c>
      <c r="AB242" s="62" t="str">
        <f aca="false">IF($Z242=Constants!$B$7,IF(X242,Q242,Constants!$B$13),"")</f>
        <v/>
      </c>
      <c r="AC242" s="62" t="str">
        <f aca="false">IF($Z242=Constants!$B$7,IF(X242,P242*IF(R242, 1, Constants!$B$11)*IF(S242, 1, Constants!$B$12),Constants!$B$13),"")</f>
        <v/>
      </c>
      <c r="AD242" s="62" t="str">
        <f aca="false">IF($Z242=Constants!$B$7,AB242*AC242,"")</f>
        <v/>
      </c>
      <c r="AE242" s="62" t="str">
        <f aca="false">IF($Z242=Constants!$B$7,IF(Y242,T242,Constants!$B$13),"")</f>
        <v/>
      </c>
      <c r="AF242" s="62" t="str">
        <f aca="false">IF($Z242=Constants!$B$7,IF(Y242,P242*IF(U242, 1, Constants!$B$11)*IF(V242, 1, Constants!$B$12),Constants!$B$13),"")</f>
        <v/>
      </c>
      <c r="AG242" s="62" t="str">
        <f aca="false">IF($Z242=Constants!$B$7,AE242*AF242,"")</f>
        <v/>
      </c>
      <c r="AH242" s="62" t="str">
        <f aca="false">IF($Z242=Constants!$B$7,IF(AG242&gt;AD242,2,1),"")</f>
        <v/>
      </c>
      <c r="AI242" s="62" t="str">
        <f aca="false">IF($Z242=Constants!$B$7,IF(AH242=1,2,1),"")</f>
        <v/>
      </c>
      <c r="AJ242" s="62" t="str">
        <f aca="false">IF(ISBLANK($C242),"",IF($Z242&lt;&gt;Constants!$B$7,$Z242,IF(AH242=1,AD242,AG242)))</f>
        <v/>
      </c>
      <c r="AK242" s="62" t="str">
        <f aca="false">IF(ISBLANK($C242),"",IF($Z242=Constants!$B$7,IF(ISNUMBER(AJ242),RANK(AJ242,$AJ$8:$AJ$507),Constants!$B$14),$Z242))</f>
        <v/>
      </c>
      <c r="AL242" s="62" t="str">
        <f aca="false">IF(ISBLANK($C242),"",IF($Z242=Constants!$B$7,IF(AI242=1,AD242,AG242),""))</f>
        <v/>
      </c>
      <c r="AM242" s="62" t="str">
        <f aca="false">IF(ISBLANK($C242),"",IF($Z242=Constants!$B$7,RANK(AL242,$AL$8:$AL$507),$Z242))</f>
        <v/>
      </c>
      <c r="AN242" s="62" t="str">
        <f aca="false">IF(ISBLANK($C242),"",IF($Z242=Constants!$B$7,IF(ISNUMBER(AK242),COUNTIFS($AK$8:$AK$507,"&lt;"&amp;$AK242)+COUNTIFS($AK$8:$AK$507,$AK242,$AM$8:$AM$507,"&lt;"&amp;$AM242)+1,Constants!$B$14),$Z242))</f>
        <v/>
      </c>
      <c r="AO242" s="62" t="str">
        <f aca="false">IF(ISBLANK($C242),"",IF($Z242=Constants!$B$7,IF(ISNUMBER(AK242),AK242-AN242,Constants!$B$14),$Z242))</f>
        <v/>
      </c>
      <c r="AP242" s="64"/>
      <c r="AQ242" s="65" t="str">
        <f aca="false">IF(ISBLANK($C242),"",IF($Z242&lt;&gt;Constants!$B$7,"",AH242))</f>
        <v/>
      </c>
      <c r="AR242" s="80" t="str">
        <f aca="false">IF(ISBLANK($C242),"",IF($Z242&lt;&gt;Constants!$B$7,"",IF(AH242=1,AB242,AE242)))</f>
        <v/>
      </c>
      <c r="AS242" s="67" t="str">
        <f aca="false">IF(ISBLANK($C242),"",IF($Z242&lt;&gt;Constants!$B$7,"",IF(AH242=1,AC242,AF242)))</f>
        <v/>
      </c>
      <c r="AT242" s="68" t="str">
        <f aca="false">IF(ISBLANK($C242),"",IF($Z242&lt;&gt;Constants!$B$7,$Z242,AJ242))</f>
        <v/>
      </c>
      <c r="AU242" s="69" t="str">
        <f aca="false">IF(ISBLANK($C242),"",IF($Z242&lt;&gt;Constants!$B$7,$Z242,AA242))</f>
        <v/>
      </c>
      <c r="AV242" s="70" t="str">
        <f aca="false">IF(ISBLANK($C242),"",AO242)</f>
        <v/>
      </c>
      <c r="AW242" s="70" t="str">
        <f aca="false">IF(ISBLANK($C242),"",AN242)</f>
        <v/>
      </c>
      <c r="AX242" s="71" t="str">
        <f aca="false">IF(ISBLANK($C242),"",IFERROR(_xlfn.SWITCH(AW242,Constants!$B$4,COUNTA($C$8:$C$507)+2,Constants!$B$5,COUNTA($C$8:$C$507)+1,Constants!$B$6,COUNTA($C$8:$C$507)),AW242))</f>
        <v/>
      </c>
      <c r="AY242" s="5"/>
      <c r="AZ242" s="72" t="n">
        <f aca="false">IF(OR(ISNUMBER(AW242),AW242=Constants!$B$4,AW242=Constants!$B$6,AW242=Constants!$B$5),1,0)</f>
        <v>0</v>
      </c>
      <c r="BA242" s="72" t="n">
        <v>235</v>
      </c>
      <c r="BB242" s="72" t="str">
        <f aca="false">IF(ISBLANK($C242),"",IF(ISNUMBER(AX242),AX242+ROW($B242)/1000,""))</f>
        <v/>
      </c>
      <c r="BC242" s="72" t="str">
        <f aca="false">IF(ISNUMBER(BB242),RANK(BB242,$BB$8:$BB$507,1),"")</f>
        <v/>
      </c>
      <c r="BD242" s="72" t="str">
        <f aca="false">IF(ISBLANK($C242),"",$B242)</f>
        <v/>
      </c>
      <c r="BE242" s="72" t="str">
        <f aca="false">IF(ISBLANK($C242),"",$C242)</f>
        <v/>
      </c>
      <c r="BF242" s="72" t="str">
        <f aca="false">IF(ISBLANK($C242),"",$D242)</f>
        <v/>
      </c>
      <c r="BG242" s="73" t="str">
        <f aca="false">AU242</f>
        <v/>
      </c>
      <c r="BH242" s="74" t="str">
        <f aca="false">AT242</f>
        <v/>
      </c>
      <c r="BI242" s="72" t="str">
        <f aca="false">IF(ISBLANK($C242),"",AW242)</f>
        <v/>
      </c>
      <c r="BJ242" s="75" t="str">
        <f aca="false">IF($BA242&gt;$AZ$7,"",VLOOKUP($BA242,$BC$8:$BI$507,7,FALSE()))</f>
        <v/>
      </c>
      <c r="BK242" s="76" t="str">
        <f aca="false">IF($BA242&gt;$AZ$7,"",VLOOKUP($BA242,$BC$8:$BI$507,2,FALSE()))</f>
        <v/>
      </c>
      <c r="BL242" s="76" t="str">
        <f aca="false">IF($BA242&gt;$AZ$7,"",VLOOKUP($BA242,$BC$8:$BI$507,3,FALSE()))</f>
        <v/>
      </c>
      <c r="BM242" s="76" t="str">
        <f aca="false">IF($BA242&gt;$AZ$7,"",VLOOKUP($BA242,$BC$8:$BI$507,4,FALSE()))</f>
        <v/>
      </c>
      <c r="BN242" s="76" t="str">
        <f aca="false">IF($BA242&gt;$AZ$7,"",VLOOKUP($BA242,$BC$8:$BI$507,5,FALSE()))</f>
        <v/>
      </c>
      <c r="BO242" s="77" t="str">
        <f aca="false">IF($BA242&gt;$AZ$7,"",VLOOKUP($BA242,$BC$8:$BI$507,6,FALSE()))</f>
        <v/>
      </c>
      <c r="BP242" s="52"/>
    </row>
    <row r="243" customFormat="false" ht="15.75" hidden="false" customHeight="false" outlineLevel="0" collapsed="false">
      <c r="A243" s="5"/>
      <c r="B243" s="118"/>
      <c r="C243" s="54"/>
      <c r="D243" s="55"/>
      <c r="E243" s="79"/>
      <c r="F243" s="57"/>
      <c r="G243" s="58"/>
      <c r="H243" s="58"/>
      <c r="I243" s="57"/>
      <c r="J243" s="58"/>
      <c r="K243" s="58"/>
      <c r="L243" s="57"/>
      <c r="M243" s="79"/>
      <c r="N243" s="60"/>
      <c r="O243" s="62" t="str">
        <f aca="false">IF(ISBLANK($C243),"",IF(E243=Constants!$B$2, TRUE(), IF(E243=Constants!$B$3, FALSE(), TRUE())))</f>
        <v/>
      </c>
      <c r="P243" s="62" t="str">
        <f aca="false">IF(ISBLANK($C243),"",IF(F243=Constants!$B$16,Constants!$B$9,IF(F243=Constants!$B$17,Constants!$B$10,Constants!$B$8)))</f>
        <v/>
      </c>
      <c r="Q243" s="62" t="str">
        <f aca="false">IF(ISBLANK($C243),"",IF(ISNUMBER(G243),IF(G243&gt;=0,G243,""),""))</f>
        <v/>
      </c>
      <c r="R243" s="62" t="str">
        <f aca="false">IF(ISBLANK($C243),"",IF(H243=Constants!$B$2, TRUE(), IF(H243=Constants!$B$3, FALSE(), TRUE())))</f>
        <v/>
      </c>
      <c r="S243" s="62" t="str">
        <f aca="false">IF(ISBLANK($C243),"",IF(I243=Constants!$B$2, TRUE(), IF(I243=Constants!$B$3, FALSE(), TRUE())))</f>
        <v/>
      </c>
      <c r="T243" s="62" t="str">
        <f aca="false">IF(ISBLANK($C243),"",IF(ISNUMBER(J243),IF(J243&gt;=0,J243,""),""))</f>
        <v/>
      </c>
      <c r="U243" s="62" t="str">
        <f aca="false">IF(ISBLANK($C243),"",IF(K243=Constants!$B$2, TRUE(), IF(K243=Constants!$B$3, FALSE(), TRUE())))</f>
        <v/>
      </c>
      <c r="V243" s="62" t="str">
        <f aca="false">IF(ISBLANK($C243),"",IF(L243=Constants!$B$2, TRUE(), IF(L243=Constants!$B$3, FALSE(), TRUE())))</f>
        <v/>
      </c>
      <c r="W243" s="62" t="str">
        <f aca="false">IF(ISBLANK($C243),"",IF(M243=Constants!$B$2, TRUE(), IF(M243=Constants!$B$3, FALSE(), FALSE())))</f>
        <v/>
      </c>
      <c r="X243" s="62" t="str">
        <f aca="false">IF(ISBLANK($C243),"",AND(Q243&lt;&gt;"",O243))</f>
        <v/>
      </c>
      <c r="Y243" s="62" t="str">
        <f aca="false">IF(ISBLANK($C243),"",AND(T243&lt;&gt;"",O243))</f>
        <v/>
      </c>
      <c r="Z243" s="62" t="str">
        <f aca="false">IF(ISBLANK($C243),"",IF(W243,Constants!$B$4,IF(COUNTA(E243:L243)=0,Constants!$B$5,IF(NOT(O243),Constants!$B$6,IF(AND(NOT(X243),NOT(Y243)),Constants!$B$6,Constants!$B$7)))))</f>
        <v/>
      </c>
      <c r="AA243" s="62" t="str">
        <f aca="false">IF(ISBLANK($C243),"",IF($Z243&lt;&gt;Constants!$B$7,$Z243,Constants!$B$20))</f>
        <v/>
      </c>
      <c r="AB243" s="62" t="str">
        <f aca="false">IF($Z243=Constants!$B$7,IF(X243,Q243,Constants!$B$13),"")</f>
        <v/>
      </c>
      <c r="AC243" s="62" t="str">
        <f aca="false">IF($Z243=Constants!$B$7,IF(X243,P243*IF(R243, 1, Constants!$B$11)*IF(S243, 1, Constants!$B$12),Constants!$B$13),"")</f>
        <v/>
      </c>
      <c r="AD243" s="62" t="str">
        <f aca="false">IF($Z243=Constants!$B$7,AB243*AC243,"")</f>
        <v/>
      </c>
      <c r="AE243" s="62" t="str">
        <f aca="false">IF($Z243=Constants!$B$7,IF(Y243,T243,Constants!$B$13),"")</f>
        <v/>
      </c>
      <c r="AF243" s="62" t="str">
        <f aca="false">IF($Z243=Constants!$B$7,IF(Y243,P243*IF(U243, 1, Constants!$B$11)*IF(V243, 1, Constants!$B$12),Constants!$B$13),"")</f>
        <v/>
      </c>
      <c r="AG243" s="62" t="str">
        <f aca="false">IF($Z243=Constants!$B$7,AE243*AF243,"")</f>
        <v/>
      </c>
      <c r="AH243" s="62" t="str">
        <f aca="false">IF($Z243=Constants!$B$7,IF(AG243&gt;AD243,2,1),"")</f>
        <v/>
      </c>
      <c r="AI243" s="62" t="str">
        <f aca="false">IF($Z243=Constants!$B$7,IF(AH243=1,2,1),"")</f>
        <v/>
      </c>
      <c r="AJ243" s="62" t="str">
        <f aca="false">IF(ISBLANK($C243),"",IF($Z243&lt;&gt;Constants!$B$7,$Z243,IF(AH243=1,AD243,AG243)))</f>
        <v/>
      </c>
      <c r="AK243" s="62" t="str">
        <f aca="false">IF(ISBLANK($C243),"",IF($Z243=Constants!$B$7,IF(ISNUMBER(AJ243),RANK(AJ243,$AJ$8:$AJ$507),Constants!$B$14),$Z243))</f>
        <v/>
      </c>
      <c r="AL243" s="62" t="str">
        <f aca="false">IF(ISBLANK($C243),"",IF($Z243=Constants!$B$7,IF(AI243=1,AD243,AG243),""))</f>
        <v/>
      </c>
      <c r="AM243" s="62" t="str">
        <f aca="false">IF(ISBLANK($C243),"",IF($Z243=Constants!$B$7,RANK(AL243,$AL$8:$AL$507),$Z243))</f>
        <v/>
      </c>
      <c r="AN243" s="62" t="str">
        <f aca="false">IF(ISBLANK($C243),"",IF($Z243=Constants!$B$7,IF(ISNUMBER(AK243),COUNTIFS($AK$8:$AK$507,"&lt;"&amp;$AK243)+COUNTIFS($AK$8:$AK$507,$AK243,$AM$8:$AM$507,"&lt;"&amp;$AM243)+1,Constants!$B$14),$Z243))</f>
        <v/>
      </c>
      <c r="AO243" s="62" t="str">
        <f aca="false">IF(ISBLANK($C243),"",IF($Z243=Constants!$B$7,IF(ISNUMBER(AK243),AK243-AN243,Constants!$B$14),$Z243))</f>
        <v/>
      </c>
      <c r="AP243" s="64"/>
      <c r="AQ243" s="65" t="str">
        <f aca="false">IF(ISBLANK($C243),"",IF($Z243&lt;&gt;Constants!$B$7,"",AH243))</f>
        <v/>
      </c>
      <c r="AR243" s="80" t="str">
        <f aca="false">IF(ISBLANK($C243),"",IF($Z243&lt;&gt;Constants!$B$7,"",IF(AH243=1,AB243,AE243)))</f>
        <v/>
      </c>
      <c r="AS243" s="67" t="str">
        <f aca="false">IF(ISBLANK($C243),"",IF($Z243&lt;&gt;Constants!$B$7,"",IF(AH243=1,AC243,AF243)))</f>
        <v/>
      </c>
      <c r="AT243" s="68" t="str">
        <f aca="false">IF(ISBLANK($C243),"",IF($Z243&lt;&gt;Constants!$B$7,$Z243,AJ243))</f>
        <v/>
      </c>
      <c r="AU243" s="69" t="str">
        <f aca="false">IF(ISBLANK($C243),"",IF($Z243&lt;&gt;Constants!$B$7,$Z243,AA243))</f>
        <v/>
      </c>
      <c r="AV243" s="70" t="str">
        <f aca="false">IF(ISBLANK($C243),"",AO243)</f>
        <v/>
      </c>
      <c r="AW243" s="70" t="str">
        <f aca="false">IF(ISBLANK($C243),"",AN243)</f>
        <v/>
      </c>
      <c r="AX243" s="71" t="str">
        <f aca="false">IF(ISBLANK($C243),"",IFERROR(_xlfn.SWITCH(AW243,Constants!$B$4,COUNTA($C$8:$C$507)+2,Constants!$B$5,COUNTA($C$8:$C$507)+1,Constants!$B$6,COUNTA($C$8:$C$507)),AW243))</f>
        <v/>
      </c>
      <c r="AY243" s="5"/>
      <c r="AZ243" s="72" t="n">
        <f aca="false">IF(OR(ISNUMBER(AW243),AW243=Constants!$B$4,AW243=Constants!$B$6,AW243=Constants!$B$5),1,0)</f>
        <v>0</v>
      </c>
      <c r="BA243" s="72" t="n">
        <v>236</v>
      </c>
      <c r="BB243" s="72" t="str">
        <f aca="false">IF(ISBLANK($C243),"",IF(ISNUMBER(AX243),AX243+ROW($B243)/1000,""))</f>
        <v/>
      </c>
      <c r="BC243" s="72" t="str">
        <f aca="false">IF(ISNUMBER(BB243),RANK(BB243,$BB$8:$BB$507,1),"")</f>
        <v/>
      </c>
      <c r="BD243" s="72" t="str">
        <f aca="false">IF(ISBLANK($C243),"",$B243)</f>
        <v/>
      </c>
      <c r="BE243" s="72" t="str">
        <f aca="false">IF(ISBLANK($C243),"",$C243)</f>
        <v/>
      </c>
      <c r="BF243" s="72" t="str">
        <f aca="false">IF(ISBLANK($C243),"",$D243)</f>
        <v/>
      </c>
      <c r="BG243" s="73" t="str">
        <f aca="false">AU243</f>
        <v/>
      </c>
      <c r="BH243" s="74" t="str">
        <f aca="false">AT243</f>
        <v/>
      </c>
      <c r="BI243" s="72" t="str">
        <f aca="false">IF(ISBLANK($C243),"",AW243)</f>
        <v/>
      </c>
      <c r="BJ243" s="75" t="str">
        <f aca="false">IF($BA243&gt;$AZ$7,"",VLOOKUP($BA243,$BC$8:$BI$507,7,FALSE()))</f>
        <v/>
      </c>
      <c r="BK243" s="76" t="str">
        <f aca="false">IF($BA243&gt;$AZ$7,"",VLOOKUP($BA243,$BC$8:$BI$507,2,FALSE()))</f>
        <v/>
      </c>
      <c r="BL243" s="76" t="str">
        <f aca="false">IF($BA243&gt;$AZ$7,"",VLOOKUP($BA243,$BC$8:$BI$507,3,FALSE()))</f>
        <v/>
      </c>
      <c r="BM243" s="76" t="str">
        <f aca="false">IF($BA243&gt;$AZ$7,"",VLOOKUP($BA243,$BC$8:$BI$507,4,FALSE()))</f>
        <v/>
      </c>
      <c r="BN243" s="76" t="str">
        <f aca="false">IF($BA243&gt;$AZ$7,"",VLOOKUP($BA243,$BC$8:$BI$507,5,FALSE()))</f>
        <v/>
      </c>
      <c r="BO243" s="77" t="str">
        <f aca="false">IF($BA243&gt;$AZ$7,"",VLOOKUP($BA243,$BC$8:$BI$507,6,FALSE()))</f>
        <v/>
      </c>
      <c r="BP243" s="52"/>
    </row>
    <row r="244" customFormat="false" ht="15.75" hidden="false" customHeight="false" outlineLevel="0" collapsed="false">
      <c r="A244" s="5"/>
      <c r="B244" s="118"/>
      <c r="C244" s="54"/>
      <c r="D244" s="55"/>
      <c r="E244" s="79"/>
      <c r="F244" s="57"/>
      <c r="G244" s="58"/>
      <c r="H244" s="58"/>
      <c r="I244" s="57"/>
      <c r="J244" s="58"/>
      <c r="K244" s="58"/>
      <c r="L244" s="57"/>
      <c r="M244" s="79"/>
      <c r="N244" s="60"/>
      <c r="O244" s="62" t="str">
        <f aca="false">IF(ISBLANK($C244),"",IF(E244=Constants!$B$2, TRUE(), IF(E244=Constants!$B$3, FALSE(), TRUE())))</f>
        <v/>
      </c>
      <c r="P244" s="62" t="str">
        <f aca="false">IF(ISBLANK($C244),"",IF(F244=Constants!$B$16,Constants!$B$9,IF(F244=Constants!$B$17,Constants!$B$10,Constants!$B$8)))</f>
        <v/>
      </c>
      <c r="Q244" s="62" t="str">
        <f aca="false">IF(ISBLANK($C244),"",IF(ISNUMBER(G244),IF(G244&gt;=0,G244,""),""))</f>
        <v/>
      </c>
      <c r="R244" s="62" t="str">
        <f aca="false">IF(ISBLANK($C244),"",IF(H244=Constants!$B$2, TRUE(), IF(H244=Constants!$B$3, FALSE(), TRUE())))</f>
        <v/>
      </c>
      <c r="S244" s="62" t="str">
        <f aca="false">IF(ISBLANK($C244),"",IF(I244=Constants!$B$2, TRUE(), IF(I244=Constants!$B$3, FALSE(), TRUE())))</f>
        <v/>
      </c>
      <c r="T244" s="62" t="str">
        <f aca="false">IF(ISBLANK($C244),"",IF(ISNUMBER(J244),IF(J244&gt;=0,J244,""),""))</f>
        <v/>
      </c>
      <c r="U244" s="62" t="str">
        <f aca="false">IF(ISBLANK($C244),"",IF(K244=Constants!$B$2, TRUE(), IF(K244=Constants!$B$3, FALSE(), TRUE())))</f>
        <v/>
      </c>
      <c r="V244" s="62" t="str">
        <f aca="false">IF(ISBLANK($C244),"",IF(L244=Constants!$B$2, TRUE(), IF(L244=Constants!$B$3, FALSE(), TRUE())))</f>
        <v/>
      </c>
      <c r="W244" s="62" t="str">
        <f aca="false">IF(ISBLANK($C244),"",IF(M244=Constants!$B$2, TRUE(), IF(M244=Constants!$B$3, FALSE(), FALSE())))</f>
        <v/>
      </c>
      <c r="X244" s="62" t="str">
        <f aca="false">IF(ISBLANK($C244),"",AND(Q244&lt;&gt;"",O244))</f>
        <v/>
      </c>
      <c r="Y244" s="62" t="str">
        <f aca="false">IF(ISBLANK($C244),"",AND(T244&lt;&gt;"",O244))</f>
        <v/>
      </c>
      <c r="Z244" s="62" t="str">
        <f aca="false">IF(ISBLANK($C244),"",IF(W244,Constants!$B$4,IF(COUNTA(E244:L244)=0,Constants!$B$5,IF(NOT(O244),Constants!$B$6,IF(AND(NOT(X244),NOT(Y244)),Constants!$B$6,Constants!$B$7)))))</f>
        <v/>
      </c>
      <c r="AA244" s="62" t="str">
        <f aca="false">IF(ISBLANK($C244),"",IF($Z244&lt;&gt;Constants!$B$7,$Z244,Constants!$B$20))</f>
        <v/>
      </c>
      <c r="AB244" s="62" t="str">
        <f aca="false">IF($Z244=Constants!$B$7,IF(X244,Q244,Constants!$B$13),"")</f>
        <v/>
      </c>
      <c r="AC244" s="62" t="str">
        <f aca="false">IF($Z244=Constants!$B$7,IF(X244,P244*IF(R244, 1, Constants!$B$11)*IF(S244, 1, Constants!$B$12),Constants!$B$13),"")</f>
        <v/>
      </c>
      <c r="AD244" s="62" t="str">
        <f aca="false">IF($Z244=Constants!$B$7,AB244*AC244,"")</f>
        <v/>
      </c>
      <c r="AE244" s="62" t="str">
        <f aca="false">IF($Z244=Constants!$B$7,IF(Y244,T244,Constants!$B$13),"")</f>
        <v/>
      </c>
      <c r="AF244" s="62" t="str">
        <f aca="false">IF($Z244=Constants!$B$7,IF(Y244,P244*IF(U244, 1, Constants!$B$11)*IF(V244, 1, Constants!$B$12),Constants!$B$13),"")</f>
        <v/>
      </c>
      <c r="AG244" s="62" t="str">
        <f aca="false">IF($Z244=Constants!$B$7,AE244*AF244,"")</f>
        <v/>
      </c>
      <c r="AH244" s="62" t="str">
        <f aca="false">IF($Z244=Constants!$B$7,IF(AG244&gt;AD244,2,1),"")</f>
        <v/>
      </c>
      <c r="AI244" s="62" t="str">
        <f aca="false">IF($Z244=Constants!$B$7,IF(AH244=1,2,1),"")</f>
        <v/>
      </c>
      <c r="AJ244" s="62" t="str">
        <f aca="false">IF(ISBLANK($C244),"",IF($Z244&lt;&gt;Constants!$B$7,$Z244,IF(AH244=1,AD244,AG244)))</f>
        <v/>
      </c>
      <c r="AK244" s="62" t="str">
        <f aca="false">IF(ISBLANK($C244),"",IF($Z244=Constants!$B$7,IF(ISNUMBER(AJ244),RANK(AJ244,$AJ$8:$AJ$507),Constants!$B$14),$Z244))</f>
        <v/>
      </c>
      <c r="AL244" s="62" t="str">
        <f aca="false">IF(ISBLANK($C244),"",IF($Z244=Constants!$B$7,IF(AI244=1,AD244,AG244),""))</f>
        <v/>
      </c>
      <c r="AM244" s="62" t="str">
        <f aca="false">IF(ISBLANK($C244),"",IF($Z244=Constants!$B$7,RANK(AL244,$AL$8:$AL$507),$Z244))</f>
        <v/>
      </c>
      <c r="AN244" s="62" t="str">
        <f aca="false">IF(ISBLANK($C244),"",IF($Z244=Constants!$B$7,IF(ISNUMBER(AK244),COUNTIFS($AK$8:$AK$507,"&lt;"&amp;$AK244)+COUNTIFS($AK$8:$AK$507,$AK244,$AM$8:$AM$507,"&lt;"&amp;$AM244)+1,Constants!$B$14),$Z244))</f>
        <v/>
      </c>
      <c r="AO244" s="62" t="str">
        <f aca="false">IF(ISBLANK($C244),"",IF($Z244=Constants!$B$7,IF(ISNUMBER(AK244),AK244-AN244,Constants!$B$14),$Z244))</f>
        <v/>
      </c>
      <c r="AP244" s="64"/>
      <c r="AQ244" s="65" t="str">
        <f aca="false">IF(ISBLANK($C244),"",IF($Z244&lt;&gt;Constants!$B$7,"",AH244))</f>
        <v/>
      </c>
      <c r="AR244" s="80" t="str">
        <f aca="false">IF(ISBLANK($C244),"",IF($Z244&lt;&gt;Constants!$B$7,"",IF(AH244=1,AB244,AE244)))</f>
        <v/>
      </c>
      <c r="AS244" s="67" t="str">
        <f aca="false">IF(ISBLANK($C244),"",IF($Z244&lt;&gt;Constants!$B$7,"",IF(AH244=1,AC244,AF244)))</f>
        <v/>
      </c>
      <c r="AT244" s="68" t="str">
        <f aca="false">IF(ISBLANK($C244),"",IF($Z244&lt;&gt;Constants!$B$7,$Z244,AJ244))</f>
        <v/>
      </c>
      <c r="AU244" s="69" t="str">
        <f aca="false">IF(ISBLANK($C244),"",IF($Z244&lt;&gt;Constants!$B$7,$Z244,AA244))</f>
        <v/>
      </c>
      <c r="AV244" s="70" t="str">
        <f aca="false">IF(ISBLANK($C244),"",AO244)</f>
        <v/>
      </c>
      <c r="AW244" s="70" t="str">
        <f aca="false">IF(ISBLANK($C244),"",AN244)</f>
        <v/>
      </c>
      <c r="AX244" s="71" t="str">
        <f aca="false">IF(ISBLANK($C244),"",IFERROR(_xlfn.SWITCH(AW244,Constants!$B$4,COUNTA($C$8:$C$507)+2,Constants!$B$5,COUNTA($C$8:$C$507)+1,Constants!$B$6,COUNTA($C$8:$C$507)),AW244))</f>
        <v/>
      </c>
      <c r="AY244" s="5"/>
      <c r="AZ244" s="72" t="n">
        <f aca="false">IF(OR(ISNUMBER(AW244),AW244=Constants!$B$4,AW244=Constants!$B$6,AW244=Constants!$B$5),1,0)</f>
        <v>0</v>
      </c>
      <c r="BA244" s="72" t="n">
        <v>237</v>
      </c>
      <c r="BB244" s="72" t="str">
        <f aca="false">IF(ISBLANK($C244),"",IF(ISNUMBER(AX244),AX244+ROW($B244)/1000,""))</f>
        <v/>
      </c>
      <c r="BC244" s="72" t="str">
        <f aca="false">IF(ISNUMBER(BB244),RANK(BB244,$BB$8:$BB$507,1),"")</f>
        <v/>
      </c>
      <c r="BD244" s="72" t="str">
        <f aca="false">IF(ISBLANK($C244),"",$B244)</f>
        <v/>
      </c>
      <c r="BE244" s="72" t="str">
        <f aca="false">IF(ISBLANK($C244),"",$C244)</f>
        <v/>
      </c>
      <c r="BF244" s="72" t="str">
        <f aca="false">IF(ISBLANK($C244),"",$D244)</f>
        <v/>
      </c>
      <c r="BG244" s="73" t="str">
        <f aca="false">AU244</f>
        <v/>
      </c>
      <c r="BH244" s="74" t="str">
        <f aca="false">AT244</f>
        <v/>
      </c>
      <c r="BI244" s="72" t="str">
        <f aca="false">IF(ISBLANK($C244),"",AW244)</f>
        <v/>
      </c>
      <c r="BJ244" s="75" t="str">
        <f aca="false">IF($BA244&gt;$AZ$7,"",VLOOKUP($BA244,$BC$8:$BI$507,7,FALSE()))</f>
        <v/>
      </c>
      <c r="BK244" s="76" t="str">
        <f aca="false">IF($BA244&gt;$AZ$7,"",VLOOKUP($BA244,$BC$8:$BI$507,2,FALSE()))</f>
        <v/>
      </c>
      <c r="BL244" s="76" t="str">
        <f aca="false">IF($BA244&gt;$AZ$7,"",VLOOKUP($BA244,$BC$8:$BI$507,3,FALSE()))</f>
        <v/>
      </c>
      <c r="BM244" s="76" t="str">
        <f aca="false">IF($BA244&gt;$AZ$7,"",VLOOKUP($BA244,$BC$8:$BI$507,4,FALSE()))</f>
        <v/>
      </c>
      <c r="BN244" s="76" t="str">
        <f aca="false">IF($BA244&gt;$AZ$7,"",VLOOKUP($BA244,$BC$8:$BI$507,5,FALSE()))</f>
        <v/>
      </c>
      <c r="BO244" s="77" t="str">
        <f aca="false">IF($BA244&gt;$AZ$7,"",VLOOKUP($BA244,$BC$8:$BI$507,6,FALSE()))</f>
        <v/>
      </c>
      <c r="BP244" s="52"/>
    </row>
    <row r="245" customFormat="false" ht="15.75" hidden="false" customHeight="false" outlineLevel="0" collapsed="false">
      <c r="A245" s="5"/>
      <c r="B245" s="114"/>
      <c r="C245" s="115"/>
      <c r="D245" s="106"/>
      <c r="E245" s="117"/>
      <c r="F245" s="87"/>
      <c r="G245" s="88"/>
      <c r="H245" s="88"/>
      <c r="I245" s="87"/>
      <c r="J245" s="88"/>
      <c r="K245" s="88"/>
      <c r="L245" s="87"/>
      <c r="M245" s="117"/>
      <c r="N245" s="90"/>
      <c r="O245" s="91" t="str">
        <f aca="false">IF(ISBLANK($C245),"",IF(E245=Constants!$B$2, TRUE(), IF(E245=Constants!$B$3, FALSE(), TRUE())))</f>
        <v/>
      </c>
      <c r="P245" s="91" t="str">
        <f aca="false">IF(ISBLANK($C245),"",IF(F245=Constants!$B$16,Constants!$B$9,IF(F245=Constants!$B$17,Constants!$B$10,Constants!$B$8)))</f>
        <v/>
      </c>
      <c r="Q245" s="91" t="str">
        <f aca="false">IF(ISBLANK($C245),"",IF(ISNUMBER(G245),IF(G245&gt;=0,G245,""),""))</f>
        <v/>
      </c>
      <c r="R245" s="91" t="str">
        <f aca="false">IF(ISBLANK($C245),"",IF(H245=Constants!$B$2, TRUE(), IF(H245=Constants!$B$3, FALSE(), TRUE())))</f>
        <v/>
      </c>
      <c r="S245" s="91" t="str">
        <f aca="false">IF(ISBLANK($C245),"",IF(I245=Constants!$B$2, TRUE(), IF(I245=Constants!$B$3, FALSE(), TRUE())))</f>
        <v/>
      </c>
      <c r="T245" s="91" t="str">
        <f aca="false">IF(ISBLANK($C245),"",IF(ISNUMBER(J245),IF(J245&gt;=0,J245,""),""))</f>
        <v/>
      </c>
      <c r="U245" s="91" t="str">
        <f aca="false">IF(ISBLANK($C245),"",IF(K245=Constants!$B$2, TRUE(), IF(K245=Constants!$B$3, FALSE(), TRUE())))</f>
        <v/>
      </c>
      <c r="V245" s="91" t="str">
        <f aca="false">IF(ISBLANK($C245),"",IF(L245=Constants!$B$2, TRUE(), IF(L245=Constants!$B$3, FALSE(), TRUE())))</f>
        <v/>
      </c>
      <c r="W245" s="91" t="str">
        <f aca="false">IF(ISBLANK($C245),"",IF(M245=Constants!$B$2, TRUE(), IF(M245=Constants!$B$3, FALSE(), FALSE())))</f>
        <v/>
      </c>
      <c r="X245" s="91" t="str">
        <f aca="false">IF(ISBLANK($C245),"",AND(Q245&lt;&gt;"",O245))</f>
        <v/>
      </c>
      <c r="Y245" s="91" t="str">
        <f aca="false">IF(ISBLANK($C245),"",AND(T245&lt;&gt;"",O245))</f>
        <v/>
      </c>
      <c r="Z245" s="91" t="str">
        <f aca="false">IF(ISBLANK($C245),"",IF(W245,Constants!$B$4,IF(COUNTA(E245:L245)=0,Constants!$B$5,IF(NOT(O245),Constants!$B$6,IF(AND(NOT(X245),NOT(Y245)),Constants!$B$6,Constants!$B$7)))))</f>
        <v/>
      </c>
      <c r="AA245" s="91" t="str">
        <f aca="false">IF(ISBLANK($C245),"",IF($Z245&lt;&gt;Constants!$B$7,$Z245,Constants!$B$20))</f>
        <v/>
      </c>
      <c r="AB245" s="91" t="str">
        <f aca="false">IF($Z245=Constants!$B$7,IF(X245,Q245,Constants!$B$13),"")</f>
        <v/>
      </c>
      <c r="AC245" s="91" t="str">
        <f aca="false">IF($Z245=Constants!$B$7,IF(X245,P245*IF(R245, 1, Constants!$B$11)*IF(S245, 1, Constants!$B$12),Constants!$B$13),"")</f>
        <v/>
      </c>
      <c r="AD245" s="91" t="str">
        <f aca="false">IF($Z245=Constants!$B$7,AB245*AC245,"")</f>
        <v/>
      </c>
      <c r="AE245" s="91" t="str">
        <f aca="false">IF($Z245=Constants!$B$7,IF(Y245,T245,Constants!$B$13),"")</f>
        <v/>
      </c>
      <c r="AF245" s="91" t="str">
        <f aca="false">IF($Z245=Constants!$B$7,IF(Y245,P245*IF(U245, 1, Constants!$B$11)*IF(V245, 1, Constants!$B$12),Constants!$B$13),"")</f>
        <v/>
      </c>
      <c r="AG245" s="91" t="str">
        <f aca="false">IF($Z245=Constants!$B$7,AE245*AF245,"")</f>
        <v/>
      </c>
      <c r="AH245" s="91" t="str">
        <f aca="false">IF($Z245=Constants!$B$7,IF(AG245&gt;AD245,2,1),"")</f>
        <v/>
      </c>
      <c r="AI245" s="91" t="str">
        <f aca="false">IF($Z245=Constants!$B$7,IF(AH245=1,2,1),"")</f>
        <v/>
      </c>
      <c r="AJ245" s="91" t="str">
        <f aca="false">IF(ISBLANK($C245),"",IF($Z245&lt;&gt;Constants!$B$7,$Z245,IF(AH245=1,AD245,AG245)))</f>
        <v/>
      </c>
      <c r="AK245" s="91" t="str">
        <f aca="false">IF(ISBLANK($C245),"",IF($Z245=Constants!$B$7,IF(ISNUMBER(AJ245),RANK(AJ245,$AJ$8:$AJ$507),Constants!$B$14),$Z245))</f>
        <v/>
      </c>
      <c r="AL245" s="91" t="str">
        <f aca="false">IF(ISBLANK($C245),"",IF($Z245=Constants!$B$7,IF(AI245=1,AD245,AG245),""))</f>
        <v/>
      </c>
      <c r="AM245" s="91" t="str">
        <f aca="false">IF(ISBLANK($C245),"",IF($Z245=Constants!$B$7,RANK(AL245,$AL$8:$AL$507),$Z245))</f>
        <v/>
      </c>
      <c r="AN245" s="91" t="str">
        <f aca="false">IF(ISBLANK($C245),"",IF($Z245=Constants!$B$7,IF(ISNUMBER(AK245),COUNTIFS($AK$8:$AK$507,"&lt;"&amp;$AK245)+COUNTIFS($AK$8:$AK$507,$AK245,$AM$8:$AM$507,"&lt;"&amp;$AM245)+1,Constants!$B$14),$Z245))</f>
        <v/>
      </c>
      <c r="AO245" s="91" t="str">
        <f aca="false">IF(ISBLANK($C245),"",IF($Z245=Constants!$B$7,IF(ISNUMBER(AK245),AK245-AN245,Constants!$B$14),$Z245))</f>
        <v/>
      </c>
      <c r="AP245" s="92"/>
      <c r="AQ245" s="93" t="str">
        <f aca="false">IF(ISBLANK($C245),"",IF($Z245&lt;&gt;Constants!$B$7,"",AH245))</f>
        <v/>
      </c>
      <c r="AR245" s="94" t="str">
        <f aca="false">IF(ISBLANK($C245),"",IF($Z245&lt;&gt;Constants!$B$7,"",IF(AH245=1,AB245,AE245)))</f>
        <v/>
      </c>
      <c r="AS245" s="95" t="str">
        <f aca="false">IF(ISBLANK($C245),"",IF($Z245&lt;&gt;Constants!$B$7,"",IF(AH245=1,AC245,AF245)))</f>
        <v/>
      </c>
      <c r="AT245" s="96" t="str">
        <f aca="false">IF(ISBLANK($C245),"",IF($Z245&lt;&gt;Constants!$B$7,$Z245,AJ245))</f>
        <v/>
      </c>
      <c r="AU245" s="97" t="str">
        <f aca="false">IF(ISBLANK($C245),"",IF($Z245&lt;&gt;Constants!$B$7,$Z245,AA245))</f>
        <v/>
      </c>
      <c r="AV245" s="98" t="str">
        <f aca="false">IF(ISBLANK($C245),"",AO245)</f>
        <v/>
      </c>
      <c r="AW245" s="98" t="str">
        <f aca="false">IF(ISBLANK($C245),"",AN245)</f>
        <v/>
      </c>
      <c r="AX245" s="99" t="str">
        <f aca="false">IF(ISBLANK($C245),"",IFERROR(_xlfn.SWITCH(AW245,Constants!$B$4,COUNTA($C$8:$C$507)+2,Constants!$B$5,COUNTA($C$8:$C$507)+1,Constants!$B$6,COUNTA($C$8:$C$507)),AW245))</f>
        <v/>
      </c>
      <c r="AY245" s="5"/>
      <c r="AZ245" s="100" t="n">
        <f aca="false">IF(OR(ISNUMBER(AW245),AW245=Constants!$B$4,AW245=Constants!$B$6,AW245=Constants!$B$5),1,0)</f>
        <v>0</v>
      </c>
      <c r="BA245" s="100" t="n">
        <v>238</v>
      </c>
      <c r="BB245" s="100" t="str">
        <f aca="false">IF(ISBLANK($C245),"",IF(ISNUMBER(AX245),AX245+ROW($B245)/1000,""))</f>
        <v/>
      </c>
      <c r="BC245" s="100" t="str">
        <f aca="false">IF(ISNUMBER(BB245),RANK(BB245,$BB$8:$BB$507,1),"")</f>
        <v/>
      </c>
      <c r="BD245" s="100" t="str">
        <f aca="false">IF(ISBLANK($C245),"",$B245)</f>
        <v/>
      </c>
      <c r="BE245" s="100" t="str">
        <f aca="false">IF(ISBLANK($C245),"",$C245)</f>
        <v/>
      </c>
      <c r="BF245" s="100" t="str">
        <f aca="false">IF(ISBLANK($C245),"",$D245)</f>
        <v/>
      </c>
      <c r="BG245" s="101" t="str">
        <f aca="false">AU245</f>
        <v/>
      </c>
      <c r="BH245" s="102" t="str">
        <f aca="false">AT245</f>
        <v/>
      </c>
      <c r="BI245" s="100" t="str">
        <f aca="false">IF(ISBLANK($C245),"",AW245)</f>
        <v/>
      </c>
      <c r="BJ245" s="103" t="str">
        <f aca="false">IF($BA245&gt;$AZ$7,"",VLOOKUP($BA245,$BC$8:$BI$507,7,FALSE()))</f>
        <v/>
      </c>
      <c r="BK245" s="104" t="str">
        <f aca="false">IF($BA245&gt;$AZ$7,"",VLOOKUP($BA245,$BC$8:$BI$507,2,FALSE()))</f>
        <v/>
      </c>
      <c r="BL245" s="104" t="str">
        <f aca="false">IF($BA245&gt;$AZ$7,"",VLOOKUP($BA245,$BC$8:$BI$507,3,FALSE()))</f>
        <v/>
      </c>
      <c r="BM245" s="104" t="str">
        <f aca="false">IF($BA245&gt;$AZ$7,"",VLOOKUP($BA245,$BC$8:$BI$507,4,FALSE()))</f>
        <v/>
      </c>
      <c r="BN245" s="104" t="str">
        <f aca="false">IF($BA245&gt;$AZ$7,"",VLOOKUP($BA245,$BC$8:$BI$507,5,FALSE()))</f>
        <v/>
      </c>
      <c r="BO245" s="105" t="str">
        <f aca="false">IF($BA245&gt;$AZ$7,"",VLOOKUP($BA245,$BC$8:$BI$507,6,FALSE()))</f>
        <v/>
      </c>
      <c r="BP245" s="52"/>
    </row>
    <row r="246" customFormat="false" ht="15.75" hidden="false" customHeight="false" outlineLevel="0" collapsed="false">
      <c r="A246" s="5"/>
      <c r="B246" s="114"/>
      <c r="C246" s="115"/>
      <c r="D246" s="106"/>
      <c r="E246" s="117"/>
      <c r="F246" s="87"/>
      <c r="G246" s="88"/>
      <c r="H246" s="88"/>
      <c r="I246" s="87"/>
      <c r="J246" s="88"/>
      <c r="K246" s="88"/>
      <c r="L246" s="87"/>
      <c r="M246" s="117"/>
      <c r="N246" s="90"/>
      <c r="O246" s="91" t="str">
        <f aca="false">IF(ISBLANK($C246),"",IF(E246=Constants!$B$2, TRUE(), IF(E246=Constants!$B$3, FALSE(), TRUE())))</f>
        <v/>
      </c>
      <c r="P246" s="91" t="str">
        <f aca="false">IF(ISBLANK($C246),"",IF(F246=Constants!$B$16,Constants!$B$9,IF(F246=Constants!$B$17,Constants!$B$10,Constants!$B$8)))</f>
        <v/>
      </c>
      <c r="Q246" s="91" t="str">
        <f aca="false">IF(ISBLANK($C246),"",IF(ISNUMBER(G246),IF(G246&gt;=0,G246,""),""))</f>
        <v/>
      </c>
      <c r="R246" s="91" t="str">
        <f aca="false">IF(ISBLANK($C246),"",IF(H246=Constants!$B$2, TRUE(), IF(H246=Constants!$B$3, FALSE(), TRUE())))</f>
        <v/>
      </c>
      <c r="S246" s="91" t="str">
        <f aca="false">IF(ISBLANK($C246),"",IF(I246=Constants!$B$2, TRUE(), IF(I246=Constants!$B$3, FALSE(), TRUE())))</f>
        <v/>
      </c>
      <c r="T246" s="91" t="str">
        <f aca="false">IF(ISBLANK($C246),"",IF(ISNUMBER(J246),IF(J246&gt;=0,J246,""),""))</f>
        <v/>
      </c>
      <c r="U246" s="91" t="str">
        <f aca="false">IF(ISBLANK($C246),"",IF(K246=Constants!$B$2, TRUE(), IF(K246=Constants!$B$3, FALSE(), TRUE())))</f>
        <v/>
      </c>
      <c r="V246" s="91" t="str">
        <f aca="false">IF(ISBLANK($C246),"",IF(L246=Constants!$B$2, TRUE(), IF(L246=Constants!$B$3, FALSE(), TRUE())))</f>
        <v/>
      </c>
      <c r="W246" s="91" t="str">
        <f aca="false">IF(ISBLANK($C246),"",IF(M246=Constants!$B$2, TRUE(), IF(M246=Constants!$B$3, FALSE(), FALSE())))</f>
        <v/>
      </c>
      <c r="X246" s="91" t="str">
        <f aca="false">IF(ISBLANK($C246),"",AND(Q246&lt;&gt;"",O246))</f>
        <v/>
      </c>
      <c r="Y246" s="91" t="str">
        <f aca="false">IF(ISBLANK($C246),"",AND(T246&lt;&gt;"",O246))</f>
        <v/>
      </c>
      <c r="Z246" s="91" t="str">
        <f aca="false">IF(ISBLANK($C246),"",IF(W246,Constants!$B$4,IF(COUNTA(E246:L246)=0,Constants!$B$5,IF(NOT(O246),Constants!$B$6,IF(AND(NOT(X246),NOT(Y246)),Constants!$B$6,Constants!$B$7)))))</f>
        <v/>
      </c>
      <c r="AA246" s="91" t="str">
        <f aca="false">IF(ISBLANK($C246),"",IF($Z246&lt;&gt;Constants!$B$7,$Z246,Constants!$B$20))</f>
        <v/>
      </c>
      <c r="AB246" s="91" t="str">
        <f aca="false">IF($Z246=Constants!$B$7,IF(X246,Q246,Constants!$B$13),"")</f>
        <v/>
      </c>
      <c r="AC246" s="91" t="str">
        <f aca="false">IF($Z246=Constants!$B$7,IF(X246,P246*IF(R246, 1, Constants!$B$11)*IF(S246, 1, Constants!$B$12),Constants!$B$13),"")</f>
        <v/>
      </c>
      <c r="AD246" s="91" t="str">
        <f aca="false">IF($Z246=Constants!$B$7,AB246*AC246,"")</f>
        <v/>
      </c>
      <c r="AE246" s="91" t="str">
        <f aca="false">IF($Z246=Constants!$B$7,IF(Y246,T246,Constants!$B$13),"")</f>
        <v/>
      </c>
      <c r="AF246" s="91" t="str">
        <f aca="false">IF($Z246=Constants!$B$7,IF(Y246,P246*IF(U246, 1, Constants!$B$11)*IF(V246, 1, Constants!$B$12),Constants!$B$13),"")</f>
        <v/>
      </c>
      <c r="AG246" s="91" t="str">
        <f aca="false">IF($Z246=Constants!$B$7,AE246*AF246,"")</f>
        <v/>
      </c>
      <c r="AH246" s="91" t="str">
        <f aca="false">IF($Z246=Constants!$B$7,IF(AG246&gt;AD246,2,1),"")</f>
        <v/>
      </c>
      <c r="AI246" s="91" t="str">
        <f aca="false">IF($Z246=Constants!$B$7,IF(AH246=1,2,1),"")</f>
        <v/>
      </c>
      <c r="AJ246" s="91" t="str">
        <f aca="false">IF(ISBLANK($C246),"",IF($Z246&lt;&gt;Constants!$B$7,$Z246,IF(AH246=1,AD246,AG246)))</f>
        <v/>
      </c>
      <c r="AK246" s="91" t="str">
        <f aca="false">IF(ISBLANK($C246),"",IF($Z246=Constants!$B$7,IF(ISNUMBER(AJ246),RANK(AJ246,$AJ$8:$AJ$507),Constants!$B$14),$Z246))</f>
        <v/>
      </c>
      <c r="AL246" s="91" t="str">
        <f aca="false">IF(ISBLANK($C246),"",IF($Z246=Constants!$B$7,IF(AI246=1,AD246,AG246),""))</f>
        <v/>
      </c>
      <c r="AM246" s="91" t="str">
        <f aca="false">IF(ISBLANK($C246),"",IF($Z246=Constants!$B$7,RANK(AL246,$AL$8:$AL$507),$Z246))</f>
        <v/>
      </c>
      <c r="AN246" s="91" t="str">
        <f aca="false">IF(ISBLANK($C246),"",IF($Z246=Constants!$B$7,IF(ISNUMBER(AK246),COUNTIFS($AK$8:$AK$507,"&lt;"&amp;$AK246)+COUNTIFS($AK$8:$AK$507,$AK246,$AM$8:$AM$507,"&lt;"&amp;$AM246)+1,Constants!$B$14),$Z246))</f>
        <v/>
      </c>
      <c r="AO246" s="91" t="str">
        <f aca="false">IF(ISBLANK($C246),"",IF($Z246=Constants!$B$7,IF(ISNUMBER(AK246),AK246-AN246,Constants!$B$14),$Z246))</f>
        <v/>
      </c>
      <c r="AP246" s="92"/>
      <c r="AQ246" s="93" t="str">
        <f aca="false">IF(ISBLANK($C246),"",IF($Z246&lt;&gt;Constants!$B$7,"",AH246))</f>
        <v/>
      </c>
      <c r="AR246" s="94" t="str">
        <f aca="false">IF(ISBLANK($C246),"",IF($Z246&lt;&gt;Constants!$B$7,"",IF(AH246=1,AB246,AE246)))</f>
        <v/>
      </c>
      <c r="AS246" s="95" t="str">
        <f aca="false">IF(ISBLANK($C246),"",IF($Z246&lt;&gt;Constants!$B$7,"",IF(AH246=1,AC246,AF246)))</f>
        <v/>
      </c>
      <c r="AT246" s="96" t="str">
        <f aca="false">IF(ISBLANK($C246),"",IF($Z246&lt;&gt;Constants!$B$7,$Z246,AJ246))</f>
        <v/>
      </c>
      <c r="AU246" s="97" t="str">
        <f aca="false">IF(ISBLANK($C246),"",IF($Z246&lt;&gt;Constants!$B$7,$Z246,AA246))</f>
        <v/>
      </c>
      <c r="AV246" s="98" t="str">
        <f aca="false">IF(ISBLANK($C246),"",AO246)</f>
        <v/>
      </c>
      <c r="AW246" s="98" t="str">
        <f aca="false">IF(ISBLANK($C246),"",AN246)</f>
        <v/>
      </c>
      <c r="AX246" s="99" t="str">
        <f aca="false">IF(ISBLANK($C246),"",IFERROR(_xlfn.SWITCH(AW246,Constants!$B$4,COUNTA($C$8:$C$507)+2,Constants!$B$5,COUNTA($C$8:$C$507)+1,Constants!$B$6,COUNTA($C$8:$C$507)),AW246))</f>
        <v/>
      </c>
      <c r="AY246" s="5"/>
      <c r="AZ246" s="100" t="n">
        <f aca="false">IF(OR(ISNUMBER(AW246),AW246=Constants!$B$4,AW246=Constants!$B$6,AW246=Constants!$B$5),1,0)</f>
        <v>0</v>
      </c>
      <c r="BA246" s="100" t="n">
        <v>239</v>
      </c>
      <c r="BB246" s="100" t="str">
        <f aca="false">IF(ISBLANK($C246),"",IF(ISNUMBER(AX246),AX246+ROW($B246)/1000,""))</f>
        <v/>
      </c>
      <c r="BC246" s="100" t="str">
        <f aca="false">IF(ISNUMBER(BB246),RANK(BB246,$BB$8:$BB$507,1),"")</f>
        <v/>
      </c>
      <c r="BD246" s="100" t="str">
        <f aca="false">IF(ISBLANK($C246),"",$B246)</f>
        <v/>
      </c>
      <c r="BE246" s="100" t="str">
        <f aca="false">IF(ISBLANK($C246),"",$C246)</f>
        <v/>
      </c>
      <c r="BF246" s="100" t="str">
        <f aca="false">IF(ISBLANK($C246),"",$D246)</f>
        <v/>
      </c>
      <c r="BG246" s="101" t="str">
        <f aca="false">AU246</f>
        <v/>
      </c>
      <c r="BH246" s="102" t="str">
        <f aca="false">AT246</f>
        <v/>
      </c>
      <c r="BI246" s="100" t="str">
        <f aca="false">IF(ISBLANK($C246),"",AW246)</f>
        <v/>
      </c>
      <c r="BJ246" s="103" t="str">
        <f aca="false">IF($BA246&gt;$AZ$7,"",VLOOKUP($BA246,$BC$8:$BI$507,7,FALSE()))</f>
        <v/>
      </c>
      <c r="BK246" s="104" t="str">
        <f aca="false">IF($BA246&gt;$AZ$7,"",VLOOKUP($BA246,$BC$8:$BI$507,2,FALSE()))</f>
        <v/>
      </c>
      <c r="BL246" s="104" t="str">
        <f aca="false">IF($BA246&gt;$AZ$7,"",VLOOKUP($BA246,$BC$8:$BI$507,3,FALSE()))</f>
        <v/>
      </c>
      <c r="BM246" s="104" t="str">
        <f aca="false">IF($BA246&gt;$AZ$7,"",VLOOKUP($BA246,$BC$8:$BI$507,4,FALSE()))</f>
        <v/>
      </c>
      <c r="BN246" s="104" t="str">
        <f aca="false">IF($BA246&gt;$AZ$7,"",VLOOKUP($BA246,$BC$8:$BI$507,5,FALSE()))</f>
        <v/>
      </c>
      <c r="BO246" s="105" t="str">
        <f aca="false">IF($BA246&gt;$AZ$7,"",VLOOKUP($BA246,$BC$8:$BI$507,6,FALSE()))</f>
        <v/>
      </c>
      <c r="BP246" s="52"/>
    </row>
    <row r="247" customFormat="false" ht="15.75" hidden="false" customHeight="false" outlineLevel="0" collapsed="false">
      <c r="A247" s="5"/>
      <c r="B247" s="114"/>
      <c r="C247" s="115"/>
      <c r="D247" s="106"/>
      <c r="E247" s="117"/>
      <c r="F247" s="87"/>
      <c r="G247" s="88"/>
      <c r="H247" s="88"/>
      <c r="I247" s="87"/>
      <c r="J247" s="88"/>
      <c r="K247" s="88"/>
      <c r="L247" s="87"/>
      <c r="M247" s="117"/>
      <c r="N247" s="90"/>
      <c r="O247" s="91" t="str">
        <f aca="false">IF(ISBLANK($C247),"",IF(E247=Constants!$B$2, TRUE(), IF(E247=Constants!$B$3, FALSE(), TRUE())))</f>
        <v/>
      </c>
      <c r="P247" s="91" t="str">
        <f aca="false">IF(ISBLANK($C247),"",IF(F247=Constants!$B$16,Constants!$B$9,IF(F247=Constants!$B$17,Constants!$B$10,Constants!$B$8)))</f>
        <v/>
      </c>
      <c r="Q247" s="91" t="str">
        <f aca="false">IF(ISBLANK($C247),"",IF(ISNUMBER(G247),IF(G247&gt;=0,G247,""),""))</f>
        <v/>
      </c>
      <c r="R247" s="91" t="str">
        <f aca="false">IF(ISBLANK($C247),"",IF(H247=Constants!$B$2, TRUE(), IF(H247=Constants!$B$3, FALSE(), TRUE())))</f>
        <v/>
      </c>
      <c r="S247" s="91" t="str">
        <f aca="false">IF(ISBLANK($C247),"",IF(I247=Constants!$B$2, TRUE(), IF(I247=Constants!$B$3, FALSE(), TRUE())))</f>
        <v/>
      </c>
      <c r="T247" s="91" t="str">
        <f aca="false">IF(ISBLANK($C247),"",IF(ISNUMBER(J247),IF(J247&gt;=0,J247,""),""))</f>
        <v/>
      </c>
      <c r="U247" s="91" t="str">
        <f aca="false">IF(ISBLANK($C247),"",IF(K247=Constants!$B$2, TRUE(), IF(K247=Constants!$B$3, FALSE(), TRUE())))</f>
        <v/>
      </c>
      <c r="V247" s="91" t="str">
        <f aca="false">IF(ISBLANK($C247),"",IF(L247=Constants!$B$2, TRUE(), IF(L247=Constants!$B$3, FALSE(), TRUE())))</f>
        <v/>
      </c>
      <c r="W247" s="91" t="str">
        <f aca="false">IF(ISBLANK($C247),"",IF(M247=Constants!$B$2, TRUE(), IF(M247=Constants!$B$3, FALSE(), FALSE())))</f>
        <v/>
      </c>
      <c r="X247" s="91" t="str">
        <f aca="false">IF(ISBLANK($C247),"",AND(Q247&lt;&gt;"",O247))</f>
        <v/>
      </c>
      <c r="Y247" s="91" t="str">
        <f aca="false">IF(ISBLANK($C247),"",AND(T247&lt;&gt;"",O247))</f>
        <v/>
      </c>
      <c r="Z247" s="91" t="str">
        <f aca="false">IF(ISBLANK($C247),"",IF(W247,Constants!$B$4,IF(COUNTA(E247:L247)=0,Constants!$B$5,IF(NOT(O247),Constants!$B$6,IF(AND(NOT(X247),NOT(Y247)),Constants!$B$6,Constants!$B$7)))))</f>
        <v/>
      </c>
      <c r="AA247" s="91" t="str">
        <f aca="false">IF(ISBLANK($C247),"",IF($Z247&lt;&gt;Constants!$B$7,$Z247,Constants!$B$20))</f>
        <v/>
      </c>
      <c r="AB247" s="91" t="str">
        <f aca="false">IF($Z247=Constants!$B$7,IF(X247,Q247,Constants!$B$13),"")</f>
        <v/>
      </c>
      <c r="AC247" s="91" t="str">
        <f aca="false">IF($Z247=Constants!$B$7,IF(X247,P247*IF(R247, 1, Constants!$B$11)*IF(S247, 1, Constants!$B$12),Constants!$B$13),"")</f>
        <v/>
      </c>
      <c r="AD247" s="91" t="str">
        <f aca="false">IF($Z247=Constants!$B$7,AB247*AC247,"")</f>
        <v/>
      </c>
      <c r="AE247" s="91" t="str">
        <f aca="false">IF($Z247=Constants!$B$7,IF(Y247,T247,Constants!$B$13),"")</f>
        <v/>
      </c>
      <c r="AF247" s="91" t="str">
        <f aca="false">IF($Z247=Constants!$B$7,IF(Y247,P247*IF(U247, 1, Constants!$B$11)*IF(V247, 1, Constants!$B$12),Constants!$B$13),"")</f>
        <v/>
      </c>
      <c r="AG247" s="91" t="str">
        <f aca="false">IF($Z247=Constants!$B$7,AE247*AF247,"")</f>
        <v/>
      </c>
      <c r="AH247" s="91" t="str">
        <f aca="false">IF($Z247=Constants!$B$7,IF(AG247&gt;AD247,2,1),"")</f>
        <v/>
      </c>
      <c r="AI247" s="91" t="str">
        <f aca="false">IF($Z247=Constants!$B$7,IF(AH247=1,2,1),"")</f>
        <v/>
      </c>
      <c r="AJ247" s="91" t="str">
        <f aca="false">IF(ISBLANK($C247),"",IF($Z247&lt;&gt;Constants!$B$7,$Z247,IF(AH247=1,AD247,AG247)))</f>
        <v/>
      </c>
      <c r="AK247" s="91" t="str">
        <f aca="false">IF(ISBLANK($C247),"",IF($Z247=Constants!$B$7,IF(ISNUMBER(AJ247),RANK(AJ247,$AJ$8:$AJ$507),Constants!$B$14),$Z247))</f>
        <v/>
      </c>
      <c r="AL247" s="91" t="str">
        <f aca="false">IF(ISBLANK($C247),"",IF($Z247=Constants!$B$7,IF(AI247=1,AD247,AG247),""))</f>
        <v/>
      </c>
      <c r="AM247" s="91" t="str">
        <f aca="false">IF(ISBLANK($C247),"",IF($Z247=Constants!$B$7,RANK(AL247,$AL$8:$AL$507),$Z247))</f>
        <v/>
      </c>
      <c r="AN247" s="91" t="str">
        <f aca="false">IF(ISBLANK($C247),"",IF($Z247=Constants!$B$7,IF(ISNUMBER(AK247),COUNTIFS($AK$8:$AK$507,"&lt;"&amp;$AK247)+COUNTIFS($AK$8:$AK$507,$AK247,$AM$8:$AM$507,"&lt;"&amp;$AM247)+1,Constants!$B$14),$Z247))</f>
        <v/>
      </c>
      <c r="AO247" s="91" t="str">
        <f aca="false">IF(ISBLANK($C247),"",IF($Z247=Constants!$B$7,IF(ISNUMBER(AK247),AK247-AN247,Constants!$B$14),$Z247))</f>
        <v/>
      </c>
      <c r="AP247" s="92"/>
      <c r="AQ247" s="93" t="str">
        <f aca="false">IF(ISBLANK($C247),"",IF($Z247&lt;&gt;Constants!$B$7,"",AH247))</f>
        <v/>
      </c>
      <c r="AR247" s="94" t="str">
        <f aca="false">IF(ISBLANK($C247),"",IF($Z247&lt;&gt;Constants!$B$7,"",IF(AH247=1,AB247,AE247)))</f>
        <v/>
      </c>
      <c r="AS247" s="95" t="str">
        <f aca="false">IF(ISBLANK($C247),"",IF($Z247&lt;&gt;Constants!$B$7,"",IF(AH247=1,AC247,AF247)))</f>
        <v/>
      </c>
      <c r="AT247" s="96" t="str">
        <f aca="false">IF(ISBLANK($C247),"",IF($Z247&lt;&gt;Constants!$B$7,$Z247,AJ247))</f>
        <v/>
      </c>
      <c r="AU247" s="97" t="str">
        <f aca="false">IF(ISBLANK($C247),"",IF($Z247&lt;&gt;Constants!$B$7,$Z247,AA247))</f>
        <v/>
      </c>
      <c r="AV247" s="98" t="str">
        <f aca="false">IF(ISBLANK($C247),"",AO247)</f>
        <v/>
      </c>
      <c r="AW247" s="98" t="str">
        <f aca="false">IF(ISBLANK($C247),"",AN247)</f>
        <v/>
      </c>
      <c r="AX247" s="99" t="str">
        <f aca="false">IF(ISBLANK($C247),"",IFERROR(_xlfn.SWITCH(AW247,Constants!$B$4,COUNTA($C$8:$C$507)+2,Constants!$B$5,COUNTA($C$8:$C$507)+1,Constants!$B$6,COUNTA($C$8:$C$507)),AW247))</f>
        <v/>
      </c>
      <c r="AY247" s="5"/>
      <c r="AZ247" s="100" t="n">
        <f aca="false">IF(OR(ISNUMBER(AW247),AW247=Constants!$B$4,AW247=Constants!$B$6,AW247=Constants!$B$5),1,0)</f>
        <v>0</v>
      </c>
      <c r="BA247" s="100" t="n">
        <v>240</v>
      </c>
      <c r="BB247" s="100" t="str">
        <f aca="false">IF(ISBLANK($C247),"",IF(ISNUMBER(AX247),AX247+ROW($B247)/1000,""))</f>
        <v/>
      </c>
      <c r="BC247" s="100" t="str">
        <f aca="false">IF(ISNUMBER(BB247),RANK(BB247,$BB$8:$BB$507,1),"")</f>
        <v/>
      </c>
      <c r="BD247" s="100" t="str">
        <f aca="false">IF(ISBLANK($C247),"",$B247)</f>
        <v/>
      </c>
      <c r="BE247" s="100" t="str">
        <f aca="false">IF(ISBLANK($C247),"",$C247)</f>
        <v/>
      </c>
      <c r="BF247" s="100" t="str">
        <f aca="false">IF(ISBLANK($C247),"",$D247)</f>
        <v/>
      </c>
      <c r="BG247" s="101" t="str">
        <f aca="false">AU247</f>
        <v/>
      </c>
      <c r="BH247" s="102" t="str">
        <f aca="false">AT247</f>
        <v/>
      </c>
      <c r="BI247" s="100" t="str">
        <f aca="false">IF(ISBLANK($C247),"",AW247)</f>
        <v/>
      </c>
      <c r="BJ247" s="103" t="str">
        <f aca="false">IF($BA247&gt;$AZ$7,"",VLOOKUP($BA247,$BC$8:$BI$507,7,FALSE()))</f>
        <v/>
      </c>
      <c r="BK247" s="104" t="str">
        <f aca="false">IF($BA247&gt;$AZ$7,"",VLOOKUP($BA247,$BC$8:$BI$507,2,FALSE()))</f>
        <v/>
      </c>
      <c r="BL247" s="104" t="str">
        <f aca="false">IF($BA247&gt;$AZ$7,"",VLOOKUP($BA247,$BC$8:$BI$507,3,FALSE()))</f>
        <v/>
      </c>
      <c r="BM247" s="104" t="str">
        <f aca="false">IF($BA247&gt;$AZ$7,"",VLOOKUP($BA247,$BC$8:$BI$507,4,FALSE()))</f>
        <v/>
      </c>
      <c r="BN247" s="104" t="str">
        <f aca="false">IF($BA247&gt;$AZ$7,"",VLOOKUP($BA247,$BC$8:$BI$507,5,FALSE()))</f>
        <v/>
      </c>
      <c r="BO247" s="105" t="str">
        <f aca="false">IF($BA247&gt;$AZ$7,"",VLOOKUP($BA247,$BC$8:$BI$507,6,FALSE()))</f>
        <v/>
      </c>
      <c r="BP247" s="52"/>
    </row>
    <row r="248" customFormat="false" ht="15.75" hidden="false" customHeight="false" outlineLevel="0" collapsed="false">
      <c r="A248" s="5"/>
      <c r="B248" s="118"/>
      <c r="C248" s="54"/>
      <c r="D248" s="55"/>
      <c r="E248" s="79"/>
      <c r="F248" s="57"/>
      <c r="G248" s="58"/>
      <c r="H248" s="58"/>
      <c r="I248" s="57"/>
      <c r="J248" s="58"/>
      <c r="K248" s="58"/>
      <c r="L248" s="57"/>
      <c r="M248" s="79"/>
      <c r="N248" s="60"/>
      <c r="O248" s="62" t="str">
        <f aca="false">IF(ISBLANK($C248),"",IF(E248=Constants!$B$2, TRUE(), IF(E248=Constants!$B$3, FALSE(), TRUE())))</f>
        <v/>
      </c>
      <c r="P248" s="62" t="str">
        <f aca="false">IF(ISBLANK($C248),"",IF(F248=Constants!$B$16,Constants!$B$9,IF(F248=Constants!$B$17,Constants!$B$10,Constants!$B$8)))</f>
        <v/>
      </c>
      <c r="Q248" s="62" t="str">
        <f aca="false">IF(ISBLANK($C248),"",IF(ISNUMBER(G248),IF(G248&gt;=0,G248,""),""))</f>
        <v/>
      </c>
      <c r="R248" s="62" t="str">
        <f aca="false">IF(ISBLANK($C248),"",IF(H248=Constants!$B$2, TRUE(), IF(H248=Constants!$B$3, FALSE(), TRUE())))</f>
        <v/>
      </c>
      <c r="S248" s="62" t="str">
        <f aca="false">IF(ISBLANK($C248),"",IF(I248=Constants!$B$2, TRUE(), IF(I248=Constants!$B$3, FALSE(), TRUE())))</f>
        <v/>
      </c>
      <c r="T248" s="62" t="str">
        <f aca="false">IF(ISBLANK($C248),"",IF(ISNUMBER(J248),IF(J248&gt;=0,J248,""),""))</f>
        <v/>
      </c>
      <c r="U248" s="62" t="str">
        <f aca="false">IF(ISBLANK($C248),"",IF(K248=Constants!$B$2, TRUE(), IF(K248=Constants!$B$3, FALSE(), TRUE())))</f>
        <v/>
      </c>
      <c r="V248" s="62" t="str">
        <f aca="false">IF(ISBLANK($C248),"",IF(L248=Constants!$B$2, TRUE(), IF(L248=Constants!$B$3, FALSE(), TRUE())))</f>
        <v/>
      </c>
      <c r="W248" s="62" t="str">
        <f aca="false">IF(ISBLANK($C248),"",IF(M248=Constants!$B$2, TRUE(), IF(M248=Constants!$B$3, FALSE(), FALSE())))</f>
        <v/>
      </c>
      <c r="X248" s="62" t="str">
        <f aca="false">IF(ISBLANK($C248),"",AND(Q248&lt;&gt;"",O248))</f>
        <v/>
      </c>
      <c r="Y248" s="62" t="str">
        <f aca="false">IF(ISBLANK($C248),"",AND(T248&lt;&gt;"",O248))</f>
        <v/>
      </c>
      <c r="Z248" s="62" t="str">
        <f aca="false">IF(ISBLANK($C248),"",IF(W248,Constants!$B$4,IF(COUNTA(E248:L248)=0,Constants!$B$5,IF(NOT(O248),Constants!$B$6,IF(AND(NOT(X248),NOT(Y248)),Constants!$B$6,Constants!$B$7)))))</f>
        <v/>
      </c>
      <c r="AA248" s="62" t="str">
        <f aca="false">IF(ISBLANK($C248),"",IF($Z248&lt;&gt;Constants!$B$7,$Z248,Constants!$B$20))</f>
        <v/>
      </c>
      <c r="AB248" s="62" t="str">
        <f aca="false">IF($Z248=Constants!$B$7,IF(X248,Q248,Constants!$B$13),"")</f>
        <v/>
      </c>
      <c r="AC248" s="62" t="str">
        <f aca="false">IF($Z248=Constants!$B$7,IF(X248,P248*IF(R248, 1, Constants!$B$11)*IF(S248, 1, Constants!$B$12),Constants!$B$13),"")</f>
        <v/>
      </c>
      <c r="AD248" s="62" t="str">
        <f aca="false">IF($Z248=Constants!$B$7,AB248*AC248,"")</f>
        <v/>
      </c>
      <c r="AE248" s="62" t="str">
        <f aca="false">IF($Z248=Constants!$B$7,IF(Y248,T248,Constants!$B$13),"")</f>
        <v/>
      </c>
      <c r="AF248" s="62" t="str">
        <f aca="false">IF($Z248=Constants!$B$7,IF(Y248,P248*IF(U248, 1, Constants!$B$11)*IF(V248, 1, Constants!$B$12),Constants!$B$13),"")</f>
        <v/>
      </c>
      <c r="AG248" s="62" t="str">
        <f aca="false">IF($Z248=Constants!$B$7,AE248*AF248,"")</f>
        <v/>
      </c>
      <c r="AH248" s="62" t="str">
        <f aca="false">IF($Z248=Constants!$B$7,IF(AG248&gt;AD248,2,1),"")</f>
        <v/>
      </c>
      <c r="AI248" s="62" t="str">
        <f aca="false">IF($Z248=Constants!$B$7,IF(AH248=1,2,1),"")</f>
        <v/>
      </c>
      <c r="AJ248" s="62" t="str">
        <f aca="false">IF(ISBLANK($C248),"",IF($Z248&lt;&gt;Constants!$B$7,$Z248,IF(AH248=1,AD248,AG248)))</f>
        <v/>
      </c>
      <c r="AK248" s="62" t="str">
        <f aca="false">IF(ISBLANK($C248),"",IF($Z248=Constants!$B$7,IF(ISNUMBER(AJ248),RANK(AJ248,$AJ$8:$AJ$507),Constants!$B$14),$Z248))</f>
        <v/>
      </c>
      <c r="AL248" s="62" t="str">
        <f aca="false">IF(ISBLANK($C248),"",IF($Z248=Constants!$B$7,IF(AI248=1,AD248,AG248),""))</f>
        <v/>
      </c>
      <c r="AM248" s="62" t="str">
        <f aca="false">IF(ISBLANK($C248),"",IF($Z248=Constants!$B$7,RANK(AL248,$AL$8:$AL$507),$Z248))</f>
        <v/>
      </c>
      <c r="AN248" s="62" t="str">
        <f aca="false">IF(ISBLANK($C248),"",IF($Z248=Constants!$B$7,IF(ISNUMBER(AK248),COUNTIFS($AK$8:$AK$507,"&lt;"&amp;$AK248)+COUNTIFS($AK$8:$AK$507,$AK248,$AM$8:$AM$507,"&lt;"&amp;$AM248)+1,Constants!$B$14),$Z248))</f>
        <v/>
      </c>
      <c r="AO248" s="62" t="str">
        <f aca="false">IF(ISBLANK($C248),"",IF($Z248=Constants!$B$7,IF(ISNUMBER(AK248),AK248-AN248,Constants!$B$14),$Z248))</f>
        <v/>
      </c>
      <c r="AP248" s="64"/>
      <c r="AQ248" s="65" t="str">
        <f aca="false">IF(ISBLANK($C248),"",IF($Z248&lt;&gt;Constants!$B$7,"",AH248))</f>
        <v/>
      </c>
      <c r="AR248" s="80" t="str">
        <f aca="false">IF(ISBLANK($C248),"",IF($Z248&lt;&gt;Constants!$B$7,"",IF(AH248=1,AB248,AE248)))</f>
        <v/>
      </c>
      <c r="AS248" s="67" t="str">
        <f aca="false">IF(ISBLANK($C248),"",IF($Z248&lt;&gt;Constants!$B$7,"",IF(AH248=1,AC248,AF248)))</f>
        <v/>
      </c>
      <c r="AT248" s="68" t="str">
        <f aca="false">IF(ISBLANK($C248),"",IF($Z248&lt;&gt;Constants!$B$7,$Z248,AJ248))</f>
        <v/>
      </c>
      <c r="AU248" s="69" t="str">
        <f aca="false">IF(ISBLANK($C248),"",IF($Z248&lt;&gt;Constants!$B$7,$Z248,AA248))</f>
        <v/>
      </c>
      <c r="AV248" s="70" t="str">
        <f aca="false">IF(ISBLANK($C248),"",AO248)</f>
        <v/>
      </c>
      <c r="AW248" s="70" t="str">
        <f aca="false">IF(ISBLANK($C248),"",AN248)</f>
        <v/>
      </c>
      <c r="AX248" s="71" t="str">
        <f aca="false">IF(ISBLANK($C248),"",IFERROR(_xlfn.SWITCH(AW248,Constants!$B$4,COUNTA($C$8:$C$507)+2,Constants!$B$5,COUNTA($C$8:$C$507)+1,Constants!$B$6,COUNTA($C$8:$C$507)),AW248))</f>
        <v/>
      </c>
      <c r="AY248" s="5"/>
      <c r="AZ248" s="72" t="n">
        <f aca="false">IF(OR(ISNUMBER(AW248),AW248=Constants!$B$4,AW248=Constants!$B$6,AW248=Constants!$B$5),1,0)</f>
        <v>0</v>
      </c>
      <c r="BA248" s="72" t="n">
        <v>241</v>
      </c>
      <c r="BB248" s="72" t="str">
        <f aca="false">IF(ISBLANK($C248),"",IF(ISNUMBER(AX248),AX248+ROW($B248)/1000,""))</f>
        <v/>
      </c>
      <c r="BC248" s="72" t="str">
        <f aca="false">IF(ISNUMBER(BB248),RANK(BB248,$BB$8:$BB$507,1),"")</f>
        <v/>
      </c>
      <c r="BD248" s="72" t="str">
        <f aca="false">IF(ISBLANK($C248),"",$B248)</f>
        <v/>
      </c>
      <c r="BE248" s="72" t="str">
        <f aca="false">IF(ISBLANK($C248),"",$C248)</f>
        <v/>
      </c>
      <c r="BF248" s="72" t="str">
        <f aca="false">IF(ISBLANK($C248),"",$D248)</f>
        <v/>
      </c>
      <c r="BG248" s="73" t="str">
        <f aca="false">AU248</f>
        <v/>
      </c>
      <c r="BH248" s="74" t="str">
        <f aca="false">AT248</f>
        <v/>
      </c>
      <c r="BI248" s="72" t="str">
        <f aca="false">IF(ISBLANK($C248),"",AW248)</f>
        <v/>
      </c>
      <c r="BJ248" s="75" t="str">
        <f aca="false">IF($BA248&gt;$AZ$7,"",VLOOKUP($BA248,$BC$8:$BI$507,7,FALSE()))</f>
        <v/>
      </c>
      <c r="BK248" s="76" t="str">
        <f aca="false">IF($BA248&gt;$AZ$7,"",VLOOKUP($BA248,$BC$8:$BI$507,2,FALSE()))</f>
        <v/>
      </c>
      <c r="BL248" s="76" t="str">
        <f aca="false">IF($BA248&gt;$AZ$7,"",VLOOKUP($BA248,$BC$8:$BI$507,3,FALSE()))</f>
        <v/>
      </c>
      <c r="BM248" s="76" t="str">
        <f aca="false">IF($BA248&gt;$AZ$7,"",VLOOKUP($BA248,$BC$8:$BI$507,4,FALSE()))</f>
        <v/>
      </c>
      <c r="BN248" s="76" t="str">
        <f aca="false">IF($BA248&gt;$AZ$7,"",VLOOKUP($BA248,$BC$8:$BI$507,5,FALSE()))</f>
        <v/>
      </c>
      <c r="BO248" s="77" t="str">
        <f aca="false">IF($BA248&gt;$AZ$7,"",VLOOKUP($BA248,$BC$8:$BI$507,6,FALSE()))</f>
        <v/>
      </c>
      <c r="BP248" s="52"/>
    </row>
    <row r="249" customFormat="false" ht="15.75" hidden="false" customHeight="false" outlineLevel="0" collapsed="false">
      <c r="A249" s="5"/>
      <c r="B249" s="118"/>
      <c r="C249" s="54"/>
      <c r="D249" s="55"/>
      <c r="E249" s="79"/>
      <c r="F249" s="57"/>
      <c r="G249" s="58"/>
      <c r="H249" s="58"/>
      <c r="I249" s="57"/>
      <c r="J249" s="58"/>
      <c r="K249" s="58"/>
      <c r="L249" s="57"/>
      <c r="M249" s="79"/>
      <c r="N249" s="60"/>
      <c r="O249" s="62" t="str">
        <f aca="false">IF(ISBLANK($C249),"",IF(E249=Constants!$B$2, TRUE(), IF(E249=Constants!$B$3, FALSE(), TRUE())))</f>
        <v/>
      </c>
      <c r="P249" s="62" t="str">
        <f aca="false">IF(ISBLANK($C249),"",IF(F249=Constants!$B$16,Constants!$B$9,IF(F249=Constants!$B$17,Constants!$B$10,Constants!$B$8)))</f>
        <v/>
      </c>
      <c r="Q249" s="62" t="str">
        <f aca="false">IF(ISBLANK($C249),"",IF(ISNUMBER(G249),IF(G249&gt;=0,G249,""),""))</f>
        <v/>
      </c>
      <c r="R249" s="62" t="str">
        <f aca="false">IF(ISBLANK($C249),"",IF(H249=Constants!$B$2, TRUE(), IF(H249=Constants!$B$3, FALSE(), TRUE())))</f>
        <v/>
      </c>
      <c r="S249" s="62" t="str">
        <f aca="false">IF(ISBLANK($C249),"",IF(I249=Constants!$B$2, TRUE(), IF(I249=Constants!$B$3, FALSE(), TRUE())))</f>
        <v/>
      </c>
      <c r="T249" s="62" t="str">
        <f aca="false">IF(ISBLANK($C249),"",IF(ISNUMBER(J249),IF(J249&gt;=0,J249,""),""))</f>
        <v/>
      </c>
      <c r="U249" s="62" t="str">
        <f aca="false">IF(ISBLANK($C249),"",IF(K249=Constants!$B$2, TRUE(), IF(K249=Constants!$B$3, FALSE(), TRUE())))</f>
        <v/>
      </c>
      <c r="V249" s="62" t="str">
        <f aca="false">IF(ISBLANK($C249),"",IF(L249=Constants!$B$2, TRUE(), IF(L249=Constants!$B$3, FALSE(), TRUE())))</f>
        <v/>
      </c>
      <c r="W249" s="62" t="str">
        <f aca="false">IF(ISBLANK($C249),"",IF(M249=Constants!$B$2, TRUE(), IF(M249=Constants!$B$3, FALSE(), FALSE())))</f>
        <v/>
      </c>
      <c r="X249" s="62" t="str">
        <f aca="false">IF(ISBLANK($C249),"",AND(Q249&lt;&gt;"",O249))</f>
        <v/>
      </c>
      <c r="Y249" s="62" t="str">
        <f aca="false">IF(ISBLANK($C249),"",AND(T249&lt;&gt;"",O249))</f>
        <v/>
      </c>
      <c r="Z249" s="62" t="str">
        <f aca="false">IF(ISBLANK($C249),"",IF(W249,Constants!$B$4,IF(COUNTA(E249:L249)=0,Constants!$B$5,IF(NOT(O249),Constants!$B$6,IF(AND(NOT(X249),NOT(Y249)),Constants!$B$6,Constants!$B$7)))))</f>
        <v/>
      </c>
      <c r="AA249" s="62" t="str">
        <f aca="false">IF(ISBLANK($C249),"",IF($Z249&lt;&gt;Constants!$B$7,$Z249,Constants!$B$20))</f>
        <v/>
      </c>
      <c r="AB249" s="62" t="str">
        <f aca="false">IF($Z249=Constants!$B$7,IF(X249,Q249,Constants!$B$13),"")</f>
        <v/>
      </c>
      <c r="AC249" s="62" t="str">
        <f aca="false">IF($Z249=Constants!$B$7,IF(X249,P249*IF(R249, 1, Constants!$B$11)*IF(S249, 1, Constants!$B$12),Constants!$B$13),"")</f>
        <v/>
      </c>
      <c r="AD249" s="62" t="str">
        <f aca="false">IF($Z249=Constants!$B$7,AB249*AC249,"")</f>
        <v/>
      </c>
      <c r="AE249" s="62" t="str">
        <f aca="false">IF($Z249=Constants!$B$7,IF(Y249,T249,Constants!$B$13),"")</f>
        <v/>
      </c>
      <c r="AF249" s="62" t="str">
        <f aca="false">IF($Z249=Constants!$B$7,IF(Y249,P249*IF(U249, 1, Constants!$B$11)*IF(V249, 1, Constants!$B$12),Constants!$B$13),"")</f>
        <v/>
      </c>
      <c r="AG249" s="62" t="str">
        <f aca="false">IF($Z249=Constants!$B$7,AE249*AF249,"")</f>
        <v/>
      </c>
      <c r="AH249" s="62" t="str">
        <f aca="false">IF($Z249=Constants!$B$7,IF(AG249&gt;AD249,2,1),"")</f>
        <v/>
      </c>
      <c r="AI249" s="62" t="str">
        <f aca="false">IF($Z249=Constants!$B$7,IF(AH249=1,2,1),"")</f>
        <v/>
      </c>
      <c r="AJ249" s="62" t="str">
        <f aca="false">IF(ISBLANK($C249),"",IF($Z249&lt;&gt;Constants!$B$7,$Z249,IF(AH249=1,AD249,AG249)))</f>
        <v/>
      </c>
      <c r="AK249" s="62" t="str">
        <f aca="false">IF(ISBLANK($C249),"",IF($Z249=Constants!$B$7,IF(ISNUMBER(AJ249),RANK(AJ249,$AJ$8:$AJ$507),Constants!$B$14),$Z249))</f>
        <v/>
      </c>
      <c r="AL249" s="62" t="str">
        <f aca="false">IF(ISBLANK($C249),"",IF($Z249=Constants!$B$7,IF(AI249=1,AD249,AG249),""))</f>
        <v/>
      </c>
      <c r="AM249" s="62" t="str">
        <f aca="false">IF(ISBLANK($C249),"",IF($Z249=Constants!$B$7,RANK(AL249,$AL$8:$AL$507),$Z249))</f>
        <v/>
      </c>
      <c r="AN249" s="62" t="str">
        <f aca="false">IF(ISBLANK($C249),"",IF($Z249=Constants!$B$7,IF(ISNUMBER(AK249),COUNTIFS($AK$8:$AK$507,"&lt;"&amp;$AK249)+COUNTIFS($AK$8:$AK$507,$AK249,$AM$8:$AM$507,"&lt;"&amp;$AM249)+1,Constants!$B$14),$Z249))</f>
        <v/>
      </c>
      <c r="AO249" s="62" t="str">
        <f aca="false">IF(ISBLANK($C249),"",IF($Z249=Constants!$B$7,IF(ISNUMBER(AK249),AK249-AN249,Constants!$B$14),$Z249))</f>
        <v/>
      </c>
      <c r="AP249" s="64"/>
      <c r="AQ249" s="65" t="str">
        <f aca="false">IF(ISBLANK($C249),"",IF($Z249&lt;&gt;Constants!$B$7,"",AH249))</f>
        <v/>
      </c>
      <c r="AR249" s="80" t="str">
        <f aca="false">IF(ISBLANK($C249),"",IF($Z249&lt;&gt;Constants!$B$7,"",IF(AH249=1,AB249,AE249)))</f>
        <v/>
      </c>
      <c r="AS249" s="67" t="str">
        <f aca="false">IF(ISBLANK($C249),"",IF($Z249&lt;&gt;Constants!$B$7,"",IF(AH249=1,AC249,AF249)))</f>
        <v/>
      </c>
      <c r="AT249" s="68" t="str">
        <f aca="false">IF(ISBLANK($C249),"",IF($Z249&lt;&gt;Constants!$B$7,$Z249,AJ249))</f>
        <v/>
      </c>
      <c r="AU249" s="69" t="str">
        <f aca="false">IF(ISBLANK($C249),"",IF($Z249&lt;&gt;Constants!$B$7,$Z249,AA249))</f>
        <v/>
      </c>
      <c r="AV249" s="70" t="str">
        <f aca="false">IF(ISBLANK($C249),"",AO249)</f>
        <v/>
      </c>
      <c r="AW249" s="70" t="str">
        <f aca="false">IF(ISBLANK($C249),"",AN249)</f>
        <v/>
      </c>
      <c r="AX249" s="71" t="str">
        <f aca="false">IF(ISBLANK($C249),"",IFERROR(_xlfn.SWITCH(AW249,Constants!$B$4,COUNTA($C$8:$C$507)+2,Constants!$B$5,COUNTA($C$8:$C$507)+1,Constants!$B$6,COUNTA($C$8:$C$507)),AW249))</f>
        <v/>
      </c>
      <c r="AY249" s="5"/>
      <c r="AZ249" s="72" t="n">
        <f aca="false">IF(OR(ISNUMBER(AW249),AW249=Constants!$B$4,AW249=Constants!$B$6,AW249=Constants!$B$5),1,0)</f>
        <v>0</v>
      </c>
      <c r="BA249" s="72" t="n">
        <v>242</v>
      </c>
      <c r="BB249" s="72" t="str">
        <f aca="false">IF(ISBLANK($C249),"",IF(ISNUMBER(AX249),AX249+ROW($B249)/1000,""))</f>
        <v/>
      </c>
      <c r="BC249" s="72" t="str">
        <f aca="false">IF(ISNUMBER(BB249),RANK(BB249,$BB$8:$BB$507,1),"")</f>
        <v/>
      </c>
      <c r="BD249" s="72" t="str">
        <f aca="false">IF(ISBLANK($C249),"",$B249)</f>
        <v/>
      </c>
      <c r="BE249" s="72" t="str">
        <f aca="false">IF(ISBLANK($C249),"",$C249)</f>
        <v/>
      </c>
      <c r="BF249" s="72" t="str">
        <f aca="false">IF(ISBLANK($C249),"",$D249)</f>
        <v/>
      </c>
      <c r="BG249" s="73" t="str">
        <f aca="false">AU249</f>
        <v/>
      </c>
      <c r="BH249" s="74" t="str">
        <f aca="false">AT249</f>
        <v/>
      </c>
      <c r="BI249" s="72" t="str">
        <f aca="false">IF(ISBLANK($C249),"",AW249)</f>
        <v/>
      </c>
      <c r="BJ249" s="75" t="str">
        <f aca="false">IF($BA249&gt;$AZ$7,"",VLOOKUP($BA249,$BC$8:$BI$507,7,FALSE()))</f>
        <v/>
      </c>
      <c r="BK249" s="76" t="str">
        <f aca="false">IF($BA249&gt;$AZ$7,"",VLOOKUP($BA249,$BC$8:$BI$507,2,FALSE()))</f>
        <v/>
      </c>
      <c r="BL249" s="76" t="str">
        <f aca="false">IF($BA249&gt;$AZ$7,"",VLOOKUP($BA249,$BC$8:$BI$507,3,FALSE()))</f>
        <v/>
      </c>
      <c r="BM249" s="76" t="str">
        <f aca="false">IF($BA249&gt;$AZ$7,"",VLOOKUP($BA249,$BC$8:$BI$507,4,FALSE()))</f>
        <v/>
      </c>
      <c r="BN249" s="76" t="str">
        <f aca="false">IF($BA249&gt;$AZ$7,"",VLOOKUP($BA249,$BC$8:$BI$507,5,FALSE()))</f>
        <v/>
      </c>
      <c r="BO249" s="77" t="str">
        <f aca="false">IF($BA249&gt;$AZ$7,"",VLOOKUP($BA249,$BC$8:$BI$507,6,FALSE()))</f>
        <v/>
      </c>
      <c r="BP249" s="52"/>
    </row>
    <row r="250" customFormat="false" ht="15.75" hidden="false" customHeight="false" outlineLevel="0" collapsed="false">
      <c r="A250" s="5"/>
      <c r="B250" s="118"/>
      <c r="C250" s="54"/>
      <c r="D250" s="55"/>
      <c r="E250" s="79"/>
      <c r="F250" s="57"/>
      <c r="G250" s="58"/>
      <c r="H250" s="58"/>
      <c r="I250" s="57"/>
      <c r="J250" s="58"/>
      <c r="K250" s="58"/>
      <c r="L250" s="57"/>
      <c r="M250" s="79"/>
      <c r="N250" s="60"/>
      <c r="O250" s="62" t="str">
        <f aca="false">IF(ISBLANK($C250),"",IF(E250=Constants!$B$2, TRUE(), IF(E250=Constants!$B$3, FALSE(), TRUE())))</f>
        <v/>
      </c>
      <c r="P250" s="62" t="str">
        <f aca="false">IF(ISBLANK($C250),"",IF(F250=Constants!$B$16,Constants!$B$9,IF(F250=Constants!$B$17,Constants!$B$10,Constants!$B$8)))</f>
        <v/>
      </c>
      <c r="Q250" s="62" t="str">
        <f aca="false">IF(ISBLANK($C250),"",IF(ISNUMBER(G250),IF(G250&gt;=0,G250,""),""))</f>
        <v/>
      </c>
      <c r="R250" s="62" t="str">
        <f aca="false">IF(ISBLANK($C250),"",IF(H250=Constants!$B$2, TRUE(), IF(H250=Constants!$B$3, FALSE(), TRUE())))</f>
        <v/>
      </c>
      <c r="S250" s="62" t="str">
        <f aca="false">IF(ISBLANK($C250),"",IF(I250=Constants!$B$2, TRUE(), IF(I250=Constants!$B$3, FALSE(), TRUE())))</f>
        <v/>
      </c>
      <c r="T250" s="62" t="str">
        <f aca="false">IF(ISBLANK($C250),"",IF(ISNUMBER(J250),IF(J250&gt;=0,J250,""),""))</f>
        <v/>
      </c>
      <c r="U250" s="62" t="str">
        <f aca="false">IF(ISBLANK($C250),"",IF(K250=Constants!$B$2, TRUE(), IF(K250=Constants!$B$3, FALSE(), TRUE())))</f>
        <v/>
      </c>
      <c r="V250" s="62" t="str">
        <f aca="false">IF(ISBLANK($C250),"",IF(L250=Constants!$B$2, TRUE(), IF(L250=Constants!$B$3, FALSE(), TRUE())))</f>
        <v/>
      </c>
      <c r="W250" s="62" t="str">
        <f aca="false">IF(ISBLANK($C250),"",IF(M250=Constants!$B$2, TRUE(), IF(M250=Constants!$B$3, FALSE(), FALSE())))</f>
        <v/>
      </c>
      <c r="X250" s="62" t="str">
        <f aca="false">IF(ISBLANK($C250),"",AND(Q250&lt;&gt;"",O250))</f>
        <v/>
      </c>
      <c r="Y250" s="62" t="str">
        <f aca="false">IF(ISBLANK($C250),"",AND(T250&lt;&gt;"",O250))</f>
        <v/>
      </c>
      <c r="Z250" s="62" t="str">
        <f aca="false">IF(ISBLANK($C250),"",IF(W250,Constants!$B$4,IF(COUNTA(E250:L250)=0,Constants!$B$5,IF(NOT(O250),Constants!$B$6,IF(AND(NOT(X250),NOT(Y250)),Constants!$B$6,Constants!$B$7)))))</f>
        <v/>
      </c>
      <c r="AA250" s="62" t="str">
        <f aca="false">IF(ISBLANK($C250),"",IF($Z250&lt;&gt;Constants!$B$7,$Z250,Constants!$B$20))</f>
        <v/>
      </c>
      <c r="AB250" s="62" t="str">
        <f aca="false">IF($Z250=Constants!$B$7,IF(X250,Q250,Constants!$B$13),"")</f>
        <v/>
      </c>
      <c r="AC250" s="62" t="str">
        <f aca="false">IF($Z250=Constants!$B$7,IF(X250,P250*IF(R250, 1, Constants!$B$11)*IF(S250, 1, Constants!$B$12),Constants!$B$13),"")</f>
        <v/>
      </c>
      <c r="AD250" s="62" t="str">
        <f aca="false">IF($Z250=Constants!$B$7,AB250*AC250,"")</f>
        <v/>
      </c>
      <c r="AE250" s="62" t="str">
        <f aca="false">IF($Z250=Constants!$B$7,IF(Y250,T250,Constants!$B$13),"")</f>
        <v/>
      </c>
      <c r="AF250" s="62" t="str">
        <f aca="false">IF($Z250=Constants!$B$7,IF(Y250,P250*IF(U250, 1, Constants!$B$11)*IF(V250, 1, Constants!$B$12),Constants!$B$13),"")</f>
        <v/>
      </c>
      <c r="AG250" s="62" t="str">
        <f aca="false">IF($Z250=Constants!$B$7,AE250*AF250,"")</f>
        <v/>
      </c>
      <c r="AH250" s="62" t="str">
        <f aca="false">IF($Z250=Constants!$B$7,IF(AG250&gt;AD250,2,1),"")</f>
        <v/>
      </c>
      <c r="AI250" s="62" t="str">
        <f aca="false">IF($Z250=Constants!$B$7,IF(AH250=1,2,1),"")</f>
        <v/>
      </c>
      <c r="AJ250" s="62" t="str">
        <f aca="false">IF(ISBLANK($C250),"",IF($Z250&lt;&gt;Constants!$B$7,$Z250,IF(AH250=1,AD250,AG250)))</f>
        <v/>
      </c>
      <c r="AK250" s="62" t="str">
        <f aca="false">IF(ISBLANK($C250),"",IF($Z250=Constants!$B$7,IF(ISNUMBER(AJ250),RANK(AJ250,$AJ$8:$AJ$507),Constants!$B$14),$Z250))</f>
        <v/>
      </c>
      <c r="AL250" s="62" t="str">
        <f aca="false">IF(ISBLANK($C250),"",IF($Z250=Constants!$B$7,IF(AI250=1,AD250,AG250),""))</f>
        <v/>
      </c>
      <c r="AM250" s="62" t="str">
        <f aca="false">IF(ISBLANK($C250),"",IF($Z250=Constants!$B$7,RANK(AL250,$AL$8:$AL$507),$Z250))</f>
        <v/>
      </c>
      <c r="AN250" s="62" t="str">
        <f aca="false">IF(ISBLANK($C250),"",IF($Z250=Constants!$B$7,IF(ISNUMBER(AK250),COUNTIFS($AK$8:$AK$507,"&lt;"&amp;$AK250)+COUNTIFS($AK$8:$AK$507,$AK250,$AM$8:$AM$507,"&lt;"&amp;$AM250)+1,Constants!$B$14),$Z250))</f>
        <v/>
      </c>
      <c r="AO250" s="62" t="str">
        <f aca="false">IF(ISBLANK($C250),"",IF($Z250=Constants!$B$7,IF(ISNUMBER(AK250),AK250-AN250,Constants!$B$14),$Z250))</f>
        <v/>
      </c>
      <c r="AP250" s="64"/>
      <c r="AQ250" s="65" t="str">
        <f aca="false">IF(ISBLANK($C250),"",IF($Z250&lt;&gt;Constants!$B$7,"",AH250))</f>
        <v/>
      </c>
      <c r="AR250" s="80" t="str">
        <f aca="false">IF(ISBLANK($C250),"",IF($Z250&lt;&gt;Constants!$B$7,"",IF(AH250=1,AB250,AE250)))</f>
        <v/>
      </c>
      <c r="AS250" s="67" t="str">
        <f aca="false">IF(ISBLANK($C250),"",IF($Z250&lt;&gt;Constants!$B$7,"",IF(AH250=1,AC250,AF250)))</f>
        <v/>
      </c>
      <c r="AT250" s="68" t="str">
        <f aca="false">IF(ISBLANK($C250),"",IF($Z250&lt;&gt;Constants!$B$7,$Z250,AJ250))</f>
        <v/>
      </c>
      <c r="AU250" s="69" t="str">
        <f aca="false">IF(ISBLANK($C250),"",IF($Z250&lt;&gt;Constants!$B$7,$Z250,AA250))</f>
        <v/>
      </c>
      <c r="AV250" s="70" t="str">
        <f aca="false">IF(ISBLANK($C250),"",AO250)</f>
        <v/>
      </c>
      <c r="AW250" s="70" t="str">
        <f aca="false">IF(ISBLANK($C250),"",AN250)</f>
        <v/>
      </c>
      <c r="AX250" s="71" t="str">
        <f aca="false">IF(ISBLANK($C250),"",IFERROR(_xlfn.SWITCH(AW250,Constants!$B$4,COUNTA($C$8:$C$507)+2,Constants!$B$5,COUNTA($C$8:$C$507)+1,Constants!$B$6,COUNTA($C$8:$C$507)),AW250))</f>
        <v/>
      </c>
      <c r="AY250" s="5"/>
      <c r="AZ250" s="72" t="n">
        <f aca="false">IF(OR(ISNUMBER(AW250),AW250=Constants!$B$4,AW250=Constants!$B$6,AW250=Constants!$B$5),1,0)</f>
        <v>0</v>
      </c>
      <c r="BA250" s="72" t="n">
        <v>243</v>
      </c>
      <c r="BB250" s="72" t="str">
        <f aca="false">IF(ISBLANK($C250),"",IF(ISNUMBER(AX250),AX250+ROW($B250)/1000,""))</f>
        <v/>
      </c>
      <c r="BC250" s="72" t="str">
        <f aca="false">IF(ISNUMBER(BB250),RANK(BB250,$BB$8:$BB$507,1),"")</f>
        <v/>
      </c>
      <c r="BD250" s="72" t="str">
        <f aca="false">IF(ISBLANK($C250),"",$B250)</f>
        <v/>
      </c>
      <c r="BE250" s="72" t="str">
        <f aca="false">IF(ISBLANK($C250),"",$C250)</f>
        <v/>
      </c>
      <c r="BF250" s="72" t="str">
        <f aca="false">IF(ISBLANK($C250),"",$D250)</f>
        <v/>
      </c>
      <c r="BG250" s="73" t="str">
        <f aca="false">AU250</f>
        <v/>
      </c>
      <c r="BH250" s="74" t="str">
        <f aca="false">AT250</f>
        <v/>
      </c>
      <c r="BI250" s="72" t="str">
        <f aca="false">IF(ISBLANK($C250),"",AW250)</f>
        <v/>
      </c>
      <c r="BJ250" s="75" t="str">
        <f aca="false">IF($BA250&gt;$AZ$7,"",VLOOKUP($BA250,$BC$8:$BI$507,7,FALSE()))</f>
        <v/>
      </c>
      <c r="BK250" s="76" t="str">
        <f aca="false">IF($BA250&gt;$AZ$7,"",VLOOKUP($BA250,$BC$8:$BI$507,2,FALSE()))</f>
        <v/>
      </c>
      <c r="BL250" s="76" t="str">
        <f aca="false">IF($BA250&gt;$AZ$7,"",VLOOKUP($BA250,$BC$8:$BI$507,3,FALSE()))</f>
        <v/>
      </c>
      <c r="BM250" s="76" t="str">
        <f aca="false">IF($BA250&gt;$AZ$7,"",VLOOKUP($BA250,$BC$8:$BI$507,4,FALSE()))</f>
        <v/>
      </c>
      <c r="BN250" s="76" t="str">
        <f aca="false">IF($BA250&gt;$AZ$7,"",VLOOKUP($BA250,$BC$8:$BI$507,5,FALSE()))</f>
        <v/>
      </c>
      <c r="BO250" s="77" t="str">
        <f aca="false">IF($BA250&gt;$AZ$7,"",VLOOKUP($BA250,$BC$8:$BI$507,6,FALSE()))</f>
        <v/>
      </c>
      <c r="BP250" s="52"/>
    </row>
    <row r="251" customFormat="false" ht="15.75" hidden="false" customHeight="false" outlineLevel="0" collapsed="false">
      <c r="A251" s="5"/>
      <c r="B251" s="114"/>
      <c r="C251" s="115"/>
      <c r="D251" s="106"/>
      <c r="E251" s="117"/>
      <c r="F251" s="87"/>
      <c r="G251" s="88"/>
      <c r="H251" s="88"/>
      <c r="I251" s="87"/>
      <c r="J251" s="88"/>
      <c r="K251" s="88"/>
      <c r="L251" s="87"/>
      <c r="M251" s="117"/>
      <c r="N251" s="90"/>
      <c r="O251" s="91" t="str">
        <f aca="false">IF(ISBLANK($C251),"",IF(E251=Constants!$B$2, TRUE(), IF(E251=Constants!$B$3, FALSE(), TRUE())))</f>
        <v/>
      </c>
      <c r="P251" s="91" t="str">
        <f aca="false">IF(ISBLANK($C251),"",IF(F251=Constants!$B$16,Constants!$B$9,IF(F251=Constants!$B$17,Constants!$B$10,Constants!$B$8)))</f>
        <v/>
      </c>
      <c r="Q251" s="91" t="str">
        <f aca="false">IF(ISBLANK($C251),"",IF(ISNUMBER(G251),IF(G251&gt;=0,G251,""),""))</f>
        <v/>
      </c>
      <c r="R251" s="91" t="str">
        <f aca="false">IF(ISBLANK($C251),"",IF(H251=Constants!$B$2, TRUE(), IF(H251=Constants!$B$3, FALSE(), TRUE())))</f>
        <v/>
      </c>
      <c r="S251" s="91" t="str">
        <f aca="false">IF(ISBLANK($C251),"",IF(I251=Constants!$B$2, TRUE(), IF(I251=Constants!$B$3, FALSE(), TRUE())))</f>
        <v/>
      </c>
      <c r="T251" s="91" t="str">
        <f aca="false">IF(ISBLANK($C251),"",IF(ISNUMBER(J251),IF(J251&gt;=0,J251,""),""))</f>
        <v/>
      </c>
      <c r="U251" s="91" t="str">
        <f aca="false">IF(ISBLANK($C251),"",IF(K251=Constants!$B$2, TRUE(), IF(K251=Constants!$B$3, FALSE(), TRUE())))</f>
        <v/>
      </c>
      <c r="V251" s="91" t="str">
        <f aca="false">IF(ISBLANK($C251),"",IF(L251=Constants!$B$2, TRUE(), IF(L251=Constants!$B$3, FALSE(), TRUE())))</f>
        <v/>
      </c>
      <c r="W251" s="91" t="str">
        <f aca="false">IF(ISBLANK($C251),"",IF(M251=Constants!$B$2, TRUE(), IF(M251=Constants!$B$3, FALSE(), FALSE())))</f>
        <v/>
      </c>
      <c r="X251" s="91" t="str">
        <f aca="false">IF(ISBLANK($C251),"",AND(Q251&lt;&gt;"",O251))</f>
        <v/>
      </c>
      <c r="Y251" s="91" t="str">
        <f aca="false">IF(ISBLANK($C251),"",AND(T251&lt;&gt;"",O251))</f>
        <v/>
      </c>
      <c r="Z251" s="91" t="str">
        <f aca="false">IF(ISBLANK($C251),"",IF(W251,Constants!$B$4,IF(COUNTA(E251:L251)=0,Constants!$B$5,IF(NOT(O251),Constants!$B$6,IF(AND(NOT(X251),NOT(Y251)),Constants!$B$6,Constants!$B$7)))))</f>
        <v/>
      </c>
      <c r="AA251" s="91" t="str">
        <f aca="false">IF(ISBLANK($C251),"",IF($Z251&lt;&gt;Constants!$B$7,$Z251,Constants!$B$20))</f>
        <v/>
      </c>
      <c r="AB251" s="91" t="str">
        <f aca="false">IF($Z251=Constants!$B$7,IF(X251,Q251,Constants!$B$13),"")</f>
        <v/>
      </c>
      <c r="AC251" s="91" t="str">
        <f aca="false">IF($Z251=Constants!$B$7,IF(X251,P251*IF(R251, 1, Constants!$B$11)*IF(S251, 1, Constants!$B$12),Constants!$B$13),"")</f>
        <v/>
      </c>
      <c r="AD251" s="91" t="str">
        <f aca="false">IF($Z251=Constants!$B$7,AB251*AC251,"")</f>
        <v/>
      </c>
      <c r="AE251" s="91" t="str">
        <f aca="false">IF($Z251=Constants!$B$7,IF(Y251,T251,Constants!$B$13),"")</f>
        <v/>
      </c>
      <c r="AF251" s="91" t="str">
        <f aca="false">IF($Z251=Constants!$B$7,IF(Y251,P251*IF(U251, 1, Constants!$B$11)*IF(V251, 1, Constants!$B$12),Constants!$B$13),"")</f>
        <v/>
      </c>
      <c r="AG251" s="91" t="str">
        <f aca="false">IF($Z251=Constants!$B$7,AE251*AF251,"")</f>
        <v/>
      </c>
      <c r="AH251" s="91" t="str">
        <f aca="false">IF($Z251=Constants!$B$7,IF(AG251&gt;AD251,2,1),"")</f>
        <v/>
      </c>
      <c r="AI251" s="91" t="str">
        <f aca="false">IF($Z251=Constants!$B$7,IF(AH251=1,2,1),"")</f>
        <v/>
      </c>
      <c r="AJ251" s="91" t="str">
        <f aca="false">IF(ISBLANK($C251),"",IF($Z251&lt;&gt;Constants!$B$7,$Z251,IF(AH251=1,AD251,AG251)))</f>
        <v/>
      </c>
      <c r="AK251" s="91" t="str">
        <f aca="false">IF(ISBLANK($C251),"",IF($Z251=Constants!$B$7,IF(ISNUMBER(AJ251),RANK(AJ251,$AJ$8:$AJ$507),Constants!$B$14),$Z251))</f>
        <v/>
      </c>
      <c r="AL251" s="91" t="str">
        <f aca="false">IF(ISBLANK($C251),"",IF($Z251=Constants!$B$7,IF(AI251=1,AD251,AG251),""))</f>
        <v/>
      </c>
      <c r="AM251" s="91" t="str">
        <f aca="false">IF(ISBLANK($C251),"",IF($Z251=Constants!$B$7,RANK(AL251,$AL$8:$AL$507),$Z251))</f>
        <v/>
      </c>
      <c r="AN251" s="91" t="str">
        <f aca="false">IF(ISBLANK($C251),"",IF($Z251=Constants!$B$7,IF(ISNUMBER(AK251),COUNTIFS($AK$8:$AK$507,"&lt;"&amp;$AK251)+COUNTIFS($AK$8:$AK$507,$AK251,$AM$8:$AM$507,"&lt;"&amp;$AM251)+1,Constants!$B$14),$Z251))</f>
        <v/>
      </c>
      <c r="AO251" s="91" t="str">
        <f aca="false">IF(ISBLANK($C251),"",IF($Z251=Constants!$B$7,IF(ISNUMBER(AK251),AK251-AN251,Constants!$B$14),$Z251))</f>
        <v/>
      </c>
      <c r="AP251" s="92"/>
      <c r="AQ251" s="93" t="str">
        <f aca="false">IF(ISBLANK($C251),"",IF($Z251&lt;&gt;Constants!$B$7,"",AH251))</f>
        <v/>
      </c>
      <c r="AR251" s="94" t="str">
        <f aca="false">IF(ISBLANK($C251),"",IF($Z251&lt;&gt;Constants!$B$7,"",IF(AH251=1,AB251,AE251)))</f>
        <v/>
      </c>
      <c r="AS251" s="95" t="str">
        <f aca="false">IF(ISBLANK($C251),"",IF($Z251&lt;&gt;Constants!$B$7,"",IF(AH251=1,AC251,AF251)))</f>
        <v/>
      </c>
      <c r="AT251" s="96" t="str">
        <f aca="false">IF(ISBLANK($C251),"",IF($Z251&lt;&gt;Constants!$B$7,$Z251,AJ251))</f>
        <v/>
      </c>
      <c r="AU251" s="97" t="str">
        <f aca="false">IF(ISBLANK($C251),"",IF($Z251&lt;&gt;Constants!$B$7,$Z251,AA251))</f>
        <v/>
      </c>
      <c r="AV251" s="98" t="str">
        <f aca="false">IF(ISBLANK($C251),"",AO251)</f>
        <v/>
      </c>
      <c r="AW251" s="98" t="str">
        <f aca="false">IF(ISBLANK($C251),"",AN251)</f>
        <v/>
      </c>
      <c r="AX251" s="99" t="str">
        <f aca="false">IF(ISBLANK($C251),"",IFERROR(_xlfn.SWITCH(AW251,Constants!$B$4,COUNTA($C$8:$C$507)+2,Constants!$B$5,COUNTA($C$8:$C$507)+1,Constants!$B$6,COUNTA($C$8:$C$507)),AW251))</f>
        <v/>
      </c>
      <c r="AY251" s="5"/>
      <c r="AZ251" s="100" t="n">
        <f aca="false">IF(OR(ISNUMBER(AW251),AW251=Constants!$B$4,AW251=Constants!$B$6,AW251=Constants!$B$5),1,0)</f>
        <v>0</v>
      </c>
      <c r="BA251" s="100" t="n">
        <v>244</v>
      </c>
      <c r="BB251" s="100" t="str">
        <f aca="false">IF(ISBLANK($C251),"",IF(ISNUMBER(AX251),AX251+ROW($B251)/1000,""))</f>
        <v/>
      </c>
      <c r="BC251" s="100" t="str">
        <f aca="false">IF(ISNUMBER(BB251),RANK(BB251,$BB$8:$BB$507,1),"")</f>
        <v/>
      </c>
      <c r="BD251" s="100" t="str">
        <f aca="false">IF(ISBLANK($C251),"",$B251)</f>
        <v/>
      </c>
      <c r="BE251" s="100" t="str">
        <f aca="false">IF(ISBLANK($C251),"",$C251)</f>
        <v/>
      </c>
      <c r="BF251" s="100" t="str">
        <f aca="false">IF(ISBLANK($C251),"",$D251)</f>
        <v/>
      </c>
      <c r="BG251" s="101" t="str">
        <f aca="false">AU251</f>
        <v/>
      </c>
      <c r="BH251" s="102" t="str">
        <f aca="false">AT251</f>
        <v/>
      </c>
      <c r="BI251" s="100" t="str">
        <f aca="false">IF(ISBLANK($C251),"",AW251)</f>
        <v/>
      </c>
      <c r="BJ251" s="103" t="str">
        <f aca="false">IF($BA251&gt;$AZ$7,"",VLOOKUP($BA251,$BC$8:$BI$507,7,FALSE()))</f>
        <v/>
      </c>
      <c r="BK251" s="104" t="str">
        <f aca="false">IF($BA251&gt;$AZ$7,"",VLOOKUP($BA251,$BC$8:$BI$507,2,FALSE()))</f>
        <v/>
      </c>
      <c r="BL251" s="104" t="str">
        <f aca="false">IF($BA251&gt;$AZ$7,"",VLOOKUP($BA251,$BC$8:$BI$507,3,FALSE()))</f>
        <v/>
      </c>
      <c r="BM251" s="104" t="str">
        <f aca="false">IF($BA251&gt;$AZ$7,"",VLOOKUP($BA251,$BC$8:$BI$507,4,FALSE()))</f>
        <v/>
      </c>
      <c r="BN251" s="104" t="str">
        <f aca="false">IF($BA251&gt;$AZ$7,"",VLOOKUP($BA251,$BC$8:$BI$507,5,FALSE()))</f>
        <v/>
      </c>
      <c r="BO251" s="105" t="str">
        <f aca="false">IF($BA251&gt;$AZ$7,"",VLOOKUP($BA251,$BC$8:$BI$507,6,FALSE()))</f>
        <v/>
      </c>
      <c r="BP251" s="52"/>
    </row>
    <row r="252" customFormat="false" ht="15.75" hidden="false" customHeight="false" outlineLevel="0" collapsed="false">
      <c r="A252" s="5"/>
      <c r="B252" s="114"/>
      <c r="C252" s="115"/>
      <c r="D252" s="106"/>
      <c r="E252" s="117"/>
      <c r="F252" s="87"/>
      <c r="G252" s="88"/>
      <c r="H252" s="88"/>
      <c r="I252" s="87"/>
      <c r="J252" s="88"/>
      <c r="K252" s="88"/>
      <c r="L252" s="87"/>
      <c r="M252" s="117"/>
      <c r="N252" s="90"/>
      <c r="O252" s="91" t="str">
        <f aca="false">IF(ISBLANK($C252),"",IF(E252=Constants!$B$2, TRUE(), IF(E252=Constants!$B$3, FALSE(), TRUE())))</f>
        <v/>
      </c>
      <c r="P252" s="91" t="str">
        <f aca="false">IF(ISBLANK($C252),"",IF(F252=Constants!$B$16,Constants!$B$9,IF(F252=Constants!$B$17,Constants!$B$10,Constants!$B$8)))</f>
        <v/>
      </c>
      <c r="Q252" s="91" t="str">
        <f aca="false">IF(ISBLANK($C252),"",IF(ISNUMBER(G252),IF(G252&gt;=0,G252,""),""))</f>
        <v/>
      </c>
      <c r="R252" s="91" t="str">
        <f aca="false">IF(ISBLANK($C252),"",IF(H252=Constants!$B$2, TRUE(), IF(H252=Constants!$B$3, FALSE(), TRUE())))</f>
        <v/>
      </c>
      <c r="S252" s="91" t="str">
        <f aca="false">IF(ISBLANK($C252),"",IF(I252=Constants!$B$2, TRUE(), IF(I252=Constants!$B$3, FALSE(), TRUE())))</f>
        <v/>
      </c>
      <c r="T252" s="91" t="str">
        <f aca="false">IF(ISBLANK($C252),"",IF(ISNUMBER(J252),IF(J252&gt;=0,J252,""),""))</f>
        <v/>
      </c>
      <c r="U252" s="91" t="str">
        <f aca="false">IF(ISBLANK($C252),"",IF(K252=Constants!$B$2, TRUE(), IF(K252=Constants!$B$3, FALSE(), TRUE())))</f>
        <v/>
      </c>
      <c r="V252" s="91" t="str">
        <f aca="false">IF(ISBLANK($C252),"",IF(L252=Constants!$B$2, TRUE(), IF(L252=Constants!$B$3, FALSE(), TRUE())))</f>
        <v/>
      </c>
      <c r="W252" s="91" t="str">
        <f aca="false">IF(ISBLANK($C252),"",IF(M252=Constants!$B$2, TRUE(), IF(M252=Constants!$B$3, FALSE(), FALSE())))</f>
        <v/>
      </c>
      <c r="X252" s="91" t="str">
        <f aca="false">IF(ISBLANK($C252),"",AND(Q252&lt;&gt;"",O252))</f>
        <v/>
      </c>
      <c r="Y252" s="91" t="str">
        <f aca="false">IF(ISBLANK($C252),"",AND(T252&lt;&gt;"",O252))</f>
        <v/>
      </c>
      <c r="Z252" s="91" t="str">
        <f aca="false">IF(ISBLANK($C252),"",IF(W252,Constants!$B$4,IF(COUNTA(E252:L252)=0,Constants!$B$5,IF(NOT(O252),Constants!$B$6,IF(AND(NOT(X252),NOT(Y252)),Constants!$B$6,Constants!$B$7)))))</f>
        <v/>
      </c>
      <c r="AA252" s="91" t="str">
        <f aca="false">IF(ISBLANK($C252),"",IF($Z252&lt;&gt;Constants!$B$7,$Z252,Constants!$B$20))</f>
        <v/>
      </c>
      <c r="AB252" s="91" t="str">
        <f aca="false">IF($Z252=Constants!$B$7,IF(X252,Q252,Constants!$B$13),"")</f>
        <v/>
      </c>
      <c r="AC252" s="91" t="str">
        <f aca="false">IF($Z252=Constants!$B$7,IF(X252,P252*IF(R252, 1, Constants!$B$11)*IF(S252, 1, Constants!$B$12),Constants!$B$13),"")</f>
        <v/>
      </c>
      <c r="AD252" s="91" t="str">
        <f aca="false">IF($Z252=Constants!$B$7,AB252*AC252,"")</f>
        <v/>
      </c>
      <c r="AE252" s="91" t="str">
        <f aca="false">IF($Z252=Constants!$B$7,IF(Y252,T252,Constants!$B$13),"")</f>
        <v/>
      </c>
      <c r="AF252" s="91" t="str">
        <f aca="false">IF($Z252=Constants!$B$7,IF(Y252,P252*IF(U252, 1, Constants!$B$11)*IF(V252, 1, Constants!$B$12),Constants!$B$13),"")</f>
        <v/>
      </c>
      <c r="AG252" s="91" t="str">
        <f aca="false">IF($Z252=Constants!$B$7,AE252*AF252,"")</f>
        <v/>
      </c>
      <c r="AH252" s="91" t="str">
        <f aca="false">IF($Z252=Constants!$B$7,IF(AG252&gt;AD252,2,1),"")</f>
        <v/>
      </c>
      <c r="AI252" s="91" t="str">
        <f aca="false">IF($Z252=Constants!$B$7,IF(AH252=1,2,1),"")</f>
        <v/>
      </c>
      <c r="AJ252" s="91" t="str">
        <f aca="false">IF(ISBLANK($C252),"",IF($Z252&lt;&gt;Constants!$B$7,$Z252,IF(AH252=1,AD252,AG252)))</f>
        <v/>
      </c>
      <c r="AK252" s="91" t="str">
        <f aca="false">IF(ISBLANK($C252),"",IF($Z252=Constants!$B$7,IF(ISNUMBER(AJ252),RANK(AJ252,$AJ$8:$AJ$507),Constants!$B$14),$Z252))</f>
        <v/>
      </c>
      <c r="AL252" s="91" t="str">
        <f aca="false">IF(ISBLANK($C252),"",IF($Z252=Constants!$B$7,IF(AI252=1,AD252,AG252),""))</f>
        <v/>
      </c>
      <c r="AM252" s="91" t="str">
        <f aca="false">IF(ISBLANK($C252),"",IF($Z252=Constants!$B$7,RANK(AL252,$AL$8:$AL$507),$Z252))</f>
        <v/>
      </c>
      <c r="AN252" s="91" t="str">
        <f aca="false">IF(ISBLANK($C252),"",IF($Z252=Constants!$B$7,IF(ISNUMBER(AK252),COUNTIFS($AK$8:$AK$507,"&lt;"&amp;$AK252)+COUNTIFS($AK$8:$AK$507,$AK252,$AM$8:$AM$507,"&lt;"&amp;$AM252)+1,Constants!$B$14),$Z252))</f>
        <v/>
      </c>
      <c r="AO252" s="91" t="str">
        <f aca="false">IF(ISBLANK($C252),"",IF($Z252=Constants!$B$7,IF(ISNUMBER(AK252),AK252-AN252,Constants!$B$14),$Z252))</f>
        <v/>
      </c>
      <c r="AP252" s="92"/>
      <c r="AQ252" s="93" t="str">
        <f aca="false">IF(ISBLANK($C252),"",IF($Z252&lt;&gt;Constants!$B$7,"",AH252))</f>
        <v/>
      </c>
      <c r="AR252" s="94" t="str">
        <f aca="false">IF(ISBLANK($C252),"",IF($Z252&lt;&gt;Constants!$B$7,"",IF(AH252=1,AB252,AE252)))</f>
        <v/>
      </c>
      <c r="AS252" s="95" t="str">
        <f aca="false">IF(ISBLANK($C252),"",IF($Z252&lt;&gt;Constants!$B$7,"",IF(AH252=1,AC252,AF252)))</f>
        <v/>
      </c>
      <c r="AT252" s="96" t="str">
        <f aca="false">IF(ISBLANK($C252),"",IF($Z252&lt;&gt;Constants!$B$7,$Z252,AJ252))</f>
        <v/>
      </c>
      <c r="AU252" s="97" t="str">
        <f aca="false">IF(ISBLANK($C252),"",IF($Z252&lt;&gt;Constants!$B$7,$Z252,AA252))</f>
        <v/>
      </c>
      <c r="AV252" s="98" t="str">
        <f aca="false">IF(ISBLANK($C252),"",AO252)</f>
        <v/>
      </c>
      <c r="AW252" s="98" t="str">
        <f aca="false">IF(ISBLANK($C252),"",AN252)</f>
        <v/>
      </c>
      <c r="AX252" s="99" t="str">
        <f aca="false">IF(ISBLANK($C252),"",IFERROR(_xlfn.SWITCH(AW252,Constants!$B$4,COUNTA($C$8:$C$507)+2,Constants!$B$5,COUNTA($C$8:$C$507)+1,Constants!$B$6,COUNTA($C$8:$C$507)),AW252))</f>
        <v/>
      </c>
      <c r="AY252" s="5"/>
      <c r="AZ252" s="100" t="n">
        <f aca="false">IF(OR(ISNUMBER(AW252),AW252=Constants!$B$4,AW252=Constants!$B$6,AW252=Constants!$B$5),1,0)</f>
        <v>0</v>
      </c>
      <c r="BA252" s="100" t="n">
        <v>245</v>
      </c>
      <c r="BB252" s="100" t="str">
        <f aca="false">IF(ISBLANK($C252),"",IF(ISNUMBER(AX252),AX252+ROW($B252)/1000,""))</f>
        <v/>
      </c>
      <c r="BC252" s="100" t="str">
        <f aca="false">IF(ISNUMBER(BB252),RANK(BB252,$BB$8:$BB$507,1),"")</f>
        <v/>
      </c>
      <c r="BD252" s="100" t="str">
        <f aca="false">IF(ISBLANK($C252),"",$B252)</f>
        <v/>
      </c>
      <c r="BE252" s="100" t="str">
        <f aca="false">IF(ISBLANK($C252),"",$C252)</f>
        <v/>
      </c>
      <c r="BF252" s="100" t="str">
        <f aca="false">IF(ISBLANK($C252),"",$D252)</f>
        <v/>
      </c>
      <c r="BG252" s="101" t="str">
        <f aca="false">AU252</f>
        <v/>
      </c>
      <c r="BH252" s="102" t="str">
        <f aca="false">AT252</f>
        <v/>
      </c>
      <c r="BI252" s="100" t="str">
        <f aca="false">IF(ISBLANK($C252),"",AW252)</f>
        <v/>
      </c>
      <c r="BJ252" s="103" t="str">
        <f aca="false">IF($BA252&gt;$AZ$7,"",VLOOKUP($BA252,$BC$8:$BI$507,7,FALSE()))</f>
        <v/>
      </c>
      <c r="BK252" s="104" t="str">
        <f aca="false">IF($BA252&gt;$AZ$7,"",VLOOKUP($BA252,$BC$8:$BI$507,2,FALSE()))</f>
        <v/>
      </c>
      <c r="BL252" s="104" t="str">
        <f aca="false">IF($BA252&gt;$AZ$7,"",VLOOKUP($BA252,$BC$8:$BI$507,3,FALSE()))</f>
        <v/>
      </c>
      <c r="BM252" s="104" t="str">
        <f aca="false">IF($BA252&gt;$AZ$7,"",VLOOKUP($BA252,$BC$8:$BI$507,4,FALSE()))</f>
        <v/>
      </c>
      <c r="BN252" s="104" t="str">
        <f aca="false">IF($BA252&gt;$AZ$7,"",VLOOKUP($BA252,$BC$8:$BI$507,5,FALSE()))</f>
        <v/>
      </c>
      <c r="BO252" s="105" t="str">
        <f aca="false">IF($BA252&gt;$AZ$7,"",VLOOKUP($BA252,$BC$8:$BI$507,6,FALSE()))</f>
        <v/>
      </c>
      <c r="BP252" s="52"/>
    </row>
    <row r="253" customFormat="false" ht="15.75" hidden="false" customHeight="false" outlineLevel="0" collapsed="false">
      <c r="A253" s="5"/>
      <c r="B253" s="114"/>
      <c r="C253" s="115"/>
      <c r="D253" s="106"/>
      <c r="E253" s="117"/>
      <c r="F253" s="87"/>
      <c r="G253" s="88"/>
      <c r="H253" s="88"/>
      <c r="I253" s="87"/>
      <c r="J253" s="88"/>
      <c r="K253" s="88"/>
      <c r="L253" s="87"/>
      <c r="M253" s="117"/>
      <c r="N253" s="90"/>
      <c r="O253" s="91" t="str">
        <f aca="false">IF(ISBLANK($C253),"",IF(E253=Constants!$B$2, TRUE(), IF(E253=Constants!$B$3, FALSE(), TRUE())))</f>
        <v/>
      </c>
      <c r="P253" s="91" t="str">
        <f aca="false">IF(ISBLANK($C253),"",IF(F253=Constants!$B$16,Constants!$B$9,IF(F253=Constants!$B$17,Constants!$B$10,Constants!$B$8)))</f>
        <v/>
      </c>
      <c r="Q253" s="91" t="str">
        <f aca="false">IF(ISBLANK($C253),"",IF(ISNUMBER(G253),IF(G253&gt;=0,G253,""),""))</f>
        <v/>
      </c>
      <c r="R253" s="91" t="str">
        <f aca="false">IF(ISBLANK($C253),"",IF(H253=Constants!$B$2, TRUE(), IF(H253=Constants!$B$3, FALSE(), TRUE())))</f>
        <v/>
      </c>
      <c r="S253" s="91" t="str">
        <f aca="false">IF(ISBLANK($C253),"",IF(I253=Constants!$B$2, TRUE(), IF(I253=Constants!$B$3, FALSE(), TRUE())))</f>
        <v/>
      </c>
      <c r="T253" s="91" t="str">
        <f aca="false">IF(ISBLANK($C253),"",IF(ISNUMBER(J253),IF(J253&gt;=0,J253,""),""))</f>
        <v/>
      </c>
      <c r="U253" s="91" t="str">
        <f aca="false">IF(ISBLANK($C253),"",IF(K253=Constants!$B$2, TRUE(), IF(K253=Constants!$B$3, FALSE(), TRUE())))</f>
        <v/>
      </c>
      <c r="V253" s="91" t="str">
        <f aca="false">IF(ISBLANK($C253),"",IF(L253=Constants!$B$2, TRUE(), IF(L253=Constants!$B$3, FALSE(), TRUE())))</f>
        <v/>
      </c>
      <c r="W253" s="91" t="str">
        <f aca="false">IF(ISBLANK($C253),"",IF(M253=Constants!$B$2, TRUE(), IF(M253=Constants!$B$3, FALSE(), FALSE())))</f>
        <v/>
      </c>
      <c r="X253" s="91" t="str">
        <f aca="false">IF(ISBLANK($C253),"",AND(Q253&lt;&gt;"",O253))</f>
        <v/>
      </c>
      <c r="Y253" s="91" t="str">
        <f aca="false">IF(ISBLANK($C253),"",AND(T253&lt;&gt;"",O253))</f>
        <v/>
      </c>
      <c r="Z253" s="91" t="str">
        <f aca="false">IF(ISBLANK($C253),"",IF(W253,Constants!$B$4,IF(COUNTA(E253:L253)=0,Constants!$B$5,IF(NOT(O253),Constants!$B$6,IF(AND(NOT(X253),NOT(Y253)),Constants!$B$6,Constants!$B$7)))))</f>
        <v/>
      </c>
      <c r="AA253" s="91" t="str">
        <f aca="false">IF(ISBLANK($C253),"",IF($Z253&lt;&gt;Constants!$B$7,$Z253,Constants!$B$20))</f>
        <v/>
      </c>
      <c r="AB253" s="91" t="str">
        <f aca="false">IF($Z253=Constants!$B$7,IF(X253,Q253,Constants!$B$13),"")</f>
        <v/>
      </c>
      <c r="AC253" s="91" t="str">
        <f aca="false">IF($Z253=Constants!$B$7,IF(X253,P253*IF(R253, 1, Constants!$B$11)*IF(S253, 1, Constants!$B$12),Constants!$B$13),"")</f>
        <v/>
      </c>
      <c r="AD253" s="91" t="str">
        <f aca="false">IF($Z253=Constants!$B$7,AB253*AC253,"")</f>
        <v/>
      </c>
      <c r="AE253" s="91" t="str">
        <f aca="false">IF($Z253=Constants!$B$7,IF(Y253,T253,Constants!$B$13),"")</f>
        <v/>
      </c>
      <c r="AF253" s="91" t="str">
        <f aca="false">IF($Z253=Constants!$B$7,IF(Y253,P253*IF(U253, 1, Constants!$B$11)*IF(V253, 1, Constants!$B$12),Constants!$B$13),"")</f>
        <v/>
      </c>
      <c r="AG253" s="91" t="str">
        <f aca="false">IF($Z253=Constants!$B$7,AE253*AF253,"")</f>
        <v/>
      </c>
      <c r="AH253" s="91" t="str">
        <f aca="false">IF($Z253=Constants!$B$7,IF(AG253&gt;AD253,2,1),"")</f>
        <v/>
      </c>
      <c r="AI253" s="91" t="str">
        <f aca="false">IF($Z253=Constants!$B$7,IF(AH253=1,2,1),"")</f>
        <v/>
      </c>
      <c r="AJ253" s="91" t="str">
        <f aca="false">IF(ISBLANK($C253),"",IF($Z253&lt;&gt;Constants!$B$7,$Z253,IF(AH253=1,AD253,AG253)))</f>
        <v/>
      </c>
      <c r="AK253" s="91" t="str">
        <f aca="false">IF(ISBLANK($C253),"",IF($Z253=Constants!$B$7,IF(ISNUMBER(AJ253),RANK(AJ253,$AJ$8:$AJ$507),Constants!$B$14),$Z253))</f>
        <v/>
      </c>
      <c r="AL253" s="91" t="str">
        <f aca="false">IF(ISBLANK($C253),"",IF($Z253=Constants!$B$7,IF(AI253=1,AD253,AG253),""))</f>
        <v/>
      </c>
      <c r="AM253" s="91" t="str">
        <f aca="false">IF(ISBLANK($C253),"",IF($Z253=Constants!$B$7,RANK(AL253,$AL$8:$AL$507),$Z253))</f>
        <v/>
      </c>
      <c r="AN253" s="91" t="str">
        <f aca="false">IF(ISBLANK($C253),"",IF($Z253=Constants!$B$7,IF(ISNUMBER(AK253),COUNTIFS($AK$8:$AK$507,"&lt;"&amp;$AK253)+COUNTIFS($AK$8:$AK$507,$AK253,$AM$8:$AM$507,"&lt;"&amp;$AM253)+1,Constants!$B$14),$Z253))</f>
        <v/>
      </c>
      <c r="AO253" s="91" t="str">
        <f aca="false">IF(ISBLANK($C253),"",IF($Z253=Constants!$B$7,IF(ISNUMBER(AK253),AK253-AN253,Constants!$B$14),$Z253))</f>
        <v/>
      </c>
      <c r="AP253" s="92"/>
      <c r="AQ253" s="93" t="str">
        <f aca="false">IF(ISBLANK($C253),"",IF($Z253&lt;&gt;Constants!$B$7,"",AH253))</f>
        <v/>
      </c>
      <c r="AR253" s="94" t="str">
        <f aca="false">IF(ISBLANK($C253),"",IF($Z253&lt;&gt;Constants!$B$7,"",IF(AH253=1,AB253,AE253)))</f>
        <v/>
      </c>
      <c r="AS253" s="95" t="str">
        <f aca="false">IF(ISBLANK($C253),"",IF($Z253&lt;&gt;Constants!$B$7,"",IF(AH253=1,AC253,AF253)))</f>
        <v/>
      </c>
      <c r="AT253" s="96" t="str">
        <f aca="false">IF(ISBLANK($C253),"",IF($Z253&lt;&gt;Constants!$B$7,$Z253,AJ253))</f>
        <v/>
      </c>
      <c r="AU253" s="97" t="str">
        <f aca="false">IF(ISBLANK($C253),"",IF($Z253&lt;&gt;Constants!$B$7,$Z253,AA253))</f>
        <v/>
      </c>
      <c r="AV253" s="98" t="str">
        <f aca="false">IF(ISBLANK($C253),"",AO253)</f>
        <v/>
      </c>
      <c r="AW253" s="98" t="str">
        <f aca="false">IF(ISBLANK($C253),"",AN253)</f>
        <v/>
      </c>
      <c r="AX253" s="99" t="str">
        <f aca="false">IF(ISBLANK($C253),"",IFERROR(_xlfn.SWITCH(AW253,Constants!$B$4,COUNTA($C$8:$C$507)+2,Constants!$B$5,COUNTA($C$8:$C$507)+1,Constants!$B$6,COUNTA($C$8:$C$507)),AW253))</f>
        <v/>
      </c>
      <c r="AY253" s="5"/>
      <c r="AZ253" s="100" t="n">
        <f aca="false">IF(OR(ISNUMBER(AW253),AW253=Constants!$B$4,AW253=Constants!$B$6,AW253=Constants!$B$5),1,0)</f>
        <v>0</v>
      </c>
      <c r="BA253" s="100" t="n">
        <v>246</v>
      </c>
      <c r="BB253" s="100" t="str">
        <f aca="false">IF(ISBLANK($C253),"",IF(ISNUMBER(AX253),AX253+ROW($B253)/1000,""))</f>
        <v/>
      </c>
      <c r="BC253" s="100" t="str">
        <f aca="false">IF(ISNUMBER(BB253),RANK(BB253,$BB$8:$BB$507,1),"")</f>
        <v/>
      </c>
      <c r="BD253" s="100" t="str">
        <f aca="false">IF(ISBLANK($C253),"",$B253)</f>
        <v/>
      </c>
      <c r="BE253" s="100" t="str">
        <f aca="false">IF(ISBLANK($C253),"",$C253)</f>
        <v/>
      </c>
      <c r="BF253" s="100" t="str">
        <f aca="false">IF(ISBLANK($C253),"",$D253)</f>
        <v/>
      </c>
      <c r="BG253" s="101" t="str">
        <f aca="false">AU253</f>
        <v/>
      </c>
      <c r="BH253" s="102" t="str">
        <f aca="false">AT253</f>
        <v/>
      </c>
      <c r="BI253" s="100" t="str">
        <f aca="false">IF(ISBLANK($C253),"",AW253)</f>
        <v/>
      </c>
      <c r="BJ253" s="103" t="str">
        <f aca="false">IF($BA253&gt;$AZ$7,"",VLOOKUP($BA253,$BC$8:$BI$507,7,FALSE()))</f>
        <v/>
      </c>
      <c r="BK253" s="104" t="str">
        <f aca="false">IF($BA253&gt;$AZ$7,"",VLOOKUP($BA253,$BC$8:$BI$507,2,FALSE()))</f>
        <v/>
      </c>
      <c r="BL253" s="104" t="str">
        <f aca="false">IF($BA253&gt;$AZ$7,"",VLOOKUP($BA253,$BC$8:$BI$507,3,FALSE()))</f>
        <v/>
      </c>
      <c r="BM253" s="104" t="str">
        <f aca="false">IF($BA253&gt;$AZ$7,"",VLOOKUP($BA253,$BC$8:$BI$507,4,FALSE()))</f>
        <v/>
      </c>
      <c r="BN253" s="104" t="str">
        <f aca="false">IF($BA253&gt;$AZ$7,"",VLOOKUP($BA253,$BC$8:$BI$507,5,FALSE()))</f>
        <v/>
      </c>
      <c r="BO253" s="105" t="str">
        <f aca="false">IF($BA253&gt;$AZ$7,"",VLOOKUP($BA253,$BC$8:$BI$507,6,FALSE()))</f>
        <v/>
      </c>
      <c r="BP253" s="52"/>
    </row>
    <row r="254" customFormat="false" ht="15.75" hidden="false" customHeight="false" outlineLevel="0" collapsed="false">
      <c r="A254" s="5"/>
      <c r="B254" s="118"/>
      <c r="C254" s="54"/>
      <c r="D254" s="55"/>
      <c r="E254" s="79"/>
      <c r="F254" s="57"/>
      <c r="G254" s="58"/>
      <c r="H254" s="58"/>
      <c r="I254" s="57"/>
      <c r="J254" s="58"/>
      <c r="K254" s="58"/>
      <c r="L254" s="57"/>
      <c r="M254" s="79"/>
      <c r="N254" s="60"/>
      <c r="O254" s="62" t="str">
        <f aca="false">IF(ISBLANK($C254),"",IF(E254=Constants!$B$2, TRUE(), IF(E254=Constants!$B$3, FALSE(), TRUE())))</f>
        <v/>
      </c>
      <c r="P254" s="62" t="str">
        <f aca="false">IF(ISBLANK($C254),"",IF(F254=Constants!$B$16,Constants!$B$9,IF(F254=Constants!$B$17,Constants!$B$10,Constants!$B$8)))</f>
        <v/>
      </c>
      <c r="Q254" s="62" t="str">
        <f aca="false">IF(ISBLANK($C254),"",IF(ISNUMBER(G254),IF(G254&gt;=0,G254,""),""))</f>
        <v/>
      </c>
      <c r="R254" s="62" t="str">
        <f aca="false">IF(ISBLANK($C254),"",IF(H254=Constants!$B$2, TRUE(), IF(H254=Constants!$B$3, FALSE(), TRUE())))</f>
        <v/>
      </c>
      <c r="S254" s="62" t="str">
        <f aca="false">IF(ISBLANK($C254),"",IF(I254=Constants!$B$2, TRUE(), IF(I254=Constants!$B$3, FALSE(), TRUE())))</f>
        <v/>
      </c>
      <c r="T254" s="62" t="str">
        <f aca="false">IF(ISBLANK($C254),"",IF(ISNUMBER(J254),IF(J254&gt;=0,J254,""),""))</f>
        <v/>
      </c>
      <c r="U254" s="62" t="str">
        <f aca="false">IF(ISBLANK($C254),"",IF(K254=Constants!$B$2, TRUE(), IF(K254=Constants!$B$3, FALSE(), TRUE())))</f>
        <v/>
      </c>
      <c r="V254" s="62" t="str">
        <f aca="false">IF(ISBLANK($C254),"",IF(L254=Constants!$B$2, TRUE(), IF(L254=Constants!$B$3, FALSE(), TRUE())))</f>
        <v/>
      </c>
      <c r="W254" s="62" t="str">
        <f aca="false">IF(ISBLANK($C254),"",IF(M254=Constants!$B$2, TRUE(), IF(M254=Constants!$B$3, FALSE(), FALSE())))</f>
        <v/>
      </c>
      <c r="X254" s="62" t="str">
        <f aca="false">IF(ISBLANK($C254),"",AND(Q254&lt;&gt;"",O254))</f>
        <v/>
      </c>
      <c r="Y254" s="62" t="str">
        <f aca="false">IF(ISBLANK($C254),"",AND(T254&lt;&gt;"",O254))</f>
        <v/>
      </c>
      <c r="Z254" s="62" t="str">
        <f aca="false">IF(ISBLANK($C254),"",IF(W254,Constants!$B$4,IF(COUNTA(E254:L254)=0,Constants!$B$5,IF(NOT(O254),Constants!$B$6,IF(AND(NOT(X254),NOT(Y254)),Constants!$B$6,Constants!$B$7)))))</f>
        <v/>
      </c>
      <c r="AA254" s="62" t="str">
        <f aca="false">IF(ISBLANK($C254),"",IF($Z254&lt;&gt;Constants!$B$7,$Z254,Constants!$B$20))</f>
        <v/>
      </c>
      <c r="AB254" s="62" t="str">
        <f aca="false">IF($Z254=Constants!$B$7,IF(X254,Q254,Constants!$B$13),"")</f>
        <v/>
      </c>
      <c r="AC254" s="62" t="str">
        <f aca="false">IF($Z254=Constants!$B$7,IF(X254,P254*IF(R254, 1, Constants!$B$11)*IF(S254, 1, Constants!$B$12),Constants!$B$13),"")</f>
        <v/>
      </c>
      <c r="AD254" s="62" t="str">
        <f aca="false">IF($Z254=Constants!$B$7,AB254*AC254,"")</f>
        <v/>
      </c>
      <c r="AE254" s="62" t="str">
        <f aca="false">IF($Z254=Constants!$B$7,IF(Y254,T254,Constants!$B$13),"")</f>
        <v/>
      </c>
      <c r="AF254" s="62" t="str">
        <f aca="false">IF($Z254=Constants!$B$7,IF(Y254,P254*IF(U254, 1, Constants!$B$11)*IF(V254, 1, Constants!$B$12),Constants!$B$13),"")</f>
        <v/>
      </c>
      <c r="AG254" s="62" t="str">
        <f aca="false">IF($Z254=Constants!$B$7,AE254*AF254,"")</f>
        <v/>
      </c>
      <c r="AH254" s="62" t="str">
        <f aca="false">IF($Z254=Constants!$B$7,IF(AG254&gt;AD254,2,1),"")</f>
        <v/>
      </c>
      <c r="AI254" s="62" t="str">
        <f aca="false">IF($Z254=Constants!$B$7,IF(AH254=1,2,1),"")</f>
        <v/>
      </c>
      <c r="AJ254" s="62" t="str">
        <f aca="false">IF(ISBLANK($C254),"",IF($Z254&lt;&gt;Constants!$B$7,$Z254,IF(AH254=1,AD254,AG254)))</f>
        <v/>
      </c>
      <c r="AK254" s="62" t="str">
        <f aca="false">IF(ISBLANK($C254),"",IF($Z254=Constants!$B$7,IF(ISNUMBER(AJ254),RANK(AJ254,$AJ$8:$AJ$507),Constants!$B$14),$Z254))</f>
        <v/>
      </c>
      <c r="AL254" s="62" t="str">
        <f aca="false">IF(ISBLANK($C254),"",IF($Z254=Constants!$B$7,IF(AI254=1,AD254,AG254),""))</f>
        <v/>
      </c>
      <c r="AM254" s="62" t="str">
        <f aca="false">IF(ISBLANK($C254),"",IF($Z254=Constants!$B$7,RANK(AL254,$AL$8:$AL$507),$Z254))</f>
        <v/>
      </c>
      <c r="AN254" s="62" t="str">
        <f aca="false">IF(ISBLANK($C254),"",IF($Z254=Constants!$B$7,IF(ISNUMBER(AK254),COUNTIFS($AK$8:$AK$507,"&lt;"&amp;$AK254)+COUNTIFS($AK$8:$AK$507,$AK254,$AM$8:$AM$507,"&lt;"&amp;$AM254)+1,Constants!$B$14),$Z254))</f>
        <v/>
      </c>
      <c r="AO254" s="62" t="str">
        <f aca="false">IF(ISBLANK($C254),"",IF($Z254=Constants!$B$7,IF(ISNUMBER(AK254),AK254-AN254,Constants!$B$14),$Z254))</f>
        <v/>
      </c>
      <c r="AP254" s="64"/>
      <c r="AQ254" s="65" t="str">
        <f aca="false">IF(ISBLANK($C254),"",IF($Z254&lt;&gt;Constants!$B$7,"",AH254))</f>
        <v/>
      </c>
      <c r="AR254" s="80" t="str">
        <f aca="false">IF(ISBLANK($C254),"",IF($Z254&lt;&gt;Constants!$B$7,"",IF(AH254=1,AB254,AE254)))</f>
        <v/>
      </c>
      <c r="AS254" s="67" t="str">
        <f aca="false">IF(ISBLANK($C254),"",IF($Z254&lt;&gt;Constants!$B$7,"",IF(AH254=1,AC254,AF254)))</f>
        <v/>
      </c>
      <c r="AT254" s="68" t="str">
        <f aca="false">IF(ISBLANK($C254),"",IF($Z254&lt;&gt;Constants!$B$7,$Z254,AJ254))</f>
        <v/>
      </c>
      <c r="AU254" s="69" t="str">
        <f aca="false">IF(ISBLANK($C254),"",IF($Z254&lt;&gt;Constants!$B$7,$Z254,AA254))</f>
        <v/>
      </c>
      <c r="AV254" s="70" t="str">
        <f aca="false">IF(ISBLANK($C254),"",AO254)</f>
        <v/>
      </c>
      <c r="AW254" s="70" t="str">
        <f aca="false">IF(ISBLANK($C254),"",AN254)</f>
        <v/>
      </c>
      <c r="AX254" s="71" t="str">
        <f aca="false">IF(ISBLANK($C254),"",IFERROR(_xlfn.SWITCH(AW254,Constants!$B$4,COUNTA($C$8:$C$507)+2,Constants!$B$5,COUNTA($C$8:$C$507)+1,Constants!$B$6,COUNTA($C$8:$C$507)),AW254))</f>
        <v/>
      </c>
      <c r="AY254" s="5"/>
      <c r="AZ254" s="72" t="n">
        <f aca="false">IF(OR(ISNUMBER(AW254),AW254=Constants!$B$4,AW254=Constants!$B$6,AW254=Constants!$B$5),1,0)</f>
        <v>0</v>
      </c>
      <c r="BA254" s="72" t="n">
        <v>247</v>
      </c>
      <c r="BB254" s="72" t="str">
        <f aca="false">IF(ISBLANK($C254),"",IF(ISNUMBER(AX254),AX254+ROW($B254)/1000,""))</f>
        <v/>
      </c>
      <c r="BC254" s="72" t="str">
        <f aca="false">IF(ISNUMBER(BB254),RANK(BB254,$BB$8:$BB$507,1),"")</f>
        <v/>
      </c>
      <c r="BD254" s="72" t="str">
        <f aca="false">IF(ISBLANK($C254),"",$B254)</f>
        <v/>
      </c>
      <c r="BE254" s="72" t="str">
        <f aca="false">IF(ISBLANK($C254),"",$C254)</f>
        <v/>
      </c>
      <c r="BF254" s="72" t="str">
        <f aca="false">IF(ISBLANK($C254),"",$D254)</f>
        <v/>
      </c>
      <c r="BG254" s="73" t="str">
        <f aca="false">AU254</f>
        <v/>
      </c>
      <c r="BH254" s="74" t="str">
        <f aca="false">AT254</f>
        <v/>
      </c>
      <c r="BI254" s="72" t="str">
        <f aca="false">IF(ISBLANK($C254),"",AW254)</f>
        <v/>
      </c>
      <c r="BJ254" s="75" t="str">
        <f aca="false">IF($BA254&gt;$AZ$7,"",VLOOKUP($BA254,$BC$8:$BI$507,7,FALSE()))</f>
        <v/>
      </c>
      <c r="BK254" s="76" t="str">
        <f aca="false">IF($BA254&gt;$AZ$7,"",VLOOKUP($BA254,$BC$8:$BI$507,2,FALSE()))</f>
        <v/>
      </c>
      <c r="BL254" s="76" t="str">
        <f aca="false">IF($BA254&gt;$AZ$7,"",VLOOKUP($BA254,$BC$8:$BI$507,3,FALSE()))</f>
        <v/>
      </c>
      <c r="BM254" s="76" t="str">
        <f aca="false">IF($BA254&gt;$AZ$7,"",VLOOKUP($BA254,$BC$8:$BI$507,4,FALSE()))</f>
        <v/>
      </c>
      <c r="BN254" s="76" t="str">
        <f aca="false">IF($BA254&gt;$AZ$7,"",VLOOKUP($BA254,$BC$8:$BI$507,5,FALSE()))</f>
        <v/>
      </c>
      <c r="BO254" s="77" t="str">
        <f aca="false">IF($BA254&gt;$AZ$7,"",VLOOKUP($BA254,$BC$8:$BI$507,6,FALSE()))</f>
        <v/>
      </c>
      <c r="BP254" s="52"/>
    </row>
    <row r="255" customFormat="false" ht="15.75" hidden="false" customHeight="false" outlineLevel="0" collapsed="false">
      <c r="A255" s="5"/>
      <c r="B255" s="118"/>
      <c r="C255" s="54"/>
      <c r="D255" s="55"/>
      <c r="E255" s="79"/>
      <c r="F255" s="57"/>
      <c r="G255" s="58"/>
      <c r="H255" s="58"/>
      <c r="I255" s="57"/>
      <c r="J255" s="58"/>
      <c r="K255" s="58"/>
      <c r="L255" s="57"/>
      <c r="M255" s="79"/>
      <c r="N255" s="60"/>
      <c r="O255" s="62" t="str">
        <f aca="false">IF(ISBLANK($C255),"",IF(E255=Constants!$B$2, TRUE(), IF(E255=Constants!$B$3, FALSE(), TRUE())))</f>
        <v/>
      </c>
      <c r="P255" s="62" t="str">
        <f aca="false">IF(ISBLANK($C255),"",IF(F255=Constants!$B$16,Constants!$B$9,IF(F255=Constants!$B$17,Constants!$B$10,Constants!$B$8)))</f>
        <v/>
      </c>
      <c r="Q255" s="62" t="str">
        <f aca="false">IF(ISBLANK($C255),"",IF(ISNUMBER(G255),IF(G255&gt;=0,G255,""),""))</f>
        <v/>
      </c>
      <c r="R255" s="62" t="str">
        <f aca="false">IF(ISBLANK($C255),"",IF(H255=Constants!$B$2, TRUE(), IF(H255=Constants!$B$3, FALSE(), TRUE())))</f>
        <v/>
      </c>
      <c r="S255" s="62" t="str">
        <f aca="false">IF(ISBLANK($C255),"",IF(I255=Constants!$B$2, TRUE(), IF(I255=Constants!$B$3, FALSE(), TRUE())))</f>
        <v/>
      </c>
      <c r="T255" s="62" t="str">
        <f aca="false">IF(ISBLANK($C255),"",IF(ISNUMBER(J255),IF(J255&gt;=0,J255,""),""))</f>
        <v/>
      </c>
      <c r="U255" s="62" t="str">
        <f aca="false">IF(ISBLANK($C255),"",IF(K255=Constants!$B$2, TRUE(), IF(K255=Constants!$B$3, FALSE(), TRUE())))</f>
        <v/>
      </c>
      <c r="V255" s="62" t="str">
        <f aca="false">IF(ISBLANK($C255),"",IF(L255=Constants!$B$2, TRUE(), IF(L255=Constants!$B$3, FALSE(), TRUE())))</f>
        <v/>
      </c>
      <c r="W255" s="62" t="str">
        <f aca="false">IF(ISBLANK($C255),"",IF(M255=Constants!$B$2, TRUE(), IF(M255=Constants!$B$3, FALSE(), FALSE())))</f>
        <v/>
      </c>
      <c r="X255" s="62" t="str">
        <f aca="false">IF(ISBLANK($C255),"",AND(Q255&lt;&gt;"",O255))</f>
        <v/>
      </c>
      <c r="Y255" s="62" t="str">
        <f aca="false">IF(ISBLANK($C255),"",AND(T255&lt;&gt;"",O255))</f>
        <v/>
      </c>
      <c r="Z255" s="62" t="str">
        <f aca="false">IF(ISBLANK($C255),"",IF(W255,Constants!$B$4,IF(COUNTA(E255:L255)=0,Constants!$B$5,IF(NOT(O255),Constants!$B$6,IF(AND(NOT(X255),NOT(Y255)),Constants!$B$6,Constants!$B$7)))))</f>
        <v/>
      </c>
      <c r="AA255" s="62" t="str">
        <f aca="false">IF(ISBLANK($C255),"",IF($Z255&lt;&gt;Constants!$B$7,$Z255,Constants!$B$20))</f>
        <v/>
      </c>
      <c r="AB255" s="62" t="str">
        <f aca="false">IF($Z255=Constants!$B$7,IF(X255,Q255,Constants!$B$13),"")</f>
        <v/>
      </c>
      <c r="AC255" s="62" t="str">
        <f aca="false">IF($Z255=Constants!$B$7,IF(X255,P255*IF(R255, 1, Constants!$B$11)*IF(S255, 1, Constants!$B$12),Constants!$B$13),"")</f>
        <v/>
      </c>
      <c r="AD255" s="62" t="str">
        <f aca="false">IF($Z255=Constants!$B$7,AB255*AC255,"")</f>
        <v/>
      </c>
      <c r="AE255" s="62" t="str">
        <f aca="false">IF($Z255=Constants!$B$7,IF(Y255,T255,Constants!$B$13),"")</f>
        <v/>
      </c>
      <c r="AF255" s="62" t="str">
        <f aca="false">IF($Z255=Constants!$B$7,IF(Y255,P255*IF(U255, 1, Constants!$B$11)*IF(V255, 1, Constants!$B$12),Constants!$B$13),"")</f>
        <v/>
      </c>
      <c r="AG255" s="62" t="str">
        <f aca="false">IF($Z255=Constants!$B$7,AE255*AF255,"")</f>
        <v/>
      </c>
      <c r="AH255" s="62" t="str">
        <f aca="false">IF($Z255=Constants!$B$7,IF(AG255&gt;AD255,2,1),"")</f>
        <v/>
      </c>
      <c r="AI255" s="62" t="str">
        <f aca="false">IF($Z255=Constants!$B$7,IF(AH255=1,2,1),"")</f>
        <v/>
      </c>
      <c r="AJ255" s="62" t="str">
        <f aca="false">IF(ISBLANK($C255),"",IF($Z255&lt;&gt;Constants!$B$7,$Z255,IF(AH255=1,AD255,AG255)))</f>
        <v/>
      </c>
      <c r="AK255" s="62" t="str">
        <f aca="false">IF(ISBLANK($C255),"",IF($Z255=Constants!$B$7,IF(ISNUMBER(AJ255),RANK(AJ255,$AJ$8:$AJ$507),Constants!$B$14),$Z255))</f>
        <v/>
      </c>
      <c r="AL255" s="62" t="str">
        <f aca="false">IF(ISBLANK($C255),"",IF($Z255=Constants!$B$7,IF(AI255=1,AD255,AG255),""))</f>
        <v/>
      </c>
      <c r="AM255" s="62" t="str">
        <f aca="false">IF(ISBLANK($C255),"",IF($Z255=Constants!$B$7,RANK(AL255,$AL$8:$AL$507),$Z255))</f>
        <v/>
      </c>
      <c r="AN255" s="62" t="str">
        <f aca="false">IF(ISBLANK($C255),"",IF($Z255=Constants!$B$7,IF(ISNUMBER(AK255),COUNTIFS($AK$8:$AK$507,"&lt;"&amp;$AK255)+COUNTIFS($AK$8:$AK$507,$AK255,$AM$8:$AM$507,"&lt;"&amp;$AM255)+1,Constants!$B$14),$Z255))</f>
        <v/>
      </c>
      <c r="AO255" s="62" t="str">
        <f aca="false">IF(ISBLANK($C255),"",IF($Z255=Constants!$B$7,IF(ISNUMBER(AK255),AK255-AN255,Constants!$B$14),$Z255))</f>
        <v/>
      </c>
      <c r="AP255" s="64"/>
      <c r="AQ255" s="65" t="str">
        <f aca="false">IF(ISBLANK($C255),"",IF($Z255&lt;&gt;Constants!$B$7,"",AH255))</f>
        <v/>
      </c>
      <c r="AR255" s="80" t="str">
        <f aca="false">IF(ISBLANK($C255),"",IF($Z255&lt;&gt;Constants!$B$7,"",IF(AH255=1,AB255,AE255)))</f>
        <v/>
      </c>
      <c r="AS255" s="67" t="str">
        <f aca="false">IF(ISBLANK($C255),"",IF($Z255&lt;&gt;Constants!$B$7,"",IF(AH255=1,AC255,AF255)))</f>
        <v/>
      </c>
      <c r="AT255" s="68" t="str">
        <f aca="false">IF(ISBLANK($C255),"",IF($Z255&lt;&gt;Constants!$B$7,$Z255,AJ255))</f>
        <v/>
      </c>
      <c r="AU255" s="69" t="str">
        <f aca="false">IF(ISBLANK($C255),"",IF($Z255&lt;&gt;Constants!$B$7,$Z255,AA255))</f>
        <v/>
      </c>
      <c r="AV255" s="70" t="str">
        <f aca="false">IF(ISBLANK($C255),"",AO255)</f>
        <v/>
      </c>
      <c r="AW255" s="70" t="str">
        <f aca="false">IF(ISBLANK($C255),"",AN255)</f>
        <v/>
      </c>
      <c r="AX255" s="71" t="str">
        <f aca="false">IF(ISBLANK($C255),"",IFERROR(_xlfn.SWITCH(AW255,Constants!$B$4,COUNTA($C$8:$C$507)+2,Constants!$B$5,COUNTA($C$8:$C$507)+1,Constants!$B$6,COUNTA($C$8:$C$507)),AW255))</f>
        <v/>
      </c>
      <c r="AY255" s="5"/>
      <c r="AZ255" s="72" t="n">
        <f aca="false">IF(OR(ISNUMBER(AW255),AW255=Constants!$B$4,AW255=Constants!$B$6,AW255=Constants!$B$5),1,0)</f>
        <v>0</v>
      </c>
      <c r="BA255" s="72" t="n">
        <v>248</v>
      </c>
      <c r="BB255" s="72" t="str">
        <f aca="false">IF(ISBLANK($C255),"",IF(ISNUMBER(AX255),AX255+ROW($B255)/1000,""))</f>
        <v/>
      </c>
      <c r="BC255" s="72" t="str">
        <f aca="false">IF(ISNUMBER(BB255),RANK(BB255,$BB$8:$BB$507,1),"")</f>
        <v/>
      </c>
      <c r="BD255" s="72" t="str">
        <f aca="false">IF(ISBLANK($C255),"",$B255)</f>
        <v/>
      </c>
      <c r="BE255" s="72" t="str">
        <f aca="false">IF(ISBLANK($C255),"",$C255)</f>
        <v/>
      </c>
      <c r="BF255" s="72" t="str">
        <f aca="false">IF(ISBLANK($C255),"",$D255)</f>
        <v/>
      </c>
      <c r="BG255" s="73" t="str">
        <f aca="false">AU255</f>
        <v/>
      </c>
      <c r="BH255" s="74" t="str">
        <f aca="false">AT255</f>
        <v/>
      </c>
      <c r="BI255" s="72" t="str">
        <f aca="false">IF(ISBLANK($C255),"",AW255)</f>
        <v/>
      </c>
      <c r="BJ255" s="75" t="str">
        <f aca="false">IF($BA255&gt;$AZ$7,"",VLOOKUP($BA255,$BC$8:$BI$507,7,FALSE()))</f>
        <v/>
      </c>
      <c r="BK255" s="76" t="str">
        <f aca="false">IF($BA255&gt;$AZ$7,"",VLOOKUP($BA255,$BC$8:$BI$507,2,FALSE()))</f>
        <v/>
      </c>
      <c r="BL255" s="76" t="str">
        <f aca="false">IF($BA255&gt;$AZ$7,"",VLOOKUP($BA255,$BC$8:$BI$507,3,FALSE()))</f>
        <v/>
      </c>
      <c r="BM255" s="76" t="str">
        <f aca="false">IF($BA255&gt;$AZ$7,"",VLOOKUP($BA255,$BC$8:$BI$507,4,FALSE()))</f>
        <v/>
      </c>
      <c r="BN255" s="76" t="str">
        <f aca="false">IF($BA255&gt;$AZ$7,"",VLOOKUP($BA255,$BC$8:$BI$507,5,FALSE()))</f>
        <v/>
      </c>
      <c r="BO255" s="77" t="str">
        <f aca="false">IF($BA255&gt;$AZ$7,"",VLOOKUP($BA255,$BC$8:$BI$507,6,FALSE()))</f>
        <v/>
      </c>
      <c r="BP255" s="52"/>
    </row>
    <row r="256" customFormat="false" ht="15.75" hidden="false" customHeight="false" outlineLevel="0" collapsed="false">
      <c r="A256" s="5"/>
      <c r="B256" s="118"/>
      <c r="C256" s="54"/>
      <c r="D256" s="55"/>
      <c r="E256" s="79"/>
      <c r="F256" s="57"/>
      <c r="G256" s="58"/>
      <c r="H256" s="58"/>
      <c r="I256" s="57"/>
      <c r="J256" s="58"/>
      <c r="K256" s="58"/>
      <c r="L256" s="57"/>
      <c r="M256" s="79"/>
      <c r="N256" s="60"/>
      <c r="O256" s="62" t="str">
        <f aca="false">IF(ISBLANK($C256),"",IF(E256=Constants!$B$2, TRUE(), IF(E256=Constants!$B$3, FALSE(), TRUE())))</f>
        <v/>
      </c>
      <c r="P256" s="62" t="str">
        <f aca="false">IF(ISBLANK($C256),"",IF(F256=Constants!$B$16,Constants!$B$9,IF(F256=Constants!$B$17,Constants!$B$10,Constants!$B$8)))</f>
        <v/>
      </c>
      <c r="Q256" s="62" t="str">
        <f aca="false">IF(ISBLANK($C256),"",IF(ISNUMBER(G256),IF(G256&gt;=0,G256,""),""))</f>
        <v/>
      </c>
      <c r="R256" s="62" t="str">
        <f aca="false">IF(ISBLANK($C256),"",IF(H256=Constants!$B$2, TRUE(), IF(H256=Constants!$B$3, FALSE(), TRUE())))</f>
        <v/>
      </c>
      <c r="S256" s="62" t="str">
        <f aca="false">IF(ISBLANK($C256),"",IF(I256=Constants!$B$2, TRUE(), IF(I256=Constants!$B$3, FALSE(), TRUE())))</f>
        <v/>
      </c>
      <c r="T256" s="62" t="str">
        <f aca="false">IF(ISBLANK($C256),"",IF(ISNUMBER(J256),IF(J256&gt;=0,J256,""),""))</f>
        <v/>
      </c>
      <c r="U256" s="62" t="str">
        <f aca="false">IF(ISBLANK($C256),"",IF(K256=Constants!$B$2, TRUE(), IF(K256=Constants!$B$3, FALSE(), TRUE())))</f>
        <v/>
      </c>
      <c r="V256" s="62" t="str">
        <f aca="false">IF(ISBLANK($C256),"",IF(L256=Constants!$B$2, TRUE(), IF(L256=Constants!$B$3, FALSE(), TRUE())))</f>
        <v/>
      </c>
      <c r="W256" s="62" t="str">
        <f aca="false">IF(ISBLANK($C256),"",IF(M256=Constants!$B$2, TRUE(), IF(M256=Constants!$B$3, FALSE(), FALSE())))</f>
        <v/>
      </c>
      <c r="X256" s="62" t="str">
        <f aca="false">IF(ISBLANK($C256),"",AND(Q256&lt;&gt;"",O256))</f>
        <v/>
      </c>
      <c r="Y256" s="62" t="str">
        <f aca="false">IF(ISBLANK($C256),"",AND(T256&lt;&gt;"",O256))</f>
        <v/>
      </c>
      <c r="Z256" s="62" t="str">
        <f aca="false">IF(ISBLANK($C256),"",IF(W256,Constants!$B$4,IF(COUNTA(E256:L256)=0,Constants!$B$5,IF(NOT(O256),Constants!$B$6,IF(AND(NOT(X256),NOT(Y256)),Constants!$B$6,Constants!$B$7)))))</f>
        <v/>
      </c>
      <c r="AA256" s="62" t="str">
        <f aca="false">IF(ISBLANK($C256),"",IF($Z256&lt;&gt;Constants!$B$7,$Z256,Constants!$B$20))</f>
        <v/>
      </c>
      <c r="AB256" s="62" t="str">
        <f aca="false">IF($Z256=Constants!$B$7,IF(X256,Q256,Constants!$B$13),"")</f>
        <v/>
      </c>
      <c r="AC256" s="62" t="str">
        <f aca="false">IF($Z256=Constants!$B$7,IF(X256,P256*IF(R256, 1, Constants!$B$11)*IF(S256, 1, Constants!$B$12),Constants!$B$13),"")</f>
        <v/>
      </c>
      <c r="AD256" s="62" t="str">
        <f aca="false">IF($Z256=Constants!$B$7,AB256*AC256,"")</f>
        <v/>
      </c>
      <c r="AE256" s="62" t="str">
        <f aca="false">IF($Z256=Constants!$B$7,IF(Y256,T256,Constants!$B$13),"")</f>
        <v/>
      </c>
      <c r="AF256" s="62" t="str">
        <f aca="false">IF($Z256=Constants!$B$7,IF(Y256,P256*IF(U256, 1, Constants!$B$11)*IF(V256, 1, Constants!$B$12),Constants!$B$13),"")</f>
        <v/>
      </c>
      <c r="AG256" s="62" t="str">
        <f aca="false">IF($Z256=Constants!$B$7,AE256*AF256,"")</f>
        <v/>
      </c>
      <c r="AH256" s="62" t="str">
        <f aca="false">IF($Z256=Constants!$B$7,IF(AG256&gt;AD256,2,1),"")</f>
        <v/>
      </c>
      <c r="AI256" s="62" t="str">
        <f aca="false">IF($Z256=Constants!$B$7,IF(AH256=1,2,1),"")</f>
        <v/>
      </c>
      <c r="AJ256" s="62" t="str">
        <f aca="false">IF(ISBLANK($C256),"",IF($Z256&lt;&gt;Constants!$B$7,$Z256,IF(AH256=1,AD256,AG256)))</f>
        <v/>
      </c>
      <c r="AK256" s="62" t="str">
        <f aca="false">IF(ISBLANK($C256),"",IF($Z256=Constants!$B$7,IF(ISNUMBER(AJ256),RANK(AJ256,$AJ$8:$AJ$507),Constants!$B$14),$Z256))</f>
        <v/>
      </c>
      <c r="AL256" s="62" t="str">
        <f aca="false">IF(ISBLANK($C256),"",IF($Z256=Constants!$B$7,IF(AI256=1,AD256,AG256),""))</f>
        <v/>
      </c>
      <c r="AM256" s="62" t="str">
        <f aca="false">IF(ISBLANK($C256),"",IF($Z256=Constants!$B$7,RANK(AL256,$AL$8:$AL$507),$Z256))</f>
        <v/>
      </c>
      <c r="AN256" s="62" t="str">
        <f aca="false">IF(ISBLANK($C256),"",IF($Z256=Constants!$B$7,IF(ISNUMBER(AK256),COUNTIFS($AK$8:$AK$507,"&lt;"&amp;$AK256)+COUNTIFS($AK$8:$AK$507,$AK256,$AM$8:$AM$507,"&lt;"&amp;$AM256)+1,Constants!$B$14),$Z256))</f>
        <v/>
      </c>
      <c r="AO256" s="62" t="str">
        <f aca="false">IF(ISBLANK($C256),"",IF($Z256=Constants!$B$7,IF(ISNUMBER(AK256),AK256-AN256,Constants!$B$14),$Z256))</f>
        <v/>
      </c>
      <c r="AP256" s="64"/>
      <c r="AQ256" s="65" t="str">
        <f aca="false">IF(ISBLANK($C256),"",IF($Z256&lt;&gt;Constants!$B$7,"",AH256))</f>
        <v/>
      </c>
      <c r="AR256" s="80" t="str">
        <f aca="false">IF(ISBLANK($C256),"",IF($Z256&lt;&gt;Constants!$B$7,"",IF(AH256=1,AB256,AE256)))</f>
        <v/>
      </c>
      <c r="AS256" s="67" t="str">
        <f aca="false">IF(ISBLANK($C256),"",IF($Z256&lt;&gt;Constants!$B$7,"",IF(AH256=1,AC256,AF256)))</f>
        <v/>
      </c>
      <c r="AT256" s="68" t="str">
        <f aca="false">IF(ISBLANK($C256),"",IF($Z256&lt;&gt;Constants!$B$7,$Z256,AJ256))</f>
        <v/>
      </c>
      <c r="AU256" s="69" t="str">
        <f aca="false">IF(ISBLANK($C256),"",IF($Z256&lt;&gt;Constants!$B$7,$Z256,AA256))</f>
        <v/>
      </c>
      <c r="AV256" s="70" t="str">
        <f aca="false">IF(ISBLANK($C256),"",AO256)</f>
        <v/>
      </c>
      <c r="AW256" s="70" t="str">
        <f aca="false">IF(ISBLANK($C256),"",AN256)</f>
        <v/>
      </c>
      <c r="AX256" s="71" t="str">
        <f aca="false">IF(ISBLANK($C256),"",IFERROR(_xlfn.SWITCH(AW256,Constants!$B$4,COUNTA($C$8:$C$507)+2,Constants!$B$5,COUNTA($C$8:$C$507)+1,Constants!$B$6,COUNTA($C$8:$C$507)),AW256))</f>
        <v/>
      </c>
      <c r="AY256" s="5"/>
      <c r="AZ256" s="72" t="n">
        <f aca="false">IF(OR(ISNUMBER(AW256),AW256=Constants!$B$4,AW256=Constants!$B$6,AW256=Constants!$B$5),1,0)</f>
        <v>0</v>
      </c>
      <c r="BA256" s="72" t="n">
        <v>249</v>
      </c>
      <c r="BB256" s="72" t="str">
        <f aca="false">IF(ISBLANK($C256),"",IF(ISNUMBER(AX256),AX256+ROW($B256)/1000,""))</f>
        <v/>
      </c>
      <c r="BC256" s="72" t="str">
        <f aca="false">IF(ISNUMBER(BB256),RANK(BB256,$BB$8:$BB$507,1),"")</f>
        <v/>
      </c>
      <c r="BD256" s="72" t="str">
        <f aca="false">IF(ISBLANK($C256),"",$B256)</f>
        <v/>
      </c>
      <c r="BE256" s="72" t="str">
        <f aca="false">IF(ISBLANK($C256),"",$C256)</f>
        <v/>
      </c>
      <c r="BF256" s="72" t="str">
        <f aca="false">IF(ISBLANK($C256),"",$D256)</f>
        <v/>
      </c>
      <c r="BG256" s="73" t="str">
        <f aca="false">AU256</f>
        <v/>
      </c>
      <c r="BH256" s="74" t="str">
        <f aca="false">AT256</f>
        <v/>
      </c>
      <c r="BI256" s="72" t="str">
        <f aca="false">IF(ISBLANK($C256),"",AW256)</f>
        <v/>
      </c>
      <c r="BJ256" s="75" t="str">
        <f aca="false">IF($BA256&gt;$AZ$7,"",VLOOKUP($BA256,$BC$8:$BI$507,7,FALSE()))</f>
        <v/>
      </c>
      <c r="BK256" s="76" t="str">
        <f aca="false">IF($BA256&gt;$AZ$7,"",VLOOKUP($BA256,$BC$8:$BI$507,2,FALSE()))</f>
        <v/>
      </c>
      <c r="BL256" s="76" t="str">
        <f aca="false">IF($BA256&gt;$AZ$7,"",VLOOKUP($BA256,$BC$8:$BI$507,3,FALSE()))</f>
        <v/>
      </c>
      <c r="BM256" s="76" t="str">
        <f aca="false">IF($BA256&gt;$AZ$7,"",VLOOKUP($BA256,$BC$8:$BI$507,4,FALSE()))</f>
        <v/>
      </c>
      <c r="BN256" s="76" t="str">
        <f aca="false">IF($BA256&gt;$AZ$7,"",VLOOKUP($BA256,$BC$8:$BI$507,5,FALSE()))</f>
        <v/>
      </c>
      <c r="BO256" s="77" t="str">
        <f aca="false">IF($BA256&gt;$AZ$7,"",VLOOKUP($BA256,$BC$8:$BI$507,6,FALSE()))</f>
        <v/>
      </c>
      <c r="BP256" s="52"/>
    </row>
    <row r="257" customFormat="false" ht="15.75" hidden="false" customHeight="false" outlineLevel="0" collapsed="false">
      <c r="A257" s="5"/>
      <c r="B257" s="114"/>
      <c r="C257" s="115"/>
      <c r="D257" s="106"/>
      <c r="E257" s="117"/>
      <c r="F257" s="87"/>
      <c r="G257" s="88"/>
      <c r="H257" s="88"/>
      <c r="I257" s="87"/>
      <c r="J257" s="88"/>
      <c r="K257" s="88"/>
      <c r="L257" s="87"/>
      <c r="M257" s="117"/>
      <c r="N257" s="90"/>
      <c r="O257" s="91" t="str">
        <f aca="false">IF(ISBLANK($C257),"",IF(E257=Constants!$B$2, TRUE(), IF(E257=Constants!$B$3, FALSE(), TRUE())))</f>
        <v/>
      </c>
      <c r="P257" s="91" t="str">
        <f aca="false">IF(ISBLANK($C257),"",IF(F257=Constants!$B$16,Constants!$B$9,IF(F257=Constants!$B$17,Constants!$B$10,Constants!$B$8)))</f>
        <v/>
      </c>
      <c r="Q257" s="91" t="str">
        <f aca="false">IF(ISBLANK($C257),"",IF(ISNUMBER(G257),IF(G257&gt;=0,G257,""),""))</f>
        <v/>
      </c>
      <c r="R257" s="91" t="str">
        <f aca="false">IF(ISBLANK($C257),"",IF(H257=Constants!$B$2, TRUE(), IF(H257=Constants!$B$3, FALSE(), TRUE())))</f>
        <v/>
      </c>
      <c r="S257" s="91" t="str">
        <f aca="false">IF(ISBLANK($C257),"",IF(I257=Constants!$B$2, TRUE(), IF(I257=Constants!$B$3, FALSE(), TRUE())))</f>
        <v/>
      </c>
      <c r="T257" s="91" t="str">
        <f aca="false">IF(ISBLANK($C257),"",IF(ISNUMBER(J257),IF(J257&gt;=0,J257,""),""))</f>
        <v/>
      </c>
      <c r="U257" s="91" t="str">
        <f aca="false">IF(ISBLANK($C257),"",IF(K257=Constants!$B$2, TRUE(), IF(K257=Constants!$B$3, FALSE(), TRUE())))</f>
        <v/>
      </c>
      <c r="V257" s="91" t="str">
        <f aca="false">IF(ISBLANK($C257),"",IF(L257=Constants!$B$2, TRUE(), IF(L257=Constants!$B$3, FALSE(), TRUE())))</f>
        <v/>
      </c>
      <c r="W257" s="91" t="str">
        <f aca="false">IF(ISBLANK($C257),"",IF(M257=Constants!$B$2, TRUE(), IF(M257=Constants!$B$3, FALSE(), FALSE())))</f>
        <v/>
      </c>
      <c r="X257" s="91" t="str">
        <f aca="false">IF(ISBLANK($C257),"",AND(Q257&lt;&gt;"",O257))</f>
        <v/>
      </c>
      <c r="Y257" s="91" t="str">
        <f aca="false">IF(ISBLANK($C257),"",AND(T257&lt;&gt;"",O257))</f>
        <v/>
      </c>
      <c r="Z257" s="91" t="str">
        <f aca="false">IF(ISBLANK($C257),"",IF(W257,Constants!$B$4,IF(COUNTA(E257:L257)=0,Constants!$B$5,IF(NOT(O257),Constants!$B$6,IF(AND(NOT(X257),NOT(Y257)),Constants!$B$6,Constants!$B$7)))))</f>
        <v/>
      </c>
      <c r="AA257" s="91" t="str">
        <f aca="false">IF(ISBLANK($C257),"",IF($Z257&lt;&gt;Constants!$B$7,$Z257,Constants!$B$20))</f>
        <v/>
      </c>
      <c r="AB257" s="91" t="str">
        <f aca="false">IF($Z257=Constants!$B$7,IF(X257,Q257,Constants!$B$13),"")</f>
        <v/>
      </c>
      <c r="AC257" s="91" t="str">
        <f aca="false">IF($Z257=Constants!$B$7,IF(X257,P257*IF(R257, 1, Constants!$B$11)*IF(S257, 1, Constants!$B$12),Constants!$B$13),"")</f>
        <v/>
      </c>
      <c r="AD257" s="91" t="str">
        <f aca="false">IF($Z257=Constants!$B$7,AB257*AC257,"")</f>
        <v/>
      </c>
      <c r="AE257" s="91" t="str">
        <f aca="false">IF($Z257=Constants!$B$7,IF(Y257,T257,Constants!$B$13),"")</f>
        <v/>
      </c>
      <c r="AF257" s="91" t="str">
        <f aca="false">IF($Z257=Constants!$B$7,IF(Y257,P257*IF(U257, 1, Constants!$B$11)*IF(V257, 1, Constants!$B$12),Constants!$B$13),"")</f>
        <v/>
      </c>
      <c r="AG257" s="91" t="str">
        <f aca="false">IF($Z257=Constants!$B$7,AE257*AF257,"")</f>
        <v/>
      </c>
      <c r="AH257" s="91" t="str">
        <f aca="false">IF($Z257=Constants!$B$7,IF(AG257&gt;AD257,2,1),"")</f>
        <v/>
      </c>
      <c r="AI257" s="91" t="str">
        <f aca="false">IF($Z257=Constants!$B$7,IF(AH257=1,2,1),"")</f>
        <v/>
      </c>
      <c r="AJ257" s="91" t="str">
        <f aca="false">IF(ISBLANK($C257),"",IF($Z257&lt;&gt;Constants!$B$7,$Z257,IF(AH257=1,AD257,AG257)))</f>
        <v/>
      </c>
      <c r="AK257" s="91" t="str">
        <f aca="false">IF(ISBLANK($C257),"",IF($Z257=Constants!$B$7,IF(ISNUMBER(AJ257),RANK(AJ257,$AJ$8:$AJ$507),Constants!$B$14),$Z257))</f>
        <v/>
      </c>
      <c r="AL257" s="91" t="str">
        <f aca="false">IF(ISBLANK($C257),"",IF($Z257=Constants!$B$7,IF(AI257=1,AD257,AG257),""))</f>
        <v/>
      </c>
      <c r="AM257" s="91" t="str">
        <f aca="false">IF(ISBLANK($C257),"",IF($Z257=Constants!$B$7,RANK(AL257,$AL$8:$AL$507),$Z257))</f>
        <v/>
      </c>
      <c r="AN257" s="91" t="str">
        <f aca="false">IF(ISBLANK($C257),"",IF($Z257=Constants!$B$7,IF(ISNUMBER(AK257),COUNTIFS($AK$8:$AK$507,"&lt;"&amp;$AK257)+COUNTIFS($AK$8:$AK$507,$AK257,$AM$8:$AM$507,"&lt;"&amp;$AM257)+1,Constants!$B$14),$Z257))</f>
        <v/>
      </c>
      <c r="AO257" s="91" t="str">
        <f aca="false">IF(ISBLANK($C257),"",IF($Z257=Constants!$B$7,IF(ISNUMBER(AK257),AK257-AN257,Constants!$B$14),$Z257))</f>
        <v/>
      </c>
      <c r="AP257" s="92"/>
      <c r="AQ257" s="93" t="str">
        <f aca="false">IF(ISBLANK($C257),"",IF($Z257&lt;&gt;Constants!$B$7,"",AH257))</f>
        <v/>
      </c>
      <c r="AR257" s="94" t="str">
        <f aca="false">IF(ISBLANK($C257),"",IF($Z257&lt;&gt;Constants!$B$7,"",IF(AH257=1,AB257,AE257)))</f>
        <v/>
      </c>
      <c r="AS257" s="95" t="str">
        <f aca="false">IF(ISBLANK($C257),"",IF($Z257&lt;&gt;Constants!$B$7,"",IF(AH257=1,AC257,AF257)))</f>
        <v/>
      </c>
      <c r="AT257" s="96" t="str">
        <f aca="false">IF(ISBLANK($C257),"",IF($Z257&lt;&gt;Constants!$B$7,$Z257,AJ257))</f>
        <v/>
      </c>
      <c r="AU257" s="97" t="str">
        <f aca="false">IF(ISBLANK($C257),"",IF($Z257&lt;&gt;Constants!$B$7,$Z257,AA257))</f>
        <v/>
      </c>
      <c r="AV257" s="98" t="str">
        <f aca="false">IF(ISBLANK($C257),"",AO257)</f>
        <v/>
      </c>
      <c r="AW257" s="98" t="str">
        <f aca="false">IF(ISBLANK($C257),"",AN257)</f>
        <v/>
      </c>
      <c r="AX257" s="99" t="str">
        <f aca="false">IF(ISBLANK($C257),"",IFERROR(_xlfn.SWITCH(AW257,Constants!$B$4,COUNTA($C$8:$C$507)+2,Constants!$B$5,COUNTA($C$8:$C$507)+1,Constants!$B$6,COUNTA($C$8:$C$507)),AW257))</f>
        <v/>
      </c>
      <c r="AY257" s="5"/>
      <c r="AZ257" s="100" t="n">
        <f aca="false">IF(OR(ISNUMBER(AW257),AW257=Constants!$B$4,AW257=Constants!$B$6,AW257=Constants!$B$5),1,0)</f>
        <v>0</v>
      </c>
      <c r="BA257" s="100" t="n">
        <v>250</v>
      </c>
      <c r="BB257" s="100" t="str">
        <f aca="false">IF(ISBLANK($C257),"",IF(ISNUMBER(AX257),AX257+ROW($B257)/1000,""))</f>
        <v/>
      </c>
      <c r="BC257" s="100" t="str">
        <f aca="false">IF(ISNUMBER(BB257),RANK(BB257,$BB$8:$BB$507,1),"")</f>
        <v/>
      </c>
      <c r="BD257" s="100" t="str">
        <f aca="false">IF(ISBLANK($C257),"",$B257)</f>
        <v/>
      </c>
      <c r="BE257" s="100" t="str">
        <f aca="false">IF(ISBLANK($C257),"",$C257)</f>
        <v/>
      </c>
      <c r="BF257" s="100" t="str">
        <f aca="false">IF(ISBLANK($C257),"",$D257)</f>
        <v/>
      </c>
      <c r="BG257" s="101" t="str">
        <f aca="false">AU257</f>
        <v/>
      </c>
      <c r="BH257" s="102" t="str">
        <f aca="false">AT257</f>
        <v/>
      </c>
      <c r="BI257" s="100" t="str">
        <f aca="false">IF(ISBLANK($C257),"",AW257)</f>
        <v/>
      </c>
      <c r="BJ257" s="103" t="str">
        <f aca="false">IF($BA257&gt;$AZ$7,"",VLOOKUP($BA257,$BC$8:$BI$507,7,FALSE()))</f>
        <v/>
      </c>
      <c r="BK257" s="104" t="str">
        <f aca="false">IF($BA257&gt;$AZ$7,"",VLOOKUP($BA257,$BC$8:$BI$507,2,FALSE()))</f>
        <v/>
      </c>
      <c r="BL257" s="104" t="str">
        <f aca="false">IF($BA257&gt;$AZ$7,"",VLOOKUP($BA257,$BC$8:$BI$507,3,FALSE()))</f>
        <v/>
      </c>
      <c r="BM257" s="104" t="str">
        <f aca="false">IF($BA257&gt;$AZ$7,"",VLOOKUP($BA257,$BC$8:$BI$507,4,FALSE()))</f>
        <v/>
      </c>
      <c r="BN257" s="104" t="str">
        <f aca="false">IF($BA257&gt;$AZ$7,"",VLOOKUP($BA257,$BC$8:$BI$507,5,FALSE()))</f>
        <v/>
      </c>
      <c r="BO257" s="105" t="str">
        <f aca="false">IF($BA257&gt;$AZ$7,"",VLOOKUP($BA257,$BC$8:$BI$507,6,FALSE()))</f>
        <v/>
      </c>
      <c r="BP257" s="52"/>
    </row>
    <row r="258" customFormat="false" ht="15.75" hidden="false" customHeight="false" outlineLevel="0" collapsed="false">
      <c r="A258" s="5"/>
      <c r="B258" s="114"/>
      <c r="C258" s="115"/>
      <c r="D258" s="106"/>
      <c r="E258" s="117"/>
      <c r="F258" s="87"/>
      <c r="G258" s="88"/>
      <c r="H258" s="88"/>
      <c r="I258" s="87"/>
      <c r="J258" s="88"/>
      <c r="K258" s="88"/>
      <c r="L258" s="87"/>
      <c r="M258" s="117"/>
      <c r="N258" s="90"/>
      <c r="O258" s="91" t="str">
        <f aca="false">IF(ISBLANK($C258),"",IF(E258=Constants!$B$2, TRUE(), IF(E258=Constants!$B$3, FALSE(), TRUE())))</f>
        <v/>
      </c>
      <c r="P258" s="91" t="str">
        <f aca="false">IF(ISBLANK($C258),"",IF(F258=Constants!$B$16,Constants!$B$9,IF(F258=Constants!$B$17,Constants!$B$10,Constants!$B$8)))</f>
        <v/>
      </c>
      <c r="Q258" s="91" t="str">
        <f aca="false">IF(ISBLANK($C258),"",IF(ISNUMBER(G258),IF(G258&gt;=0,G258,""),""))</f>
        <v/>
      </c>
      <c r="R258" s="91" t="str">
        <f aca="false">IF(ISBLANK($C258),"",IF(H258=Constants!$B$2, TRUE(), IF(H258=Constants!$B$3, FALSE(), TRUE())))</f>
        <v/>
      </c>
      <c r="S258" s="91" t="str">
        <f aca="false">IF(ISBLANK($C258),"",IF(I258=Constants!$B$2, TRUE(), IF(I258=Constants!$B$3, FALSE(), TRUE())))</f>
        <v/>
      </c>
      <c r="T258" s="91" t="str">
        <f aca="false">IF(ISBLANK($C258),"",IF(ISNUMBER(J258),IF(J258&gt;=0,J258,""),""))</f>
        <v/>
      </c>
      <c r="U258" s="91" t="str">
        <f aca="false">IF(ISBLANK($C258),"",IF(K258=Constants!$B$2, TRUE(), IF(K258=Constants!$B$3, FALSE(), TRUE())))</f>
        <v/>
      </c>
      <c r="V258" s="91" t="str">
        <f aca="false">IF(ISBLANK($C258),"",IF(L258=Constants!$B$2, TRUE(), IF(L258=Constants!$B$3, FALSE(), TRUE())))</f>
        <v/>
      </c>
      <c r="W258" s="91" t="str">
        <f aca="false">IF(ISBLANK($C258),"",IF(M258=Constants!$B$2, TRUE(), IF(M258=Constants!$B$3, FALSE(), FALSE())))</f>
        <v/>
      </c>
      <c r="X258" s="91" t="str">
        <f aca="false">IF(ISBLANK($C258),"",AND(Q258&lt;&gt;"",O258))</f>
        <v/>
      </c>
      <c r="Y258" s="91" t="str">
        <f aca="false">IF(ISBLANK($C258),"",AND(T258&lt;&gt;"",O258))</f>
        <v/>
      </c>
      <c r="Z258" s="91" t="str">
        <f aca="false">IF(ISBLANK($C258),"",IF(W258,Constants!$B$4,IF(COUNTA(E258:L258)=0,Constants!$B$5,IF(NOT(O258),Constants!$B$6,IF(AND(NOT(X258),NOT(Y258)),Constants!$B$6,Constants!$B$7)))))</f>
        <v/>
      </c>
      <c r="AA258" s="91" t="str">
        <f aca="false">IF(ISBLANK($C258),"",IF($Z258&lt;&gt;Constants!$B$7,$Z258,Constants!$B$20))</f>
        <v/>
      </c>
      <c r="AB258" s="91" t="str">
        <f aca="false">IF($Z258=Constants!$B$7,IF(X258,Q258,Constants!$B$13),"")</f>
        <v/>
      </c>
      <c r="AC258" s="91" t="str">
        <f aca="false">IF($Z258=Constants!$B$7,IF(X258,P258*IF(R258, 1, Constants!$B$11)*IF(S258, 1, Constants!$B$12),Constants!$B$13),"")</f>
        <v/>
      </c>
      <c r="AD258" s="91" t="str">
        <f aca="false">IF($Z258=Constants!$B$7,AB258*AC258,"")</f>
        <v/>
      </c>
      <c r="AE258" s="91" t="str">
        <f aca="false">IF($Z258=Constants!$B$7,IF(Y258,T258,Constants!$B$13),"")</f>
        <v/>
      </c>
      <c r="AF258" s="91" t="str">
        <f aca="false">IF($Z258=Constants!$B$7,IF(Y258,P258*IF(U258, 1, Constants!$B$11)*IF(V258, 1, Constants!$B$12),Constants!$B$13),"")</f>
        <v/>
      </c>
      <c r="AG258" s="91" t="str">
        <f aca="false">IF($Z258=Constants!$B$7,AE258*AF258,"")</f>
        <v/>
      </c>
      <c r="AH258" s="91" t="str">
        <f aca="false">IF($Z258=Constants!$B$7,IF(AG258&gt;AD258,2,1),"")</f>
        <v/>
      </c>
      <c r="AI258" s="91" t="str">
        <f aca="false">IF($Z258=Constants!$B$7,IF(AH258=1,2,1),"")</f>
        <v/>
      </c>
      <c r="AJ258" s="91" t="str">
        <f aca="false">IF(ISBLANK($C258),"",IF($Z258&lt;&gt;Constants!$B$7,$Z258,IF(AH258=1,AD258,AG258)))</f>
        <v/>
      </c>
      <c r="AK258" s="91" t="str">
        <f aca="false">IF(ISBLANK($C258),"",IF($Z258=Constants!$B$7,IF(ISNUMBER(AJ258),RANK(AJ258,$AJ$8:$AJ$507),Constants!$B$14),$Z258))</f>
        <v/>
      </c>
      <c r="AL258" s="91" t="str">
        <f aca="false">IF(ISBLANK($C258),"",IF($Z258=Constants!$B$7,IF(AI258=1,AD258,AG258),""))</f>
        <v/>
      </c>
      <c r="AM258" s="91" t="str">
        <f aca="false">IF(ISBLANK($C258),"",IF($Z258=Constants!$B$7,RANK(AL258,$AL$8:$AL$507),$Z258))</f>
        <v/>
      </c>
      <c r="AN258" s="91" t="str">
        <f aca="false">IF(ISBLANK($C258),"",IF($Z258=Constants!$B$7,IF(ISNUMBER(AK258),COUNTIFS($AK$8:$AK$507,"&lt;"&amp;$AK258)+COUNTIFS($AK$8:$AK$507,$AK258,$AM$8:$AM$507,"&lt;"&amp;$AM258)+1,Constants!$B$14),$Z258))</f>
        <v/>
      </c>
      <c r="AO258" s="91" t="str">
        <f aca="false">IF(ISBLANK($C258),"",IF($Z258=Constants!$B$7,IF(ISNUMBER(AK258),AK258-AN258,Constants!$B$14),$Z258))</f>
        <v/>
      </c>
      <c r="AP258" s="92"/>
      <c r="AQ258" s="93" t="str">
        <f aca="false">IF(ISBLANK($C258),"",IF($Z258&lt;&gt;Constants!$B$7,"",AH258))</f>
        <v/>
      </c>
      <c r="AR258" s="94" t="str">
        <f aca="false">IF(ISBLANK($C258),"",IF($Z258&lt;&gt;Constants!$B$7,"",IF(AH258=1,AB258,AE258)))</f>
        <v/>
      </c>
      <c r="AS258" s="95" t="str">
        <f aca="false">IF(ISBLANK($C258),"",IF($Z258&lt;&gt;Constants!$B$7,"",IF(AH258=1,AC258,AF258)))</f>
        <v/>
      </c>
      <c r="AT258" s="96" t="str">
        <f aca="false">IF(ISBLANK($C258),"",IF($Z258&lt;&gt;Constants!$B$7,$Z258,AJ258))</f>
        <v/>
      </c>
      <c r="AU258" s="97" t="str">
        <f aca="false">IF(ISBLANK($C258),"",IF($Z258&lt;&gt;Constants!$B$7,$Z258,AA258))</f>
        <v/>
      </c>
      <c r="AV258" s="98" t="str">
        <f aca="false">IF(ISBLANK($C258),"",AO258)</f>
        <v/>
      </c>
      <c r="AW258" s="98" t="str">
        <f aca="false">IF(ISBLANK($C258),"",AN258)</f>
        <v/>
      </c>
      <c r="AX258" s="99" t="str">
        <f aca="false">IF(ISBLANK($C258),"",IFERROR(_xlfn.SWITCH(AW258,Constants!$B$4,COUNTA($C$8:$C$507)+2,Constants!$B$5,COUNTA($C$8:$C$507)+1,Constants!$B$6,COUNTA($C$8:$C$507)),AW258))</f>
        <v/>
      </c>
      <c r="AY258" s="5"/>
      <c r="AZ258" s="100" t="n">
        <f aca="false">IF(OR(ISNUMBER(AW258),AW258=Constants!$B$4,AW258=Constants!$B$6,AW258=Constants!$B$5),1,0)</f>
        <v>0</v>
      </c>
      <c r="BA258" s="100" t="n">
        <v>251</v>
      </c>
      <c r="BB258" s="100" t="str">
        <f aca="false">IF(ISBLANK($C258),"",IF(ISNUMBER(AX258),AX258+ROW($B258)/1000,""))</f>
        <v/>
      </c>
      <c r="BC258" s="100" t="str">
        <f aca="false">IF(ISNUMBER(BB258),RANK(BB258,$BB$8:$BB$507,1),"")</f>
        <v/>
      </c>
      <c r="BD258" s="100" t="str">
        <f aca="false">IF(ISBLANK($C258),"",$B258)</f>
        <v/>
      </c>
      <c r="BE258" s="100" t="str">
        <f aca="false">IF(ISBLANK($C258),"",$C258)</f>
        <v/>
      </c>
      <c r="BF258" s="100" t="str">
        <f aca="false">IF(ISBLANK($C258),"",$D258)</f>
        <v/>
      </c>
      <c r="BG258" s="101" t="str">
        <f aca="false">AU258</f>
        <v/>
      </c>
      <c r="BH258" s="102" t="str">
        <f aca="false">AT258</f>
        <v/>
      </c>
      <c r="BI258" s="100" t="str">
        <f aca="false">IF(ISBLANK($C258),"",AW258)</f>
        <v/>
      </c>
      <c r="BJ258" s="103" t="str">
        <f aca="false">IF($BA258&gt;$AZ$7,"",VLOOKUP($BA258,$BC$8:$BI$507,7,FALSE()))</f>
        <v/>
      </c>
      <c r="BK258" s="104" t="str">
        <f aca="false">IF($BA258&gt;$AZ$7,"",VLOOKUP($BA258,$BC$8:$BI$507,2,FALSE()))</f>
        <v/>
      </c>
      <c r="BL258" s="104" t="str">
        <f aca="false">IF($BA258&gt;$AZ$7,"",VLOOKUP($BA258,$BC$8:$BI$507,3,FALSE()))</f>
        <v/>
      </c>
      <c r="BM258" s="104" t="str">
        <f aca="false">IF($BA258&gt;$AZ$7,"",VLOOKUP($BA258,$BC$8:$BI$507,4,FALSE()))</f>
        <v/>
      </c>
      <c r="BN258" s="104" t="str">
        <f aca="false">IF($BA258&gt;$AZ$7,"",VLOOKUP($BA258,$BC$8:$BI$507,5,FALSE()))</f>
        <v/>
      </c>
      <c r="BO258" s="105" t="str">
        <f aca="false">IF($BA258&gt;$AZ$7,"",VLOOKUP($BA258,$BC$8:$BI$507,6,FALSE()))</f>
        <v/>
      </c>
      <c r="BP258" s="52"/>
    </row>
    <row r="259" customFormat="false" ht="15.75" hidden="false" customHeight="false" outlineLevel="0" collapsed="false">
      <c r="A259" s="5"/>
      <c r="B259" s="114"/>
      <c r="C259" s="115"/>
      <c r="D259" s="106"/>
      <c r="E259" s="117"/>
      <c r="F259" s="87"/>
      <c r="G259" s="88"/>
      <c r="H259" s="88"/>
      <c r="I259" s="87"/>
      <c r="J259" s="88"/>
      <c r="K259" s="88"/>
      <c r="L259" s="87"/>
      <c r="M259" s="117"/>
      <c r="N259" s="90"/>
      <c r="O259" s="91" t="str">
        <f aca="false">IF(ISBLANK($C259),"",IF(E259=Constants!$B$2, TRUE(), IF(E259=Constants!$B$3, FALSE(), TRUE())))</f>
        <v/>
      </c>
      <c r="P259" s="91" t="str">
        <f aca="false">IF(ISBLANK($C259),"",IF(F259=Constants!$B$16,Constants!$B$9,IF(F259=Constants!$B$17,Constants!$B$10,Constants!$B$8)))</f>
        <v/>
      </c>
      <c r="Q259" s="91" t="str">
        <f aca="false">IF(ISBLANK($C259),"",IF(ISNUMBER(G259),IF(G259&gt;=0,G259,""),""))</f>
        <v/>
      </c>
      <c r="R259" s="91" t="str">
        <f aca="false">IF(ISBLANK($C259),"",IF(H259=Constants!$B$2, TRUE(), IF(H259=Constants!$B$3, FALSE(), TRUE())))</f>
        <v/>
      </c>
      <c r="S259" s="91" t="str">
        <f aca="false">IF(ISBLANK($C259),"",IF(I259=Constants!$B$2, TRUE(), IF(I259=Constants!$B$3, FALSE(), TRUE())))</f>
        <v/>
      </c>
      <c r="T259" s="91" t="str">
        <f aca="false">IF(ISBLANK($C259),"",IF(ISNUMBER(J259),IF(J259&gt;=0,J259,""),""))</f>
        <v/>
      </c>
      <c r="U259" s="91" t="str">
        <f aca="false">IF(ISBLANK($C259),"",IF(K259=Constants!$B$2, TRUE(), IF(K259=Constants!$B$3, FALSE(), TRUE())))</f>
        <v/>
      </c>
      <c r="V259" s="91" t="str">
        <f aca="false">IF(ISBLANK($C259),"",IF(L259=Constants!$B$2, TRUE(), IF(L259=Constants!$B$3, FALSE(), TRUE())))</f>
        <v/>
      </c>
      <c r="W259" s="91" t="str">
        <f aca="false">IF(ISBLANK($C259),"",IF(M259=Constants!$B$2, TRUE(), IF(M259=Constants!$B$3, FALSE(), FALSE())))</f>
        <v/>
      </c>
      <c r="X259" s="91" t="str">
        <f aca="false">IF(ISBLANK($C259),"",AND(Q259&lt;&gt;"",O259))</f>
        <v/>
      </c>
      <c r="Y259" s="91" t="str">
        <f aca="false">IF(ISBLANK($C259),"",AND(T259&lt;&gt;"",O259))</f>
        <v/>
      </c>
      <c r="Z259" s="91" t="str">
        <f aca="false">IF(ISBLANK($C259),"",IF(W259,Constants!$B$4,IF(COUNTA(E259:L259)=0,Constants!$B$5,IF(NOT(O259),Constants!$B$6,IF(AND(NOT(X259),NOT(Y259)),Constants!$B$6,Constants!$B$7)))))</f>
        <v/>
      </c>
      <c r="AA259" s="91" t="str">
        <f aca="false">IF(ISBLANK($C259),"",IF($Z259&lt;&gt;Constants!$B$7,$Z259,Constants!$B$20))</f>
        <v/>
      </c>
      <c r="AB259" s="91" t="str">
        <f aca="false">IF($Z259=Constants!$B$7,IF(X259,Q259,Constants!$B$13),"")</f>
        <v/>
      </c>
      <c r="AC259" s="91" t="str">
        <f aca="false">IF($Z259=Constants!$B$7,IF(X259,P259*IF(R259, 1, Constants!$B$11)*IF(S259, 1, Constants!$B$12),Constants!$B$13),"")</f>
        <v/>
      </c>
      <c r="AD259" s="91" t="str">
        <f aca="false">IF($Z259=Constants!$B$7,AB259*AC259,"")</f>
        <v/>
      </c>
      <c r="AE259" s="91" t="str">
        <f aca="false">IF($Z259=Constants!$B$7,IF(Y259,T259,Constants!$B$13),"")</f>
        <v/>
      </c>
      <c r="AF259" s="91" t="str">
        <f aca="false">IF($Z259=Constants!$B$7,IF(Y259,P259*IF(U259, 1, Constants!$B$11)*IF(V259, 1, Constants!$B$12),Constants!$B$13),"")</f>
        <v/>
      </c>
      <c r="AG259" s="91" t="str">
        <f aca="false">IF($Z259=Constants!$B$7,AE259*AF259,"")</f>
        <v/>
      </c>
      <c r="AH259" s="91" t="str">
        <f aca="false">IF($Z259=Constants!$B$7,IF(AG259&gt;AD259,2,1),"")</f>
        <v/>
      </c>
      <c r="AI259" s="91" t="str">
        <f aca="false">IF($Z259=Constants!$B$7,IF(AH259=1,2,1),"")</f>
        <v/>
      </c>
      <c r="AJ259" s="91" t="str">
        <f aca="false">IF(ISBLANK($C259),"",IF($Z259&lt;&gt;Constants!$B$7,$Z259,IF(AH259=1,AD259,AG259)))</f>
        <v/>
      </c>
      <c r="AK259" s="91" t="str">
        <f aca="false">IF(ISBLANK($C259),"",IF($Z259=Constants!$B$7,IF(ISNUMBER(AJ259),RANK(AJ259,$AJ$8:$AJ$507),Constants!$B$14),$Z259))</f>
        <v/>
      </c>
      <c r="AL259" s="91" t="str">
        <f aca="false">IF(ISBLANK($C259),"",IF($Z259=Constants!$B$7,IF(AI259=1,AD259,AG259),""))</f>
        <v/>
      </c>
      <c r="AM259" s="91" t="str">
        <f aca="false">IF(ISBLANK($C259),"",IF($Z259=Constants!$B$7,RANK(AL259,$AL$8:$AL$507),$Z259))</f>
        <v/>
      </c>
      <c r="AN259" s="91" t="str">
        <f aca="false">IF(ISBLANK($C259),"",IF($Z259=Constants!$B$7,IF(ISNUMBER(AK259),COUNTIFS($AK$8:$AK$507,"&lt;"&amp;$AK259)+COUNTIFS($AK$8:$AK$507,$AK259,$AM$8:$AM$507,"&lt;"&amp;$AM259)+1,Constants!$B$14),$Z259))</f>
        <v/>
      </c>
      <c r="AO259" s="91" t="str">
        <f aca="false">IF(ISBLANK($C259),"",IF($Z259=Constants!$B$7,IF(ISNUMBER(AK259),AK259-AN259,Constants!$B$14),$Z259))</f>
        <v/>
      </c>
      <c r="AP259" s="92"/>
      <c r="AQ259" s="93" t="str">
        <f aca="false">IF(ISBLANK($C259),"",IF($Z259&lt;&gt;Constants!$B$7,"",AH259))</f>
        <v/>
      </c>
      <c r="AR259" s="94" t="str">
        <f aca="false">IF(ISBLANK($C259),"",IF($Z259&lt;&gt;Constants!$B$7,"",IF(AH259=1,AB259,AE259)))</f>
        <v/>
      </c>
      <c r="AS259" s="95" t="str">
        <f aca="false">IF(ISBLANK($C259),"",IF($Z259&lt;&gt;Constants!$B$7,"",IF(AH259=1,AC259,AF259)))</f>
        <v/>
      </c>
      <c r="AT259" s="96" t="str">
        <f aca="false">IF(ISBLANK($C259),"",IF($Z259&lt;&gt;Constants!$B$7,$Z259,AJ259))</f>
        <v/>
      </c>
      <c r="AU259" s="97" t="str">
        <f aca="false">IF(ISBLANK($C259),"",IF($Z259&lt;&gt;Constants!$B$7,$Z259,AA259))</f>
        <v/>
      </c>
      <c r="AV259" s="98" t="str">
        <f aca="false">IF(ISBLANK($C259),"",AO259)</f>
        <v/>
      </c>
      <c r="AW259" s="98" t="str">
        <f aca="false">IF(ISBLANK($C259),"",AN259)</f>
        <v/>
      </c>
      <c r="AX259" s="99" t="str">
        <f aca="false">IF(ISBLANK($C259),"",IFERROR(_xlfn.SWITCH(AW259,Constants!$B$4,COUNTA($C$8:$C$507)+2,Constants!$B$5,COUNTA($C$8:$C$507)+1,Constants!$B$6,COUNTA($C$8:$C$507)),AW259))</f>
        <v/>
      </c>
      <c r="AY259" s="5"/>
      <c r="AZ259" s="100" t="n">
        <f aca="false">IF(OR(ISNUMBER(AW259),AW259=Constants!$B$4,AW259=Constants!$B$6,AW259=Constants!$B$5),1,0)</f>
        <v>0</v>
      </c>
      <c r="BA259" s="100" t="n">
        <v>252</v>
      </c>
      <c r="BB259" s="100" t="str">
        <f aca="false">IF(ISBLANK($C259),"",IF(ISNUMBER(AX259),AX259+ROW($B259)/1000,""))</f>
        <v/>
      </c>
      <c r="BC259" s="100" t="str">
        <f aca="false">IF(ISNUMBER(BB259),RANK(BB259,$BB$8:$BB$507,1),"")</f>
        <v/>
      </c>
      <c r="BD259" s="100" t="str">
        <f aca="false">IF(ISBLANK($C259),"",$B259)</f>
        <v/>
      </c>
      <c r="BE259" s="100" t="str">
        <f aca="false">IF(ISBLANK($C259),"",$C259)</f>
        <v/>
      </c>
      <c r="BF259" s="100" t="str">
        <f aca="false">IF(ISBLANK($C259),"",$D259)</f>
        <v/>
      </c>
      <c r="BG259" s="101" t="str">
        <f aca="false">AU259</f>
        <v/>
      </c>
      <c r="BH259" s="102" t="str">
        <f aca="false">AT259</f>
        <v/>
      </c>
      <c r="BI259" s="100" t="str">
        <f aca="false">IF(ISBLANK($C259),"",AW259)</f>
        <v/>
      </c>
      <c r="BJ259" s="103" t="str">
        <f aca="false">IF($BA259&gt;$AZ$7,"",VLOOKUP($BA259,$BC$8:$BI$507,7,FALSE()))</f>
        <v/>
      </c>
      <c r="BK259" s="104" t="str">
        <f aca="false">IF($BA259&gt;$AZ$7,"",VLOOKUP($BA259,$BC$8:$BI$507,2,FALSE()))</f>
        <v/>
      </c>
      <c r="BL259" s="104" t="str">
        <f aca="false">IF($BA259&gt;$AZ$7,"",VLOOKUP($BA259,$BC$8:$BI$507,3,FALSE()))</f>
        <v/>
      </c>
      <c r="BM259" s="104" t="str">
        <f aca="false">IF($BA259&gt;$AZ$7,"",VLOOKUP($BA259,$BC$8:$BI$507,4,FALSE()))</f>
        <v/>
      </c>
      <c r="BN259" s="104" t="str">
        <f aca="false">IF($BA259&gt;$AZ$7,"",VLOOKUP($BA259,$BC$8:$BI$507,5,FALSE()))</f>
        <v/>
      </c>
      <c r="BO259" s="105" t="str">
        <f aca="false">IF($BA259&gt;$AZ$7,"",VLOOKUP($BA259,$BC$8:$BI$507,6,FALSE()))</f>
        <v/>
      </c>
      <c r="BP259" s="52"/>
    </row>
    <row r="260" customFormat="false" ht="15.75" hidden="false" customHeight="false" outlineLevel="0" collapsed="false">
      <c r="A260" s="5"/>
      <c r="B260" s="118"/>
      <c r="C260" s="54"/>
      <c r="D260" s="55"/>
      <c r="E260" s="79"/>
      <c r="F260" s="57"/>
      <c r="G260" s="58"/>
      <c r="H260" s="58"/>
      <c r="I260" s="57"/>
      <c r="J260" s="58"/>
      <c r="K260" s="58"/>
      <c r="L260" s="57"/>
      <c r="M260" s="79"/>
      <c r="N260" s="60"/>
      <c r="O260" s="62" t="str">
        <f aca="false">IF(ISBLANK($C260),"",IF(E260=Constants!$B$2, TRUE(), IF(E260=Constants!$B$3, FALSE(), TRUE())))</f>
        <v/>
      </c>
      <c r="P260" s="62" t="str">
        <f aca="false">IF(ISBLANK($C260),"",IF(F260=Constants!$B$16,Constants!$B$9,IF(F260=Constants!$B$17,Constants!$B$10,Constants!$B$8)))</f>
        <v/>
      </c>
      <c r="Q260" s="62" t="str">
        <f aca="false">IF(ISBLANK($C260),"",IF(ISNUMBER(G260),IF(G260&gt;=0,G260,""),""))</f>
        <v/>
      </c>
      <c r="R260" s="62" t="str">
        <f aca="false">IF(ISBLANK($C260),"",IF(H260=Constants!$B$2, TRUE(), IF(H260=Constants!$B$3, FALSE(), TRUE())))</f>
        <v/>
      </c>
      <c r="S260" s="62" t="str">
        <f aca="false">IF(ISBLANK($C260),"",IF(I260=Constants!$B$2, TRUE(), IF(I260=Constants!$B$3, FALSE(), TRUE())))</f>
        <v/>
      </c>
      <c r="T260" s="62" t="str">
        <f aca="false">IF(ISBLANK($C260),"",IF(ISNUMBER(J260),IF(J260&gt;=0,J260,""),""))</f>
        <v/>
      </c>
      <c r="U260" s="62" t="str">
        <f aca="false">IF(ISBLANK($C260),"",IF(K260=Constants!$B$2, TRUE(), IF(K260=Constants!$B$3, FALSE(), TRUE())))</f>
        <v/>
      </c>
      <c r="V260" s="62" t="str">
        <f aca="false">IF(ISBLANK($C260),"",IF(L260=Constants!$B$2, TRUE(), IF(L260=Constants!$B$3, FALSE(), TRUE())))</f>
        <v/>
      </c>
      <c r="W260" s="62" t="str">
        <f aca="false">IF(ISBLANK($C260),"",IF(M260=Constants!$B$2, TRUE(), IF(M260=Constants!$B$3, FALSE(), FALSE())))</f>
        <v/>
      </c>
      <c r="X260" s="62" t="str">
        <f aca="false">IF(ISBLANK($C260),"",AND(Q260&lt;&gt;"",O260))</f>
        <v/>
      </c>
      <c r="Y260" s="62" t="str">
        <f aca="false">IF(ISBLANK($C260),"",AND(T260&lt;&gt;"",O260))</f>
        <v/>
      </c>
      <c r="Z260" s="62" t="str">
        <f aca="false">IF(ISBLANK($C260),"",IF(W260,Constants!$B$4,IF(COUNTA(E260:L260)=0,Constants!$B$5,IF(NOT(O260),Constants!$B$6,IF(AND(NOT(X260),NOT(Y260)),Constants!$B$6,Constants!$B$7)))))</f>
        <v/>
      </c>
      <c r="AA260" s="62" t="str">
        <f aca="false">IF(ISBLANK($C260),"",IF($Z260&lt;&gt;Constants!$B$7,$Z260,Constants!$B$20))</f>
        <v/>
      </c>
      <c r="AB260" s="62" t="str">
        <f aca="false">IF($Z260=Constants!$B$7,IF(X260,Q260,Constants!$B$13),"")</f>
        <v/>
      </c>
      <c r="AC260" s="62" t="str">
        <f aca="false">IF($Z260=Constants!$B$7,IF(X260,P260*IF(R260, 1, Constants!$B$11)*IF(S260, 1, Constants!$B$12),Constants!$B$13),"")</f>
        <v/>
      </c>
      <c r="AD260" s="62" t="str">
        <f aca="false">IF($Z260=Constants!$B$7,AB260*AC260,"")</f>
        <v/>
      </c>
      <c r="AE260" s="62" t="str">
        <f aca="false">IF($Z260=Constants!$B$7,IF(Y260,T260,Constants!$B$13),"")</f>
        <v/>
      </c>
      <c r="AF260" s="62" t="str">
        <f aca="false">IF($Z260=Constants!$B$7,IF(Y260,P260*IF(U260, 1, Constants!$B$11)*IF(V260, 1, Constants!$B$12),Constants!$B$13),"")</f>
        <v/>
      </c>
      <c r="AG260" s="62" t="str">
        <f aca="false">IF($Z260=Constants!$B$7,AE260*AF260,"")</f>
        <v/>
      </c>
      <c r="AH260" s="62" t="str">
        <f aca="false">IF($Z260=Constants!$B$7,IF(AG260&gt;AD260,2,1),"")</f>
        <v/>
      </c>
      <c r="AI260" s="62" t="str">
        <f aca="false">IF($Z260=Constants!$B$7,IF(AH260=1,2,1),"")</f>
        <v/>
      </c>
      <c r="AJ260" s="62" t="str">
        <f aca="false">IF(ISBLANK($C260),"",IF($Z260&lt;&gt;Constants!$B$7,$Z260,IF(AH260=1,AD260,AG260)))</f>
        <v/>
      </c>
      <c r="AK260" s="62" t="str">
        <f aca="false">IF(ISBLANK($C260),"",IF($Z260=Constants!$B$7,IF(ISNUMBER(AJ260),RANK(AJ260,$AJ$8:$AJ$507),Constants!$B$14),$Z260))</f>
        <v/>
      </c>
      <c r="AL260" s="62" t="str">
        <f aca="false">IF(ISBLANK($C260),"",IF($Z260=Constants!$B$7,IF(AI260=1,AD260,AG260),""))</f>
        <v/>
      </c>
      <c r="AM260" s="62" t="str">
        <f aca="false">IF(ISBLANK($C260),"",IF($Z260=Constants!$B$7,RANK(AL260,$AL$8:$AL$507),$Z260))</f>
        <v/>
      </c>
      <c r="AN260" s="62" t="str">
        <f aca="false">IF(ISBLANK($C260),"",IF($Z260=Constants!$B$7,IF(ISNUMBER(AK260),COUNTIFS($AK$8:$AK$507,"&lt;"&amp;$AK260)+COUNTIFS($AK$8:$AK$507,$AK260,$AM$8:$AM$507,"&lt;"&amp;$AM260)+1,Constants!$B$14),$Z260))</f>
        <v/>
      </c>
      <c r="AO260" s="62" t="str">
        <f aca="false">IF(ISBLANK($C260),"",IF($Z260=Constants!$B$7,IF(ISNUMBER(AK260),AK260-AN260,Constants!$B$14),$Z260))</f>
        <v/>
      </c>
      <c r="AP260" s="64"/>
      <c r="AQ260" s="65" t="str">
        <f aca="false">IF(ISBLANK($C260),"",IF($Z260&lt;&gt;Constants!$B$7,"",AH260))</f>
        <v/>
      </c>
      <c r="AR260" s="80" t="str">
        <f aca="false">IF(ISBLANK($C260),"",IF($Z260&lt;&gt;Constants!$B$7,"",IF(AH260=1,AB260,AE260)))</f>
        <v/>
      </c>
      <c r="AS260" s="67" t="str">
        <f aca="false">IF(ISBLANK($C260),"",IF($Z260&lt;&gt;Constants!$B$7,"",IF(AH260=1,AC260,AF260)))</f>
        <v/>
      </c>
      <c r="AT260" s="68" t="str">
        <f aca="false">IF(ISBLANK($C260),"",IF($Z260&lt;&gt;Constants!$B$7,$Z260,AJ260))</f>
        <v/>
      </c>
      <c r="AU260" s="69" t="str">
        <f aca="false">IF(ISBLANK($C260),"",IF($Z260&lt;&gt;Constants!$B$7,$Z260,AA260))</f>
        <v/>
      </c>
      <c r="AV260" s="70" t="str">
        <f aca="false">IF(ISBLANK($C260),"",AO260)</f>
        <v/>
      </c>
      <c r="AW260" s="70" t="str">
        <f aca="false">IF(ISBLANK($C260),"",AN260)</f>
        <v/>
      </c>
      <c r="AX260" s="71" t="str">
        <f aca="false">IF(ISBLANK($C260),"",IFERROR(_xlfn.SWITCH(AW260,Constants!$B$4,COUNTA($C$8:$C$507)+2,Constants!$B$5,COUNTA($C$8:$C$507)+1,Constants!$B$6,COUNTA($C$8:$C$507)),AW260))</f>
        <v/>
      </c>
      <c r="AY260" s="5"/>
      <c r="AZ260" s="72" t="n">
        <f aca="false">IF(OR(ISNUMBER(AW260),AW260=Constants!$B$4,AW260=Constants!$B$6,AW260=Constants!$B$5),1,0)</f>
        <v>0</v>
      </c>
      <c r="BA260" s="72" t="n">
        <v>253</v>
      </c>
      <c r="BB260" s="72" t="str">
        <f aca="false">IF(ISBLANK($C260),"",IF(ISNUMBER(AX260),AX260+ROW($B260)/1000,""))</f>
        <v/>
      </c>
      <c r="BC260" s="72" t="str">
        <f aca="false">IF(ISNUMBER(BB260),RANK(BB260,$BB$8:$BB$507,1),"")</f>
        <v/>
      </c>
      <c r="BD260" s="72" t="str">
        <f aca="false">IF(ISBLANK($C260),"",$B260)</f>
        <v/>
      </c>
      <c r="BE260" s="72" t="str">
        <f aca="false">IF(ISBLANK($C260),"",$C260)</f>
        <v/>
      </c>
      <c r="BF260" s="72" t="str">
        <f aca="false">IF(ISBLANK($C260),"",$D260)</f>
        <v/>
      </c>
      <c r="BG260" s="73" t="str">
        <f aca="false">AU260</f>
        <v/>
      </c>
      <c r="BH260" s="74" t="str">
        <f aca="false">AT260</f>
        <v/>
      </c>
      <c r="BI260" s="72" t="str">
        <f aca="false">IF(ISBLANK($C260),"",AW260)</f>
        <v/>
      </c>
      <c r="BJ260" s="75" t="str">
        <f aca="false">IF($BA260&gt;$AZ$7,"",VLOOKUP($BA260,$BC$8:$BI$507,7,FALSE()))</f>
        <v/>
      </c>
      <c r="BK260" s="76" t="str">
        <f aca="false">IF($BA260&gt;$AZ$7,"",VLOOKUP($BA260,$BC$8:$BI$507,2,FALSE()))</f>
        <v/>
      </c>
      <c r="BL260" s="76" t="str">
        <f aca="false">IF($BA260&gt;$AZ$7,"",VLOOKUP($BA260,$BC$8:$BI$507,3,FALSE()))</f>
        <v/>
      </c>
      <c r="BM260" s="76" t="str">
        <f aca="false">IF($BA260&gt;$AZ$7,"",VLOOKUP($BA260,$BC$8:$BI$507,4,FALSE()))</f>
        <v/>
      </c>
      <c r="BN260" s="76" t="str">
        <f aca="false">IF($BA260&gt;$AZ$7,"",VLOOKUP($BA260,$BC$8:$BI$507,5,FALSE()))</f>
        <v/>
      </c>
      <c r="BO260" s="77" t="str">
        <f aca="false">IF($BA260&gt;$AZ$7,"",VLOOKUP($BA260,$BC$8:$BI$507,6,FALSE()))</f>
        <v/>
      </c>
      <c r="BP260" s="52"/>
    </row>
    <row r="261" customFormat="false" ht="15.75" hidden="false" customHeight="false" outlineLevel="0" collapsed="false">
      <c r="A261" s="5"/>
      <c r="B261" s="118"/>
      <c r="C261" s="54"/>
      <c r="D261" s="55"/>
      <c r="E261" s="79"/>
      <c r="F261" s="57"/>
      <c r="G261" s="58"/>
      <c r="H261" s="58"/>
      <c r="I261" s="57"/>
      <c r="J261" s="58"/>
      <c r="K261" s="58"/>
      <c r="L261" s="57"/>
      <c r="M261" s="79"/>
      <c r="N261" s="60"/>
      <c r="O261" s="62" t="str">
        <f aca="false">IF(ISBLANK($C261),"",IF(E261=Constants!$B$2, TRUE(), IF(E261=Constants!$B$3, FALSE(), TRUE())))</f>
        <v/>
      </c>
      <c r="P261" s="62" t="str">
        <f aca="false">IF(ISBLANK($C261),"",IF(F261=Constants!$B$16,Constants!$B$9,IF(F261=Constants!$B$17,Constants!$B$10,Constants!$B$8)))</f>
        <v/>
      </c>
      <c r="Q261" s="62" t="str">
        <f aca="false">IF(ISBLANK($C261),"",IF(ISNUMBER(G261),IF(G261&gt;=0,G261,""),""))</f>
        <v/>
      </c>
      <c r="R261" s="62" t="str">
        <f aca="false">IF(ISBLANK($C261),"",IF(H261=Constants!$B$2, TRUE(), IF(H261=Constants!$B$3, FALSE(), TRUE())))</f>
        <v/>
      </c>
      <c r="S261" s="62" t="str">
        <f aca="false">IF(ISBLANK($C261),"",IF(I261=Constants!$B$2, TRUE(), IF(I261=Constants!$B$3, FALSE(), TRUE())))</f>
        <v/>
      </c>
      <c r="T261" s="62" t="str">
        <f aca="false">IF(ISBLANK($C261),"",IF(ISNUMBER(J261),IF(J261&gt;=0,J261,""),""))</f>
        <v/>
      </c>
      <c r="U261" s="62" t="str">
        <f aca="false">IF(ISBLANK($C261),"",IF(K261=Constants!$B$2, TRUE(), IF(K261=Constants!$B$3, FALSE(), TRUE())))</f>
        <v/>
      </c>
      <c r="V261" s="62" t="str">
        <f aca="false">IF(ISBLANK($C261),"",IF(L261=Constants!$B$2, TRUE(), IF(L261=Constants!$B$3, FALSE(), TRUE())))</f>
        <v/>
      </c>
      <c r="W261" s="62" t="str">
        <f aca="false">IF(ISBLANK($C261),"",IF(M261=Constants!$B$2, TRUE(), IF(M261=Constants!$B$3, FALSE(), FALSE())))</f>
        <v/>
      </c>
      <c r="X261" s="62" t="str">
        <f aca="false">IF(ISBLANK($C261),"",AND(Q261&lt;&gt;"",O261))</f>
        <v/>
      </c>
      <c r="Y261" s="62" t="str">
        <f aca="false">IF(ISBLANK($C261),"",AND(T261&lt;&gt;"",O261))</f>
        <v/>
      </c>
      <c r="Z261" s="62" t="str">
        <f aca="false">IF(ISBLANK($C261),"",IF(W261,Constants!$B$4,IF(COUNTA(E261:L261)=0,Constants!$B$5,IF(NOT(O261),Constants!$B$6,IF(AND(NOT(X261),NOT(Y261)),Constants!$B$6,Constants!$B$7)))))</f>
        <v/>
      </c>
      <c r="AA261" s="62" t="str">
        <f aca="false">IF(ISBLANK($C261),"",IF($Z261&lt;&gt;Constants!$B$7,$Z261,Constants!$B$20))</f>
        <v/>
      </c>
      <c r="AB261" s="62" t="str">
        <f aca="false">IF($Z261=Constants!$B$7,IF(X261,Q261,Constants!$B$13),"")</f>
        <v/>
      </c>
      <c r="AC261" s="62" t="str">
        <f aca="false">IF($Z261=Constants!$B$7,IF(X261,P261*IF(R261, 1, Constants!$B$11)*IF(S261, 1, Constants!$B$12),Constants!$B$13),"")</f>
        <v/>
      </c>
      <c r="AD261" s="62" t="str">
        <f aca="false">IF($Z261=Constants!$B$7,AB261*AC261,"")</f>
        <v/>
      </c>
      <c r="AE261" s="62" t="str">
        <f aca="false">IF($Z261=Constants!$B$7,IF(Y261,T261,Constants!$B$13),"")</f>
        <v/>
      </c>
      <c r="AF261" s="62" t="str">
        <f aca="false">IF($Z261=Constants!$B$7,IF(Y261,P261*IF(U261, 1, Constants!$B$11)*IF(V261, 1, Constants!$B$12),Constants!$B$13),"")</f>
        <v/>
      </c>
      <c r="AG261" s="62" t="str">
        <f aca="false">IF($Z261=Constants!$B$7,AE261*AF261,"")</f>
        <v/>
      </c>
      <c r="AH261" s="62" t="str">
        <f aca="false">IF($Z261=Constants!$B$7,IF(AG261&gt;AD261,2,1),"")</f>
        <v/>
      </c>
      <c r="AI261" s="62" t="str">
        <f aca="false">IF($Z261=Constants!$B$7,IF(AH261=1,2,1),"")</f>
        <v/>
      </c>
      <c r="AJ261" s="62" t="str">
        <f aca="false">IF(ISBLANK($C261),"",IF($Z261&lt;&gt;Constants!$B$7,$Z261,IF(AH261=1,AD261,AG261)))</f>
        <v/>
      </c>
      <c r="AK261" s="62" t="str">
        <f aca="false">IF(ISBLANK($C261),"",IF($Z261=Constants!$B$7,IF(ISNUMBER(AJ261),RANK(AJ261,$AJ$8:$AJ$507),Constants!$B$14),$Z261))</f>
        <v/>
      </c>
      <c r="AL261" s="62" t="str">
        <f aca="false">IF(ISBLANK($C261),"",IF($Z261=Constants!$B$7,IF(AI261=1,AD261,AG261),""))</f>
        <v/>
      </c>
      <c r="AM261" s="62" t="str">
        <f aca="false">IF(ISBLANK($C261),"",IF($Z261=Constants!$B$7,RANK(AL261,$AL$8:$AL$507),$Z261))</f>
        <v/>
      </c>
      <c r="AN261" s="62" t="str">
        <f aca="false">IF(ISBLANK($C261),"",IF($Z261=Constants!$B$7,IF(ISNUMBER(AK261),COUNTIFS($AK$8:$AK$507,"&lt;"&amp;$AK261)+COUNTIFS($AK$8:$AK$507,$AK261,$AM$8:$AM$507,"&lt;"&amp;$AM261)+1,Constants!$B$14),$Z261))</f>
        <v/>
      </c>
      <c r="AO261" s="62" t="str">
        <f aca="false">IF(ISBLANK($C261),"",IF($Z261=Constants!$B$7,IF(ISNUMBER(AK261),AK261-AN261,Constants!$B$14),$Z261))</f>
        <v/>
      </c>
      <c r="AP261" s="64"/>
      <c r="AQ261" s="65" t="str">
        <f aca="false">IF(ISBLANK($C261),"",IF($Z261&lt;&gt;Constants!$B$7,"",AH261))</f>
        <v/>
      </c>
      <c r="AR261" s="80" t="str">
        <f aca="false">IF(ISBLANK($C261),"",IF($Z261&lt;&gt;Constants!$B$7,"",IF(AH261=1,AB261,AE261)))</f>
        <v/>
      </c>
      <c r="AS261" s="67" t="str">
        <f aca="false">IF(ISBLANK($C261),"",IF($Z261&lt;&gt;Constants!$B$7,"",IF(AH261=1,AC261,AF261)))</f>
        <v/>
      </c>
      <c r="AT261" s="68" t="str">
        <f aca="false">IF(ISBLANK($C261),"",IF($Z261&lt;&gt;Constants!$B$7,$Z261,AJ261))</f>
        <v/>
      </c>
      <c r="AU261" s="69" t="str">
        <f aca="false">IF(ISBLANK($C261),"",IF($Z261&lt;&gt;Constants!$B$7,$Z261,AA261))</f>
        <v/>
      </c>
      <c r="AV261" s="70" t="str">
        <f aca="false">IF(ISBLANK($C261),"",AO261)</f>
        <v/>
      </c>
      <c r="AW261" s="70" t="str">
        <f aca="false">IF(ISBLANK($C261),"",AN261)</f>
        <v/>
      </c>
      <c r="AX261" s="71" t="str">
        <f aca="false">IF(ISBLANK($C261),"",IFERROR(_xlfn.SWITCH(AW261,Constants!$B$4,COUNTA($C$8:$C$507)+2,Constants!$B$5,COUNTA($C$8:$C$507)+1,Constants!$B$6,COUNTA($C$8:$C$507)),AW261))</f>
        <v/>
      </c>
      <c r="AY261" s="5"/>
      <c r="AZ261" s="72" t="n">
        <f aca="false">IF(OR(ISNUMBER(AW261),AW261=Constants!$B$4,AW261=Constants!$B$6,AW261=Constants!$B$5),1,0)</f>
        <v>0</v>
      </c>
      <c r="BA261" s="72" t="n">
        <v>254</v>
      </c>
      <c r="BB261" s="72" t="str">
        <f aca="false">IF(ISBLANK($C261),"",IF(ISNUMBER(AX261),AX261+ROW($B261)/1000,""))</f>
        <v/>
      </c>
      <c r="BC261" s="72" t="str">
        <f aca="false">IF(ISNUMBER(BB261),RANK(BB261,$BB$8:$BB$507,1),"")</f>
        <v/>
      </c>
      <c r="BD261" s="72" t="str">
        <f aca="false">IF(ISBLANK($C261),"",$B261)</f>
        <v/>
      </c>
      <c r="BE261" s="72" t="str">
        <f aca="false">IF(ISBLANK($C261),"",$C261)</f>
        <v/>
      </c>
      <c r="BF261" s="72" t="str">
        <f aca="false">IF(ISBLANK($C261),"",$D261)</f>
        <v/>
      </c>
      <c r="BG261" s="73" t="str">
        <f aca="false">AU261</f>
        <v/>
      </c>
      <c r="BH261" s="74" t="str">
        <f aca="false">AT261</f>
        <v/>
      </c>
      <c r="BI261" s="72" t="str">
        <f aca="false">IF(ISBLANK($C261),"",AW261)</f>
        <v/>
      </c>
      <c r="BJ261" s="75" t="str">
        <f aca="false">IF($BA261&gt;$AZ$7,"",VLOOKUP($BA261,$BC$8:$BI$507,7,FALSE()))</f>
        <v/>
      </c>
      <c r="BK261" s="76" t="str">
        <f aca="false">IF($BA261&gt;$AZ$7,"",VLOOKUP($BA261,$BC$8:$BI$507,2,FALSE()))</f>
        <v/>
      </c>
      <c r="BL261" s="76" t="str">
        <f aca="false">IF($BA261&gt;$AZ$7,"",VLOOKUP($BA261,$BC$8:$BI$507,3,FALSE()))</f>
        <v/>
      </c>
      <c r="BM261" s="76" t="str">
        <f aca="false">IF($BA261&gt;$AZ$7,"",VLOOKUP($BA261,$BC$8:$BI$507,4,FALSE()))</f>
        <v/>
      </c>
      <c r="BN261" s="76" t="str">
        <f aca="false">IF($BA261&gt;$AZ$7,"",VLOOKUP($BA261,$BC$8:$BI$507,5,FALSE()))</f>
        <v/>
      </c>
      <c r="BO261" s="77" t="str">
        <f aca="false">IF($BA261&gt;$AZ$7,"",VLOOKUP($BA261,$BC$8:$BI$507,6,FALSE()))</f>
        <v/>
      </c>
      <c r="BP261" s="52"/>
    </row>
    <row r="262" customFormat="false" ht="15.75" hidden="false" customHeight="false" outlineLevel="0" collapsed="false">
      <c r="A262" s="5"/>
      <c r="B262" s="118"/>
      <c r="C262" s="54"/>
      <c r="D262" s="55"/>
      <c r="E262" s="79"/>
      <c r="F262" s="57"/>
      <c r="G262" s="58"/>
      <c r="H262" s="58"/>
      <c r="I262" s="57"/>
      <c r="J262" s="58"/>
      <c r="K262" s="58"/>
      <c r="L262" s="57"/>
      <c r="M262" s="79"/>
      <c r="N262" s="60"/>
      <c r="O262" s="62" t="str">
        <f aca="false">IF(ISBLANK($C262),"",IF(E262=Constants!$B$2, TRUE(), IF(E262=Constants!$B$3, FALSE(), TRUE())))</f>
        <v/>
      </c>
      <c r="P262" s="62" t="str">
        <f aca="false">IF(ISBLANK($C262),"",IF(F262=Constants!$B$16,Constants!$B$9,IF(F262=Constants!$B$17,Constants!$B$10,Constants!$B$8)))</f>
        <v/>
      </c>
      <c r="Q262" s="62" t="str">
        <f aca="false">IF(ISBLANK($C262),"",IF(ISNUMBER(G262),IF(G262&gt;=0,G262,""),""))</f>
        <v/>
      </c>
      <c r="R262" s="62" t="str">
        <f aca="false">IF(ISBLANK($C262),"",IF(H262=Constants!$B$2, TRUE(), IF(H262=Constants!$B$3, FALSE(), TRUE())))</f>
        <v/>
      </c>
      <c r="S262" s="62" t="str">
        <f aca="false">IF(ISBLANK($C262),"",IF(I262=Constants!$B$2, TRUE(), IF(I262=Constants!$B$3, FALSE(), TRUE())))</f>
        <v/>
      </c>
      <c r="T262" s="62" t="str">
        <f aca="false">IF(ISBLANK($C262),"",IF(ISNUMBER(J262),IF(J262&gt;=0,J262,""),""))</f>
        <v/>
      </c>
      <c r="U262" s="62" t="str">
        <f aca="false">IF(ISBLANK($C262),"",IF(K262=Constants!$B$2, TRUE(), IF(K262=Constants!$B$3, FALSE(), TRUE())))</f>
        <v/>
      </c>
      <c r="V262" s="62" t="str">
        <f aca="false">IF(ISBLANK($C262),"",IF(L262=Constants!$B$2, TRUE(), IF(L262=Constants!$B$3, FALSE(), TRUE())))</f>
        <v/>
      </c>
      <c r="W262" s="62" t="str">
        <f aca="false">IF(ISBLANK($C262),"",IF(M262=Constants!$B$2, TRUE(), IF(M262=Constants!$B$3, FALSE(), FALSE())))</f>
        <v/>
      </c>
      <c r="X262" s="62" t="str">
        <f aca="false">IF(ISBLANK($C262),"",AND(Q262&lt;&gt;"",O262))</f>
        <v/>
      </c>
      <c r="Y262" s="62" t="str">
        <f aca="false">IF(ISBLANK($C262),"",AND(T262&lt;&gt;"",O262))</f>
        <v/>
      </c>
      <c r="Z262" s="62" t="str">
        <f aca="false">IF(ISBLANK($C262),"",IF(W262,Constants!$B$4,IF(COUNTA(E262:L262)=0,Constants!$B$5,IF(NOT(O262),Constants!$B$6,IF(AND(NOT(X262),NOT(Y262)),Constants!$B$6,Constants!$B$7)))))</f>
        <v/>
      </c>
      <c r="AA262" s="62" t="str">
        <f aca="false">IF(ISBLANK($C262),"",IF($Z262&lt;&gt;Constants!$B$7,$Z262,Constants!$B$20))</f>
        <v/>
      </c>
      <c r="AB262" s="62" t="str">
        <f aca="false">IF($Z262=Constants!$B$7,IF(X262,Q262,Constants!$B$13),"")</f>
        <v/>
      </c>
      <c r="AC262" s="62" t="str">
        <f aca="false">IF($Z262=Constants!$B$7,IF(X262,P262*IF(R262, 1, Constants!$B$11)*IF(S262, 1, Constants!$B$12),Constants!$B$13),"")</f>
        <v/>
      </c>
      <c r="AD262" s="62" t="str">
        <f aca="false">IF($Z262=Constants!$B$7,AB262*AC262,"")</f>
        <v/>
      </c>
      <c r="AE262" s="62" t="str">
        <f aca="false">IF($Z262=Constants!$B$7,IF(Y262,T262,Constants!$B$13),"")</f>
        <v/>
      </c>
      <c r="AF262" s="62" t="str">
        <f aca="false">IF($Z262=Constants!$B$7,IF(Y262,P262*IF(U262, 1, Constants!$B$11)*IF(V262, 1, Constants!$B$12),Constants!$B$13),"")</f>
        <v/>
      </c>
      <c r="AG262" s="62" t="str">
        <f aca="false">IF($Z262=Constants!$B$7,AE262*AF262,"")</f>
        <v/>
      </c>
      <c r="AH262" s="62" t="str">
        <f aca="false">IF($Z262=Constants!$B$7,IF(AG262&gt;AD262,2,1),"")</f>
        <v/>
      </c>
      <c r="AI262" s="62" t="str">
        <f aca="false">IF($Z262=Constants!$B$7,IF(AH262=1,2,1),"")</f>
        <v/>
      </c>
      <c r="AJ262" s="62" t="str">
        <f aca="false">IF(ISBLANK($C262),"",IF($Z262&lt;&gt;Constants!$B$7,$Z262,IF(AH262=1,AD262,AG262)))</f>
        <v/>
      </c>
      <c r="AK262" s="62" t="str">
        <f aca="false">IF(ISBLANK($C262),"",IF($Z262=Constants!$B$7,IF(ISNUMBER(AJ262),RANK(AJ262,$AJ$8:$AJ$507),Constants!$B$14),$Z262))</f>
        <v/>
      </c>
      <c r="AL262" s="62" t="str">
        <f aca="false">IF(ISBLANK($C262),"",IF($Z262=Constants!$B$7,IF(AI262=1,AD262,AG262),""))</f>
        <v/>
      </c>
      <c r="AM262" s="62" t="str">
        <f aca="false">IF(ISBLANK($C262),"",IF($Z262=Constants!$B$7,RANK(AL262,$AL$8:$AL$507),$Z262))</f>
        <v/>
      </c>
      <c r="AN262" s="62" t="str">
        <f aca="false">IF(ISBLANK($C262),"",IF($Z262=Constants!$B$7,IF(ISNUMBER(AK262),COUNTIFS($AK$8:$AK$507,"&lt;"&amp;$AK262)+COUNTIFS($AK$8:$AK$507,$AK262,$AM$8:$AM$507,"&lt;"&amp;$AM262)+1,Constants!$B$14),$Z262))</f>
        <v/>
      </c>
      <c r="AO262" s="62" t="str">
        <f aca="false">IF(ISBLANK($C262),"",IF($Z262=Constants!$B$7,IF(ISNUMBER(AK262),AK262-AN262,Constants!$B$14),$Z262))</f>
        <v/>
      </c>
      <c r="AP262" s="64"/>
      <c r="AQ262" s="65" t="str">
        <f aca="false">IF(ISBLANK($C262),"",IF($Z262&lt;&gt;Constants!$B$7,"",AH262))</f>
        <v/>
      </c>
      <c r="AR262" s="80" t="str">
        <f aca="false">IF(ISBLANK($C262),"",IF($Z262&lt;&gt;Constants!$B$7,"",IF(AH262=1,AB262,AE262)))</f>
        <v/>
      </c>
      <c r="AS262" s="67" t="str">
        <f aca="false">IF(ISBLANK($C262),"",IF($Z262&lt;&gt;Constants!$B$7,"",IF(AH262=1,AC262,AF262)))</f>
        <v/>
      </c>
      <c r="AT262" s="68" t="str">
        <f aca="false">IF(ISBLANK($C262),"",IF($Z262&lt;&gt;Constants!$B$7,$Z262,AJ262))</f>
        <v/>
      </c>
      <c r="AU262" s="69" t="str">
        <f aca="false">IF(ISBLANK($C262),"",IF($Z262&lt;&gt;Constants!$B$7,$Z262,AA262))</f>
        <v/>
      </c>
      <c r="AV262" s="70" t="str">
        <f aca="false">IF(ISBLANK($C262),"",AO262)</f>
        <v/>
      </c>
      <c r="AW262" s="70" t="str">
        <f aca="false">IF(ISBLANK($C262),"",AN262)</f>
        <v/>
      </c>
      <c r="AX262" s="71" t="str">
        <f aca="false">IF(ISBLANK($C262),"",IFERROR(_xlfn.SWITCH(AW262,Constants!$B$4,COUNTA($C$8:$C$507)+2,Constants!$B$5,COUNTA($C$8:$C$507)+1,Constants!$B$6,COUNTA($C$8:$C$507)),AW262))</f>
        <v/>
      </c>
      <c r="AY262" s="5"/>
      <c r="AZ262" s="72" t="n">
        <f aca="false">IF(OR(ISNUMBER(AW262),AW262=Constants!$B$4,AW262=Constants!$B$6,AW262=Constants!$B$5),1,0)</f>
        <v>0</v>
      </c>
      <c r="BA262" s="72" t="n">
        <v>255</v>
      </c>
      <c r="BB262" s="72" t="str">
        <f aca="false">IF(ISBLANK($C262),"",IF(ISNUMBER(AX262),AX262+ROW($B262)/1000,""))</f>
        <v/>
      </c>
      <c r="BC262" s="72" t="str">
        <f aca="false">IF(ISNUMBER(BB262),RANK(BB262,$BB$8:$BB$507,1),"")</f>
        <v/>
      </c>
      <c r="BD262" s="72" t="str">
        <f aca="false">IF(ISBLANK($C262),"",$B262)</f>
        <v/>
      </c>
      <c r="BE262" s="72" t="str">
        <f aca="false">IF(ISBLANK($C262),"",$C262)</f>
        <v/>
      </c>
      <c r="BF262" s="72" t="str">
        <f aca="false">IF(ISBLANK($C262),"",$D262)</f>
        <v/>
      </c>
      <c r="BG262" s="73" t="str">
        <f aca="false">AU262</f>
        <v/>
      </c>
      <c r="BH262" s="74" t="str">
        <f aca="false">AT262</f>
        <v/>
      </c>
      <c r="BI262" s="72" t="str">
        <f aca="false">IF(ISBLANK($C262),"",AW262)</f>
        <v/>
      </c>
      <c r="BJ262" s="75" t="str">
        <f aca="false">IF($BA262&gt;$AZ$7,"",VLOOKUP($BA262,$BC$8:$BI$507,7,FALSE()))</f>
        <v/>
      </c>
      <c r="BK262" s="76" t="str">
        <f aca="false">IF($BA262&gt;$AZ$7,"",VLOOKUP($BA262,$BC$8:$BI$507,2,FALSE()))</f>
        <v/>
      </c>
      <c r="BL262" s="76" t="str">
        <f aca="false">IF($BA262&gt;$AZ$7,"",VLOOKUP($BA262,$BC$8:$BI$507,3,FALSE()))</f>
        <v/>
      </c>
      <c r="BM262" s="76" t="str">
        <f aca="false">IF($BA262&gt;$AZ$7,"",VLOOKUP($BA262,$BC$8:$BI$507,4,FALSE()))</f>
        <v/>
      </c>
      <c r="BN262" s="76" t="str">
        <f aca="false">IF($BA262&gt;$AZ$7,"",VLOOKUP($BA262,$BC$8:$BI$507,5,FALSE()))</f>
        <v/>
      </c>
      <c r="BO262" s="77" t="str">
        <f aca="false">IF($BA262&gt;$AZ$7,"",VLOOKUP($BA262,$BC$8:$BI$507,6,FALSE()))</f>
        <v/>
      </c>
      <c r="BP262" s="52"/>
    </row>
    <row r="263" customFormat="false" ht="15.75" hidden="false" customHeight="false" outlineLevel="0" collapsed="false">
      <c r="A263" s="5"/>
      <c r="B263" s="114"/>
      <c r="C263" s="115"/>
      <c r="D263" s="106"/>
      <c r="E263" s="117"/>
      <c r="F263" s="87"/>
      <c r="G263" s="88"/>
      <c r="H263" s="88"/>
      <c r="I263" s="87"/>
      <c r="J263" s="88"/>
      <c r="K263" s="88"/>
      <c r="L263" s="87"/>
      <c r="M263" s="117"/>
      <c r="N263" s="90"/>
      <c r="O263" s="91" t="str">
        <f aca="false">IF(ISBLANK($C263),"",IF(E263=Constants!$B$2, TRUE(), IF(E263=Constants!$B$3, FALSE(), TRUE())))</f>
        <v/>
      </c>
      <c r="P263" s="91" t="str">
        <f aca="false">IF(ISBLANK($C263),"",IF(F263=Constants!$B$16,Constants!$B$9,IF(F263=Constants!$B$17,Constants!$B$10,Constants!$B$8)))</f>
        <v/>
      </c>
      <c r="Q263" s="91" t="str">
        <f aca="false">IF(ISBLANK($C263),"",IF(ISNUMBER(G263),IF(G263&gt;=0,G263,""),""))</f>
        <v/>
      </c>
      <c r="R263" s="91" t="str">
        <f aca="false">IF(ISBLANK($C263),"",IF(H263=Constants!$B$2, TRUE(), IF(H263=Constants!$B$3, FALSE(), TRUE())))</f>
        <v/>
      </c>
      <c r="S263" s="91" t="str">
        <f aca="false">IF(ISBLANK($C263),"",IF(I263=Constants!$B$2, TRUE(), IF(I263=Constants!$B$3, FALSE(), TRUE())))</f>
        <v/>
      </c>
      <c r="T263" s="91" t="str">
        <f aca="false">IF(ISBLANK($C263),"",IF(ISNUMBER(J263),IF(J263&gt;=0,J263,""),""))</f>
        <v/>
      </c>
      <c r="U263" s="91" t="str">
        <f aca="false">IF(ISBLANK($C263),"",IF(K263=Constants!$B$2, TRUE(), IF(K263=Constants!$B$3, FALSE(), TRUE())))</f>
        <v/>
      </c>
      <c r="V263" s="91" t="str">
        <f aca="false">IF(ISBLANK($C263),"",IF(L263=Constants!$B$2, TRUE(), IF(L263=Constants!$B$3, FALSE(), TRUE())))</f>
        <v/>
      </c>
      <c r="W263" s="91" t="str">
        <f aca="false">IF(ISBLANK($C263),"",IF(M263=Constants!$B$2, TRUE(), IF(M263=Constants!$B$3, FALSE(), FALSE())))</f>
        <v/>
      </c>
      <c r="X263" s="91" t="str">
        <f aca="false">IF(ISBLANK($C263),"",AND(Q263&lt;&gt;"",O263))</f>
        <v/>
      </c>
      <c r="Y263" s="91" t="str">
        <f aca="false">IF(ISBLANK($C263),"",AND(T263&lt;&gt;"",O263))</f>
        <v/>
      </c>
      <c r="Z263" s="91" t="str">
        <f aca="false">IF(ISBLANK($C263),"",IF(W263,Constants!$B$4,IF(COUNTA(E263:L263)=0,Constants!$B$5,IF(NOT(O263),Constants!$B$6,IF(AND(NOT(X263),NOT(Y263)),Constants!$B$6,Constants!$B$7)))))</f>
        <v/>
      </c>
      <c r="AA263" s="91" t="str">
        <f aca="false">IF(ISBLANK($C263),"",IF($Z263&lt;&gt;Constants!$B$7,$Z263,Constants!$B$20))</f>
        <v/>
      </c>
      <c r="AB263" s="91" t="str">
        <f aca="false">IF($Z263=Constants!$B$7,IF(X263,Q263,Constants!$B$13),"")</f>
        <v/>
      </c>
      <c r="AC263" s="91" t="str">
        <f aca="false">IF($Z263=Constants!$B$7,IF(X263,P263*IF(R263, 1, Constants!$B$11)*IF(S263, 1, Constants!$B$12),Constants!$B$13),"")</f>
        <v/>
      </c>
      <c r="AD263" s="91" t="str">
        <f aca="false">IF($Z263=Constants!$B$7,AB263*AC263,"")</f>
        <v/>
      </c>
      <c r="AE263" s="91" t="str">
        <f aca="false">IF($Z263=Constants!$B$7,IF(Y263,T263,Constants!$B$13),"")</f>
        <v/>
      </c>
      <c r="AF263" s="91" t="str">
        <f aca="false">IF($Z263=Constants!$B$7,IF(Y263,P263*IF(U263, 1, Constants!$B$11)*IF(V263, 1, Constants!$B$12),Constants!$B$13),"")</f>
        <v/>
      </c>
      <c r="AG263" s="91" t="str">
        <f aca="false">IF($Z263=Constants!$B$7,AE263*AF263,"")</f>
        <v/>
      </c>
      <c r="AH263" s="91" t="str">
        <f aca="false">IF($Z263=Constants!$B$7,IF(AG263&gt;AD263,2,1),"")</f>
        <v/>
      </c>
      <c r="AI263" s="91" t="str">
        <f aca="false">IF($Z263=Constants!$B$7,IF(AH263=1,2,1),"")</f>
        <v/>
      </c>
      <c r="AJ263" s="91" t="str">
        <f aca="false">IF(ISBLANK($C263),"",IF($Z263&lt;&gt;Constants!$B$7,$Z263,IF(AH263=1,AD263,AG263)))</f>
        <v/>
      </c>
      <c r="AK263" s="91" t="str">
        <f aca="false">IF(ISBLANK($C263),"",IF($Z263=Constants!$B$7,IF(ISNUMBER(AJ263),RANK(AJ263,$AJ$8:$AJ$507),Constants!$B$14),$Z263))</f>
        <v/>
      </c>
      <c r="AL263" s="91" t="str">
        <f aca="false">IF(ISBLANK($C263),"",IF($Z263=Constants!$B$7,IF(AI263=1,AD263,AG263),""))</f>
        <v/>
      </c>
      <c r="AM263" s="91" t="str">
        <f aca="false">IF(ISBLANK($C263),"",IF($Z263=Constants!$B$7,RANK(AL263,$AL$8:$AL$507),$Z263))</f>
        <v/>
      </c>
      <c r="AN263" s="91" t="str">
        <f aca="false">IF(ISBLANK($C263),"",IF($Z263=Constants!$B$7,IF(ISNUMBER(AK263),COUNTIFS($AK$8:$AK$507,"&lt;"&amp;$AK263)+COUNTIFS($AK$8:$AK$507,$AK263,$AM$8:$AM$507,"&lt;"&amp;$AM263)+1,Constants!$B$14),$Z263))</f>
        <v/>
      </c>
      <c r="AO263" s="91" t="str">
        <f aca="false">IF(ISBLANK($C263),"",IF($Z263=Constants!$B$7,IF(ISNUMBER(AK263),AK263-AN263,Constants!$B$14),$Z263))</f>
        <v/>
      </c>
      <c r="AP263" s="92"/>
      <c r="AQ263" s="93" t="str">
        <f aca="false">IF(ISBLANK($C263),"",IF($Z263&lt;&gt;Constants!$B$7,"",AH263))</f>
        <v/>
      </c>
      <c r="AR263" s="94" t="str">
        <f aca="false">IF(ISBLANK($C263),"",IF($Z263&lt;&gt;Constants!$B$7,"",IF(AH263=1,AB263,AE263)))</f>
        <v/>
      </c>
      <c r="AS263" s="95" t="str">
        <f aca="false">IF(ISBLANK($C263),"",IF($Z263&lt;&gt;Constants!$B$7,"",IF(AH263=1,AC263,AF263)))</f>
        <v/>
      </c>
      <c r="AT263" s="96" t="str">
        <f aca="false">IF(ISBLANK($C263),"",IF($Z263&lt;&gt;Constants!$B$7,$Z263,AJ263))</f>
        <v/>
      </c>
      <c r="AU263" s="97" t="str">
        <f aca="false">IF(ISBLANK($C263),"",IF($Z263&lt;&gt;Constants!$B$7,$Z263,AA263))</f>
        <v/>
      </c>
      <c r="AV263" s="98" t="str">
        <f aca="false">IF(ISBLANK($C263),"",AO263)</f>
        <v/>
      </c>
      <c r="AW263" s="98" t="str">
        <f aca="false">IF(ISBLANK($C263),"",AN263)</f>
        <v/>
      </c>
      <c r="AX263" s="99" t="str">
        <f aca="false">IF(ISBLANK($C263),"",IFERROR(_xlfn.SWITCH(AW263,Constants!$B$4,COUNTA($C$8:$C$507)+2,Constants!$B$5,COUNTA($C$8:$C$507)+1,Constants!$B$6,COUNTA($C$8:$C$507)),AW263))</f>
        <v/>
      </c>
      <c r="AY263" s="5"/>
      <c r="AZ263" s="100" t="n">
        <f aca="false">IF(OR(ISNUMBER(AW263),AW263=Constants!$B$4,AW263=Constants!$B$6,AW263=Constants!$B$5),1,0)</f>
        <v>0</v>
      </c>
      <c r="BA263" s="100" t="n">
        <v>256</v>
      </c>
      <c r="BB263" s="100" t="str">
        <f aca="false">IF(ISBLANK($C263),"",IF(ISNUMBER(AX263),AX263+ROW($B263)/1000,""))</f>
        <v/>
      </c>
      <c r="BC263" s="100" t="str">
        <f aca="false">IF(ISNUMBER(BB263),RANK(BB263,$BB$8:$BB$507,1),"")</f>
        <v/>
      </c>
      <c r="BD263" s="100" t="str">
        <f aca="false">IF(ISBLANK($C263),"",$B263)</f>
        <v/>
      </c>
      <c r="BE263" s="100" t="str">
        <f aca="false">IF(ISBLANK($C263),"",$C263)</f>
        <v/>
      </c>
      <c r="BF263" s="100" t="str">
        <f aca="false">IF(ISBLANK($C263),"",$D263)</f>
        <v/>
      </c>
      <c r="BG263" s="101" t="str">
        <f aca="false">AU263</f>
        <v/>
      </c>
      <c r="BH263" s="102" t="str">
        <f aca="false">AT263</f>
        <v/>
      </c>
      <c r="BI263" s="100" t="str">
        <f aca="false">IF(ISBLANK($C263),"",AW263)</f>
        <v/>
      </c>
      <c r="BJ263" s="103" t="str">
        <f aca="false">IF($BA263&gt;$AZ$7,"",VLOOKUP($BA263,$BC$8:$BI$507,7,FALSE()))</f>
        <v/>
      </c>
      <c r="BK263" s="104" t="str">
        <f aca="false">IF($BA263&gt;$AZ$7,"",VLOOKUP($BA263,$BC$8:$BI$507,2,FALSE()))</f>
        <v/>
      </c>
      <c r="BL263" s="104" t="str">
        <f aca="false">IF($BA263&gt;$AZ$7,"",VLOOKUP($BA263,$BC$8:$BI$507,3,FALSE()))</f>
        <v/>
      </c>
      <c r="BM263" s="104" t="str">
        <f aca="false">IF($BA263&gt;$AZ$7,"",VLOOKUP($BA263,$BC$8:$BI$507,4,FALSE()))</f>
        <v/>
      </c>
      <c r="BN263" s="104" t="str">
        <f aca="false">IF($BA263&gt;$AZ$7,"",VLOOKUP($BA263,$BC$8:$BI$507,5,FALSE()))</f>
        <v/>
      </c>
      <c r="BO263" s="105" t="str">
        <f aca="false">IF($BA263&gt;$AZ$7,"",VLOOKUP($BA263,$BC$8:$BI$507,6,FALSE()))</f>
        <v/>
      </c>
      <c r="BP263" s="52"/>
    </row>
    <row r="264" customFormat="false" ht="15.75" hidden="false" customHeight="false" outlineLevel="0" collapsed="false">
      <c r="A264" s="5"/>
      <c r="B264" s="114"/>
      <c r="C264" s="115"/>
      <c r="D264" s="106"/>
      <c r="E264" s="117"/>
      <c r="F264" s="87"/>
      <c r="G264" s="88"/>
      <c r="H264" s="88"/>
      <c r="I264" s="87"/>
      <c r="J264" s="88"/>
      <c r="K264" s="88"/>
      <c r="L264" s="87"/>
      <c r="M264" s="117"/>
      <c r="N264" s="90"/>
      <c r="O264" s="91" t="str">
        <f aca="false">IF(ISBLANK($C264),"",IF(E264=Constants!$B$2, TRUE(), IF(E264=Constants!$B$3, FALSE(), TRUE())))</f>
        <v/>
      </c>
      <c r="P264" s="91" t="str">
        <f aca="false">IF(ISBLANK($C264),"",IF(F264=Constants!$B$16,Constants!$B$9,IF(F264=Constants!$B$17,Constants!$B$10,Constants!$B$8)))</f>
        <v/>
      </c>
      <c r="Q264" s="91" t="str">
        <f aca="false">IF(ISBLANK($C264),"",IF(ISNUMBER(G264),IF(G264&gt;=0,G264,""),""))</f>
        <v/>
      </c>
      <c r="R264" s="91" t="str">
        <f aca="false">IF(ISBLANK($C264),"",IF(H264=Constants!$B$2, TRUE(), IF(H264=Constants!$B$3, FALSE(), TRUE())))</f>
        <v/>
      </c>
      <c r="S264" s="91" t="str">
        <f aca="false">IF(ISBLANK($C264),"",IF(I264=Constants!$B$2, TRUE(), IF(I264=Constants!$B$3, FALSE(), TRUE())))</f>
        <v/>
      </c>
      <c r="T264" s="91" t="str">
        <f aca="false">IF(ISBLANK($C264),"",IF(ISNUMBER(J264),IF(J264&gt;=0,J264,""),""))</f>
        <v/>
      </c>
      <c r="U264" s="91" t="str">
        <f aca="false">IF(ISBLANK($C264),"",IF(K264=Constants!$B$2, TRUE(), IF(K264=Constants!$B$3, FALSE(), TRUE())))</f>
        <v/>
      </c>
      <c r="V264" s="91" t="str">
        <f aca="false">IF(ISBLANK($C264),"",IF(L264=Constants!$B$2, TRUE(), IF(L264=Constants!$B$3, FALSE(), TRUE())))</f>
        <v/>
      </c>
      <c r="W264" s="91" t="str">
        <f aca="false">IF(ISBLANK($C264),"",IF(M264=Constants!$B$2, TRUE(), IF(M264=Constants!$B$3, FALSE(), FALSE())))</f>
        <v/>
      </c>
      <c r="X264" s="91" t="str">
        <f aca="false">IF(ISBLANK($C264),"",AND(Q264&lt;&gt;"",O264))</f>
        <v/>
      </c>
      <c r="Y264" s="91" t="str">
        <f aca="false">IF(ISBLANK($C264),"",AND(T264&lt;&gt;"",O264))</f>
        <v/>
      </c>
      <c r="Z264" s="91" t="str">
        <f aca="false">IF(ISBLANK($C264),"",IF(W264,Constants!$B$4,IF(COUNTA(E264:L264)=0,Constants!$B$5,IF(NOT(O264),Constants!$B$6,IF(AND(NOT(X264),NOT(Y264)),Constants!$B$6,Constants!$B$7)))))</f>
        <v/>
      </c>
      <c r="AA264" s="91" t="str">
        <f aca="false">IF(ISBLANK($C264),"",IF($Z264&lt;&gt;Constants!$B$7,$Z264,Constants!$B$20))</f>
        <v/>
      </c>
      <c r="AB264" s="91" t="str">
        <f aca="false">IF($Z264=Constants!$B$7,IF(X264,Q264,Constants!$B$13),"")</f>
        <v/>
      </c>
      <c r="AC264" s="91" t="str">
        <f aca="false">IF($Z264=Constants!$B$7,IF(X264,P264*IF(R264, 1, Constants!$B$11)*IF(S264, 1, Constants!$B$12),Constants!$B$13),"")</f>
        <v/>
      </c>
      <c r="AD264" s="91" t="str">
        <f aca="false">IF($Z264=Constants!$B$7,AB264*AC264,"")</f>
        <v/>
      </c>
      <c r="AE264" s="91" t="str">
        <f aca="false">IF($Z264=Constants!$B$7,IF(Y264,T264,Constants!$B$13),"")</f>
        <v/>
      </c>
      <c r="AF264" s="91" t="str">
        <f aca="false">IF($Z264=Constants!$B$7,IF(Y264,P264*IF(U264, 1, Constants!$B$11)*IF(V264, 1, Constants!$B$12),Constants!$B$13),"")</f>
        <v/>
      </c>
      <c r="AG264" s="91" t="str">
        <f aca="false">IF($Z264=Constants!$B$7,AE264*AF264,"")</f>
        <v/>
      </c>
      <c r="AH264" s="91" t="str">
        <f aca="false">IF($Z264=Constants!$B$7,IF(AG264&gt;AD264,2,1),"")</f>
        <v/>
      </c>
      <c r="AI264" s="91" t="str">
        <f aca="false">IF($Z264=Constants!$B$7,IF(AH264=1,2,1),"")</f>
        <v/>
      </c>
      <c r="AJ264" s="91" t="str">
        <f aca="false">IF(ISBLANK($C264),"",IF($Z264&lt;&gt;Constants!$B$7,$Z264,IF(AH264=1,AD264,AG264)))</f>
        <v/>
      </c>
      <c r="AK264" s="91" t="str">
        <f aca="false">IF(ISBLANK($C264),"",IF($Z264=Constants!$B$7,IF(ISNUMBER(AJ264),RANK(AJ264,$AJ$8:$AJ$507),Constants!$B$14),$Z264))</f>
        <v/>
      </c>
      <c r="AL264" s="91" t="str">
        <f aca="false">IF(ISBLANK($C264),"",IF($Z264=Constants!$B$7,IF(AI264=1,AD264,AG264),""))</f>
        <v/>
      </c>
      <c r="AM264" s="91" t="str">
        <f aca="false">IF(ISBLANK($C264),"",IF($Z264=Constants!$B$7,RANK(AL264,$AL$8:$AL$507),$Z264))</f>
        <v/>
      </c>
      <c r="AN264" s="91" t="str">
        <f aca="false">IF(ISBLANK($C264),"",IF($Z264=Constants!$B$7,IF(ISNUMBER(AK264),COUNTIFS($AK$8:$AK$507,"&lt;"&amp;$AK264)+COUNTIFS($AK$8:$AK$507,$AK264,$AM$8:$AM$507,"&lt;"&amp;$AM264)+1,Constants!$B$14),$Z264))</f>
        <v/>
      </c>
      <c r="AO264" s="91" t="str">
        <f aca="false">IF(ISBLANK($C264),"",IF($Z264=Constants!$B$7,IF(ISNUMBER(AK264),AK264-AN264,Constants!$B$14),$Z264))</f>
        <v/>
      </c>
      <c r="AP264" s="92"/>
      <c r="AQ264" s="93" t="str">
        <f aca="false">IF(ISBLANK($C264),"",IF($Z264&lt;&gt;Constants!$B$7,"",AH264))</f>
        <v/>
      </c>
      <c r="AR264" s="94" t="str">
        <f aca="false">IF(ISBLANK($C264),"",IF($Z264&lt;&gt;Constants!$B$7,"",IF(AH264=1,AB264,AE264)))</f>
        <v/>
      </c>
      <c r="AS264" s="95" t="str">
        <f aca="false">IF(ISBLANK($C264),"",IF($Z264&lt;&gt;Constants!$B$7,"",IF(AH264=1,AC264,AF264)))</f>
        <v/>
      </c>
      <c r="AT264" s="96" t="str">
        <f aca="false">IF(ISBLANK($C264),"",IF($Z264&lt;&gt;Constants!$B$7,$Z264,AJ264))</f>
        <v/>
      </c>
      <c r="AU264" s="97" t="str">
        <f aca="false">IF(ISBLANK($C264),"",IF($Z264&lt;&gt;Constants!$B$7,$Z264,AA264))</f>
        <v/>
      </c>
      <c r="AV264" s="98" t="str">
        <f aca="false">IF(ISBLANK($C264),"",AO264)</f>
        <v/>
      </c>
      <c r="AW264" s="98" t="str">
        <f aca="false">IF(ISBLANK($C264),"",AN264)</f>
        <v/>
      </c>
      <c r="AX264" s="99" t="str">
        <f aca="false">IF(ISBLANK($C264),"",IFERROR(_xlfn.SWITCH(AW264,Constants!$B$4,COUNTA($C$8:$C$507)+2,Constants!$B$5,COUNTA($C$8:$C$507)+1,Constants!$B$6,COUNTA($C$8:$C$507)),AW264))</f>
        <v/>
      </c>
      <c r="AY264" s="5"/>
      <c r="AZ264" s="100" t="n">
        <f aca="false">IF(OR(ISNUMBER(AW264),AW264=Constants!$B$4,AW264=Constants!$B$6,AW264=Constants!$B$5),1,0)</f>
        <v>0</v>
      </c>
      <c r="BA264" s="100" t="n">
        <v>257</v>
      </c>
      <c r="BB264" s="100" t="str">
        <f aca="false">IF(ISBLANK($C264),"",IF(ISNUMBER(AX264),AX264+ROW($B264)/1000,""))</f>
        <v/>
      </c>
      <c r="BC264" s="100" t="str">
        <f aca="false">IF(ISNUMBER(BB264),RANK(BB264,$BB$8:$BB$507,1),"")</f>
        <v/>
      </c>
      <c r="BD264" s="100" t="str">
        <f aca="false">IF(ISBLANK($C264),"",$B264)</f>
        <v/>
      </c>
      <c r="BE264" s="100" t="str">
        <f aca="false">IF(ISBLANK($C264),"",$C264)</f>
        <v/>
      </c>
      <c r="BF264" s="100" t="str">
        <f aca="false">IF(ISBLANK($C264),"",$D264)</f>
        <v/>
      </c>
      <c r="BG264" s="101" t="str">
        <f aca="false">AU264</f>
        <v/>
      </c>
      <c r="BH264" s="102" t="str">
        <f aca="false">AT264</f>
        <v/>
      </c>
      <c r="BI264" s="100" t="str">
        <f aca="false">IF(ISBLANK($C264),"",AW264)</f>
        <v/>
      </c>
      <c r="BJ264" s="103" t="str">
        <f aca="false">IF($BA264&gt;$AZ$7,"",VLOOKUP($BA264,$BC$8:$BI$507,7,FALSE()))</f>
        <v/>
      </c>
      <c r="BK264" s="104" t="str">
        <f aca="false">IF($BA264&gt;$AZ$7,"",VLOOKUP($BA264,$BC$8:$BI$507,2,FALSE()))</f>
        <v/>
      </c>
      <c r="BL264" s="104" t="str">
        <f aca="false">IF($BA264&gt;$AZ$7,"",VLOOKUP($BA264,$BC$8:$BI$507,3,FALSE()))</f>
        <v/>
      </c>
      <c r="BM264" s="104" t="str">
        <f aca="false">IF($BA264&gt;$AZ$7,"",VLOOKUP($BA264,$BC$8:$BI$507,4,FALSE()))</f>
        <v/>
      </c>
      <c r="BN264" s="104" t="str">
        <f aca="false">IF($BA264&gt;$AZ$7,"",VLOOKUP($BA264,$BC$8:$BI$507,5,FALSE()))</f>
        <v/>
      </c>
      <c r="BO264" s="105" t="str">
        <f aca="false">IF($BA264&gt;$AZ$7,"",VLOOKUP($BA264,$BC$8:$BI$507,6,FALSE()))</f>
        <v/>
      </c>
      <c r="BP264" s="52"/>
    </row>
    <row r="265" customFormat="false" ht="15.75" hidden="false" customHeight="false" outlineLevel="0" collapsed="false">
      <c r="A265" s="5"/>
      <c r="B265" s="114"/>
      <c r="C265" s="115"/>
      <c r="D265" s="106"/>
      <c r="E265" s="117"/>
      <c r="F265" s="87"/>
      <c r="G265" s="88"/>
      <c r="H265" s="88"/>
      <c r="I265" s="87"/>
      <c r="J265" s="88"/>
      <c r="K265" s="88"/>
      <c r="L265" s="87"/>
      <c r="M265" s="117"/>
      <c r="N265" s="90"/>
      <c r="O265" s="91" t="str">
        <f aca="false">IF(ISBLANK($C265),"",IF(E265=Constants!$B$2, TRUE(), IF(E265=Constants!$B$3, FALSE(), TRUE())))</f>
        <v/>
      </c>
      <c r="P265" s="91" t="str">
        <f aca="false">IF(ISBLANK($C265),"",IF(F265=Constants!$B$16,Constants!$B$9,IF(F265=Constants!$B$17,Constants!$B$10,Constants!$B$8)))</f>
        <v/>
      </c>
      <c r="Q265" s="91" t="str">
        <f aca="false">IF(ISBLANK($C265),"",IF(ISNUMBER(G265),IF(G265&gt;=0,G265,""),""))</f>
        <v/>
      </c>
      <c r="R265" s="91" t="str">
        <f aca="false">IF(ISBLANK($C265),"",IF(H265=Constants!$B$2, TRUE(), IF(H265=Constants!$B$3, FALSE(), TRUE())))</f>
        <v/>
      </c>
      <c r="S265" s="91" t="str">
        <f aca="false">IF(ISBLANK($C265),"",IF(I265=Constants!$B$2, TRUE(), IF(I265=Constants!$B$3, FALSE(), TRUE())))</f>
        <v/>
      </c>
      <c r="T265" s="91" t="str">
        <f aca="false">IF(ISBLANK($C265),"",IF(ISNUMBER(J265),IF(J265&gt;=0,J265,""),""))</f>
        <v/>
      </c>
      <c r="U265" s="91" t="str">
        <f aca="false">IF(ISBLANK($C265),"",IF(K265=Constants!$B$2, TRUE(), IF(K265=Constants!$B$3, FALSE(), TRUE())))</f>
        <v/>
      </c>
      <c r="V265" s="91" t="str">
        <f aca="false">IF(ISBLANK($C265),"",IF(L265=Constants!$B$2, TRUE(), IF(L265=Constants!$B$3, FALSE(), TRUE())))</f>
        <v/>
      </c>
      <c r="W265" s="91" t="str">
        <f aca="false">IF(ISBLANK($C265),"",IF(M265=Constants!$B$2, TRUE(), IF(M265=Constants!$B$3, FALSE(), FALSE())))</f>
        <v/>
      </c>
      <c r="X265" s="91" t="str">
        <f aca="false">IF(ISBLANK($C265),"",AND(Q265&lt;&gt;"",O265))</f>
        <v/>
      </c>
      <c r="Y265" s="91" t="str">
        <f aca="false">IF(ISBLANK($C265),"",AND(T265&lt;&gt;"",O265))</f>
        <v/>
      </c>
      <c r="Z265" s="91" t="str">
        <f aca="false">IF(ISBLANK($C265),"",IF(W265,Constants!$B$4,IF(COUNTA(E265:L265)=0,Constants!$B$5,IF(NOT(O265),Constants!$B$6,IF(AND(NOT(X265),NOT(Y265)),Constants!$B$6,Constants!$B$7)))))</f>
        <v/>
      </c>
      <c r="AA265" s="91" t="str">
        <f aca="false">IF(ISBLANK($C265),"",IF($Z265&lt;&gt;Constants!$B$7,$Z265,Constants!$B$20))</f>
        <v/>
      </c>
      <c r="AB265" s="91" t="str">
        <f aca="false">IF($Z265=Constants!$B$7,IF(X265,Q265,Constants!$B$13),"")</f>
        <v/>
      </c>
      <c r="AC265" s="91" t="str">
        <f aca="false">IF($Z265=Constants!$B$7,IF(X265,P265*IF(R265, 1, Constants!$B$11)*IF(S265, 1, Constants!$B$12),Constants!$B$13),"")</f>
        <v/>
      </c>
      <c r="AD265" s="91" t="str">
        <f aca="false">IF($Z265=Constants!$B$7,AB265*AC265,"")</f>
        <v/>
      </c>
      <c r="AE265" s="91" t="str">
        <f aca="false">IF($Z265=Constants!$B$7,IF(Y265,T265,Constants!$B$13),"")</f>
        <v/>
      </c>
      <c r="AF265" s="91" t="str">
        <f aca="false">IF($Z265=Constants!$B$7,IF(Y265,P265*IF(U265, 1, Constants!$B$11)*IF(V265, 1, Constants!$B$12),Constants!$B$13),"")</f>
        <v/>
      </c>
      <c r="AG265" s="91" t="str">
        <f aca="false">IF($Z265=Constants!$B$7,AE265*AF265,"")</f>
        <v/>
      </c>
      <c r="AH265" s="91" t="str">
        <f aca="false">IF($Z265=Constants!$B$7,IF(AG265&gt;AD265,2,1),"")</f>
        <v/>
      </c>
      <c r="AI265" s="91" t="str">
        <f aca="false">IF($Z265=Constants!$B$7,IF(AH265=1,2,1),"")</f>
        <v/>
      </c>
      <c r="AJ265" s="91" t="str">
        <f aca="false">IF(ISBLANK($C265),"",IF($Z265&lt;&gt;Constants!$B$7,$Z265,IF(AH265=1,AD265,AG265)))</f>
        <v/>
      </c>
      <c r="AK265" s="91" t="str">
        <f aca="false">IF(ISBLANK($C265),"",IF($Z265=Constants!$B$7,IF(ISNUMBER(AJ265),RANK(AJ265,$AJ$8:$AJ$507),Constants!$B$14),$Z265))</f>
        <v/>
      </c>
      <c r="AL265" s="91" t="str">
        <f aca="false">IF(ISBLANK($C265),"",IF($Z265=Constants!$B$7,IF(AI265=1,AD265,AG265),""))</f>
        <v/>
      </c>
      <c r="AM265" s="91" t="str">
        <f aca="false">IF(ISBLANK($C265),"",IF($Z265=Constants!$B$7,RANK(AL265,$AL$8:$AL$507),$Z265))</f>
        <v/>
      </c>
      <c r="AN265" s="91" t="str">
        <f aca="false">IF(ISBLANK($C265),"",IF($Z265=Constants!$B$7,IF(ISNUMBER(AK265),COUNTIFS($AK$8:$AK$507,"&lt;"&amp;$AK265)+COUNTIFS($AK$8:$AK$507,$AK265,$AM$8:$AM$507,"&lt;"&amp;$AM265)+1,Constants!$B$14),$Z265))</f>
        <v/>
      </c>
      <c r="AO265" s="91" t="str">
        <f aca="false">IF(ISBLANK($C265),"",IF($Z265=Constants!$B$7,IF(ISNUMBER(AK265),AK265-AN265,Constants!$B$14),$Z265))</f>
        <v/>
      </c>
      <c r="AP265" s="92"/>
      <c r="AQ265" s="93" t="str">
        <f aca="false">IF(ISBLANK($C265),"",IF($Z265&lt;&gt;Constants!$B$7,"",AH265))</f>
        <v/>
      </c>
      <c r="AR265" s="94" t="str">
        <f aca="false">IF(ISBLANK($C265),"",IF($Z265&lt;&gt;Constants!$B$7,"",IF(AH265=1,AB265,AE265)))</f>
        <v/>
      </c>
      <c r="AS265" s="95" t="str">
        <f aca="false">IF(ISBLANK($C265),"",IF($Z265&lt;&gt;Constants!$B$7,"",IF(AH265=1,AC265,AF265)))</f>
        <v/>
      </c>
      <c r="AT265" s="96" t="str">
        <f aca="false">IF(ISBLANK($C265),"",IF($Z265&lt;&gt;Constants!$B$7,$Z265,AJ265))</f>
        <v/>
      </c>
      <c r="AU265" s="97" t="str">
        <f aca="false">IF(ISBLANK($C265),"",IF($Z265&lt;&gt;Constants!$B$7,$Z265,AA265))</f>
        <v/>
      </c>
      <c r="AV265" s="98" t="str">
        <f aca="false">IF(ISBLANK($C265),"",AO265)</f>
        <v/>
      </c>
      <c r="AW265" s="98" t="str">
        <f aca="false">IF(ISBLANK($C265),"",AN265)</f>
        <v/>
      </c>
      <c r="AX265" s="99" t="str">
        <f aca="false">IF(ISBLANK($C265),"",IFERROR(_xlfn.SWITCH(AW265,Constants!$B$4,COUNTA($C$8:$C$507)+2,Constants!$B$5,COUNTA($C$8:$C$507)+1,Constants!$B$6,COUNTA($C$8:$C$507)),AW265))</f>
        <v/>
      </c>
      <c r="AY265" s="5"/>
      <c r="AZ265" s="100" t="n">
        <f aca="false">IF(OR(ISNUMBER(AW265),AW265=Constants!$B$4,AW265=Constants!$B$6,AW265=Constants!$B$5),1,0)</f>
        <v>0</v>
      </c>
      <c r="BA265" s="100" t="n">
        <v>258</v>
      </c>
      <c r="BB265" s="100" t="str">
        <f aca="false">IF(ISBLANK($C265),"",IF(ISNUMBER(AX265),AX265+ROW($B265)/1000,""))</f>
        <v/>
      </c>
      <c r="BC265" s="100" t="str">
        <f aca="false">IF(ISNUMBER(BB265),RANK(BB265,$BB$8:$BB$507,1),"")</f>
        <v/>
      </c>
      <c r="BD265" s="100" t="str">
        <f aca="false">IF(ISBLANK($C265),"",$B265)</f>
        <v/>
      </c>
      <c r="BE265" s="100" t="str">
        <f aca="false">IF(ISBLANK($C265),"",$C265)</f>
        <v/>
      </c>
      <c r="BF265" s="100" t="str">
        <f aca="false">IF(ISBLANK($C265),"",$D265)</f>
        <v/>
      </c>
      <c r="BG265" s="101" t="str">
        <f aca="false">AU265</f>
        <v/>
      </c>
      <c r="BH265" s="102" t="str">
        <f aca="false">AT265</f>
        <v/>
      </c>
      <c r="BI265" s="100" t="str">
        <f aca="false">IF(ISBLANK($C265),"",AW265)</f>
        <v/>
      </c>
      <c r="BJ265" s="103" t="str">
        <f aca="false">IF($BA265&gt;$AZ$7,"",VLOOKUP($BA265,$BC$8:$BI$507,7,FALSE()))</f>
        <v/>
      </c>
      <c r="BK265" s="104" t="str">
        <f aca="false">IF($BA265&gt;$AZ$7,"",VLOOKUP($BA265,$BC$8:$BI$507,2,FALSE()))</f>
        <v/>
      </c>
      <c r="BL265" s="104" t="str">
        <f aca="false">IF($BA265&gt;$AZ$7,"",VLOOKUP($BA265,$BC$8:$BI$507,3,FALSE()))</f>
        <v/>
      </c>
      <c r="BM265" s="104" t="str">
        <f aca="false">IF($BA265&gt;$AZ$7,"",VLOOKUP($BA265,$BC$8:$BI$507,4,FALSE()))</f>
        <v/>
      </c>
      <c r="BN265" s="104" t="str">
        <f aca="false">IF($BA265&gt;$AZ$7,"",VLOOKUP($BA265,$BC$8:$BI$507,5,FALSE()))</f>
        <v/>
      </c>
      <c r="BO265" s="105" t="str">
        <f aca="false">IF($BA265&gt;$AZ$7,"",VLOOKUP($BA265,$BC$8:$BI$507,6,FALSE()))</f>
        <v/>
      </c>
      <c r="BP265" s="52"/>
    </row>
    <row r="266" customFormat="false" ht="15.75" hidden="false" customHeight="false" outlineLevel="0" collapsed="false">
      <c r="A266" s="5"/>
      <c r="B266" s="118"/>
      <c r="C266" s="54"/>
      <c r="D266" s="55"/>
      <c r="E266" s="79"/>
      <c r="F266" s="57"/>
      <c r="G266" s="58"/>
      <c r="H266" s="58"/>
      <c r="I266" s="57"/>
      <c r="J266" s="58"/>
      <c r="K266" s="58"/>
      <c r="L266" s="57"/>
      <c r="M266" s="79"/>
      <c r="N266" s="60"/>
      <c r="O266" s="62" t="str">
        <f aca="false">IF(ISBLANK($C266),"",IF(E266=Constants!$B$2, TRUE(), IF(E266=Constants!$B$3, FALSE(), TRUE())))</f>
        <v/>
      </c>
      <c r="P266" s="62" t="str">
        <f aca="false">IF(ISBLANK($C266),"",IF(F266=Constants!$B$16,Constants!$B$9,IF(F266=Constants!$B$17,Constants!$B$10,Constants!$B$8)))</f>
        <v/>
      </c>
      <c r="Q266" s="62" t="str">
        <f aca="false">IF(ISBLANK($C266),"",IF(ISNUMBER(G266),IF(G266&gt;=0,G266,""),""))</f>
        <v/>
      </c>
      <c r="R266" s="62" t="str">
        <f aca="false">IF(ISBLANK($C266),"",IF(H266=Constants!$B$2, TRUE(), IF(H266=Constants!$B$3, FALSE(), TRUE())))</f>
        <v/>
      </c>
      <c r="S266" s="62" t="str">
        <f aca="false">IF(ISBLANK($C266),"",IF(I266=Constants!$B$2, TRUE(), IF(I266=Constants!$B$3, FALSE(), TRUE())))</f>
        <v/>
      </c>
      <c r="T266" s="62" t="str">
        <f aca="false">IF(ISBLANK($C266),"",IF(ISNUMBER(J266),IF(J266&gt;=0,J266,""),""))</f>
        <v/>
      </c>
      <c r="U266" s="62" t="str">
        <f aca="false">IF(ISBLANK($C266),"",IF(K266=Constants!$B$2, TRUE(), IF(K266=Constants!$B$3, FALSE(), TRUE())))</f>
        <v/>
      </c>
      <c r="V266" s="62" t="str">
        <f aca="false">IF(ISBLANK($C266),"",IF(L266=Constants!$B$2, TRUE(), IF(L266=Constants!$B$3, FALSE(), TRUE())))</f>
        <v/>
      </c>
      <c r="W266" s="62" t="str">
        <f aca="false">IF(ISBLANK($C266),"",IF(M266=Constants!$B$2, TRUE(), IF(M266=Constants!$B$3, FALSE(), FALSE())))</f>
        <v/>
      </c>
      <c r="X266" s="62" t="str">
        <f aca="false">IF(ISBLANK($C266),"",AND(Q266&lt;&gt;"",O266))</f>
        <v/>
      </c>
      <c r="Y266" s="62" t="str">
        <f aca="false">IF(ISBLANK($C266),"",AND(T266&lt;&gt;"",O266))</f>
        <v/>
      </c>
      <c r="Z266" s="62" t="str">
        <f aca="false">IF(ISBLANK($C266),"",IF(W266,Constants!$B$4,IF(COUNTA(E266:L266)=0,Constants!$B$5,IF(NOT(O266),Constants!$B$6,IF(AND(NOT(X266),NOT(Y266)),Constants!$B$6,Constants!$B$7)))))</f>
        <v/>
      </c>
      <c r="AA266" s="62" t="str">
        <f aca="false">IF(ISBLANK($C266),"",IF($Z266&lt;&gt;Constants!$B$7,$Z266,Constants!$B$20))</f>
        <v/>
      </c>
      <c r="AB266" s="62" t="str">
        <f aca="false">IF($Z266=Constants!$B$7,IF(X266,Q266,Constants!$B$13),"")</f>
        <v/>
      </c>
      <c r="AC266" s="62" t="str">
        <f aca="false">IF($Z266=Constants!$B$7,IF(X266,P266*IF(R266, 1, Constants!$B$11)*IF(S266, 1, Constants!$B$12),Constants!$B$13),"")</f>
        <v/>
      </c>
      <c r="AD266" s="62" t="str">
        <f aca="false">IF($Z266=Constants!$B$7,AB266*AC266,"")</f>
        <v/>
      </c>
      <c r="AE266" s="62" t="str">
        <f aca="false">IF($Z266=Constants!$B$7,IF(Y266,T266,Constants!$B$13),"")</f>
        <v/>
      </c>
      <c r="AF266" s="62" t="str">
        <f aca="false">IF($Z266=Constants!$B$7,IF(Y266,P266*IF(U266, 1, Constants!$B$11)*IF(V266, 1, Constants!$B$12),Constants!$B$13),"")</f>
        <v/>
      </c>
      <c r="AG266" s="62" t="str">
        <f aca="false">IF($Z266=Constants!$B$7,AE266*AF266,"")</f>
        <v/>
      </c>
      <c r="AH266" s="62" t="str">
        <f aca="false">IF($Z266=Constants!$B$7,IF(AG266&gt;AD266,2,1),"")</f>
        <v/>
      </c>
      <c r="AI266" s="62" t="str">
        <f aca="false">IF($Z266=Constants!$B$7,IF(AH266=1,2,1),"")</f>
        <v/>
      </c>
      <c r="AJ266" s="62" t="str">
        <f aca="false">IF(ISBLANK($C266),"",IF($Z266&lt;&gt;Constants!$B$7,$Z266,IF(AH266=1,AD266,AG266)))</f>
        <v/>
      </c>
      <c r="AK266" s="62" t="str">
        <f aca="false">IF(ISBLANK($C266),"",IF($Z266=Constants!$B$7,IF(ISNUMBER(AJ266),RANK(AJ266,$AJ$8:$AJ$507),Constants!$B$14),$Z266))</f>
        <v/>
      </c>
      <c r="AL266" s="62" t="str">
        <f aca="false">IF(ISBLANK($C266),"",IF($Z266=Constants!$B$7,IF(AI266=1,AD266,AG266),""))</f>
        <v/>
      </c>
      <c r="AM266" s="62" t="str">
        <f aca="false">IF(ISBLANK($C266),"",IF($Z266=Constants!$B$7,RANK(AL266,$AL$8:$AL$507),$Z266))</f>
        <v/>
      </c>
      <c r="AN266" s="62" t="str">
        <f aca="false">IF(ISBLANK($C266),"",IF($Z266=Constants!$B$7,IF(ISNUMBER(AK266),COUNTIFS($AK$8:$AK$507,"&lt;"&amp;$AK266)+COUNTIFS($AK$8:$AK$507,$AK266,$AM$8:$AM$507,"&lt;"&amp;$AM266)+1,Constants!$B$14),$Z266))</f>
        <v/>
      </c>
      <c r="AO266" s="62" t="str">
        <f aca="false">IF(ISBLANK($C266),"",IF($Z266=Constants!$B$7,IF(ISNUMBER(AK266),AK266-AN266,Constants!$B$14),$Z266))</f>
        <v/>
      </c>
      <c r="AP266" s="64"/>
      <c r="AQ266" s="65" t="str">
        <f aca="false">IF(ISBLANK($C266),"",IF($Z266&lt;&gt;Constants!$B$7,"",AH266))</f>
        <v/>
      </c>
      <c r="AR266" s="80" t="str">
        <f aca="false">IF(ISBLANK($C266),"",IF($Z266&lt;&gt;Constants!$B$7,"",IF(AH266=1,AB266,AE266)))</f>
        <v/>
      </c>
      <c r="AS266" s="67" t="str">
        <f aca="false">IF(ISBLANK($C266),"",IF($Z266&lt;&gt;Constants!$B$7,"",IF(AH266=1,AC266,AF266)))</f>
        <v/>
      </c>
      <c r="AT266" s="68" t="str">
        <f aca="false">IF(ISBLANK($C266),"",IF($Z266&lt;&gt;Constants!$B$7,$Z266,AJ266))</f>
        <v/>
      </c>
      <c r="AU266" s="69" t="str">
        <f aca="false">IF(ISBLANK($C266),"",IF($Z266&lt;&gt;Constants!$B$7,$Z266,AA266))</f>
        <v/>
      </c>
      <c r="AV266" s="70" t="str">
        <f aca="false">IF(ISBLANK($C266),"",AO266)</f>
        <v/>
      </c>
      <c r="AW266" s="70" t="str">
        <f aca="false">IF(ISBLANK($C266),"",AN266)</f>
        <v/>
      </c>
      <c r="AX266" s="71" t="str">
        <f aca="false">IF(ISBLANK($C266),"",IFERROR(_xlfn.SWITCH(AW266,Constants!$B$4,COUNTA($C$8:$C$507)+2,Constants!$B$5,COUNTA($C$8:$C$507)+1,Constants!$B$6,COUNTA($C$8:$C$507)),AW266))</f>
        <v/>
      </c>
      <c r="AY266" s="5"/>
      <c r="AZ266" s="72" t="n">
        <f aca="false">IF(OR(ISNUMBER(AW266),AW266=Constants!$B$4,AW266=Constants!$B$6,AW266=Constants!$B$5),1,0)</f>
        <v>0</v>
      </c>
      <c r="BA266" s="72" t="n">
        <v>259</v>
      </c>
      <c r="BB266" s="72" t="str">
        <f aca="false">IF(ISBLANK($C266),"",IF(ISNUMBER(AX266),AX266+ROW($B266)/1000,""))</f>
        <v/>
      </c>
      <c r="BC266" s="72" t="str">
        <f aca="false">IF(ISNUMBER(BB266),RANK(BB266,$BB$8:$BB$507,1),"")</f>
        <v/>
      </c>
      <c r="BD266" s="72" t="str">
        <f aca="false">IF(ISBLANK($C266),"",$B266)</f>
        <v/>
      </c>
      <c r="BE266" s="72" t="str">
        <f aca="false">IF(ISBLANK($C266),"",$C266)</f>
        <v/>
      </c>
      <c r="BF266" s="72" t="str">
        <f aca="false">IF(ISBLANK($C266),"",$D266)</f>
        <v/>
      </c>
      <c r="BG266" s="73" t="str">
        <f aca="false">AU266</f>
        <v/>
      </c>
      <c r="BH266" s="74" t="str">
        <f aca="false">AT266</f>
        <v/>
      </c>
      <c r="BI266" s="72" t="str">
        <f aca="false">IF(ISBLANK($C266),"",AW266)</f>
        <v/>
      </c>
      <c r="BJ266" s="75" t="str">
        <f aca="false">IF($BA266&gt;$AZ$7,"",VLOOKUP($BA266,$BC$8:$BI$507,7,FALSE()))</f>
        <v/>
      </c>
      <c r="BK266" s="76" t="str">
        <f aca="false">IF($BA266&gt;$AZ$7,"",VLOOKUP($BA266,$BC$8:$BI$507,2,FALSE()))</f>
        <v/>
      </c>
      <c r="BL266" s="76" t="str">
        <f aca="false">IF($BA266&gt;$AZ$7,"",VLOOKUP($BA266,$BC$8:$BI$507,3,FALSE()))</f>
        <v/>
      </c>
      <c r="BM266" s="76" t="str">
        <f aca="false">IF($BA266&gt;$AZ$7,"",VLOOKUP($BA266,$BC$8:$BI$507,4,FALSE()))</f>
        <v/>
      </c>
      <c r="BN266" s="76" t="str">
        <f aca="false">IF($BA266&gt;$AZ$7,"",VLOOKUP($BA266,$BC$8:$BI$507,5,FALSE()))</f>
        <v/>
      </c>
      <c r="BO266" s="77" t="str">
        <f aca="false">IF($BA266&gt;$AZ$7,"",VLOOKUP($BA266,$BC$8:$BI$507,6,FALSE()))</f>
        <v/>
      </c>
      <c r="BP266" s="52"/>
    </row>
    <row r="267" customFormat="false" ht="15.75" hidden="false" customHeight="false" outlineLevel="0" collapsed="false">
      <c r="A267" s="5"/>
      <c r="B267" s="118"/>
      <c r="C267" s="54"/>
      <c r="D267" s="55"/>
      <c r="E267" s="79"/>
      <c r="F267" s="57"/>
      <c r="G267" s="58"/>
      <c r="H267" s="58"/>
      <c r="I267" s="57"/>
      <c r="J267" s="58"/>
      <c r="K267" s="58"/>
      <c r="L267" s="57"/>
      <c r="M267" s="79"/>
      <c r="N267" s="60"/>
      <c r="O267" s="62" t="str">
        <f aca="false">IF(ISBLANK($C267),"",IF(E267=Constants!$B$2, TRUE(), IF(E267=Constants!$B$3, FALSE(), TRUE())))</f>
        <v/>
      </c>
      <c r="P267" s="62" t="str">
        <f aca="false">IF(ISBLANK($C267),"",IF(F267=Constants!$B$16,Constants!$B$9,IF(F267=Constants!$B$17,Constants!$B$10,Constants!$B$8)))</f>
        <v/>
      </c>
      <c r="Q267" s="62" t="str">
        <f aca="false">IF(ISBLANK($C267),"",IF(ISNUMBER(G267),IF(G267&gt;=0,G267,""),""))</f>
        <v/>
      </c>
      <c r="R267" s="62" t="str">
        <f aca="false">IF(ISBLANK($C267),"",IF(H267=Constants!$B$2, TRUE(), IF(H267=Constants!$B$3, FALSE(), TRUE())))</f>
        <v/>
      </c>
      <c r="S267" s="62" t="str">
        <f aca="false">IF(ISBLANK($C267),"",IF(I267=Constants!$B$2, TRUE(), IF(I267=Constants!$B$3, FALSE(), TRUE())))</f>
        <v/>
      </c>
      <c r="T267" s="62" t="str">
        <f aca="false">IF(ISBLANK($C267),"",IF(ISNUMBER(J267),IF(J267&gt;=0,J267,""),""))</f>
        <v/>
      </c>
      <c r="U267" s="62" t="str">
        <f aca="false">IF(ISBLANK($C267),"",IF(K267=Constants!$B$2, TRUE(), IF(K267=Constants!$B$3, FALSE(), TRUE())))</f>
        <v/>
      </c>
      <c r="V267" s="62" t="str">
        <f aca="false">IF(ISBLANK($C267),"",IF(L267=Constants!$B$2, TRUE(), IF(L267=Constants!$B$3, FALSE(), TRUE())))</f>
        <v/>
      </c>
      <c r="W267" s="62" t="str">
        <f aca="false">IF(ISBLANK($C267),"",IF(M267=Constants!$B$2, TRUE(), IF(M267=Constants!$B$3, FALSE(), FALSE())))</f>
        <v/>
      </c>
      <c r="X267" s="62" t="str">
        <f aca="false">IF(ISBLANK($C267),"",AND(Q267&lt;&gt;"",O267))</f>
        <v/>
      </c>
      <c r="Y267" s="62" t="str">
        <f aca="false">IF(ISBLANK($C267),"",AND(T267&lt;&gt;"",O267))</f>
        <v/>
      </c>
      <c r="Z267" s="62" t="str">
        <f aca="false">IF(ISBLANK($C267),"",IF(W267,Constants!$B$4,IF(COUNTA(E267:L267)=0,Constants!$B$5,IF(NOT(O267),Constants!$B$6,IF(AND(NOT(X267),NOT(Y267)),Constants!$B$6,Constants!$B$7)))))</f>
        <v/>
      </c>
      <c r="AA267" s="62" t="str">
        <f aca="false">IF(ISBLANK($C267),"",IF($Z267&lt;&gt;Constants!$B$7,$Z267,Constants!$B$20))</f>
        <v/>
      </c>
      <c r="AB267" s="62" t="str">
        <f aca="false">IF($Z267=Constants!$B$7,IF(X267,Q267,Constants!$B$13),"")</f>
        <v/>
      </c>
      <c r="AC267" s="62" t="str">
        <f aca="false">IF($Z267=Constants!$B$7,IF(X267,P267*IF(R267, 1, Constants!$B$11)*IF(S267, 1, Constants!$B$12),Constants!$B$13),"")</f>
        <v/>
      </c>
      <c r="AD267" s="62" t="str">
        <f aca="false">IF($Z267=Constants!$B$7,AB267*AC267,"")</f>
        <v/>
      </c>
      <c r="AE267" s="62" t="str">
        <f aca="false">IF($Z267=Constants!$B$7,IF(Y267,T267,Constants!$B$13),"")</f>
        <v/>
      </c>
      <c r="AF267" s="62" t="str">
        <f aca="false">IF($Z267=Constants!$B$7,IF(Y267,P267*IF(U267, 1, Constants!$B$11)*IF(V267, 1, Constants!$B$12),Constants!$B$13),"")</f>
        <v/>
      </c>
      <c r="AG267" s="62" t="str">
        <f aca="false">IF($Z267=Constants!$B$7,AE267*AF267,"")</f>
        <v/>
      </c>
      <c r="AH267" s="62" t="str">
        <f aca="false">IF($Z267=Constants!$B$7,IF(AG267&gt;AD267,2,1),"")</f>
        <v/>
      </c>
      <c r="AI267" s="62" t="str">
        <f aca="false">IF($Z267=Constants!$B$7,IF(AH267=1,2,1),"")</f>
        <v/>
      </c>
      <c r="AJ267" s="62" t="str">
        <f aca="false">IF(ISBLANK($C267),"",IF($Z267&lt;&gt;Constants!$B$7,$Z267,IF(AH267=1,AD267,AG267)))</f>
        <v/>
      </c>
      <c r="AK267" s="62" t="str">
        <f aca="false">IF(ISBLANK($C267),"",IF($Z267=Constants!$B$7,IF(ISNUMBER(AJ267),RANK(AJ267,$AJ$8:$AJ$507),Constants!$B$14),$Z267))</f>
        <v/>
      </c>
      <c r="AL267" s="62" t="str">
        <f aca="false">IF(ISBLANK($C267),"",IF($Z267=Constants!$B$7,IF(AI267=1,AD267,AG267),""))</f>
        <v/>
      </c>
      <c r="AM267" s="62" t="str">
        <f aca="false">IF(ISBLANK($C267),"",IF($Z267=Constants!$B$7,RANK(AL267,$AL$8:$AL$507),$Z267))</f>
        <v/>
      </c>
      <c r="AN267" s="62" t="str">
        <f aca="false">IF(ISBLANK($C267),"",IF($Z267=Constants!$B$7,IF(ISNUMBER(AK267),COUNTIFS($AK$8:$AK$507,"&lt;"&amp;$AK267)+COUNTIFS($AK$8:$AK$507,$AK267,$AM$8:$AM$507,"&lt;"&amp;$AM267)+1,Constants!$B$14),$Z267))</f>
        <v/>
      </c>
      <c r="AO267" s="62" t="str">
        <f aca="false">IF(ISBLANK($C267),"",IF($Z267=Constants!$B$7,IF(ISNUMBER(AK267),AK267-AN267,Constants!$B$14),$Z267))</f>
        <v/>
      </c>
      <c r="AP267" s="64"/>
      <c r="AQ267" s="65" t="str">
        <f aca="false">IF(ISBLANK($C267),"",IF($Z267&lt;&gt;Constants!$B$7,"",AH267))</f>
        <v/>
      </c>
      <c r="AR267" s="80" t="str">
        <f aca="false">IF(ISBLANK($C267),"",IF($Z267&lt;&gt;Constants!$B$7,"",IF(AH267=1,AB267,AE267)))</f>
        <v/>
      </c>
      <c r="AS267" s="67" t="str">
        <f aca="false">IF(ISBLANK($C267),"",IF($Z267&lt;&gt;Constants!$B$7,"",IF(AH267=1,AC267,AF267)))</f>
        <v/>
      </c>
      <c r="AT267" s="68" t="str">
        <f aca="false">IF(ISBLANK($C267),"",IF($Z267&lt;&gt;Constants!$B$7,$Z267,AJ267))</f>
        <v/>
      </c>
      <c r="AU267" s="69" t="str">
        <f aca="false">IF(ISBLANK($C267),"",IF($Z267&lt;&gt;Constants!$B$7,$Z267,AA267))</f>
        <v/>
      </c>
      <c r="AV267" s="70" t="str">
        <f aca="false">IF(ISBLANK($C267),"",AO267)</f>
        <v/>
      </c>
      <c r="AW267" s="70" t="str">
        <f aca="false">IF(ISBLANK($C267),"",AN267)</f>
        <v/>
      </c>
      <c r="AX267" s="71" t="str">
        <f aca="false">IF(ISBLANK($C267),"",IFERROR(_xlfn.SWITCH(AW267,Constants!$B$4,COUNTA($C$8:$C$507)+2,Constants!$B$5,COUNTA($C$8:$C$507)+1,Constants!$B$6,COUNTA($C$8:$C$507)),AW267))</f>
        <v/>
      </c>
      <c r="AY267" s="5"/>
      <c r="AZ267" s="72" t="n">
        <f aca="false">IF(OR(ISNUMBER(AW267),AW267=Constants!$B$4,AW267=Constants!$B$6,AW267=Constants!$B$5),1,0)</f>
        <v>0</v>
      </c>
      <c r="BA267" s="72" t="n">
        <v>260</v>
      </c>
      <c r="BB267" s="72" t="str">
        <f aca="false">IF(ISBLANK($C267),"",IF(ISNUMBER(AX267),AX267+ROW($B267)/1000,""))</f>
        <v/>
      </c>
      <c r="BC267" s="72" t="str">
        <f aca="false">IF(ISNUMBER(BB267),RANK(BB267,$BB$8:$BB$507,1),"")</f>
        <v/>
      </c>
      <c r="BD267" s="72" t="str">
        <f aca="false">IF(ISBLANK($C267),"",$B267)</f>
        <v/>
      </c>
      <c r="BE267" s="72" t="str">
        <f aca="false">IF(ISBLANK($C267),"",$C267)</f>
        <v/>
      </c>
      <c r="BF267" s="72" t="str">
        <f aca="false">IF(ISBLANK($C267),"",$D267)</f>
        <v/>
      </c>
      <c r="BG267" s="73" t="str">
        <f aca="false">AU267</f>
        <v/>
      </c>
      <c r="BH267" s="74" t="str">
        <f aca="false">AT267</f>
        <v/>
      </c>
      <c r="BI267" s="72" t="str">
        <f aca="false">IF(ISBLANK($C267),"",AW267)</f>
        <v/>
      </c>
      <c r="BJ267" s="75" t="str">
        <f aca="false">IF($BA267&gt;$AZ$7,"",VLOOKUP($BA267,$BC$8:$BI$507,7,FALSE()))</f>
        <v/>
      </c>
      <c r="BK267" s="76" t="str">
        <f aca="false">IF($BA267&gt;$AZ$7,"",VLOOKUP($BA267,$BC$8:$BI$507,2,FALSE()))</f>
        <v/>
      </c>
      <c r="BL267" s="76" t="str">
        <f aca="false">IF($BA267&gt;$AZ$7,"",VLOOKUP($BA267,$BC$8:$BI$507,3,FALSE()))</f>
        <v/>
      </c>
      <c r="BM267" s="76" t="str">
        <f aca="false">IF($BA267&gt;$AZ$7,"",VLOOKUP($BA267,$BC$8:$BI$507,4,FALSE()))</f>
        <v/>
      </c>
      <c r="BN267" s="76" t="str">
        <f aca="false">IF($BA267&gt;$AZ$7,"",VLOOKUP($BA267,$BC$8:$BI$507,5,FALSE()))</f>
        <v/>
      </c>
      <c r="BO267" s="77" t="str">
        <f aca="false">IF($BA267&gt;$AZ$7,"",VLOOKUP($BA267,$BC$8:$BI$507,6,FALSE()))</f>
        <v/>
      </c>
      <c r="BP267" s="52"/>
    </row>
    <row r="268" customFormat="false" ht="15.75" hidden="false" customHeight="false" outlineLevel="0" collapsed="false">
      <c r="A268" s="5"/>
      <c r="B268" s="118"/>
      <c r="C268" s="54"/>
      <c r="D268" s="55"/>
      <c r="E268" s="79"/>
      <c r="F268" s="57"/>
      <c r="G268" s="58"/>
      <c r="H268" s="58"/>
      <c r="I268" s="57"/>
      <c r="J268" s="58"/>
      <c r="K268" s="58"/>
      <c r="L268" s="57"/>
      <c r="M268" s="79"/>
      <c r="N268" s="60"/>
      <c r="O268" s="62" t="str">
        <f aca="false">IF(ISBLANK($C268),"",IF(E268=Constants!$B$2, TRUE(), IF(E268=Constants!$B$3, FALSE(), TRUE())))</f>
        <v/>
      </c>
      <c r="P268" s="62" t="str">
        <f aca="false">IF(ISBLANK($C268),"",IF(F268=Constants!$B$16,Constants!$B$9,IF(F268=Constants!$B$17,Constants!$B$10,Constants!$B$8)))</f>
        <v/>
      </c>
      <c r="Q268" s="62" t="str">
        <f aca="false">IF(ISBLANK($C268),"",IF(ISNUMBER(G268),IF(G268&gt;=0,G268,""),""))</f>
        <v/>
      </c>
      <c r="R268" s="62" t="str">
        <f aca="false">IF(ISBLANK($C268),"",IF(H268=Constants!$B$2, TRUE(), IF(H268=Constants!$B$3, FALSE(), TRUE())))</f>
        <v/>
      </c>
      <c r="S268" s="62" t="str">
        <f aca="false">IF(ISBLANK($C268),"",IF(I268=Constants!$B$2, TRUE(), IF(I268=Constants!$B$3, FALSE(), TRUE())))</f>
        <v/>
      </c>
      <c r="T268" s="62" t="str">
        <f aca="false">IF(ISBLANK($C268),"",IF(ISNUMBER(J268),IF(J268&gt;=0,J268,""),""))</f>
        <v/>
      </c>
      <c r="U268" s="62" t="str">
        <f aca="false">IF(ISBLANK($C268),"",IF(K268=Constants!$B$2, TRUE(), IF(K268=Constants!$B$3, FALSE(), TRUE())))</f>
        <v/>
      </c>
      <c r="V268" s="62" t="str">
        <f aca="false">IF(ISBLANK($C268),"",IF(L268=Constants!$B$2, TRUE(), IF(L268=Constants!$B$3, FALSE(), TRUE())))</f>
        <v/>
      </c>
      <c r="W268" s="62" t="str">
        <f aca="false">IF(ISBLANK($C268),"",IF(M268=Constants!$B$2, TRUE(), IF(M268=Constants!$B$3, FALSE(), FALSE())))</f>
        <v/>
      </c>
      <c r="X268" s="62" t="str">
        <f aca="false">IF(ISBLANK($C268),"",AND(Q268&lt;&gt;"",O268))</f>
        <v/>
      </c>
      <c r="Y268" s="62" t="str">
        <f aca="false">IF(ISBLANK($C268),"",AND(T268&lt;&gt;"",O268))</f>
        <v/>
      </c>
      <c r="Z268" s="62" t="str">
        <f aca="false">IF(ISBLANK($C268),"",IF(W268,Constants!$B$4,IF(COUNTA(E268:L268)=0,Constants!$B$5,IF(NOT(O268),Constants!$B$6,IF(AND(NOT(X268),NOT(Y268)),Constants!$B$6,Constants!$B$7)))))</f>
        <v/>
      </c>
      <c r="AA268" s="62" t="str">
        <f aca="false">IF(ISBLANK($C268),"",IF($Z268&lt;&gt;Constants!$B$7,$Z268,Constants!$B$20))</f>
        <v/>
      </c>
      <c r="AB268" s="62" t="str">
        <f aca="false">IF($Z268=Constants!$B$7,IF(X268,Q268,Constants!$B$13),"")</f>
        <v/>
      </c>
      <c r="AC268" s="62" t="str">
        <f aca="false">IF($Z268=Constants!$B$7,IF(X268,P268*IF(R268, 1, Constants!$B$11)*IF(S268, 1, Constants!$B$12),Constants!$B$13),"")</f>
        <v/>
      </c>
      <c r="AD268" s="62" t="str">
        <f aca="false">IF($Z268=Constants!$B$7,AB268*AC268,"")</f>
        <v/>
      </c>
      <c r="AE268" s="62" t="str">
        <f aca="false">IF($Z268=Constants!$B$7,IF(Y268,T268,Constants!$B$13),"")</f>
        <v/>
      </c>
      <c r="AF268" s="62" t="str">
        <f aca="false">IF($Z268=Constants!$B$7,IF(Y268,P268*IF(U268, 1, Constants!$B$11)*IF(V268, 1, Constants!$B$12),Constants!$B$13),"")</f>
        <v/>
      </c>
      <c r="AG268" s="62" t="str">
        <f aca="false">IF($Z268=Constants!$B$7,AE268*AF268,"")</f>
        <v/>
      </c>
      <c r="AH268" s="62" t="str">
        <f aca="false">IF($Z268=Constants!$B$7,IF(AG268&gt;AD268,2,1),"")</f>
        <v/>
      </c>
      <c r="AI268" s="62" t="str">
        <f aca="false">IF($Z268=Constants!$B$7,IF(AH268=1,2,1),"")</f>
        <v/>
      </c>
      <c r="AJ268" s="62" t="str">
        <f aca="false">IF(ISBLANK($C268),"",IF($Z268&lt;&gt;Constants!$B$7,$Z268,IF(AH268=1,AD268,AG268)))</f>
        <v/>
      </c>
      <c r="AK268" s="62" t="str">
        <f aca="false">IF(ISBLANK($C268),"",IF($Z268=Constants!$B$7,IF(ISNUMBER(AJ268),RANK(AJ268,$AJ$8:$AJ$507),Constants!$B$14),$Z268))</f>
        <v/>
      </c>
      <c r="AL268" s="62" t="str">
        <f aca="false">IF(ISBLANK($C268),"",IF($Z268=Constants!$B$7,IF(AI268=1,AD268,AG268),""))</f>
        <v/>
      </c>
      <c r="AM268" s="62" t="str">
        <f aca="false">IF(ISBLANK($C268),"",IF($Z268=Constants!$B$7,RANK(AL268,$AL$8:$AL$507),$Z268))</f>
        <v/>
      </c>
      <c r="AN268" s="62" t="str">
        <f aca="false">IF(ISBLANK($C268),"",IF($Z268=Constants!$B$7,IF(ISNUMBER(AK268),COUNTIFS($AK$8:$AK$507,"&lt;"&amp;$AK268)+COUNTIFS($AK$8:$AK$507,$AK268,$AM$8:$AM$507,"&lt;"&amp;$AM268)+1,Constants!$B$14),$Z268))</f>
        <v/>
      </c>
      <c r="AO268" s="62" t="str">
        <f aca="false">IF(ISBLANK($C268),"",IF($Z268=Constants!$B$7,IF(ISNUMBER(AK268),AK268-AN268,Constants!$B$14),$Z268))</f>
        <v/>
      </c>
      <c r="AP268" s="64"/>
      <c r="AQ268" s="65" t="str">
        <f aca="false">IF(ISBLANK($C268),"",IF($Z268&lt;&gt;Constants!$B$7,"",AH268))</f>
        <v/>
      </c>
      <c r="AR268" s="80" t="str">
        <f aca="false">IF(ISBLANK($C268),"",IF($Z268&lt;&gt;Constants!$B$7,"",IF(AH268=1,AB268,AE268)))</f>
        <v/>
      </c>
      <c r="AS268" s="67" t="str">
        <f aca="false">IF(ISBLANK($C268),"",IF($Z268&lt;&gt;Constants!$B$7,"",IF(AH268=1,AC268,AF268)))</f>
        <v/>
      </c>
      <c r="AT268" s="68" t="str">
        <f aca="false">IF(ISBLANK($C268),"",IF($Z268&lt;&gt;Constants!$B$7,$Z268,AJ268))</f>
        <v/>
      </c>
      <c r="AU268" s="69" t="str">
        <f aca="false">IF(ISBLANK($C268),"",IF($Z268&lt;&gt;Constants!$B$7,$Z268,AA268))</f>
        <v/>
      </c>
      <c r="AV268" s="70" t="str">
        <f aca="false">IF(ISBLANK($C268),"",AO268)</f>
        <v/>
      </c>
      <c r="AW268" s="70" t="str">
        <f aca="false">IF(ISBLANK($C268),"",AN268)</f>
        <v/>
      </c>
      <c r="AX268" s="71" t="str">
        <f aca="false">IF(ISBLANK($C268),"",IFERROR(_xlfn.SWITCH(AW268,Constants!$B$4,COUNTA($C$8:$C$507)+2,Constants!$B$5,COUNTA($C$8:$C$507)+1,Constants!$B$6,COUNTA($C$8:$C$507)),AW268))</f>
        <v/>
      </c>
      <c r="AY268" s="5"/>
      <c r="AZ268" s="72" t="n">
        <f aca="false">IF(OR(ISNUMBER(AW268),AW268=Constants!$B$4,AW268=Constants!$B$6,AW268=Constants!$B$5),1,0)</f>
        <v>0</v>
      </c>
      <c r="BA268" s="72" t="n">
        <v>261</v>
      </c>
      <c r="BB268" s="72" t="str">
        <f aca="false">IF(ISBLANK($C268),"",IF(ISNUMBER(AX268),AX268+ROW($B268)/1000,""))</f>
        <v/>
      </c>
      <c r="BC268" s="72" t="str">
        <f aca="false">IF(ISNUMBER(BB268),RANK(BB268,$BB$8:$BB$507,1),"")</f>
        <v/>
      </c>
      <c r="BD268" s="72" t="str">
        <f aca="false">IF(ISBLANK($C268),"",$B268)</f>
        <v/>
      </c>
      <c r="BE268" s="72" t="str">
        <f aca="false">IF(ISBLANK($C268),"",$C268)</f>
        <v/>
      </c>
      <c r="BF268" s="72" t="str">
        <f aca="false">IF(ISBLANK($C268),"",$D268)</f>
        <v/>
      </c>
      <c r="BG268" s="73" t="str">
        <f aca="false">AU268</f>
        <v/>
      </c>
      <c r="BH268" s="74" t="str">
        <f aca="false">AT268</f>
        <v/>
      </c>
      <c r="BI268" s="72" t="str">
        <f aca="false">IF(ISBLANK($C268),"",AW268)</f>
        <v/>
      </c>
      <c r="BJ268" s="75" t="str">
        <f aca="false">IF($BA268&gt;$AZ$7,"",VLOOKUP($BA268,$BC$8:$BI$507,7,FALSE()))</f>
        <v/>
      </c>
      <c r="BK268" s="76" t="str">
        <f aca="false">IF($BA268&gt;$AZ$7,"",VLOOKUP($BA268,$BC$8:$BI$507,2,FALSE()))</f>
        <v/>
      </c>
      <c r="BL268" s="76" t="str">
        <f aca="false">IF($BA268&gt;$AZ$7,"",VLOOKUP($BA268,$BC$8:$BI$507,3,FALSE()))</f>
        <v/>
      </c>
      <c r="BM268" s="76" t="str">
        <f aca="false">IF($BA268&gt;$AZ$7,"",VLOOKUP($BA268,$BC$8:$BI$507,4,FALSE()))</f>
        <v/>
      </c>
      <c r="BN268" s="76" t="str">
        <f aca="false">IF($BA268&gt;$AZ$7,"",VLOOKUP($BA268,$BC$8:$BI$507,5,FALSE()))</f>
        <v/>
      </c>
      <c r="BO268" s="77" t="str">
        <f aca="false">IF($BA268&gt;$AZ$7,"",VLOOKUP($BA268,$BC$8:$BI$507,6,FALSE()))</f>
        <v/>
      </c>
      <c r="BP268" s="52"/>
    </row>
    <row r="269" customFormat="false" ht="15.75" hidden="false" customHeight="false" outlineLevel="0" collapsed="false">
      <c r="A269" s="5"/>
      <c r="B269" s="114"/>
      <c r="C269" s="115"/>
      <c r="D269" s="106"/>
      <c r="E269" s="117"/>
      <c r="F269" s="87"/>
      <c r="G269" s="88"/>
      <c r="H269" s="88"/>
      <c r="I269" s="87"/>
      <c r="J269" s="88"/>
      <c r="K269" s="88"/>
      <c r="L269" s="87"/>
      <c r="M269" s="117"/>
      <c r="N269" s="90"/>
      <c r="O269" s="91" t="str">
        <f aca="false">IF(ISBLANK($C269),"",IF(E269=Constants!$B$2, TRUE(), IF(E269=Constants!$B$3, FALSE(), TRUE())))</f>
        <v/>
      </c>
      <c r="P269" s="91" t="str">
        <f aca="false">IF(ISBLANK($C269),"",IF(F269=Constants!$B$16,Constants!$B$9,IF(F269=Constants!$B$17,Constants!$B$10,Constants!$B$8)))</f>
        <v/>
      </c>
      <c r="Q269" s="91" t="str">
        <f aca="false">IF(ISBLANK($C269),"",IF(ISNUMBER(G269),IF(G269&gt;=0,G269,""),""))</f>
        <v/>
      </c>
      <c r="R269" s="91" t="str">
        <f aca="false">IF(ISBLANK($C269),"",IF(H269=Constants!$B$2, TRUE(), IF(H269=Constants!$B$3, FALSE(), TRUE())))</f>
        <v/>
      </c>
      <c r="S269" s="91" t="str">
        <f aca="false">IF(ISBLANK($C269),"",IF(I269=Constants!$B$2, TRUE(), IF(I269=Constants!$B$3, FALSE(), TRUE())))</f>
        <v/>
      </c>
      <c r="T269" s="91" t="str">
        <f aca="false">IF(ISBLANK($C269),"",IF(ISNUMBER(J269),IF(J269&gt;=0,J269,""),""))</f>
        <v/>
      </c>
      <c r="U269" s="91" t="str">
        <f aca="false">IF(ISBLANK($C269),"",IF(K269=Constants!$B$2, TRUE(), IF(K269=Constants!$B$3, FALSE(), TRUE())))</f>
        <v/>
      </c>
      <c r="V269" s="91" t="str">
        <f aca="false">IF(ISBLANK($C269),"",IF(L269=Constants!$B$2, TRUE(), IF(L269=Constants!$B$3, FALSE(), TRUE())))</f>
        <v/>
      </c>
      <c r="W269" s="91" t="str">
        <f aca="false">IF(ISBLANK($C269),"",IF(M269=Constants!$B$2, TRUE(), IF(M269=Constants!$B$3, FALSE(), FALSE())))</f>
        <v/>
      </c>
      <c r="X269" s="91" t="str">
        <f aca="false">IF(ISBLANK($C269),"",AND(Q269&lt;&gt;"",O269))</f>
        <v/>
      </c>
      <c r="Y269" s="91" t="str">
        <f aca="false">IF(ISBLANK($C269),"",AND(T269&lt;&gt;"",O269))</f>
        <v/>
      </c>
      <c r="Z269" s="91" t="str">
        <f aca="false">IF(ISBLANK($C269),"",IF(W269,Constants!$B$4,IF(COUNTA(E269:L269)=0,Constants!$B$5,IF(NOT(O269),Constants!$B$6,IF(AND(NOT(X269),NOT(Y269)),Constants!$B$6,Constants!$B$7)))))</f>
        <v/>
      </c>
      <c r="AA269" s="91" t="str">
        <f aca="false">IF(ISBLANK($C269),"",IF($Z269&lt;&gt;Constants!$B$7,$Z269,Constants!$B$20))</f>
        <v/>
      </c>
      <c r="AB269" s="91" t="str">
        <f aca="false">IF($Z269=Constants!$B$7,IF(X269,Q269,Constants!$B$13),"")</f>
        <v/>
      </c>
      <c r="AC269" s="91" t="str">
        <f aca="false">IF($Z269=Constants!$B$7,IF(X269,P269*IF(R269, 1, Constants!$B$11)*IF(S269, 1, Constants!$B$12),Constants!$B$13),"")</f>
        <v/>
      </c>
      <c r="AD269" s="91" t="str">
        <f aca="false">IF($Z269=Constants!$B$7,AB269*AC269,"")</f>
        <v/>
      </c>
      <c r="AE269" s="91" t="str">
        <f aca="false">IF($Z269=Constants!$B$7,IF(Y269,T269,Constants!$B$13),"")</f>
        <v/>
      </c>
      <c r="AF269" s="91" t="str">
        <f aca="false">IF($Z269=Constants!$B$7,IF(Y269,P269*IF(U269, 1, Constants!$B$11)*IF(V269, 1, Constants!$B$12),Constants!$B$13),"")</f>
        <v/>
      </c>
      <c r="AG269" s="91" t="str">
        <f aca="false">IF($Z269=Constants!$B$7,AE269*AF269,"")</f>
        <v/>
      </c>
      <c r="AH269" s="91" t="str">
        <f aca="false">IF($Z269=Constants!$B$7,IF(AG269&gt;AD269,2,1),"")</f>
        <v/>
      </c>
      <c r="AI269" s="91" t="str">
        <f aca="false">IF($Z269=Constants!$B$7,IF(AH269=1,2,1),"")</f>
        <v/>
      </c>
      <c r="AJ269" s="91" t="str">
        <f aca="false">IF(ISBLANK($C269),"",IF($Z269&lt;&gt;Constants!$B$7,$Z269,IF(AH269=1,AD269,AG269)))</f>
        <v/>
      </c>
      <c r="AK269" s="91" t="str">
        <f aca="false">IF(ISBLANK($C269),"",IF($Z269=Constants!$B$7,IF(ISNUMBER(AJ269),RANK(AJ269,$AJ$8:$AJ$507),Constants!$B$14),$Z269))</f>
        <v/>
      </c>
      <c r="AL269" s="91" t="str">
        <f aca="false">IF(ISBLANK($C269),"",IF($Z269=Constants!$B$7,IF(AI269=1,AD269,AG269),""))</f>
        <v/>
      </c>
      <c r="AM269" s="91" t="str">
        <f aca="false">IF(ISBLANK($C269),"",IF($Z269=Constants!$B$7,RANK(AL269,$AL$8:$AL$507),$Z269))</f>
        <v/>
      </c>
      <c r="AN269" s="91" t="str">
        <f aca="false">IF(ISBLANK($C269),"",IF($Z269=Constants!$B$7,IF(ISNUMBER(AK269),COUNTIFS($AK$8:$AK$507,"&lt;"&amp;$AK269)+COUNTIFS($AK$8:$AK$507,$AK269,$AM$8:$AM$507,"&lt;"&amp;$AM269)+1,Constants!$B$14),$Z269))</f>
        <v/>
      </c>
      <c r="AO269" s="91" t="str">
        <f aca="false">IF(ISBLANK($C269),"",IF($Z269=Constants!$B$7,IF(ISNUMBER(AK269),AK269-AN269,Constants!$B$14),$Z269))</f>
        <v/>
      </c>
      <c r="AP269" s="92"/>
      <c r="AQ269" s="93" t="str">
        <f aca="false">IF(ISBLANK($C269),"",IF($Z269&lt;&gt;Constants!$B$7,"",AH269))</f>
        <v/>
      </c>
      <c r="AR269" s="94" t="str">
        <f aca="false">IF(ISBLANK($C269),"",IF($Z269&lt;&gt;Constants!$B$7,"",IF(AH269=1,AB269,AE269)))</f>
        <v/>
      </c>
      <c r="AS269" s="95" t="str">
        <f aca="false">IF(ISBLANK($C269),"",IF($Z269&lt;&gt;Constants!$B$7,"",IF(AH269=1,AC269,AF269)))</f>
        <v/>
      </c>
      <c r="AT269" s="96" t="str">
        <f aca="false">IF(ISBLANK($C269),"",IF($Z269&lt;&gt;Constants!$B$7,$Z269,AJ269))</f>
        <v/>
      </c>
      <c r="AU269" s="97" t="str">
        <f aca="false">IF(ISBLANK($C269),"",IF($Z269&lt;&gt;Constants!$B$7,$Z269,AA269))</f>
        <v/>
      </c>
      <c r="AV269" s="98" t="str">
        <f aca="false">IF(ISBLANK($C269),"",AO269)</f>
        <v/>
      </c>
      <c r="AW269" s="98" t="str">
        <f aca="false">IF(ISBLANK($C269),"",AN269)</f>
        <v/>
      </c>
      <c r="AX269" s="99" t="str">
        <f aca="false">IF(ISBLANK($C269),"",IFERROR(_xlfn.SWITCH(AW269,Constants!$B$4,COUNTA($C$8:$C$507)+2,Constants!$B$5,COUNTA($C$8:$C$507)+1,Constants!$B$6,COUNTA($C$8:$C$507)),AW269))</f>
        <v/>
      </c>
      <c r="AY269" s="5"/>
      <c r="AZ269" s="100" t="n">
        <f aca="false">IF(OR(ISNUMBER(AW269),AW269=Constants!$B$4,AW269=Constants!$B$6,AW269=Constants!$B$5),1,0)</f>
        <v>0</v>
      </c>
      <c r="BA269" s="100" t="n">
        <v>262</v>
      </c>
      <c r="BB269" s="100" t="str">
        <f aca="false">IF(ISBLANK($C269),"",IF(ISNUMBER(AX269),AX269+ROW($B269)/1000,""))</f>
        <v/>
      </c>
      <c r="BC269" s="100" t="str">
        <f aca="false">IF(ISNUMBER(BB269),RANK(BB269,$BB$8:$BB$507,1),"")</f>
        <v/>
      </c>
      <c r="BD269" s="100" t="str">
        <f aca="false">IF(ISBLANK($C269),"",$B269)</f>
        <v/>
      </c>
      <c r="BE269" s="100" t="str">
        <f aca="false">IF(ISBLANK($C269),"",$C269)</f>
        <v/>
      </c>
      <c r="BF269" s="100" t="str">
        <f aca="false">IF(ISBLANK($C269),"",$D269)</f>
        <v/>
      </c>
      <c r="BG269" s="101" t="str">
        <f aca="false">AU269</f>
        <v/>
      </c>
      <c r="BH269" s="102" t="str">
        <f aca="false">AT269</f>
        <v/>
      </c>
      <c r="BI269" s="100" t="str">
        <f aca="false">IF(ISBLANK($C269),"",AW269)</f>
        <v/>
      </c>
      <c r="BJ269" s="103" t="str">
        <f aca="false">IF($BA269&gt;$AZ$7,"",VLOOKUP($BA269,$BC$8:$BI$507,7,FALSE()))</f>
        <v/>
      </c>
      <c r="BK269" s="104" t="str">
        <f aca="false">IF($BA269&gt;$AZ$7,"",VLOOKUP($BA269,$BC$8:$BI$507,2,FALSE()))</f>
        <v/>
      </c>
      <c r="BL269" s="104" t="str">
        <f aca="false">IF($BA269&gt;$AZ$7,"",VLOOKUP($BA269,$BC$8:$BI$507,3,FALSE()))</f>
        <v/>
      </c>
      <c r="BM269" s="104" t="str">
        <f aca="false">IF($BA269&gt;$AZ$7,"",VLOOKUP($BA269,$BC$8:$BI$507,4,FALSE()))</f>
        <v/>
      </c>
      <c r="BN269" s="104" t="str">
        <f aca="false">IF($BA269&gt;$AZ$7,"",VLOOKUP($BA269,$BC$8:$BI$507,5,FALSE()))</f>
        <v/>
      </c>
      <c r="BO269" s="105" t="str">
        <f aca="false">IF($BA269&gt;$AZ$7,"",VLOOKUP($BA269,$BC$8:$BI$507,6,FALSE()))</f>
        <v/>
      </c>
      <c r="BP269" s="52"/>
    </row>
    <row r="270" customFormat="false" ht="15.75" hidden="false" customHeight="false" outlineLevel="0" collapsed="false">
      <c r="A270" s="5"/>
      <c r="B270" s="114"/>
      <c r="C270" s="115"/>
      <c r="D270" s="106"/>
      <c r="E270" s="117"/>
      <c r="F270" s="87"/>
      <c r="G270" s="88"/>
      <c r="H270" s="88"/>
      <c r="I270" s="87"/>
      <c r="J270" s="88"/>
      <c r="K270" s="88"/>
      <c r="L270" s="87"/>
      <c r="M270" s="117"/>
      <c r="N270" s="90"/>
      <c r="O270" s="91" t="str">
        <f aca="false">IF(ISBLANK($C270),"",IF(E270=Constants!$B$2, TRUE(), IF(E270=Constants!$B$3, FALSE(), TRUE())))</f>
        <v/>
      </c>
      <c r="P270" s="91" t="str">
        <f aca="false">IF(ISBLANK($C270),"",IF(F270=Constants!$B$16,Constants!$B$9,IF(F270=Constants!$B$17,Constants!$B$10,Constants!$B$8)))</f>
        <v/>
      </c>
      <c r="Q270" s="91" t="str">
        <f aca="false">IF(ISBLANK($C270),"",IF(ISNUMBER(G270),IF(G270&gt;=0,G270,""),""))</f>
        <v/>
      </c>
      <c r="R270" s="91" t="str">
        <f aca="false">IF(ISBLANK($C270),"",IF(H270=Constants!$B$2, TRUE(), IF(H270=Constants!$B$3, FALSE(), TRUE())))</f>
        <v/>
      </c>
      <c r="S270" s="91" t="str">
        <f aca="false">IF(ISBLANK($C270),"",IF(I270=Constants!$B$2, TRUE(), IF(I270=Constants!$B$3, FALSE(), TRUE())))</f>
        <v/>
      </c>
      <c r="T270" s="91" t="str">
        <f aca="false">IF(ISBLANK($C270),"",IF(ISNUMBER(J270),IF(J270&gt;=0,J270,""),""))</f>
        <v/>
      </c>
      <c r="U270" s="91" t="str">
        <f aca="false">IF(ISBLANK($C270),"",IF(K270=Constants!$B$2, TRUE(), IF(K270=Constants!$B$3, FALSE(), TRUE())))</f>
        <v/>
      </c>
      <c r="V270" s="91" t="str">
        <f aca="false">IF(ISBLANK($C270),"",IF(L270=Constants!$B$2, TRUE(), IF(L270=Constants!$B$3, FALSE(), TRUE())))</f>
        <v/>
      </c>
      <c r="W270" s="91" t="str">
        <f aca="false">IF(ISBLANK($C270),"",IF(M270=Constants!$B$2, TRUE(), IF(M270=Constants!$B$3, FALSE(), FALSE())))</f>
        <v/>
      </c>
      <c r="X270" s="91" t="str">
        <f aca="false">IF(ISBLANK($C270),"",AND(Q270&lt;&gt;"",O270))</f>
        <v/>
      </c>
      <c r="Y270" s="91" t="str">
        <f aca="false">IF(ISBLANK($C270),"",AND(T270&lt;&gt;"",O270))</f>
        <v/>
      </c>
      <c r="Z270" s="91" t="str">
        <f aca="false">IF(ISBLANK($C270),"",IF(W270,Constants!$B$4,IF(COUNTA(E270:L270)=0,Constants!$B$5,IF(NOT(O270),Constants!$B$6,IF(AND(NOT(X270),NOT(Y270)),Constants!$B$6,Constants!$B$7)))))</f>
        <v/>
      </c>
      <c r="AA270" s="91" t="str">
        <f aca="false">IF(ISBLANK($C270),"",IF($Z270&lt;&gt;Constants!$B$7,$Z270,Constants!$B$20))</f>
        <v/>
      </c>
      <c r="AB270" s="91" t="str">
        <f aca="false">IF($Z270=Constants!$B$7,IF(X270,Q270,Constants!$B$13),"")</f>
        <v/>
      </c>
      <c r="AC270" s="91" t="str">
        <f aca="false">IF($Z270=Constants!$B$7,IF(X270,P270*IF(R270, 1, Constants!$B$11)*IF(S270, 1, Constants!$B$12),Constants!$B$13),"")</f>
        <v/>
      </c>
      <c r="AD270" s="91" t="str">
        <f aca="false">IF($Z270=Constants!$B$7,AB270*AC270,"")</f>
        <v/>
      </c>
      <c r="AE270" s="91" t="str">
        <f aca="false">IF($Z270=Constants!$B$7,IF(Y270,T270,Constants!$B$13),"")</f>
        <v/>
      </c>
      <c r="AF270" s="91" t="str">
        <f aca="false">IF($Z270=Constants!$B$7,IF(Y270,P270*IF(U270, 1, Constants!$B$11)*IF(V270, 1, Constants!$B$12),Constants!$B$13),"")</f>
        <v/>
      </c>
      <c r="AG270" s="91" t="str">
        <f aca="false">IF($Z270=Constants!$B$7,AE270*AF270,"")</f>
        <v/>
      </c>
      <c r="AH270" s="91" t="str">
        <f aca="false">IF($Z270=Constants!$B$7,IF(AG270&gt;AD270,2,1),"")</f>
        <v/>
      </c>
      <c r="AI270" s="91" t="str">
        <f aca="false">IF($Z270=Constants!$B$7,IF(AH270=1,2,1),"")</f>
        <v/>
      </c>
      <c r="AJ270" s="91" t="str">
        <f aca="false">IF(ISBLANK($C270),"",IF($Z270&lt;&gt;Constants!$B$7,$Z270,IF(AH270=1,AD270,AG270)))</f>
        <v/>
      </c>
      <c r="AK270" s="91" t="str">
        <f aca="false">IF(ISBLANK($C270),"",IF($Z270=Constants!$B$7,IF(ISNUMBER(AJ270),RANK(AJ270,$AJ$8:$AJ$507),Constants!$B$14),$Z270))</f>
        <v/>
      </c>
      <c r="AL270" s="91" t="str">
        <f aca="false">IF(ISBLANK($C270),"",IF($Z270=Constants!$B$7,IF(AI270=1,AD270,AG270),""))</f>
        <v/>
      </c>
      <c r="AM270" s="91" t="str">
        <f aca="false">IF(ISBLANK($C270),"",IF($Z270=Constants!$B$7,RANK(AL270,$AL$8:$AL$507),$Z270))</f>
        <v/>
      </c>
      <c r="AN270" s="91" t="str">
        <f aca="false">IF(ISBLANK($C270),"",IF($Z270=Constants!$B$7,IF(ISNUMBER(AK270),COUNTIFS($AK$8:$AK$507,"&lt;"&amp;$AK270)+COUNTIFS($AK$8:$AK$507,$AK270,$AM$8:$AM$507,"&lt;"&amp;$AM270)+1,Constants!$B$14),$Z270))</f>
        <v/>
      </c>
      <c r="AO270" s="91" t="str">
        <f aca="false">IF(ISBLANK($C270),"",IF($Z270=Constants!$B$7,IF(ISNUMBER(AK270),AK270-AN270,Constants!$B$14),$Z270))</f>
        <v/>
      </c>
      <c r="AP270" s="92"/>
      <c r="AQ270" s="93" t="str">
        <f aca="false">IF(ISBLANK($C270),"",IF($Z270&lt;&gt;Constants!$B$7,"",AH270))</f>
        <v/>
      </c>
      <c r="AR270" s="94" t="str">
        <f aca="false">IF(ISBLANK($C270),"",IF($Z270&lt;&gt;Constants!$B$7,"",IF(AH270=1,AB270,AE270)))</f>
        <v/>
      </c>
      <c r="AS270" s="95" t="str">
        <f aca="false">IF(ISBLANK($C270),"",IF($Z270&lt;&gt;Constants!$B$7,"",IF(AH270=1,AC270,AF270)))</f>
        <v/>
      </c>
      <c r="AT270" s="96" t="str">
        <f aca="false">IF(ISBLANK($C270),"",IF($Z270&lt;&gt;Constants!$B$7,$Z270,AJ270))</f>
        <v/>
      </c>
      <c r="AU270" s="97" t="str">
        <f aca="false">IF(ISBLANK($C270),"",IF($Z270&lt;&gt;Constants!$B$7,$Z270,AA270))</f>
        <v/>
      </c>
      <c r="AV270" s="98" t="str">
        <f aca="false">IF(ISBLANK($C270),"",AO270)</f>
        <v/>
      </c>
      <c r="AW270" s="98" t="str">
        <f aca="false">IF(ISBLANK($C270),"",AN270)</f>
        <v/>
      </c>
      <c r="AX270" s="99" t="str">
        <f aca="false">IF(ISBLANK($C270),"",IFERROR(_xlfn.SWITCH(AW270,Constants!$B$4,COUNTA($C$8:$C$507)+2,Constants!$B$5,COUNTA($C$8:$C$507)+1,Constants!$B$6,COUNTA($C$8:$C$507)),AW270))</f>
        <v/>
      </c>
      <c r="AY270" s="5"/>
      <c r="AZ270" s="100" t="n">
        <f aca="false">IF(OR(ISNUMBER(AW270),AW270=Constants!$B$4,AW270=Constants!$B$6,AW270=Constants!$B$5),1,0)</f>
        <v>0</v>
      </c>
      <c r="BA270" s="100" t="n">
        <v>263</v>
      </c>
      <c r="BB270" s="100" t="str">
        <f aca="false">IF(ISBLANK($C270),"",IF(ISNUMBER(AX270),AX270+ROW($B270)/1000,""))</f>
        <v/>
      </c>
      <c r="BC270" s="100" t="str">
        <f aca="false">IF(ISNUMBER(BB270),RANK(BB270,$BB$8:$BB$507,1),"")</f>
        <v/>
      </c>
      <c r="BD270" s="100" t="str">
        <f aca="false">IF(ISBLANK($C270),"",$B270)</f>
        <v/>
      </c>
      <c r="BE270" s="100" t="str">
        <f aca="false">IF(ISBLANK($C270),"",$C270)</f>
        <v/>
      </c>
      <c r="BF270" s="100" t="str">
        <f aca="false">IF(ISBLANK($C270),"",$D270)</f>
        <v/>
      </c>
      <c r="BG270" s="101" t="str">
        <f aca="false">AU270</f>
        <v/>
      </c>
      <c r="BH270" s="102" t="str">
        <f aca="false">AT270</f>
        <v/>
      </c>
      <c r="BI270" s="100" t="str">
        <f aca="false">IF(ISBLANK($C270),"",AW270)</f>
        <v/>
      </c>
      <c r="BJ270" s="103" t="str">
        <f aca="false">IF($BA270&gt;$AZ$7,"",VLOOKUP($BA270,$BC$8:$BI$507,7,FALSE()))</f>
        <v/>
      </c>
      <c r="BK270" s="104" t="str">
        <f aca="false">IF($BA270&gt;$AZ$7,"",VLOOKUP($BA270,$BC$8:$BI$507,2,FALSE()))</f>
        <v/>
      </c>
      <c r="BL270" s="104" t="str">
        <f aca="false">IF($BA270&gt;$AZ$7,"",VLOOKUP($BA270,$BC$8:$BI$507,3,FALSE()))</f>
        <v/>
      </c>
      <c r="BM270" s="104" t="str">
        <f aca="false">IF($BA270&gt;$AZ$7,"",VLOOKUP($BA270,$BC$8:$BI$507,4,FALSE()))</f>
        <v/>
      </c>
      <c r="BN270" s="104" t="str">
        <f aca="false">IF($BA270&gt;$AZ$7,"",VLOOKUP($BA270,$BC$8:$BI$507,5,FALSE()))</f>
        <v/>
      </c>
      <c r="BO270" s="105" t="str">
        <f aca="false">IF($BA270&gt;$AZ$7,"",VLOOKUP($BA270,$BC$8:$BI$507,6,FALSE()))</f>
        <v/>
      </c>
      <c r="BP270" s="52"/>
    </row>
    <row r="271" customFormat="false" ht="15.75" hidden="false" customHeight="false" outlineLevel="0" collapsed="false">
      <c r="A271" s="5"/>
      <c r="B271" s="114"/>
      <c r="C271" s="115"/>
      <c r="D271" s="106"/>
      <c r="E271" s="117"/>
      <c r="F271" s="87"/>
      <c r="G271" s="88"/>
      <c r="H271" s="88"/>
      <c r="I271" s="87"/>
      <c r="J271" s="88"/>
      <c r="K271" s="88"/>
      <c r="L271" s="87"/>
      <c r="M271" s="117"/>
      <c r="N271" s="90"/>
      <c r="O271" s="91" t="str">
        <f aca="false">IF(ISBLANK($C271),"",IF(E271=Constants!$B$2, TRUE(), IF(E271=Constants!$B$3, FALSE(), TRUE())))</f>
        <v/>
      </c>
      <c r="P271" s="91" t="str">
        <f aca="false">IF(ISBLANK($C271),"",IF(F271=Constants!$B$16,Constants!$B$9,IF(F271=Constants!$B$17,Constants!$B$10,Constants!$B$8)))</f>
        <v/>
      </c>
      <c r="Q271" s="91" t="str">
        <f aca="false">IF(ISBLANK($C271),"",IF(ISNUMBER(G271),IF(G271&gt;=0,G271,""),""))</f>
        <v/>
      </c>
      <c r="R271" s="91" t="str">
        <f aca="false">IF(ISBLANK($C271),"",IF(H271=Constants!$B$2, TRUE(), IF(H271=Constants!$B$3, FALSE(), TRUE())))</f>
        <v/>
      </c>
      <c r="S271" s="91" t="str">
        <f aca="false">IF(ISBLANK($C271),"",IF(I271=Constants!$B$2, TRUE(), IF(I271=Constants!$B$3, FALSE(), TRUE())))</f>
        <v/>
      </c>
      <c r="T271" s="91" t="str">
        <f aca="false">IF(ISBLANK($C271),"",IF(ISNUMBER(J271),IF(J271&gt;=0,J271,""),""))</f>
        <v/>
      </c>
      <c r="U271" s="91" t="str">
        <f aca="false">IF(ISBLANK($C271),"",IF(K271=Constants!$B$2, TRUE(), IF(K271=Constants!$B$3, FALSE(), TRUE())))</f>
        <v/>
      </c>
      <c r="V271" s="91" t="str">
        <f aca="false">IF(ISBLANK($C271),"",IF(L271=Constants!$B$2, TRUE(), IF(L271=Constants!$B$3, FALSE(), TRUE())))</f>
        <v/>
      </c>
      <c r="W271" s="91" t="str">
        <f aca="false">IF(ISBLANK($C271),"",IF(M271=Constants!$B$2, TRUE(), IF(M271=Constants!$B$3, FALSE(), FALSE())))</f>
        <v/>
      </c>
      <c r="X271" s="91" t="str">
        <f aca="false">IF(ISBLANK($C271),"",AND(Q271&lt;&gt;"",O271))</f>
        <v/>
      </c>
      <c r="Y271" s="91" t="str">
        <f aca="false">IF(ISBLANK($C271),"",AND(T271&lt;&gt;"",O271))</f>
        <v/>
      </c>
      <c r="Z271" s="91" t="str">
        <f aca="false">IF(ISBLANK($C271),"",IF(W271,Constants!$B$4,IF(COUNTA(E271:L271)=0,Constants!$B$5,IF(NOT(O271),Constants!$B$6,IF(AND(NOT(X271),NOT(Y271)),Constants!$B$6,Constants!$B$7)))))</f>
        <v/>
      </c>
      <c r="AA271" s="91" t="str">
        <f aca="false">IF(ISBLANK($C271),"",IF($Z271&lt;&gt;Constants!$B$7,$Z271,Constants!$B$20))</f>
        <v/>
      </c>
      <c r="AB271" s="91" t="str">
        <f aca="false">IF($Z271=Constants!$B$7,IF(X271,Q271,Constants!$B$13),"")</f>
        <v/>
      </c>
      <c r="AC271" s="91" t="str">
        <f aca="false">IF($Z271=Constants!$B$7,IF(X271,P271*IF(R271, 1, Constants!$B$11)*IF(S271, 1, Constants!$B$12),Constants!$B$13),"")</f>
        <v/>
      </c>
      <c r="AD271" s="91" t="str">
        <f aca="false">IF($Z271=Constants!$B$7,AB271*AC271,"")</f>
        <v/>
      </c>
      <c r="AE271" s="91" t="str">
        <f aca="false">IF($Z271=Constants!$B$7,IF(Y271,T271,Constants!$B$13),"")</f>
        <v/>
      </c>
      <c r="AF271" s="91" t="str">
        <f aca="false">IF($Z271=Constants!$B$7,IF(Y271,P271*IF(U271, 1, Constants!$B$11)*IF(V271, 1, Constants!$B$12),Constants!$B$13),"")</f>
        <v/>
      </c>
      <c r="AG271" s="91" t="str">
        <f aca="false">IF($Z271=Constants!$B$7,AE271*AF271,"")</f>
        <v/>
      </c>
      <c r="AH271" s="91" t="str">
        <f aca="false">IF($Z271=Constants!$B$7,IF(AG271&gt;AD271,2,1),"")</f>
        <v/>
      </c>
      <c r="AI271" s="91" t="str">
        <f aca="false">IF($Z271=Constants!$B$7,IF(AH271=1,2,1),"")</f>
        <v/>
      </c>
      <c r="AJ271" s="91" t="str">
        <f aca="false">IF(ISBLANK($C271),"",IF($Z271&lt;&gt;Constants!$B$7,$Z271,IF(AH271=1,AD271,AG271)))</f>
        <v/>
      </c>
      <c r="AK271" s="91" t="str">
        <f aca="false">IF(ISBLANK($C271),"",IF($Z271=Constants!$B$7,IF(ISNUMBER(AJ271),RANK(AJ271,$AJ$8:$AJ$507),Constants!$B$14),$Z271))</f>
        <v/>
      </c>
      <c r="AL271" s="91" t="str">
        <f aca="false">IF(ISBLANK($C271),"",IF($Z271=Constants!$B$7,IF(AI271=1,AD271,AG271),""))</f>
        <v/>
      </c>
      <c r="AM271" s="91" t="str">
        <f aca="false">IF(ISBLANK($C271),"",IF($Z271=Constants!$B$7,RANK(AL271,$AL$8:$AL$507),$Z271))</f>
        <v/>
      </c>
      <c r="AN271" s="91" t="str">
        <f aca="false">IF(ISBLANK($C271),"",IF($Z271=Constants!$B$7,IF(ISNUMBER(AK271),COUNTIFS($AK$8:$AK$507,"&lt;"&amp;$AK271)+COUNTIFS($AK$8:$AK$507,$AK271,$AM$8:$AM$507,"&lt;"&amp;$AM271)+1,Constants!$B$14),$Z271))</f>
        <v/>
      </c>
      <c r="AO271" s="91" t="str">
        <f aca="false">IF(ISBLANK($C271),"",IF($Z271=Constants!$B$7,IF(ISNUMBER(AK271),AK271-AN271,Constants!$B$14),$Z271))</f>
        <v/>
      </c>
      <c r="AP271" s="92"/>
      <c r="AQ271" s="93" t="str">
        <f aca="false">IF(ISBLANK($C271),"",IF($Z271&lt;&gt;Constants!$B$7,"",AH271))</f>
        <v/>
      </c>
      <c r="AR271" s="94" t="str">
        <f aca="false">IF(ISBLANK($C271),"",IF($Z271&lt;&gt;Constants!$B$7,"",IF(AH271=1,AB271,AE271)))</f>
        <v/>
      </c>
      <c r="AS271" s="95" t="str">
        <f aca="false">IF(ISBLANK($C271),"",IF($Z271&lt;&gt;Constants!$B$7,"",IF(AH271=1,AC271,AF271)))</f>
        <v/>
      </c>
      <c r="AT271" s="96" t="str">
        <f aca="false">IF(ISBLANK($C271),"",IF($Z271&lt;&gt;Constants!$B$7,$Z271,AJ271))</f>
        <v/>
      </c>
      <c r="AU271" s="97" t="str">
        <f aca="false">IF(ISBLANK($C271),"",IF($Z271&lt;&gt;Constants!$B$7,$Z271,AA271))</f>
        <v/>
      </c>
      <c r="AV271" s="98" t="str">
        <f aca="false">IF(ISBLANK($C271),"",AO271)</f>
        <v/>
      </c>
      <c r="AW271" s="98" t="str">
        <f aca="false">IF(ISBLANK($C271),"",AN271)</f>
        <v/>
      </c>
      <c r="AX271" s="99" t="str">
        <f aca="false">IF(ISBLANK($C271),"",IFERROR(_xlfn.SWITCH(AW271,Constants!$B$4,COUNTA($C$8:$C$507)+2,Constants!$B$5,COUNTA($C$8:$C$507)+1,Constants!$B$6,COUNTA($C$8:$C$507)),AW271))</f>
        <v/>
      </c>
      <c r="AY271" s="5"/>
      <c r="AZ271" s="100" t="n">
        <f aca="false">IF(OR(ISNUMBER(AW271),AW271=Constants!$B$4,AW271=Constants!$B$6,AW271=Constants!$B$5),1,0)</f>
        <v>0</v>
      </c>
      <c r="BA271" s="100" t="n">
        <v>264</v>
      </c>
      <c r="BB271" s="100" t="str">
        <f aca="false">IF(ISBLANK($C271),"",IF(ISNUMBER(AX271),AX271+ROW($B271)/1000,""))</f>
        <v/>
      </c>
      <c r="BC271" s="100" t="str">
        <f aca="false">IF(ISNUMBER(BB271),RANK(BB271,$BB$8:$BB$507,1),"")</f>
        <v/>
      </c>
      <c r="BD271" s="100" t="str">
        <f aca="false">IF(ISBLANK($C271),"",$B271)</f>
        <v/>
      </c>
      <c r="BE271" s="100" t="str">
        <f aca="false">IF(ISBLANK($C271),"",$C271)</f>
        <v/>
      </c>
      <c r="BF271" s="100" t="str">
        <f aca="false">IF(ISBLANK($C271),"",$D271)</f>
        <v/>
      </c>
      <c r="BG271" s="101" t="str">
        <f aca="false">AU271</f>
        <v/>
      </c>
      <c r="BH271" s="102" t="str">
        <f aca="false">AT271</f>
        <v/>
      </c>
      <c r="BI271" s="100" t="str">
        <f aca="false">IF(ISBLANK($C271),"",AW271)</f>
        <v/>
      </c>
      <c r="BJ271" s="103" t="str">
        <f aca="false">IF($BA271&gt;$AZ$7,"",VLOOKUP($BA271,$BC$8:$BI$507,7,FALSE()))</f>
        <v/>
      </c>
      <c r="BK271" s="104" t="str">
        <f aca="false">IF($BA271&gt;$AZ$7,"",VLOOKUP($BA271,$BC$8:$BI$507,2,FALSE()))</f>
        <v/>
      </c>
      <c r="BL271" s="104" t="str">
        <f aca="false">IF($BA271&gt;$AZ$7,"",VLOOKUP($BA271,$BC$8:$BI$507,3,FALSE()))</f>
        <v/>
      </c>
      <c r="BM271" s="104" t="str">
        <f aca="false">IF($BA271&gt;$AZ$7,"",VLOOKUP($BA271,$BC$8:$BI$507,4,FALSE()))</f>
        <v/>
      </c>
      <c r="BN271" s="104" t="str">
        <f aca="false">IF($BA271&gt;$AZ$7,"",VLOOKUP($BA271,$BC$8:$BI$507,5,FALSE()))</f>
        <v/>
      </c>
      <c r="BO271" s="105" t="str">
        <f aca="false">IF($BA271&gt;$AZ$7,"",VLOOKUP($BA271,$BC$8:$BI$507,6,FALSE()))</f>
        <v/>
      </c>
      <c r="BP271" s="52"/>
    </row>
    <row r="272" customFormat="false" ht="15.75" hidden="false" customHeight="false" outlineLevel="0" collapsed="false">
      <c r="A272" s="5"/>
      <c r="B272" s="118"/>
      <c r="C272" s="54"/>
      <c r="D272" s="55"/>
      <c r="E272" s="79"/>
      <c r="F272" s="57"/>
      <c r="G272" s="58"/>
      <c r="H272" s="58"/>
      <c r="I272" s="57"/>
      <c r="J272" s="58"/>
      <c r="K272" s="58"/>
      <c r="L272" s="57"/>
      <c r="M272" s="79"/>
      <c r="N272" s="60"/>
      <c r="O272" s="62" t="str">
        <f aca="false">IF(ISBLANK($C272),"",IF(E272=Constants!$B$2, TRUE(), IF(E272=Constants!$B$3, FALSE(), TRUE())))</f>
        <v/>
      </c>
      <c r="P272" s="62" t="str">
        <f aca="false">IF(ISBLANK($C272),"",IF(F272=Constants!$B$16,Constants!$B$9,IF(F272=Constants!$B$17,Constants!$B$10,Constants!$B$8)))</f>
        <v/>
      </c>
      <c r="Q272" s="62" t="str">
        <f aca="false">IF(ISBLANK($C272),"",IF(ISNUMBER(G272),IF(G272&gt;=0,G272,""),""))</f>
        <v/>
      </c>
      <c r="R272" s="62" t="str">
        <f aca="false">IF(ISBLANK($C272),"",IF(H272=Constants!$B$2, TRUE(), IF(H272=Constants!$B$3, FALSE(), TRUE())))</f>
        <v/>
      </c>
      <c r="S272" s="62" t="str">
        <f aca="false">IF(ISBLANK($C272),"",IF(I272=Constants!$B$2, TRUE(), IF(I272=Constants!$B$3, FALSE(), TRUE())))</f>
        <v/>
      </c>
      <c r="T272" s="62" t="str">
        <f aca="false">IF(ISBLANK($C272),"",IF(ISNUMBER(J272),IF(J272&gt;=0,J272,""),""))</f>
        <v/>
      </c>
      <c r="U272" s="62" t="str">
        <f aca="false">IF(ISBLANK($C272),"",IF(K272=Constants!$B$2, TRUE(), IF(K272=Constants!$B$3, FALSE(), TRUE())))</f>
        <v/>
      </c>
      <c r="V272" s="62" t="str">
        <f aca="false">IF(ISBLANK($C272),"",IF(L272=Constants!$B$2, TRUE(), IF(L272=Constants!$B$3, FALSE(), TRUE())))</f>
        <v/>
      </c>
      <c r="W272" s="62" t="str">
        <f aca="false">IF(ISBLANK($C272),"",IF(M272=Constants!$B$2, TRUE(), IF(M272=Constants!$B$3, FALSE(), FALSE())))</f>
        <v/>
      </c>
      <c r="X272" s="62" t="str">
        <f aca="false">IF(ISBLANK($C272),"",AND(Q272&lt;&gt;"",O272))</f>
        <v/>
      </c>
      <c r="Y272" s="62" t="str">
        <f aca="false">IF(ISBLANK($C272),"",AND(T272&lt;&gt;"",O272))</f>
        <v/>
      </c>
      <c r="Z272" s="62" t="str">
        <f aca="false">IF(ISBLANK($C272),"",IF(W272,Constants!$B$4,IF(COUNTA(E272:L272)=0,Constants!$B$5,IF(NOT(O272),Constants!$B$6,IF(AND(NOT(X272),NOT(Y272)),Constants!$B$6,Constants!$B$7)))))</f>
        <v/>
      </c>
      <c r="AA272" s="62" t="str">
        <f aca="false">IF(ISBLANK($C272),"",IF($Z272&lt;&gt;Constants!$B$7,$Z272,Constants!$B$20))</f>
        <v/>
      </c>
      <c r="AB272" s="62" t="str">
        <f aca="false">IF($Z272=Constants!$B$7,IF(X272,Q272,Constants!$B$13),"")</f>
        <v/>
      </c>
      <c r="AC272" s="62" t="str">
        <f aca="false">IF($Z272=Constants!$B$7,IF(X272,P272*IF(R272, 1, Constants!$B$11)*IF(S272, 1, Constants!$B$12),Constants!$B$13),"")</f>
        <v/>
      </c>
      <c r="AD272" s="62" t="str">
        <f aca="false">IF($Z272=Constants!$B$7,AB272*AC272,"")</f>
        <v/>
      </c>
      <c r="AE272" s="62" t="str">
        <f aca="false">IF($Z272=Constants!$B$7,IF(Y272,T272,Constants!$B$13),"")</f>
        <v/>
      </c>
      <c r="AF272" s="62" t="str">
        <f aca="false">IF($Z272=Constants!$B$7,IF(Y272,P272*IF(U272, 1, Constants!$B$11)*IF(V272, 1, Constants!$B$12),Constants!$B$13),"")</f>
        <v/>
      </c>
      <c r="AG272" s="62" t="str">
        <f aca="false">IF($Z272=Constants!$B$7,AE272*AF272,"")</f>
        <v/>
      </c>
      <c r="AH272" s="62" t="str">
        <f aca="false">IF($Z272=Constants!$B$7,IF(AG272&gt;AD272,2,1),"")</f>
        <v/>
      </c>
      <c r="AI272" s="62" t="str">
        <f aca="false">IF($Z272=Constants!$B$7,IF(AH272=1,2,1),"")</f>
        <v/>
      </c>
      <c r="AJ272" s="62" t="str">
        <f aca="false">IF(ISBLANK($C272),"",IF($Z272&lt;&gt;Constants!$B$7,$Z272,IF(AH272=1,AD272,AG272)))</f>
        <v/>
      </c>
      <c r="AK272" s="62" t="str">
        <f aca="false">IF(ISBLANK($C272),"",IF($Z272=Constants!$B$7,IF(ISNUMBER(AJ272),RANK(AJ272,$AJ$8:$AJ$507),Constants!$B$14),$Z272))</f>
        <v/>
      </c>
      <c r="AL272" s="62" t="str">
        <f aca="false">IF(ISBLANK($C272),"",IF($Z272=Constants!$B$7,IF(AI272=1,AD272,AG272),""))</f>
        <v/>
      </c>
      <c r="AM272" s="62" t="str">
        <f aca="false">IF(ISBLANK($C272),"",IF($Z272=Constants!$B$7,RANK(AL272,$AL$8:$AL$507),$Z272))</f>
        <v/>
      </c>
      <c r="AN272" s="62" t="str">
        <f aca="false">IF(ISBLANK($C272),"",IF($Z272=Constants!$B$7,IF(ISNUMBER(AK272),COUNTIFS($AK$8:$AK$507,"&lt;"&amp;$AK272)+COUNTIFS($AK$8:$AK$507,$AK272,$AM$8:$AM$507,"&lt;"&amp;$AM272)+1,Constants!$B$14),$Z272))</f>
        <v/>
      </c>
      <c r="AO272" s="62" t="str">
        <f aca="false">IF(ISBLANK($C272),"",IF($Z272=Constants!$B$7,IF(ISNUMBER(AK272),AK272-AN272,Constants!$B$14),$Z272))</f>
        <v/>
      </c>
      <c r="AP272" s="64"/>
      <c r="AQ272" s="65" t="str">
        <f aca="false">IF(ISBLANK($C272),"",IF($Z272&lt;&gt;Constants!$B$7,"",AH272))</f>
        <v/>
      </c>
      <c r="AR272" s="80" t="str">
        <f aca="false">IF(ISBLANK($C272),"",IF($Z272&lt;&gt;Constants!$B$7,"",IF(AH272=1,AB272,AE272)))</f>
        <v/>
      </c>
      <c r="AS272" s="67" t="str">
        <f aca="false">IF(ISBLANK($C272),"",IF($Z272&lt;&gt;Constants!$B$7,"",IF(AH272=1,AC272,AF272)))</f>
        <v/>
      </c>
      <c r="AT272" s="68" t="str">
        <f aca="false">IF(ISBLANK($C272),"",IF($Z272&lt;&gt;Constants!$B$7,$Z272,AJ272))</f>
        <v/>
      </c>
      <c r="AU272" s="69" t="str">
        <f aca="false">IF(ISBLANK($C272),"",IF($Z272&lt;&gt;Constants!$B$7,$Z272,AA272))</f>
        <v/>
      </c>
      <c r="AV272" s="70" t="str">
        <f aca="false">IF(ISBLANK($C272),"",AO272)</f>
        <v/>
      </c>
      <c r="AW272" s="70" t="str">
        <f aca="false">IF(ISBLANK($C272),"",AN272)</f>
        <v/>
      </c>
      <c r="AX272" s="71" t="str">
        <f aca="false">IF(ISBLANK($C272),"",IFERROR(_xlfn.SWITCH(AW272,Constants!$B$4,COUNTA($C$8:$C$507)+2,Constants!$B$5,COUNTA($C$8:$C$507)+1,Constants!$B$6,COUNTA($C$8:$C$507)),AW272))</f>
        <v/>
      </c>
      <c r="AY272" s="5"/>
      <c r="AZ272" s="72" t="n">
        <f aca="false">IF(OR(ISNUMBER(AW272),AW272=Constants!$B$4,AW272=Constants!$B$6,AW272=Constants!$B$5),1,0)</f>
        <v>0</v>
      </c>
      <c r="BA272" s="72" t="n">
        <v>265</v>
      </c>
      <c r="BB272" s="72" t="str">
        <f aca="false">IF(ISBLANK($C272),"",IF(ISNUMBER(AX272),AX272+ROW($B272)/1000,""))</f>
        <v/>
      </c>
      <c r="BC272" s="72" t="str">
        <f aca="false">IF(ISNUMBER(BB272),RANK(BB272,$BB$8:$BB$507,1),"")</f>
        <v/>
      </c>
      <c r="BD272" s="72" t="str">
        <f aca="false">IF(ISBLANK($C272),"",$B272)</f>
        <v/>
      </c>
      <c r="BE272" s="72" t="str">
        <f aca="false">IF(ISBLANK($C272),"",$C272)</f>
        <v/>
      </c>
      <c r="BF272" s="72" t="str">
        <f aca="false">IF(ISBLANK($C272),"",$D272)</f>
        <v/>
      </c>
      <c r="BG272" s="73" t="str">
        <f aca="false">AU272</f>
        <v/>
      </c>
      <c r="BH272" s="74" t="str">
        <f aca="false">AT272</f>
        <v/>
      </c>
      <c r="BI272" s="72" t="str">
        <f aca="false">IF(ISBLANK($C272),"",AW272)</f>
        <v/>
      </c>
      <c r="BJ272" s="75" t="str">
        <f aca="false">IF($BA272&gt;$AZ$7,"",VLOOKUP($BA272,$BC$8:$BI$507,7,FALSE()))</f>
        <v/>
      </c>
      <c r="BK272" s="76" t="str">
        <f aca="false">IF($BA272&gt;$AZ$7,"",VLOOKUP($BA272,$BC$8:$BI$507,2,FALSE()))</f>
        <v/>
      </c>
      <c r="BL272" s="76" t="str">
        <f aca="false">IF($BA272&gt;$AZ$7,"",VLOOKUP($BA272,$BC$8:$BI$507,3,FALSE()))</f>
        <v/>
      </c>
      <c r="BM272" s="76" t="str">
        <f aca="false">IF($BA272&gt;$AZ$7,"",VLOOKUP($BA272,$BC$8:$BI$507,4,FALSE()))</f>
        <v/>
      </c>
      <c r="BN272" s="76" t="str">
        <f aca="false">IF($BA272&gt;$AZ$7,"",VLOOKUP($BA272,$BC$8:$BI$507,5,FALSE()))</f>
        <v/>
      </c>
      <c r="BO272" s="77" t="str">
        <f aca="false">IF($BA272&gt;$AZ$7,"",VLOOKUP($BA272,$BC$8:$BI$507,6,FALSE()))</f>
        <v/>
      </c>
      <c r="BP272" s="52"/>
    </row>
    <row r="273" customFormat="false" ht="15.75" hidden="false" customHeight="false" outlineLevel="0" collapsed="false">
      <c r="A273" s="5"/>
      <c r="B273" s="118"/>
      <c r="C273" s="54"/>
      <c r="D273" s="55"/>
      <c r="E273" s="79"/>
      <c r="F273" s="57"/>
      <c r="G273" s="58"/>
      <c r="H273" s="58"/>
      <c r="I273" s="57"/>
      <c r="J273" s="58"/>
      <c r="K273" s="58"/>
      <c r="L273" s="57"/>
      <c r="M273" s="79"/>
      <c r="N273" s="60"/>
      <c r="O273" s="62" t="str">
        <f aca="false">IF(ISBLANK($C273),"",IF(E273=Constants!$B$2, TRUE(), IF(E273=Constants!$B$3, FALSE(), TRUE())))</f>
        <v/>
      </c>
      <c r="P273" s="62" t="str">
        <f aca="false">IF(ISBLANK($C273),"",IF(F273=Constants!$B$16,Constants!$B$9,IF(F273=Constants!$B$17,Constants!$B$10,Constants!$B$8)))</f>
        <v/>
      </c>
      <c r="Q273" s="62" t="str">
        <f aca="false">IF(ISBLANK($C273),"",IF(ISNUMBER(G273),IF(G273&gt;=0,G273,""),""))</f>
        <v/>
      </c>
      <c r="R273" s="62" t="str">
        <f aca="false">IF(ISBLANK($C273),"",IF(H273=Constants!$B$2, TRUE(), IF(H273=Constants!$B$3, FALSE(), TRUE())))</f>
        <v/>
      </c>
      <c r="S273" s="62" t="str">
        <f aca="false">IF(ISBLANK($C273),"",IF(I273=Constants!$B$2, TRUE(), IF(I273=Constants!$B$3, FALSE(), TRUE())))</f>
        <v/>
      </c>
      <c r="T273" s="62" t="str">
        <f aca="false">IF(ISBLANK($C273),"",IF(ISNUMBER(J273),IF(J273&gt;=0,J273,""),""))</f>
        <v/>
      </c>
      <c r="U273" s="62" t="str">
        <f aca="false">IF(ISBLANK($C273),"",IF(K273=Constants!$B$2, TRUE(), IF(K273=Constants!$B$3, FALSE(), TRUE())))</f>
        <v/>
      </c>
      <c r="V273" s="62" t="str">
        <f aca="false">IF(ISBLANK($C273),"",IF(L273=Constants!$B$2, TRUE(), IF(L273=Constants!$B$3, FALSE(), TRUE())))</f>
        <v/>
      </c>
      <c r="W273" s="62" t="str">
        <f aca="false">IF(ISBLANK($C273),"",IF(M273=Constants!$B$2, TRUE(), IF(M273=Constants!$B$3, FALSE(), FALSE())))</f>
        <v/>
      </c>
      <c r="X273" s="62" t="str">
        <f aca="false">IF(ISBLANK($C273),"",AND(Q273&lt;&gt;"",O273))</f>
        <v/>
      </c>
      <c r="Y273" s="62" t="str">
        <f aca="false">IF(ISBLANK($C273),"",AND(T273&lt;&gt;"",O273))</f>
        <v/>
      </c>
      <c r="Z273" s="62" t="str">
        <f aca="false">IF(ISBLANK($C273),"",IF(W273,Constants!$B$4,IF(COUNTA(E273:L273)=0,Constants!$B$5,IF(NOT(O273),Constants!$B$6,IF(AND(NOT(X273),NOT(Y273)),Constants!$B$6,Constants!$B$7)))))</f>
        <v/>
      </c>
      <c r="AA273" s="62" t="str">
        <f aca="false">IF(ISBLANK($C273),"",IF($Z273&lt;&gt;Constants!$B$7,$Z273,Constants!$B$20))</f>
        <v/>
      </c>
      <c r="AB273" s="62" t="str">
        <f aca="false">IF($Z273=Constants!$B$7,IF(X273,Q273,Constants!$B$13),"")</f>
        <v/>
      </c>
      <c r="AC273" s="62" t="str">
        <f aca="false">IF($Z273=Constants!$B$7,IF(X273,P273*IF(R273, 1, Constants!$B$11)*IF(S273, 1, Constants!$B$12),Constants!$B$13),"")</f>
        <v/>
      </c>
      <c r="AD273" s="62" t="str">
        <f aca="false">IF($Z273=Constants!$B$7,AB273*AC273,"")</f>
        <v/>
      </c>
      <c r="AE273" s="62" t="str">
        <f aca="false">IF($Z273=Constants!$B$7,IF(Y273,T273,Constants!$B$13),"")</f>
        <v/>
      </c>
      <c r="AF273" s="62" t="str">
        <f aca="false">IF($Z273=Constants!$B$7,IF(Y273,P273*IF(U273, 1, Constants!$B$11)*IF(V273, 1, Constants!$B$12),Constants!$B$13),"")</f>
        <v/>
      </c>
      <c r="AG273" s="62" t="str">
        <f aca="false">IF($Z273=Constants!$B$7,AE273*AF273,"")</f>
        <v/>
      </c>
      <c r="AH273" s="62" t="str">
        <f aca="false">IF($Z273=Constants!$B$7,IF(AG273&gt;AD273,2,1),"")</f>
        <v/>
      </c>
      <c r="AI273" s="62" t="str">
        <f aca="false">IF($Z273=Constants!$B$7,IF(AH273=1,2,1),"")</f>
        <v/>
      </c>
      <c r="AJ273" s="62" t="str">
        <f aca="false">IF(ISBLANK($C273),"",IF($Z273&lt;&gt;Constants!$B$7,$Z273,IF(AH273=1,AD273,AG273)))</f>
        <v/>
      </c>
      <c r="AK273" s="62" t="str">
        <f aca="false">IF(ISBLANK($C273),"",IF($Z273=Constants!$B$7,IF(ISNUMBER(AJ273),RANK(AJ273,$AJ$8:$AJ$507),Constants!$B$14),$Z273))</f>
        <v/>
      </c>
      <c r="AL273" s="62" t="str">
        <f aca="false">IF(ISBLANK($C273),"",IF($Z273=Constants!$B$7,IF(AI273=1,AD273,AG273),""))</f>
        <v/>
      </c>
      <c r="AM273" s="62" t="str">
        <f aca="false">IF(ISBLANK($C273),"",IF($Z273=Constants!$B$7,RANK(AL273,$AL$8:$AL$507),$Z273))</f>
        <v/>
      </c>
      <c r="AN273" s="62" t="str">
        <f aca="false">IF(ISBLANK($C273),"",IF($Z273=Constants!$B$7,IF(ISNUMBER(AK273),COUNTIFS($AK$8:$AK$507,"&lt;"&amp;$AK273)+COUNTIFS($AK$8:$AK$507,$AK273,$AM$8:$AM$507,"&lt;"&amp;$AM273)+1,Constants!$B$14),$Z273))</f>
        <v/>
      </c>
      <c r="AO273" s="62" t="str">
        <f aca="false">IF(ISBLANK($C273),"",IF($Z273=Constants!$B$7,IF(ISNUMBER(AK273),AK273-AN273,Constants!$B$14),$Z273))</f>
        <v/>
      </c>
      <c r="AP273" s="64"/>
      <c r="AQ273" s="65" t="str">
        <f aca="false">IF(ISBLANK($C273),"",IF($Z273&lt;&gt;Constants!$B$7,"",AH273))</f>
        <v/>
      </c>
      <c r="AR273" s="80" t="str">
        <f aca="false">IF(ISBLANK($C273),"",IF($Z273&lt;&gt;Constants!$B$7,"",IF(AH273=1,AB273,AE273)))</f>
        <v/>
      </c>
      <c r="AS273" s="67" t="str">
        <f aca="false">IF(ISBLANK($C273),"",IF($Z273&lt;&gt;Constants!$B$7,"",IF(AH273=1,AC273,AF273)))</f>
        <v/>
      </c>
      <c r="AT273" s="68" t="str">
        <f aca="false">IF(ISBLANK($C273),"",IF($Z273&lt;&gt;Constants!$B$7,$Z273,AJ273))</f>
        <v/>
      </c>
      <c r="AU273" s="69" t="str">
        <f aca="false">IF(ISBLANK($C273),"",IF($Z273&lt;&gt;Constants!$B$7,$Z273,AA273))</f>
        <v/>
      </c>
      <c r="AV273" s="70" t="str">
        <f aca="false">IF(ISBLANK($C273),"",AO273)</f>
        <v/>
      </c>
      <c r="AW273" s="70" t="str">
        <f aca="false">IF(ISBLANK($C273),"",AN273)</f>
        <v/>
      </c>
      <c r="AX273" s="71" t="str">
        <f aca="false">IF(ISBLANK($C273),"",IFERROR(_xlfn.SWITCH(AW273,Constants!$B$4,COUNTA($C$8:$C$507)+2,Constants!$B$5,COUNTA($C$8:$C$507)+1,Constants!$B$6,COUNTA($C$8:$C$507)),AW273))</f>
        <v/>
      </c>
      <c r="AY273" s="5"/>
      <c r="AZ273" s="72" t="n">
        <f aca="false">IF(OR(ISNUMBER(AW273),AW273=Constants!$B$4,AW273=Constants!$B$6,AW273=Constants!$B$5),1,0)</f>
        <v>0</v>
      </c>
      <c r="BA273" s="72" t="n">
        <v>266</v>
      </c>
      <c r="BB273" s="72" t="str">
        <f aca="false">IF(ISBLANK($C273),"",IF(ISNUMBER(AX273),AX273+ROW($B273)/1000,""))</f>
        <v/>
      </c>
      <c r="BC273" s="72" t="str">
        <f aca="false">IF(ISNUMBER(BB273),RANK(BB273,$BB$8:$BB$507,1),"")</f>
        <v/>
      </c>
      <c r="BD273" s="72" t="str">
        <f aca="false">IF(ISBLANK($C273),"",$B273)</f>
        <v/>
      </c>
      <c r="BE273" s="72" t="str">
        <f aca="false">IF(ISBLANK($C273),"",$C273)</f>
        <v/>
      </c>
      <c r="BF273" s="72" t="str">
        <f aca="false">IF(ISBLANK($C273),"",$D273)</f>
        <v/>
      </c>
      <c r="BG273" s="73" t="str">
        <f aca="false">AU273</f>
        <v/>
      </c>
      <c r="BH273" s="74" t="str">
        <f aca="false">AT273</f>
        <v/>
      </c>
      <c r="BI273" s="72" t="str">
        <f aca="false">IF(ISBLANK($C273),"",AW273)</f>
        <v/>
      </c>
      <c r="BJ273" s="75" t="str">
        <f aca="false">IF($BA273&gt;$AZ$7,"",VLOOKUP($BA273,$BC$8:$BI$507,7,FALSE()))</f>
        <v/>
      </c>
      <c r="BK273" s="76" t="str">
        <f aca="false">IF($BA273&gt;$AZ$7,"",VLOOKUP($BA273,$BC$8:$BI$507,2,FALSE()))</f>
        <v/>
      </c>
      <c r="BL273" s="76" t="str">
        <f aca="false">IF($BA273&gt;$AZ$7,"",VLOOKUP($BA273,$BC$8:$BI$507,3,FALSE()))</f>
        <v/>
      </c>
      <c r="BM273" s="76" t="str">
        <f aca="false">IF($BA273&gt;$AZ$7,"",VLOOKUP($BA273,$BC$8:$BI$507,4,FALSE()))</f>
        <v/>
      </c>
      <c r="BN273" s="76" t="str">
        <f aca="false">IF($BA273&gt;$AZ$7,"",VLOOKUP($BA273,$BC$8:$BI$507,5,FALSE()))</f>
        <v/>
      </c>
      <c r="BO273" s="77" t="str">
        <f aca="false">IF($BA273&gt;$AZ$7,"",VLOOKUP($BA273,$BC$8:$BI$507,6,FALSE()))</f>
        <v/>
      </c>
      <c r="BP273" s="52"/>
    </row>
    <row r="274" customFormat="false" ht="15.75" hidden="false" customHeight="false" outlineLevel="0" collapsed="false">
      <c r="A274" s="5"/>
      <c r="B274" s="118"/>
      <c r="C274" s="54"/>
      <c r="D274" s="55"/>
      <c r="E274" s="79"/>
      <c r="F274" s="57"/>
      <c r="G274" s="58"/>
      <c r="H274" s="58"/>
      <c r="I274" s="57"/>
      <c r="J274" s="58"/>
      <c r="K274" s="58"/>
      <c r="L274" s="57"/>
      <c r="M274" s="79"/>
      <c r="N274" s="60"/>
      <c r="O274" s="62" t="str">
        <f aca="false">IF(ISBLANK($C274),"",IF(E274=Constants!$B$2, TRUE(), IF(E274=Constants!$B$3, FALSE(), TRUE())))</f>
        <v/>
      </c>
      <c r="P274" s="62" t="str">
        <f aca="false">IF(ISBLANK($C274),"",IF(F274=Constants!$B$16,Constants!$B$9,IF(F274=Constants!$B$17,Constants!$B$10,Constants!$B$8)))</f>
        <v/>
      </c>
      <c r="Q274" s="62" t="str">
        <f aca="false">IF(ISBLANK($C274),"",IF(ISNUMBER(G274),IF(G274&gt;=0,G274,""),""))</f>
        <v/>
      </c>
      <c r="R274" s="62" t="str">
        <f aca="false">IF(ISBLANK($C274),"",IF(H274=Constants!$B$2, TRUE(), IF(H274=Constants!$B$3, FALSE(), TRUE())))</f>
        <v/>
      </c>
      <c r="S274" s="62" t="str">
        <f aca="false">IF(ISBLANK($C274),"",IF(I274=Constants!$B$2, TRUE(), IF(I274=Constants!$B$3, FALSE(), TRUE())))</f>
        <v/>
      </c>
      <c r="T274" s="62" t="str">
        <f aca="false">IF(ISBLANK($C274),"",IF(ISNUMBER(J274),IF(J274&gt;=0,J274,""),""))</f>
        <v/>
      </c>
      <c r="U274" s="62" t="str">
        <f aca="false">IF(ISBLANK($C274),"",IF(K274=Constants!$B$2, TRUE(), IF(K274=Constants!$B$3, FALSE(), TRUE())))</f>
        <v/>
      </c>
      <c r="V274" s="62" t="str">
        <f aca="false">IF(ISBLANK($C274),"",IF(L274=Constants!$B$2, TRUE(), IF(L274=Constants!$B$3, FALSE(), TRUE())))</f>
        <v/>
      </c>
      <c r="W274" s="62" t="str">
        <f aca="false">IF(ISBLANK($C274),"",IF(M274=Constants!$B$2, TRUE(), IF(M274=Constants!$B$3, FALSE(), FALSE())))</f>
        <v/>
      </c>
      <c r="X274" s="62" t="str">
        <f aca="false">IF(ISBLANK($C274),"",AND(Q274&lt;&gt;"",O274))</f>
        <v/>
      </c>
      <c r="Y274" s="62" t="str">
        <f aca="false">IF(ISBLANK($C274),"",AND(T274&lt;&gt;"",O274))</f>
        <v/>
      </c>
      <c r="Z274" s="62" t="str">
        <f aca="false">IF(ISBLANK($C274),"",IF(W274,Constants!$B$4,IF(COUNTA(E274:L274)=0,Constants!$B$5,IF(NOT(O274),Constants!$B$6,IF(AND(NOT(X274),NOT(Y274)),Constants!$B$6,Constants!$B$7)))))</f>
        <v/>
      </c>
      <c r="AA274" s="62" t="str">
        <f aca="false">IF(ISBLANK($C274),"",IF($Z274&lt;&gt;Constants!$B$7,$Z274,Constants!$B$20))</f>
        <v/>
      </c>
      <c r="AB274" s="62" t="str">
        <f aca="false">IF($Z274=Constants!$B$7,IF(X274,Q274,Constants!$B$13),"")</f>
        <v/>
      </c>
      <c r="AC274" s="62" t="str">
        <f aca="false">IF($Z274=Constants!$B$7,IF(X274,P274*IF(R274, 1, Constants!$B$11)*IF(S274, 1, Constants!$B$12),Constants!$B$13),"")</f>
        <v/>
      </c>
      <c r="AD274" s="62" t="str">
        <f aca="false">IF($Z274=Constants!$B$7,AB274*AC274,"")</f>
        <v/>
      </c>
      <c r="AE274" s="62" t="str">
        <f aca="false">IF($Z274=Constants!$B$7,IF(Y274,T274,Constants!$B$13),"")</f>
        <v/>
      </c>
      <c r="AF274" s="62" t="str">
        <f aca="false">IF($Z274=Constants!$B$7,IF(Y274,P274*IF(U274, 1, Constants!$B$11)*IF(V274, 1, Constants!$B$12),Constants!$B$13),"")</f>
        <v/>
      </c>
      <c r="AG274" s="62" t="str">
        <f aca="false">IF($Z274=Constants!$B$7,AE274*AF274,"")</f>
        <v/>
      </c>
      <c r="AH274" s="62" t="str">
        <f aca="false">IF($Z274=Constants!$B$7,IF(AG274&gt;AD274,2,1),"")</f>
        <v/>
      </c>
      <c r="AI274" s="62" t="str">
        <f aca="false">IF($Z274=Constants!$B$7,IF(AH274=1,2,1),"")</f>
        <v/>
      </c>
      <c r="AJ274" s="62" t="str">
        <f aca="false">IF(ISBLANK($C274),"",IF($Z274&lt;&gt;Constants!$B$7,$Z274,IF(AH274=1,AD274,AG274)))</f>
        <v/>
      </c>
      <c r="AK274" s="62" t="str">
        <f aca="false">IF(ISBLANK($C274),"",IF($Z274=Constants!$B$7,IF(ISNUMBER(AJ274),RANK(AJ274,$AJ$8:$AJ$507),Constants!$B$14),$Z274))</f>
        <v/>
      </c>
      <c r="AL274" s="62" t="str">
        <f aca="false">IF(ISBLANK($C274),"",IF($Z274=Constants!$B$7,IF(AI274=1,AD274,AG274),""))</f>
        <v/>
      </c>
      <c r="AM274" s="62" t="str">
        <f aca="false">IF(ISBLANK($C274),"",IF($Z274=Constants!$B$7,RANK(AL274,$AL$8:$AL$507),$Z274))</f>
        <v/>
      </c>
      <c r="AN274" s="62" t="str">
        <f aca="false">IF(ISBLANK($C274),"",IF($Z274=Constants!$B$7,IF(ISNUMBER(AK274),COUNTIFS($AK$8:$AK$507,"&lt;"&amp;$AK274)+COUNTIFS($AK$8:$AK$507,$AK274,$AM$8:$AM$507,"&lt;"&amp;$AM274)+1,Constants!$B$14),$Z274))</f>
        <v/>
      </c>
      <c r="AO274" s="62" t="str">
        <f aca="false">IF(ISBLANK($C274),"",IF($Z274=Constants!$B$7,IF(ISNUMBER(AK274),AK274-AN274,Constants!$B$14),$Z274))</f>
        <v/>
      </c>
      <c r="AP274" s="64"/>
      <c r="AQ274" s="65" t="str">
        <f aca="false">IF(ISBLANK($C274),"",IF($Z274&lt;&gt;Constants!$B$7,"",AH274))</f>
        <v/>
      </c>
      <c r="AR274" s="80" t="str">
        <f aca="false">IF(ISBLANK($C274),"",IF($Z274&lt;&gt;Constants!$B$7,"",IF(AH274=1,AB274,AE274)))</f>
        <v/>
      </c>
      <c r="AS274" s="67" t="str">
        <f aca="false">IF(ISBLANK($C274),"",IF($Z274&lt;&gt;Constants!$B$7,"",IF(AH274=1,AC274,AF274)))</f>
        <v/>
      </c>
      <c r="AT274" s="68" t="str">
        <f aca="false">IF(ISBLANK($C274),"",IF($Z274&lt;&gt;Constants!$B$7,$Z274,AJ274))</f>
        <v/>
      </c>
      <c r="AU274" s="69" t="str">
        <f aca="false">IF(ISBLANK($C274),"",IF($Z274&lt;&gt;Constants!$B$7,$Z274,AA274))</f>
        <v/>
      </c>
      <c r="AV274" s="70" t="str">
        <f aca="false">IF(ISBLANK($C274),"",AO274)</f>
        <v/>
      </c>
      <c r="AW274" s="70" t="str">
        <f aca="false">IF(ISBLANK($C274),"",AN274)</f>
        <v/>
      </c>
      <c r="AX274" s="71" t="str">
        <f aca="false">IF(ISBLANK($C274),"",IFERROR(_xlfn.SWITCH(AW274,Constants!$B$4,COUNTA($C$8:$C$507)+2,Constants!$B$5,COUNTA($C$8:$C$507)+1,Constants!$B$6,COUNTA($C$8:$C$507)),AW274))</f>
        <v/>
      </c>
      <c r="AY274" s="5"/>
      <c r="AZ274" s="72" t="n">
        <f aca="false">IF(OR(ISNUMBER(AW274),AW274=Constants!$B$4,AW274=Constants!$B$6,AW274=Constants!$B$5),1,0)</f>
        <v>0</v>
      </c>
      <c r="BA274" s="72" t="n">
        <v>267</v>
      </c>
      <c r="BB274" s="72" t="str">
        <f aca="false">IF(ISBLANK($C274),"",IF(ISNUMBER(AX274),AX274+ROW($B274)/1000,""))</f>
        <v/>
      </c>
      <c r="BC274" s="72" t="str">
        <f aca="false">IF(ISNUMBER(BB274),RANK(BB274,$BB$8:$BB$507,1),"")</f>
        <v/>
      </c>
      <c r="BD274" s="72" t="str">
        <f aca="false">IF(ISBLANK($C274),"",$B274)</f>
        <v/>
      </c>
      <c r="BE274" s="72" t="str">
        <f aca="false">IF(ISBLANK($C274),"",$C274)</f>
        <v/>
      </c>
      <c r="BF274" s="72" t="str">
        <f aca="false">IF(ISBLANK($C274),"",$D274)</f>
        <v/>
      </c>
      <c r="BG274" s="73" t="str">
        <f aca="false">AU274</f>
        <v/>
      </c>
      <c r="BH274" s="74" t="str">
        <f aca="false">AT274</f>
        <v/>
      </c>
      <c r="BI274" s="72" t="str">
        <f aca="false">IF(ISBLANK($C274),"",AW274)</f>
        <v/>
      </c>
      <c r="BJ274" s="75" t="str">
        <f aca="false">IF($BA274&gt;$AZ$7,"",VLOOKUP($BA274,$BC$8:$BI$507,7,FALSE()))</f>
        <v/>
      </c>
      <c r="BK274" s="76" t="str">
        <f aca="false">IF($BA274&gt;$AZ$7,"",VLOOKUP($BA274,$BC$8:$BI$507,2,FALSE()))</f>
        <v/>
      </c>
      <c r="BL274" s="76" t="str">
        <f aca="false">IF($BA274&gt;$AZ$7,"",VLOOKUP($BA274,$BC$8:$BI$507,3,FALSE()))</f>
        <v/>
      </c>
      <c r="BM274" s="76" t="str">
        <f aca="false">IF($BA274&gt;$AZ$7,"",VLOOKUP($BA274,$BC$8:$BI$507,4,FALSE()))</f>
        <v/>
      </c>
      <c r="BN274" s="76" t="str">
        <f aca="false">IF($BA274&gt;$AZ$7,"",VLOOKUP($BA274,$BC$8:$BI$507,5,FALSE()))</f>
        <v/>
      </c>
      <c r="BO274" s="77" t="str">
        <f aca="false">IF($BA274&gt;$AZ$7,"",VLOOKUP($BA274,$BC$8:$BI$507,6,FALSE()))</f>
        <v/>
      </c>
      <c r="BP274" s="52"/>
    </row>
    <row r="275" customFormat="false" ht="15.75" hidden="false" customHeight="false" outlineLevel="0" collapsed="false">
      <c r="A275" s="5"/>
      <c r="B275" s="114"/>
      <c r="C275" s="115"/>
      <c r="D275" s="106"/>
      <c r="E275" s="117"/>
      <c r="F275" s="87"/>
      <c r="G275" s="88"/>
      <c r="H275" s="88"/>
      <c r="I275" s="87"/>
      <c r="J275" s="88"/>
      <c r="K275" s="88"/>
      <c r="L275" s="87"/>
      <c r="M275" s="117"/>
      <c r="N275" s="90"/>
      <c r="O275" s="91" t="str">
        <f aca="false">IF(ISBLANK($C275),"",IF(E275=Constants!$B$2, TRUE(), IF(E275=Constants!$B$3, FALSE(), TRUE())))</f>
        <v/>
      </c>
      <c r="P275" s="91" t="str">
        <f aca="false">IF(ISBLANK($C275),"",IF(F275=Constants!$B$16,Constants!$B$9,IF(F275=Constants!$B$17,Constants!$B$10,Constants!$B$8)))</f>
        <v/>
      </c>
      <c r="Q275" s="91" t="str">
        <f aca="false">IF(ISBLANK($C275),"",IF(ISNUMBER(G275),IF(G275&gt;=0,G275,""),""))</f>
        <v/>
      </c>
      <c r="R275" s="91" t="str">
        <f aca="false">IF(ISBLANK($C275),"",IF(H275=Constants!$B$2, TRUE(), IF(H275=Constants!$B$3, FALSE(), TRUE())))</f>
        <v/>
      </c>
      <c r="S275" s="91" t="str">
        <f aca="false">IF(ISBLANK($C275),"",IF(I275=Constants!$B$2, TRUE(), IF(I275=Constants!$B$3, FALSE(), TRUE())))</f>
        <v/>
      </c>
      <c r="T275" s="91" t="str">
        <f aca="false">IF(ISBLANK($C275),"",IF(ISNUMBER(J275),IF(J275&gt;=0,J275,""),""))</f>
        <v/>
      </c>
      <c r="U275" s="91" t="str">
        <f aca="false">IF(ISBLANK($C275),"",IF(K275=Constants!$B$2, TRUE(), IF(K275=Constants!$B$3, FALSE(), TRUE())))</f>
        <v/>
      </c>
      <c r="V275" s="91" t="str">
        <f aca="false">IF(ISBLANK($C275),"",IF(L275=Constants!$B$2, TRUE(), IF(L275=Constants!$B$3, FALSE(), TRUE())))</f>
        <v/>
      </c>
      <c r="W275" s="91" t="str">
        <f aca="false">IF(ISBLANK($C275),"",IF(M275=Constants!$B$2, TRUE(), IF(M275=Constants!$B$3, FALSE(), FALSE())))</f>
        <v/>
      </c>
      <c r="X275" s="91" t="str">
        <f aca="false">IF(ISBLANK($C275),"",AND(Q275&lt;&gt;"",O275))</f>
        <v/>
      </c>
      <c r="Y275" s="91" t="str">
        <f aca="false">IF(ISBLANK($C275),"",AND(T275&lt;&gt;"",O275))</f>
        <v/>
      </c>
      <c r="Z275" s="91" t="str">
        <f aca="false">IF(ISBLANK($C275),"",IF(W275,Constants!$B$4,IF(COUNTA(E275:L275)=0,Constants!$B$5,IF(NOT(O275),Constants!$B$6,IF(AND(NOT(X275),NOT(Y275)),Constants!$B$6,Constants!$B$7)))))</f>
        <v/>
      </c>
      <c r="AA275" s="91" t="str">
        <f aca="false">IF(ISBLANK($C275),"",IF($Z275&lt;&gt;Constants!$B$7,$Z275,Constants!$B$20))</f>
        <v/>
      </c>
      <c r="AB275" s="91" t="str">
        <f aca="false">IF($Z275=Constants!$B$7,IF(X275,Q275,Constants!$B$13),"")</f>
        <v/>
      </c>
      <c r="AC275" s="91" t="str">
        <f aca="false">IF($Z275=Constants!$B$7,IF(X275,P275*IF(R275, 1, Constants!$B$11)*IF(S275, 1, Constants!$B$12),Constants!$B$13),"")</f>
        <v/>
      </c>
      <c r="AD275" s="91" t="str">
        <f aca="false">IF($Z275=Constants!$B$7,AB275*AC275,"")</f>
        <v/>
      </c>
      <c r="AE275" s="91" t="str">
        <f aca="false">IF($Z275=Constants!$B$7,IF(Y275,T275,Constants!$B$13),"")</f>
        <v/>
      </c>
      <c r="AF275" s="91" t="str">
        <f aca="false">IF($Z275=Constants!$B$7,IF(Y275,P275*IF(U275, 1, Constants!$B$11)*IF(V275, 1, Constants!$B$12),Constants!$B$13),"")</f>
        <v/>
      </c>
      <c r="AG275" s="91" t="str">
        <f aca="false">IF($Z275=Constants!$B$7,AE275*AF275,"")</f>
        <v/>
      </c>
      <c r="AH275" s="91" t="str">
        <f aca="false">IF($Z275=Constants!$B$7,IF(AG275&gt;AD275,2,1),"")</f>
        <v/>
      </c>
      <c r="AI275" s="91" t="str">
        <f aca="false">IF($Z275=Constants!$B$7,IF(AH275=1,2,1),"")</f>
        <v/>
      </c>
      <c r="AJ275" s="91" t="str">
        <f aca="false">IF(ISBLANK($C275),"",IF($Z275&lt;&gt;Constants!$B$7,$Z275,IF(AH275=1,AD275,AG275)))</f>
        <v/>
      </c>
      <c r="AK275" s="91" t="str">
        <f aca="false">IF(ISBLANK($C275),"",IF($Z275=Constants!$B$7,IF(ISNUMBER(AJ275),RANK(AJ275,$AJ$8:$AJ$507),Constants!$B$14),$Z275))</f>
        <v/>
      </c>
      <c r="AL275" s="91" t="str">
        <f aca="false">IF(ISBLANK($C275),"",IF($Z275=Constants!$B$7,IF(AI275=1,AD275,AG275),""))</f>
        <v/>
      </c>
      <c r="AM275" s="91" t="str">
        <f aca="false">IF(ISBLANK($C275),"",IF($Z275=Constants!$B$7,RANK(AL275,$AL$8:$AL$507),$Z275))</f>
        <v/>
      </c>
      <c r="AN275" s="91" t="str">
        <f aca="false">IF(ISBLANK($C275),"",IF($Z275=Constants!$B$7,IF(ISNUMBER(AK275),COUNTIFS($AK$8:$AK$507,"&lt;"&amp;$AK275)+COUNTIFS($AK$8:$AK$507,$AK275,$AM$8:$AM$507,"&lt;"&amp;$AM275)+1,Constants!$B$14),$Z275))</f>
        <v/>
      </c>
      <c r="AO275" s="91" t="str">
        <f aca="false">IF(ISBLANK($C275),"",IF($Z275=Constants!$B$7,IF(ISNUMBER(AK275),AK275-AN275,Constants!$B$14),$Z275))</f>
        <v/>
      </c>
      <c r="AP275" s="92"/>
      <c r="AQ275" s="93" t="str">
        <f aca="false">IF(ISBLANK($C275),"",IF($Z275&lt;&gt;Constants!$B$7,"",AH275))</f>
        <v/>
      </c>
      <c r="AR275" s="94" t="str">
        <f aca="false">IF(ISBLANK($C275),"",IF($Z275&lt;&gt;Constants!$B$7,"",IF(AH275=1,AB275,AE275)))</f>
        <v/>
      </c>
      <c r="AS275" s="95" t="str">
        <f aca="false">IF(ISBLANK($C275),"",IF($Z275&lt;&gt;Constants!$B$7,"",IF(AH275=1,AC275,AF275)))</f>
        <v/>
      </c>
      <c r="AT275" s="96" t="str">
        <f aca="false">IF(ISBLANK($C275),"",IF($Z275&lt;&gt;Constants!$B$7,$Z275,AJ275))</f>
        <v/>
      </c>
      <c r="AU275" s="97" t="str">
        <f aca="false">IF(ISBLANK($C275),"",IF($Z275&lt;&gt;Constants!$B$7,$Z275,AA275))</f>
        <v/>
      </c>
      <c r="AV275" s="98" t="str">
        <f aca="false">IF(ISBLANK($C275),"",AO275)</f>
        <v/>
      </c>
      <c r="AW275" s="98" t="str">
        <f aca="false">IF(ISBLANK($C275),"",AN275)</f>
        <v/>
      </c>
      <c r="AX275" s="99" t="str">
        <f aca="false">IF(ISBLANK($C275),"",IFERROR(_xlfn.SWITCH(AW275,Constants!$B$4,COUNTA($C$8:$C$507)+2,Constants!$B$5,COUNTA($C$8:$C$507)+1,Constants!$B$6,COUNTA($C$8:$C$507)),AW275))</f>
        <v/>
      </c>
      <c r="AY275" s="5"/>
      <c r="AZ275" s="100" t="n">
        <f aca="false">IF(OR(ISNUMBER(AW275),AW275=Constants!$B$4,AW275=Constants!$B$6,AW275=Constants!$B$5),1,0)</f>
        <v>0</v>
      </c>
      <c r="BA275" s="100" t="n">
        <v>268</v>
      </c>
      <c r="BB275" s="100" t="str">
        <f aca="false">IF(ISBLANK($C275),"",IF(ISNUMBER(AX275),AX275+ROW($B275)/1000,""))</f>
        <v/>
      </c>
      <c r="BC275" s="100" t="str">
        <f aca="false">IF(ISNUMBER(BB275),RANK(BB275,$BB$8:$BB$507,1),"")</f>
        <v/>
      </c>
      <c r="BD275" s="100" t="str">
        <f aca="false">IF(ISBLANK($C275),"",$B275)</f>
        <v/>
      </c>
      <c r="BE275" s="100" t="str">
        <f aca="false">IF(ISBLANK($C275),"",$C275)</f>
        <v/>
      </c>
      <c r="BF275" s="100" t="str">
        <f aca="false">IF(ISBLANK($C275),"",$D275)</f>
        <v/>
      </c>
      <c r="BG275" s="101" t="str">
        <f aca="false">AU275</f>
        <v/>
      </c>
      <c r="BH275" s="102" t="str">
        <f aca="false">AT275</f>
        <v/>
      </c>
      <c r="BI275" s="100" t="str">
        <f aca="false">IF(ISBLANK($C275),"",AW275)</f>
        <v/>
      </c>
      <c r="BJ275" s="103" t="str">
        <f aca="false">IF($BA275&gt;$AZ$7,"",VLOOKUP($BA275,$BC$8:$BI$507,7,FALSE()))</f>
        <v/>
      </c>
      <c r="BK275" s="104" t="str">
        <f aca="false">IF($BA275&gt;$AZ$7,"",VLOOKUP($BA275,$BC$8:$BI$507,2,FALSE()))</f>
        <v/>
      </c>
      <c r="BL275" s="104" t="str">
        <f aca="false">IF($BA275&gt;$AZ$7,"",VLOOKUP($BA275,$BC$8:$BI$507,3,FALSE()))</f>
        <v/>
      </c>
      <c r="BM275" s="104" t="str">
        <f aca="false">IF($BA275&gt;$AZ$7,"",VLOOKUP($BA275,$BC$8:$BI$507,4,FALSE()))</f>
        <v/>
      </c>
      <c r="BN275" s="104" t="str">
        <f aca="false">IF($BA275&gt;$AZ$7,"",VLOOKUP($BA275,$BC$8:$BI$507,5,FALSE()))</f>
        <v/>
      </c>
      <c r="BO275" s="105" t="str">
        <f aca="false">IF($BA275&gt;$AZ$7,"",VLOOKUP($BA275,$BC$8:$BI$507,6,FALSE()))</f>
        <v/>
      </c>
      <c r="BP275" s="52"/>
    </row>
    <row r="276" customFormat="false" ht="15.75" hidden="false" customHeight="false" outlineLevel="0" collapsed="false">
      <c r="A276" s="5"/>
      <c r="B276" s="114"/>
      <c r="C276" s="115"/>
      <c r="D276" s="106"/>
      <c r="E276" s="117"/>
      <c r="F276" s="87"/>
      <c r="G276" s="88"/>
      <c r="H276" s="88"/>
      <c r="I276" s="87"/>
      <c r="J276" s="88"/>
      <c r="K276" s="88"/>
      <c r="L276" s="87"/>
      <c r="M276" s="117"/>
      <c r="N276" s="90"/>
      <c r="O276" s="91" t="str">
        <f aca="false">IF(ISBLANK($C276),"",IF(E276=Constants!$B$2, TRUE(), IF(E276=Constants!$B$3, FALSE(), TRUE())))</f>
        <v/>
      </c>
      <c r="P276" s="91" t="str">
        <f aca="false">IF(ISBLANK($C276),"",IF(F276=Constants!$B$16,Constants!$B$9,IF(F276=Constants!$B$17,Constants!$B$10,Constants!$B$8)))</f>
        <v/>
      </c>
      <c r="Q276" s="91" t="str">
        <f aca="false">IF(ISBLANK($C276),"",IF(ISNUMBER(G276),IF(G276&gt;=0,G276,""),""))</f>
        <v/>
      </c>
      <c r="R276" s="91" t="str">
        <f aca="false">IF(ISBLANK($C276),"",IF(H276=Constants!$B$2, TRUE(), IF(H276=Constants!$B$3, FALSE(), TRUE())))</f>
        <v/>
      </c>
      <c r="S276" s="91" t="str">
        <f aca="false">IF(ISBLANK($C276),"",IF(I276=Constants!$B$2, TRUE(), IF(I276=Constants!$B$3, FALSE(), TRUE())))</f>
        <v/>
      </c>
      <c r="T276" s="91" t="str">
        <f aca="false">IF(ISBLANK($C276),"",IF(ISNUMBER(J276),IF(J276&gt;=0,J276,""),""))</f>
        <v/>
      </c>
      <c r="U276" s="91" t="str">
        <f aca="false">IF(ISBLANK($C276),"",IF(K276=Constants!$B$2, TRUE(), IF(K276=Constants!$B$3, FALSE(), TRUE())))</f>
        <v/>
      </c>
      <c r="V276" s="91" t="str">
        <f aca="false">IF(ISBLANK($C276),"",IF(L276=Constants!$B$2, TRUE(), IF(L276=Constants!$B$3, FALSE(), TRUE())))</f>
        <v/>
      </c>
      <c r="W276" s="91" t="str">
        <f aca="false">IF(ISBLANK($C276),"",IF(M276=Constants!$B$2, TRUE(), IF(M276=Constants!$B$3, FALSE(), FALSE())))</f>
        <v/>
      </c>
      <c r="X276" s="91" t="str">
        <f aca="false">IF(ISBLANK($C276),"",AND(Q276&lt;&gt;"",O276))</f>
        <v/>
      </c>
      <c r="Y276" s="91" t="str">
        <f aca="false">IF(ISBLANK($C276),"",AND(T276&lt;&gt;"",O276))</f>
        <v/>
      </c>
      <c r="Z276" s="91" t="str">
        <f aca="false">IF(ISBLANK($C276),"",IF(W276,Constants!$B$4,IF(COUNTA(E276:L276)=0,Constants!$B$5,IF(NOT(O276),Constants!$B$6,IF(AND(NOT(X276),NOT(Y276)),Constants!$B$6,Constants!$B$7)))))</f>
        <v/>
      </c>
      <c r="AA276" s="91" t="str">
        <f aca="false">IF(ISBLANK($C276),"",IF($Z276&lt;&gt;Constants!$B$7,$Z276,Constants!$B$20))</f>
        <v/>
      </c>
      <c r="AB276" s="91" t="str">
        <f aca="false">IF($Z276=Constants!$B$7,IF(X276,Q276,Constants!$B$13),"")</f>
        <v/>
      </c>
      <c r="AC276" s="91" t="str">
        <f aca="false">IF($Z276=Constants!$B$7,IF(X276,P276*IF(R276, 1, Constants!$B$11)*IF(S276, 1, Constants!$B$12),Constants!$B$13),"")</f>
        <v/>
      </c>
      <c r="AD276" s="91" t="str">
        <f aca="false">IF($Z276=Constants!$B$7,AB276*AC276,"")</f>
        <v/>
      </c>
      <c r="AE276" s="91" t="str">
        <f aca="false">IF($Z276=Constants!$B$7,IF(Y276,T276,Constants!$B$13),"")</f>
        <v/>
      </c>
      <c r="AF276" s="91" t="str">
        <f aca="false">IF($Z276=Constants!$B$7,IF(Y276,P276*IF(U276, 1, Constants!$B$11)*IF(V276, 1, Constants!$B$12),Constants!$B$13),"")</f>
        <v/>
      </c>
      <c r="AG276" s="91" t="str">
        <f aca="false">IF($Z276=Constants!$B$7,AE276*AF276,"")</f>
        <v/>
      </c>
      <c r="AH276" s="91" t="str">
        <f aca="false">IF($Z276=Constants!$B$7,IF(AG276&gt;AD276,2,1),"")</f>
        <v/>
      </c>
      <c r="AI276" s="91" t="str">
        <f aca="false">IF($Z276=Constants!$B$7,IF(AH276=1,2,1),"")</f>
        <v/>
      </c>
      <c r="AJ276" s="91" t="str">
        <f aca="false">IF(ISBLANK($C276),"",IF($Z276&lt;&gt;Constants!$B$7,$Z276,IF(AH276=1,AD276,AG276)))</f>
        <v/>
      </c>
      <c r="AK276" s="91" t="str">
        <f aca="false">IF(ISBLANK($C276),"",IF($Z276=Constants!$B$7,IF(ISNUMBER(AJ276),RANK(AJ276,$AJ$8:$AJ$507),Constants!$B$14),$Z276))</f>
        <v/>
      </c>
      <c r="AL276" s="91" t="str">
        <f aca="false">IF(ISBLANK($C276),"",IF($Z276=Constants!$B$7,IF(AI276=1,AD276,AG276),""))</f>
        <v/>
      </c>
      <c r="AM276" s="91" t="str">
        <f aca="false">IF(ISBLANK($C276),"",IF($Z276=Constants!$B$7,RANK(AL276,$AL$8:$AL$507),$Z276))</f>
        <v/>
      </c>
      <c r="AN276" s="91" t="str">
        <f aca="false">IF(ISBLANK($C276),"",IF($Z276=Constants!$B$7,IF(ISNUMBER(AK276),COUNTIFS($AK$8:$AK$507,"&lt;"&amp;$AK276)+COUNTIFS($AK$8:$AK$507,$AK276,$AM$8:$AM$507,"&lt;"&amp;$AM276)+1,Constants!$B$14),$Z276))</f>
        <v/>
      </c>
      <c r="AO276" s="91" t="str">
        <f aca="false">IF(ISBLANK($C276),"",IF($Z276=Constants!$B$7,IF(ISNUMBER(AK276),AK276-AN276,Constants!$B$14),$Z276))</f>
        <v/>
      </c>
      <c r="AP276" s="92"/>
      <c r="AQ276" s="93" t="str">
        <f aca="false">IF(ISBLANK($C276),"",IF($Z276&lt;&gt;Constants!$B$7,"",AH276))</f>
        <v/>
      </c>
      <c r="AR276" s="94" t="str">
        <f aca="false">IF(ISBLANK($C276),"",IF($Z276&lt;&gt;Constants!$B$7,"",IF(AH276=1,AB276,AE276)))</f>
        <v/>
      </c>
      <c r="AS276" s="95" t="str">
        <f aca="false">IF(ISBLANK($C276),"",IF($Z276&lt;&gt;Constants!$B$7,"",IF(AH276=1,AC276,AF276)))</f>
        <v/>
      </c>
      <c r="AT276" s="96" t="str">
        <f aca="false">IF(ISBLANK($C276),"",IF($Z276&lt;&gt;Constants!$B$7,$Z276,AJ276))</f>
        <v/>
      </c>
      <c r="AU276" s="97" t="str">
        <f aca="false">IF(ISBLANK($C276),"",IF($Z276&lt;&gt;Constants!$B$7,$Z276,AA276))</f>
        <v/>
      </c>
      <c r="AV276" s="98" t="str">
        <f aca="false">IF(ISBLANK($C276),"",AO276)</f>
        <v/>
      </c>
      <c r="AW276" s="98" t="str">
        <f aca="false">IF(ISBLANK($C276),"",AN276)</f>
        <v/>
      </c>
      <c r="AX276" s="99" t="str">
        <f aca="false">IF(ISBLANK($C276),"",IFERROR(_xlfn.SWITCH(AW276,Constants!$B$4,COUNTA($C$8:$C$507)+2,Constants!$B$5,COUNTA($C$8:$C$507)+1,Constants!$B$6,COUNTA($C$8:$C$507)),AW276))</f>
        <v/>
      </c>
      <c r="AY276" s="5"/>
      <c r="AZ276" s="100" t="n">
        <f aca="false">IF(OR(ISNUMBER(AW276),AW276=Constants!$B$4,AW276=Constants!$B$6,AW276=Constants!$B$5),1,0)</f>
        <v>0</v>
      </c>
      <c r="BA276" s="100" t="n">
        <v>269</v>
      </c>
      <c r="BB276" s="100" t="str">
        <f aca="false">IF(ISBLANK($C276),"",IF(ISNUMBER(AX276),AX276+ROW($B276)/1000,""))</f>
        <v/>
      </c>
      <c r="BC276" s="100" t="str">
        <f aca="false">IF(ISNUMBER(BB276),RANK(BB276,$BB$8:$BB$507,1),"")</f>
        <v/>
      </c>
      <c r="BD276" s="100" t="str">
        <f aca="false">IF(ISBLANK($C276),"",$B276)</f>
        <v/>
      </c>
      <c r="BE276" s="100" t="str">
        <f aca="false">IF(ISBLANK($C276),"",$C276)</f>
        <v/>
      </c>
      <c r="BF276" s="100" t="str">
        <f aca="false">IF(ISBLANK($C276),"",$D276)</f>
        <v/>
      </c>
      <c r="BG276" s="101" t="str">
        <f aca="false">AU276</f>
        <v/>
      </c>
      <c r="BH276" s="102" t="str">
        <f aca="false">AT276</f>
        <v/>
      </c>
      <c r="BI276" s="100" t="str">
        <f aca="false">IF(ISBLANK($C276),"",AW276)</f>
        <v/>
      </c>
      <c r="BJ276" s="103" t="str">
        <f aca="false">IF($BA276&gt;$AZ$7,"",VLOOKUP($BA276,$BC$8:$BI$507,7,FALSE()))</f>
        <v/>
      </c>
      <c r="BK276" s="104" t="str">
        <f aca="false">IF($BA276&gt;$AZ$7,"",VLOOKUP($BA276,$BC$8:$BI$507,2,FALSE()))</f>
        <v/>
      </c>
      <c r="BL276" s="104" t="str">
        <f aca="false">IF($BA276&gt;$AZ$7,"",VLOOKUP($BA276,$BC$8:$BI$507,3,FALSE()))</f>
        <v/>
      </c>
      <c r="BM276" s="104" t="str">
        <f aca="false">IF($BA276&gt;$AZ$7,"",VLOOKUP($BA276,$BC$8:$BI$507,4,FALSE()))</f>
        <v/>
      </c>
      <c r="BN276" s="104" t="str">
        <f aca="false">IF($BA276&gt;$AZ$7,"",VLOOKUP($BA276,$BC$8:$BI$507,5,FALSE()))</f>
        <v/>
      </c>
      <c r="BO276" s="105" t="str">
        <f aca="false">IF($BA276&gt;$AZ$7,"",VLOOKUP($BA276,$BC$8:$BI$507,6,FALSE()))</f>
        <v/>
      </c>
      <c r="BP276" s="52"/>
    </row>
    <row r="277" customFormat="false" ht="15.75" hidden="false" customHeight="false" outlineLevel="0" collapsed="false">
      <c r="A277" s="5"/>
      <c r="B277" s="114"/>
      <c r="C277" s="115"/>
      <c r="D277" s="106"/>
      <c r="E277" s="117"/>
      <c r="F277" s="87"/>
      <c r="G277" s="88"/>
      <c r="H277" s="88"/>
      <c r="I277" s="87"/>
      <c r="J277" s="88"/>
      <c r="K277" s="88"/>
      <c r="L277" s="87"/>
      <c r="M277" s="117"/>
      <c r="N277" s="90"/>
      <c r="O277" s="91" t="str">
        <f aca="false">IF(ISBLANK($C277),"",IF(E277=Constants!$B$2, TRUE(), IF(E277=Constants!$B$3, FALSE(), TRUE())))</f>
        <v/>
      </c>
      <c r="P277" s="91" t="str">
        <f aca="false">IF(ISBLANK($C277),"",IF(F277=Constants!$B$16,Constants!$B$9,IF(F277=Constants!$B$17,Constants!$B$10,Constants!$B$8)))</f>
        <v/>
      </c>
      <c r="Q277" s="91" t="str">
        <f aca="false">IF(ISBLANK($C277),"",IF(ISNUMBER(G277),IF(G277&gt;=0,G277,""),""))</f>
        <v/>
      </c>
      <c r="R277" s="91" t="str">
        <f aca="false">IF(ISBLANK($C277),"",IF(H277=Constants!$B$2, TRUE(), IF(H277=Constants!$B$3, FALSE(), TRUE())))</f>
        <v/>
      </c>
      <c r="S277" s="91" t="str">
        <f aca="false">IF(ISBLANK($C277),"",IF(I277=Constants!$B$2, TRUE(), IF(I277=Constants!$B$3, FALSE(), TRUE())))</f>
        <v/>
      </c>
      <c r="T277" s="91" t="str">
        <f aca="false">IF(ISBLANK($C277),"",IF(ISNUMBER(J277),IF(J277&gt;=0,J277,""),""))</f>
        <v/>
      </c>
      <c r="U277" s="91" t="str">
        <f aca="false">IF(ISBLANK($C277),"",IF(K277=Constants!$B$2, TRUE(), IF(K277=Constants!$B$3, FALSE(), TRUE())))</f>
        <v/>
      </c>
      <c r="V277" s="91" t="str">
        <f aca="false">IF(ISBLANK($C277),"",IF(L277=Constants!$B$2, TRUE(), IF(L277=Constants!$B$3, FALSE(), TRUE())))</f>
        <v/>
      </c>
      <c r="W277" s="91" t="str">
        <f aca="false">IF(ISBLANK($C277),"",IF(M277=Constants!$B$2, TRUE(), IF(M277=Constants!$B$3, FALSE(), FALSE())))</f>
        <v/>
      </c>
      <c r="X277" s="91" t="str">
        <f aca="false">IF(ISBLANK($C277),"",AND(Q277&lt;&gt;"",O277))</f>
        <v/>
      </c>
      <c r="Y277" s="91" t="str">
        <f aca="false">IF(ISBLANK($C277),"",AND(T277&lt;&gt;"",O277))</f>
        <v/>
      </c>
      <c r="Z277" s="91" t="str">
        <f aca="false">IF(ISBLANK($C277),"",IF(W277,Constants!$B$4,IF(COUNTA(E277:L277)=0,Constants!$B$5,IF(NOT(O277),Constants!$B$6,IF(AND(NOT(X277),NOT(Y277)),Constants!$B$6,Constants!$B$7)))))</f>
        <v/>
      </c>
      <c r="AA277" s="91" t="str">
        <f aca="false">IF(ISBLANK($C277),"",IF($Z277&lt;&gt;Constants!$B$7,$Z277,Constants!$B$20))</f>
        <v/>
      </c>
      <c r="AB277" s="91" t="str">
        <f aca="false">IF($Z277=Constants!$B$7,IF(X277,Q277,Constants!$B$13),"")</f>
        <v/>
      </c>
      <c r="AC277" s="91" t="str">
        <f aca="false">IF($Z277=Constants!$B$7,IF(X277,P277*IF(R277, 1, Constants!$B$11)*IF(S277, 1, Constants!$B$12),Constants!$B$13),"")</f>
        <v/>
      </c>
      <c r="AD277" s="91" t="str">
        <f aca="false">IF($Z277=Constants!$B$7,AB277*AC277,"")</f>
        <v/>
      </c>
      <c r="AE277" s="91" t="str">
        <f aca="false">IF($Z277=Constants!$B$7,IF(Y277,T277,Constants!$B$13),"")</f>
        <v/>
      </c>
      <c r="AF277" s="91" t="str">
        <f aca="false">IF($Z277=Constants!$B$7,IF(Y277,P277*IF(U277, 1, Constants!$B$11)*IF(V277, 1, Constants!$B$12),Constants!$B$13),"")</f>
        <v/>
      </c>
      <c r="AG277" s="91" t="str">
        <f aca="false">IF($Z277=Constants!$B$7,AE277*AF277,"")</f>
        <v/>
      </c>
      <c r="AH277" s="91" t="str">
        <f aca="false">IF($Z277=Constants!$B$7,IF(AG277&gt;AD277,2,1),"")</f>
        <v/>
      </c>
      <c r="AI277" s="91" t="str">
        <f aca="false">IF($Z277=Constants!$B$7,IF(AH277=1,2,1),"")</f>
        <v/>
      </c>
      <c r="AJ277" s="91" t="str">
        <f aca="false">IF(ISBLANK($C277),"",IF($Z277&lt;&gt;Constants!$B$7,$Z277,IF(AH277=1,AD277,AG277)))</f>
        <v/>
      </c>
      <c r="AK277" s="91" t="str">
        <f aca="false">IF(ISBLANK($C277),"",IF($Z277=Constants!$B$7,IF(ISNUMBER(AJ277),RANK(AJ277,$AJ$8:$AJ$507),Constants!$B$14),$Z277))</f>
        <v/>
      </c>
      <c r="AL277" s="91" t="str">
        <f aca="false">IF(ISBLANK($C277),"",IF($Z277=Constants!$B$7,IF(AI277=1,AD277,AG277),""))</f>
        <v/>
      </c>
      <c r="AM277" s="91" t="str">
        <f aca="false">IF(ISBLANK($C277),"",IF($Z277=Constants!$B$7,RANK(AL277,$AL$8:$AL$507),$Z277))</f>
        <v/>
      </c>
      <c r="AN277" s="91" t="str">
        <f aca="false">IF(ISBLANK($C277),"",IF($Z277=Constants!$B$7,IF(ISNUMBER(AK277),COUNTIFS($AK$8:$AK$507,"&lt;"&amp;$AK277)+COUNTIFS($AK$8:$AK$507,$AK277,$AM$8:$AM$507,"&lt;"&amp;$AM277)+1,Constants!$B$14),$Z277))</f>
        <v/>
      </c>
      <c r="AO277" s="91" t="str">
        <f aca="false">IF(ISBLANK($C277),"",IF($Z277=Constants!$B$7,IF(ISNUMBER(AK277),AK277-AN277,Constants!$B$14),$Z277))</f>
        <v/>
      </c>
      <c r="AP277" s="92"/>
      <c r="AQ277" s="93" t="str">
        <f aca="false">IF(ISBLANK($C277),"",IF($Z277&lt;&gt;Constants!$B$7,"",AH277))</f>
        <v/>
      </c>
      <c r="AR277" s="94" t="str">
        <f aca="false">IF(ISBLANK($C277),"",IF($Z277&lt;&gt;Constants!$B$7,"",IF(AH277=1,AB277,AE277)))</f>
        <v/>
      </c>
      <c r="AS277" s="95" t="str">
        <f aca="false">IF(ISBLANK($C277),"",IF($Z277&lt;&gt;Constants!$B$7,"",IF(AH277=1,AC277,AF277)))</f>
        <v/>
      </c>
      <c r="AT277" s="96" t="str">
        <f aca="false">IF(ISBLANK($C277),"",IF($Z277&lt;&gt;Constants!$B$7,$Z277,AJ277))</f>
        <v/>
      </c>
      <c r="AU277" s="97" t="str">
        <f aca="false">IF(ISBLANK($C277),"",IF($Z277&lt;&gt;Constants!$B$7,$Z277,AA277))</f>
        <v/>
      </c>
      <c r="AV277" s="98" t="str">
        <f aca="false">IF(ISBLANK($C277),"",AO277)</f>
        <v/>
      </c>
      <c r="AW277" s="98" t="str">
        <f aca="false">IF(ISBLANK($C277),"",AN277)</f>
        <v/>
      </c>
      <c r="AX277" s="99" t="str">
        <f aca="false">IF(ISBLANK($C277),"",IFERROR(_xlfn.SWITCH(AW277,Constants!$B$4,COUNTA($C$8:$C$507)+2,Constants!$B$5,COUNTA($C$8:$C$507)+1,Constants!$B$6,COUNTA($C$8:$C$507)),AW277))</f>
        <v/>
      </c>
      <c r="AY277" s="5"/>
      <c r="AZ277" s="100" t="n">
        <f aca="false">IF(OR(ISNUMBER(AW277),AW277=Constants!$B$4,AW277=Constants!$B$6,AW277=Constants!$B$5),1,0)</f>
        <v>0</v>
      </c>
      <c r="BA277" s="100" t="n">
        <v>270</v>
      </c>
      <c r="BB277" s="100" t="str">
        <f aca="false">IF(ISBLANK($C277),"",IF(ISNUMBER(AX277),AX277+ROW($B277)/1000,""))</f>
        <v/>
      </c>
      <c r="BC277" s="100" t="str">
        <f aca="false">IF(ISNUMBER(BB277),RANK(BB277,$BB$8:$BB$507,1),"")</f>
        <v/>
      </c>
      <c r="BD277" s="100" t="str">
        <f aca="false">IF(ISBLANK($C277),"",$B277)</f>
        <v/>
      </c>
      <c r="BE277" s="100" t="str">
        <f aca="false">IF(ISBLANK($C277),"",$C277)</f>
        <v/>
      </c>
      <c r="BF277" s="100" t="str">
        <f aca="false">IF(ISBLANK($C277),"",$D277)</f>
        <v/>
      </c>
      <c r="BG277" s="101" t="str">
        <f aca="false">AU277</f>
        <v/>
      </c>
      <c r="BH277" s="102" t="str">
        <f aca="false">AT277</f>
        <v/>
      </c>
      <c r="BI277" s="100" t="str">
        <f aca="false">IF(ISBLANK($C277),"",AW277)</f>
        <v/>
      </c>
      <c r="BJ277" s="103" t="str">
        <f aca="false">IF($BA277&gt;$AZ$7,"",VLOOKUP($BA277,$BC$8:$BI$507,7,FALSE()))</f>
        <v/>
      </c>
      <c r="BK277" s="104" t="str">
        <f aca="false">IF($BA277&gt;$AZ$7,"",VLOOKUP($BA277,$BC$8:$BI$507,2,FALSE()))</f>
        <v/>
      </c>
      <c r="BL277" s="104" t="str">
        <f aca="false">IF($BA277&gt;$AZ$7,"",VLOOKUP($BA277,$BC$8:$BI$507,3,FALSE()))</f>
        <v/>
      </c>
      <c r="BM277" s="104" t="str">
        <f aca="false">IF($BA277&gt;$AZ$7,"",VLOOKUP($BA277,$BC$8:$BI$507,4,FALSE()))</f>
        <v/>
      </c>
      <c r="BN277" s="104" t="str">
        <f aca="false">IF($BA277&gt;$AZ$7,"",VLOOKUP($BA277,$BC$8:$BI$507,5,FALSE()))</f>
        <v/>
      </c>
      <c r="BO277" s="105" t="str">
        <f aca="false">IF($BA277&gt;$AZ$7,"",VLOOKUP($BA277,$BC$8:$BI$507,6,FALSE()))</f>
        <v/>
      </c>
      <c r="BP277" s="52"/>
    </row>
    <row r="278" customFormat="false" ht="15.75" hidden="false" customHeight="false" outlineLevel="0" collapsed="false">
      <c r="A278" s="5"/>
      <c r="B278" s="118"/>
      <c r="C278" s="54"/>
      <c r="D278" s="55"/>
      <c r="E278" s="79"/>
      <c r="F278" s="57"/>
      <c r="G278" s="58"/>
      <c r="H278" s="58"/>
      <c r="I278" s="57"/>
      <c r="J278" s="58"/>
      <c r="K278" s="58"/>
      <c r="L278" s="57"/>
      <c r="M278" s="79"/>
      <c r="N278" s="60"/>
      <c r="O278" s="62" t="str">
        <f aca="false">IF(ISBLANK($C278),"",IF(E278=Constants!$B$2, TRUE(), IF(E278=Constants!$B$3, FALSE(), TRUE())))</f>
        <v/>
      </c>
      <c r="P278" s="62" t="str">
        <f aca="false">IF(ISBLANK($C278),"",IF(F278=Constants!$B$16,Constants!$B$9,IF(F278=Constants!$B$17,Constants!$B$10,Constants!$B$8)))</f>
        <v/>
      </c>
      <c r="Q278" s="62" t="str">
        <f aca="false">IF(ISBLANK($C278),"",IF(ISNUMBER(G278),IF(G278&gt;=0,G278,""),""))</f>
        <v/>
      </c>
      <c r="R278" s="62" t="str">
        <f aca="false">IF(ISBLANK($C278),"",IF(H278=Constants!$B$2, TRUE(), IF(H278=Constants!$B$3, FALSE(), TRUE())))</f>
        <v/>
      </c>
      <c r="S278" s="62" t="str">
        <f aca="false">IF(ISBLANK($C278),"",IF(I278=Constants!$B$2, TRUE(), IF(I278=Constants!$B$3, FALSE(), TRUE())))</f>
        <v/>
      </c>
      <c r="T278" s="62" t="str">
        <f aca="false">IF(ISBLANK($C278),"",IF(ISNUMBER(J278),IF(J278&gt;=0,J278,""),""))</f>
        <v/>
      </c>
      <c r="U278" s="62" t="str">
        <f aca="false">IF(ISBLANK($C278),"",IF(K278=Constants!$B$2, TRUE(), IF(K278=Constants!$B$3, FALSE(), TRUE())))</f>
        <v/>
      </c>
      <c r="V278" s="62" t="str">
        <f aca="false">IF(ISBLANK($C278),"",IF(L278=Constants!$B$2, TRUE(), IF(L278=Constants!$B$3, FALSE(), TRUE())))</f>
        <v/>
      </c>
      <c r="W278" s="62" t="str">
        <f aca="false">IF(ISBLANK($C278),"",IF(M278=Constants!$B$2, TRUE(), IF(M278=Constants!$B$3, FALSE(), FALSE())))</f>
        <v/>
      </c>
      <c r="X278" s="62" t="str">
        <f aca="false">IF(ISBLANK($C278),"",AND(Q278&lt;&gt;"",O278))</f>
        <v/>
      </c>
      <c r="Y278" s="62" t="str">
        <f aca="false">IF(ISBLANK($C278),"",AND(T278&lt;&gt;"",O278))</f>
        <v/>
      </c>
      <c r="Z278" s="62" t="str">
        <f aca="false">IF(ISBLANK($C278),"",IF(W278,Constants!$B$4,IF(COUNTA(E278:L278)=0,Constants!$B$5,IF(NOT(O278),Constants!$B$6,IF(AND(NOT(X278),NOT(Y278)),Constants!$B$6,Constants!$B$7)))))</f>
        <v/>
      </c>
      <c r="AA278" s="62" t="str">
        <f aca="false">IF(ISBLANK($C278),"",IF($Z278&lt;&gt;Constants!$B$7,$Z278,Constants!$B$20))</f>
        <v/>
      </c>
      <c r="AB278" s="62" t="str">
        <f aca="false">IF($Z278=Constants!$B$7,IF(X278,Q278,Constants!$B$13),"")</f>
        <v/>
      </c>
      <c r="AC278" s="62" t="str">
        <f aca="false">IF($Z278=Constants!$B$7,IF(X278,P278*IF(R278, 1, Constants!$B$11)*IF(S278, 1, Constants!$B$12),Constants!$B$13),"")</f>
        <v/>
      </c>
      <c r="AD278" s="62" t="str">
        <f aca="false">IF($Z278=Constants!$B$7,AB278*AC278,"")</f>
        <v/>
      </c>
      <c r="AE278" s="62" t="str">
        <f aca="false">IF($Z278=Constants!$B$7,IF(Y278,T278,Constants!$B$13),"")</f>
        <v/>
      </c>
      <c r="AF278" s="62" t="str">
        <f aca="false">IF($Z278=Constants!$B$7,IF(Y278,P278*IF(U278, 1, Constants!$B$11)*IF(V278, 1, Constants!$B$12),Constants!$B$13),"")</f>
        <v/>
      </c>
      <c r="AG278" s="62" t="str">
        <f aca="false">IF($Z278=Constants!$B$7,AE278*AF278,"")</f>
        <v/>
      </c>
      <c r="AH278" s="62" t="str">
        <f aca="false">IF($Z278=Constants!$B$7,IF(AG278&gt;AD278,2,1),"")</f>
        <v/>
      </c>
      <c r="AI278" s="62" t="str">
        <f aca="false">IF($Z278=Constants!$B$7,IF(AH278=1,2,1),"")</f>
        <v/>
      </c>
      <c r="AJ278" s="62" t="str">
        <f aca="false">IF(ISBLANK($C278),"",IF($Z278&lt;&gt;Constants!$B$7,$Z278,IF(AH278=1,AD278,AG278)))</f>
        <v/>
      </c>
      <c r="AK278" s="62" t="str">
        <f aca="false">IF(ISBLANK($C278),"",IF($Z278=Constants!$B$7,IF(ISNUMBER(AJ278),RANK(AJ278,$AJ$8:$AJ$507),Constants!$B$14),$Z278))</f>
        <v/>
      </c>
      <c r="AL278" s="62" t="str">
        <f aca="false">IF(ISBLANK($C278),"",IF($Z278=Constants!$B$7,IF(AI278=1,AD278,AG278),""))</f>
        <v/>
      </c>
      <c r="AM278" s="62" t="str">
        <f aca="false">IF(ISBLANK($C278),"",IF($Z278=Constants!$B$7,RANK(AL278,$AL$8:$AL$507),$Z278))</f>
        <v/>
      </c>
      <c r="AN278" s="62" t="str">
        <f aca="false">IF(ISBLANK($C278),"",IF($Z278=Constants!$B$7,IF(ISNUMBER(AK278),COUNTIFS($AK$8:$AK$507,"&lt;"&amp;$AK278)+COUNTIFS($AK$8:$AK$507,$AK278,$AM$8:$AM$507,"&lt;"&amp;$AM278)+1,Constants!$B$14),$Z278))</f>
        <v/>
      </c>
      <c r="AO278" s="62" t="str">
        <f aca="false">IF(ISBLANK($C278),"",IF($Z278=Constants!$B$7,IF(ISNUMBER(AK278),AK278-AN278,Constants!$B$14),$Z278))</f>
        <v/>
      </c>
      <c r="AP278" s="64"/>
      <c r="AQ278" s="65" t="str">
        <f aca="false">IF(ISBLANK($C278),"",IF($Z278&lt;&gt;Constants!$B$7,"",AH278))</f>
        <v/>
      </c>
      <c r="AR278" s="80" t="str">
        <f aca="false">IF(ISBLANK($C278),"",IF($Z278&lt;&gt;Constants!$B$7,"",IF(AH278=1,AB278,AE278)))</f>
        <v/>
      </c>
      <c r="AS278" s="67" t="str">
        <f aca="false">IF(ISBLANK($C278),"",IF($Z278&lt;&gt;Constants!$B$7,"",IF(AH278=1,AC278,AF278)))</f>
        <v/>
      </c>
      <c r="AT278" s="68" t="str">
        <f aca="false">IF(ISBLANK($C278),"",IF($Z278&lt;&gt;Constants!$B$7,$Z278,AJ278))</f>
        <v/>
      </c>
      <c r="AU278" s="69" t="str">
        <f aca="false">IF(ISBLANK($C278),"",IF($Z278&lt;&gt;Constants!$B$7,$Z278,AA278))</f>
        <v/>
      </c>
      <c r="AV278" s="70" t="str">
        <f aca="false">IF(ISBLANK($C278),"",AO278)</f>
        <v/>
      </c>
      <c r="AW278" s="70" t="str">
        <f aca="false">IF(ISBLANK($C278),"",AN278)</f>
        <v/>
      </c>
      <c r="AX278" s="71" t="str">
        <f aca="false">IF(ISBLANK($C278),"",IFERROR(_xlfn.SWITCH(AW278,Constants!$B$4,COUNTA($C$8:$C$507)+2,Constants!$B$5,COUNTA($C$8:$C$507)+1,Constants!$B$6,COUNTA($C$8:$C$507)),AW278))</f>
        <v/>
      </c>
      <c r="AY278" s="5"/>
      <c r="AZ278" s="72" t="n">
        <f aca="false">IF(OR(ISNUMBER(AW278),AW278=Constants!$B$4,AW278=Constants!$B$6,AW278=Constants!$B$5),1,0)</f>
        <v>0</v>
      </c>
      <c r="BA278" s="72" t="n">
        <v>271</v>
      </c>
      <c r="BB278" s="72" t="str">
        <f aca="false">IF(ISBLANK($C278),"",IF(ISNUMBER(AX278),AX278+ROW($B278)/1000,""))</f>
        <v/>
      </c>
      <c r="BC278" s="72" t="str">
        <f aca="false">IF(ISNUMBER(BB278),RANK(BB278,$BB$8:$BB$507,1),"")</f>
        <v/>
      </c>
      <c r="BD278" s="72" t="str">
        <f aca="false">IF(ISBLANK($C278),"",$B278)</f>
        <v/>
      </c>
      <c r="BE278" s="72" t="str">
        <f aca="false">IF(ISBLANK($C278),"",$C278)</f>
        <v/>
      </c>
      <c r="BF278" s="72" t="str">
        <f aca="false">IF(ISBLANK($C278),"",$D278)</f>
        <v/>
      </c>
      <c r="BG278" s="73" t="str">
        <f aca="false">AU278</f>
        <v/>
      </c>
      <c r="BH278" s="74" t="str">
        <f aca="false">AT278</f>
        <v/>
      </c>
      <c r="BI278" s="72" t="str">
        <f aca="false">IF(ISBLANK($C278),"",AW278)</f>
        <v/>
      </c>
      <c r="BJ278" s="75" t="str">
        <f aca="false">IF($BA278&gt;$AZ$7,"",VLOOKUP($BA278,$BC$8:$BI$507,7,FALSE()))</f>
        <v/>
      </c>
      <c r="BK278" s="76" t="str">
        <f aca="false">IF($BA278&gt;$AZ$7,"",VLOOKUP($BA278,$BC$8:$BI$507,2,FALSE()))</f>
        <v/>
      </c>
      <c r="BL278" s="76" t="str">
        <f aca="false">IF($BA278&gt;$AZ$7,"",VLOOKUP($BA278,$BC$8:$BI$507,3,FALSE()))</f>
        <v/>
      </c>
      <c r="BM278" s="76" t="str">
        <f aca="false">IF($BA278&gt;$AZ$7,"",VLOOKUP($BA278,$BC$8:$BI$507,4,FALSE()))</f>
        <v/>
      </c>
      <c r="BN278" s="76" t="str">
        <f aca="false">IF($BA278&gt;$AZ$7,"",VLOOKUP($BA278,$BC$8:$BI$507,5,FALSE()))</f>
        <v/>
      </c>
      <c r="BO278" s="77" t="str">
        <f aca="false">IF($BA278&gt;$AZ$7,"",VLOOKUP($BA278,$BC$8:$BI$507,6,FALSE()))</f>
        <v/>
      </c>
      <c r="BP278" s="52"/>
    </row>
    <row r="279" customFormat="false" ht="15.75" hidden="false" customHeight="false" outlineLevel="0" collapsed="false">
      <c r="A279" s="5"/>
      <c r="B279" s="118"/>
      <c r="C279" s="54"/>
      <c r="D279" s="55"/>
      <c r="E279" s="79"/>
      <c r="F279" s="57"/>
      <c r="G279" s="58"/>
      <c r="H279" s="58"/>
      <c r="I279" s="57"/>
      <c r="J279" s="58"/>
      <c r="K279" s="58"/>
      <c r="L279" s="57"/>
      <c r="M279" s="79"/>
      <c r="N279" s="60"/>
      <c r="O279" s="62" t="str">
        <f aca="false">IF(ISBLANK($C279),"",IF(E279=Constants!$B$2, TRUE(), IF(E279=Constants!$B$3, FALSE(), TRUE())))</f>
        <v/>
      </c>
      <c r="P279" s="62" t="str">
        <f aca="false">IF(ISBLANK($C279),"",IF(F279=Constants!$B$16,Constants!$B$9,IF(F279=Constants!$B$17,Constants!$B$10,Constants!$B$8)))</f>
        <v/>
      </c>
      <c r="Q279" s="62" t="str">
        <f aca="false">IF(ISBLANK($C279),"",IF(ISNUMBER(G279),IF(G279&gt;=0,G279,""),""))</f>
        <v/>
      </c>
      <c r="R279" s="62" t="str">
        <f aca="false">IF(ISBLANK($C279),"",IF(H279=Constants!$B$2, TRUE(), IF(H279=Constants!$B$3, FALSE(), TRUE())))</f>
        <v/>
      </c>
      <c r="S279" s="62" t="str">
        <f aca="false">IF(ISBLANK($C279),"",IF(I279=Constants!$B$2, TRUE(), IF(I279=Constants!$B$3, FALSE(), TRUE())))</f>
        <v/>
      </c>
      <c r="T279" s="62" t="str">
        <f aca="false">IF(ISBLANK($C279),"",IF(ISNUMBER(J279),IF(J279&gt;=0,J279,""),""))</f>
        <v/>
      </c>
      <c r="U279" s="62" t="str">
        <f aca="false">IF(ISBLANK($C279),"",IF(K279=Constants!$B$2, TRUE(), IF(K279=Constants!$B$3, FALSE(), TRUE())))</f>
        <v/>
      </c>
      <c r="V279" s="62" t="str">
        <f aca="false">IF(ISBLANK($C279),"",IF(L279=Constants!$B$2, TRUE(), IF(L279=Constants!$B$3, FALSE(), TRUE())))</f>
        <v/>
      </c>
      <c r="W279" s="62" t="str">
        <f aca="false">IF(ISBLANK($C279),"",IF(M279=Constants!$B$2, TRUE(), IF(M279=Constants!$B$3, FALSE(), FALSE())))</f>
        <v/>
      </c>
      <c r="X279" s="62" t="str">
        <f aca="false">IF(ISBLANK($C279),"",AND(Q279&lt;&gt;"",O279))</f>
        <v/>
      </c>
      <c r="Y279" s="62" t="str">
        <f aca="false">IF(ISBLANK($C279),"",AND(T279&lt;&gt;"",O279))</f>
        <v/>
      </c>
      <c r="Z279" s="62" t="str">
        <f aca="false">IF(ISBLANK($C279),"",IF(W279,Constants!$B$4,IF(COUNTA(E279:L279)=0,Constants!$B$5,IF(NOT(O279),Constants!$B$6,IF(AND(NOT(X279),NOT(Y279)),Constants!$B$6,Constants!$B$7)))))</f>
        <v/>
      </c>
      <c r="AA279" s="62" t="str">
        <f aca="false">IF(ISBLANK($C279),"",IF($Z279&lt;&gt;Constants!$B$7,$Z279,Constants!$B$20))</f>
        <v/>
      </c>
      <c r="AB279" s="62" t="str">
        <f aca="false">IF($Z279=Constants!$B$7,IF(X279,Q279,Constants!$B$13),"")</f>
        <v/>
      </c>
      <c r="AC279" s="62" t="str">
        <f aca="false">IF($Z279=Constants!$B$7,IF(X279,P279*IF(R279, 1, Constants!$B$11)*IF(S279, 1, Constants!$B$12),Constants!$B$13),"")</f>
        <v/>
      </c>
      <c r="AD279" s="62" t="str">
        <f aca="false">IF($Z279=Constants!$B$7,AB279*AC279,"")</f>
        <v/>
      </c>
      <c r="AE279" s="62" t="str">
        <f aca="false">IF($Z279=Constants!$B$7,IF(Y279,T279,Constants!$B$13),"")</f>
        <v/>
      </c>
      <c r="AF279" s="62" t="str">
        <f aca="false">IF($Z279=Constants!$B$7,IF(Y279,P279*IF(U279, 1, Constants!$B$11)*IF(V279, 1, Constants!$B$12),Constants!$B$13),"")</f>
        <v/>
      </c>
      <c r="AG279" s="62" t="str">
        <f aca="false">IF($Z279=Constants!$B$7,AE279*AF279,"")</f>
        <v/>
      </c>
      <c r="AH279" s="62" t="str">
        <f aca="false">IF($Z279=Constants!$B$7,IF(AG279&gt;AD279,2,1),"")</f>
        <v/>
      </c>
      <c r="AI279" s="62" t="str">
        <f aca="false">IF($Z279=Constants!$B$7,IF(AH279=1,2,1),"")</f>
        <v/>
      </c>
      <c r="AJ279" s="62" t="str">
        <f aca="false">IF(ISBLANK($C279),"",IF($Z279&lt;&gt;Constants!$B$7,$Z279,IF(AH279=1,AD279,AG279)))</f>
        <v/>
      </c>
      <c r="AK279" s="62" t="str">
        <f aca="false">IF(ISBLANK($C279),"",IF($Z279=Constants!$B$7,IF(ISNUMBER(AJ279),RANK(AJ279,$AJ$8:$AJ$507),Constants!$B$14),$Z279))</f>
        <v/>
      </c>
      <c r="AL279" s="62" t="str">
        <f aca="false">IF(ISBLANK($C279),"",IF($Z279=Constants!$B$7,IF(AI279=1,AD279,AG279),""))</f>
        <v/>
      </c>
      <c r="AM279" s="62" t="str">
        <f aca="false">IF(ISBLANK($C279),"",IF($Z279=Constants!$B$7,RANK(AL279,$AL$8:$AL$507),$Z279))</f>
        <v/>
      </c>
      <c r="AN279" s="62" t="str">
        <f aca="false">IF(ISBLANK($C279),"",IF($Z279=Constants!$B$7,IF(ISNUMBER(AK279),COUNTIFS($AK$8:$AK$507,"&lt;"&amp;$AK279)+COUNTIFS($AK$8:$AK$507,$AK279,$AM$8:$AM$507,"&lt;"&amp;$AM279)+1,Constants!$B$14),$Z279))</f>
        <v/>
      </c>
      <c r="AO279" s="62" t="str">
        <f aca="false">IF(ISBLANK($C279),"",IF($Z279=Constants!$B$7,IF(ISNUMBER(AK279),AK279-AN279,Constants!$B$14),$Z279))</f>
        <v/>
      </c>
      <c r="AP279" s="64"/>
      <c r="AQ279" s="65" t="str">
        <f aca="false">IF(ISBLANK($C279),"",IF($Z279&lt;&gt;Constants!$B$7,"",AH279))</f>
        <v/>
      </c>
      <c r="AR279" s="80" t="str">
        <f aca="false">IF(ISBLANK($C279),"",IF($Z279&lt;&gt;Constants!$B$7,"",IF(AH279=1,AB279,AE279)))</f>
        <v/>
      </c>
      <c r="AS279" s="67" t="str">
        <f aca="false">IF(ISBLANK($C279),"",IF($Z279&lt;&gt;Constants!$B$7,"",IF(AH279=1,AC279,AF279)))</f>
        <v/>
      </c>
      <c r="AT279" s="68" t="str">
        <f aca="false">IF(ISBLANK($C279),"",IF($Z279&lt;&gt;Constants!$B$7,$Z279,AJ279))</f>
        <v/>
      </c>
      <c r="AU279" s="69" t="str">
        <f aca="false">IF(ISBLANK($C279),"",IF($Z279&lt;&gt;Constants!$B$7,$Z279,AA279))</f>
        <v/>
      </c>
      <c r="AV279" s="70" t="str">
        <f aca="false">IF(ISBLANK($C279),"",AO279)</f>
        <v/>
      </c>
      <c r="AW279" s="70" t="str">
        <f aca="false">IF(ISBLANK($C279),"",AN279)</f>
        <v/>
      </c>
      <c r="AX279" s="71" t="str">
        <f aca="false">IF(ISBLANK($C279),"",IFERROR(_xlfn.SWITCH(AW279,Constants!$B$4,COUNTA($C$8:$C$507)+2,Constants!$B$5,COUNTA($C$8:$C$507)+1,Constants!$B$6,COUNTA($C$8:$C$507)),AW279))</f>
        <v/>
      </c>
      <c r="AY279" s="5"/>
      <c r="AZ279" s="72" t="n">
        <f aca="false">IF(OR(ISNUMBER(AW279),AW279=Constants!$B$4,AW279=Constants!$B$6,AW279=Constants!$B$5),1,0)</f>
        <v>0</v>
      </c>
      <c r="BA279" s="72" t="n">
        <v>272</v>
      </c>
      <c r="BB279" s="72" t="str">
        <f aca="false">IF(ISBLANK($C279),"",IF(ISNUMBER(AX279),AX279+ROW($B279)/1000,""))</f>
        <v/>
      </c>
      <c r="BC279" s="72" t="str">
        <f aca="false">IF(ISNUMBER(BB279),RANK(BB279,$BB$8:$BB$507,1),"")</f>
        <v/>
      </c>
      <c r="BD279" s="72" t="str">
        <f aca="false">IF(ISBLANK($C279),"",$B279)</f>
        <v/>
      </c>
      <c r="BE279" s="72" t="str">
        <f aca="false">IF(ISBLANK($C279),"",$C279)</f>
        <v/>
      </c>
      <c r="BF279" s="72" t="str">
        <f aca="false">IF(ISBLANK($C279),"",$D279)</f>
        <v/>
      </c>
      <c r="BG279" s="73" t="str">
        <f aca="false">AU279</f>
        <v/>
      </c>
      <c r="BH279" s="74" t="str">
        <f aca="false">AT279</f>
        <v/>
      </c>
      <c r="BI279" s="72" t="str">
        <f aca="false">IF(ISBLANK($C279),"",AW279)</f>
        <v/>
      </c>
      <c r="BJ279" s="75" t="str">
        <f aca="false">IF($BA279&gt;$AZ$7,"",VLOOKUP($BA279,$BC$8:$BI$507,7,FALSE()))</f>
        <v/>
      </c>
      <c r="BK279" s="76" t="str">
        <f aca="false">IF($BA279&gt;$AZ$7,"",VLOOKUP($BA279,$BC$8:$BI$507,2,FALSE()))</f>
        <v/>
      </c>
      <c r="BL279" s="76" t="str">
        <f aca="false">IF($BA279&gt;$AZ$7,"",VLOOKUP($BA279,$BC$8:$BI$507,3,FALSE()))</f>
        <v/>
      </c>
      <c r="BM279" s="76" t="str">
        <f aca="false">IF($BA279&gt;$AZ$7,"",VLOOKUP($BA279,$BC$8:$BI$507,4,FALSE()))</f>
        <v/>
      </c>
      <c r="BN279" s="76" t="str">
        <f aca="false">IF($BA279&gt;$AZ$7,"",VLOOKUP($BA279,$BC$8:$BI$507,5,FALSE()))</f>
        <v/>
      </c>
      <c r="BO279" s="77" t="str">
        <f aca="false">IF($BA279&gt;$AZ$7,"",VLOOKUP($BA279,$BC$8:$BI$507,6,FALSE()))</f>
        <v/>
      </c>
      <c r="BP279" s="52"/>
    </row>
    <row r="280" customFormat="false" ht="15.75" hidden="false" customHeight="false" outlineLevel="0" collapsed="false">
      <c r="A280" s="5"/>
      <c r="B280" s="118"/>
      <c r="C280" s="54"/>
      <c r="D280" s="55"/>
      <c r="E280" s="79"/>
      <c r="F280" s="57"/>
      <c r="G280" s="58"/>
      <c r="H280" s="58"/>
      <c r="I280" s="57"/>
      <c r="J280" s="58"/>
      <c r="K280" s="58"/>
      <c r="L280" s="57"/>
      <c r="M280" s="79"/>
      <c r="N280" s="60"/>
      <c r="O280" s="62" t="str">
        <f aca="false">IF(ISBLANK($C280),"",IF(E280=Constants!$B$2, TRUE(), IF(E280=Constants!$B$3, FALSE(), TRUE())))</f>
        <v/>
      </c>
      <c r="P280" s="62" t="str">
        <f aca="false">IF(ISBLANK($C280),"",IF(F280=Constants!$B$16,Constants!$B$9,IF(F280=Constants!$B$17,Constants!$B$10,Constants!$B$8)))</f>
        <v/>
      </c>
      <c r="Q280" s="62" t="str">
        <f aca="false">IF(ISBLANK($C280),"",IF(ISNUMBER(G280),IF(G280&gt;=0,G280,""),""))</f>
        <v/>
      </c>
      <c r="R280" s="62" t="str">
        <f aca="false">IF(ISBLANK($C280),"",IF(H280=Constants!$B$2, TRUE(), IF(H280=Constants!$B$3, FALSE(), TRUE())))</f>
        <v/>
      </c>
      <c r="S280" s="62" t="str">
        <f aca="false">IF(ISBLANK($C280),"",IF(I280=Constants!$B$2, TRUE(), IF(I280=Constants!$B$3, FALSE(), TRUE())))</f>
        <v/>
      </c>
      <c r="T280" s="62" t="str">
        <f aca="false">IF(ISBLANK($C280),"",IF(ISNUMBER(J280),IF(J280&gt;=0,J280,""),""))</f>
        <v/>
      </c>
      <c r="U280" s="62" t="str">
        <f aca="false">IF(ISBLANK($C280),"",IF(K280=Constants!$B$2, TRUE(), IF(K280=Constants!$B$3, FALSE(), TRUE())))</f>
        <v/>
      </c>
      <c r="V280" s="62" t="str">
        <f aca="false">IF(ISBLANK($C280),"",IF(L280=Constants!$B$2, TRUE(), IF(L280=Constants!$B$3, FALSE(), TRUE())))</f>
        <v/>
      </c>
      <c r="W280" s="62" t="str">
        <f aca="false">IF(ISBLANK($C280),"",IF(M280=Constants!$B$2, TRUE(), IF(M280=Constants!$B$3, FALSE(), FALSE())))</f>
        <v/>
      </c>
      <c r="X280" s="62" t="str">
        <f aca="false">IF(ISBLANK($C280),"",AND(Q280&lt;&gt;"",O280))</f>
        <v/>
      </c>
      <c r="Y280" s="62" t="str">
        <f aca="false">IF(ISBLANK($C280),"",AND(T280&lt;&gt;"",O280))</f>
        <v/>
      </c>
      <c r="Z280" s="62" t="str">
        <f aca="false">IF(ISBLANK($C280),"",IF(W280,Constants!$B$4,IF(COUNTA(E280:L280)=0,Constants!$B$5,IF(NOT(O280),Constants!$B$6,IF(AND(NOT(X280),NOT(Y280)),Constants!$B$6,Constants!$B$7)))))</f>
        <v/>
      </c>
      <c r="AA280" s="62" t="str">
        <f aca="false">IF(ISBLANK($C280),"",IF($Z280&lt;&gt;Constants!$B$7,$Z280,Constants!$B$20))</f>
        <v/>
      </c>
      <c r="AB280" s="62" t="str">
        <f aca="false">IF($Z280=Constants!$B$7,IF(X280,Q280,Constants!$B$13),"")</f>
        <v/>
      </c>
      <c r="AC280" s="62" t="str">
        <f aca="false">IF($Z280=Constants!$B$7,IF(X280,P280*IF(R280, 1, Constants!$B$11)*IF(S280, 1, Constants!$B$12),Constants!$B$13),"")</f>
        <v/>
      </c>
      <c r="AD280" s="62" t="str">
        <f aca="false">IF($Z280=Constants!$B$7,AB280*AC280,"")</f>
        <v/>
      </c>
      <c r="AE280" s="62" t="str">
        <f aca="false">IF($Z280=Constants!$B$7,IF(Y280,T280,Constants!$B$13),"")</f>
        <v/>
      </c>
      <c r="AF280" s="62" t="str">
        <f aca="false">IF($Z280=Constants!$B$7,IF(Y280,P280*IF(U280, 1, Constants!$B$11)*IF(V280, 1, Constants!$B$12),Constants!$B$13),"")</f>
        <v/>
      </c>
      <c r="AG280" s="62" t="str">
        <f aca="false">IF($Z280=Constants!$B$7,AE280*AF280,"")</f>
        <v/>
      </c>
      <c r="AH280" s="62" t="str">
        <f aca="false">IF($Z280=Constants!$B$7,IF(AG280&gt;AD280,2,1),"")</f>
        <v/>
      </c>
      <c r="AI280" s="62" t="str">
        <f aca="false">IF($Z280=Constants!$B$7,IF(AH280=1,2,1),"")</f>
        <v/>
      </c>
      <c r="AJ280" s="62" t="str">
        <f aca="false">IF(ISBLANK($C280),"",IF($Z280&lt;&gt;Constants!$B$7,$Z280,IF(AH280=1,AD280,AG280)))</f>
        <v/>
      </c>
      <c r="AK280" s="62" t="str">
        <f aca="false">IF(ISBLANK($C280),"",IF($Z280=Constants!$B$7,IF(ISNUMBER(AJ280),RANK(AJ280,$AJ$8:$AJ$507),Constants!$B$14),$Z280))</f>
        <v/>
      </c>
      <c r="AL280" s="62" t="str">
        <f aca="false">IF(ISBLANK($C280),"",IF($Z280=Constants!$B$7,IF(AI280=1,AD280,AG280),""))</f>
        <v/>
      </c>
      <c r="AM280" s="62" t="str">
        <f aca="false">IF(ISBLANK($C280),"",IF($Z280=Constants!$B$7,RANK(AL280,$AL$8:$AL$507),$Z280))</f>
        <v/>
      </c>
      <c r="AN280" s="62" t="str">
        <f aca="false">IF(ISBLANK($C280),"",IF($Z280=Constants!$B$7,IF(ISNUMBER(AK280),COUNTIFS($AK$8:$AK$507,"&lt;"&amp;$AK280)+COUNTIFS($AK$8:$AK$507,$AK280,$AM$8:$AM$507,"&lt;"&amp;$AM280)+1,Constants!$B$14),$Z280))</f>
        <v/>
      </c>
      <c r="AO280" s="62" t="str">
        <f aca="false">IF(ISBLANK($C280),"",IF($Z280=Constants!$B$7,IF(ISNUMBER(AK280),AK280-AN280,Constants!$B$14),$Z280))</f>
        <v/>
      </c>
      <c r="AP280" s="64"/>
      <c r="AQ280" s="65" t="str">
        <f aca="false">IF(ISBLANK($C280),"",IF($Z280&lt;&gt;Constants!$B$7,"",AH280))</f>
        <v/>
      </c>
      <c r="AR280" s="80" t="str">
        <f aca="false">IF(ISBLANK($C280),"",IF($Z280&lt;&gt;Constants!$B$7,"",IF(AH280=1,AB280,AE280)))</f>
        <v/>
      </c>
      <c r="AS280" s="67" t="str">
        <f aca="false">IF(ISBLANK($C280),"",IF($Z280&lt;&gt;Constants!$B$7,"",IF(AH280=1,AC280,AF280)))</f>
        <v/>
      </c>
      <c r="AT280" s="68" t="str">
        <f aca="false">IF(ISBLANK($C280),"",IF($Z280&lt;&gt;Constants!$B$7,$Z280,AJ280))</f>
        <v/>
      </c>
      <c r="AU280" s="69" t="str">
        <f aca="false">IF(ISBLANK($C280),"",IF($Z280&lt;&gt;Constants!$B$7,$Z280,AA280))</f>
        <v/>
      </c>
      <c r="AV280" s="70" t="str">
        <f aca="false">IF(ISBLANK($C280),"",AO280)</f>
        <v/>
      </c>
      <c r="AW280" s="70" t="str">
        <f aca="false">IF(ISBLANK($C280),"",AN280)</f>
        <v/>
      </c>
      <c r="AX280" s="71" t="str">
        <f aca="false">IF(ISBLANK($C280),"",IFERROR(_xlfn.SWITCH(AW280,Constants!$B$4,COUNTA($C$8:$C$507)+2,Constants!$B$5,COUNTA($C$8:$C$507)+1,Constants!$B$6,COUNTA($C$8:$C$507)),AW280))</f>
        <v/>
      </c>
      <c r="AY280" s="5"/>
      <c r="AZ280" s="72" t="n">
        <f aca="false">IF(OR(ISNUMBER(AW280),AW280=Constants!$B$4,AW280=Constants!$B$6,AW280=Constants!$B$5),1,0)</f>
        <v>0</v>
      </c>
      <c r="BA280" s="72" t="n">
        <v>273</v>
      </c>
      <c r="BB280" s="72" t="str">
        <f aca="false">IF(ISBLANK($C280),"",IF(ISNUMBER(AX280),AX280+ROW($B280)/1000,""))</f>
        <v/>
      </c>
      <c r="BC280" s="72" t="str">
        <f aca="false">IF(ISNUMBER(BB280),RANK(BB280,$BB$8:$BB$507,1),"")</f>
        <v/>
      </c>
      <c r="BD280" s="72" t="str">
        <f aca="false">IF(ISBLANK($C280),"",$B280)</f>
        <v/>
      </c>
      <c r="BE280" s="72" t="str">
        <f aca="false">IF(ISBLANK($C280),"",$C280)</f>
        <v/>
      </c>
      <c r="BF280" s="72" t="str">
        <f aca="false">IF(ISBLANK($C280),"",$D280)</f>
        <v/>
      </c>
      <c r="BG280" s="73" t="str">
        <f aca="false">AU280</f>
        <v/>
      </c>
      <c r="BH280" s="74" t="str">
        <f aca="false">AT280</f>
        <v/>
      </c>
      <c r="BI280" s="72" t="str">
        <f aca="false">IF(ISBLANK($C280),"",AW280)</f>
        <v/>
      </c>
      <c r="BJ280" s="75" t="str">
        <f aca="false">IF($BA280&gt;$AZ$7,"",VLOOKUP($BA280,$BC$8:$BI$507,7,FALSE()))</f>
        <v/>
      </c>
      <c r="BK280" s="76" t="str">
        <f aca="false">IF($BA280&gt;$AZ$7,"",VLOOKUP($BA280,$BC$8:$BI$507,2,FALSE()))</f>
        <v/>
      </c>
      <c r="BL280" s="76" t="str">
        <f aca="false">IF($BA280&gt;$AZ$7,"",VLOOKUP($BA280,$BC$8:$BI$507,3,FALSE()))</f>
        <v/>
      </c>
      <c r="BM280" s="76" t="str">
        <f aca="false">IF($BA280&gt;$AZ$7,"",VLOOKUP($BA280,$BC$8:$BI$507,4,FALSE()))</f>
        <v/>
      </c>
      <c r="BN280" s="76" t="str">
        <f aca="false">IF($BA280&gt;$AZ$7,"",VLOOKUP($BA280,$BC$8:$BI$507,5,FALSE()))</f>
        <v/>
      </c>
      <c r="BO280" s="77" t="str">
        <f aca="false">IF($BA280&gt;$AZ$7,"",VLOOKUP($BA280,$BC$8:$BI$507,6,FALSE()))</f>
        <v/>
      </c>
      <c r="BP280" s="52"/>
    </row>
    <row r="281" customFormat="false" ht="15.75" hidden="false" customHeight="false" outlineLevel="0" collapsed="false">
      <c r="A281" s="5"/>
      <c r="B281" s="114"/>
      <c r="C281" s="115"/>
      <c r="D281" s="106"/>
      <c r="E281" s="117"/>
      <c r="F281" s="87"/>
      <c r="G281" s="88"/>
      <c r="H281" s="88"/>
      <c r="I281" s="87"/>
      <c r="J281" s="88"/>
      <c r="K281" s="88"/>
      <c r="L281" s="87"/>
      <c r="M281" s="117"/>
      <c r="N281" s="90"/>
      <c r="O281" s="91" t="str">
        <f aca="false">IF(ISBLANK($C281),"",IF(E281=Constants!$B$2, TRUE(), IF(E281=Constants!$B$3, FALSE(), TRUE())))</f>
        <v/>
      </c>
      <c r="P281" s="91" t="str">
        <f aca="false">IF(ISBLANK($C281),"",IF(F281=Constants!$B$16,Constants!$B$9,IF(F281=Constants!$B$17,Constants!$B$10,Constants!$B$8)))</f>
        <v/>
      </c>
      <c r="Q281" s="91" t="str">
        <f aca="false">IF(ISBLANK($C281),"",IF(ISNUMBER(G281),IF(G281&gt;=0,G281,""),""))</f>
        <v/>
      </c>
      <c r="R281" s="91" t="str">
        <f aca="false">IF(ISBLANK($C281),"",IF(H281=Constants!$B$2, TRUE(), IF(H281=Constants!$B$3, FALSE(), TRUE())))</f>
        <v/>
      </c>
      <c r="S281" s="91" t="str">
        <f aca="false">IF(ISBLANK($C281),"",IF(I281=Constants!$B$2, TRUE(), IF(I281=Constants!$B$3, FALSE(), TRUE())))</f>
        <v/>
      </c>
      <c r="T281" s="91" t="str">
        <f aca="false">IF(ISBLANK($C281),"",IF(ISNUMBER(J281),IF(J281&gt;=0,J281,""),""))</f>
        <v/>
      </c>
      <c r="U281" s="91" t="str">
        <f aca="false">IF(ISBLANK($C281),"",IF(K281=Constants!$B$2, TRUE(), IF(K281=Constants!$B$3, FALSE(), TRUE())))</f>
        <v/>
      </c>
      <c r="V281" s="91" t="str">
        <f aca="false">IF(ISBLANK($C281),"",IF(L281=Constants!$B$2, TRUE(), IF(L281=Constants!$B$3, FALSE(), TRUE())))</f>
        <v/>
      </c>
      <c r="W281" s="91" t="str">
        <f aca="false">IF(ISBLANK($C281),"",IF(M281=Constants!$B$2, TRUE(), IF(M281=Constants!$B$3, FALSE(), FALSE())))</f>
        <v/>
      </c>
      <c r="X281" s="91" t="str">
        <f aca="false">IF(ISBLANK($C281),"",AND(Q281&lt;&gt;"",O281))</f>
        <v/>
      </c>
      <c r="Y281" s="91" t="str">
        <f aca="false">IF(ISBLANK($C281),"",AND(T281&lt;&gt;"",O281))</f>
        <v/>
      </c>
      <c r="Z281" s="91" t="str">
        <f aca="false">IF(ISBLANK($C281),"",IF(W281,Constants!$B$4,IF(COUNTA(E281:L281)=0,Constants!$B$5,IF(NOT(O281),Constants!$B$6,IF(AND(NOT(X281),NOT(Y281)),Constants!$B$6,Constants!$B$7)))))</f>
        <v/>
      </c>
      <c r="AA281" s="91" t="str">
        <f aca="false">IF(ISBLANK($C281),"",IF($Z281&lt;&gt;Constants!$B$7,$Z281,Constants!$B$20))</f>
        <v/>
      </c>
      <c r="AB281" s="91" t="str">
        <f aca="false">IF($Z281=Constants!$B$7,IF(X281,Q281,Constants!$B$13),"")</f>
        <v/>
      </c>
      <c r="AC281" s="91" t="str">
        <f aca="false">IF($Z281=Constants!$B$7,IF(X281,P281*IF(R281, 1, Constants!$B$11)*IF(S281, 1, Constants!$B$12),Constants!$B$13),"")</f>
        <v/>
      </c>
      <c r="AD281" s="91" t="str">
        <f aca="false">IF($Z281=Constants!$B$7,AB281*AC281,"")</f>
        <v/>
      </c>
      <c r="AE281" s="91" t="str">
        <f aca="false">IF($Z281=Constants!$B$7,IF(Y281,T281,Constants!$B$13),"")</f>
        <v/>
      </c>
      <c r="AF281" s="91" t="str">
        <f aca="false">IF($Z281=Constants!$B$7,IF(Y281,P281*IF(U281, 1, Constants!$B$11)*IF(V281, 1, Constants!$B$12),Constants!$B$13),"")</f>
        <v/>
      </c>
      <c r="AG281" s="91" t="str">
        <f aca="false">IF($Z281=Constants!$B$7,AE281*AF281,"")</f>
        <v/>
      </c>
      <c r="AH281" s="91" t="str">
        <f aca="false">IF($Z281=Constants!$B$7,IF(AG281&gt;AD281,2,1),"")</f>
        <v/>
      </c>
      <c r="AI281" s="91" t="str">
        <f aca="false">IF($Z281=Constants!$B$7,IF(AH281=1,2,1),"")</f>
        <v/>
      </c>
      <c r="AJ281" s="91" t="str">
        <f aca="false">IF(ISBLANK($C281),"",IF($Z281&lt;&gt;Constants!$B$7,$Z281,IF(AH281=1,AD281,AG281)))</f>
        <v/>
      </c>
      <c r="AK281" s="91" t="str">
        <f aca="false">IF(ISBLANK($C281),"",IF($Z281=Constants!$B$7,IF(ISNUMBER(AJ281),RANK(AJ281,$AJ$8:$AJ$507),Constants!$B$14),$Z281))</f>
        <v/>
      </c>
      <c r="AL281" s="91" t="str">
        <f aca="false">IF(ISBLANK($C281),"",IF($Z281=Constants!$B$7,IF(AI281=1,AD281,AG281),""))</f>
        <v/>
      </c>
      <c r="AM281" s="91" t="str">
        <f aca="false">IF(ISBLANK($C281),"",IF($Z281=Constants!$B$7,RANK(AL281,$AL$8:$AL$507),$Z281))</f>
        <v/>
      </c>
      <c r="AN281" s="91" t="str">
        <f aca="false">IF(ISBLANK($C281),"",IF($Z281=Constants!$B$7,IF(ISNUMBER(AK281),COUNTIFS($AK$8:$AK$507,"&lt;"&amp;$AK281)+COUNTIFS($AK$8:$AK$507,$AK281,$AM$8:$AM$507,"&lt;"&amp;$AM281)+1,Constants!$B$14),$Z281))</f>
        <v/>
      </c>
      <c r="AO281" s="91" t="str">
        <f aca="false">IF(ISBLANK($C281),"",IF($Z281=Constants!$B$7,IF(ISNUMBER(AK281),AK281-AN281,Constants!$B$14),$Z281))</f>
        <v/>
      </c>
      <c r="AP281" s="92"/>
      <c r="AQ281" s="93" t="str">
        <f aca="false">IF(ISBLANK($C281),"",IF($Z281&lt;&gt;Constants!$B$7,"",AH281))</f>
        <v/>
      </c>
      <c r="AR281" s="94" t="str">
        <f aca="false">IF(ISBLANK($C281),"",IF($Z281&lt;&gt;Constants!$B$7,"",IF(AH281=1,AB281,AE281)))</f>
        <v/>
      </c>
      <c r="AS281" s="95" t="str">
        <f aca="false">IF(ISBLANK($C281),"",IF($Z281&lt;&gt;Constants!$B$7,"",IF(AH281=1,AC281,AF281)))</f>
        <v/>
      </c>
      <c r="AT281" s="96" t="str">
        <f aca="false">IF(ISBLANK($C281),"",IF($Z281&lt;&gt;Constants!$B$7,$Z281,AJ281))</f>
        <v/>
      </c>
      <c r="AU281" s="97" t="str">
        <f aca="false">IF(ISBLANK($C281),"",IF($Z281&lt;&gt;Constants!$B$7,$Z281,AA281))</f>
        <v/>
      </c>
      <c r="AV281" s="98" t="str">
        <f aca="false">IF(ISBLANK($C281),"",AO281)</f>
        <v/>
      </c>
      <c r="AW281" s="98" t="str">
        <f aca="false">IF(ISBLANK($C281),"",AN281)</f>
        <v/>
      </c>
      <c r="AX281" s="99" t="str">
        <f aca="false">IF(ISBLANK($C281),"",IFERROR(_xlfn.SWITCH(AW281,Constants!$B$4,COUNTA($C$8:$C$507)+2,Constants!$B$5,COUNTA($C$8:$C$507)+1,Constants!$B$6,COUNTA($C$8:$C$507)),AW281))</f>
        <v/>
      </c>
      <c r="AY281" s="5"/>
      <c r="AZ281" s="100" t="n">
        <f aca="false">IF(OR(ISNUMBER(AW281),AW281=Constants!$B$4,AW281=Constants!$B$6,AW281=Constants!$B$5),1,0)</f>
        <v>0</v>
      </c>
      <c r="BA281" s="100" t="n">
        <v>274</v>
      </c>
      <c r="BB281" s="100" t="str">
        <f aca="false">IF(ISBLANK($C281),"",IF(ISNUMBER(AX281),AX281+ROW($B281)/1000,""))</f>
        <v/>
      </c>
      <c r="BC281" s="100" t="str">
        <f aca="false">IF(ISNUMBER(BB281),RANK(BB281,$BB$8:$BB$507,1),"")</f>
        <v/>
      </c>
      <c r="BD281" s="100" t="str">
        <f aca="false">IF(ISBLANK($C281),"",$B281)</f>
        <v/>
      </c>
      <c r="BE281" s="100" t="str">
        <f aca="false">IF(ISBLANK($C281),"",$C281)</f>
        <v/>
      </c>
      <c r="BF281" s="100" t="str">
        <f aca="false">IF(ISBLANK($C281),"",$D281)</f>
        <v/>
      </c>
      <c r="BG281" s="101" t="str">
        <f aca="false">AU281</f>
        <v/>
      </c>
      <c r="BH281" s="102" t="str">
        <f aca="false">AT281</f>
        <v/>
      </c>
      <c r="BI281" s="100" t="str">
        <f aca="false">IF(ISBLANK($C281),"",AW281)</f>
        <v/>
      </c>
      <c r="BJ281" s="103" t="str">
        <f aca="false">IF($BA281&gt;$AZ$7,"",VLOOKUP($BA281,$BC$8:$BI$507,7,FALSE()))</f>
        <v/>
      </c>
      <c r="BK281" s="104" t="str">
        <f aca="false">IF($BA281&gt;$AZ$7,"",VLOOKUP($BA281,$BC$8:$BI$507,2,FALSE()))</f>
        <v/>
      </c>
      <c r="BL281" s="104" t="str">
        <f aca="false">IF($BA281&gt;$AZ$7,"",VLOOKUP($BA281,$BC$8:$BI$507,3,FALSE()))</f>
        <v/>
      </c>
      <c r="BM281" s="104" t="str">
        <f aca="false">IF($BA281&gt;$AZ$7,"",VLOOKUP($BA281,$BC$8:$BI$507,4,FALSE()))</f>
        <v/>
      </c>
      <c r="BN281" s="104" t="str">
        <f aca="false">IF($BA281&gt;$AZ$7,"",VLOOKUP($BA281,$BC$8:$BI$507,5,FALSE()))</f>
        <v/>
      </c>
      <c r="BO281" s="105" t="str">
        <f aca="false">IF($BA281&gt;$AZ$7,"",VLOOKUP($BA281,$BC$8:$BI$507,6,FALSE()))</f>
        <v/>
      </c>
      <c r="BP281" s="52"/>
    </row>
    <row r="282" customFormat="false" ht="15.75" hidden="false" customHeight="false" outlineLevel="0" collapsed="false">
      <c r="A282" s="5"/>
      <c r="B282" s="114"/>
      <c r="C282" s="115"/>
      <c r="D282" s="106"/>
      <c r="E282" s="117"/>
      <c r="F282" s="87"/>
      <c r="G282" s="88"/>
      <c r="H282" s="88"/>
      <c r="I282" s="87"/>
      <c r="J282" s="88"/>
      <c r="K282" s="88"/>
      <c r="L282" s="87"/>
      <c r="M282" s="117"/>
      <c r="N282" s="90"/>
      <c r="O282" s="91" t="str">
        <f aca="false">IF(ISBLANK($C282),"",IF(E282=Constants!$B$2, TRUE(), IF(E282=Constants!$B$3, FALSE(), TRUE())))</f>
        <v/>
      </c>
      <c r="P282" s="91" t="str">
        <f aca="false">IF(ISBLANK($C282),"",IF(F282=Constants!$B$16,Constants!$B$9,IF(F282=Constants!$B$17,Constants!$B$10,Constants!$B$8)))</f>
        <v/>
      </c>
      <c r="Q282" s="91" t="str">
        <f aca="false">IF(ISBLANK($C282),"",IF(ISNUMBER(G282),IF(G282&gt;=0,G282,""),""))</f>
        <v/>
      </c>
      <c r="R282" s="91" t="str">
        <f aca="false">IF(ISBLANK($C282),"",IF(H282=Constants!$B$2, TRUE(), IF(H282=Constants!$B$3, FALSE(), TRUE())))</f>
        <v/>
      </c>
      <c r="S282" s="91" t="str">
        <f aca="false">IF(ISBLANK($C282),"",IF(I282=Constants!$B$2, TRUE(), IF(I282=Constants!$B$3, FALSE(), TRUE())))</f>
        <v/>
      </c>
      <c r="T282" s="91" t="str">
        <f aca="false">IF(ISBLANK($C282),"",IF(ISNUMBER(J282),IF(J282&gt;=0,J282,""),""))</f>
        <v/>
      </c>
      <c r="U282" s="91" t="str">
        <f aca="false">IF(ISBLANK($C282),"",IF(K282=Constants!$B$2, TRUE(), IF(K282=Constants!$B$3, FALSE(), TRUE())))</f>
        <v/>
      </c>
      <c r="V282" s="91" t="str">
        <f aca="false">IF(ISBLANK($C282),"",IF(L282=Constants!$B$2, TRUE(), IF(L282=Constants!$B$3, FALSE(), TRUE())))</f>
        <v/>
      </c>
      <c r="W282" s="91" t="str">
        <f aca="false">IF(ISBLANK($C282),"",IF(M282=Constants!$B$2, TRUE(), IF(M282=Constants!$B$3, FALSE(), FALSE())))</f>
        <v/>
      </c>
      <c r="X282" s="91" t="str">
        <f aca="false">IF(ISBLANK($C282),"",AND(Q282&lt;&gt;"",O282))</f>
        <v/>
      </c>
      <c r="Y282" s="91" t="str">
        <f aca="false">IF(ISBLANK($C282),"",AND(T282&lt;&gt;"",O282))</f>
        <v/>
      </c>
      <c r="Z282" s="91" t="str">
        <f aca="false">IF(ISBLANK($C282),"",IF(W282,Constants!$B$4,IF(COUNTA(E282:L282)=0,Constants!$B$5,IF(NOT(O282),Constants!$B$6,IF(AND(NOT(X282),NOT(Y282)),Constants!$B$6,Constants!$B$7)))))</f>
        <v/>
      </c>
      <c r="AA282" s="91" t="str">
        <f aca="false">IF(ISBLANK($C282),"",IF($Z282&lt;&gt;Constants!$B$7,$Z282,Constants!$B$20))</f>
        <v/>
      </c>
      <c r="AB282" s="91" t="str">
        <f aca="false">IF($Z282=Constants!$B$7,IF(X282,Q282,Constants!$B$13),"")</f>
        <v/>
      </c>
      <c r="AC282" s="91" t="str">
        <f aca="false">IF($Z282=Constants!$B$7,IF(X282,P282*IF(R282, 1, Constants!$B$11)*IF(S282, 1, Constants!$B$12),Constants!$B$13),"")</f>
        <v/>
      </c>
      <c r="AD282" s="91" t="str">
        <f aca="false">IF($Z282=Constants!$B$7,AB282*AC282,"")</f>
        <v/>
      </c>
      <c r="AE282" s="91" t="str">
        <f aca="false">IF($Z282=Constants!$B$7,IF(Y282,T282,Constants!$B$13),"")</f>
        <v/>
      </c>
      <c r="AF282" s="91" t="str">
        <f aca="false">IF($Z282=Constants!$B$7,IF(Y282,P282*IF(U282, 1, Constants!$B$11)*IF(V282, 1, Constants!$B$12),Constants!$B$13),"")</f>
        <v/>
      </c>
      <c r="AG282" s="91" t="str">
        <f aca="false">IF($Z282=Constants!$B$7,AE282*AF282,"")</f>
        <v/>
      </c>
      <c r="AH282" s="91" t="str">
        <f aca="false">IF($Z282=Constants!$B$7,IF(AG282&gt;AD282,2,1),"")</f>
        <v/>
      </c>
      <c r="AI282" s="91" t="str">
        <f aca="false">IF($Z282=Constants!$B$7,IF(AH282=1,2,1),"")</f>
        <v/>
      </c>
      <c r="AJ282" s="91" t="str">
        <f aca="false">IF(ISBLANK($C282),"",IF($Z282&lt;&gt;Constants!$B$7,$Z282,IF(AH282=1,AD282,AG282)))</f>
        <v/>
      </c>
      <c r="AK282" s="91" t="str">
        <f aca="false">IF(ISBLANK($C282),"",IF($Z282=Constants!$B$7,IF(ISNUMBER(AJ282),RANK(AJ282,$AJ$8:$AJ$507),Constants!$B$14),$Z282))</f>
        <v/>
      </c>
      <c r="AL282" s="91" t="str">
        <f aca="false">IF(ISBLANK($C282),"",IF($Z282=Constants!$B$7,IF(AI282=1,AD282,AG282),""))</f>
        <v/>
      </c>
      <c r="AM282" s="91" t="str">
        <f aca="false">IF(ISBLANK($C282),"",IF($Z282=Constants!$B$7,RANK(AL282,$AL$8:$AL$507),$Z282))</f>
        <v/>
      </c>
      <c r="AN282" s="91" t="str">
        <f aca="false">IF(ISBLANK($C282),"",IF($Z282=Constants!$B$7,IF(ISNUMBER(AK282),COUNTIFS($AK$8:$AK$507,"&lt;"&amp;$AK282)+COUNTIFS($AK$8:$AK$507,$AK282,$AM$8:$AM$507,"&lt;"&amp;$AM282)+1,Constants!$B$14),$Z282))</f>
        <v/>
      </c>
      <c r="AO282" s="91" t="str">
        <f aca="false">IF(ISBLANK($C282),"",IF($Z282=Constants!$B$7,IF(ISNUMBER(AK282),AK282-AN282,Constants!$B$14),$Z282))</f>
        <v/>
      </c>
      <c r="AP282" s="92"/>
      <c r="AQ282" s="93" t="str">
        <f aca="false">IF(ISBLANK($C282),"",IF($Z282&lt;&gt;Constants!$B$7,"",AH282))</f>
        <v/>
      </c>
      <c r="AR282" s="94" t="str">
        <f aca="false">IF(ISBLANK($C282),"",IF($Z282&lt;&gt;Constants!$B$7,"",IF(AH282=1,AB282,AE282)))</f>
        <v/>
      </c>
      <c r="AS282" s="95" t="str">
        <f aca="false">IF(ISBLANK($C282),"",IF($Z282&lt;&gt;Constants!$B$7,"",IF(AH282=1,AC282,AF282)))</f>
        <v/>
      </c>
      <c r="AT282" s="96" t="str">
        <f aca="false">IF(ISBLANK($C282),"",IF($Z282&lt;&gt;Constants!$B$7,$Z282,AJ282))</f>
        <v/>
      </c>
      <c r="AU282" s="97" t="str">
        <f aca="false">IF(ISBLANK($C282),"",IF($Z282&lt;&gt;Constants!$B$7,$Z282,AA282))</f>
        <v/>
      </c>
      <c r="AV282" s="98" t="str">
        <f aca="false">IF(ISBLANK($C282),"",AO282)</f>
        <v/>
      </c>
      <c r="AW282" s="98" t="str">
        <f aca="false">IF(ISBLANK($C282),"",AN282)</f>
        <v/>
      </c>
      <c r="AX282" s="99" t="str">
        <f aca="false">IF(ISBLANK($C282),"",IFERROR(_xlfn.SWITCH(AW282,Constants!$B$4,COUNTA($C$8:$C$507)+2,Constants!$B$5,COUNTA($C$8:$C$507)+1,Constants!$B$6,COUNTA($C$8:$C$507)),AW282))</f>
        <v/>
      </c>
      <c r="AY282" s="5"/>
      <c r="AZ282" s="100" t="n">
        <f aca="false">IF(OR(ISNUMBER(AW282),AW282=Constants!$B$4,AW282=Constants!$B$6,AW282=Constants!$B$5),1,0)</f>
        <v>0</v>
      </c>
      <c r="BA282" s="100" t="n">
        <v>275</v>
      </c>
      <c r="BB282" s="100" t="str">
        <f aca="false">IF(ISBLANK($C282),"",IF(ISNUMBER(AX282),AX282+ROW($B282)/1000,""))</f>
        <v/>
      </c>
      <c r="BC282" s="100" t="str">
        <f aca="false">IF(ISNUMBER(BB282),RANK(BB282,$BB$8:$BB$507,1),"")</f>
        <v/>
      </c>
      <c r="BD282" s="100" t="str">
        <f aca="false">IF(ISBLANK($C282),"",$B282)</f>
        <v/>
      </c>
      <c r="BE282" s="100" t="str">
        <f aca="false">IF(ISBLANK($C282),"",$C282)</f>
        <v/>
      </c>
      <c r="BF282" s="100" t="str">
        <f aca="false">IF(ISBLANK($C282),"",$D282)</f>
        <v/>
      </c>
      <c r="BG282" s="101" t="str">
        <f aca="false">AU282</f>
        <v/>
      </c>
      <c r="BH282" s="102" t="str">
        <f aca="false">AT282</f>
        <v/>
      </c>
      <c r="BI282" s="100" t="str">
        <f aca="false">IF(ISBLANK($C282),"",AW282)</f>
        <v/>
      </c>
      <c r="BJ282" s="103" t="str">
        <f aca="false">IF($BA282&gt;$AZ$7,"",VLOOKUP($BA282,$BC$8:$BI$507,7,FALSE()))</f>
        <v/>
      </c>
      <c r="BK282" s="104" t="str">
        <f aca="false">IF($BA282&gt;$AZ$7,"",VLOOKUP($BA282,$BC$8:$BI$507,2,FALSE()))</f>
        <v/>
      </c>
      <c r="BL282" s="104" t="str">
        <f aca="false">IF($BA282&gt;$AZ$7,"",VLOOKUP($BA282,$BC$8:$BI$507,3,FALSE()))</f>
        <v/>
      </c>
      <c r="BM282" s="104" t="str">
        <f aca="false">IF($BA282&gt;$AZ$7,"",VLOOKUP($BA282,$BC$8:$BI$507,4,FALSE()))</f>
        <v/>
      </c>
      <c r="BN282" s="104" t="str">
        <f aca="false">IF($BA282&gt;$AZ$7,"",VLOOKUP($BA282,$BC$8:$BI$507,5,FALSE()))</f>
        <v/>
      </c>
      <c r="BO282" s="105" t="str">
        <f aca="false">IF($BA282&gt;$AZ$7,"",VLOOKUP($BA282,$BC$8:$BI$507,6,FALSE()))</f>
        <v/>
      </c>
      <c r="BP282" s="52"/>
    </row>
    <row r="283" customFormat="false" ht="15.75" hidden="false" customHeight="false" outlineLevel="0" collapsed="false">
      <c r="A283" s="5"/>
      <c r="B283" s="114"/>
      <c r="C283" s="115"/>
      <c r="D283" s="106"/>
      <c r="E283" s="117"/>
      <c r="F283" s="87"/>
      <c r="G283" s="88"/>
      <c r="H283" s="88"/>
      <c r="I283" s="87"/>
      <c r="J283" s="88"/>
      <c r="K283" s="88"/>
      <c r="L283" s="87"/>
      <c r="M283" s="117"/>
      <c r="N283" s="90"/>
      <c r="O283" s="91" t="str">
        <f aca="false">IF(ISBLANK($C283),"",IF(E283=Constants!$B$2, TRUE(), IF(E283=Constants!$B$3, FALSE(), TRUE())))</f>
        <v/>
      </c>
      <c r="P283" s="91" t="str">
        <f aca="false">IF(ISBLANK($C283),"",IF(F283=Constants!$B$16,Constants!$B$9,IF(F283=Constants!$B$17,Constants!$B$10,Constants!$B$8)))</f>
        <v/>
      </c>
      <c r="Q283" s="91" t="str">
        <f aca="false">IF(ISBLANK($C283),"",IF(ISNUMBER(G283),IF(G283&gt;=0,G283,""),""))</f>
        <v/>
      </c>
      <c r="R283" s="91" t="str">
        <f aca="false">IF(ISBLANK($C283),"",IF(H283=Constants!$B$2, TRUE(), IF(H283=Constants!$B$3, FALSE(), TRUE())))</f>
        <v/>
      </c>
      <c r="S283" s="91" t="str">
        <f aca="false">IF(ISBLANK($C283),"",IF(I283=Constants!$B$2, TRUE(), IF(I283=Constants!$B$3, FALSE(), TRUE())))</f>
        <v/>
      </c>
      <c r="T283" s="91" t="str">
        <f aca="false">IF(ISBLANK($C283),"",IF(ISNUMBER(J283),IF(J283&gt;=0,J283,""),""))</f>
        <v/>
      </c>
      <c r="U283" s="91" t="str">
        <f aca="false">IF(ISBLANK($C283),"",IF(K283=Constants!$B$2, TRUE(), IF(K283=Constants!$B$3, FALSE(), TRUE())))</f>
        <v/>
      </c>
      <c r="V283" s="91" t="str">
        <f aca="false">IF(ISBLANK($C283),"",IF(L283=Constants!$B$2, TRUE(), IF(L283=Constants!$B$3, FALSE(), TRUE())))</f>
        <v/>
      </c>
      <c r="W283" s="91" t="str">
        <f aca="false">IF(ISBLANK($C283),"",IF(M283=Constants!$B$2, TRUE(), IF(M283=Constants!$B$3, FALSE(), FALSE())))</f>
        <v/>
      </c>
      <c r="X283" s="91" t="str">
        <f aca="false">IF(ISBLANK($C283),"",AND(Q283&lt;&gt;"",O283))</f>
        <v/>
      </c>
      <c r="Y283" s="91" t="str">
        <f aca="false">IF(ISBLANK($C283),"",AND(T283&lt;&gt;"",O283))</f>
        <v/>
      </c>
      <c r="Z283" s="91" t="str">
        <f aca="false">IF(ISBLANK($C283),"",IF(W283,Constants!$B$4,IF(COUNTA(E283:L283)=0,Constants!$B$5,IF(NOT(O283),Constants!$B$6,IF(AND(NOT(X283),NOT(Y283)),Constants!$B$6,Constants!$B$7)))))</f>
        <v/>
      </c>
      <c r="AA283" s="91" t="str">
        <f aca="false">IF(ISBLANK($C283),"",IF($Z283&lt;&gt;Constants!$B$7,$Z283,Constants!$B$20))</f>
        <v/>
      </c>
      <c r="AB283" s="91" t="str">
        <f aca="false">IF($Z283=Constants!$B$7,IF(X283,Q283,Constants!$B$13),"")</f>
        <v/>
      </c>
      <c r="AC283" s="91" t="str">
        <f aca="false">IF($Z283=Constants!$B$7,IF(X283,P283*IF(R283, 1, Constants!$B$11)*IF(S283, 1, Constants!$B$12),Constants!$B$13),"")</f>
        <v/>
      </c>
      <c r="AD283" s="91" t="str">
        <f aca="false">IF($Z283=Constants!$B$7,AB283*AC283,"")</f>
        <v/>
      </c>
      <c r="AE283" s="91" t="str">
        <f aca="false">IF($Z283=Constants!$B$7,IF(Y283,T283,Constants!$B$13),"")</f>
        <v/>
      </c>
      <c r="AF283" s="91" t="str">
        <f aca="false">IF($Z283=Constants!$B$7,IF(Y283,P283*IF(U283, 1, Constants!$B$11)*IF(V283, 1, Constants!$B$12),Constants!$B$13),"")</f>
        <v/>
      </c>
      <c r="AG283" s="91" t="str">
        <f aca="false">IF($Z283=Constants!$B$7,AE283*AF283,"")</f>
        <v/>
      </c>
      <c r="AH283" s="91" t="str">
        <f aca="false">IF($Z283=Constants!$B$7,IF(AG283&gt;AD283,2,1),"")</f>
        <v/>
      </c>
      <c r="AI283" s="91" t="str">
        <f aca="false">IF($Z283=Constants!$B$7,IF(AH283=1,2,1),"")</f>
        <v/>
      </c>
      <c r="AJ283" s="91" t="str">
        <f aca="false">IF(ISBLANK($C283),"",IF($Z283&lt;&gt;Constants!$B$7,$Z283,IF(AH283=1,AD283,AG283)))</f>
        <v/>
      </c>
      <c r="AK283" s="91" t="str">
        <f aca="false">IF(ISBLANK($C283),"",IF($Z283=Constants!$B$7,IF(ISNUMBER(AJ283),RANK(AJ283,$AJ$8:$AJ$507),Constants!$B$14),$Z283))</f>
        <v/>
      </c>
      <c r="AL283" s="91" t="str">
        <f aca="false">IF(ISBLANK($C283),"",IF($Z283=Constants!$B$7,IF(AI283=1,AD283,AG283),""))</f>
        <v/>
      </c>
      <c r="AM283" s="91" t="str">
        <f aca="false">IF(ISBLANK($C283),"",IF($Z283=Constants!$B$7,RANK(AL283,$AL$8:$AL$507),$Z283))</f>
        <v/>
      </c>
      <c r="AN283" s="91" t="str">
        <f aca="false">IF(ISBLANK($C283),"",IF($Z283=Constants!$B$7,IF(ISNUMBER(AK283),COUNTIFS($AK$8:$AK$507,"&lt;"&amp;$AK283)+COUNTIFS($AK$8:$AK$507,$AK283,$AM$8:$AM$507,"&lt;"&amp;$AM283)+1,Constants!$B$14),$Z283))</f>
        <v/>
      </c>
      <c r="AO283" s="91" t="str">
        <f aca="false">IF(ISBLANK($C283),"",IF($Z283=Constants!$B$7,IF(ISNUMBER(AK283),AK283-AN283,Constants!$B$14),$Z283))</f>
        <v/>
      </c>
      <c r="AP283" s="92"/>
      <c r="AQ283" s="93" t="str">
        <f aca="false">IF(ISBLANK($C283),"",IF($Z283&lt;&gt;Constants!$B$7,"",AH283))</f>
        <v/>
      </c>
      <c r="AR283" s="94" t="str">
        <f aca="false">IF(ISBLANK($C283),"",IF($Z283&lt;&gt;Constants!$B$7,"",IF(AH283=1,AB283,AE283)))</f>
        <v/>
      </c>
      <c r="AS283" s="95" t="str">
        <f aca="false">IF(ISBLANK($C283),"",IF($Z283&lt;&gt;Constants!$B$7,"",IF(AH283=1,AC283,AF283)))</f>
        <v/>
      </c>
      <c r="AT283" s="96" t="str">
        <f aca="false">IF(ISBLANK($C283),"",IF($Z283&lt;&gt;Constants!$B$7,$Z283,AJ283))</f>
        <v/>
      </c>
      <c r="AU283" s="97" t="str">
        <f aca="false">IF(ISBLANK($C283),"",IF($Z283&lt;&gt;Constants!$B$7,$Z283,AA283))</f>
        <v/>
      </c>
      <c r="AV283" s="98" t="str">
        <f aca="false">IF(ISBLANK($C283),"",AO283)</f>
        <v/>
      </c>
      <c r="AW283" s="98" t="str">
        <f aca="false">IF(ISBLANK($C283),"",AN283)</f>
        <v/>
      </c>
      <c r="AX283" s="99" t="str">
        <f aca="false">IF(ISBLANK($C283),"",IFERROR(_xlfn.SWITCH(AW283,Constants!$B$4,COUNTA($C$8:$C$507)+2,Constants!$B$5,COUNTA($C$8:$C$507)+1,Constants!$B$6,COUNTA($C$8:$C$507)),AW283))</f>
        <v/>
      </c>
      <c r="AY283" s="5"/>
      <c r="AZ283" s="100" t="n">
        <f aca="false">IF(OR(ISNUMBER(AW283),AW283=Constants!$B$4,AW283=Constants!$B$6,AW283=Constants!$B$5),1,0)</f>
        <v>0</v>
      </c>
      <c r="BA283" s="100" t="n">
        <v>276</v>
      </c>
      <c r="BB283" s="100" t="str">
        <f aca="false">IF(ISBLANK($C283),"",IF(ISNUMBER(AX283),AX283+ROW($B283)/1000,""))</f>
        <v/>
      </c>
      <c r="BC283" s="100" t="str">
        <f aca="false">IF(ISNUMBER(BB283),RANK(BB283,$BB$8:$BB$507,1),"")</f>
        <v/>
      </c>
      <c r="BD283" s="100" t="str">
        <f aca="false">IF(ISBLANK($C283),"",$B283)</f>
        <v/>
      </c>
      <c r="BE283" s="100" t="str">
        <f aca="false">IF(ISBLANK($C283),"",$C283)</f>
        <v/>
      </c>
      <c r="BF283" s="100" t="str">
        <f aca="false">IF(ISBLANK($C283),"",$D283)</f>
        <v/>
      </c>
      <c r="BG283" s="101" t="str">
        <f aca="false">AU283</f>
        <v/>
      </c>
      <c r="BH283" s="102" t="str">
        <f aca="false">AT283</f>
        <v/>
      </c>
      <c r="BI283" s="100" t="str">
        <f aca="false">IF(ISBLANK($C283),"",AW283)</f>
        <v/>
      </c>
      <c r="BJ283" s="103" t="str">
        <f aca="false">IF($BA283&gt;$AZ$7,"",VLOOKUP($BA283,$BC$8:$BI$507,7,FALSE()))</f>
        <v/>
      </c>
      <c r="BK283" s="104" t="str">
        <f aca="false">IF($BA283&gt;$AZ$7,"",VLOOKUP($BA283,$BC$8:$BI$507,2,FALSE()))</f>
        <v/>
      </c>
      <c r="BL283" s="104" t="str">
        <f aca="false">IF($BA283&gt;$AZ$7,"",VLOOKUP($BA283,$BC$8:$BI$507,3,FALSE()))</f>
        <v/>
      </c>
      <c r="BM283" s="104" t="str">
        <f aca="false">IF($BA283&gt;$AZ$7,"",VLOOKUP($BA283,$BC$8:$BI$507,4,FALSE()))</f>
        <v/>
      </c>
      <c r="BN283" s="104" t="str">
        <f aca="false">IF($BA283&gt;$AZ$7,"",VLOOKUP($BA283,$BC$8:$BI$507,5,FALSE()))</f>
        <v/>
      </c>
      <c r="BO283" s="105" t="str">
        <f aca="false">IF($BA283&gt;$AZ$7,"",VLOOKUP($BA283,$BC$8:$BI$507,6,FALSE()))</f>
        <v/>
      </c>
      <c r="BP283" s="52"/>
    </row>
    <row r="284" customFormat="false" ht="15.75" hidden="false" customHeight="false" outlineLevel="0" collapsed="false">
      <c r="A284" s="5"/>
      <c r="B284" s="118"/>
      <c r="C284" s="54"/>
      <c r="D284" s="55"/>
      <c r="E284" s="79"/>
      <c r="F284" s="57"/>
      <c r="G284" s="58"/>
      <c r="H284" s="58"/>
      <c r="I284" s="57"/>
      <c r="J284" s="58"/>
      <c r="K284" s="58"/>
      <c r="L284" s="57"/>
      <c r="M284" s="79"/>
      <c r="N284" s="60"/>
      <c r="O284" s="62" t="str">
        <f aca="false">IF(ISBLANK($C284),"",IF(E284=Constants!$B$2, TRUE(), IF(E284=Constants!$B$3, FALSE(), TRUE())))</f>
        <v/>
      </c>
      <c r="P284" s="62" t="str">
        <f aca="false">IF(ISBLANK($C284),"",IF(F284=Constants!$B$16,Constants!$B$9,IF(F284=Constants!$B$17,Constants!$B$10,Constants!$B$8)))</f>
        <v/>
      </c>
      <c r="Q284" s="62" t="str">
        <f aca="false">IF(ISBLANK($C284),"",IF(ISNUMBER(G284),IF(G284&gt;=0,G284,""),""))</f>
        <v/>
      </c>
      <c r="R284" s="62" t="str">
        <f aca="false">IF(ISBLANK($C284),"",IF(H284=Constants!$B$2, TRUE(), IF(H284=Constants!$B$3, FALSE(), TRUE())))</f>
        <v/>
      </c>
      <c r="S284" s="62" t="str">
        <f aca="false">IF(ISBLANK($C284),"",IF(I284=Constants!$B$2, TRUE(), IF(I284=Constants!$B$3, FALSE(), TRUE())))</f>
        <v/>
      </c>
      <c r="T284" s="62" t="str">
        <f aca="false">IF(ISBLANK($C284),"",IF(ISNUMBER(J284),IF(J284&gt;=0,J284,""),""))</f>
        <v/>
      </c>
      <c r="U284" s="62" t="str">
        <f aca="false">IF(ISBLANK($C284),"",IF(K284=Constants!$B$2, TRUE(), IF(K284=Constants!$B$3, FALSE(), TRUE())))</f>
        <v/>
      </c>
      <c r="V284" s="62" t="str">
        <f aca="false">IF(ISBLANK($C284),"",IF(L284=Constants!$B$2, TRUE(), IF(L284=Constants!$B$3, FALSE(), TRUE())))</f>
        <v/>
      </c>
      <c r="W284" s="62" t="str">
        <f aca="false">IF(ISBLANK($C284),"",IF(M284=Constants!$B$2, TRUE(), IF(M284=Constants!$B$3, FALSE(), FALSE())))</f>
        <v/>
      </c>
      <c r="X284" s="62" t="str">
        <f aca="false">IF(ISBLANK($C284),"",AND(Q284&lt;&gt;"",O284))</f>
        <v/>
      </c>
      <c r="Y284" s="62" t="str">
        <f aca="false">IF(ISBLANK($C284),"",AND(T284&lt;&gt;"",O284))</f>
        <v/>
      </c>
      <c r="Z284" s="62" t="str">
        <f aca="false">IF(ISBLANK($C284),"",IF(W284,Constants!$B$4,IF(COUNTA(E284:L284)=0,Constants!$B$5,IF(NOT(O284),Constants!$B$6,IF(AND(NOT(X284),NOT(Y284)),Constants!$B$6,Constants!$B$7)))))</f>
        <v/>
      </c>
      <c r="AA284" s="62" t="str">
        <f aca="false">IF(ISBLANK($C284),"",IF($Z284&lt;&gt;Constants!$B$7,$Z284,Constants!$B$20))</f>
        <v/>
      </c>
      <c r="AB284" s="62" t="str">
        <f aca="false">IF($Z284=Constants!$B$7,IF(X284,Q284,Constants!$B$13),"")</f>
        <v/>
      </c>
      <c r="AC284" s="62" t="str">
        <f aca="false">IF($Z284=Constants!$B$7,IF(X284,P284*IF(R284, 1, Constants!$B$11)*IF(S284, 1, Constants!$B$12),Constants!$B$13),"")</f>
        <v/>
      </c>
      <c r="AD284" s="62" t="str">
        <f aca="false">IF($Z284=Constants!$B$7,AB284*AC284,"")</f>
        <v/>
      </c>
      <c r="AE284" s="62" t="str">
        <f aca="false">IF($Z284=Constants!$B$7,IF(Y284,T284,Constants!$B$13),"")</f>
        <v/>
      </c>
      <c r="AF284" s="62" t="str">
        <f aca="false">IF($Z284=Constants!$B$7,IF(Y284,P284*IF(U284, 1, Constants!$B$11)*IF(V284, 1, Constants!$B$12),Constants!$B$13),"")</f>
        <v/>
      </c>
      <c r="AG284" s="62" t="str">
        <f aca="false">IF($Z284=Constants!$B$7,AE284*AF284,"")</f>
        <v/>
      </c>
      <c r="AH284" s="62" t="str">
        <f aca="false">IF($Z284=Constants!$B$7,IF(AG284&gt;AD284,2,1),"")</f>
        <v/>
      </c>
      <c r="AI284" s="62" t="str">
        <f aca="false">IF($Z284=Constants!$B$7,IF(AH284=1,2,1),"")</f>
        <v/>
      </c>
      <c r="AJ284" s="62" t="str">
        <f aca="false">IF(ISBLANK($C284),"",IF($Z284&lt;&gt;Constants!$B$7,$Z284,IF(AH284=1,AD284,AG284)))</f>
        <v/>
      </c>
      <c r="AK284" s="62" t="str">
        <f aca="false">IF(ISBLANK($C284),"",IF($Z284=Constants!$B$7,IF(ISNUMBER(AJ284),RANK(AJ284,$AJ$8:$AJ$507),Constants!$B$14),$Z284))</f>
        <v/>
      </c>
      <c r="AL284" s="62" t="str">
        <f aca="false">IF(ISBLANK($C284),"",IF($Z284=Constants!$B$7,IF(AI284=1,AD284,AG284),""))</f>
        <v/>
      </c>
      <c r="AM284" s="62" t="str">
        <f aca="false">IF(ISBLANK($C284),"",IF($Z284=Constants!$B$7,RANK(AL284,$AL$8:$AL$507),$Z284))</f>
        <v/>
      </c>
      <c r="AN284" s="62" t="str">
        <f aca="false">IF(ISBLANK($C284),"",IF($Z284=Constants!$B$7,IF(ISNUMBER(AK284),COUNTIFS($AK$8:$AK$507,"&lt;"&amp;$AK284)+COUNTIFS($AK$8:$AK$507,$AK284,$AM$8:$AM$507,"&lt;"&amp;$AM284)+1,Constants!$B$14),$Z284))</f>
        <v/>
      </c>
      <c r="AO284" s="62" t="str">
        <f aca="false">IF(ISBLANK($C284),"",IF($Z284=Constants!$B$7,IF(ISNUMBER(AK284),AK284-AN284,Constants!$B$14),$Z284))</f>
        <v/>
      </c>
      <c r="AP284" s="64"/>
      <c r="AQ284" s="65" t="str">
        <f aca="false">IF(ISBLANK($C284),"",IF($Z284&lt;&gt;Constants!$B$7,"",AH284))</f>
        <v/>
      </c>
      <c r="AR284" s="80" t="str">
        <f aca="false">IF(ISBLANK($C284),"",IF($Z284&lt;&gt;Constants!$B$7,"",IF(AH284=1,AB284,AE284)))</f>
        <v/>
      </c>
      <c r="AS284" s="67" t="str">
        <f aca="false">IF(ISBLANK($C284),"",IF($Z284&lt;&gt;Constants!$B$7,"",IF(AH284=1,AC284,AF284)))</f>
        <v/>
      </c>
      <c r="AT284" s="68" t="str">
        <f aca="false">IF(ISBLANK($C284),"",IF($Z284&lt;&gt;Constants!$B$7,$Z284,AJ284))</f>
        <v/>
      </c>
      <c r="AU284" s="69" t="str">
        <f aca="false">IF(ISBLANK($C284),"",IF($Z284&lt;&gt;Constants!$B$7,$Z284,AA284))</f>
        <v/>
      </c>
      <c r="AV284" s="70" t="str">
        <f aca="false">IF(ISBLANK($C284),"",AO284)</f>
        <v/>
      </c>
      <c r="AW284" s="70" t="str">
        <f aca="false">IF(ISBLANK($C284),"",AN284)</f>
        <v/>
      </c>
      <c r="AX284" s="71" t="str">
        <f aca="false">IF(ISBLANK($C284),"",IFERROR(_xlfn.SWITCH(AW284,Constants!$B$4,COUNTA($C$8:$C$507)+2,Constants!$B$5,COUNTA($C$8:$C$507)+1,Constants!$B$6,COUNTA($C$8:$C$507)),AW284))</f>
        <v/>
      </c>
      <c r="AY284" s="5"/>
      <c r="AZ284" s="72" t="n">
        <f aca="false">IF(OR(ISNUMBER(AW284),AW284=Constants!$B$4,AW284=Constants!$B$6,AW284=Constants!$B$5),1,0)</f>
        <v>0</v>
      </c>
      <c r="BA284" s="72" t="n">
        <v>277</v>
      </c>
      <c r="BB284" s="72" t="str">
        <f aca="false">IF(ISBLANK($C284),"",IF(ISNUMBER(AX284),AX284+ROW($B284)/1000,""))</f>
        <v/>
      </c>
      <c r="BC284" s="72" t="str">
        <f aca="false">IF(ISNUMBER(BB284),RANK(BB284,$BB$8:$BB$507,1),"")</f>
        <v/>
      </c>
      <c r="BD284" s="72" t="str">
        <f aca="false">IF(ISBLANK($C284),"",$B284)</f>
        <v/>
      </c>
      <c r="BE284" s="72" t="str">
        <f aca="false">IF(ISBLANK($C284),"",$C284)</f>
        <v/>
      </c>
      <c r="BF284" s="72" t="str">
        <f aca="false">IF(ISBLANK($C284),"",$D284)</f>
        <v/>
      </c>
      <c r="BG284" s="73" t="str">
        <f aca="false">AU284</f>
        <v/>
      </c>
      <c r="BH284" s="74" t="str">
        <f aca="false">AT284</f>
        <v/>
      </c>
      <c r="BI284" s="72" t="str">
        <f aca="false">IF(ISBLANK($C284),"",AW284)</f>
        <v/>
      </c>
      <c r="BJ284" s="75" t="str">
        <f aca="false">IF($BA284&gt;$AZ$7,"",VLOOKUP($BA284,$BC$8:$BI$507,7,FALSE()))</f>
        <v/>
      </c>
      <c r="BK284" s="76" t="str">
        <f aca="false">IF($BA284&gt;$AZ$7,"",VLOOKUP($BA284,$BC$8:$BI$507,2,FALSE()))</f>
        <v/>
      </c>
      <c r="BL284" s="76" t="str">
        <f aca="false">IF($BA284&gt;$AZ$7,"",VLOOKUP($BA284,$BC$8:$BI$507,3,FALSE()))</f>
        <v/>
      </c>
      <c r="BM284" s="76" t="str">
        <f aca="false">IF($BA284&gt;$AZ$7,"",VLOOKUP($BA284,$BC$8:$BI$507,4,FALSE()))</f>
        <v/>
      </c>
      <c r="BN284" s="76" t="str">
        <f aca="false">IF($BA284&gt;$AZ$7,"",VLOOKUP($BA284,$BC$8:$BI$507,5,FALSE()))</f>
        <v/>
      </c>
      <c r="BO284" s="77" t="str">
        <f aca="false">IF($BA284&gt;$AZ$7,"",VLOOKUP($BA284,$BC$8:$BI$507,6,FALSE()))</f>
        <v/>
      </c>
      <c r="BP284" s="52"/>
    </row>
    <row r="285" customFormat="false" ht="15.75" hidden="false" customHeight="false" outlineLevel="0" collapsed="false">
      <c r="A285" s="5"/>
      <c r="B285" s="118"/>
      <c r="C285" s="54"/>
      <c r="D285" s="55"/>
      <c r="E285" s="79"/>
      <c r="F285" s="57"/>
      <c r="G285" s="58"/>
      <c r="H285" s="58"/>
      <c r="I285" s="57"/>
      <c r="J285" s="58"/>
      <c r="K285" s="58"/>
      <c r="L285" s="57"/>
      <c r="M285" s="79"/>
      <c r="N285" s="60"/>
      <c r="O285" s="62" t="str">
        <f aca="false">IF(ISBLANK($C285),"",IF(E285=Constants!$B$2, TRUE(), IF(E285=Constants!$B$3, FALSE(), TRUE())))</f>
        <v/>
      </c>
      <c r="P285" s="62" t="str">
        <f aca="false">IF(ISBLANK($C285),"",IF(F285=Constants!$B$16,Constants!$B$9,IF(F285=Constants!$B$17,Constants!$B$10,Constants!$B$8)))</f>
        <v/>
      </c>
      <c r="Q285" s="62" t="str">
        <f aca="false">IF(ISBLANK($C285),"",IF(ISNUMBER(G285),IF(G285&gt;=0,G285,""),""))</f>
        <v/>
      </c>
      <c r="R285" s="62" t="str">
        <f aca="false">IF(ISBLANK($C285),"",IF(H285=Constants!$B$2, TRUE(), IF(H285=Constants!$B$3, FALSE(), TRUE())))</f>
        <v/>
      </c>
      <c r="S285" s="62" t="str">
        <f aca="false">IF(ISBLANK($C285),"",IF(I285=Constants!$B$2, TRUE(), IF(I285=Constants!$B$3, FALSE(), TRUE())))</f>
        <v/>
      </c>
      <c r="T285" s="62" t="str">
        <f aca="false">IF(ISBLANK($C285),"",IF(ISNUMBER(J285),IF(J285&gt;=0,J285,""),""))</f>
        <v/>
      </c>
      <c r="U285" s="62" t="str">
        <f aca="false">IF(ISBLANK($C285),"",IF(K285=Constants!$B$2, TRUE(), IF(K285=Constants!$B$3, FALSE(), TRUE())))</f>
        <v/>
      </c>
      <c r="V285" s="62" t="str">
        <f aca="false">IF(ISBLANK($C285),"",IF(L285=Constants!$B$2, TRUE(), IF(L285=Constants!$B$3, FALSE(), TRUE())))</f>
        <v/>
      </c>
      <c r="W285" s="62" t="str">
        <f aca="false">IF(ISBLANK($C285),"",IF(M285=Constants!$B$2, TRUE(), IF(M285=Constants!$B$3, FALSE(), FALSE())))</f>
        <v/>
      </c>
      <c r="X285" s="62" t="str">
        <f aca="false">IF(ISBLANK($C285),"",AND(Q285&lt;&gt;"",O285))</f>
        <v/>
      </c>
      <c r="Y285" s="62" t="str">
        <f aca="false">IF(ISBLANK($C285),"",AND(T285&lt;&gt;"",O285))</f>
        <v/>
      </c>
      <c r="Z285" s="62" t="str">
        <f aca="false">IF(ISBLANK($C285),"",IF(W285,Constants!$B$4,IF(COUNTA(E285:L285)=0,Constants!$B$5,IF(NOT(O285),Constants!$B$6,IF(AND(NOT(X285),NOT(Y285)),Constants!$B$6,Constants!$B$7)))))</f>
        <v/>
      </c>
      <c r="AA285" s="62" t="str">
        <f aca="false">IF(ISBLANK($C285),"",IF($Z285&lt;&gt;Constants!$B$7,$Z285,Constants!$B$20))</f>
        <v/>
      </c>
      <c r="AB285" s="62" t="str">
        <f aca="false">IF($Z285=Constants!$B$7,IF(X285,Q285,Constants!$B$13),"")</f>
        <v/>
      </c>
      <c r="AC285" s="62" t="str">
        <f aca="false">IF($Z285=Constants!$B$7,IF(X285,P285*IF(R285, 1, Constants!$B$11)*IF(S285, 1, Constants!$B$12),Constants!$B$13),"")</f>
        <v/>
      </c>
      <c r="AD285" s="62" t="str">
        <f aca="false">IF($Z285=Constants!$B$7,AB285*AC285,"")</f>
        <v/>
      </c>
      <c r="AE285" s="62" t="str">
        <f aca="false">IF($Z285=Constants!$B$7,IF(Y285,T285,Constants!$B$13),"")</f>
        <v/>
      </c>
      <c r="AF285" s="62" t="str">
        <f aca="false">IF($Z285=Constants!$B$7,IF(Y285,P285*IF(U285, 1, Constants!$B$11)*IF(V285, 1, Constants!$B$12),Constants!$B$13),"")</f>
        <v/>
      </c>
      <c r="AG285" s="62" t="str">
        <f aca="false">IF($Z285=Constants!$B$7,AE285*AF285,"")</f>
        <v/>
      </c>
      <c r="AH285" s="62" t="str">
        <f aca="false">IF($Z285=Constants!$B$7,IF(AG285&gt;AD285,2,1),"")</f>
        <v/>
      </c>
      <c r="AI285" s="62" t="str">
        <f aca="false">IF($Z285=Constants!$B$7,IF(AH285=1,2,1),"")</f>
        <v/>
      </c>
      <c r="AJ285" s="62" t="str">
        <f aca="false">IF(ISBLANK($C285),"",IF($Z285&lt;&gt;Constants!$B$7,$Z285,IF(AH285=1,AD285,AG285)))</f>
        <v/>
      </c>
      <c r="AK285" s="62" t="str">
        <f aca="false">IF(ISBLANK($C285),"",IF($Z285=Constants!$B$7,IF(ISNUMBER(AJ285),RANK(AJ285,$AJ$8:$AJ$507),Constants!$B$14),$Z285))</f>
        <v/>
      </c>
      <c r="AL285" s="62" t="str">
        <f aca="false">IF(ISBLANK($C285),"",IF($Z285=Constants!$B$7,IF(AI285=1,AD285,AG285),""))</f>
        <v/>
      </c>
      <c r="AM285" s="62" t="str">
        <f aca="false">IF(ISBLANK($C285),"",IF($Z285=Constants!$B$7,RANK(AL285,$AL$8:$AL$507),$Z285))</f>
        <v/>
      </c>
      <c r="AN285" s="62" t="str">
        <f aca="false">IF(ISBLANK($C285),"",IF($Z285=Constants!$B$7,IF(ISNUMBER(AK285),COUNTIFS($AK$8:$AK$507,"&lt;"&amp;$AK285)+COUNTIFS($AK$8:$AK$507,$AK285,$AM$8:$AM$507,"&lt;"&amp;$AM285)+1,Constants!$B$14),$Z285))</f>
        <v/>
      </c>
      <c r="AO285" s="62" t="str">
        <f aca="false">IF(ISBLANK($C285),"",IF($Z285=Constants!$B$7,IF(ISNUMBER(AK285),AK285-AN285,Constants!$B$14),$Z285))</f>
        <v/>
      </c>
      <c r="AP285" s="64"/>
      <c r="AQ285" s="65" t="str">
        <f aca="false">IF(ISBLANK($C285),"",IF($Z285&lt;&gt;Constants!$B$7,"",AH285))</f>
        <v/>
      </c>
      <c r="AR285" s="80" t="str">
        <f aca="false">IF(ISBLANK($C285),"",IF($Z285&lt;&gt;Constants!$B$7,"",IF(AH285=1,AB285,AE285)))</f>
        <v/>
      </c>
      <c r="AS285" s="67" t="str">
        <f aca="false">IF(ISBLANK($C285),"",IF($Z285&lt;&gt;Constants!$B$7,"",IF(AH285=1,AC285,AF285)))</f>
        <v/>
      </c>
      <c r="AT285" s="68" t="str">
        <f aca="false">IF(ISBLANK($C285),"",IF($Z285&lt;&gt;Constants!$B$7,$Z285,AJ285))</f>
        <v/>
      </c>
      <c r="AU285" s="69" t="str">
        <f aca="false">IF(ISBLANK($C285),"",IF($Z285&lt;&gt;Constants!$B$7,$Z285,AA285))</f>
        <v/>
      </c>
      <c r="AV285" s="70" t="str">
        <f aca="false">IF(ISBLANK($C285),"",AO285)</f>
        <v/>
      </c>
      <c r="AW285" s="70" t="str">
        <f aca="false">IF(ISBLANK($C285),"",AN285)</f>
        <v/>
      </c>
      <c r="AX285" s="71" t="str">
        <f aca="false">IF(ISBLANK($C285),"",IFERROR(_xlfn.SWITCH(AW285,Constants!$B$4,COUNTA($C$8:$C$507)+2,Constants!$B$5,COUNTA($C$8:$C$507)+1,Constants!$B$6,COUNTA($C$8:$C$507)),AW285))</f>
        <v/>
      </c>
      <c r="AY285" s="5"/>
      <c r="AZ285" s="72" t="n">
        <f aca="false">IF(OR(ISNUMBER(AW285),AW285=Constants!$B$4,AW285=Constants!$B$6,AW285=Constants!$B$5),1,0)</f>
        <v>0</v>
      </c>
      <c r="BA285" s="72" t="n">
        <v>278</v>
      </c>
      <c r="BB285" s="72" t="str">
        <f aca="false">IF(ISBLANK($C285),"",IF(ISNUMBER(AX285),AX285+ROW($B285)/1000,""))</f>
        <v/>
      </c>
      <c r="BC285" s="72" t="str">
        <f aca="false">IF(ISNUMBER(BB285),RANK(BB285,$BB$8:$BB$507,1),"")</f>
        <v/>
      </c>
      <c r="BD285" s="72" t="str">
        <f aca="false">IF(ISBLANK($C285),"",$B285)</f>
        <v/>
      </c>
      <c r="BE285" s="72" t="str">
        <f aca="false">IF(ISBLANK($C285),"",$C285)</f>
        <v/>
      </c>
      <c r="BF285" s="72" t="str">
        <f aca="false">IF(ISBLANK($C285),"",$D285)</f>
        <v/>
      </c>
      <c r="BG285" s="73" t="str">
        <f aca="false">AU285</f>
        <v/>
      </c>
      <c r="BH285" s="74" t="str">
        <f aca="false">AT285</f>
        <v/>
      </c>
      <c r="BI285" s="72" t="str">
        <f aca="false">IF(ISBLANK($C285),"",AW285)</f>
        <v/>
      </c>
      <c r="BJ285" s="75" t="str">
        <f aca="false">IF($BA285&gt;$AZ$7,"",VLOOKUP($BA285,$BC$8:$BI$507,7,FALSE()))</f>
        <v/>
      </c>
      <c r="BK285" s="76" t="str">
        <f aca="false">IF($BA285&gt;$AZ$7,"",VLOOKUP($BA285,$BC$8:$BI$507,2,FALSE()))</f>
        <v/>
      </c>
      <c r="BL285" s="76" t="str">
        <f aca="false">IF($BA285&gt;$AZ$7,"",VLOOKUP($BA285,$BC$8:$BI$507,3,FALSE()))</f>
        <v/>
      </c>
      <c r="BM285" s="76" t="str">
        <f aca="false">IF($BA285&gt;$AZ$7,"",VLOOKUP($BA285,$BC$8:$BI$507,4,FALSE()))</f>
        <v/>
      </c>
      <c r="BN285" s="76" t="str">
        <f aca="false">IF($BA285&gt;$AZ$7,"",VLOOKUP($BA285,$BC$8:$BI$507,5,FALSE()))</f>
        <v/>
      </c>
      <c r="BO285" s="77" t="str">
        <f aca="false">IF($BA285&gt;$AZ$7,"",VLOOKUP($BA285,$BC$8:$BI$507,6,FALSE()))</f>
        <v/>
      </c>
      <c r="BP285" s="52"/>
    </row>
    <row r="286" customFormat="false" ht="15.75" hidden="false" customHeight="false" outlineLevel="0" collapsed="false">
      <c r="A286" s="5"/>
      <c r="B286" s="118"/>
      <c r="C286" s="54"/>
      <c r="D286" s="55"/>
      <c r="E286" s="79"/>
      <c r="F286" s="57"/>
      <c r="G286" s="58"/>
      <c r="H286" s="58"/>
      <c r="I286" s="57"/>
      <c r="J286" s="58"/>
      <c r="K286" s="58"/>
      <c r="L286" s="57"/>
      <c r="M286" s="79"/>
      <c r="N286" s="60"/>
      <c r="O286" s="62" t="str">
        <f aca="false">IF(ISBLANK($C286),"",IF(E286=Constants!$B$2, TRUE(), IF(E286=Constants!$B$3, FALSE(), TRUE())))</f>
        <v/>
      </c>
      <c r="P286" s="62" t="str">
        <f aca="false">IF(ISBLANK($C286),"",IF(F286=Constants!$B$16,Constants!$B$9,IF(F286=Constants!$B$17,Constants!$B$10,Constants!$B$8)))</f>
        <v/>
      </c>
      <c r="Q286" s="62" t="str">
        <f aca="false">IF(ISBLANK($C286),"",IF(ISNUMBER(G286),IF(G286&gt;=0,G286,""),""))</f>
        <v/>
      </c>
      <c r="R286" s="62" t="str">
        <f aca="false">IF(ISBLANK($C286),"",IF(H286=Constants!$B$2, TRUE(), IF(H286=Constants!$B$3, FALSE(), TRUE())))</f>
        <v/>
      </c>
      <c r="S286" s="62" t="str">
        <f aca="false">IF(ISBLANK($C286),"",IF(I286=Constants!$B$2, TRUE(), IF(I286=Constants!$B$3, FALSE(), TRUE())))</f>
        <v/>
      </c>
      <c r="T286" s="62" t="str">
        <f aca="false">IF(ISBLANK($C286),"",IF(ISNUMBER(J286),IF(J286&gt;=0,J286,""),""))</f>
        <v/>
      </c>
      <c r="U286" s="62" t="str">
        <f aca="false">IF(ISBLANK($C286),"",IF(K286=Constants!$B$2, TRUE(), IF(K286=Constants!$B$3, FALSE(), TRUE())))</f>
        <v/>
      </c>
      <c r="V286" s="62" t="str">
        <f aca="false">IF(ISBLANK($C286),"",IF(L286=Constants!$B$2, TRUE(), IF(L286=Constants!$B$3, FALSE(), TRUE())))</f>
        <v/>
      </c>
      <c r="W286" s="62" t="str">
        <f aca="false">IF(ISBLANK($C286),"",IF(M286=Constants!$B$2, TRUE(), IF(M286=Constants!$B$3, FALSE(), FALSE())))</f>
        <v/>
      </c>
      <c r="X286" s="62" t="str">
        <f aca="false">IF(ISBLANK($C286),"",AND(Q286&lt;&gt;"",O286))</f>
        <v/>
      </c>
      <c r="Y286" s="62" t="str">
        <f aca="false">IF(ISBLANK($C286),"",AND(T286&lt;&gt;"",O286))</f>
        <v/>
      </c>
      <c r="Z286" s="62" t="str">
        <f aca="false">IF(ISBLANK($C286),"",IF(W286,Constants!$B$4,IF(COUNTA(E286:L286)=0,Constants!$B$5,IF(NOT(O286),Constants!$B$6,IF(AND(NOT(X286),NOT(Y286)),Constants!$B$6,Constants!$B$7)))))</f>
        <v/>
      </c>
      <c r="AA286" s="62" t="str">
        <f aca="false">IF(ISBLANK($C286),"",IF($Z286&lt;&gt;Constants!$B$7,$Z286,Constants!$B$20))</f>
        <v/>
      </c>
      <c r="AB286" s="62" t="str">
        <f aca="false">IF($Z286=Constants!$B$7,IF(X286,Q286,Constants!$B$13),"")</f>
        <v/>
      </c>
      <c r="AC286" s="62" t="str">
        <f aca="false">IF($Z286=Constants!$B$7,IF(X286,P286*IF(R286, 1, Constants!$B$11)*IF(S286, 1, Constants!$B$12),Constants!$B$13),"")</f>
        <v/>
      </c>
      <c r="AD286" s="62" t="str">
        <f aca="false">IF($Z286=Constants!$B$7,AB286*AC286,"")</f>
        <v/>
      </c>
      <c r="AE286" s="62" t="str">
        <f aca="false">IF($Z286=Constants!$B$7,IF(Y286,T286,Constants!$B$13),"")</f>
        <v/>
      </c>
      <c r="AF286" s="62" t="str">
        <f aca="false">IF($Z286=Constants!$B$7,IF(Y286,P286*IF(U286, 1, Constants!$B$11)*IF(V286, 1, Constants!$B$12),Constants!$B$13),"")</f>
        <v/>
      </c>
      <c r="AG286" s="62" t="str">
        <f aca="false">IF($Z286=Constants!$B$7,AE286*AF286,"")</f>
        <v/>
      </c>
      <c r="AH286" s="62" t="str">
        <f aca="false">IF($Z286=Constants!$B$7,IF(AG286&gt;AD286,2,1),"")</f>
        <v/>
      </c>
      <c r="AI286" s="62" t="str">
        <f aca="false">IF($Z286=Constants!$B$7,IF(AH286=1,2,1),"")</f>
        <v/>
      </c>
      <c r="AJ286" s="62" t="str">
        <f aca="false">IF(ISBLANK($C286),"",IF($Z286&lt;&gt;Constants!$B$7,$Z286,IF(AH286=1,AD286,AG286)))</f>
        <v/>
      </c>
      <c r="AK286" s="62" t="str">
        <f aca="false">IF(ISBLANK($C286),"",IF($Z286=Constants!$B$7,IF(ISNUMBER(AJ286),RANK(AJ286,$AJ$8:$AJ$507),Constants!$B$14),$Z286))</f>
        <v/>
      </c>
      <c r="AL286" s="62" t="str">
        <f aca="false">IF(ISBLANK($C286),"",IF($Z286=Constants!$B$7,IF(AI286=1,AD286,AG286),""))</f>
        <v/>
      </c>
      <c r="AM286" s="62" t="str">
        <f aca="false">IF(ISBLANK($C286),"",IF($Z286=Constants!$B$7,RANK(AL286,$AL$8:$AL$507),$Z286))</f>
        <v/>
      </c>
      <c r="AN286" s="62" t="str">
        <f aca="false">IF(ISBLANK($C286),"",IF($Z286=Constants!$B$7,IF(ISNUMBER(AK286),COUNTIFS($AK$8:$AK$507,"&lt;"&amp;$AK286)+COUNTIFS($AK$8:$AK$507,$AK286,$AM$8:$AM$507,"&lt;"&amp;$AM286)+1,Constants!$B$14),$Z286))</f>
        <v/>
      </c>
      <c r="AO286" s="62" t="str">
        <f aca="false">IF(ISBLANK($C286),"",IF($Z286=Constants!$B$7,IF(ISNUMBER(AK286),AK286-AN286,Constants!$B$14),$Z286))</f>
        <v/>
      </c>
      <c r="AP286" s="64"/>
      <c r="AQ286" s="65" t="str">
        <f aca="false">IF(ISBLANK($C286),"",IF($Z286&lt;&gt;Constants!$B$7,"",AH286))</f>
        <v/>
      </c>
      <c r="AR286" s="80" t="str">
        <f aca="false">IF(ISBLANK($C286),"",IF($Z286&lt;&gt;Constants!$B$7,"",IF(AH286=1,AB286,AE286)))</f>
        <v/>
      </c>
      <c r="AS286" s="67" t="str">
        <f aca="false">IF(ISBLANK($C286),"",IF($Z286&lt;&gt;Constants!$B$7,"",IF(AH286=1,AC286,AF286)))</f>
        <v/>
      </c>
      <c r="AT286" s="68" t="str">
        <f aca="false">IF(ISBLANK($C286),"",IF($Z286&lt;&gt;Constants!$B$7,$Z286,AJ286))</f>
        <v/>
      </c>
      <c r="AU286" s="69" t="str">
        <f aca="false">IF(ISBLANK($C286),"",IF($Z286&lt;&gt;Constants!$B$7,$Z286,AA286))</f>
        <v/>
      </c>
      <c r="AV286" s="70" t="str">
        <f aca="false">IF(ISBLANK($C286),"",AO286)</f>
        <v/>
      </c>
      <c r="AW286" s="70" t="str">
        <f aca="false">IF(ISBLANK($C286),"",AN286)</f>
        <v/>
      </c>
      <c r="AX286" s="71" t="str">
        <f aca="false">IF(ISBLANK($C286),"",IFERROR(_xlfn.SWITCH(AW286,Constants!$B$4,COUNTA($C$8:$C$507)+2,Constants!$B$5,COUNTA($C$8:$C$507)+1,Constants!$B$6,COUNTA($C$8:$C$507)),AW286))</f>
        <v/>
      </c>
      <c r="AY286" s="5"/>
      <c r="AZ286" s="72" t="n">
        <f aca="false">IF(OR(ISNUMBER(AW286),AW286=Constants!$B$4,AW286=Constants!$B$6,AW286=Constants!$B$5),1,0)</f>
        <v>0</v>
      </c>
      <c r="BA286" s="72" t="n">
        <v>279</v>
      </c>
      <c r="BB286" s="72" t="str">
        <f aca="false">IF(ISBLANK($C286),"",IF(ISNUMBER(AX286),AX286+ROW($B286)/1000,""))</f>
        <v/>
      </c>
      <c r="BC286" s="72" t="str">
        <f aca="false">IF(ISNUMBER(BB286),RANK(BB286,$BB$8:$BB$507,1),"")</f>
        <v/>
      </c>
      <c r="BD286" s="72" t="str">
        <f aca="false">IF(ISBLANK($C286),"",$B286)</f>
        <v/>
      </c>
      <c r="BE286" s="72" t="str">
        <f aca="false">IF(ISBLANK($C286),"",$C286)</f>
        <v/>
      </c>
      <c r="BF286" s="72" t="str">
        <f aca="false">IF(ISBLANK($C286),"",$D286)</f>
        <v/>
      </c>
      <c r="BG286" s="73" t="str">
        <f aca="false">AU286</f>
        <v/>
      </c>
      <c r="BH286" s="74" t="str">
        <f aca="false">AT286</f>
        <v/>
      </c>
      <c r="BI286" s="72" t="str">
        <f aca="false">IF(ISBLANK($C286),"",AW286)</f>
        <v/>
      </c>
      <c r="BJ286" s="75" t="str">
        <f aca="false">IF($BA286&gt;$AZ$7,"",VLOOKUP($BA286,$BC$8:$BI$507,7,FALSE()))</f>
        <v/>
      </c>
      <c r="BK286" s="76" t="str">
        <f aca="false">IF($BA286&gt;$AZ$7,"",VLOOKUP($BA286,$BC$8:$BI$507,2,FALSE()))</f>
        <v/>
      </c>
      <c r="BL286" s="76" t="str">
        <f aca="false">IF($BA286&gt;$AZ$7,"",VLOOKUP($BA286,$BC$8:$BI$507,3,FALSE()))</f>
        <v/>
      </c>
      <c r="BM286" s="76" t="str">
        <f aca="false">IF($BA286&gt;$AZ$7,"",VLOOKUP($BA286,$BC$8:$BI$507,4,FALSE()))</f>
        <v/>
      </c>
      <c r="BN286" s="76" t="str">
        <f aca="false">IF($BA286&gt;$AZ$7,"",VLOOKUP($BA286,$BC$8:$BI$507,5,FALSE()))</f>
        <v/>
      </c>
      <c r="BO286" s="77" t="str">
        <f aca="false">IF($BA286&gt;$AZ$7,"",VLOOKUP($BA286,$BC$8:$BI$507,6,FALSE()))</f>
        <v/>
      </c>
      <c r="BP286" s="52"/>
    </row>
    <row r="287" customFormat="false" ht="15.75" hidden="false" customHeight="false" outlineLevel="0" collapsed="false">
      <c r="A287" s="5"/>
      <c r="B287" s="114"/>
      <c r="C287" s="115"/>
      <c r="D287" s="106"/>
      <c r="E287" s="117"/>
      <c r="F287" s="87"/>
      <c r="G287" s="88"/>
      <c r="H287" s="88"/>
      <c r="I287" s="87"/>
      <c r="J287" s="88"/>
      <c r="K287" s="88"/>
      <c r="L287" s="87"/>
      <c r="M287" s="117"/>
      <c r="N287" s="90"/>
      <c r="O287" s="91" t="str">
        <f aca="false">IF(ISBLANK($C287),"",IF(E287=Constants!$B$2, TRUE(), IF(E287=Constants!$B$3, FALSE(), TRUE())))</f>
        <v/>
      </c>
      <c r="P287" s="91" t="str">
        <f aca="false">IF(ISBLANK($C287),"",IF(F287=Constants!$B$16,Constants!$B$9,IF(F287=Constants!$B$17,Constants!$B$10,Constants!$B$8)))</f>
        <v/>
      </c>
      <c r="Q287" s="91" t="str">
        <f aca="false">IF(ISBLANK($C287),"",IF(ISNUMBER(G287),IF(G287&gt;=0,G287,""),""))</f>
        <v/>
      </c>
      <c r="R287" s="91" t="str">
        <f aca="false">IF(ISBLANK($C287),"",IF(H287=Constants!$B$2, TRUE(), IF(H287=Constants!$B$3, FALSE(), TRUE())))</f>
        <v/>
      </c>
      <c r="S287" s="91" t="str">
        <f aca="false">IF(ISBLANK($C287),"",IF(I287=Constants!$B$2, TRUE(), IF(I287=Constants!$B$3, FALSE(), TRUE())))</f>
        <v/>
      </c>
      <c r="T287" s="91" t="str">
        <f aca="false">IF(ISBLANK($C287),"",IF(ISNUMBER(J287),IF(J287&gt;=0,J287,""),""))</f>
        <v/>
      </c>
      <c r="U287" s="91" t="str">
        <f aca="false">IF(ISBLANK($C287),"",IF(K287=Constants!$B$2, TRUE(), IF(K287=Constants!$B$3, FALSE(), TRUE())))</f>
        <v/>
      </c>
      <c r="V287" s="91" t="str">
        <f aca="false">IF(ISBLANK($C287),"",IF(L287=Constants!$B$2, TRUE(), IF(L287=Constants!$B$3, FALSE(), TRUE())))</f>
        <v/>
      </c>
      <c r="W287" s="91" t="str">
        <f aca="false">IF(ISBLANK($C287),"",IF(M287=Constants!$B$2, TRUE(), IF(M287=Constants!$B$3, FALSE(), FALSE())))</f>
        <v/>
      </c>
      <c r="X287" s="91" t="str">
        <f aca="false">IF(ISBLANK($C287),"",AND(Q287&lt;&gt;"",O287))</f>
        <v/>
      </c>
      <c r="Y287" s="91" t="str">
        <f aca="false">IF(ISBLANK($C287),"",AND(T287&lt;&gt;"",O287))</f>
        <v/>
      </c>
      <c r="Z287" s="91" t="str">
        <f aca="false">IF(ISBLANK($C287),"",IF(W287,Constants!$B$4,IF(COUNTA(E287:L287)=0,Constants!$B$5,IF(NOT(O287),Constants!$B$6,IF(AND(NOT(X287),NOT(Y287)),Constants!$B$6,Constants!$B$7)))))</f>
        <v/>
      </c>
      <c r="AA287" s="91" t="str">
        <f aca="false">IF(ISBLANK($C287),"",IF($Z287&lt;&gt;Constants!$B$7,$Z287,Constants!$B$20))</f>
        <v/>
      </c>
      <c r="AB287" s="91" t="str">
        <f aca="false">IF($Z287=Constants!$B$7,IF(X287,Q287,Constants!$B$13),"")</f>
        <v/>
      </c>
      <c r="AC287" s="91" t="str">
        <f aca="false">IF($Z287=Constants!$B$7,IF(X287,P287*IF(R287, 1, Constants!$B$11)*IF(S287, 1, Constants!$B$12),Constants!$B$13),"")</f>
        <v/>
      </c>
      <c r="AD287" s="91" t="str">
        <f aca="false">IF($Z287=Constants!$B$7,AB287*AC287,"")</f>
        <v/>
      </c>
      <c r="AE287" s="91" t="str">
        <f aca="false">IF($Z287=Constants!$B$7,IF(Y287,T287,Constants!$B$13),"")</f>
        <v/>
      </c>
      <c r="AF287" s="91" t="str">
        <f aca="false">IF($Z287=Constants!$B$7,IF(Y287,P287*IF(U287, 1, Constants!$B$11)*IF(V287, 1, Constants!$B$12),Constants!$B$13),"")</f>
        <v/>
      </c>
      <c r="AG287" s="91" t="str">
        <f aca="false">IF($Z287=Constants!$B$7,AE287*AF287,"")</f>
        <v/>
      </c>
      <c r="AH287" s="91" t="str">
        <f aca="false">IF($Z287=Constants!$B$7,IF(AG287&gt;AD287,2,1),"")</f>
        <v/>
      </c>
      <c r="AI287" s="91" t="str">
        <f aca="false">IF($Z287=Constants!$B$7,IF(AH287=1,2,1),"")</f>
        <v/>
      </c>
      <c r="AJ287" s="91" t="str">
        <f aca="false">IF(ISBLANK($C287),"",IF($Z287&lt;&gt;Constants!$B$7,$Z287,IF(AH287=1,AD287,AG287)))</f>
        <v/>
      </c>
      <c r="AK287" s="91" t="str">
        <f aca="false">IF(ISBLANK($C287),"",IF($Z287=Constants!$B$7,IF(ISNUMBER(AJ287),RANK(AJ287,$AJ$8:$AJ$507),Constants!$B$14),$Z287))</f>
        <v/>
      </c>
      <c r="AL287" s="91" t="str">
        <f aca="false">IF(ISBLANK($C287),"",IF($Z287=Constants!$B$7,IF(AI287=1,AD287,AG287),""))</f>
        <v/>
      </c>
      <c r="AM287" s="91" t="str">
        <f aca="false">IF(ISBLANK($C287),"",IF($Z287=Constants!$B$7,RANK(AL287,$AL$8:$AL$507),$Z287))</f>
        <v/>
      </c>
      <c r="AN287" s="91" t="str">
        <f aca="false">IF(ISBLANK($C287),"",IF($Z287=Constants!$B$7,IF(ISNUMBER(AK287),COUNTIFS($AK$8:$AK$507,"&lt;"&amp;$AK287)+COUNTIFS($AK$8:$AK$507,$AK287,$AM$8:$AM$507,"&lt;"&amp;$AM287)+1,Constants!$B$14),$Z287))</f>
        <v/>
      </c>
      <c r="AO287" s="91" t="str">
        <f aca="false">IF(ISBLANK($C287),"",IF($Z287=Constants!$B$7,IF(ISNUMBER(AK287),AK287-AN287,Constants!$B$14),$Z287))</f>
        <v/>
      </c>
      <c r="AP287" s="92"/>
      <c r="AQ287" s="93" t="str">
        <f aca="false">IF(ISBLANK($C287),"",IF($Z287&lt;&gt;Constants!$B$7,"",AH287))</f>
        <v/>
      </c>
      <c r="AR287" s="94" t="str">
        <f aca="false">IF(ISBLANK($C287),"",IF($Z287&lt;&gt;Constants!$B$7,"",IF(AH287=1,AB287,AE287)))</f>
        <v/>
      </c>
      <c r="AS287" s="95" t="str">
        <f aca="false">IF(ISBLANK($C287),"",IF($Z287&lt;&gt;Constants!$B$7,"",IF(AH287=1,AC287,AF287)))</f>
        <v/>
      </c>
      <c r="AT287" s="96" t="str">
        <f aca="false">IF(ISBLANK($C287),"",IF($Z287&lt;&gt;Constants!$B$7,$Z287,AJ287))</f>
        <v/>
      </c>
      <c r="AU287" s="97" t="str">
        <f aca="false">IF(ISBLANK($C287),"",IF($Z287&lt;&gt;Constants!$B$7,$Z287,AA287))</f>
        <v/>
      </c>
      <c r="AV287" s="98" t="str">
        <f aca="false">IF(ISBLANK($C287),"",AO287)</f>
        <v/>
      </c>
      <c r="AW287" s="98" t="str">
        <f aca="false">IF(ISBLANK($C287),"",AN287)</f>
        <v/>
      </c>
      <c r="AX287" s="99" t="str">
        <f aca="false">IF(ISBLANK($C287),"",IFERROR(_xlfn.SWITCH(AW287,Constants!$B$4,COUNTA($C$8:$C$507)+2,Constants!$B$5,COUNTA($C$8:$C$507)+1,Constants!$B$6,COUNTA($C$8:$C$507)),AW287))</f>
        <v/>
      </c>
      <c r="AY287" s="5"/>
      <c r="AZ287" s="100" t="n">
        <f aca="false">IF(OR(ISNUMBER(AW287),AW287=Constants!$B$4,AW287=Constants!$B$6,AW287=Constants!$B$5),1,0)</f>
        <v>0</v>
      </c>
      <c r="BA287" s="100" t="n">
        <v>280</v>
      </c>
      <c r="BB287" s="100" t="str">
        <f aca="false">IF(ISBLANK($C287),"",IF(ISNUMBER(AX287),AX287+ROW($B287)/1000,""))</f>
        <v/>
      </c>
      <c r="BC287" s="100" t="str">
        <f aca="false">IF(ISNUMBER(BB287),RANK(BB287,$BB$8:$BB$507,1),"")</f>
        <v/>
      </c>
      <c r="BD287" s="100" t="str">
        <f aca="false">IF(ISBLANK($C287),"",$B287)</f>
        <v/>
      </c>
      <c r="BE287" s="100" t="str">
        <f aca="false">IF(ISBLANK($C287),"",$C287)</f>
        <v/>
      </c>
      <c r="BF287" s="100" t="str">
        <f aca="false">IF(ISBLANK($C287),"",$D287)</f>
        <v/>
      </c>
      <c r="BG287" s="101" t="str">
        <f aca="false">AU287</f>
        <v/>
      </c>
      <c r="BH287" s="102" t="str">
        <f aca="false">AT287</f>
        <v/>
      </c>
      <c r="BI287" s="100" t="str">
        <f aca="false">IF(ISBLANK($C287),"",AW287)</f>
        <v/>
      </c>
      <c r="BJ287" s="103" t="str">
        <f aca="false">IF($BA287&gt;$AZ$7,"",VLOOKUP($BA287,$BC$8:$BI$507,7,FALSE()))</f>
        <v/>
      </c>
      <c r="BK287" s="104" t="str">
        <f aca="false">IF($BA287&gt;$AZ$7,"",VLOOKUP($BA287,$BC$8:$BI$507,2,FALSE()))</f>
        <v/>
      </c>
      <c r="BL287" s="104" t="str">
        <f aca="false">IF($BA287&gt;$AZ$7,"",VLOOKUP($BA287,$BC$8:$BI$507,3,FALSE()))</f>
        <v/>
      </c>
      <c r="BM287" s="104" t="str">
        <f aca="false">IF($BA287&gt;$AZ$7,"",VLOOKUP($BA287,$BC$8:$BI$507,4,FALSE()))</f>
        <v/>
      </c>
      <c r="BN287" s="104" t="str">
        <f aca="false">IF($BA287&gt;$AZ$7,"",VLOOKUP($BA287,$BC$8:$BI$507,5,FALSE()))</f>
        <v/>
      </c>
      <c r="BO287" s="105" t="str">
        <f aca="false">IF($BA287&gt;$AZ$7,"",VLOOKUP($BA287,$BC$8:$BI$507,6,FALSE()))</f>
        <v/>
      </c>
      <c r="BP287" s="52"/>
    </row>
    <row r="288" customFormat="false" ht="15.75" hidden="false" customHeight="false" outlineLevel="0" collapsed="false">
      <c r="A288" s="5"/>
      <c r="B288" s="114"/>
      <c r="C288" s="115"/>
      <c r="D288" s="106"/>
      <c r="E288" s="117"/>
      <c r="F288" s="87"/>
      <c r="G288" s="88"/>
      <c r="H288" s="88"/>
      <c r="I288" s="87"/>
      <c r="J288" s="88"/>
      <c r="K288" s="88"/>
      <c r="L288" s="87"/>
      <c r="M288" s="117"/>
      <c r="N288" s="90"/>
      <c r="O288" s="91" t="str">
        <f aca="false">IF(ISBLANK($C288),"",IF(E288=Constants!$B$2, TRUE(), IF(E288=Constants!$B$3, FALSE(), TRUE())))</f>
        <v/>
      </c>
      <c r="P288" s="91" t="str">
        <f aca="false">IF(ISBLANK($C288),"",IF(F288=Constants!$B$16,Constants!$B$9,IF(F288=Constants!$B$17,Constants!$B$10,Constants!$B$8)))</f>
        <v/>
      </c>
      <c r="Q288" s="91" t="str">
        <f aca="false">IF(ISBLANK($C288),"",IF(ISNUMBER(G288),IF(G288&gt;=0,G288,""),""))</f>
        <v/>
      </c>
      <c r="R288" s="91" t="str">
        <f aca="false">IF(ISBLANK($C288),"",IF(H288=Constants!$B$2, TRUE(), IF(H288=Constants!$B$3, FALSE(), TRUE())))</f>
        <v/>
      </c>
      <c r="S288" s="91" t="str">
        <f aca="false">IF(ISBLANK($C288),"",IF(I288=Constants!$B$2, TRUE(), IF(I288=Constants!$B$3, FALSE(), TRUE())))</f>
        <v/>
      </c>
      <c r="T288" s="91" t="str">
        <f aca="false">IF(ISBLANK($C288),"",IF(ISNUMBER(J288),IF(J288&gt;=0,J288,""),""))</f>
        <v/>
      </c>
      <c r="U288" s="91" t="str">
        <f aca="false">IF(ISBLANK($C288),"",IF(K288=Constants!$B$2, TRUE(), IF(K288=Constants!$B$3, FALSE(), TRUE())))</f>
        <v/>
      </c>
      <c r="V288" s="91" t="str">
        <f aca="false">IF(ISBLANK($C288),"",IF(L288=Constants!$B$2, TRUE(), IF(L288=Constants!$B$3, FALSE(), TRUE())))</f>
        <v/>
      </c>
      <c r="W288" s="91" t="str">
        <f aca="false">IF(ISBLANK($C288),"",IF(M288=Constants!$B$2, TRUE(), IF(M288=Constants!$B$3, FALSE(), FALSE())))</f>
        <v/>
      </c>
      <c r="X288" s="91" t="str">
        <f aca="false">IF(ISBLANK($C288),"",AND(Q288&lt;&gt;"",O288))</f>
        <v/>
      </c>
      <c r="Y288" s="91" t="str">
        <f aca="false">IF(ISBLANK($C288),"",AND(T288&lt;&gt;"",O288))</f>
        <v/>
      </c>
      <c r="Z288" s="91" t="str">
        <f aca="false">IF(ISBLANK($C288),"",IF(W288,Constants!$B$4,IF(COUNTA(E288:L288)=0,Constants!$B$5,IF(NOT(O288),Constants!$B$6,IF(AND(NOT(X288),NOT(Y288)),Constants!$B$6,Constants!$B$7)))))</f>
        <v/>
      </c>
      <c r="AA288" s="91" t="str">
        <f aca="false">IF(ISBLANK($C288),"",IF($Z288&lt;&gt;Constants!$B$7,$Z288,Constants!$B$20))</f>
        <v/>
      </c>
      <c r="AB288" s="91" t="str">
        <f aca="false">IF($Z288=Constants!$B$7,IF(X288,Q288,Constants!$B$13),"")</f>
        <v/>
      </c>
      <c r="AC288" s="91" t="str">
        <f aca="false">IF($Z288=Constants!$B$7,IF(X288,P288*IF(R288, 1, Constants!$B$11)*IF(S288, 1, Constants!$B$12),Constants!$B$13),"")</f>
        <v/>
      </c>
      <c r="AD288" s="91" t="str">
        <f aca="false">IF($Z288=Constants!$B$7,AB288*AC288,"")</f>
        <v/>
      </c>
      <c r="AE288" s="91" t="str">
        <f aca="false">IF($Z288=Constants!$B$7,IF(Y288,T288,Constants!$B$13),"")</f>
        <v/>
      </c>
      <c r="AF288" s="91" t="str">
        <f aca="false">IF($Z288=Constants!$B$7,IF(Y288,P288*IF(U288, 1, Constants!$B$11)*IF(V288, 1, Constants!$B$12),Constants!$B$13),"")</f>
        <v/>
      </c>
      <c r="AG288" s="91" t="str">
        <f aca="false">IF($Z288=Constants!$B$7,AE288*AF288,"")</f>
        <v/>
      </c>
      <c r="AH288" s="91" t="str">
        <f aca="false">IF($Z288=Constants!$B$7,IF(AG288&gt;AD288,2,1),"")</f>
        <v/>
      </c>
      <c r="AI288" s="91" t="str">
        <f aca="false">IF($Z288=Constants!$B$7,IF(AH288=1,2,1),"")</f>
        <v/>
      </c>
      <c r="AJ288" s="91" t="str">
        <f aca="false">IF(ISBLANK($C288),"",IF($Z288&lt;&gt;Constants!$B$7,$Z288,IF(AH288=1,AD288,AG288)))</f>
        <v/>
      </c>
      <c r="AK288" s="91" t="str">
        <f aca="false">IF(ISBLANK($C288),"",IF($Z288=Constants!$B$7,IF(ISNUMBER(AJ288),RANK(AJ288,$AJ$8:$AJ$507),Constants!$B$14),$Z288))</f>
        <v/>
      </c>
      <c r="AL288" s="91" t="str">
        <f aca="false">IF(ISBLANK($C288),"",IF($Z288=Constants!$B$7,IF(AI288=1,AD288,AG288),""))</f>
        <v/>
      </c>
      <c r="AM288" s="91" t="str">
        <f aca="false">IF(ISBLANK($C288),"",IF($Z288=Constants!$B$7,RANK(AL288,$AL$8:$AL$507),$Z288))</f>
        <v/>
      </c>
      <c r="AN288" s="91" t="str">
        <f aca="false">IF(ISBLANK($C288),"",IF($Z288=Constants!$B$7,IF(ISNUMBER(AK288),COUNTIFS($AK$8:$AK$507,"&lt;"&amp;$AK288)+COUNTIFS($AK$8:$AK$507,$AK288,$AM$8:$AM$507,"&lt;"&amp;$AM288)+1,Constants!$B$14),$Z288))</f>
        <v/>
      </c>
      <c r="AO288" s="91" t="str">
        <f aca="false">IF(ISBLANK($C288),"",IF($Z288=Constants!$B$7,IF(ISNUMBER(AK288),AK288-AN288,Constants!$B$14),$Z288))</f>
        <v/>
      </c>
      <c r="AP288" s="92"/>
      <c r="AQ288" s="93" t="str">
        <f aca="false">IF(ISBLANK($C288),"",IF($Z288&lt;&gt;Constants!$B$7,"",AH288))</f>
        <v/>
      </c>
      <c r="AR288" s="94" t="str">
        <f aca="false">IF(ISBLANK($C288),"",IF($Z288&lt;&gt;Constants!$B$7,"",IF(AH288=1,AB288,AE288)))</f>
        <v/>
      </c>
      <c r="AS288" s="95" t="str">
        <f aca="false">IF(ISBLANK($C288),"",IF($Z288&lt;&gt;Constants!$B$7,"",IF(AH288=1,AC288,AF288)))</f>
        <v/>
      </c>
      <c r="AT288" s="96" t="str">
        <f aca="false">IF(ISBLANK($C288),"",IF($Z288&lt;&gt;Constants!$B$7,$Z288,AJ288))</f>
        <v/>
      </c>
      <c r="AU288" s="97" t="str">
        <f aca="false">IF(ISBLANK($C288),"",IF($Z288&lt;&gt;Constants!$B$7,$Z288,AA288))</f>
        <v/>
      </c>
      <c r="AV288" s="98" t="str">
        <f aca="false">IF(ISBLANK($C288),"",AO288)</f>
        <v/>
      </c>
      <c r="AW288" s="98" t="str">
        <f aca="false">IF(ISBLANK($C288),"",AN288)</f>
        <v/>
      </c>
      <c r="AX288" s="99" t="str">
        <f aca="false">IF(ISBLANK($C288),"",IFERROR(_xlfn.SWITCH(AW288,Constants!$B$4,COUNTA($C$8:$C$507)+2,Constants!$B$5,COUNTA($C$8:$C$507)+1,Constants!$B$6,COUNTA($C$8:$C$507)),AW288))</f>
        <v/>
      </c>
      <c r="AY288" s="5"/>
      <c r="AZ288" s="100" t="n">
        <f aca="false">IF(OR(ISNUMBER(AW288),AW288=Constants!$B$4,AW288=Constants!$B$6,AW288=Constants!$B$5),1,0)</f>
        <v>0</v>
      </c>
      <c r="BA288" s="100" t="n">
        <v>281</v>
      </c>
      <c r="BB288" s="100" t="str">
        <f aca="false">IF(ISBLANK($C288),"",IF(ISNUMBER(AX288),AX288+ROW($B288)/1000,""))</f>
        <v/>
      </c>
      <c r="BC288" s="100" t="str">
        <f aca="false">IF(ISNUMBER(BB288),RANK(BB288,$BB$8:$BB$507,1),"")</f>
        <v/>
      </c>
      <c r="BD288" s="100" t="str">
        <f aca="false">IF(ISBLANK($C288),"",$B288)</f>
        <v/>
      </c>
      <c r="BE288" s="100" t="str">
        <f aca="false">IF(ISBLANK($C288),"",$C288)</f>
        <v/>
      </c>
      <c r="BF288" s="100" t="str">
        <f aca="false">IF(ISBLANK($C288),"",$D288)</f>
        <v/>
      </c>
      <c r="BG288" s="101" t="str">
        <f aca="false">AU288</f>
        <v/>
      </c>
      <c r="BH288" s="102" t="str">
        <f aca="false">AT288</f>
        <v/>
      </c>
      <c r="BI288" s="100" t="str">
        <f aca="false">IF(ISBLANK($C288),"",AW288)</f>
        <v/>
      </c>
      <c r="BJ288" s="103" t="str">
        <f aca="false">IF($BA288&gt;$AZ$7,"",VLOOKUP($BA288,$BC$8:$BI$507,7,FALSE()))</f>
        <v/>
      </c>
      <c r="BK288" s="104" t="str">
        <f aca="false">IF($BA288&gt;$AZ$7,"",VLOOKUP($BA288,$BC$8:$BI$507,2,FALSE()))</f>
        <v/>
      </c>
      <c r="BL288" s="104" t="str">
        <f aca="false">IF($BA288&gt;$AZ$7,"",VLOOKUP($BA288,$BC$8:$BI$507,3,FALSE()))</f>
        <v/>
      </c>
      <c r="BM288" s="104" t="str">
        <f aca="false">IF($BA288&gt;$AZ$7,"",VLOOKUP($BA288,$BC$8:$BI$507,4,FALSE()))</f>
        <v/>
      </c>
      <c r="BN288" s="104" t="str">
        <f aca="false">IF($BA288&gt;$AZ$7,"",VLOOKUP($BA288,$BC$8:$BI$507,5,FALSE()))</f>
        <v/>
      </c>
      <c r="BO288" s="105" t="str">
        <f aca="false">IF($BA288&gt;$AZ$7,"",VLOOKUP($BA288,$BC$8:$BI$507,6,FALSE()))</f>
        <v/>
      </c>
      <c r="BP288" s="52"/>
    </row>
    <row r="289" customFormat="false" ht="15.75" hidden="false" customHeight="false" outlineLevel="0" collapsed="false">
      <c r="A289" s="5"/>
      <c r="B289" s="114"/>
      <c r="C289" s="115"/>
      <c r="D289" s="106"/>
      <c r="E289" s="117"/>
      <c r="F289" s="87"/>
      <c r="G289" s="88"/>
      <c r="H289" s="88"/>
      <c r="I289" s="87"/>
      <c r="J289" s="88"/>
      <c r="K289" s="88"/>
      <c r="L289" s="87"/>
      <c r="M289" s="117"/>
      <c r="N289" s="90"/>
      <c r="O289" s="91" t="str">
        <f aca="false">IF(ISBLANK($C289),"",IF(E289=Constants!$B$2, TRUE(), IF(E289=Constants!$B$3, FALSE(), TRUE())))</f>
        <v/>
      </c>
      <c r="P289" s="91" t="str">
        <f aca="false">IF(ISBLANK($C289),"",IF(F289=Constants!$B$16,Constants!$B$9,IF(F289=Constants!$B$17,Constants!$B$10,Constants!$B$8)))</f>
        <v/>
      </c>
      <c r="Q289" s="91" t="str">
        <f aca="false">IF(ISBLANK($C289),"",IF(ISNUMBER(G289),IF(G289&gt;=0,G289,""),""))</f>
        <v/>
      </c>
      <c r="R289" s="91" t="str">
        <f aca="false">IF(ISBLANK($C289),"",IF(H289=Constants!$B$2, TRUE(), IF(H289=Constants!$B$3, FALSE(), TRUE())))</f>
        <v/>
      </c>
      <c r="S289" s="91" t="str">
        <f aca="false">IF(ISBLANK($C289),"",IF(I289=Constants!$B$2, TRUE(), IF(I289=Constants!$B$3, FALSE(), TRUE())))</f>
        <v/>
      </c>
      <c r="T289" s="91" t="str">
        <f aca="false">IF(ISBLANK($C289),"",IF(ISNUMBER(J289),IF(J289&gt;=0,J289,""),""))</f>
        <v/>
      </c>
      <c r="U289" s="91" t="str">
        <f aca="false">IF(ISBLANK($C289),"",IF(K289=Constants!$B$2, TRUE(), IF(K289=Constants!$B$3, FALSE(), TRUE())))</f>
        <v/>
      </c>
      <c r="V289" s="91" t="str">
        <f aca="false">IF(ISBLANK($C289),"",IF(L289=Constants!$B$2, TRUE(), IF(L289=Constants!$B$3, FALSE(), TRUE())))</f>
        <v/>
      </c>
      <c r="W289" s="91" t="str">
        <f aca="false">IF(ISBLANK($C289),"",IF(M289=Constants!$B$2, TRUE(), IF(M289=Constants!$B$3, FALSE(), FALSE())))</f>
        <v/>
      </c>
      <c r="X289" s="91" t="str">
        <f aca="false">IF(ISBLANK($C289),"",AND(Q289&lt;&gt;"",O289))</f>
        <v/>
      </c>
      <c r="Y289" s="91" t="str">
        <f aca="false">IF(ISBLANK($C289),"",AND(T289&lt;&gt;"",O289))</f>
        <v/>
      </c>
      <c r="Z289" s="91" t="str">
        <f aca="false">IF(ISBLANK($C289),"",IF(W289,Constants!$B$4,IF(COUNTA(E289:L289)=0,Constants!$B$5,IF(NOT(O289),Constants!$B$6,IF(AND(NOT(X289),NOT(Y289)),Constants!$B$6,Constants!$B$7)))))</f>
        <v/>
      </c>
      <c r="AA289" s="91" t="str">
        <f aca="false">IF(ISBLANK($C289),"",IF($Z289&lt;&gt;Constants!$B$7,$Z289,Constants!$B$20))</f>
        <v/>
      </c>
      <c r="AB289" s="91" t="str">
        <f aca="false">IF($Z289=Constants!$B$7,IF(X289,Q289,Constants!$B$13),"")</f>
        <v/>
      </c>
      <c r="AC289" s="91" t="str">
        <f aca="false">IF($Z289=Constants!$B$7,IF(X289,P289*IF(R289, 1, Constants!$B$11)*IF(S289, 1, Constants!$B$12),Constants!$B$13),"")</f>
        <v/>
      </c>
      <c r="AD289" s="91" t="str">
        <f aca="false">IF($Z289=Constants!$B$7,AB289*AC289,"")</f>
        <v/>
      </c>
      <c r="AE289" s="91" t="str">
        <f aca="false">IF($Z289=Constants!$B$7,IF(Y289,T289,Constants!$B$13),"")</f>
        <v/>
      </c>
      <c r="AF289" s="91" t="str">
        <f aca="false">IF($Z289=Constants!$B$7,IF(Y289,P289*IF(U289, 1, Constants!$B$11)*IF(V289, 1, Constants!$B$12),Constants!$B$13),"")</f>
        <v/>
      </c>
      <c r="AG289" s="91" t="str">
        <f aca="false">IF($Z289=Constants!$B$7,AE289*AF289,"")</f>
        <v/>
      </c>
      <c r="AH289" s="91" t="str">
        <f aca="false">IF($Z289=Constants!$B$7,IF(AG289&gt;AD289,2,1),"")</f>
        <v/>
      </c>
      <c r="AI289" s="91" t="str">
        <f aca="false">IF($Z289=Constants!$B$7,IF(AH289=1,2,1),"")</f>
        <v/>
      </c>
      <c r="AJ289" s="91" t="str">
        <f aca="false">IF(ISBLANK($C289),"",IF($Z289&lt;&gt;Constants!$B$7,$Z289,IF(AH289=1,AD289,AG289)))</f>
        <v/>
      </c>
      <c r="AK289" s="91" t="str">
        <f aca="false">IF(ISBLANK($C289),"",IF($Z289=Constants!$B$7,IF(ISNUMBER(AJ289),RANK(AJ289,$AJ$8:$AJ$507),Constants!$B$14),$Z289))</f>
        <v/>
      </c>
      <c r="AL289" s="91" t="str">
        <f aca="false">IF(ISBLANK($C289),"",IF($Z289=Constants!$B$7,IF(AI289=1,AD289,AG289),""))</f>
        <v/>
      </c>
      <c r="AM289" s="91" t="str">
        <f aca="false">IF(ISBLANK($C289),"",IF($Z289=Constants!$B$7,RANK(AL289,$AL$8:$AL$507),$Z289))</f>
        <v/>
      </c>
      <c r="AN289" s="91" t="str">
        <f aca="false">IF(ISBLANK($C289),"",IF($Z289=Constants!$B$7,IF(ISNUMBER(AK289),COUNTIFS($AK$8:$AK$507,"&lt;"&amp;$AK289)+COUNTIFS($AK$8:$AK$507,$AK289,$AM$8:$AM$507,"&lt;"&amp;$AM289)+1,Constants!$B$14),$Z289))</f>
        <v/>
      </c>
      <c r="AO289" s="91" t="str">
        <f aca="false">IF(ISBLANK($C289),"",IF($Z289=Constants!$B$7,IF(ISNUMBER(AK289),AK289-AN289,Constants!$B$14),$Z289))</f>
        <v/>
      </c>
      <c r="AP289" s="92"/>
      <c r="AQ289" s="93" t="str">
        <f aca="false">IF(ISBLANK($C289),"",IF($Z289&lt;&gt;Constants!$B$7,"",AH289))</f>
        <v/>
      </c>
      <c r="AR289" s="94" t="str">
        <f aca="false">IF(ISBLANK($C289),"",IF($Z289&lt;&gt;Constants!$B$7,"",IF(AH289=1,AB289,AE289)))</f>
        <v/>
      </c>
      <c r="AS289" s="95" t="str">
        <f aca="false">IF(ISBLANK($C289),"",IF($Z289&lt;&gt;Constants!$B$7,"",IF(AH289=1,AC289,AF289)))</f>
        <v/>
      </c>
      <c r="AT289" s="96" t="str">
        <f aca="false">IF(ISBLANK($C289),"",IF($Z289&lt;&gt;Constants!$B$7,$Z289,AJ289))</f>
        <v/>
      </c>
      <c r="AU289" s="97" t="str">
        <f aca="false">IF(ISBLANK($C289),"",IF($Z289&lt;&gt;Constants!$B$7,$Z289,AA289))</f>
        <v/>
      </c>
      <c r="AV289" s="98" t="str">
        <f aca="false">IF(ISBLANK($C289),"",AO289)</f>
        <v/>
      </c>
      <c r="AW289" s="98" t="str">
        <f aca="false">IF(ISBLANK($C289),"",AN289)</f>
        <v/>
      </c>
      <c r="AX289" s="99" t="str">
        <f aca="false">IF(ISBLANK($C289),"",IFERROR(_xlfn.SWITCH(AW289,Constants!$B$4,COUNTA($C$8:$C$507)+2,Constants!$B$5,COUNTA($C$8:$C$507)+1,Constants!$B$6,COUNTA($C$8:$C$507)),AW289))</f>
        <v/>
      </c>
      <c r="AY289" s="5"/>
      <c r="AZ289" s="100" t="n">
        <f aca="false">IF(OR(ISNUMBER(AW289),AW289=Constants!$B$4,AW289=Constants!$B$6,AW289=Constants!$B$5),1,0)</f>
        <v>0</v>
      </c>
      <c r="BA289" s="100" t="n">
        <v>282</v>
      </c>
      <c r="BB289" s="100" t="str">
        <f aca="false">IF(ISBLANK($C289),"",IF(ISNUMBER(AX289),AX289+ROW($B289)/1000,""))</f>
        <v/>
      </c>
      <c r="BC289" s="100" t="str">
        <f aca="false">IF(ISNUMBER(BB289),RANK(BB289,$BB$8:$BB$507,1),"")</f>
        <v/>
      </c>
      <c r="BD289" s="100" t="str">
        <f aca="false">IF(ISBLANK($C289),"",$B289)</f>
        <v/>
      </c>
      <c r="BE289" s="100" t="str">
        <f aca="false">IF(ISBLANK($C289),"",$C289)</f>
        <v/>
      </c>
      <c r="BF289" s="100" t="str">
        <f aca="false">IF(ISBLANK($C289),"",$D289)</f>
        <v/>
      </c>
      <c r="BG289" s="101" t="str">
        <f aca="false">AU289</f>
        <v/>
      </c>
      <c r="BH289" s="102" t="str">
        <f aca="false">AT289</f>
        <v/>
      </c>
      <c r="BI289" s="100" t="str">
        <f aca="false">IF(ISBLANK($C289),"",AW289)</f>
        <v/>
      </c>
      <c r="BJ289" s="103" t="str">
        <f aca="false">IF($BA289&gt;$AZ$7,"",VLOOKUP($BA289,$BC$8:$BI$507,7,FALSE()))</f>
        <v/>
      </c>
      <c r="BK289" s="104" t="str">
        <f aca="false">IF($BA289&gt;$AZ$7,"",VLOOKUP($BA289,$BC$8:$BI$507,2,FALSE()))</f>
        <v/>
      </c>
      <c r="BL289" s="104" t="str">
        <f aca="false">IF($BA289&gt;$AZ$7,"",VLOOKUP($BA289,$BC$8:$BI$507,3,FALSE()))</f>
        <v/>
      </c>
      <c r="BM289" s="104" t="str">
        <f aca="false">IF($BA289&gt;$AZ$7,"",VLOOKUP($BA289,$BC$8:$BI$507,4,FALSE()))</f>
        <v/>
      </c>
      <c r="BN289" s="104" t="str">
        <f aca="false">IF($BA289&gt;$AZ$7,"",VLOOKUP($BA289,$BC$8:$BI$507,5,FALSE()))</f>
        <v/>
      </c>
      <c r="BO289" s="105" t="str">
        <f aca="false">IF($BA289&gt;$AZ$7,"",VLOOKUP($BA289,$BC$8:$BI$507,6,FALSE()))</f>
        <v/>
      </c>
      <c r="BP289" s="52"/>
    </row>
    <row r="290" customFormat="false" ht="15.75" hidden="false" customHeight="false" outlineLevel="0" collapsed="false">
      <c r="A290" s="5"/>
      <c r="B290" s="118"/>
      <c r="C290" s="54"/>
      <c r="D290" s="55"/>
      <c r="E290" s="79"/>
      <c r="F290" s="57"/>
      <c r="G290" s="58"/>
      <c r="H290" s="58"/>
      <c r="I290" s="57"/>
      <c r="J290" s="58"/>
      <c r="K290" s="58"/>
      <c r="L290" s="57"/>
      <c r="M290" s="79"/>
      <c r="N290" s="60"/>
      <c r="O290" s="62" t="str">
        <f aca="false">IF(ISBLANK($C290),"",IF(E290=Constants!$B$2, TRUE(), IF(E290=Constants!$B$3, FALSE(), TRUE())))</f>
        <v/>
      </c>
      <c r="P290" s="62" t="str">
        <f aca="false">IF(ISBLANK($C290),"",IF(F290=Constants!$B$16,Constants!$B$9,IF(F290=Constants!$B$17,Constants!$B$10,Constants!$B$8)))</f>
        <v/>
      </c>
      <c r="Q290" s="62" t="str">
        <f aca="false">IF(ISBLANK($C290),"",IF(ISNUMBER(G290),IF(G290&gt;=0,G290,""),""))</f>
        <v/>
      </c>
      <c r="R290" s="62" t="str">
        <f aca="false">IF(ISBLANK($C290),"",IF(H290=Constants!$B$2, TRUE(), IF(H290=Constants!$B$3, FALSE(), TRUE())))</f>
        <v/>
      </c>
      <c r="S290" s="62" t="str">
        <f aca="false">IF(ISBLANK($C290),"",IF(I290=Constants!$B$2, TRUE(), IF(I290=Constants!$B$3, FALSE(), TRUE())))</f>
        <v/>
      </c>
      <c r="T290" s="62" t="str">
        <f aca="false">IF(ISBLANK($C290),"",IF(ISNUMBER(J290),IF(J290&gt;=0,J290,""),""))</f>
        <v/>
      </c>
      <c r="U290" s="62" t="str">
        <f aca="false">IF(ISBLANK($C290),"",IF(K290=Constants!$B$2, TRUE(), IF(K290=Constants!$B$3, FALSE(), TRUE())))</f>
        <v/>
      </c>
      <c r="V290" s="62" t="str">
        <f aca="false">IF(ISBLANK($C290),"",IF(L290=Constants!$B$2, TRUE(), IF(L290=Constants!$B$3, FALSE(), TRUE())))</f>
        <v/>
      </c>
      <c r="W290" s="62" t="str">
        <f aca="false">IF(ISBLANK($C290),"",IF(M290=Constants!$B$2, TRUE(), IF(M290=Constants!$B$3, FALSE(), FALSE())))</f>
        <v/>
      </c>
      <c r="X290" s="62" t="str">
        <f aca="false">IF(ISBLANK($C290),"",AND(Q290&lt;&gt;"",O290))</f>
        <v/>
      </c>
      <c r="Y290" s="62" t="str">
        <f aca="false">IF(ISBLANK($C290),"",AND(T290&lt;&gt;"",O290))</f>
        <v/>
      </c>
      <c r="Z290" s="62" t="str">
        <f aca="false">IF(ISBLANK($C290),"",IF(W290,Constants!$B$4,IF(COUNTA(E290:L290)=0,Constants!$B$5,IF(NOT(O290),Constants!$B$6,IF(AND(NOT(X290),NOT(Y290)),Constants!$B$6,Constants!$B$7)))))</f>
        <v/>
      </c>
      <c r="AA290" s="62" t="str">
        <f aca="false">IF(ISBLANK($C290),"",IF($Z290&lt;&gt;Constants!$B$7,$Z290,Constants!$B$20))</f>
        <v/>
      </c>
      <c r="AB290" s="62" t="str">
        <f aca="false">IF($Z290=Constants!$B$7,IF(X290,Q290,Constants!$B$13),"")</f>
        <v/>
      </c>
      <c r="AC290" s="62" t="str">
        <f aca="false">IF($Z290=Constants!$B$7,IF(X290,P290*IF(R290, 1, Constants!$B$11)*IF(S290, 1, Constants!$B$12),Constants!$B$13),"")</f>
        <v/>
      </c>
      <c r="AD290" s="62" t="str">
        <f aca="false">IF($Z290=Constants!$B$7,AB290*AC290,"")</f>
        <v/>
      </c>
      <c r="AE290" s="62" t="str">
        <f aca="false">IF($Z290=Constants!$B$7,IF(Y290,T290,Constants!$B$13),"")</f>
        <v/>
      </c>
      <c r="AF290" s="62" t="str">
        <f aca="false">IF($Z290=Constants!$B$7,IF(Y290,P290*IF(U290, 1, Constants!$B$11)*IF(V290, 1, Constants!$B$12),Constants!$B$13),"")</f>
        <v/>
      </c>
      <c r="AG290" s="62" t="str">
        <f aca="false">IF($Z290=Constants!$B$7,AE290*AF290,"")</f>
        <v/>
      </c>
      <c r="AH290" s="62" t="str">
        <f aca="false">IF($Z290=Constants!$B$7,IF(AG290&gt;AD290,2,1),"")</f>
        <v/>
      </c>
      <c r="AI290" s="62" t="str">
        <f aca="false">IF($Z290=Constants!$B$7,IF(AH290=1,2,1),"")</f>
        <v/>
      </c>
      <c r="AJ290" s="62" t="str">
        <f aca="false">IF(ISBLANK($C290),"",IF($Z290&lt;&gt;Constants!$B$7,$Z290,IF(AH290=1,AD290,AG290)))</f>
        <v/>
      </c>
      <c r="AK290" s="62" t="str">
        <f aca="false">IF(ISBLANK($C290),"",IF($Z290=Constants!$B$7,IF(ISNUMBER(AJ290),RANK(AJ290,$AJ$8:$AJ$507),Constants!$B$14),$Z290))</f>
        <v/>
      </c>
      <c r="AL290" s="62" t="str">
        <f aca="false">IF(ISBLANK($C290),"",IF($Z290=Constants!$B$7,IF(AI290=1,AD290,AG290),""))</f>
        <v/>
      </c>
      <c r="AM290" s="62" t="str">
        <f aca="false">IF(ISBLANK($C290),"",IF($Z290=Constants!$B$7,RANK(AL290,$AL$8:$AL$507),$Z290))</f>
        <v/>
      </c>
      <c r="AN290" s="62" t="str">
        <f aca="false">IF(ISBLANK($C290),"",IF($Z290=Constants!$B$7,IF(ISNUMBER(AK290),COUNTIFS($AK$8:$AK$507,"&lt;"&amp;$AK290)+COUNTIFS($AK$8:$AK$507,$AK290,$AM$8:$AM$507,"&lt;"&amp;$AM290)+1,Constants!$B$14),$Z290))</f>
        <v/>
      </c>
      <c r="AO290" s="62" t="str">
        <f aca="false">IF(ISBLANK($C290),"",IF($Z290=Constants!$B$7,IF(ISNUMBER(AK290),AK290-AN290,Constants!$B$14),$Z290))</f>
        <v/>
      </c>
      <c r="AP290" s="64"/>
      <c r="AQ290" s="65" t="str">
        <f aca="false">IF(ISBLANK($C290),"",IF($Z290&lt;&gt;Constants!$B$7,"",AH290))</f>
        <v/>
      </c>
      <c r="AR290" s="80" t="str">
        <f aca="false">IF(ISBLANK($C290),"",IF($Z290&lt;&gt;Constants!$B$7,"",IF(AH290=1,AB290,AE290)))</f>
        <v/>
      </c>
      <c r="AS290" s="67" t="str">
        <f aca="false">IF(ISBLANK($C290),"",IF($Z290&lt;&gt;Constants!$B$7,"",IF(AH290=1,AC290,AF290)))</f>
        <v/>
      </c>
      <c r="AT290" s="68" t="str">
        <f aca="false">IF(ISBLANK($C290),"",IF($Z290&lt;&gt;Constants!$B$7,$Z290,AJ290))</f>
        <v/>
      </c>
      <c r="AU290" s="69" t="str">
        <f aca="false">IF(ISBLANK($C290),"",IF($Z290&lt;&gt;Constants!$B$7,$Z290,AA290))</f>
        <v/>
      </c>
      <c r="AV290" s="70" t="str">
        <f aca="false">IF(ISBLANK($C290),"",AO290)</f>
        <v/>
      </c>
      <c r="AW290" s="70" t="str">
        <f aca="false">IF(ISBLANK($C290),"",AN290)</f>
        <v/>
      </c>
      <c r="AX290" s="71" t="str">
        <f aca="false">IF(ISBLANK($C290),"",IFERROR(_xlfn.SWITCH(AW290,Constants!$B$4,COUNTA($C$8:$C$507)+2,Constants!$B$5,COUNTA($C$8:$C$507)+1,Constants!$B$6,COUNTA($C$8:$C$507)),AW290))</f>
        <v/>
      </c>
      <c r="AY290" s="5"/>
      <c r="AZ290" s="72" t="n">
        <f aca="false">IF(OR(ISNUMBER(AW290),AW290=Constants!$B$4,AW290=Constants!$B$6,AW290=Constants!$B$5),1,0)</f>
        <v>0</v>
      </c>
      <c r="BA290" s="72" t="n">
        <v>283</v>
      </c>
      <c r="BB290" s="72" t="str">
        <f aca="false">IF(ISBLANK($C290),"",IF(ISNUMBER(AX290),AX290+ROW($B290)/1000,""))</f>
        <v/>
      </c>
      <c r="BC290" s="72" t="str">
        <f aca="false">IF(ISNUMBER(BB290),RANK(BB290,$BB$8:$BB$507,1),"")</f>
        <v/>
      </c>
      <c r="BD290" s="72" t="str">
        <f aca="false">IF(ISBLANK($C290),"",$B290)</f>
        <v/>
      </c>
      <c r="BE290" s="72" t="str">
        <f aca="false">IF(ISBLANK($C290),"",$C290)</f>
        <v/>
      </c>
      <c r="BF290" s="72" t="str">
        <f aca="false">IF(ISBLANK($C290),"",$D290)</f>
        <v/>
      </c>
      <c r="BG290" s="73" t="str">
        <f aca="false">AU290</f>
        <v/>
      </c>
      <c r="BH290" s="74" t="str">
        <f aca="false">AT290</f>
        <v/>
      </c>
      <c r="BI290" s="72" t="str">
        <f aca="false">IF(ISBLANK($C290),"",AW290)</f>
        <v/>
      </c>
      <c r="BJ290" s="75" t="str">
        <f aca="false">IF($BA290&gt;$AZ$7,"",VLOOKUP($BA290,$BC$8:$BI$507,7,FALSE()))</f>
        <v/>
      </c>
      <c r="BK290" s="76" t="str">
        <f aca="false">IF($BA290&gt;$AZ$7,"",VLOOKUP($BA290,$BC$8:$BI$507,2,FALSE()))</f>
        <v/>
      </c>
      <c r="BL290" s="76" t="str">
        <f aca="false">IF($BA290&gt;$AZ$7,"",VLOOKUP($BA290,$BC$8:$BI$507,3,FALSE()))</f>
        <v/>
      </c>
      <c r="BM290" s="76" t="str">
        <f aca="false">IF($BA290&gt;$AZ$7,"",VLOOKUP($BA290,$BC$8:$BI$507,4,FALSE()))</f>
        <v/>
      </c>
      <c r="BN290" s="76" t="str">
        <f aca="false">IF($BA290&gt;$AZ$7,"",VLOOKUP($BA290,$BC$8:$BI$507,5,FALSE()))</f>
        <v/>
      </c>
      <c r="BO290" s="77" t="str">
        <f aca="false">IF($BA290&gt;$AZ$7,"",VLOOKUP($BA290,$BC$8:$BI$507,6,FALSE()))</f>
        <v/>
      </c>
      <c r="BP290" s="52"/>
    </row>
    <row r="291" customFormat="false" ht="15.75" hidden="false" customHeight="false" outlineLevel="0" collapsed="false">
      <c r="A291" s="5"/>
      <c r="B291" s="118"/>
      <c r="C291" s="54"/>
      <c r="D291" s="55"/>
      <c r="E291" s="79"/>
      <c r="F291" s="57"/>
      <c r="G291" s="58"/>
      <c r="H291" s="58"/>
      <c r="I291" s="57"/>
      <c r="J291" s="58"/>
      <c r="K291" s="58"/>
      <c r="L291" s="57"/>
      <c r="M291" s="79"/>
      <c r="N291" s="60"/>
      <c r="O291" s="62" t="str">
        <f aca="false">IF(ISBLANK($C291),"",IF(E291=Constants!$B$2, TRUE(), IF(E291=Constants!$B$3, FALSE(), TRUE())))</f>
        <v/>
      </c>
      <c r="P291" s="62" t="str">
        <f aca="false">IF(ISBLANK($C291),"",IF(F291=Constants!$B$16,Constants!$B$9,IF(F291=Constants!$B$17,Constants!$B$10,Constants!$B$8)))</f>
        <v/>
      </c>
      <c r="Q291" s="62" t="str">
        <f aca="false">IF(ISBLANK($C291),"",IF(ISNUMBER(G291),IF(G291&gt;=0,G291,""),""))</f>
        <v/>
      </c>
      <c r="R291" s="62" t="str">
        <f aca="false">IF(ISBLANK($C291),"",IF(H291=Constants!$B$2, TRUE(), IF(H291=Constants!$B$3, FALSE(), TRUE())))</f>
        <v/>
      </c>
      <c r="S291" s="62" t="str">
        <f aca="false">IF(ISBLANK($C291),"",IF(I291=Constants!$B$2, TRUE(), IF(I291=Constants!$B$3, FALSE(), TRUE())))</f>
        <v/>
      </c>
      <c r="T291" s="62" t="str">
        <f aca="false">IF(ISBLANK($C291),"",IF(ISNUMBER(J291),IF(J291&gt;=0,J291,""),""))</f>
        <v/>
      </c>
      <c r="U291" s="62" t="str">
        <f aca="false">IF(ISBLANK($C291),"",IF(K291=Constants!$B$2, TRUE(), IF(K291=Constants!$B$3, FALSE(), TRUE())))</f>
        <v/>
      </c>
      <c r="V291" s="62" t="str">
        <f aca="false">IF(ISBLANK($C291),"",IF(L291=Constants!$B$2, TRUE(), IF(L291=Constants!$B$3, FALSE(), TRUE())))</f>
        <v/>
      </c>
      <c r="W291" s="62" t="str">
        <f aca="false">IF(ISBLANK($C291),"",IF(M291=Constants!$B$2, TRUE(), IF(M291=Constants!$B$3, FALSE(), FALSE())))</f>
        <v/>
      </c>
      <c r="X291" s="62" t="str">
        <f aca="false">IF(ISBLANK($C291),"",AND(Q291&lt;&gt;"",O291))</f>
        <v/>
      </c>
      <c r="Y291" s="62" t="str">
        <f aca="false">IF(ISBLANK($C291),"",AND(T291&lt;&gt;"",O291))</f>
        <v/>
      </c>
      <c r="Z291" s="62" t="str">
        <f aca="false">IF(ISBLANK($C291),"",IF(W291,Constants!$B$4,IF(COUNTA(E291:L291)=0,Constants!$B$5,IF(NOT(O291),Constants!$B$6,IF(AND(NOT(X291),NOT(Y291)),Constants!$B$6,Constants!$B$7)))))</f>
        <v/>
      </c>
      <c r="AA291" s="62" t="str">
        <f aca="false">IF(ISBLANK($C291),"",IF($Z291&lt;&gt;Constants!$B$7,$Z291,Constants!$B$20))</f>
        <v/>
      </c>
      <c r="AB291" s="62" t="str">
        <f aca="false">IF($Z291=Constants!$B$7,IF(X291,Q291,Constants!$B$13),"")</f>
        <v/>
      </c>
      <c r="AC291" s="62" t="str">
        <f aca="false">IF($Z291=Constants!$B$7,IF(X291,P291*IF(R291, 1, Constants!$B$11)*IF(S291, 1, Constants!$B$12),Constants!$B$13),"")</f>
        <v/>
      </c>
      <c r="AD291" s="62" t="str">
        <f aca="false">IF($Z291=Constants!$B$7,AB291*AC291,"")</f>
        <v/>
      </c>
      <c r="AE291" s="62" t="str">
        <f aca="false">IF($Z291=Constants!$B$7,IF(Y291,T291,Constants!$B$13),"")</f>
        <v/>
      </c>
      <c r="AF291" s="62" t="str">
        <f aca="false">IF($Z291=Constants!$B$7,IF(Y291,P291*IF(U291, 1, Constants!$B$11)*IF(V291, 1, Constants!$B$12),Constants!$B$13),"")</f>
        <v/>
      </c>
      <c r="AG291" s="62" t="str">
        <f aca="false">IF($Z291=Constants!$B$7,AE291*AF291,"")</f>
        <v/>
      </c>
      <c r="AH291" s="62" t="str">
        <f aca="false">IF($Z291=Constants!$B$7,IF(AG291&gt;AD291,2,1),"")</f>
        <v/>
      </c>
      <c r="AI291" s="62" t="str">
        <f aca="false">IF($Z291=Constants!$B$7,IF(AH291=1,2,1),"")</f>
        <v/>
      </c>
      <c r="AJ291" s="62" t="str">
        <f aca="false">IF(ISBLANK($C291),"",IF($Z291&lt;&gt;Constants!$B$7,$Z291,IF(AH291=1,AD291,AG291)))</f>
        <v/>
      </c>
      <c r="AK291" s="62" t="str">
        <f aca="false">IF(ISBLANK($C291),"",IF($Z291=Constants!$B$7,IF(ISNUMBER(AJ291),RANK(AJ291,$AJ$8:$AJ$507),Constants!$B$14),$Z291))</f>
        <v/>
      </c>
      <c r="AL291" s="62" t="str">
        <f aca="false">IF(ISBLANK($C291),"",IF($Z291=Constants!$B$7,IF(AI291=1,AD291,AG291),""))</f>
        <v/>
      </c>
      <c r="AM291" s="62" t="str">
        <f aca="false">IF(ISBLANK($C291),"",IF($Z291=Constants!$B$7,RANK(AL291,$AL$8:$AL$507),$Z291))</f>
        <v/>
      </c>
      <c r="AN291" s="62" t="str">
        <f aca="false">IF(ISBLANK($C291),"",IF($Z291=Constants!$B$7,IF(ISNUMBER(AK291),COUNTIFS($AK$8:$AK$507,"&lt;"&amp;$AK291)+COUNTIFS($AK$8:$AK$507,$AK291,$AM$8:$AM$507,"&lt;"&amp;$AM291)+1,Constants!$B$14),$Z291))</f>
        <v/>
      </c>
      <c r="AO291" s="62" t="str">
        <f aca="false">IF(ISBLANK($C291),"",IF($Z291=Constants!$B$7,IF(ISNUMBER(AK291),AK291-AN291,Constants!$B$14),$Z291))</f>
        <v/>
      </c>
      <c r="AP291" s="64"/>
      <c r="AQ291" s="65" t="str">
        <f aca="false">IF(ISBLANK($C291),"",IF($Z291&lt;&gt;Constants!$B$7,"",AH291))</f>
        <v/>
      </c>
      <c r="AR291" s="80" t="str">
        <f aca="false">IF(ISBLANK($C291),"",IF($Z291&lt;&gt;Constants!$B$7,"",IF(AH291=1,AB291,AE291)))</f>
        <v/>
      </c>
      <c r="AS291" s="67" t="str">
        <f aca="false">IF(ISBLANK($C291),"",IF($Z291&lt;&gt;Constants!$B$7,"",IF(AH291=1,AC291,AF291)))</f>
        <v/>
      </c>
      <c r="AT291" s="68" t="str">
        <f aca="false">IF(ISBLANK($C291),"",IF($Z291&lt;&gt;Constants!$B$7,$Z291,AJ291))</f>
        <v/>
      </c>
      <c r="AU291" s="69" t="str">
        <f aca="false">IF(ISBLANK($C291),"",IF($Z291&lt;&gt;Constants!$B$7,$Z291,AA291))</f>
        <v/>
      </c>
      <c r="AV291" s="70" t="str">
        <f aca="false">IF(ISBLANK($C291),"",AO291)</f>
        <v/>
      </c>
      <c r="AW291" s="70" t="str">
        <f aca="false">IF(ISBLANK($C291),"",AN291)</f>
        <v/>
      </c>
      <c r="AX291" s="71" t="str">
        <f aca="false">IF(ISBLANK($C291),"",IFERROR(_xlfn.SWITCH(AW291,Constants!$B$4,COUNTA($C$8:$C$507)+2,Constants!$B$5,COUNTA($C$8:$C$507)+1,Constants!$B$6,COUNTA($C$8:$C$507)),AW291))</f>
        <v/>
      </c>
      <c r="AY291" s="5"/>
      <c r="AZ291" s="72" t="n">
        <f aca="false">IF(OR(ISNUMBER(AW291),AW291=Constants!$B$4,AW291=Constants!$B$6,AW291=Constants!$B$5),1,0)</f>
        <v>0</v>
      </c>
      <c r="BA291" s="72" t="n">
        <v>284</v>
      </c>
      <c r="BB291" s="72" t="str">
        <f aca="false">IF(ISBLANK($C291),"",IF(ISNUMBER(AX291),AX291+ROW($B291)/1000,""))</f>
        <v/>
      </c>
      <c r="BC291" s="72" t="str">
        <f aca="false">IF(ISNUMBER(BB291),RANK(BB291,$BB$8:$BB$507,1),"")</f>
        <v/>
      </c>
      <c r="BD291" s="72" t="str">
        <f aca="false">IF(ISBLANK($C291),"",$B291)</f>
        <v/>
      </c>
      <c r="BE291" s="72" t="str">
        <f aca="false">IF(ISBLANK($C291),"",$C291)</f>
        <v/>
      </c>
      <c r="BF291" s="72" t="str">
        <f aca="false">IF(ISBLANK($C291),"",$D291)</f>
        <v/>
      </c>
      <c r="BG291" s="73" t="str">
        <f aca="false">AU291</f>
        <v/>
      </c>
      <c r="BH291" s="74" t="str">
        <f aca="false">AT291</f>
        <v/>
      </c>
      <c r="BI291" s="72" t="str">
        <f aca="false">IF(ISBLANK($C291),"",AW291)</f>
        <v/>
      </c>
      <c r="BJ291" s="75" t="str">
        <f aca="false">IF($BA291&gt;$AZ$7,"",VLOOKUP($BA291,$BC$8:$BI$507,7,FALSE()))</f>
        <v/>
      </c>
      <c r="BK291" s="76" t="str">
        <f aca="false">IF($BA291&gt;$AZ$7,"",VLOOKUP($BA291,$BC$8:$BI$507,2,FALSE()))</f>
        <v/>
      </c>
      <c r="BL291" s="76" t="str">
        <f aca="false">IF($BA291&gt;$AZ$7,"",VLOOKUP($BA291,$BC$8:$BI$507,3,FALSE()))</f>
        <v/>
      </c>
      <c r="BM291" s="76" t="str">
        <f aca="false">IF($BA291&gt;$AZ$7,"",VLOOKUP($BA291,$BC$8:$BI$507,4,FALSE()))</f>
        <v/>
      </c>
      <c r="BN291" s="76" t="str">
        <f aca="false">IF($BA291&gt;$AZ$7,"",VLOOKUP($BA291,$BC$8:$BI$507,5,FALSE()))</f>
        <v/>
      </c>
      <c r="BO291" s="77" t="str">
        <f aca="false">IF($BA291&gt;$AZ$7,"",VLOOKUP($BA291,$BC$8:$BI$507,6,FALSE()))</f>
        <v/>
      </c>
      <c r="BP291" s="52"/>
    </row>
    <row r="292" customFormat="false" ht="15.75" hidden="false" customHeight="false" outlineLevel="0" collapsed="false">
      <c r="A292" s="5"/>
      <c r="B292" s="118"/>
      <c r="C292" s="54"/>
      <c r="D292" s="55"/>
      <c r="E292" s="79"/>
      <c r="F292" s="57"/>
      <c r="G292" s="58"/>
      <c r="H292" s="58"/>
      <c r="I292" s="57"/>
      <c r="J292" s="58"/>
      <c r="K292" s="58"/>
      <c r="L292" s="57"/>
      <c r="M292" s="79"/>
      <c r="N292" s="60"/>
      <c r="O292" s="62" t="str">
        <f aca="false">IF(ISBLANK($C292),"",IF(E292=Constants!$B$2, TRUE(), IF(E292=Constants!$B$3, FALSE(), TRUE())))</f>
        <v/>
      </c>
      <c r="P292" s="62" t="str">
        <f aca="false">IF(ISBLANK($C292),"",IF(F292=Constants!$B$16,Constants!$B$9,IF(F292=Constants!$B$17,Constants!$B$10,Constants!$B$8)))</f>
        <v/>
      </c>
      <c r="Q292" s="62" t="str">
        <f aca="false">IF(ISBLANK($C292),"",IF(ISNUMBER(G292),IF(G292&gt;=0,G292,""),""))</f>
        <v/>
      </c>
      <c r="R292" s="62" t="str">
        <f aca="false">IF(ISBLANK($C292),"",IF(H292=Constants!$B$2, TRUE(), IF(H292=Constants!$B$3, FALSE(), TRUE())))</f>
        <v/>
      </c>
      <c r="S292" s="62" t="str">
        <f aca="false">IF(ISBLANK($C292),"",IF(I292=Constants!$B$2, TRUE(), IF(I292=Constants!$B$3, FALSE(), TRUE())))</f>
        <v/>
      </c>
      <c r="T292" s="62" t="str">
        <f aca="false">IF(ISBLANK($C292),"",IF(ISNUMBER(J292),IF(J292&gt;=0,J292,""),""))</f>
        <v/>
      </c>
      <c r="U292" s="62" t="str">
        <f aca="false">IF(ISBLANK($C292),"",IF(K292=Constants!$B$2, TRUE(), IF(K292=Constants!$B$3, FALSE(), TRUE())))</f>
        <v/>
      </c>
      <c r="V292" s="62" t="str">
        <f aca="false">IF(ISBLANK($C292),"",IF(L292=Constants!$B$2, TRUE(), IF(L292=Constants!$B$3, FALSE(), TRUE())))</f>
        <v/>
      </c>
      <c r="W292" s="62" t="str">
        <f aca="false">IF(ISBLANK($C292),"",IF(M292=Constants!$B$2, TRUE(), IF(M292=Constants!$B$3, FALSE(), FALSE())))</f>
        <v/>
      </c>
      <c r="X292" s="62" t="str">
        <f aca="false">IF(ISBLANK($C292),"",AND(Q292&lt;&gt;"",O292))</f>
        <v/>
      </c>
      <c r="Y292" s="62" t="str">
        <f aca="false">IF(ISBLANK($C292),"",AND(T292&lt;&gt;"",O292))</f>
        <v/>
      </c>
      <c r="Z292" s="62" t="str">
        <f aca="false">IF(ISBLANK($C292),"",IF(W292,Constants!$B$4,IF(COUNTA(E292:L292)=0,Constants!$B$5,IF(NOT(O292),Constants!$B$6,IF(AND(NOT(X292),NOT(Y292)),Constants!$B$6,Constants!$B$7)))))</f>
        <v/>
      </c>
      <c r="AA292" s="62" t="str">
        <f aca="false">IF(ISBLANK($C292),"",IF($Z292&lt;&gt;Constants!$B$7,$Z292,Constants!$B$20))</f>
        <v/>
      </c>
      <c r="AB292" s="62" t="str">
        <f aca="false">IF($Z292=Constants!$B$7,IF(X292,Q292,Constants!$B$13),"")</f>
        <v/>
      </c>
      <c r="AC292" s="62" t="str">
        <f aca="false">IF($Z292=Constants!$B$7,IF(X292,P292*IF(R292, 1, Constants!$B$11)*IF(S292, 1, Constants!$B$12),Constants!$B$13),"")</f>
        <v/>
      </c>
      <c r="AD292" s="62" t="str">
        <f aca="false">IF($Z292=Constants!$B$7,AB292*AC292,"")</f>
        <v/>
      </c>
      <c r="AE292" s="62" t="str">
        <f aca="false">IF($Z292=Constants!$B$7,IF(Y292,T292,Constants!$B$13),"")</f>
        <v/>
      </c>
      <c r="AF292" s="62" t="str">
        <f aca="false">IF($Z292=Constants!$B$7,IF(Y292,P292*IF(U292, 1, Constants!$B$11)*IF(V292, 1, Constants!$B$12),Constants!$B$13),"")</f>
        <v/>
      </c>
      <c r="AG292" s="62" t="str">
        <f aca="false">IF($Z292=Constants!$B$7,AE292*AF292,"")</f>
        <v/>
      </c>
      <c r="AH292" s="62" t="str">
        <f aca="false">IF($Z292=Constants!$B$7,IF(AG292&gt;AD292,2,1),"")</f>
        <v/>
      </c>
      <c r="AI292" s="62" t="str">
        <f aca="false">IF($Z292=Constants!$B$7,IF(AH292=1,2,1),"")</f>
        <v/>
      </c>
      <c r="AJ292" s="62" t="str">
        <f aca="false">IF(ISBLANK($C292),"",IF($Z292&lt;&gt;Constants!$B$7,$Z292,IF(AH292=1,AD292,AG292)))</f>
        <v/>
      </c>
      <c r="AK292" s="62" t="str">
        <f aca="false">IF(ISBLANK($C292),"",IF($Z292=Constants!$B$7,IF(ISNUMBER(AJ292),RANK(AJ292,$AJ$8:$AJ$507),Constants!$B$14),$Z292))</f>
        <v/>
      </c>
      <c r="AL292" s="62" t="str">
        <f aca="false">IF(ISBLANK($C292),"",IF($Z292=Constants!$B$7,IF(AI292=1,AD292,AG292),""))</f>
        <v/>
      </c>
      <c r="AM292" s="62" t="str">
        <f aca="false">IF(ISBLANK($C292),"",IF($Z292=Constants!$B$7,RANK(AL292,$AL$8:$AL$507),$Z292))</f>
        <v/>
      </c>
      <c r="AN292" s="62" t="str">
        <f aca="false">IF(ISBLANK($C292),"",IF($Z292=Constants!$B$7,IF(ISNUMBER(AK292),COUNTIFS($AK$8:$AK$507,"&lt;"&amp;$AK292)+COUNTIFS($AK$8:$AK$507,$AK292,$AM$8:$AM$507,"&lt;"&amp;$AM292)+1,Constants!$B$14),$Z292))</f>
        <v/>
      </c>
      <c r="AO292" s="62" t="str">
        <f aca="false">IF(ISBLANK($C292),"",IF($Z292=Constants!$B$7,IF(ISNUMBER(AK292),AK292-AN292,Constants!$B$14),$Z292))</f>
        <v/>
      </c>
      <c r="AP292" s="64"/>
      <c r="AQ292" s="65" t="str">
        <f aca="false">IF(ISBLANK($C292),"",IF($Z292&lt;&gt;Constants!$B$7,"",AH292))</f>
        <v/>
      </c>
      <c r="AR292" s="80" t="str">
        <f aca="false">IF(ISBLANK($C292),"",IF($Z292&lt;&gt;Constants!$B$7,"",IF(AH292=1,AB292,AE292)))</f>
        <v/>
      </c>
      <c r="AS292" s="67" t="str">
        <f aca="false">IF(ISBLANK($C292),"",IF($Z292&lt;&gt;Constants!$B$7,"",IF(AH292=1,AC292,AF292)))</f>
        <v/>
      </c>
      <c r="AT292" s="68" t="str">
        <f aca="false">IF(ISBLANK($C292),"",IF($Z292&lt;&gt;Constants!$B$7,$Z292,AJ292))</f>
        <v/>
      </c>
      <c r="AU292" s="69" t="str">
        <f aca="false">IF(ISBLANK($C292),"",IF($Z292&lt;&gt;Constants!$B$7,$Z292,AA292))</f>
        <v/>
      </c>
      <c r="AV292" s="70" t="str">
        <f aca="false">IF(ISBLANK($C292),"",AO292)</f>
        <v/>
      </c>
      <c r="AW292" s="70" t="str">
        <f aca="false">IF(ISBLANK($C292),"",AN292)</f>
        <v/>
      </c>
      <c r="AX292" s="71" t="str">
        <f aca="false">IF(ISBLANK($C292),"",IFERROR(_xlfn.SWITCH(AW292,Constants!$B$4,COUNTA($C$8:$C$507)+2,Constants!$B$5,COUNTA($C$8:$C$507)+1,Constants!$B$6,COUNTA($C$8:$C$507)),AW292))</f>
        <v/>
      </c>
      <c r="AY292" s="5"/>
      <c r="AZ292" s="72" t="n">
        <f aca="false">IF(OR(ISNUMBER(AW292),AW292=Constants!$B$4,AW292=Constants!$B$6,AW292=Constants!$B$5),1,0)</f>
        <v>0</v>
      </c>
      <c r="BA292" s="72" t="n">
        <v>285</v>
      </c>
      <c r="BB292" s="72" t="str">
        <f aca="false">IF(ISBLANK($C292),"",IF(ISNUMBER(AX292),AX292+ROW($B292)/1000,""))</f>
        <v/>
      </c>
      <c r="BC292" s="72" t="str">
        <f aca="false">IF(ISNUMBER(BB292),RANK(BB292,$BB$8:$BB$507,1),"")</f>
        <v/>
      </c>
      <c r="BD292" s="72" t="str">
        <f aca="false">IF(ISBLANK($C292),"",$B292)</f>
        <v/>
      </c>
      <c r="BE292" s="72" t="str">
        <f aca="false">IF(ISBLANK($C292),"",$C292)</f>
        <v/>
      </c>
      <c r="BF292" s="72" t="str">
        <f aca="false">IF(ISBLANK($C292),"",$D292)</f>
        <v/>
      </c>
      <c r="BG292" s="73" t="str">
        <f aca="false">AU292</f>
        <v/>
      </c>
      <c r="BH292" s="74" t="str">
        <f aca="false">AT292</f>
        <v/>
      </c>
      <c r="BI292" s="72" t="str">
        <f aca="false">IF(ISBLANK($C292),"",AW292)</f>
        <v/>
      </c>
      <c r="BJ292" s="75" t="str">
        <f aca="false">IF($BA292&gt;$AZ$7,"",VLOOKUP($BA292,$BC$8:$BI$507,7,FALSE()))</f>
        <v/>
      </c>
      <c r="BK292" s="76" t="str">
        <f aca="false">IF($BA292&gt;$AZ$7,"",VLOOKUP($BA292,$BC$8:$BI$507,2,FALSE()))</f>
        <v/>
      </c>
      <c r="BL292" s="76" t="str">
        <f aca="false">IF($BA292&gt;$AZ$7,"",VLOOKUP($BA292,$BC$8:$BI$507,3,FALSE()))</f>
        <v/>
      </c>
      <c r="BM292" s="76" t="str">
        <f aca="false">IF($BA292&gt;$AZ$7,"",VLOOKUP($BA292,$BC$8:$BI$507,4,FALSE()))</f>
        <v/>
      </c>
      <c r="BN292" s="76" t="str">
        <f aca="false">IF($BA292&gt;$AZ$7,"",VLOOKUP($BA292,$BC$8:$BI$507,5,FALSE()))</f>
        <v/>
      </c>
      <c r="BO292" s="77" t="str">
        <f aca="false">IF($BA292&gt;$AZ$7,"",VLOOKUP($BA292,$BC$8:$BI$507,6,FALSE()))</f>
        <v/>
      </c>
      <c r="BP292" s="52"/>
    </row>
    <row r="293" customFormat="false" ht="15.75" hidden="false" customHeight="false" outlineLevel="0" collapsed="false">
      <c r="A293" s="5"/>
      <c r="B293" s="114"/>
      <c r="C293" s="115"/>
      <c r="D293" s="106"/>
      <c r="E293" s="117"/>
      <c r="F293" s="87"/>
      <c r="G293" s="88"/>
      <c r="H293" s="88"/>
      <c r="I293" s="87"/>
      <c r="J293" s="88"/>
      <c r="K293" s="88"/>
      <c r="L293" s="87"/>
      <c r="M293" s="117"/>
      <c r="N293" s="90"/>
      <c r="O293" s="91" t="str">
        <f aca="false">IF(ISBLANK($C293),"",IF(E293=Constants!$B$2, TRUE(), IF(E293=Constants!$B$3, FALSE(), TRUE())))</f>
        <v/>
      </c>
      <c r="P293" s="91" t="str">
        <f aca="false">IF(ISBLANK($C293),"",IF(F293=Constants!$B$16,Constants!$B$9,IF(F293=Constants!$B$17,Constants!$B$10,Constants!$B$8)))</f>
        <v/>
      </c>
      <c r="Q293" s="91" t="str">
        <f aca="false">IF(ISBLANK($C293),"",IF(ISNUMBER(G293),IF(G293&gt;=0,G293,""),""))</f>
        <v/>
      </c>
      <c r="R293" s="91" t="str">
        <f aca="false">IF(ISBLANK($C293),"",IF(H293=Constants!$B$2, TRUE(), IF(H293=Constants!$B$3, FALSE(), TRUE())))</f>
        <v/>
      </c>
      <c r="S293" s="91" t="str">
        <f aca="false">IF(ISBLANK($C293),"",IF(I293=Constants!$B$2, TRUE(), IF(I293=Constants!$B$3, FALSE(), TRUE())))</f>
        <v/>
      </c>
      <c r="T293" s="91" t="str">
        <f aca="false">IF(ISBLANK($C293),"",IF(ISNUMBER(J293),IF(J293&gt;=0,J293,""),""))</f>
        <v/>
      </c>
      <c r="U293" s="91" t="str">
        <f aca="false">IF(ISBLANK($C293),"",IF(K293=Constants!$B$2, TRUE(), IF(K293=Constants!$B$3, FALSE(), TRUE())))</f>
        <v/>
      </c>
      <c r="V293" s="91" t="str">
        <f aca="false">IF(ISBLANK($C293),"",IF(L293=Constants!$B$2, TRUE(), IF(L293=Constants!$B$3, FALSE(), TRUE())))</f>
        <v/>
      </c>
      <c r="W293" s="91" t="str">
        <f aca="false">IF(ISBLANK($C293),"",IF(M293=Constants!$B$2, TRUE(), IF(M293=Constants!$B$3, FALSE(), FALSE())))</f>
        <v/>
      </c>
      <c r="X293" s="91" t="str">
        <f aca="false">IF(ISBLANK($C293),"",AND(Q293&lt;&gt;"",O293))</f>
        <v/>
      </c>
      <c r="Y293" s="91" t="str">
        <f aca="false">IF(ISBLANK($C293),"",AND(T293&lt;&gt;"",O293))</f>
        <v/>
      </c>
      <c r="Z293" s="91" t="str">
        <f aca="false">IF(ISBLANK($C293),"",IF(W293,Constants!$B$4,IF(COUNTA(E293:L293)=0,Constants!$B$5,IF(NOT(O293),Constants!$B$6,IF(AND(NOT(X293),NOT(Y293)),Constants!$B$6,Constants!$B$7)))))</f>
        <v/>
      </c>
      <c r="AA293" s="91" t="str">
        <f aca="false">IF(ISBLANK($C293),"",IF($Z293&lt;&gt;Constants!$B$7,$Z293,Constants!$B$20))</f>
        <v/>
      </c>
      <c r="AB293" s="91" t="str">
        <f aca="false">IF($Z293=Constants!$B$7,IF(X293,Q293,Constants!$B$13),"")</f>
        <v/>
      </c>
      <c r="AC293" s="91" t="str">
        <f aca="false">IF($Z293=Constants!$B$7,IF(X293,P293*IF(R293, 1, Constants!$B$11)*IF(S293, 1, Constants!$B$12),Constants!$B$13),"")</f>
        <v/>
      </c>
      <c r="AD293" s="91" t="str">
        <f aca="false">IF($Z293=Constants!$B$7,AB293*AC293,"")</f>
        <v/>
      </c>
      <c r="AE293" s="91" t="str">
        <f aca="false">IF($Z293=Constants!$B$7,IF(Y293,T293,Constants!$B$13),"")</f>
        <v/>
      </c>
      <c r="AF293" s="91" t="str">
        <f aca="false">IF($Z293=Constants!$B$7,IF(Y293,P293*IF(U293, 1, Constants!$B$11)*IF(V293, 1, Constants!$B$12),Constants!$B$13),"")</f>
        <v/>
      </c>
      <c r="AG293" s="91" t="str">
        <f aca="false">IF($Z293=Constants!$B$7,AE293*AF293,"")</f>
        <v/>
      </c>
      <c r="AH293" s="91" t="str">
        <f aca="false">IF($Z293=Constants!$B$7,IF(AG293&gt;AD293,2,1),"")</f>
        <v/>
      </c>
      <c r="AI293" s="91" t="str">
        <f aca="false">IF($Z293=Constants!$B$7,IF(AH293=1,2,1),"")</f>
        <v/>
      </c>
      <c r="AJ293" s="91" t="str">
        <f aca="false">IF(ISBLANK($C293),"",IF($Z293&lt;&gt;Constants!$B$7,$Z293,IF(AH293=1,AD293,AG293)))</f>
        <v/>
      </c>
      <c r="AK293" s="91" t="str">
        <f aca="false">IF(ISBLANK($C293),"",IF($Z293=Constants!$B$7,IF(ISNUMBER(AJ293),RANK(AJ293,$AJ$8:$AJ$507),Constants!$B$14),$Z293))</f>
        <v/>
      </c>
      <c r="AL293" s="91" t="str">
        <f aca="false">IF(ISBLANK($C293),"",IF($Z293=Constants!$B$7,IF(AI293=1,AD293,AG293),""))</f>
        <v/>
      </c>
      <c r="AM293" s="91" t="str">
        <f aca="false">IF(ISBLANK($C293),"",IF($Z293=Constants!$B$7,RANK(AL293,$AL$8:$AL$507),$Z293))</f>
        <v/>
      </c>
      <c r="AN293" s="91" t="str">
        <f aca="false">IF(ISBLANK($C293),"",IF($Z293=Constants!$B$7,IF(ISNUMBER(AK293),COUNTIFS($AK$8:$AK$507,"&lt;"&amp;$AK293)+COUNTIFS($AK$8:$AK$507,$AK293,$AM$8:$AM$507,"&lt;"&amp;$AM293)+1,Constants!$B$14),$Z293))</f>
        <v/>
      </c>
      <c r="AO293" s="91" t="str">
        <f aca="false">IF(ISBLANK($C293),"",IF($Z293=Constants!$B$7,IF(ISNUMBER(AK293),AK293-AN293,Constants!$B$14),$Z293))</f>
        <v/>
      </c>
      <c r="AP293" s="92"/>
      <c r="AQ293" s="93" t="str">
        <f aca="false">IF(ISBLANK($C293),"",IF($Z293&lt;&gt;Constants!$B$7,"",AH293))</f>
        <v/>
      </c>
      <c r="AR293" s="94" t="str">
        <f aca="false">IF(ISBLANK($C293),"",IF($Z293&lt;&gt;Constants!$B$7,"",IF(AH293=1,AB293,AE293)))</f>
        <v/>
      </c>
      <c r="AS293" s="95" t="str">
        <f aca="false">IF(ISBLANK($C293),"",IF($Z293&lt;&gt;Constants!$B$7,"",IF(AH293=1,AC293,AF293)))</f>
        <v/>
      </c>
      <c r="AT293" s="96" t="str">
        <f aca="false">IF(ISBLANK($C293),"",IF($Z293&lt;&gt;Constants!$B$7,$Z293,AJ293))</f>
        <v/>
      </c>
      <c r="AU293" s="97" t="str">
        <f aca="false">IF(ISBLANK($C293),"",IF($Z293&lt;&gt;Constants!$B$7,$Z293,AA293))</f>
        <v/>
      </c>
      <c r="AV293" s="98" t="str">
        <f aca="false">IF(ISBLANK($C293),"",AO293)</f>
        <v/>
      </c>
      <c r="AW293" s="98" t="str">
        <f aca="false">IF(ISBLANK($C293),"",AN293)</f>
        <v/>
      </c>
      <c r="AX293" s="99" t="str">
        <f aca="false">IF(ISBLANK($C293),"",IFERROR(_xlfn.SWITCH(AW293,Constants!$B$4,COUNTA($C$8:$C$507)+2,Constants!$B$5,COUNTA($C$8:$C$507)+1,Constants!$B$6,COUNTA($C$8:$C$507)),AW293))</f>
        <v/>
      </c>
      <c r="AY293" s="5"/>
      <c r="AZ293" s="100" t="n">
        <f aca="false">IF(OR(ISNUMBER(AW293),AW293=Constants!$B$4,AW293=Constants!$B$6,AW293=Constants!$B$5),1,0)</f>
        <v>0</v>
      </c>
      <c r="BA293" s="100" t="n">
        <v>286</v>
      </c>
      <c r="BB293" s="100" t="str">
        <f aca="false">IF(ISBLANK($C293),"",IF(ISNUMBER(AX293),AX293+ROW($B293)/1000,""))</f>
        <v/>
      </c>
      <c r="BC293" s="100" t="str">
        <f aca="false">IF(ISNUMBER(BB293),RANK(BB293,$BB$8:$BB$507,1),"")</f>
        <v/>
      </c>
      <c r="BD293" s="100" t="str">
        <f aca="false">IF(ISBLANK($C293),"",$B293)</f>
        <v/>
      </c>
      <c r="BE293" s="100" t="str">
        <f aca="false">IF(ISBLANK($C293),"",$C293)</f>
        <v/>
      </c>
      <c r="BF293" s="100" t="str">
        <f aca="false">IF(ISBLANK($C293),"",$D293)</f>
        <v/>
      </c>
      <c r="BG293" s="101" t="str">
        <f aca="false">AU293</f>
        <v/>
      </c>
      <c r="BH293" s="102" t="str">
        <f aca="false">AT293</f>
        <v/>
      </c>
      <c r="BI293" s="100" t="str">
        <f aca="false">IF(ISBLANK($C293),"",AW293)</f>
        <v/>
      </c>
      <c r="BJ293" s="103" t="str">
        <f aca="false">IF($BA293&gt;$AZ$7,"",VLOOKUP($BA293,$BC$8:$BI$507,7,FALSE()))</f>
        <v/>
      </c>
      <c r="BK293" s="104" t="str">
        <f aca="false">IF($BA293&gt;$AZ$7,"",VLOOKUP($BA293,$BC$8:$BI$507,2,FALSE()))</f>
        <v/>
      </c>
      <c r="BL293" s="104" t="str">
        <f aca="false">IF($BA293&gt;$AZ$7,"",VLOOKUP($BA293,$BC$8:$BI$507,3,FALSE()))</f>
        <v/>
      </c>
      <c r="BM293" s="104" t="str">
        <f aca="false">IF($BA293&gt;$AZ$7,"",VLOOKUP($BA293,$BC$8:$BI$507,4,FALSE()))</f>
        <v/>
      </c>
      <c r="BN293" s="104" t="str">
        <f aca="false">IF($BA293&gt;$AZ$7,"",VLOOKUP($BA293,$BC$8:$BI$507,5,FALSE()))</f>
        <v/>
      </c>
      <c r="BO293" s="105" t="str">
        <f aca="false">IF($BA293&gt;$AZ$7,"",VLOOKUP($BA293,$BC$8:$BI$507,6,FALSE()))</f>
        <v/>
      </c>
      <c r="BP293" s="52"/>
    </row>
    <row r="294" customFormat="false" ht="15.75" hidden="false" customHeight="false" outlineLevel="0" collapsed="false">
      <c r="A294" s="5"/>
      <c r="B294" s="114"/>
      <c r="C294" s="115"/>
      <c r="D294" s="106"/>
      <c r="E294" s="117"/>
      <c r="F294" s="87"/>
      <c r="G294" s="88"/>
      <c r="H294" s="88"/>
      <c r="I294" s="87"/>
      <c r="J294" s="88"/>
      <c r="K294" s="88"/>
      <c r="L294" s="87"/>
      <c r="M294" s="117"/>
      <c r="N294" s="90"/>
      <c r="O294" s="91" t="str">
        <f aca="false">IF(ISBLANK($C294),"",IF(E294=Constants!$B$2, TRUE(), IF(E294=Constants!$B$3, FALSE(), TRUE())))</f>
        <v/>
      </c>
      <c r="P294" s="91" t="str">
        <f aca="false">IF(ISBLANK($C294),"",IF(F294=Constants!$B$16,Constants!$B$9,IF(F294=Constants!$B$17,Constants!$B$10,Constants!$B$8)))</f>
        <v/>
      </c>
      <c r="Q294" s="91" t="str">
        <f aca="false">IF(ISBLANK($C294),"",IF(ISNUMBER(G294),IF(G294&gt;=0,G294,""),""))</f>
        <v/>
      </c>
      <c r="R294" s="91" t="str">
        <f aca="false">IF(ISBLANK($C294),"",IF(H294=Constants!$B$2, TRUE(), IF(H294=Constants!$B$3, FALSE(), TRUE())))</f>
        <v/>
      </c>
      <c r="S294" s="91" t="str">
        <f aca="false">IF(ISBLANK($C294),"",IF(I294=Constants!$B$2, TRUE(), IF(I294=Constants!$B$3, FALSE(), TRUE())))</f>
        <v/>
      </c>
      <c r="T294" s="91" t="str">
        <f aca="false">IF(ISBLANK($C294),"",IF(ISNUMBER(J294),IF(J294&gt;=0,J294,""),""))</f>
        <v/>
      </c>
      <c r="U294" s="91" t="str">
        <f aca="false">IF(ISBLANK($C294),"",IF(K294=Constants!$B$2, TRUE(), IF(K294=Constants!$B$3, FALSE(), TRUE())))</f>
        <v/>
      </c>
      <c r="V294" s="91" t="str">
        <f aca="false">IF(ISBLANK($C294),"",IF(L294=Constants!$B$2, TRUE(), IF(L294=Constants!$B$3, FALSE(), TRUE())))</f>
        <v/>
      </c>
      <c r="W294" s="91" t="str">
        <f aca="false">IF(ISBLANK($C294),"",IF(M294=Constants!$B$2, TRUE(), IF(M294=Constants!$B$3, FALSE(), FALSE())))</f>
        <v/>
      </c>
      <c r="X294" s="91" t="str">
        <f aca="false">IF(ISBLANK($C294),"",AND(Q294&lt;&gt;"",O294))</f>
        <v/>
      </c>
      <c r="Y294" s="91" t="str">
        <f aca="false">IF(ISBLANK($C294),"",AND(T294&lt;&gt;"",O294))</f>
        <v/>
      </c>
      <c r="Z294" s="91" t="str">
        <f aca="false">IF(ISBLANK($C294),"",IF(W294,Constants!$B$4,IF(COUNTA(E294:L294)=0,Constants!$B$5,IF(NOT(O294),Constants!$B$6,IF(AND(NOT(X294),NOT(Y294)),Constants!$B$6,Constants!$B$7)))))</f>
        <v/>
      </c>
      <c r="AA294" s="91" t="str">
        <f aca="false">IF(ISBLANK($C294),"",IF($Z294&lt;&gt;Constants!$B$7,$Z294,Constants!$B$20))</f>
        <v/>
      </c>
      <c r="AB294" s="91" t="str">
        <f aca="false">IF($Z294=Constants!$B$7,IF(X294,Q294,Constants!$B$13),"")</f>
        <v/>
      </c>
      <c r="AC294" s="91" t="str">
        <f aca="false">IF($Z294=Constants!$B$7,IF(X294,P294*IF(R294, 1, Constants!$B$11)*IF(S294, 1, Constants!$B$12),Constants!$B$13),"")</f>
        <v/>
      </c>
      <c r="AD294" s="91" t="str">
        <f aca="false">IF($Z294=Constants!$B$7,AB294*AC294,"")</f>
        <v/>
      </c>
      <c r="AE294" s="91" t="str">
        <f aca="false">IF($Z294=Constants!$B$7,IF(Y294,T294,Constants!$B$13),"")</f>
        <v/>
      </c>
      <c r="AF294" s="91" t="str">
        <f aca="false">IF($Z294=Constants!$B$7,IF(Y294,P294*IF(U294, 1, Constants!$B$11)*IF(V294, 1, Constants!$B$12),Constants!$B$13),"")</f>
        <v/>
      </c>
      <c r="AG294" s="91" t="str">
        <f aca="false">IF($Z294=Constants!$B$7,AE294*AF294,"")</f>
        <v/>
      </c>
      <c r="AH294" s="91" t="str">
        <f aca="false">IF($Z294=Constants!$B$7,IF(AG294&gt;AD294,2,1),"")</f>
        <v/>
      </c>
      <c r="AI294" s="91" t="str">
        <f aca="false">IF($Z294=Constants!$B$7,IF(AH294=1,2,1),"")</f>
        <v/>
      </c>
      <c r="AJ294" s="91" t="str">
        <f aca="false">IF(ISBLANK($C294),"",IF($Z294&lt;&gt;Constants!$B$7,$Z294,IF(AH294=1,AD294,AG294)))</f>
        <v/>
      </c>
      <c r="AK294" s="91" t="str">
        <f aca="false">IF(ISBLANK($C294),"",IF($Z294=Constants!$B$7,IF(ISNUMBER(AJ294),RANK(AJ294,$AJ$8:$AJ$507),Constants!$B$14),$Z294))</f>
        <v/>
      </c>
      <c r="AL294" s="91" t="str">
        <f aca="false">IF(ISBLANK($C294),"",IF($Z294=Constants!$B$7,IF(AI294=1,AD294,AG294),""))</f>
        <v/>
      </c>
      <c r="AM294" s="91" t="str">
        <f aca="false">IF(ISBLANK($C294),"",IF($Z294=Constants!$B$7,RANK(AL294,$AL$8:$AL$507),$Z294))</f>
        <v/>
      </c>
      <c r="AN294" s="91" t="str">
        <f aca="false">IF(ISBLANK($C294),"",IF($Z294=Constants!$B$7,IF(ISNUMBER(AK294),COUNTIFS($AK$8:$AK$507,"&lt;"&amp;$AK294)+COUNTIFS($AK$8:$AK$507,$AK294,$AM$8:$AM$507,"&lt;"&amp;$AM294)+1,Constants!$B$14),$Z294))</f>
        <v/>
      </c>
      <c r="AO294" s="91" t="str">
        <f aca="false">IF(ISBLANK($C294),"",IF($Z294=Constants!$B$7,IF(ISNUMBER(AK294),AK294-AN294,Constants!$B$14),$Z294))</f>
        <v/>
      </c>
      <c r="AP294" s="92"/>
      <c r="AQ294" s="93" t="str">
        <f aca="false">IF(ISBLANK($C294),"",IF($Z294&lt;&gt;Constants!$B$7,"",AH294))</f>
        <v/>
      </c>
      <c r="AR294" s="94" t="str">
        <f aca="false">IF(ISBLANK($C294),"",IF($Z294&lt;&gt;Constants!$B$7,"",IF(AH294=1,AB294,AE294)))</f>
        <v/>
      </c>
      <c r="AS294" s="95" t="str">
        <f aca="false">IF(ISBLANK($C294),"",IF($Z294&lt;&gt;Constants!$B$7,"",IF(AH294=1,AC294,AF294)))</f>
        <v/>
      </c>
      <c r="AT294" s="96" t="str">
        <f aca="false">IF(ISBLANK($C294),"",IF($Z294&lt;&gt;Constants!$B$7,$Z294,AJ294))</f>
        <v/>
      </c>
      <c r="AU294" s="97" t="str">
        <f aca="false">IF(ISBLANK($C294),"",IF($Z294&lt;&gt;Constants!$B$7,$Z294,AA294))</f>
        <v/>
      </c>
      <c r="AV294" s="98" t="str">
        <f aca="false">IF(ISBLANK($C294),"",AO294)</f>
        <v/>
      </c>
      <c r="AW294" s="98" t="str">
        <f aca="false">IF(ISBLANK($C294),"",AN294)</f>
        <v/>
      </c>
      <c r="AX294" s="99" t="str">
        <f aca="false">IF(ISBLANK($C294),"",IFERROR(_xlfn.SWITCH(AW294,Constants!$B$4,COUNTA($C$8:$C$507)+2,Constants!$B$5,COUNTA($C$8:$C$507)+1,Constants!$B$6,COUNTA($C$8:$C$507)),AW294))</f>
        <v/>
      </c>
      <c r="AY294" s="5"/>
      <c r="AZ294" s="100" t="n">
        <f aca="false">IF(OR(ISNUMBER(AW294),AW294=Constants!$B$4,AW294=Constants!$B$6,AW294=Constants!$B$5),1,0)</f>
        <v>0</v>
      </c>
      <c r="BA294" s="100" t="n">
        <v>287</v>
      </c>
      <c r="BB294" s="100" t="str">
        <f aca="false">IF(ISBLANK($C294),"",IF(ISNUMBER(AX294),AX294+ROW($B294)/1000,""))</f>
        <v/>
      </c>
      <c r="BC294" s="100" t="str">
        <f aca="false">IF(ISNUMBER(BB294),RANK(BB294,$BB$8:$BB$507,1),"")</f>
        <v/>
      </c>
      <c r="BD294" s="100" t="str">
        <f aca="false">IF(ISBLANK($C294),"",$B294)</f>
        <v/>
      </c>
      <c r="BE294" s="100" t="str">
        <f aca="false">IF(ISBLANK($C294),"",$C294)</f>
        <v/>
      </c>
      <c r="BF294" s="100" t="str">
        <f aca="false">IF(ISBLANK($C294),"",$D294)</f>
        <v/>
      </c>
      <c r="BG294" s="101" t="str">
        <f aca="false">AU294</f>
        <v/>
      </c>
      <c r="BH294" s="102" t="str">
        <f aca="false">AT294</f>
        <v/>
      </c>
      <c r="BI294" s="100" t="str">
        <f aca="false">IF(ISBLANK($C294),"",AW294)</f>
        <v/>
      </c>
      <c r="BJ294" s="103" t="str">
        <f aca="false">IF($BA294&gt;$AZ$7,"",VLOOKUP($BA294,$BC$8:$BI$507,7,FALSE()))</f>
        <v/>
      </c>
      <c r="BK294" s="104" t="str">
        <f aca="false">IF($BA294&gt;$AZ$7,"",VLOOKUP($BA294,$BC$8:$BI$507,2,FALSE()))</f>
        <v/>
      </c>
      <c r="BL294" s="104" t="str">
        <f aca="false">IF($BA294&gt;$AZ$7,"",VLOOKUP($BA294,$BC$8:$BI$507,3,FALSE()))</f>
        <v/>
      </c>
      <c r="BM294" s="104" t="str">
        <f aca="false">IF($BA294&gt;$AZ$7,"",VLOOKUP($BA294,$BC$8:$BI$507,4,FALSE()))</f>
        <v/>
      </c>
      <c r="BN294" s="104" t="str">
        <f aca="false">IF($BA294&gt;$AZ$7,"",VLOOKUP($BA294,$BC$8:$BI$507,5,FALSE()))</f>
        <v/>
      </c>
      <c r="BO294" s="105" t="str">
        <f aca="false">IF($BA294&gt;$AZ$7,"",VLOOKUP($BA294,$BC$8:$BI$507,6,FALSE()))</f>
        <v/>
      </c>
      <c r="BP294" s="52"/>
    </row>
    <row r="295" customFormat="false" ht="15.75" hidden="false" customHeight="false" outlineLevel="0" collapsed="false">
      <c r="A295" s="5"/>
      <c r="B295" s="114"/>
      <c r="C295" s="115"/>
      <c r="D295" s="106"/>
      <c r="E295" s="117"/>
      <c r="F295" s="87"/>
      <c r="G295" s="88"/>
      <c r="H295" s="88"/>
      <c r="I295" s="87"/>
      <c r="J295" s="88"/>
      <c r="K295" s="88"/>
      <c r="L295" s="87"/>
      <c r="M295" s="117"/>
      <c r="N295" s="90"/>
      <c r="O295" s="91" t="str">
        <f aca="false">IF(ISBLANK($C295),"",IF(E295=Constants!$B$2, TRUE(), IF(E295=Constants!$B$3, FALSE(), TRUE())))</f>
        <v/>
      </c>
      <c r="P295" s="91" t="str">
        <f aca="false">IF(ISBLANK($C295),"",IF(F295=Constants!$B$16,Constants!$B$9,IF(F295=Constants!$B$17,Constants!$B$10,Constants!$B$8)))</f>
        <v/>
      </c>
      <c r="Q295" s="91" t="str">
        <f aca="false">IF(ISBLANK($C295),"",IF(ISNUMBER(G295),IF(G295&gt;=0,G295,""),""))</f>
        <v/>
      </c>
      <c r="R295" s="91" t="str">
        <f aca="false">IF(ISBLANK($C295),"",IF(H295=Constants!$B$2, TRUE(), IF(H295=Constants!$B$3, FALSE(), TRUE())))</f>
        <v/>
      </c>
      <c r="S295" s="91" t="str">
        <f aca="false">IF(ISBLANK($C295),"",IF(I295=Constants!$B$2, TRUE(), IF(I295=Constants!$B$3, FALSE(), TRUE())))</f>
        <v/>
      </c>
      <c r="T295" s="91" t="str">
        <f aca="false">IF(ISBLANK($C295),"",IF(ISNUMBER(J295),IF(J295&gt;=0,J295,""),""))</f>
        <v/>
      </c>
      <c r="U295" s="91" t="str">
        <f aca="false">IF(ISBLANK($C295),"",IF(K295=Constants!$B$2, TRUE(), IF(K295=Constants!$B$3, FALSE(), TRUE())))</f>
        <v/>
      </c>
      <c r="V295" s="91" t="str">
        <f aca="false">IF(ISBLANK($C295),"",IF(L295=Constants!$B$2, TRUE(), IF(L295=Constants!$B$3, FALSE(), TRUE())))</f>
        <v/>
      </c>
      <c r="W295" s="91" t="str">
        <f aca="false">IF(ISBLANK($C295),"",IF(M295=Constants!$B$2, TRUE(), IF(M295=Constants!$B$3, FALSE(), FALSE())))</f>
        <v/>
      </c>
      <c r="X295" s="91" t="str">
        <f aca="false">IF(ISBLANK($C295),"",AND(Q295&lt;&gt;"",O295))</f>
        <v/>
      </c>
      <c r="Y295" s="91" t="str">
        <f aca="false">IF(ISBLANK($C295),"",AND(T295&lt;&gt;"",O295))</f>
        <v/>
      </c>
      <c r="Z295" s="91" t="str">
        <f aca="false">IF(ISBLANK($C295),"",IF(W295,Constants!$B$4,IF(COUNTA(E295:L295)=0,Constants!$B$5,IF(NOT(O295),Constants!$B$6,IF(AND(NOT(X295),NOT(Y295)),Constants!$B$6,Constants!$B$7)))))</f>
        <v/>
      </c>
      <c r="AA295" s="91" t="str">
        <f aca="false">IF(ISBLANK($C295),"",IF($Z295&lt;&gt;Constants!$B$7,$Z295,Constants!$B$20))</f>
        <v/>
      </c>
      <c r="AB295" s="91" t="str">
        <f aca="false">IF($Z295=Constants!$B$7,IF(X295,Q295,Constants!$B$13),"")</f>
        <v/>
      </c>
      <c r="AC295" s="91" t="str">
        <f aca="false">IF($Z295=Constants!$B$7,IF(X295,P295*IF(R295, 1, Constants!$B$11)*IF(S295, 1, Constants!$B$12),Constants!$B$13),"")</f>
        <v/>
      </c>
      <c r="AD295" s="91" t="str">
        <f aca="false">IF($Z295=Constants!$B$7,AB295*AC295,"")</f>
        <v/>
      </c>
      <c r="AE295" s="91" t="str">
        <f aca="false">IF($Z295=Constants!$B$7,IF(Y295,T295,Constants!$B$13),"")</f>
        <v/>
      </c>
      <c r="AF295" s="91" t="str">
        <f aca="false">IF($Z295=Constants!$B$7,IF(Y295,P295*IF(U295, 1, Constants!$B$11)*IF(V295, 1, Constants!$B$12),Constants!$B$13),"")</f>
        <v/>
      </c>
      <c r="AG295" s="91" t="str">
        <f aca="false">IF($Z295=Constants!$B$7,AE295*AF295,"")</f>
        <v/>
      </c>
      <c r="AH295" s="91" t="str">
        <f aca="false">IF($Z295=Constants!$B$7,IF(AG295&gt;AD295,2,1),"")</f>
        <v/>
      </c>
      <c r="AI295" s="91" t="str">
        <f aca="false">IF($Z295=Constants!$B$7,IF(AH295=1,2,1),"")</f>
        <v/>
      </c>
      <c r="AJ295" s="91" t="str">
        <f aca="false">IF(ISBLANK($C295),"",IF($Z295&lt;&gt;Constants!$B$7,$Z295,IF(AH295=1,AD295,AG295)))</f>
        <v/>
      </c>
      <c r="AK295" s="91" t="str">
        <f aca="false">IF(ISBLANK($C295),"",IF($Z295=Constants!$B$7,IF(ISNUMBER(AJ295),RANK(AJ295,$AJ$8:$AJ$507),Constants!$B$14),$Z295))</f>
        <v/>
      </c>
      <c r="AL295" s="91" t="str">
        <f aca="false">IF(ISBLANK($C295),"",IF($Z295=Constants!$B$7,IF(AI295=1,AD295,AG295),""))</f>
        <v/>
      </c>
      <c r="AM295" s="91" t="str">
        <f aca="false">IF(ISBLANK($C295),"",IF($Z295=Constants!$B$7,RANK(AL295,$AL$8:$AL$507),$Z295))</f>
        <v/>
      </c>
      <c r="AN295" s="91" t="str">
        <f aca="false">IF(ISBLANK($C295),"",IF($Z295=Constants!$B$7,IF(ISNUMBER(AK295),COUNTIFS($AK$8:$AK$507,"&lt;"&amp;$AK295)+COUNTIFS($AK$8:$AK$507,$AK295,$AM$8:$AM$507,"&lt;"&amp;$AM295)+1,Constants!$B$14),$Z295))</f>
        <v/>
      </c>
      <c r="AO295" s="91" t="str">
        <f aca="false">IF(ISBLANK($C295),"",IF($Z295=Constants!$B$7,IF(ISNUMBER(AK295),AK295-AN295,Constants!$B$14),$Z295))</f>
        <v/>
      </c>
      <c r="AP295" s="92"/>
      <c r="AQ295" s="93" t="str">
        <f aca="false">IF(ISBLANK($C295),"",IF($Z295&lt;&gt;Constants!$B$7,"",AH295))</f>
        <v/>
      </c>
      <c r="AR295" s="94" t="str">
        <f aca="false">IF(ISBLANK($C295),"",IF($Z295&lt;&gt;Constants!$B$7,"",IF(AH295=1,AB295,AE295)))</f>
        <v/>
      </c>
      <c r="AS295" s="95" t="str">
        <f aca="false">IF(ISBLANK($C295),"",IF($Z295&lt;&gt;Constants!$B$7,"",IF(AH295=1,AC295,AF295)))</f>
        <v/>
      </c>
      <c r="AT295" s="96" t="str">
        <f aca="false">IF(ISBLANK($C295),"",IF($Z295&lt;&gt;Constants!$B$7,$Z295,AJ295))</f>
        <v/>
      </c>
      <c r="AU295" s="97" t="str">
        <f aca="false">IF(ISBLANK($C295),"",IF($Z295&lt;&gt;Constants!$B$7,$Z295,AA295))</f>
        <v/>
      </c>
      <c r="AV295" s="98" t="str">
        <f aca="false">IF(ISBLANK($C295),"",AO295)</f>
        <v/>
      </c>
      <c r="AW295" s="98" t="str">
        <f aca="false">IF(ISBLANK($C295),"",AN295)</f>
        <v/>
      </c>
      <c r="AX295" s="99" t="str">
        <f aca="false">IF(ISBLANK($C295),"",IFERROR(_xlfn.SWITCH(AW295,Constants!$B$4,COUNTA($C$8:$C$507)+2,Constants!$B$5,COUNTA($C$8:$C$507)+1,Constants!$B$6,COUNTA($C$8:$C$507)),AW295))</f>
        <v/>
      </c>
      <c r="AY295" s="5"/>
      <c r="AZ295" s="100" t="n">
        <f aca="false">IF(OR(ISNUMBER(AW295),AW295=Constants!$B$4,AW295=Constants!$B$6,AW295=Constants!$B$5),1,0)</f>
        <v>0</v>
      </c>
      <c r="BA295" s="100" t="n">
        <v>288</v>
      </c>
      <c r="BB295" s="100" t="str">
        <f aca="false">IF(ISBLANK($C295),"",IF(ISNUMBER(AX295),AX295+ROW($B295)/1000,""))</f>
        <v/>
      </c>
      <c r="BC295" s="100" t="str">
        <f aca="false">IF(ISNUMBER(BB295),RANK(BB295,$BB$8:$BB$507,1),"")</f>
        <v/>
      </c>
      <c r="BD295" s="100" t="str">
        <f aca="false">IF(ISBLANK($C295),"",$B295)</f>
        <v/>
      </c>
      <c r="BE295" s="100" t="str">
        <f aca="false">IF(ISBLANK($C295),"",$C295)</f>
        <v/>
      </c>
      <c r="BF295" s="100" t="str">
        <f aca="false">IF(ISBLANK($C295),"",$D295)</f>
        <v/>
      </c>
      <c r="BG295" s="101" t="str">
        <f aca="false">AU295</f>
        <v/>
      </c>
      <c r="BH295" s="102" t="str">
        <f aca="false">AT295</f>
        <v/>
      </c>
      <c r="BI295" s="100" t="str">
        <f aca="false">IF(ISBLANK($C295),"",AW295)</f>
        <v/>
      </c>
      <c r="BJ295" s="103" t="str">
        <f aca="false">IF($BA295&gt;$AZ$7,"",VLOOKUP($BA295,$BC$8:$BI$507,7,FALSE()))</f>
        <v/>
      </c>
      <c r="BK295" s="104" t="str">
        <f aca="false">IF($BA295&gt;$AZ$7,"",VLOOKUP($BA295,$BC$8:$BI$507,2,FALSE()))</f>
        <v/>
      </c>
      <c r="BL295" s="104" t="str">
        <f aca="false">IF($BA295&gt;$AZ$7,"",VLOOKUP($BA295,$BC$8:$BI$507,3,FALSE()))</f>
        <v/>
      </c>
      <c r="BM295" s="104" t="str">
        <f aca="false">IF($BA295&gt;$AZ$7,"",VLOOKUP($BA295,$BC$8:$BI$507,4,FALSE()))</f>
        <v/>
      </c>
      <c r="BN295" s="104" t="str">
        <f aca="false">IF($BA295&gt;$AZ$7,"",VLOOKUP($BA295,$BC$8:$BI$507,5,FALSE()))</f>
        <v/>
      </c>
      <c r="BO295" s="105" t="str">
        <f aca="false">IF($BA295&gt;$AZ$7,"",VLOOKUP($BA295,$BC$8:$BI$507,6,FALSE()))</f>
        <v/>
      </c>
      <c r="BP295" s="52"/>
    </row>
    <row r="296" customFormat="false" ht="15.75" hidden="false" customHeight="false" outlineLevel="0" collapsed="false">
      <c r="A296" s="5"/>
      <c r="B296" s="118"/>
      <c r="C296" s="54"/>
      <c r="D296" s="55"/>
      <c r="E296" s="79"/>
      <c r="F296" s="57"/>
      <c r="G296" s="58"/>
      <c r="H296" s="58"/>
      <c r="I296" s="57"/>
      <c r="J296" s="58"/>
      <c r="K296" s="58"/>
      <c r="L296" s="57"/>
      <c r="M296" s="79"/>
      <c r="N296" s="60"/>
      <c r="O296" s="62" t="str">
        <f aca="false">IF(ISBLANK($C296),"",IF(E296=Constants!$B$2, TRUE(), IF(E296=Constants!$B$3, FALSE(), TRUE())))</f>
        <v/>
      </c>
      <c r="P296" s="62" t="str">
        <f aca="false">IF(ISBLANK($C296),"",IF(F296=Constants!$B$16,Constants!$B$9,IF(F296=Constants!$B$17,Constants!$B$10,Constants!$B$8)))</f>
        <v/>
      </c>
      <c r="Q296" s="62" t="str">
        <f aca="false">IF(ISBLANK($C296),"",IF(ISNUMBER(G296),IF(G296&gt;=0,G296,""),""))</f>
        <v/>
      </c>
      <c r="R296" s="62" t="str">
        <f aca="false">IF(ISBLANK($C296),"",IF(H296=Constants!$B$2, TRUE(), IF(H296=Constants!$B$3, FALSE(), TRUE())))</f>
        <v/>
      </c>
      <c r="S296" s="62" t="str">
        <f aca="false">IF(ISBLANK($C296),"",IF(I296=Constants!$B$2, TRUE(), IF(I296=Constants!$B$3, FALSE(), TRUE())))</f>
        <v/>
      </c>
      <c r="T296" s="62" t="str">
        <f aca="false">IF(ISBLANK($C296),"",IF(ISNUMBER(J296),IF(J296&gt;=0,J296,""),""))</f>
        <v/>
      </c>
      <c r="U296" s="62" t="str">
        <f aca="false">IF(ISBLANK($C296),"",IF(K296=Constants!$B$2, TRUE(), IF(K296=Constants!$B$3, FALSE(), TRUE())))</f>
        <v/>
      </c>
      <c r="V296" s="62" t="str">
        <f aca="false">IF(ISBLANK($C296),"",IF(L296=Constants!$B$2, TRUE(), IF(L296=Constants!$B$3, FALSE(), TRUE())))</f>
        <v/>
      </c>
      <c r="W296" s="62" t="str">
        <f aca="false">IF(ISBLANK($C296),"",IF(M296=Constants!$B$2, TRUE(), IF(M296=Constants!$B$3, FALSE(), FALSE())))</f>
        <v/>
      </c>
      <c r="X296" s="62" t="str">
        <f aca="false">IF(ISBLANK($C296),"",AND(Q296&lt;&gt;"",O296))</f>
        <v/>
      </c>
      <c r="Y296" s="62" t="str">
        <f aca="false">IF(ISBLANK($C296),"",AND(T296&lt;&gt;"",O296))</f>
        <v/>
      </c>
      <c r="Z296" s="62" t="str">
        <f aca="false">IF(ISBLANK($C296),"",IF(W296,Constants!$B$4,IF(COUNTA(E296:L296)=0,Constants!$B$5,IF(NOT(O296),Constants!$B$6,IF(AND(NOT(X296),NOT(Y296)),Constants!$B$6,Constants!$B$7)))))</f>
        <v/>
      </c>
      <c r="AA296" s="62" t="str">
        <f aca="false">IF(ISBLANK($C296),"",IF($Z296&lt;&gt;Constants!$B$7,$Z296,Constants!$B$20))</f>
        <v/>
      </c>
      <c r="AB296" s="62" t="str">
        <f aca="false">IF($Z296=Constants!$B$7,IF(X296,Q296,Constants!$B$13),"")</f>
        <v/>
      </c>
      <c r="AC296" s="62" t="str">
        <f aca="false">IF($Z296=Constants!$B$7,IF(X296,P296*IF(R296, 1, Constants!$B$11)*IF(S296, 1, Constants!$B$12),Constants!$B$13),"")</f>
        <v/>
      </c>
      <c r="AD296" s="62" t="str">
        <f aca="false">IF($Z296=Constants!$B$7,AB296*AC296,"")</f>
        <v/>
      </c>
      <c r="AE296" s="62" t="str">
        <f aca="false">IF($Z296=Constants!$B$7,IF(Y296,T296,Constants!$B$13),"")</f>
        <v/>
      </c>
      <c r="AF296" s="62" t="str">
        <f aca="false">IF($Z296=Constants!$B$7,IF(Y296,P296*IF(U296, 1, Constants!$B$11)*IF(V296, 1, Constants!$B$12),Constants!$B$13),"")</f>
        <v/>
      </c>
      <c r="AG296" s="62" t="str">
        <f aca="false">IF($Z296=Constants!$B$7,AE296*AF296,"")</f>
        <v/>
      </c>
      <c r="AH296" s="62" t="str">
        <f aca="false">IF($Z296=Constants!$B$7,IF(AG296&gt;AD296,2,1),"")</f>
        <v/>
      </c>
      <c r="AI296" s="62" t="str">
        <f aca="false">IF($Z296=Constants!$B$7,IF(AH296=1,2,1),"")</f>
        <v/>
      </c>
      <c r="AJ296" s="62" t="str">
        <f aca="false">IF(ISBLANK($C296),"",IF($Z296&lt;&gt;Constants!$B$7,$Z296,IF(AH296=1,AD296,AG296)))</f>
        <v/>
      </c>
      <c r="AK296" s="62" t="str">
        <f aca="false">IF(ISBLANK($C296),"",IF($Z296=Constants!$B$7,IF(ISNUMBER(AJ296),RANK(AJ296,$AJ$8:$AJ$507),Constants!$B$14),$Z296))</f>
        <v/>
      </c>
      <c r="AL296" s="62" t="str">
        <f aca="false">IF(ISBLANK($C296),"",IF($Z296=Constants!$B$7,IF(AI296=1,AD296,AG296),""))</f>
        <v/>
      </c>
      <c r="AM296" s="62" t="str">
        <f aca="false">IF(ISBLANK($C296),"",IF($Z296=Constants!$B$7,RANK(AL296,$AL$8:$AL$507),$Z296))</f>
        <v/>
      </c>
      <c r="AN296" s="62" t="str">
        <f aca="false">IF(ISBLANK($C296),"",IF($Z296=Constants!$B$7,IF(ISNUMBER(AK296),COUNTIFS($AK$8:$AK$507,"&lt;"&amp;$AK296)+COUNTIFS($AK$8:$AK$507,$AK296,$AM$8:$AM$507,"&lt;"&amp;$AM296)+1,Constants!$B$14),$Z296))</f>
        <v/>
      </c>
      <c r="AO296" s="62" t="str">
        <f aca="false">IF(ISBLANK($C296),"",IF($Z296=Constants!$B$7,IF(ISNUMBER(AK296),AK296-AN296,Constants!$B$14),$Z296))</f>
        <v/>
      </c>
      <c r="AP296" s="64"/>
      <c r="AQ296" s="65" t="str">
        <f aca="false">IF(ISBLANK($C296),"",IF($Z296&lt;&gt;Constants!$B$7,"",AH296))</f>
        <v/>
      </c>
      <c r="AR296" s="80" t="str">
        <f aca="false">IF(ISBLANK($C296),"",IF($Z296&lt;&gt;Constants!$B$7,"",IF(AH296=1,AB296,AE296)))</f>
        <v/>
      </c>
      <c r="AS296" s="67" t="str">
        <f aca="false">IF(ISBLANK($C296),"",IF($Z296&lt;&gt;Constants!$B$7,"",IF(AH296=1,AC296,AF296)))</f>
        <v/>
      </c>
      <c r="AT296" s="68" t="str">
        <f aca="false">IF(ISBLANK($C296),"",IF($Z296&lt;&gt;Constants!$B$7,$Z296,AJ296))</f>
        <v/>
      </c>
      <c r="AU296" s="69" t="str">
        <f aca="false">IF(ISBLANK($C296),"",IF($Z296&lt;&gt;Constants!$B$7,$Z296,AA296))</f>
        <v/>
      </c>
      <c r="AV296" s="70" t="str">
        <f aca="false">IF(ISBLANK($C296),"",AO296)</f>
        <v/>
      </c>
      <c r="AW296" s="70" t="str">
        <f aca="false">IF(ISBLANK($C296),"",AN296)</f>
        <v/>
      </c>
      <c r="AX296" s="71" t="str">
        <f aca="false">IF(ISBLANK($C296),"",IFERROR(_xlfn.SWITCH(AW296,Constants!$B$4,COUNTA($C$8:$C$507)+2,Constants!$B$5,COUNTA($C$8:$C$507)+1,Constants!$B$6,COUNTA($C$8:$C$507)),AW296))</f>
        <v/>
      </c>
      <c r="AY296" s="5"/>
      <c r="AZ296" s="72" t="n">
        <f aca="false">IF(OR(ISNUMBER(AW296),AW296=Constants!$B$4,AW296=Constants!$B$6,AW296=Constants!$B$5),1,0)</f>
        <v>0</v>
      </c>
      <c r="BA296" s="72" t="n">
        <v>289</v>
      </c>
      <c r="BB296" s="72" t="str">
        <f aca="false">IF(ISBLANK($C296),"",IF(ISNUMBER(AX296),AX296+ROW($B296)/1000,""))</f>
        <v/>
      </c>
      <c r="BC296" s="72" t="str">
        <f aca="false">IF(ISNUMBER(BB296),RANK(BB296,$BB$8:$BB$507,1),"")</f>
        <v/>
      </c>
      <c r="BD296" s="72" t="str">
        <f aca="false">IF(ISBLANK($C296),"",$B296)</f>
        <v/>
      </c>
      <c r="BE296" s="72" t="str">
        <f aca="false">IF(ISBLANK($C296),"",$C296)</f>
        <v/>
      </c>
      <c r="BF296" s="72" t="str">
        <f aca="false">IF(ISBLANK($C296),"",$D296)</f>
        <v/>
      </c>
      <c r="BG296" s="73" t="str">
        <f aca="false">AU296</f>
        <v/>
      </c>
      <c r="BH296" s="74" t="str">
        <f aca="false">AT296</f>
        <v/>
      </c>
      <c r="BI296" s="72" t="str">
        <f aca="false">IF(ISBLANK($C296),"",AW296)</f>
        <v/>
      </c>
      <c r="BJ296" s="75" t="str">
        <f aca="false">IF($BA296&gt;$AZ$7,"",VLOOKUP($BA296,$BC$8:$BI$507,7,FALSE()))</f>
        <v/>
      </c>
      <c r="BK296" s="76" t="str">
        <f aca="false">IF($BA296&gt;$AZ$7,"",VLOOKUP($BA296,$BC$8:$BI$507,2,FALSE()))</f>
        <v/>
      </c>
      <c r="BL296" s="76" t="str">
        <f aca="false">IF($BA296&gt;$AZ$7,"",VLOOKUP($BA296,$BC$8:$BI$507,3,FALSE()))</f>
        <v/>
      </c>
      <c r="BM296" s="76" t="str">
        <f aca="false">IF($BA296&gt;$AZ$7,"",VLOOKUP($BA296,$BC$8:$BI$507,4,FALSE()))</f>
        <v/>
      </c>
      <c r="BN296" s="76" t="str">
        <f aca="false">IF($BA296&gt;$AZ$7,"",VLOOKUP($BA296,$BC$8:$BI$507,5,FALSE()))</f>
        <v/>
      </c>
      <c r="BO296" s="77" t="str">
        <f aca="false">IF($BA296&gt;$AZ$7,"",VLOOKUP($BA296,$BC$8:$BI$507,6,FALSE()))</f>
        <v/>
      </c>
      <c r="BP296" s="52"/>
    </row>
    <row r="297" customFormat="false" ht="15.75" hidden="false" customHeight="false" outlineLevel="0" collapsed="false">
      <c r="A297" s="5"/>
      <c r="B297" s="118"/>
      <c r="C297" s="54"/>
      <c r="D297" s="55"/>
      <c r="E297" s="79"/>
      <c r="F297" s="57"/>
      <c r="G297" s="58"/>
      <c r="H297" s="58"/>
      <c r="I297" s="57"/>
      <c r="J297" s="58"/>
      <c r="K297" s="58"/>
      <c r="L297" s="57"/>
      <c r="M297" s="79"/>
      <c r="N297" s="60"/>
      <c r="O297" s="62" t="str">
        <f aca="false">IF(ISBLANK($C297),"",IF(E297=Constants!$B$2, TRUE(), IF(E297=Constants!$B$3, FALSE(), TRUE())))</f>
        <v/>
      </c>
      <c r="P297" s="62" t="str">
        <f aca="false">IF(ISBLANK($C297),"",IF(F297=Constants!$B$16,Constants!$B$9,IF(F297=Constants!$B$17,Constants!$B$10,Constants!$B$8)))</f>
        <v/>
      </c>
      <c r="Q297" s="62" t="str">
        <f aca="false">IF(ISBLANK($C297),"",IF(ISNUMBER(G297),IF(G297&gt;=0,G297,""),""))</f>
        <v/>
      </c>
      <c r="R297" s="62" t="str">
        <f aca="false">IF(ISBLANK($C297),"",IF(H297=Constants!$B$2, TRUE(), IF(H297=Constants!$B$3, FALSE(), TRUE())))</f>
        <v/>
      </c>
      <c r="S297" s="62" t="str">
        <f aca="false">IF(ISBLANK($C297),"",IF(I297=Constants!$B$2, TRUE(), IF(I297=Constants!$B$3, FALSE(), TRUE())))</f>
        <v/>
      </c>
      <c r="T297" s="62" t="str">
        <f aca="false">IF(ISBLANK($C297),"",IF(ISNUMBER(J297),IF(J297&gt;=0,J297,""),""))</f>
        <v/>
      </c>
      <c r="U297" s="62" t="str">
        <f aca="false">IF(ISBLANK($C297),"",IF(K297=Constants!$B$2, TRUE(), IF(K297=Constants!$B$3, FALSE(), TRUE())))</f>
        <v/>
      </c>
      <c r="V297" s="62" t="str">
        <f aca="false">IF(ISBLANK($C297),"",IF(L297=Constants!$B$2, TRUE(), IF(L297=Constants!$B$3, FALSE(), TRUE())))</f>
        <v/>
      </c>
      <c r="W297" s="62" t="str">
        <f aca="false">IF(ISBLANK($C297),"",IF(M297=Constants!$B$2, TRUE(), IF(M297=Constants!$B$3, FALSE(), FALSE())))</f>
        <v/>
      </c>
      <c r="X297" s="62" t="str">
        <f aca="false">IF(ISBLANK($C297),"",AND(Q297&lt;&gt;"",O297))</f>
        <v/>
      </c>
      <c r="Y297" s="62" t="str">
        <f aca="false">IF(ISBLANK($C297),"",AND(T297&lt;&gt;"",O297))</f>
        <v/>
      </c>
      <c r="Z297" s="62" t="str">
        <f aca="false">IF(ISBLANK($C297),"",IF(W297,Constants!$B$4,IF(COUNTA(E297:L297)=0,Constants!$B$5,IF(NOT(O297),Constants!$B$6,IF(AND(NOT(X297),NOT(Y297)),Constants!$B$6,Constants!$B$7)))))</f>
        <v/>
      </c>
      <c r="AA297" s="62" t="str">
        <f aca="false">IF(ISBLANK($C297),"",IF($Z297&lt;&gt;Constants!$B$7,$Z297,Constants!$B$20))</f>
        <v/>
      </c>
      <c r="AB297" s="62" t="str">
        <f aca="false">IF($Z297=Constants!$B$7,IF(X297,Q297,Constants!$B$13),"")</f>
        <v/>
      </c>
      <c r="AC297" s="62" t="str">
        <f aca="false">IF($Z297=Constants!$B$7,IF(X297,P297*IF(R297, 1, Constants!$B$11)*IF(S297, 1, Constants!$B$12),Constants!$B$13),"")</f>
        <v/>
      </c>
      <c r="AD297" s="62" t="str">
        <f aca="false">IF($Z297=Constants!$B$7,AB297*AC297,"")</f>
        <v/>
      </c>
      <c r="AE297" s="62" t="str">
        <f aca="false">IF($Z297=Constants!$B$7,IF(Y297,T297,Constants!$B$13),"")</f>
        <v/>
      </c>
      <c r="AF297" s="62" t="str">
        <f aca="false">IF($Z297=Constants!$B$7,IF(Y297,P297*IF(U297, 1, Constants!$B$11)*IF(V297, 1, Constants!$B$12),Constants!$B$13),"")</f>
        <v/>
      </c>
      <c r="AG297" s="62" t="str">
        <f aca="false">IF($Z297=Constants!$B$7,AE297*AF297,"")</f>
        <v/>
      </c>
      <c r="AH297" s="62" t="str">
        <f aca="false">IF($Z297=Constants!$B$7,IF(AG297&gt;AD297,2,1),"")</f>
        <v/>
      </c>
      <c r="AI297" s="62" t="str">
        <f aca="false">IF($Z297=Constants!$B$7,IF(AH297=1,2,1),"")</f>
        <v/>
      </c>
      <c r="AJ297" s="62" t="str">
        <f aca="false">IF(ISBLANK($C297),"",IF($Z297&lt;&gt;Constants!$B$7,$Z297,IF(AH297=1,AD297,AG297)))</f>
        <v/>
      </c>
      <c r="AK297" s="62" t="str">
        <f aca="false">IF(ISBLANK($C297),"",IF($Z297=Constants!$B$7,IF(ISNUMBER(AJ297),RANK(AJ297,$AJ$8:$AJ$507),Constants!$B$14),$Z297))</f>
        <v/>
      </c>
      <c r="AL297" s="62" t="str">
        <f aca="false">IF(ISBLANK($C297),"",IF($Z297=Constants!$B$7,IF(AI297=1,AD297,AG297),""))</f>
        <v/>
      </c>
      <c r="AM297" s="62" t="str">
        <f aca="false">IF(ISBLANK($C297),"",IF($Z297=Constants!$B$7,RANK(AL297,$AL$8:$AL$507),$Z297))</f>
        <v/>
      </c>
      <c r="AN297" s="62" t="str">
        <f aca="false">IF(ISBLANK($C297),"",IF($Z297=Constants!$B$7,IF(ISNUMBER(AK297),COUNTIFS($AK$8:$AK$507,"&lt;"&amp;$AK297)+COUNTIFS($AK$8:$AK$507,$AK297,$AM$8:$AM$507,"&lt;"&amp;$AM297)+1,Constants!$B$14),$Z297))</f>
        <v/>
      </c>
      <c r="AO297" s="62" t="str">
        <f aca="false">IF(ISBLANK($C297),"",IF($Z297=Constants!$B$7,IF(ISNUMBER(AK297),AK297-AN297,Constants!$B$14),$Z297))</f>
        <v/>
      </c>
      <c r="AP297" s="64"/>
      <c r="AQ297" s="65" t="str">
        <f aca="false">IF(ISBLANK($C297),"",IF($Z297&lt;&gt;Constants!$B$7,"",AH297))</f>
        <v/>
      </c>
      <c r="AR297" s="80" t="str">
        <f aca="false">IF(ISBLANK($C297),"",IF($Z297&lt;&gt;Constants!$B$7,"",IF(AH297=1,AB297,AE297)))</f>
        <v/>
      </c>
      <c r="AS297" s="67" t="str">
        <f aca="false">IF(ISBLANK($C297),"",IF($Z297&lt;&gt;Constants!$B$7,"",IF(AH297=1,AC297,AF297)))</f>
        <v/>
      </c>
      <c r="AT297" s="68" t="str">
        <f aca="false">IF(ISBLANK($C297),"",IF($Z297&lt;&gt;Constants!$B$7,$Z297,AJ297))</f>
        <v/>
      </c>
      <c r="AU297" s="69" t="str">
        <f aca="false">IF(ISBLANK($C297),"",IF($Z297&lt;&gt;Constants!$B$7,$Z297,AA297))</f>
        <v/>
      </c>
      <c r="AV297" s="70" t="str">
        <f aca="false">IF(ISBLANK($C297),"",AO297)</f>
        <v/>
      </c>
      <c r="AW297" s="70" t="str">
        <f aca="false">IF(ISBLANK($C297),"",AN297)</f>
        <v/>
      </c>
      <c r="AX297" s="71" t="str">
        <f aca="false">IF(ISBLANK($C297),"",IFERROR(_xlfn.SWITCH(AW297,Constants!$B$4,COUNTA($C$8:$C$507)+2,Constants!$B$5,COUNTA($C$8:$C$507)+1,Constants!$B$6,COUNTA($C$8:$C$507)),AW297))</f>
        <v/>
      </c>
      <c r="AY297" s="5"/>
      <c r="AZ297" s="72" t="n">
        <f aca="false">IF(OR(ISNUMBER(AW297),AW297=Constants!$B$4,AW297=Constants!$B$6,AW297=Constants!$B$5),1,0)</f>
        <v>0</v>
      </c>
      <c r="BA297" s="72" t="n">
        <v>290</v>
      </c>
      <c r="BB297" s="72" t="str">
        <f aca="false">IF(ISBLANK($C297),"",IF(ISNUMBER(AX297),AX297+ROW($B297)/1000,""))</f>
        <v/>
      </c>
      <c r="BC297" s="72" t="str">
        <f aca="false">IF(ISNUMBER(BB297),RANK(BB297,$BB$8:$BB$507,1),"")</f>
        <v/>
      </c>
      <c r="BD297" s="72" t="str">
        <f aca="false">IF(ISBLANK($C297),"",$B297)</f>
        <v/>
      </c>
      <c r="BE297" s="72" t="str">
        <f aca="false">IF(ISBLANK($C297),"",$C297)</f>
        <v/>
      </c>
      <c r="BF297" s="72" t="str">
        <f aca="false">IF(ISBLANK($C297),"",$D297)</f>
        <v/>
      </c>
      <c r="BG297" s="73" t="str">
        <f aca="false">AU297</f>
        <v/>
      </c>
      <c r="BH297" s="74" t="str">
        <f aca="false">AT297</f>
        <v/>
      </c>
      <c r="BI297" s="72" t="str">
        <f aca="false">IF(ISBLANK($C297),"",AW297)</f>
        <v/>
      </c>
      <c r="BJ297" s="75" t="str">
        <f aca="false">IF($BA297&gt;$AZ$7,"",VLOOKUP($BA297,$BC$8:$BI$507,7,FALSE()))</f>
        <v/>
      </c>
      <c r="BK297" s="76" t="str">
        <f aca="false">IF($BA297&gt;$AZ$7,"",VLOOKUP($BA297,$BC$8:$BI$507,2,FALSE()))</f>
        <v/>
      </c>
      <c r="BL297" s="76" t="str">
        <f aca="false">IF($BA297&gt;$AZ$7,"",VLOOKUP($BA297,$BC$8:$BI$507,3,FALSE()))</f>
        <v/>
      </c>
      <c r="BM297" s="76" t="str">
        <f aca="false">IF($BA297&gt;$AZ$7,"",VLOOKUP($BA297,$BC$8:$BI$507,4,FALSE()))</f>
        <v/>
      </c>
      <c r="BN297" s="76" t="str">
        <f aca="false">IF($BA297&gt;$AZ$7,"",VLOOKUP($BA297,$BC$8:$BI$507,5,FALSE()))</f>
        <v/>
      </c>
      <c r="BO297" s="77" t="str">
        <f aca="false">IF($BA297&gt;$AZ$7,"",VLOOKUP($BA297,$BC$8:$BI$507,6,FALSE()))</f>
        <v/>
      </c>
      <c r="BP297" s="52"/>
    </row>
    <row r="298" customFormat="false" ht="15.75" hidden="false" customHeight="false" outlineLevel="0" collapsed="false">
      <c r="A298" s="5"/>
      <c r="B298" s="118"/>
      <c r="C298" s="54"/>
      <c r="D298" s="55"/>
      <c r="E298" s="79"/>
      <c r="F298" s="57"/>
      <c r="G298" s="58"/>
      <c r="H298" s="58"/>
      <c r="I298" s="57"/>
      <c r="J298" s="58"/>
      <c r="K298" s="58"/>
      <c r="L298" s="57"/>
      <c r="M298" s="79"/>
      <c r="N298" s="60"/>
      <c r="O298" s="62" t="str">
        <f aca="false">IF(ISBLANK($C298),"",IF(E298=Constants!$B$2, TRUE(), IF(E298=Constants!$B$3, FALSE(), TRUE())))</f>
        <v/>
      </c>
      <c r="P298" s="62" t="str">
        <f aca="false">IF(ISBLANK($C298),"",IF(F298=Constants!$B$16,Constants!$B$9,IF(F298=Constants!$B$17,Constants!$B$10,Constants!$B$8)))</f>
        <v/>
      </c>
      <c r="Q298" s="62" t="str">
        <f aca="false">IF(ISBLANK($C298),"",IF(ISNUMBER(G298),IF(G298&gt;=0,G298,""),""))</f>
        <v/>
      </c>
      <c r="R298" s="62" t="str">
        <f aca="false">IF(ISBLANK($C298),"",IF(H298=Constants!$B$2, TRUE(), IF(H298=Constants!$B$3, FALSE(), TRUE())))</f>
        <v/>
      </c>
      <c r="S298" s="62" t="str">
        <f aca="false">IF(ISBLANK($C298),"",IF(I298=Constants!$B$2, TRUE(), IF(I298=Constants!$B$3, FALSE(), TRUE())))</f>
        <v/>
      </c>
      <c r="T298" s="62" t="str">
        <f aca="false">IF(ISBLANK($C298),"",IF(ISNUMBER(J298),IF(J298&gt;=0,J298,""),""))</f>
        <v/>
      </c>
      <c r="U298" s="62" t="str">
        <f aca="false">IF(ISBLANK($C298),"",IF(K298=Constants!$B$2, TRUE(), IF(K298=Constants!$B$3, FALSE(), TRUE())))</f>
        <v/>
      </c>
      <c r="V298" s="62" t="str">
        <f aca="false">IF(ISBLANK($C298),"",IF(L298=Constants!$B$2, TRUE(), IF(L298=Constants!$B$3, FALSE(), TRUE())))</f>
        <v/>
      </c>
      <c r="W298" s="62" t="str">
        <f aca="false">IF(ISBLANK($C298),"",IF(M298=Constants!$B$2, TRUE(), IF(M298=Constants!$B$3, FALSE(), FALSE())))</f>
        <v/>
      </c>
      <c r="X298" s="62" t="str">
        <f aca="false">IF(ISBLANK($C298),"",AND(Q298&lt;&gt;"",O298))</f>
        <v/>
      </c>
      <c r="Y298" s="62" t="str">
        <f aca="false">IF(ISBLANK($C298),"",AND(T298&lt;&gt;"",O298))</f>
        <v/>
      </c>
      <c r="Z298" s="62" t="str">
        <f aca="false">IF(ISBLANK($C298),"",IF(W298,Constants!$B$4,IF(COUNTA(E298:L298)=0,Constants!$B$5,IF(NOT(O298),Constants!$B$6,IF(AND(NOT(X298),NOT(Y298)),Constants!$B$6,Constants!$B$7)))))</f>
        <v/>
      </c>
      <c r="AA298" s="62" t="str">
        <f aca="false">IF(ISBLANK($C298),"",IF($Z298&lt;&gt;Constants!$B$7,$Z298,Constants!$B$20))</f>
        <v/>
      </c>
      <c r="AB298" s="62" t="str">
        <f aca="false">IF($Z298=Constants!$B$7,IF(X298,Q298,Constants!$B$13),"")</f>
        <v/>
      </c>
      <c r="AC298" s="62" t="str">
        <f aca="false">IF($Z298=Constants!$B$7,IF(X298,P298*IF(R298, 1, Constants!$B$11)*IF(S298, 1, Constants!$B$12),Constants!$B$13),"")</f>
        <v/>
      </c>
      <c r="AD298" s="62" t="str">
        <f aca="false">IF($Z298=Constants!$B$7,AB298*AC298,"")</f>
        <v/>
      </c>
      <c r="AE298" s="62" t="str">
        <f aca="false">IF($Z298=Constants!$B$7,IF(Y298,T298,Constants!$B$13),"")</f>
        <v/>
      </c>
      <c r="AF298" s="62" t="str">
        <f aca="false">IF($Z298=Constants!$B$7,IF(Y298,P298*IF(U298, 1, Constants!$B$11)*IF(V298, 1, Constants!$B$12),Constants!$B$13),"")</f>
        <v/>
      </c>
      <c r="AG298" s="62" t="str">
        <f aca="false">IF($Z298=Constants!$B$7,AE298*AF298,"")</f>
        <v/>
      </c>
      <c r="AH298" s="62" t="str">
        <f aca="false">IF($Z298=Constants!$B$7,IF(AG298&gt;AD298,2,1),"")</f>
        <v/>
      </c>
      <c r="AI298" s="62" t="str">
        <f aca="false">IF($Z298=Constants!$B$7,IF(AH298=1,2,1),"")</f>
        <v/>
      </c>
      <c r="AJ298" s="62" t="str">
        <f aca="false">IF(ISBLANK($C298),"",IF($Z298&lt;&gt;Constants!$B$7,$Z298,IF(AH298=1,AD298,AG298)))</f>
        <v/>
      </c>
      <c r="AK298" s="62" t="str">
        <f aca="false">IF(ISBLANK($C298),"",IF($Z298=Constants!$B$7,IF(ISNUMBER(AJ298),RANK(AJ298,$AJ$8:$AJ$507),Constants!$B$14),$Z298))</f>
        <v/>
      </c>
      <c r="AL298" s="62" t="str">
        <f aca="false">IF(ISBLANK($C298),"",IF($Z298=Constants!$B$7,IF(AI298=1,AD298,AG298),""))</f>
        <v/>
      </c>
      <c r="AM298" s="62" t="str">
        <f aca="false">IF(ISBLANK($C298),"",IF($Z298=Constants!$B$7,RANK(AL298,$AL$8:$AL$507),$Z298))</f>
        <v/>
      </c>
      <c r="AN298" s="62" t="str">
        <f aca="false">IF(ISBLANK($C298),"",IF($Z298=Constants!$B$7,IF(ISNUMBER(AK298),COUNTIFS($AK$8:$AK$507,"&lt;"&amp;$AK298)+COUNTIFS($AK$8:$AK$507,$AK298,$AM$8:$AM$507,"&lt;"&amp;$AM298)+1,Constants!$B$14),$Z298))</f>
        <v/>
      </c>
      <c r="AO298" s="62" t="str">
        <f aca="false">IF(ISBLANK($C298),"",IF($Z298=Constants!$B$7,IF(ISNUMBER(AK298),AK298-AN298,Constants!$B$14),$Z298))</f>
        <v/>
      </c>
      <c r="AP298" s="64"/>
      <c r="AQ298" s="65" t="str">
        <f aca="false">IF(ISBLANK($C298),"",IF($Z298&lt;&gt;Constants!$B$7,"",AH298))</f>
        <v/>
      </c>
      <c r="AR298" s="80" t="str">
        <f aca="false">IF(ISBLANK($C298),"",IF($Z298&lt;&gt;Constants!$B$7,"",IF(AH298=1,AB298,AE298)))</f>
        <v/>
      </c>
      <c r="AS298" s="67" t="str">
        <f aca="false">IF(ISBLANK($C298),"",IF($Z298&lt;&gt;Constants!$B$7,"",IF(AH298=1,AC298,AF298)))</f>
        <v/>
      </c>
      <c r="AT298" s="68" t="str">
        <f aca="false">IF(ISBLANK($C298),"",IF($Z298&lt;&gt;Constants!$B$7,$Z298,AJ298))</f>
        <v/>
      </c>
      <c r="AU298" s="69" t="str">
        <f aca="false">IF(ISBLANK($C298),"",IF($Z298&lt;&gt;Constants!$B$7,$Z298,AA298))</f>
        <v/>
      </c>
      <c r="AV298" s="70" t="str">
        <f aca="false">IF(ISBLANK($C298),"",AO298)</f>
        <v/>
      </c>
      <c r="AW298" s="70" t="str">
        <f aca="false">IF(ISBLANK($C298),"",AN298)</f>
        <v/>
      </c>
      <c r="AX298" s="71" t="str">
        <f aca="false">IF(ISBLANK($C298),"",IFERROR(_xlfn.SWITCH(AW298,Constants!$B$4,COUNTA($C$8:$C$507)+2,Constants!$B$5,COUNTA($C$8:$C$507)+1,Constants!$B$6,COUNTA($C$8:$C$507)),AW298))</f>
        <v/>
      </c>
      <c r="AY298" s="5"/>
      <c r="AZ298" s="72" t="n">
        <f aca="false">IF(OR(ISNUMBER(AW298),AW298=Constants!$B$4,AW298=Constants!$B$6,AW298=Constants!$B$5),1,0)</f>
        <v>0</v>
      </c>
      <c r="BA298" s="72" t="n">
        <v>291</v>
      </c>
      <c r="BB298" s="72" t="str">
        <f aca="false">IF(ISBLANK($C298),"",IF(ISNUMBER(AX298),AX298+ROW($B298)/1000,""))</f>
        <v/>
      </c>
      <c r="BC298" s="72" t="str">
        <f aca="false">IF(ISNUMBER(BB298),RANK(BB298,$BB$8:$BB$507,1),"")</f>
        <v/>
      </c>
      <c r="BD298" s="72" t="str">
        <f aca="false">IF(ISBLANK($C298),"",$B298)</f>
        <v/>
      </c>
      <c r="BE298" s="72" t="str">
        <f aca="false">IF(ISBLANK($C298),"",$C298)</f>
        <v/>
      </c>
      <c r="BF298" s="72" t="str">
        <f aca="false">IF(ISBLANK($C298),"",$D298)</f>
        <v/>
      </c>
      <c r="BG298" s="73" t="str">
        <f aca="false">AU298</f>
        <v/>
      </c>
      <c r="BH298" s="74" t="str">
        <f aca="false">AT298</f>
        <v/>
      </c>
      <c r="BI298" s="72" t="str">
        <f aca="false">IF(ISBLANK($C298),"",AW298)</f>
        <v/>
      </c>
      <c r="BJ298" s="75" t="str">
        <f aca="false">IF($BA298&gt;$AZ$7,"",VLOOKUP($BA298,$BC$8:$BI$507,7,FALSE()))</f>
        <v/>
      </c>
      <c r="BK298" s="76" t="str">
        <f aca="false">IF($BA298&gt;$AZ$7,"",VLOOKUP($BA298,$BC$8:$BI$507,2,FALSE()))</f>
        <v/>
      </c>
      <c r="BL298" s="76" t="str">
        <f aca="false">IF($BA298&gt;$AZ$7,"",VLOOKUP($BA298,$BC$8:$BI$507,3,FALSE()))</f>
        <v/>
      </c>
      <c r="BM298" s="76" t="str">
        <f aca="false">IF($BA298&gt;$AZ$7,"",VLOOKUP($BA298,$BC$8:$BI$507,4,FALSE()))</f>
        <v/>
      </c>
      <c r="BN298" s="76" t="str">
        <f aca="false">IF($BA298&gt;$AZ$7,"",VLOOKUP($BA298,$BC$8:$BI$507,5,FALSE()))</f>
        <v/>
      </c>
      <c r="BO298" s="77" t="str">
        <f aca="false">IF($BA298&gt;$AZ$7,"",VLOOKUP($BA298,$BC$8:$BI$507,6,FALSE()))</f>
        <v/>
      </c>
      <c r="BP298" s="52"/>
    </row>
    <row r="299" customFormat="false" ht="15.75" hidden="false" customHeight="false" outlineLevel="0" collapsed="false">
      <c r="A299" s="5"/>
      <c r="B299" s="114"/>
      <c r="C299" s="115"/>
      <c r="D299" s="106"/>
      <c r="E299" s="117"/>
      <c r="F299" s="87"/>
      <c r="G299" s="88"/>
      <c r="H299" s="88"/>
      <c r="I299" s="87"/>
      <c r="J299" s="88"/>
      <c r="K299" s="88"/>
      <c r="L299" s="87"/>
      <c r="M299" s="117"/>
      <c r="N299" s="90"/>
      <c r="O299" s="91" t="str">
        <f aca="false">IF(ISBLANK($C299),"",IF(E299=Constants!$B$2, TRUE(), IF(E299=Constants!$B$3, FALSE(), TRUE())))</f>
        <v/>
      </c>
      <c r="P299" s="91" t="str">
        <f aca="false">IF(ISBLANK($C299),"",IF(F299=Constants!$B$16,Constants!$B$9,IF(F299=Constants!$B$17,Constants!$B$10,Constants!$B$8)))</f>
        <v/>
      </c>
      <c r="Q299" s="91" t="str">
        <f aca="false">IF(ISBLANK($C299),"",IF(ISNUMBER(G299),IF(G299&gt;=0,G299,""),""))</f>
        <v/>
      </c>
      <c r="R299" s="91" t="str">
        <f aca="false">IF(ISBLANK($C299),"",IF(H299=Constants!$B$2, TRUE(), IF(H299=Constants!$B$3, FALSE(), TRUE())))</f>
        <v/>
      </c>
      <c r="S299" s="91" t="str">
        <f aca="false">IF(ISBLANK($C299),"",IF(I299=Constants!$B$2, TRUE(), IF(I299=Constants!$B$3, FALSE(), TRUE())))</f>
        <v/>
      </c>
      <c r="T299" s="91" t="str">
        <f aca="false">IF(ISBLANK($C299),"",IF(ISNUMBER(J299),IF(J299&gt;=0,J299,""),""))</f>
        <v/>
      </c>
      <c r="U299" s="91" t="str">
        <f aca="false">IF(ISBLANK($C299),"",IF(K299=Constants!$B$2, TRUE(), IF(K299=Constants!$B$3, FALSE(), TRUE())))</f>
        <v/>
      </c>
      <c r="V299" s="91" t="str">
        <f aca="false">IF(ISBLANK($C299),"",IF(L299=Constants!$B$2, TRUE(), IF(L299=Constants!$B$3, FALSE(), TRUE())))</f>
        <v/>
      </c>
      <c r="W299" s="91" t="str">
        <f aca="false">IF(ISBLANK($C299),"",IF(M299=Constants!$B$2, TRUE(), IF(M299=Constants!$B$3, FALSE(), FALSE())))</f>
        <v/>
      </c>
      <c r="X299" s="91" t="str">
        <f aca="false">IF(ISBLANK($C299),"",AND(Q299&lt;&gt;"",O299))</f>
        <v/>
      </c>
      <c r="Y299" s="91" t="str">
        <f aca="false">IF(ISBLANK($C299),"",AND(T299&lt;&gt;"",O299))</f>
        <v/>
      </c>
      <c r="Z299" s="91" t="str">
        <f aca="false">IF(ISBLANK($C299),"",IF(W299,Constants!$B$4,IF(COUNTA(E299:L299)=0,Constants!$B$5,IF(NOT(O299),Constants!$B$6,IF(AND(NOT(X299),NOT(Y299)),Constants!$B$6,Constants!$B$7)))))</f>
        <v/>
      </c>
      <c r="AA299" s="91" t="str">
        <f aca="false">IF(ISBLANK($C299),"",IF($Z299&lt;&gt;Constants!$B$7,$Z299,Constants!$B$20))</f>
        <v/>
      </c>
      <c r="AB299" s="91" t="str">
        <f aca="false">IF($Z299=Constants!$B$7,IF(X299,Q299,Constants!$B$13),"")</f>
        <v/>
      </c>
      <c r="AC299" s="91" t="str">
        <f aca="false">IF($Z299=Constants!$B$7,IF(X299,P299*IF(R299, 1, Constants!$B$11)*IF(S299, 1, Constants!$B$12),Constants!$B$13),"")</f>
        <v/>
      </c>
      <c r="AD299" s="91" t="str">
        <f aca="false">IF($Z299=Constants!$B$7,AB299*AC299,"")</f>
        <v/>
      </c>
      <c r="AE299" s="91" t="str">
        <f aca="false">IF($Z299=Constants!$B$7,IF(Y299,T299,Constants!$B$13),"")</f>
        <v/>
      </c>
      <c r="AF299" s="91" t="str">
        <f aca="false">IF($Z299=Constants!$B$7,IF(Y299,P299*IF(U299, 1, Constants!$B$11)*IF(V299, 1, Constants!$B$12),Constants!$B$13),"")</f>
        <v/>
      </c>
      <c r="AG299" s="91" t="str">
        <f aca="false">IF($Z299=Constants!$B$7,AE299*AF299,"")</f>
        <v/>
      </c>
      <c r="AH299" s="91" t="str">
        <f aca="false">IF($Z299=Constants!$B$7,IF(AG299&gt;AD299,2,1),"")</f>
        <v/>
      </c>
      <c r="AI299" s="91" t="str">
        <f aca="false">IF($Z299=Constants!$B$7,IF(AH299=1,2,1),"")</f>
        <v/>
      </c>
      <c r="AJ299" s="91" t="str">
        <f aca="false">IF(ISBLANK($C299),"",IF($Z299&lt;&gt;Constants!$B$7,$Z299,IF(AH299=1,AD299,AG299)))</f>
        <v/>
      </c>
      <c r="AK299" s="91" t="str">
        <f aca="false">IF(ISBLANK($C299),"",IF($Z299=Constants!$B$7,IF(ISNUMBER(AJ299),RANK(AJ299,$AJ$8:$AJ$507),Constants!$B$14),$Z299))</f>
        <v/>
      </c>
      <c r="AL299" s="91" t="str">
        <f aca="false">IF(ISBLANK($C299),"",IF($Z299=Constants!$B$7,IF(AI299=1,AD299,AG299),""))</f>
        <v/>
      </c>
      <c r="AM299" s="91" t="str">
        <f aca="false">IF(ISBLANK($C299),"",IF($Z299=Constants!$B$7,RANK(AL299,$AL$8:$AL$507),$Z299))</f>
        <v/>
      </c>
      <c r="AN299" s="91" t="str">
        <f aca="false">IF(ISBLANK($C299),"",IF($Z299=Constants!$B$7,IF(ISNUMBER(AK299),COUNTIFS($AK$8:$AK$507,"&lt;"&amp;$AK299)+COUNTIFS($AK$8:$AK$507,$AK299,$AM$8:$AM$507,"&lt;"&amp;$AM299)+1,Constants!$B$14),$Z299))</f>
        <v/>
      </c>
      <c r="AO299" s="91" t="str">
        <f aca="false">IF(ISBLANK($C299),"",IF($Z299=Constants!$B$7,IF(ISNUMBER(AK299),AK299-AN299,Constants!$B$14),$Z299))</f>
        <v/>
      </c>
      <c r="AP299" s="92"/>
      <c r="AQ299" s="93" t="str">
        <f aca="false">IF(ISBLANK($C299),"",IF($Z299&lt;&gt;Constants!$B$7,"",AH299))</f>
        <v/>
      </c>
      <c r="AR299" s="94" t="str">
        <f aca="false">IF(ISBLANK($C299),"",IF($Z299&lt;&gt;Constants!$B$7,"",IF(AH299=1,AB299,AE299)))</f>
        <v/>
      </c>
      <c r="AS299" s="95" t="str">
        <f aca="false">IF(ISBLANK($C299),"",IF($Z299&lt;&gt;Constants!$B$7,"",IF(AH299=1,AC299,AF299)))</f>
        <v/>
      </c>
      <c r="AT299" s="96" t="str">
        <f aca="false">IF(ISBLANK($C299),"",IF($Z299&lt;&gt;Constants!$B$7,$Z299,AJ299))</f>
        <v/>
      </c>
      <c r="AU299" s="97" t="str">
        <f aca="false">IF(ISBLANK($C299),"",IF($Z299&lt;&gt;Constants!$B$7,$Z299,AA299))</f>
        <v/>
      </c>
      <c r="AV299" s="98" t="str">
        <f aca="false">IF(ISBLANK($C299),"",AO299)</f>
        <v/>
      </c>
      <c r="AW299" s="98" t="str">
        <f aca="false">IF(ISBLANK($C299),"",AN299)</f>
        <v/>
      </c>
      <c r="AX299" s="99" t="str">
        <f aca="false">IF(ISBLANK($C299),"",IFERROR(_xlfn.SWITCH(AW299,Constants!$B$4,COUNTA($C$8:$C$507)+2,Constants!$B$5,COUNTA($C$8:$C$507)+1,Constants!$B$6,COUNTA($C$8:$C$507)),AW299))</f>
        <v/>
      </c>
      <c r="AY299" s="5"/>
      <c r="AZ299" s="100" t="n">
        <f aca="false">IF(OR(ISNUMBER(AW299),AW299=Constants!$B$4,AW299=Constants!$B$6,AW299=Constants!$B$5),1,0)</f>
        <v>0</v>
      </c>
      <c r="BA299" s="100" t="n">
        <v>292</v>
      </c>
      <c r="BB299" s="100" t="str">
        <f aca="false">IF(ISBLANK($C299),"",IF(ISNUMBER(AX299),AX299+ROW($B299)/1000,""))</f>
        <v/>
      </c>
      <c r="BC299" s="100" t="str">
        <f aca="false">IF(ISNUMBER(BB299),RANK(BB299,$BB$8:$BB$507,1),"")</f>
        <v/>
      </c>
      <c r="BD299" s="100" t="str">
        <f aca="false">IF(ISBLANK($C299),"",$B299)</f>
        <v/>
      </c>
      <c r="BE299" s="100" t="str">
        <f aca="false">IF(ISBLANK($C299),"",$C299)</f>
        <v/>
      </c>
      <c r="BF299" s="100" t="str">
        <f aca="false">IF(ISBLANK($C299),"",$D299)</f>
        <v/>
      </c>
      <c r="BG299" s="101" t="str">
        <f aca="false">AU299</f>
        <v/>
      </c>
      <c r="BH299" s="102" t="str">
        <f aca="false">AT299</f>
        <v/>
      </c>
      <c r="BI299" s="100" t="str">
        <f aca="false">IF(ISBLANK($C299),"",AW299)</f>
        <v/>
      </c>
      <c r="BJ299" s="103" t="str">
        <f aca="false">IF($BA299&gt;$AZ$7,"",VLOOKUP($BA299,$BC$8:$BI$507,7,FALSE()))</f>
        <v/>
      </c>
      <c r="BK299" s="104" t="str">
        <f aca="false">IF($BA299&gt;$AZ$7,"",VLOOKUP($BA299,$BC$8:$BI$507,2,FALSE()))</f>
        <v/>
      </c>
      <c r="BL299" s="104" t="str">
        <f aca="false">IF($BA299&gt;$AZ$7,"",VLOOKUP($BA299,$BC$8:$BI$507,3,FALSE()))</f>
        <v/>
      </c>
      <c r="BM299" s="104" t="str">
        <f aca="false">IF($BA299&gt;$AZ$7,"",VLOOKUP($BA299,$BC$8:$BI$507,4,FALSE()))</f>
        <v/>
      </c>
      <c r="BN299" s="104" t="str">
        <f aca="false">IF($BA299&gt;$AZ$7,"",VLOOKUP($BA299,$BC$8:$BI$507,5,FALSE()))</f>
        <v/>
      </c>
      <c r="BO299" s="105" t="str">
        <f aca="false">IF($BA299&gt;$AZ$7,"",VLOOKUP($BA299,$BC$8:$BI$507,6,FALSE()))</f>
        <v/>
      </c>
      <c r="BP299" s="52"/>
    </row>
    <row r="300" customFormat="false" ht="15.75" hidden="false" customHeight="false" outlineLevel="0" collapsed="false">
      <c r="A300" s="5"/>
      <c r="B300" s="114"/>
      <c r="C300" s="115"/>
      <c r="D300" s="106"/>
      <c r="E300" s="117"/>
      <c r="F300" s="87"/>
      <c r="G300" s="88"/>
      <c r="H300" s="88"/>
      <c r="I300" s="87"/>
      <c r="J300" s="88"/>
      <c r="K300" s="88"/>
      <c r="L300" s="87"/>
      <c r="M300" s="117"/>
      <c r="N300" s="90"/>
      <c r="O300" s="91" t="str">
        <f aca="false">IF(ISBLANK($C300),"",IF(E300=Constants!$B$2, TRUE(), IF(E300=Constants!$B$3, FALSE(), TRUE())))</f>
        <v/>
      </c>
      <c r="P300" s="91" t="str">
        <f aca="false">IF(ISBLANK($C300),"",IF(F300=Constants!$B$16,Constants!$B$9,IF(F300=Constants!$B$17,Constants!$B$10,Constants!$B$8)))</f>
        <v/>
      </c>
      <c r="Q300" s="91" t="str">
        <f aca="false">IF(ISBLANK($C300),"",IF(ISNUMBER(G300),IF(G300&gt;=0,G300,""),""))</f>
        <v/>
      </c>
      <c r="R300" s="91" t="str">
        <f aca="false">IF(ISBLANK($C300),"",IF(H300=Constants!$B$2, TRUE(), IF(H300=Constants!$B$3, FALSE(), TRUE())))</f>
        <v/>
      </c>
      <c r="S300" s="91" t="str">
        <f aca="false">IF(ISBLANK($C300),"",IF(I300=Constants!$B$2, TRUE(), IF(I300=Constants!$B$3, FALSE(), TRUE())))</f>
        <v/>
      </c>
      <c r="T300" s="91" t="str">
        <f aca="false">IF(ISBLANK($C300),"",IF(ISNUMBER(J300),IF(J300&gt;=0,J300,""),""))</f>
        <v/>
      </c>
      <c r="U300" s="91" t="str">
        <f aca="false">IF(ISBLANK($C300),"",IF(K300=Constants!$B$2, TRUE(), IF(K300=Constants!$B$3, FALSE(), TRUE())))</f>
        <v/>
      </c>
      <c r="V300" s="91" t="str">
        <f aca="false">IF(ISBLANK($C300),"",IF(L300=Constants!$B$2, TRUE(), IF(L300=Constants!$B$3, FALSE(), TRUE())))</f>
        <v/>
      </c>
      <c r="W300" s="91" t="str">
        <f aca="false">IF(ISBLANK($C300),"",IF(M300=Constants!$B$2, TRUE(), IF(M300=Constants!$B$3, FALSE(), FALSE())))</f>
        <v/>
      </c>
      <c r="X300" s="91" t="str">
        <f aca="false">IF(ISBLANK($C300),"",AND(Q300&lt;&gt;"",O300))</f>
        <v/>
      </c>
      <c r="Y300" s="91" t="str">
        <f aca="false">IF(ISBLANK($C300),"",AND(T300&lt;&gt;"",O300))</f>
        <v/>
      </c>
      <c r="Z300" s="91" t="str">
        <f aca="false">IF(ISBLANK($C300),"",IF(W300,Constants!$B$4,IF(COUNTA(E300:L300)=0,Constants!$B$5,IF(NOT(O300),Constants!$B$6,IF(AND(NOT(X300),NOT(Y300)),Constants!$B$6,Constants!$B$7)))))</f>
        <v/>
      </c>
      <c r="AA300" s="91" t="str">
        <f aca="false">IF(ISBLANK($C300),"",IF($Z300&lt;&gt;Constants!$B$7,$Z300,Constants!$B$20))</f>
        <v/>
      </c>
      <c r="AB300" s="91" t="str">
        <f aca="false">IF($Z300=Constants!$B$7,IF(X300,Q300,Constants!$B$13),"")</f>
        <v/>
      </c>
      <c r="AC300" s="91" t="str">
        <f aca="false">IF($Z300=Constants!$B$7,IF(X300,P300*IF(R300, 1, Constants!$B$11)*IF(S300, 1, Constants!$B$12),Constants!$B$13),"")</f>
        <v/>
      </c>
      <c r="AD300" s="91" t="str">
        <f aca="false">IF($Z300=Constants!$B$7,AB300*AC300,"")</f>
        <v/>
      </c>
      <c r="AE300" s="91" t="str">
        <f aca="false">IF($Z300=Constants!$B$7,IF(Y300,T300,Constants!$B$13),"")</f>
        <v/>
      </c>
      <c r="AF300" s="91" t="str">
        <f aca="false">IF($Z300=Constants!$B$7,IF(Y300,P300*IF(U300, 1, Constants!$B$11)*IF(V300, 1, Constants!$B$12),Constants!$B$13),"")</f>
        <v/>
      </c>
      <c r="AG300" s="91" t="str">
        <f aca="false">IF($Z300=Constants!$B$7,AE300*AF300,"")</f>
        <v/>
      </c>
      <c r="AH300" s="91" t="str">
        <f aca="false">IF($Z300=Constants!$B$7,IF(AG300&gt;AD300,2,1),"")</f>
        <v/>
      </c>
      <c r="AI300" s="91" t="str">
        <f aca="false">IF($Z300=Constants!$B$7,IF(AH300=1,2,1),"")</f>
        <v/>
      </c>
      <c r="AJ300" s="91" t="str">
        <f aca="false">IF(ISBLANK($C300),"",IF($Z300&lt;&gt;Constants!$B$7,$Z300,IF(AH300=1,AD300,AG300)))</f>
        <v/>
      </c>
      <c r="AK300" s="91" t="str">
        <f aca="false">IF(ISBLANK($C300),"",IF($Z300=Constants!$B$7,IF(ISNUMBER(AJ300),RANK(AJ300,$AJ$8:$AJ$507),Constants!$B$14),$Z300))</f>
        <v/>
      </c>
      <c r="AL300" s="91" t="str">
        <f aca="false">IF(ISBLANK($C300),"",IF($Z300=Constants!$B$7,IF(AI300=1,AD300,AG300),""))</f>
        <v/>
      </c>
      <c r="AM300" s="91" t="str">
        <f aca="false">IF(ISBLANK($C300),"",IF($Z300=Constants!$B$7,RANK(AL300,$AL$8:$AL$507),$Z300))</f>
        <v/>
      </c>
      <c r="AN300" s="91" t="str">
        <f aca="false">IF(ISBLANK($C300),"",IF($Z300=Constants!$B$7,IF(ISNUMBER(AK300),COUNTIFS($AK$8:$AK$507,"&lt;"&amp;$AK300)+COUNTIFS($AK$8:$AK$507,$AK300,$AM$8:$AM$507,"&lt;"&amp;$AM300)+1,Constants!$B$14),$Z300))</f>
        <v/>
      </c>
      <c r="AO300" s="91" t="str">
        <f aca="false">IF(ISBLANK($C300),"",IF($Z300=Constants!$B$7,IF(ISNUMBER(AK300),AK300-AN300,Constants!$B$14),$Z300))</f>
        <v/>
      </c>
      <c r="AP300" s="92"/>
      <c r="AQ300" s="93" t="str">
        <f aca="false">IF(ISBLANK($C300),"",IF($Z300&lt;&gt;Constants!$B$7,"",AH300))</f>
        <v/>
      </c>
      <c r="AR300" s="94" t="str">
        <f aca="false">IF(ISBLANK($C300),"",IF($Z300&lt;&gt;Constants!$B$7,"",IF(AH300=1,AB300,AE300)))</f>
        <v/>
      </c>
      <c r="AS300" s="95" t="str">
        <f aca="false">IF(ISBLANK($C300),"",IF($Z300&lt;&gt;Constants!$B$7,"",IF(AH300=1,AC300,AF300)))</f>
        <v/>
      </c>
      <c r="AT300" s="96" t="str">
        <f aca="false">IF(ISBLANK($C300),"",IF($Z300&lt;&gt;Constants!$B$7,$Z300,AJ300))</f>
        <v/>
      </c>
      <c r="AU300" s="97" t="str">
        <f aca="false">IF(ISBLANK($C300),"",IF($Z300&lt;&gt;Constants!$B$7,$Z300,AA300))</f>
        <v/>
      </c>
      <c r="AV300" s="98" t="str">
        <f aca="false">IF(ISBLANK($C300),"",AO300)</f>
        <v/>
      </c>
      <c r="AW300" s="98" t="str">
        <f aca="false">IF(ISBLANK($C300),"",AN300)</f>
        <v/>
      </c>
      <c r="AX300" s="99" t="str">
        <f aca="false">IF(ISBLANK($C300),"",IFERROR(_xlfn.SWITCH(AW300,Constants!$B$4,COUNTA($C$8:$C$507)+2,Constants!$B$5,COUNTA($C$8:$C$507)+1,Constants!$B$6,COUNTA($C$8:$C$507)),AW300))</f>
        <v/>
      </c>
      <c r="AY300" s="5"/>
      <c r="AZ300" s="100" t="n">
        <f aca="false">IF(OR(ISNUMBER(AW300),AW300=Constants!$B$4,AW300=Constants!$B$6,AW300=Constants!$B$5),1,0)</f>
        <v>0</v>
      </c>
      <c r="BA300" s="100" t="n">
        <v>293</v>
      </c>
      <c r="BB300" s="100" t="str">
        <f aca="false">IF(ISBLANK($C300),"",IF(ISNUMBER(AX300),AX300+ROW($B300)/1000,""))</f>
        <v/>
      </c>
      <c r="BC300" s="100" t="str">
        <f aca="false">IF(ISNUMBER(BB300),RANK(BB300,$BB$8:$BB$507,1),"")</f>
        <v/>
      </c>
      <c r="BD300" s="100" t="str">
        <f aca="false">IF(ISBLANK($C300),"",$B300)</f>
        <v/>
      </c>
      <c r="BE300" s="100" t="str">
        <f aca="false">IF(ISBLANK($C300),"",$C300)</f>
        <v/>
      </c>
      <c r="BF300" s="100" t="str">
        <f aca="false">IF(ISBLANK($C300),"",$D300)</f>
        <v/>
      </c>
      <c r="BG300" s="101" t="str">
        <f aca="false">AU300</f>
        <v/>
      </c>
      <c r="BH300" s="102" t="str">
        <f aca="false">AT300</f>
        <v/>
      </c>
      <c r="BI300" s="100" t="str">
        <f aca="false">IF(ISBLANK($C300),"",AW300)</f>
        <v/>
      </c>
      <c r="BJ300" s="103" t="str">
        <f aca="false">IF($BA300&gt;$AZ$7,"",VLOOKUP($BA300,$BC$8:$BI$507,7,FALSE()))</f>
        <v/>
      </c>
      <c r="BK300" s="104" t="str">
        <f aca="false">IF($BA300&gt;$AZ$7,"",VLOOKUP($BA300,$BC$8:$BI$507,2,FALSE()))</f>
        <v/>
      </c>
      <c r="BL300" s="104" t="str">
        <f aca="false">IF($BA300&gt;$AZ$7,"",VLOOKUP($BA300,$BC$8:$BI$507,3,FALSE()))</f>
        <v/>
      </c>
      <c r="BM300" s="104" t="str">
        <f aca="false">IF($BA300&gt;$AZ$7,"",VLOOKUP($BA300,$BC$8:$BI$507,4,FALSE()))</f>
        <v/>
      </c>
      <c r="BN300" s="104" t="str">
        <f aca="false">IF($BA300&gt;$AZ$7,"",VLOOKUP($BA300,$BC$8:$BI$507,5,FALSE()))</f>
        <v/>
      </c>
      <c r="BO300" s="105" t="str">
        <f aca="false">IF($BA300&gt;$AZ$7,"",VLOOKUP($BA300,$BC$8:$BI$507,6,FALSE()))</f>
        <v/>
      </c>
      <c r="BP300" s="52"/>
    </row>
    <row r="301" customFormat="false" ht="15.75" hidden="false" customHeight="false" outlineLevel="0" collapsed="false">
      <c r="A301" s="5"/>
      <c r="B301" s="114"/>
      <c r="C301" s="115"/>
      <c r="D301" s="106"/>
      <c r="E301" s="117"/>
      <c r="F301" s="87"/>
      <c r="G301" s="88"/>
      <c r="H301" s="88"/>
      <c r="I301" s="87"/>
      <c r="J301" s="88"/>
      <c r="K301" s="88"/>
      <c r="L301" s="87"/>
      <c r="M301" s="117"/>
      <c r="N301" s="90"/>
      <c r="O301" s="91" t="str">
        <f aca="false">IF(ISBLANK($C301),"",IF(E301=Constants!$B$2, TRUE(), IF(E301=Constants!$B$3, FALSE(), TRUE())))</f>
        <v/>
      </c>
      <c r="P301" s="91" t="str">
        <f aca="false">IF(ISBLANK($C301),"",IF(F301=Constants!$B$16,Constants!$B$9,IF(F301=Constants!$B$17,Constants!$B$10,Constants!$B$8)))</f>
        <v/>
      </c>
      <c r="Q301" s="91" t="str">
        <f aca="false">IF(ISBLANK($C301),"",IF(ISNUMBER(G301),IF(G301&gt;=0,G301,""),""))</f>
        <v/>
      </c>
      <c r="R301" s="91" t="str">
        <f aca="false">IF(ISBLANK($C301),"",IF(H301=Constants!$B$2, TRUE(), IF(H301=Constants!$B$3, FALSE(), TRUE())))</f>
        <v/>
      </c>
      <c r="S301" s="91" t="str">
        <f aca="false">IF(ISBLANK($C301),"",IF(I301=Constants!$B$2, TRUE(), IF(I301=Constants!$B$3, FALSE(), TRUE())))</f>
        <v/>
      </c>
      <c r="T301" s="91" t="str">
        <f aca="false">IF(ISBLANK($C301),"",IF(ISNUMBER(J301),IF(J301&gt;=0,J301,""),""))</f>
        <v/>
      </c>
      <c r="U301" s="91" t="str">
        <f aca="false">IF(ISBLANK($C301),"",IF(K301=Constants!$B$2, TRUE(), IF(K301=Constants!$B$3, FALSE(), TRUE())))</f>
        <v/>
      </c>
      <c r="V301" s="91" t="str">
        <f aca="false">IF(ISBLANK($C301),"",IF(L301=Constants!$B$2, TRUE(), IF(L301=Constants!$B$3, FALSE(), TRUE())))</f>
        <v/>
      </c>
      <c r="W301" s="91" t="str">
        <f aca="false">IF(ISBLANK($C301),"",IF(M301=Constants!$B$2, TRUE(), IF(M301=Constants!$B$3, FALSE(), FALSE())))</f>
        <v/>
      </c>
      <c r="X301" s="91" t="str">
        <f aca="false">IF(ISBLANK($C301),"",AND(Q301&lt;&gt;"",O301))</f>
        <v/>
      </c>
      <c r="Y301" s="91" t="str">
        <f aca="false">IF(ISBLANK($C301),"",AND(T301&lt;&gt;"",O301))</f>
        <v/>
      </c>
      <c r="Z301" s="91" t="str">
        <f aca="false">IF(ISBLANK($C301),"",IF(W301,Constants!$B$4,IF(COUNTA(E301:L301)=0,Constants!$B$5,IF(NOT(O301),Constants!$B$6,IF(AND(NOT(X301),NOT(Y301)),Constants!$B$6,Constants!$B$7)))))</f>
        <v/>
      </c>
      <c r="AA301" s="91" t="str">
        <f aca="false">IF(ISBLANK($C301),"",IF($Z301&lt;&gt;Constants!$B$7,$Z301,Constants!$B$20))</f>
        <v/>
      </c>
      <c r="AB301" s="91" t="str">
        <f aca="false">IF($Z301=Constants!$B$7,IF(X301,Q301,Constants!$B$13),"")</f>
        <v/>
      </c>
      <c r="AC301" s="91" t="str">
        <f aca="false">IF($Z301=Constants!$B$7,IF(X301,P301*IF(R301, 1, Constants!$B$11)*IF(S301, 1, Constants!$B$12),Constants!$B$13),"")</f>
        <v/>
      </c>
      <c r="AD301" s="91" t="str">
        <f aca="false">IF($Z301=Constants!$B$7,AB301*AC301,"")</f>
        <v/>
      </c>
      <c r="AE301" s="91" t="str">
        <f aca="false">IF($Z301=Constants!$B$7,IF(Y301,T301,Constants!$B$13),"")</f>
        <v/>
      </c>
      <c r="AF301" s="91" t="str">
        <f aca="false">IF($Z301=Constants!$B$7,IF(Y301,P301*IF(U301, 1, Constants!$B$11)*IF(V301, 1, Constants!$B$12),Constants!$B$13),"")</f>
        <v/>
      </c>
      <c r="AG301" s="91" t="str">
        <f aca="false">IF($Z301=Constants!$B$7,AE301*AF301,"")</f>
        <v/>
      </c>
      <c r="AH301" s="91" t="str">
        <f aca="false">IF($Z301=Constants!$B$7,IF(AG301&gt;AD301,2,1),"")</f>
        <v/>
      </c>
      <c r="AI301" s="91" t="str">
        <f aca="false">IF($Z301=Constants!$B$7,IF(AH301=1,2,1),"")</f>
        <v/>
      </c>
      <c r="AJ301" s="91" t="str">
        <f aca="false">IF(ISBLANK($C301),"",IF($Z301&lt;&gt;Constants!$B$7,$Z301,IF(AH301=1,AD301,AG301)))</f>
        <v/>
      </c>
      <c r="AK301" s="91" t="str">
        <f aca="false">IF(ISBLANK($C301),"",IF($Z301=Constants!$B$7,IF(ISNUMBER(AJ301),RANK(AJ301,$AJ$8:$AJ$507),Constants!$B$14),$Z301))</f>
        <v/>
      </c>
      <c r="AL301" s="91" t="str">
        <f aca="false">IF(ISBLANK($C301),"",IF($Z301=Constants!$B$7,IF(AI301=1,AD301,AG301),""))</f>
        <v/>
      </c>
      <c r="AM301" s="91" t="str">
        <f aca="false">IF(ISBLANK($C301),"",IF($Z301=Constants!$B$7,RANK(AL301,$AL$8:$AL$507),$Z301))</f>
        <v/>
      </c>
      <c r="AN301" s="91" t="str">
        <f aca="false">IF(ISBLANK($C301),"",IF($Z301=Constants!$B$7,IF(ISNUMBER(AK301),COUNTIFS($AK$8:$AK$507,"&lt;"&amp;$AK301)+COUNTIFS($AK$8:$AK$507,$AK301,$AM$8:$AM$507,"&lt;"&amp;$AM301)+1,Constants!$B$14),$Z301))</f>
        <v/>
      </c>
      <c r="AO301" s="91" t="str">
        <f aca="false">IF(ISBLANK($C301),"",IF($Z301=Constants!$B$7,IF(ISNUMBER(AK301),AK301-AN301,Constants!$B$14),$Z301))</f>
        <v/>
      </c>
      <c r="AP301" s="92"/>
      <c r="AQ301" s="93" t="str">
        <f aca="false">IF(ISBLANK($C301),"",IF($Z301&lt;&gt;Constants!$B$7,"",AH301))</f>
        <v/>
      </c>
      <c r="AR301" s="94" t="str">
        <f aca="false">IF(ISBLANK($C301),"",IF($Z301&lt;&gt;Constants!$B$7,"",IF(AH301=1,AB301,AE301)))</f>
        <v/>
      </c>
      <c r="AS301" s="95" t="str">
        <f aca="false">IF(ISBLANK($C301),"",IF($Z301&lt;&gt;Constants!$B$7,"",IF(AH301=1,AC301,AF301)))</f>
        <v/>
      </c>
      <c r="AT301" s="96" t="str">
        <f aca="false">IF(ISBLANK($C301),"",IF($Z301&lt;&gt;Constants!$B$7,$Z301,AJ301))</f>
        <v/>
      </c>
      <c r="AU301" s="97" t="str">
        <f aca="false">IF(ISBLANK($C301),"",IF($Z301&lt;&gt;Constants!$B$7,$Z301,AA301))</f>
        <v/>
      </c>
      <c r="AV301" s="98" t="str">
        <f aca="false">IF(ISBLANK($C301),"",AO301)</f>
        <v/>
      </c>
      <c r="AW301" s="98" t="str">
        <f aca="false">IF(ISBLANK($C301),"",AN301)</f>
        <v/>
      </c>
      <c r="AX301" s="99" t="str">
        <f aca="false">IF(ISBLANK($C301),"",IFERROR(_xlfn.SWITCH(AW301,Constants!$B$4,COUNTA($C$8:$C$507)+2,Constants!$B$5,COUNTA($C$8:$C$507)+1,Constants!$B$6,COUNTA($C$8:$C$507)),AW301))</f>
        <v/>
      </c>
      <c r="AY301" s="5"/>
      <c r="AZ301" s="100" t="n">
        <f aca="false">IF(OR(ISNUMBER(AW301),AW301=Constants!$B$4,AW301=Constants!$B$6,AW301=Constants!$B$5),1,0)</f>
        <v>0</v>
      </c>
      <c r="BA301" s="100" t="n">
        <v>294</v>
      </c>
      <c r="BB301" s="100" t="str">
        <f aca="false">IF(ISBLANK($C301),"",IF(ISNUMBER(AX301),AX301+ROW($B301)/1000,""))</f>
        <v/>
      </c>
      <c r="BC301" s="100" t="str">
        <f aca="false">IF(ISNUMBER(BB301),RANK(BB301,$BB$8:$BB$507,1),"")</f>
        <v/>
      </c>
      <c r="BD301" s="100" t="str">
        <f aca="false">IF(ISBLANK($C301),"",$B301)</f>
        <v/>
      </c>
      <c r="BE301" s="100" t="str">
        <f aca="false">IF(ISBLANK($C301),"",$C301)</f>
        <v/>
      </c>
      <c r="BF301" s="100" t="str">
        <f aca="false">IF(ISBLANK($C301),"",$D301)</f>
        <v/>
      </c>
      <c r="BG301" s="101" t="str">
        <f aca="false">AU301</f>
        <v/>
      </c>
      <c r="BH301" s="102" t="str">
        <f aca="false">AT301</f>
        <v/>
      </c>
      <c r="BI301" s="100" t="str">
        <f aca="false">IF(ISBLANK($C301),"",AW301)</f>
        <v/>
      </c>
      <c r="BJ301" s="103" t="str">
        <f aca="false">IF($BA301&gt;$AZ$7,"",VLOOKUP($BA301,$BC$8:$BI$507,7,FALSE()))</f>
        <v/>
      </c>
      <c r="BK301" s="104" t="str">
        <f aca="false">IF($BA301&gt;$AZ$7,"",VLOOKUP($BA301,$BC$8:$BI$507,2,FALSE()))</f>
        <v/>
      </c>
      <c r="BL301" s="104" t="str">
        <f aca="false">IF($BA301&gt;$AZ$7,"",VLOOKUP($BA301,$BC$8:$BI$507,3,FALSE()))</f>
        <v/>
      </c>
      <c r="BM301" s="104" t="str">
        <f aca="false">IF($BA301&gt;$AZ$7,"",VLOOKUP($BA301,$BC$8:$BI$507,4,FALSE()))</f>
        <v/>
      </c>
      <c r="BN301" s="104" t="str">
        <f aca="false">IF($BA301&gt;$AZ$7,"",VLOOKUP($BA301,$BC$8:$BI$507,5,FALSE()))</f>
        <v/>
      </c>
      <c r="BO301" s="105" t="str">
        <f aca="false">IF($BA301&gt;$AZ$7,"",VLOOKUP($BA301,$BC$8:$BI$507,6,FALSE()))</f>
        <v/>
      </c>
      <c r="BP301" s="52"/>
    </row>
    <row r="302" customFormat="false" ht="15.75" hidden="false" customHeight="false" outlineLevel="0" collapsed="false">
      <c r="A302" s="5"/>
      <c r="B302" s="118"/>
      <c r="C302" s="54"/>
      <c r="D302" s="55"/>
      <c r="E302" s="79"/>
      <c r="F302" s="57"/>
      <c r="G302" s="58"/>
      <c r="H302" s="58"/>
      <c r="I302" s="57"/>
      <c r="J302" s="58"/>
      <c r="K302" s="58"/>
      <c r="L302" s="57"/>
      <c r="M302" s="79"/>
      <c r="N302" s="60"/>
      <c r="O302" s="62" t="str">
        <f aca="false">IF(ISBLANK($C302),"",IF(E302=Constants!$B$2, TRUE(), IF(E302=Constants!$B$3, FALSE(), TRUE())))</f>
        <v/>
      </c>
      <c r="P302" s="62" t="str">
        <f aca="false">IF(ISBLANK($C302),"",IF(F302=Constants!$B$16,Constants!$B$9,IF(F302=Constants!$B$17,Constants!$B$10,Constants!$B$8)))</f>
        <v/>
      </c>
      <c r="Q302" s="62" t="str">
        <f aca="false">IF(ISBLANK($C302),"",IF(ISNUMBER(G302),IF(G302&gt;=0,G302,""),""))</f>
        <v/>
      </c>
      <c r="R302" s="62" t="str">
        <f aca="false">IF(ISBLANK($C302),"",IF(H302=Constants!$B$2, TRUE(), IF(H302=Constants!$B$3, FALSE(), TRUE())))</f>
        <v/>
      </c>
      <c r="S302" s="62" t="str">
        <f aca="false">IF(ISBLANK($C302),"",IF(I302=Constants!$B$2, TRUE(), IF(I302=Constants!$B$3, FALSE(), TRUE())))</f>
        <v/>
      </c>
      <c r="T302" s="62" t="str">
        <f aca="false">IF(ISBLANK($C302),"",IF(ISNUMBER(J302),IF(J302&gt;=0,J302,""),""))</f>
        <v/>
      </c>
      <c r="U302" s="62" t="str">
        <f aca="false">IF(ISBLANK($C302),"",IF(K302=Constants!$B$2, TRUE(), IF(K302=Constants!$B$3, FALSE(), TRUE())))</f>
        <v/>
      </c>
      <c r="V302" s="62" t="str">
        <f aca="false">IF(ISBLANK($C302),"",IF(L302=Constants!$B$2, TRUE(), IF(L302=Constants!$B$3, FALSE(), TRUE())))</f>
        <v/>
      </c>
      <c r="W302" s="62" t="str">
        <f aca="false">IF(ISBLANK($C302),"",IF(M302=Constants!$B$2, TRUE(), IF(M302=Constants!$B$3, FALSE(), FALSE())))</f>
        <v/>
      </c>
      <c r="X302" s="62" t="str">
        <f aca="false">IF(ISBLANK($C302),"",AND(Q302&lt;&gt;"",O302))</f>
        <v/>
      </c>
      <c r="Y302" s="62" t="str">
        <f aca="false">IF(ISBLANK($C302),"",AND(T302&lt;&gt;"",O302))</f>
        <v/>
      </c>
      <c r="Z302" s="62" t="str">
        <f aca="false">IF(ISBLANK($C302),"",IF(W302,Constants!$B$4,IF(COUNTA(E302:L302)=0,Constants!$B$5,IF(NOT(O302),Constants!$B$6,IF(AND(NOT(X302),NOT(Y302)),Constants!$B$6,Constants!$B$7)))))</f>
        <v/>
      </c>
      <c r="AA302" s="62" t="str">
        <f aca="false">IF(ISBLANK($C302),"",IF($Z302&lt;&gt;Constants!$B$7,$Z302,Constants!$B$20))</f>
        <v/>
      </c>
      <c r="AB302" s="62" t="str">
        <f aca="false">IF($Z302=Constants!$B$7,IF(X302,Q302,Constants!$B$13),"")</f>
        <v/>
      </c>
      <c r="AC302" s="62" t="str">
        <f aca="false">IF($Z302=Constants!$B$7,IF(X302,P302*IF(R302, 1, Constants!$B$11)*IF(S302, 1, Constants!$B$12),Constants!$B$13),"")</f>
        <v/>
      </c>
      <c r="AD302" s="62" t="str">
        <f aca="false">IF($Z302=Constants!$B$7,AB302*AC302,"")</f>
        <v/>
      </c>
      <c r="AE302" s="62" t="str">
        <f aca="false">IF($Z302=Constants!$B$7,IF(Y302,T302,Constants!$B$13),"")</f>
        <v/>
      </c>
      <c r="AF302" s="62" t="str">
        <f aca="false">IF($Z302=Constants!$B$7,IF(Y302,P302*IF(U302, 1, Constants!$B$11)*IF(V302, 1, Constants!$B$12),Constants!$B$13),"")</f>
        <v/>
      </c>
      <c r="AG302" s="62" t="str">
        <f aca="false">IF($Z302=Constants!$B$7,AE302*AF302,"")</f>
        <v/>
      </c>
      <c r="AH302" s="62" t="str">
        <f aca="false">IF($Z302=Constants!$B$7,IF(AG302&gt;AD302,2,1),"")</f>
        <v/>
      </c>
      <c r="AI302" s="62" t="str">
        <f aca="false">IF($Z302=Constants!$B$7,IF(AH302=1,2,1),"")</f>
        <v/>
      </c>
      <c r="AJ302" s="62" t="str">
        <f aca="false">IF(ISBLANK($C302),"",IF($Z302&lt;&gt;Constants!$B$7,$Z302,IF(AH302=1,AD302,AG302)))</f>
        <v/>
      </c>
      <c r="AK302" s="62" t="str">
        <f aca="false">IF(ISBLANK($C302),"",IF($Z302=Constants!$B$7,IF(ISNUMBER(AJ302),RANK(AJ302,$AJ$8:$AJ$507),Constants!$B$14),$Z302))</f>
        <v/>
      </c>
      <c r="AL302" s="62" t="str">
        <f aca="false">IF(ISBLANK($C302),"",IF($Z302=Constants!$B$7,IF(AI302=1,AD302,AG302),""))</f>
        <v/>
      </c>
      <c r="AM302" s="62" t="str">
        <f aca="false">IF(ISBLANK($C302),"",IF($Z302=Constants!$B$7,RANK(AL302,$AL$8:$AL$507),$Z302))</f>
        <v/>
      </c>
      <c r="AN302" s="62" t="str">
        <f aca="false">IF(ISBLANK($C302),"",IF($Z302=Constants!$B$7,IF(ISNUMBER(AK302),COUNTIFS($AK$8:$AK$507,"&lt;"&amp;$AK302)+COUNTIFS($AK$8:$AK$507,$AK302,$AM$8:$AM$507,"&lt;"&amp;$AM302)+1,Constants!$B$14),$Z302))</f>
        <v/>
      </c>
      <c r="AO302" s="62" t="str">
        <f aca="false">IF(ISBLANK($C302),"",IF($Z302=Constants!$B$7,IF(ISNUMBER(AK302),AK302-AN302,Constants!$B$14),$Z302))</f>
        <v/>
      </c>
      <c r="AP302" s="64"/>
      <c r="AQ302" s="65" t="str">
        <f aca="false">IF(ISBLANK($C302),"",IF($Z302&lt;&gt;Constants!$B$7,"",AH302))</f>
        <v/>
      </c>
      <c r="AR302" s="80" t="str">
        <f aca="false">IF(ISBLANK($C302),"",IF($Z302&lt;&gt;Constants!$B$7,"",IF(AH302=1,AB302,AE302)))</f>
        <v/>
      </c>
      <c r="AS302" s="67" t="str">
        <f aca="false">IF(ISBLANK($C302),"",IF($Z302&lt;&gt;Constants!$B$7,"",IF(AH302=1,AC302,AF302)))</f>
        <v/>
      </c>
      <c r="AT302" s="68" t="str">
        <f aca="false">IF(ISBLANK($C302),"",IF($Z302&lt;&gt;Constants!$B$7,$Z302,AJ302))</f>
        <v/>
      </c>
      <c r="AU302" s="69" t="str">
        <f aca="false">IF(ISBLANK($C302),"",IF($Z302&lt;&gt;Constants!$B$7,$Z302,AA302))</f>
        <v/>
      </c>
      <c r="AV302" s="70" t="str">
        <f aca="false">IF(ISBLANK($C302),"",AO302)</f>
        <v/>
      </c>
      <c r="AW302" s="70" t="str">
        <f aca="false">IF(ISBLANK($C302),"",AN302)</f>
        <v/>
      </c>
      <c r="AX302" s="71" t="str">
        <f aca="false">IF(ISBLANK($C302),"",IFERROR(_xlfn.SWITCH(AW302,Constants!$B$4,COUNTA($C$8:$C$507)+2,Constants!$B$5,COUNTA($C$8:$C$507)+1,Constants!$B$6,COUNTA($C$8:$C$507)),AW302))</f>
        <v/>
      </c>
      <c r="AY302" s="5"/>
      <c r="AZ302" s="72" t="n">
        <f aca="false">IF(OR(ISNUMBER(AW302),AW302=Constants!$B$4,AW302=Constants!$B$6,AW302=Constants!$B$5),1,0)</f>
        <v>0</v>
      </c>
      <c r="BA302" s="72" t="n">
        <v>295</v>
      </c>
      <c r="BB302" s="72" t="str">
        <f aca="false">IF(ISBLANK($C302),"",IF(ISNUMBER(AX302),AX302+ROW($B302)/1000,""))</f>
        <v/>
      </c>
      <c r="BC302" s="72" t="str">
        <f aca="false">IF(ISNUMBER(BB302),RANK(BB302,$BB$8:$BB$507,1),"")</f>
        <v/>
      </c>
      <c r="BD302" s="72" t="str">
        <f aca="false">IF(ISBLANK($C302),"",$B302)</f>
        <v/>
      </c>
      <c r="BE302" s="72" t="str">
        <f aca="false">IF(ISBLANK($C302),"",$C302)</f>
        <v/>
      </c>
      <c r="BF302" s="72" t="str">
        <f aca="false">IF(ISBLANK($C302),"",$D302)</f>
        <v/>
      </c>
      <c r="BG302" s="73" t="str">
        <f aca="false">AU302</f>
        <v/>
      </c>
      <c r="BH302" s="74" t="str">
        <f aca="false">AT302</f>
        <v/>
      </c>
      <c r="BI302" s="72" t="str">
        <f aca="false">IF(ISBLANK($C302),"",AW302)</f>
        <v/>
      </c>
      <c r="BJ302" s="75" t="str">
        <f aca="false">IF($BA302&gt;$AZ$7,"",VLOOKUP($BA302,$BC$8:$BI$507,7,FALSE()))</f>
        <v/>
      </c>
      <c r="BK302" s="76" t="str">
        <f aca="false">IF($BA302&gt;$AZ$7,"",VLOOKUP($BA302,$BC$8:$BI$507,2,FALSE()))</f>
        <v/>
      </c>
      <c r="BL302" s="76" t="str">
        <f aca="false">IF($BA302&gt;$AZ$7,"",VLOOKUP($BA302,$BC$8:$BI$507,3,FALSE()))</f>
        <v/>
      </c>
      <c r="BM302" s="76" t="str">
        <f aca="false">IF($BA302&gt;$AZ$7,"",VLOOKUP($BA302,$BC$8:$BI$507,4,FALSE()))</f>
        <v/>
      </c>
      <c r="BN302" s="76" t="str">
        <f aca="false">IF($BA302&gt;$AZ$7,"",VLOOKUP($BA302,$BC$8:$BI$507,5,FALSE()))</f>
        <v/>
      </c>
      <c r="BO302" s="77" t="str">
        <f aca="false">IF($BA302&gt;$AZ$7,"",VLOOKUP($BA302,$BC$8:$BI$507,6,FALSE()))</f>
        <v/>
      </c>
      <c r="BP302" s="52"/>
    </row>
    <row r="303" customFormat="false" ht="15.75" hidden="false" customHeight="false" outlineLevel="0" collapsed="false">
      <c r="A303" s="5"/>
      <c r="B303" s="118"/>
      <c r="C303" s="54"/>
      <c r="D303" s="55"/>
      <c r="E303" s="79"/>
      <c r="F303" s="57"/>
      <c r="G303" s="58"/>
      <c r="H303" s="58"/>
      <c r="I303" s="57"/>
      <c r="J303" s="58"/>
      <c r="K303" s="58"/>
      <c r="L303" s="57"/>
      <c r="M303" s="79"/>
      <c r="N303" s="60"/>
      <c r="O303" s="62" t="str">
        <f aca="false">IF(ISBLANK($C303),"",IF(E303=Constants!$B$2, TRUE(), IF(E303=Constants!$B$3, FALSE(), TRUE())))</f>
        <v/>
      </c>
      <c r="P303" s="62" t="str">
        <f aca="false">IF(ISBLANK($C303),"",IF(F303=Constants!$B$16,Constants!$B$9,IF(F303=Constants!$B$17,Constants!$B$10,Constants!$B$8)))</f>
        <v/>
      </c>
      <c r="Q303" s="62" t="str">
        <f aca="false">IF(ISBLANK($C303),"",IF(ISNUMBER(G303),IF(G303&gt;=0,G303,""),""))</f>
        <v/>
      </c>
      <c r="R303" s="62" t="str">
        <f aca="false">IF(ISBLANK($C303),"",IF(H303=Constants!$B$2, TRUE(), IF(H303=Constants!$B$3, FALSE(), TRUE())))</f>
        <v/>
      </c>
      <c r="S303" s="62" t="str">
        <f aca="false">IF(ISBLANK($C303),"",IF(I303=Constants!$B$2, TRUE(), IF(I303=Constants!$B$3, FALSE(), TRUE())))</f>
        <v/>
      </c>
      <c r="T303" s="62" t="str">
        <f aca="false">IF(ISBLANK($C303),"",IF(ISNUMBER(J303),IF(J303&gt;=0,J303,""),""))</f>
        <v/>
      </c>
      <c r="U303" s="62" t="str">
        <f aca="false">IF(ISBLANK($C303),"",IF(K303=Constants!$B$2, TRUE(), IF(K303=Constants!$B$3, FALSE(), TRUE())))</f>
        <v/>
      </c>
      <c r="V303" s="62" t="str">
        <f aca="false">IF(ISBLANK($C303),"",IF(L303=Constants!$B$2, TRUE(), IF(L303=Constants!$B$3, FALSE(), TRUE())))</f>
        <v/>
      </c>
      <c r="W303" s="62" t="str">
        <f aca="false">IF(ISBLANK($C303),"",IF(M303=Constants!$B$2, TRUE(), IF(M303=Constants!$B$3, FALSE(), FALSE())))</f>
        <v/>
      </c>
      <c r="X303" s="62" t="str">
        <f aca="false">IF(ISBLANK($C303),"",AND(Q303&lt;&gt;"",O303))</f>
        <v/>
      </c>
      <c r="Y303" s="62" t="str">
        <f aca="false">IF(ISBLANK($C303),"",AND(T303&lt;&gt;"",O303))</f>
        <v/>
      </c>
      <c r="Z303" s="62" t="str">
        <f aca="false">IF(ISBLANK($C303),"",IF(W303,Constants!$B$4,IF(COUNTA(E303:L303)=0,Constants!$B$5,IF(NOT(O303),Constants!$B$6,IF(AND(NOT(X303),NOT(Y303)),Constants!$B$6,Constants!$B$7)))))</f>
        <v/>
      </c>
      <c r="AA303" s="62" t="str">
        <f aca="false">IF(ISBLANK($C303),"",IF($Z303&lt;&gt;Constants!$B$7,$Z303,Constants!$B$20))</f>
        <v/>
      </c>
      <c r="AB303" s="62" t="str">
        <f aca="false">IF($Z303=Constants!$B$7,IF(X303,Q303,Constants!$B$13),"")</f>
        <v/>
      </c>
      <c r="AC303" s="62" t="str">
        <f aca="false">IF($Z303=Constants!$B$7,IF(X303,P303*IF(R303, 1, Constants!$B$11)*IF(S303, 1, Constants!$B$12),Constants!$B$13),"")</f>
        <v/>
      </c>
      <c r="AD303" s="62" t="str">
        <f aca="false">IF($Z303=Constants!$B$7,AB303*AC303,"")</f>
        <v/>
      </c>
      <c r="AE303" s="62" t="str">
        <f aca="false">IF($Z303=Constants!$B$7,IF(Y303,T303,Constants!$B$13),"")</f>
        <v/>
      </c>
      <c r="AF303" s="62" t="str">
        <f aca="false">IF($Z303=Constants!$B$7,IF(Y303,P303*IF(U303, 1, Constants!$B$11)*IF(V303, 1, Constants!$B$12),Constants!$B$13),"")</f>
        <v/>
      </c>
      <c r="AG303" s="62" t="str">
        <f aca="false">IF($Z303=Constants!$B$7,AE303*AF303,"")</f>
        <v/>
      </c>
      <c r="AH303" s="62" t="str">
        <f aca="false">IF($Z303=Constants!$B$7,IF(AG303&gt;AD303,2,1),"")</f>
        <v/>
      </c>
      <c r="AI303" s="62" t="str">
        <f aca="false">IF($Z303=Constants!$B$7,IF(AH303=1,2,1),"")</f>
        <v/>
      </c>
      <c r="AJ303" s="62" t="str">
        <f aca="false">IF(ISBLANK($C303),"",IF($Z303&lt;&gt;Constants!$B$7,$Z303,IF(AH303=1,AD303,AG303)))</f>
        <v/>
      </c>
      <c r="AK303" s="62" t="str">
        <f aca="false">IF(ISBLANK($C303),"",IF($Z303=Constants!$B$7,IF(ISNUMBER(AJ303),RANK(AJ303,$AJ$8:$AJ$507),Constants!$B$14),$Z303))</f>
        <v/>
      </c>
      <c r="AL303" s="62" t="str">
        <f aca="false">IF(ISBLANK($C303),"",IF($Z303=Constants!$B$7,IF(AI303=1,AD303,AG303),""))</f>
        <v/>
      </c>
      <c r="AM303" s="62" t="str">
        <f aca="false">IF(ISBLANK($C303),"",IF($Z303=Constants!$B$7,RANK(AL303,$AL$8:$AL$507),$Z303))</f>
        <v/>
      </c>
      <c r="AN303" s="62" t="str">
        <f aca="false">IF(ISBLANK($C303),"",IF($Z303=Constants!$B$7,IF(ISNUMBER(AK303),COUNTIFS($AK$8:$AK$507,"&lt;"&amp;$AK303)+COUNTIFS($AK$8:$AK$507,$AK303,$AM$8:$AM$507,"&lt;"&amp;$AM303)+1,Constants!$B$14),$Z303))</f>
        <v/>
      </c>
      <c r="AO303" s="62" t="str">
        <f aca="false">IF(ISBLANK($C303),"",IF($Z303=Constants!$B$7,IF(ISNUMBER(AK303),AK303-AN303,Constants!$B$14),$Z303))</f>
        <v/>
      </c>
      <c r="AP303" s="64"/>
      <c r="AQ303" s="65" t="str">
        <f aca="false">IF(ISBLANK($C303),"",IF($Z303&lt;&gt;Constants!$B$7,"",AH303))</f>
        <v/>
      </c>
      <c r="AR303" s="80" t="str">
        <f aca="false">IF(ISBLANK($C303),"",IF($Z303&lt;&gt;Constants!$B$7,"",IF(AH303=1,AB303,AE303)))</f>
        <v/>
      </c>
      <c r="AS303" s="67" t="str">
        <f aca="false">IF(ISBLANK($C303),"",IF($Z303&lt;&gt;Constants!$B$7,"",IF(AH303=1,AC303,AF303)))</f>
        <v/>
      </c>
      <c r="AT303" s="68" t="str">
        <f aca="false">IF(ISBLANK($C303),"",IF($Z303&lt;&gt;Constants!$B$7,$Z303,AJ303))</f>
        <v/>
      </c>
      <c r="AU303" s="69" t="str">
        <f aca="false">IF(ISBLANK($C303),"",IF($Z303&lt;&gt;Constants!$B$7,$Z303,AA303))</f>
        <v/>
      </c>
      <c r="AV303" s="70" t="str">
        <f aca="false">IF(ISBLANK($C303),"",AO303)</f>
        <v/>
      </c>
      <c r="AW303" s="70" t="str">
        <f aca="false">IF(ISBLANK($C303),"",AN303)</f>
        <v/>
      </c>
      <c r="AX303" s="71" t="str">
        <f aca="false">IF(ISBLANK($C303),"",IFERROR(_xlfn.SWITCH(AW303,Constants!$B$4,COUNTA($C$8:$C$507)+2,Constants!$B$5,COUNTA($C$8:$C$507)+1,Constants!$B$6,COUNTA($C$8:$C$507)),AW303))</f>
        <v/>
      </c>
      <c r="AY303" s="5"/>
      <c r="AZ303" s="72" t="n">
        <f aca="false">IF(OR(ISNUMBER(AW303),AW303=Constants!$B$4,AW303=Constants!$B$6,AW303=Constants!$B$5),1,0)</f>
        <v>0</v>
      </c>
      <c r="BA303" s="72" t="n">
        <v>296</v>
      </c>
      <c r="BB303" s="72" t="str">
        <f aca="false">IF(ISBLANK($C303),"",IF(ISNUMBER(AX303),AX303+ROW($B303)/1000,""))</f>
        <v/>
      </c>
      <c r="BC303" s="72" t="str">
        <f aca="false">IF(ISNUMBER(BB303),RANK(BB303,$BB$8:$BB$507,1),"")</f>
        <v/>
      </c>
      <c r="BD303" s="72" t="str">
        <f aca="false">IF(ISBLANK($C303),"",$B303)</f>
        <v/>
      </c>
      <c r="BE303" s="72" t="str">
        <f aca="false">IF(ISBLANK($C303),"",$C303)</f>
        <v/>
      </c>
      <c r="BF303" s="72" t="str">
        <f aca="false">IF(ISBLANK($C303),"",$D303)</f>
        <v/>
      </c>
      <c r="BG303" s="73" t="str">
        <f aca="false">AU303</f>
        <v/>
      </c>
      <c r="BH303" s="74" t="str">
        <f aca="false">AT303</f>
        <v/>
      </c>
      <c r="BI303" s="72" t="str">
        <f aca="false">IF(ISBLANK($C303),"",AW303)</f>
        <v/>
      </c>
      <c r="BJ303" s="75" t="str">
        <f aca="false">IF($BA303&gt;$AZ$7,"",VLOOKUP($BA303,$BC$8:$BI$507,7,FALSE()))</f>
        <v/>
      </c>
      <c r="BK303" s="76" t="str">
        <f aca="false">IF($BA303&gt;$AZ$7,"",VLOOKUP($BA303,$BC$8:$BI$507,2,FALSE()))</f>
        <v/>
      </c>
      <c r="BL303" s="76" t="str">
        <f aca="false">IF($BA303&gt;$AZ$7,"",VLOOKUP($BA303,$BC$8:$BI$507,3,FALSE()))</f>
        <v/>
      </c>
      <c r="BM303" s="76" t="str">
        <f aca="false">IF($BA303&gt;$AZ$7,"",VLOOKUP($BA303,$BC$8:$BI$507,4,FALSE()))</f>
        <v/>
      </c>
      <c r="BN303" s="76" t="str">
        <f aca="false">IF($BA303&gt;$AZ$7,"",VLOOKUP($BA303,$BC$8:$BI$507,5,FALSE()))</f>
        <v/>
      </c>
      <c r="BO303" s="77" t="str">
        <f aca="false">IF($BA303&gt;$AZ$7,"",VLOOKUP($BA303,$BC$8:$BI$507,6,FALSE()))</f>
        <v/>
      </c>
      <c r="BP303" s="52"/>
    </row>
    <row r="304" customFormat="false" ht="15.75" hidden="false" customHeight="false" outlineLevel="0" collapsed="false">
      <c r="A304" s="5"/>
      <c r="B304" s="118"/>
      <c r="C304" s="54"/>
      <c r="D304" s="55"/>
      <c r="E304" s="79"/>
      <c r="F304" s="57"/>
      <c r="G304" s="58"/>
      <c r="H304" s="58"/>
      <c r="I304" s="57"/>
      <c r="J304" s="58"/>
      <c r="K304" s="58"/>
      <c r="L304" s="57"/>
      <c r="M304" s="79"/>
      <c r="N304" s="60"/>
      <c r="O304" s="62" t="str">
        <f aca="false">IF(ISBLANK($C304),"",IF(E304=Constants!$B$2, TRUE(), IF(E304=Constants!$B$3, FALSE(), TRUE())))</f>
        <v/>
      </c>
      <c r="P304" s="62" t="str">
        <f aca="false">IF(ISBLANK($C304),"",IF(F304=Constants!$B$16,Constants!$B$9,IF(F304=Constants!$B$17,Constants!$B$10,Constants!$B$8)))</f>
        <v/>
      </c>
      <c r="Q304" s="62" t="str">
        <f aca="false">IF(ISBLANK($C304),"",IF(ISNUMBER(G304),IF(G304&gt;=0,G304,""),""))</f>
        <v/>
      </c>
      <c r="R304" s="62" t="str">
        <f aca="false">IF(ISBLANK($C304),"",IF(H304=Constants!$B$2, TRUE(), IF(H304=Constants!$B$3, FALSE(), TRUE())))</f>
        <v/>
      </c>
      <c r="S304" s="62" t="str">
        <f aca="false">IF(ISBLANK($C304),"",IF(I304=Constants!$B$2, TRUE(), IF(I304=Constants!$B$3, FALSE(), TRUE())))</f>
        <v/>
      </c>
      <c r="T304" s="62" t="str">
        <f aca="false">IF(ISBLANK($C304),"",IF(ISNUMBER(J304),IF(J304&gt;=0,J304,""),""))</f>
        <v/>
      </c>
      <c r="U304" s="62" t="str">
        <f aca="false">IF(ISBLANK($C304),"",IF(K304=Constants!$B$2, TRUE(), IF(K304=Constants!$B$3, FALSE(), TRUE())))</f>
        <v/>
      </c>
      <c r="V304" s="62" t="str">
        <f aca="false">IF(ISBLANK($C304),"",IF(L304=Constants!$B$2, TRUE(), IF(L304=Constants!$B$3, FALSE(), TRUE())))</f>
        <v/>
      </c>
      <c r="W304" s="62" t="str">
        <f aca="false">IF(ISBLANK($C304),"",IF(M304=Constants!$B$2, TRUE(), IF(M304=Constants!$B$3, FALSE(), FALSE())))</f>
        <v/>
      </c>
      <c r="X304" s="62" t="str">
        <f aca="false">IF(ISBLANK($C304),"",AND(Q304&lt;&gt;"",O304))</f>
        <v/>
      </c>
      <c r="Y304" s="62" t="str">
        <f aca="false">IF(ISBLANK($C304),"",AND(T304&lt;&gt;"",O304))</f>
        <v/>
      </c>
      <c r="Z304" s="62" t="str">
        <f aca="false">IF(ISBLANK($C304),"",IF(W304,Constants!$B$4,IF(COUNTA(E304:L304)=0,Constants!$B$5,IF(NOT(O304),Constants!$B$6,IF(AND(NOT(X304),NOT(Y304)),Constants!$B$6,Constants!$B$7)))))</f>
        <v/>
      </c>
      <c r="AA304" s="62" t="str">
        <f aca="false">IF(ISBLANK($C304),"",IF($Z304&lt;&gt;Constants!$B$7,$Z304,Constants!$B$20))</f>
        <v/>
      </c>
      <c r="AB304" s="62" t="str">
        <f aca="false">IF($Z304=Constants!$B$7,IF(X304,Q304,Constants!$B$13),"")</f>
        <v/>
      </c>
      <c r="AC304" s="62" t="str">
        <f aca="false">IF($Z304=Constants!$B$7,IF(X304,P304*IF(R304, 1, Constants!$B$11)*IF(S304, 1, Constants!$B$12),Constants!$B$13),"")</f>
        <v/>
      </c>
      <c r="AD304" s="62" t="str">
        <f aca="false">IF($Z304=Constants!$B$7,AB304*AC304,"")</f>
        <v/>
      </c>
      <c r="AE304" s="62" t="str">
        <f aca="false">IF($Z304=Constants!$B$7,IF(Y304,T304,Constants!$B$13),"")</f>
        <v/>
      </c>
      <c r="AF304" s="62" t="str">
        <f aca="false">IF($Z304=Constants!$B$7,IF(Y304,P304*IF(U304, 1, Constants!$B$11)*IF(V304, 1, Constants!$B$12),Constants!$B$13),"")</f>
        <v/>
      </c>
      <c r="AG304" s="62" t="str">
        <f aca="false">IF($Z304=Constants!$B$7,AE304*AF304,"")</f>
        <v/>
      </c>
      <c r="AH304" s="62" t="str">
        <f aca="false">IF($Z304=Constants!$B$7,IF(AG304&gt;AD304,2,1),"")</f>
        <v/>
      </c>
      <c r="AI304" s="62" t="str">
        <f aca="false">IF($Z304=Constants!$B$7,IF(AH304=1,2,1),"")</f>
        <v/>
      </c>
      <c r="AJ304" s="62" t="str">
        <f aca="false">IF(ISBLANK($C304),"",IF($Z304&lt;&gt;Constants!$B$7,$Z304,IF(AH304=1,AD304,AG304)))</f>
        <v/>
      </c>
      <c r="AK304" s="62" t="str">
        <f aca="false">IF(ISBLANK($C304),"",IF($Z304=Constants!$B$7,IF(ISNUMBER(AJ304),RANK(AJ304,$AJ$8:$AJ$507),Constants!$B$14),$Z304))</f>
        <v/>
      </c>
      <c r="AL304" s="62" t="str">
        <f aca="false">IF(ISBLANK($C304),"",IF($Z304=Constants!$B$7,IF(AI304=1,AD304,AG304),""))</f>
        <v/>
      </c>
      <c r="AM304" s="62" t="str">
        <f aca="false">IF(ISBLANK($C304),"",IF($Z304=Constants!$B$7,RANK(AL304,$AL$8:$AL$507),$Z304))</f>
        <v/>
      </c>
      <c r="AN304" s="62" t="str">
        <f aca="false">IF(ISBLANK($C304),"",IF($Z304=Constants!$B$7,IF(ISNUMBER(AK304),COUNTIFS($AK$8:$AK$507,"&lt;"&amp;$AK304)+COUNTIFS($AK$8:$AK$507,$AK304,$AM$8:$AM$507,"&lt;"&amp;$AM304)+1,Constants!$B$14),$Z304))</f>
        <v/>
      </c>
      <c r="AO304" s="62" t="str">
        <f aca="false">IF(ISBLANK($C304),"",IF($Z304=Constants!$B$7,IF(ISNUMBER(AK304),AK304-AN304,Constants!$B$14),$Z304))</f>
        <v/>
      </c>
      <c r="AP304" s="64"/>
      <c r="AQ304" s="65" t="str">
        <f aca="false">IF(ISBLANK($C304),"",IF($Z304&lt;&gt;Constants!$B$7,"",AH304))</f>
        <v/>
      </c>
      <c r="AR304" s="80" t="str">
        <f aca="false">IF(ISBLANK($C304),"",IF($Z304&lt;&gt;Constants!$B$7,"",IF(AH304=1,AB304,AE304)))</f>
        <v/>
      </c>
      <c r="AS304" s="67" t="str">
        <f aca="false">IF(ISBLANK($C304),"",IF($Z304&lt;&gt;Constants!$B$7,"",IF(AH304=1,AC304,AF304)))</f>
        <v/>
      </c>
      <c r="AT304" s="68" t="str">
        <f aca="false">IF(ISBLANK($C304),"",IF($Z304&lt;&gt;Constants!$B$7,$Z304,AJ304))</f>
        <v/>
      </c>
      <c r="AU304" s="69" t="str">
        <f aca="false">IF(ISBLANK($C304),"",IF($Z304&lt;&gt;Constants!$B$7,$Z304,AA304))</f>
        <v/>
      </c>
      <c r="AV304" s="70" t="str">
        <f aca="false">IF(ISBLANK($C304),"",AO304)</f>
        <v/>
      </c>
      <c r="AW304" s="70" t="str">
        <f aca="false">IF(ISBLANK($C304),"",AN304)</f>
        <v/>
      </c>
      <c r="AX304" s="71" t="str">
        <f aca="false">IF(ISBLANK($C304),"",IFERROR(_xlfn.SWITCH(AW304,Constants!$B$4,COUNTA($C$8:$C$507)+2,Constants!$B$5,COUNTA($C$8:$C$507)+1,Constants!$B$6,COUNTA($C$8:$C$507)),AW304))</f>
        <v/>
      </c>
      <c r="AY304" s="5"/>
      <c r="AZ304" s="72" t="n">
        <f aca="false">IF(OR(ISNUMBER(AW304),AW304=Constants!$B$4,AW304=Constants!$B$6,AW304=Constants!$B$5),1,0)</f>
        <v>0</v>
      </c>
      <c r="BA304" s="72" t="n">
        <v>297</v>
      </c>
      <c r="BB304" s="72" t="str">
        <f aca="false">IF(ISBLANK($C304),"",IF(ISNUMBER(AX304),AX304+ROW($B304)/1000,""))</f>
        <v/>
      </c>
      <c r="BC304" s="72" t="str">
        <f aca="false">IF(ISNUMBER(BB304),RANK(BB304,$BB$8:$BB$507,1),"")</f>
        <v/>
      </c>
      <c r="BD304" s="72" t="str">
        <f aca="false">IF(ISBLANK($C304),"",$B304)</f>
        <v/>
      </c>
      <c r="BE304" s="72" t="str">
        <f aca="false">IF(ISBLANK($C304),"",$C304)</f>
        <v/>
      </c>
      <c r="BF304" s="72" t="str">
        <f aca="false">IF(ISBLANK($C304),"",$D304)</f>
        <v/>
      </c>
      <c r="BG304" s="73" t="str">
        <f aca="false">AU304</f>
        <v/>
      </c>
      <c r="BH304" s="74" t="str">
        <f aca="false">AT304</f>
        <v/>
      </c>
      <c r="BI304" s="72" t="str">
        <f aca="false">IF(ISBLANK($C304),"",AW304)</f>
        <v/>
      </c>
      <c r="BJ304" s="75" t="str">
        <f aca="false">IF($BA304&gt;$AZ$7,"",VLOOKUP($BA304,$BC$8:$BI$507,7,FALSE()))</f>
        <v/>
      </c>
      <c r="BK304" s="76" t="str">
        <f aca="false">IF($BA304&gt;$AZ$7,"",VLOOKUP($BA304,$BC$8:$BI$507,2,FALSE()))</f>
        <v/>
      </c>
      <c r="BL304" s="76" t="str">
        <f aca="false">IF($BA304&gt;$AZ$7,"",VLOOKUP($BA304,$BC$8:$BI$507,3,FALSE()))</f>
        <v/>
      </c>
      <c r="BM304" s="76" t="str">
        <f aca="false">IF($BA304&gt;$AZ$7,"",VLOOKUP($BA304,$BC$8:$BI$507,4,FALSE()))</f>
        <v/>
      </c>
      <c r="BN304" s="76" t="str">
        <f aca="false">IF($BA304&gt;$AZ$7,"",VLOOKUP($BA304,$BC$8:$BI$507,5,FALSE()))</f>
        <v/>
      </c>
      <c r="BO304" s="77" t="str">
        <f aca="false">IF($BA304&gt;$AZ$7,"",VLOOKUP($BA304,$BC$8:$BI$507,6,FALSE()))</f>
        <v/>
      </c>
      <c r="BP304" s="52"/>
    </row>
    <row r="305" customFormat="false" ht="15.75" hidden="false" customHeight="false" outlineLevel="0" collapsed="false">
      <c r="A305" s="5"/>
      <c r="B305" s="114"/>
      <c r="C305" s="115"/>
      <c r="D305" s="106"/>
      <c r="E305" s="117"/>
      <c r="F305" s="87"/>
      <c r="G305" s="88"/>
      <c r="H305" s="88"/>
      <c r="I305" s="87"/>
      <c r="J305" s="88"/>
      <c r="K305" s="88"/>
      <c r="L305" s="87"/>
      <c r="M305" s="117"/>
      <c r="N305" s="90"/>
      <c r="O305" s="91" t="str">
        <f aca="false">IF(ISBLANK($C305),"",IF(E305=Constants!$B$2, TRUE(), IF(E305=Constants!$B$3, FALSE(), TRUE())))</f>
        <v/>
      </c>
      <c r="P305" s="91" t="str">
        <f aca="false">IF(ISBLANK($C305),"",IF(F305=Constants!$B$16,Constants!$B$9,IF(F305=Constants!$B$17,Constants!$B$10,Constants!$B$8)))</f>
        <v/>
      </c>
      <c r="Q305" s="91" t="str">
        <f aca="false">IF(ISBLANK($C305),"",IF(ISNUMBER(G305),IF(G305&gt;=0,G305,""),""))</f>
        <v/>
      </c>
      <c r="R305" s="91" t="str">
        <f aca="false">IF(ISBLANK($C305),"",IF(H305=Constants!$B$2, TRUE(), IF(H305=Constants!$B$3, FALSE(), TRUE())))</f>
        <v/>
      </c>
      <c r="S305" s="91" t="str">
        <f aca="false">IF(ISBLANK($C305),"",IF(I305=Constants!$B$2, TRUE(), IF(I305=Constants!$B$3, FALSE(), TRUE())))</f>
        <v/>
      </c>
      <c r="T305" s="91" t="str">
        <f aca="false">IF(ISBLANK($C305),"",IF(ISNUMBER(J305),IF(J305&gt;=0,J305,""),""))</f>
        <v/>
      </c>
      <c r="U305" s="91" t="str">
        <f aca="false">IF(ISBLANK($C305),"",IF(K305=Constants!$B$2, TRUE(), IF(K305=Constants!$B$3, FALSE(), TRUE())))</f>
        <v/>
      </c>
      <c r="V305" s="91" t="str">
        <f aca="false">IF(ISBLANK($C305),"",IF(L305=Constants!$B$2, TRUE(), IF(L305=Constants!$B$3, FALSE(), TRUE())))</f>
        <v/>
      </c>
      <c r="W305" s="91" t="str">
        <f aca="false">IF(ISBLANK($C305),"",IF(M305=Constants!$B$2, TRUE(), IF(M305=Constants!$B$3, FALSE(), FALSE())))</f>
        <v/>
      </c>
      <c r="X305" s="91" t="str">
        <f aca="false">IF(ISBLANK($C305),"",AND(Q305&lt;&gt;"",O305))</f>
        <v/>
      </c>
      <c r="Y305" s="91" t="str">
        <f aca="false">IF(ISBLANK($C305),"",AND(T305&lt;&gt;"",O305))</f>
        <v/>
      </c>
      <c r="Z305" s="91" t="str">
        <f aca="false">IF(ISBLANK($C305),"",IF(W305,Constants!$B$4,IF(COUNTA(E305:L305)=0,Constants!$B$5,IF(NOT(O305),Constants!$B$6,IF(AND(NOT(X305),NOT(Y305)),Constants!$B$6,Constants!$B$7)))))</f>
        <v/>
      </c>
      <c r="AA305" s="91" t="str">
        <f aca="false">IF(ISBLANK($C305),"",IF($Z305&lt;&gt;Constants!$B$7,$Z305,Constants!$B$20))</f>
        <v/>
      </c>
      <c r="AB305" s="91" t="str">
        <f aca="false">IF($Z305=Constants!$B$7,IF(X305,Q305,Constants!$B$13),"")</f>
        <v/>
      </c>
      <c r="AC305" s="91" t="str">
        <f aca="false">IF($Z305=Constants!$B$7,IF(X305,P305*IF(R305, 1, Constants!$B$11)*IF(S305, 1, Constants!$B$12),Constants!$B$13),"")</f>
        <v/>
      </c>
      <c r="AD305" s="91" t="str">
        <f aca="false">IF($Z305=Constants!$B$7,AB305*AC305,"")</f>
        <v/>
      </c>
      <c r="AE305" s="91" t="str">
        <f aca="false">IF($Z305=Constants!$B$7,IF(Y305,T305,Constants!$B$13),"")</f>
        <v/>
      </c>
      <c r="AF305" s="91" t="str">
        <f aca="false">IF($Z305=Constants!$B$7,IF(Y305,P305*IF(U305, 1, Constants!$B$11)*IF(V305, 1, Constants!$B$12),Constants!$B$13),"")</f>
        <v/>
      </c>
      <c r="AG305" s="91" t="str">
        <f aca="false">IF($Z305=Constants!$B$7,AE305*AF305,"")</f>
        <v/>
      </c>
      <c r="AH305" s="91" t="str">
        <f aca="false">IF($Z305=Constants!$B$7,IF(AG305&gt;AD305,2,1),"")</f>
        <v/>
      </c>
      <c r="AI305" s="91" t="str">
        <f aca="false">IF($Z305=Constants!$B$7,IF(AH305=1,2,1),"")</f>
        <v/>
      </c>
      <c r="AJ305" s="91" t="str">
        <f aca="false">IF(ISBLANK($C305),"",IF($Z305&lt;&gt;Constants!$B$7,$Z305,IF(AH305=1,AD305,AG305)))</f>
        <v/>
      </c>
      <c r="AK305" s="91" t="str">
        <f aca="false">IF(ISBLANK($C305),"",IF($Z305=Constants!$B$7,IF(ISNUMBER(AJ305),RANK(AJ305,$AJ$8:$AJ$507),Constants!$B$14),$Z305))</f>
        <v/>
      </c>
      <c r="AL305" s="91" t="str">
        <f aca="false">IF(ISBLANK($C305),"",IF($Z305=Constants!$B$7,IF(AI305=1,AD305,AG305),""))</f>
        <v/>
      </c>
      <c r="AM305" s="91" t="str">
        <f aca="false">IF(ISBLANK($C305),"",IF($Z305=Constants!$B$7,RANK(AL305,$AL$8:$AL$507),$Z305))</f>
        <v/>
      </c>
      <c r="AN305" s="91" t="str">
        <f aca="false">IF(ISBLANK($C305),"",IF($Z305=Constants!$B$7,IF(ISNUMBER(AK305),COUNTIFS($AK$8:$AK$507,"&lt;"&amp;$AK305)+COUNTIFS($AK$8:$AK$507,$AK305,$AM$8:$AM$507,"&lt;"&amp;$AM305)+1,Constants!$B$14),$Z305))</f>
        <v/>
      </c>
      <c r="AO305" s="91" t="str">
        <f aca="false">IF(ISBLANK($C305),"",IF($Z305=Constants!$B$7,IF(ISNUMBER(AK305),AK305-AN305,Constants!$B$14),$Z305))</f>
        <v/>
      </c>
      <c r="AP305" s="92"/>
      <c r="AQ305" s="93" t="str">
        <f aca="false">IF(ISBLANK($C305),"",IF($Z305&lt;&gt;Constants!$B$7,"",AH305))</f>
        <v/>
      </c>
      <c r="AR305" s="94" t="str">
        <f aca="false">IF(ISBLANK($C305),"",IF($Z305&lt;&gt;Constants!$B$7,"",IF(AH305=1,AB305,AE305)))</f>
        <v/>
      </c>
      <c r="AS305" s="95" t="str">
        <f aca="false">IF(ISBLANK($C305),"",IF($Z305&lt;&gt;Constants!$B$7,"",IF(AH305=1,AC305,AF305)))</f>
        <v/>
      </c>
      <c r="AT305" s="96" t="str">
        <f aca="false">IF(ISBLANK($C305),"",IF($Z305&lt;&gt;Constants!$B$7,$Z305,AJ305))</f>
        <v/>
      </c>
      <c r="AU305" s="97" t="str">
        <f aca="false">IF(ISBLANK($C305),"",IF($Z305&lt;&gt;Constants!$B$7,$Z305,AA305))</f>
        <v/>
      </c>
      <c r="AV305" s="98" t="str">
        <f aca="false">IF(ISBLANK($C305),"",AO305)</f>
        <v/>
      </c>
      <c r="AW305" s="98" t="str">
        <f aca="false">IF(ISBLANK($C305),"",AN305)</f>
        <v/>
      </c>
      <c r="AX305" s="99" t="str">
        <f aca="false">IF(ISBLANK($C305),"",IFERROR(_xlfn.SWITCH(AW305,Constants!$B$4,COUNTA($C$8:$C$507)+2,Constants!$B$5,COUNTA($C$8:$C$507)+1,Constants!$B$6,COUNTA($C$8:$C$507)),AW305))</f>
        <v/>
      </c>
      <c r="AY305" s="5"/>
      <c r="AZ305" s="100" t="n">
        <f aca="false">IF(OR(ISNUMBER(AW305),AW305=Constants!$B$4,AW305=Constants!$B$6,AW305=Constants!$B$5),1,0)</f>
        <v>0</v>
      </c>
      <c r="BA305" s="100" t="n">
        <v>298</v>
      </c>
      <c r="BB305" s="100" t="str">
        <f aca="false">IF(ISBLANK($C305),"",IF(ISNUMBER(AX305),AX305+ROW($B305)/1000,""))</f>
        <v/>
      </c>
      <c r="BC305" s="100" t="str">
        <f aca="false">IF(ISNUMBER(BB305),RANK(BB305,$BB$8:$BB$507,1),"")</f>
        <v/>
      </c>
      <c r="BD305" s="100" t="str">
        <f aca="false">IF(ISBLANK($C305),"",$B305)</f>
        <v/>
      </c>
      <c r="BE305" s="100" t="str">
        <f aca="false">IF(ISBLANK($C305),"",$C305)</f>
        <v/>
      </c>
      <c r="BF305" s="100" t="str">
        <f aca="false">IF(ISBLANK($C305),"",$D305)</f>
        <v/>
      </c>
      <c r="BG305" s="101" t="str">
        <f aca="false">AU305</f>
        <v/>
      </c>
      <c r="BH305" s="102" t="str">
        <f aca="false">AT305</f>
        <v/>
      </c>
      <c r="BI305" s="100" t="str">
        <f aca="false">IF(ISBLANK($C305),"",AW305)</f>
        <v/>
      </c>
      <c r="BJ305" s="103" t="str">
        <f aca="false">IF($BA305&gt;$AZ$7,"",VLOOKUP($BA305,$BC$8:$BI$507,7,FALSE()))</f>
        <v/>
      </c>
      <c r="BK305" s="104" t="str">
        <f aca="false">IF($BA305&gt;$AZ$7,"",VLOOKUP($BA305,$BC$8:$BI$507,2,FALSE()))</f>
        <v/>
      </c>
      <c r="BL305" s="104" t="str">
        <f aca="false">IF($BA305&gt;$AZ$7,"",VLOOKUP($BA305,$BC$8:$BI$507,3,FALSE()))</f>
        <v/>
      </c>
      <c r="BM305" s="104" t="str">
        <f aca="false">IF($BA305&gt;$AZ$7,"",VLOOKUP($BA305,$BC$8:$BI$507,4,FALSE()))</f>
        <v/>
      </c>
      <c r="BN305" s="104" t="str">
        <f aca="false">IF($BA305&gt;$AZ$7,"",VLOOKUP($BA305,$BC$8:$BI$507,5,FALSE()))</f>
        <v/>
      </c>
      <c r="BO305" s="105" t="str">
        <f aca="false">IF($BA305&gt;$AZ$7,"",VLOOKUP($BA305,$BC$8:$BI$507,6,FALSE()))</f>
        <v/>
      </c>
      <c r="BP305" s="52"/>
    </row>
    <row r="306" customFormat="false" ht="15.75" hidden="false" customHeight="false" outlineLevel="0" collapsed="false">
      <c r="A306" s="5"/>
      <c r="B306" s="114"/>
      <c r="C306" s="115"/>
      <c r="D306" s="106"/>
      <c r="E306" s="117"/>
      <c r="F306" s="87"/>
      <c r="G306" s="88"/>
      <c r="H306" s="88"/>
      <c r="I306" s="87"/>
      <c r="J306" s="88"/>
      <c r="K306" s="88"/>
      <c r="L306" s="87"/>
      <c r="M306" s="117"/>
      <c r="N306" s="90"/>
      <c r="O306" s="91" t="str">
        <f aca="false">IF(ISBLANK($C306),"",IF(E306=Constants!$B$2, TRUE(), IF(E306=Constants!$B$3, FALSE(), TRUE())))</f>
        <v/>
      </c>
      <c r="P306" s="91" t="str">
        <f aca="false">IF(ISBLANK($C306),"",IF(F306=Constants!$B$16,Constants!$B$9,IF(F306=Constants!$B$17,Constants!$B$10,Constants!$B$8)))</f>
        <v/>
      </c>
      <c r="Q306" s="91" t="str">
        <f aca="false">IF(ISBLANK($C306),"",IF(ISNUMBER(G306),IF(G306&gt;=0,G306,""),""))</f>
        <v/>
      </c>
      <c r="R306" s="91" t="str">
        <f aca="false">IF(ISBLANK($C306),"",IF(H306=Constants!$B$2, TRUE(), IF(H306=Constants!$B$3, FALSE(), TRUE())))</f>
        <v/>
      </c>
      <c r="S306" s="91" t="str">
        <f aca="false">IF(ISBLANK($C306),"",IF(I306=Constants!$B$2, TRUE(), IF(I306=Constants!$B$3, FALSE(), TRUE())))</f>
        <v/>
      </c>
      <c r="T306" s="91" t="str">
        <f aca="false">IF(ISBLANK($C306),"",IF(ISNUMBER(J306),IF(J306&gt;=0,J306,""),""))</f>
        <v/>
      </c>
      <c r="U306" s="91" t="str">
        <f aca="false">IF(ISBLANK($C306),"",IF(K306=Constants!$B$2, TRUE(), IF(K306=Constants!$B$3, FALSE(), TRUE())))</f>
        <v/>
      </c>
      <c r="V306" s="91" t="str">
        <f aca="false">IF(ISBLANK($C306),"",IF(L306=Constants!$B$2, TRUE(), IF(L306=Constants!$B$3, FALSE(), TRUE())))</f>
        <v/>
      </c>
      <c r="W306" s="91" t="str">
        <f aca="false">IF(ISBLANK($C306),"",IF(M306=Constants!$B$2, TRUE(), IF(M306=Constants!$B$3, FALSE(), FALSE())))</f>
        <v/>
      </c>
      <c r="X306" s="91" t="str">
        <f aca="false">IF(ISBLANK($C306),"",AND(Q306&lt;&gt;"",O306))</f>
        <v/>
      </c>
      <c r="Y306" s="91" t="str">
        <f aca="false">IF(ISBLANK($C306),"",AND(T306&lt;&gt;"",O306))</f>
        <v/>
      </c>
      <c r="Z306" s="91" t="str">
        <f aca="false">IF(ISBLANK($C306),"",IF(W306,Constants!$B$4,IF(COUNTA(E306:L306)=0,Constants!$B$5,IF(NOT(O306),Constants!$B$6,IF(AND(NOT(X306),NOT(Y306)),Constants!$B$6,Constants!$B$7)))))</f>
        <v/>
      </c>
      <c r="AA306" s="91" t="str">
        <f aca="false">IF(ISBLANK($C306),"",IF($Z306&lt;&gt;Constants!$B$7,$Z306,Constants!$B$20))</f>
        <v/>
      </c>
      <c r="AB306" s="91" t="str">
        <f aca="false">IF($Z306=Constants!$B$7,IF(X306,Q306,Constants!$B$13),"")</f>
        <v/>
      </c>
      <c r="AC306" s="91" t="str">
        <f aca="false">IF($Z306=Constants!$B$7,IF(X306,P306*IF(R306, 1, Constants!$B$11)*IF(S306, 1, Constants!$B$12),Constants!$B$13),"")</f>
        <v/>
      </c>
      <c r="AD306" s="91" t="str">
        <f aca="false">IF($Z306=Constants!$B$7,AB306*AC306,"")</f>
        <v/>
      </c>
      <c r="AE306" s="91" t="str">
        <f aca="false">IF($Z306=Constants!$B$7,IF(Y306,T306,Constants!$B$13),"")</f>
        <v/>
      </c>
      <c r="AF306" s="91" t="str">
        <f aca="false">IF($Z306=Constants!$B$7,IF(Y306,P306*IF(U306, 1, Constants!$B$11)*IF(V306, 1, Constants!$B$12),Constants!$B$13),"")</f>
        <v/>
      </c>
      <c r="AG306" s="91" t="str">
        <f aca="false">IF($Z306=Constants!$B$7,AE306*AF306,"")</f>
        <v/>
      </c>
      <c r="AH306" s="91" t="str">
        <f aca="false">IF($Z306=Constants!$B$7,IF(AG306&gt;AD306,2,1),"")</f>
        <v/>
      </c>
      <c r="AI306" s="91" t="str">
        <f aca="false">IF($Z306=Constants!$B$7,IF(AH306=1,2,1),"")</f>
        <v/>
      </c>
      <c r="AJ306" s="91" t="str">
        <f aca="false">IF(ISBLANK($C306),"",IF($Z306&lt;&gt;Constants!$B$7,$Z306,IF(AH306=1,AD306,AG306)))</f>
        <v/>
      </c>
      <c r="AK306" s="91" t="str">
        <f aca="false">IF(ISBLANK($C306),"",IF($Z306=Constants!$B$7,IF(ISNUMBER(AJ306),RANK(AJ306,$AJ$8:$AJ$507),Constants!$B$14),$Z306))</f>
        <v/>
      </c>
      <c r="AL306" s="91" t="str">
        <f aca="false">IF(ISBLANK($C306),"",IF($Z306=Constants!$B$7,IF(AI306=1,AD306,AG306),""))</f>
        <v/>
      </c>
      <c r="AM306" s="91" t="str">
        <f aca="false">IF(ISBLANK($C306),"",IF($Z306=Constants!$B$7,RANK(AL306,$AL$8:$AL$507),$Z306))</f>
        <v/>
      </c>
      <c r="AN306" s="91" t="str">
        <f aca="false">IF(ISBLANK($C306),"",IF($Z306=Constants!$B$7,IF(ISNUMBER(AK306),COUNTIFS($AK$8:$AK$507,"&lt;"&amp;$AK306)+COUNTIFS($AK$8:$AK$507,$AK306,$AM$8:$AM$507,"&lt;"&amp;$AM306)+1,Constants!$B$14),$Z306))</f>
        <v/>
      </c>
      <c r="AO306" s="91" t="str">
        <f aca="false">IF(ISBLANK($C306),"",IF($Z306=Constants!$B$7,IF(ISNUMBER(AK306),AK306-AN306,Constants!$B$14),$Z306))</f>
        <v/>
      </c>
      <c r="AP306" s="92"/>
      <c r="AQ306" s="93" t="str">
        <f aca="false">IF(ISBLANK($C306),"",IF($Z306&lt;&gt;Constants!$B$7,"",AH306))</f>
        <v/>
      </c>
      <c r="AR306" s="94" t="str">
        <f aca="false">IF(ISBLANK($C306),"",IF($Z306&lt;&gt;Constants!$B$7,"",IF(AH306=1,AB306,AE306)))</f>
        <v/>
      </c>
      <c r="AS306" s="95" t="str">
        <f aca="false">IF(ISBLANK($C306),"",IF($Z306&lt;&gt;Constants!$B$7,"",IF(AH306=1,AC306,AF306)))</f>
        <v/>
      </c>
      <c r="AT306" s="96" t="str">
        <f aca="false">IF(ISBLANK($C306),"",IF($Z306&lt;&gt;Constants!$B$7,$Z306,AJ306))</f>
        <v/>
      </c>
      <c r="AU306" s="97" t="str">
        <f aca="false">IF(ISBLANK($C306),"",IF($Z306&lt;&gt;Constants!$B$7,$Z306,AA306))</f>
        <v/>
      </c>
      <c r="AV306" s="98" t="str">
        <f aca="false">IF(ISBLANK($C306),"",AO306)</f>
        <v/>
      </c>
      <c r="AW306" s="98" t="str">
        <f aca="false">IF(ISBLANK($C306),"",AN306)</f>
        <v/>
      </c>
      <c r="AX306" s="99" t="str">
        <f aca="false">IF(ISBLANK($C306),"",IFERROR(_xlfn.SWITCH(AW306,Constants!$B$4,COUNTA($C$8:$C$507)+2,Constants!$B$5,COUNTA($C$8:$C$507)+1,Constants!$B$6,COUNTA($C$8:$C$507)),AW306))</f>
        <v/>
      </c>
      <c r="AY306" s="5"/>
      <c r="AZ306" s="100" t="n">
        <f aca="false">IF(OR(ISNUMBER(AW306),AW306=Constants!$B$4,AW306=Constants!$B$6,AW306=Constants!$B$5),1,0)</f>
        <v>0</v>
      </c>
      <c r="BA306" s="100" t="n">
        <v>299</v>
      </c>
      <c r="BB306" s="100" t="str">
        <f aca="false">IF(ISBLANK($C306),"",IF(ISNUMBER(AX306),AX306+ROW($B306)/1000,""))</f>
        <v/>
      </c>
      <c r="BC306" s="100" t="str">
        <f aca="false">IF(ISNUMBER(BB306),RANK(BB306,$BB$8:$BB$507,1),"")</f>
        <v/>
      </c>
      <c r="BD306" s="100" t="str">
        <f aca="false">IF(ISBLANK($C306),"",$B306)</f>
        <v/>
      </c>
      <c r="BE306" s="100" t="str">
        <f aca="false">IF(ISBLANK($C306),"",$C306)</f>
        <v/>
      </c>
      <c r="BF306" s="100" t="str">
        <f aca="false">IF(ISBLANK($C306),"",$D306)</f>
        <v/>
      </c>
      <c r="BG306" s="101" t="str">
        <f aca="false">AU306</f>
        <v/>
      </c>
      <c r="BH306" s="102" t="str">
        <f aca="false">AT306</f>
        <v/>
      </c>
      <c r="BI306" s="100" t="str">
        <f aca="false">IF(ISBLANK($C306),"",AW306)</f>
        <v/>
      </c>
      <c r="BJ306" s="103" t="str">
        <f aca="false">IF($BA306&gt;$AZ$7,"",VLOOKUP($BA306,$BC$8:$BI$507,7,FALSE()))</f>
        <v/>
      </c>
      <c r="BK306" s="104" t="str">
        <f aca="false">IF($BA306&gt;$AZ$7,"",VLOOKUP($BA306,$BC$8:$BI$507,2,FALSE()))</f>
        <v/>
      </c>
      <c r="BL306" s="104" t="str">
        <f aca="false">IF($BA306&gt;$AZ$7,"",VLOOKUP($BA306,$BC$8:$BI$507,3,FALSE()))</f>
        <v/>
      </c>
      <c r="BM306" s="104" t="str">
        <f aca="false">IF($BA306&gt;$AZ$7,"",VLOOKUP($BA306,$BC$8:$BI$507,4,FALSE()))</f>
        <v/>
      </c>
      <c r="BN306" s="104" t="str">
        <f aca="false">IF($BA306&gt;$AZ$7,"",VLOOKUP($BA306,$BC$8:$BI$507,5,FALSE()))</f>
        <v/>
      </c>
      <c r="BO306" s="105" t="str">
        <f aca="false">IF($BA306&gt;$AZ$7,"",VLOOKUP($BA306,$BC$8:$BI$507,6,FALSE()))</f>
        <v/>
      </c>
      <c r="BP306" s="52"/>
    </row>
    <row r="307" customFormat="false" ht="15.75" hidden="false" customHeight="false" outlineLevel="0" collapsed="false">
      <c r="A307" s="5"/>
      <c r="B307" s="114"/>
      <c r="C307" s="115"/>
      <c r="D307" s="106"/>
      <c r="E307" s="117"/>
      <c r="F307" s="87"/>
      <c r="G307" s="88"/>
      <c r="H307" s="88"/>
      <c r="I307" s="87"/>
      <c r="J307" s="88"/>
      <c r="K307" s="88"/>
      <c r="L307" s="87"/>
      <c r="M307" s="117"/>
      <c r="N307" s="90"/>
      <c r="O307" s="91" t="str">
        <f aca="false">IF(ISBLANK($C307),"",IF(E307=Constants!$B$2, TRUE(), IF(E307=Constants!$B$3, FALSE(), TRUE())))</f>
        <v/>
      </c>
      <c r="P307" s="91" t="str">
        <f aca="false">IF(ISBLANK($C307),"",IF(F307=Constants!$B$16,Constants!$B$9,IF(F307=Constants!$B$17,Constants!$B$10,Constants!$B$8)))</f>
        <v/>
      </c>
      <c r="Q307" s="91" t="str">
        <f aca="false">IF(ISBLANK($C307),"",IF(ISNUMBER(G307),IF(G307&gt;=0,G307,""),""))</f>
        <v/>
      </c>
      <c r="R307" s="91" t="str">
        <f aca="false">IF(ISBLANK($C307),"",IF(H307=Constants!$B$2, TRUE(), IF(H307=Constants!$B$3, FALSE(), TRUE())))</f>
        <v/>
      </c>
      <c r="S307" s="91" t="str">
        <f aca="false">IF(ISBLANK($C307),"",IF(I307=Constants!$B$2, TRUE(), IF(I307=Constants!$B$3, FALSE(), TRUE())))</f>
        <v/>
      </c>
      <c r="T307" s="91" t="str">
        <f aca="false">IF(ISBLANK($C307),"",IF(ISNUMBER(J307),IF(J307&gt;=0,J307,""),""))</f>
        <v/>
      </c>
      <c r="U307" s="91" t="str">
        <f aca="false">IF(ISBLANK($C307),"",IF(K307=Constants!$B$2, TRUE(), IF(K307=Constants!$B$3, FALSE(), TRUE())))</f>
        <v/>
      </c>
      <c r="V307" s="91" t="str">
        <f aca="false">IF(ISBLANK($C307),"",IF(L307=Constants!$B$2, TRUE(), IF(L307=Constants!$B$3, FALSE(), TRUE())))</f>
        <v/>
      </c>
      <c r="W307" s="91" t="str">
        <f aca="false">IF(ISBLANK($C307),"",IF(M307=Constants!$B$2, TRUE(), IF(M307=Constants!$B$3, FALSE(), FALSE())))</f>
        <v/>
      </c>
      <c r="X307" s="91" t="str">
        <f aca="false">IF(ISBLANK($C307),"",AND(Q307&lt;&gt;"",O307))</f>
        <v/>
      </c>
      <c r="Y307" s="91" t="str">
        <f aca="false">IF(ISBLANK($C307),"",AND(T307&lt;&gt;"",O307))</f>
        <v/>
      </c>
      <c r="Z307" s="91" t="str">
        <f aca="false">IF(ISBLANK($C307),"",IF(W307,Constants!$B$4,IF(COUNTA(E307:L307)=0,Constants!$B$5,IF(NOT(O307),Constants!$B$6,IF(AND(NOT(X307),NOT(Y307)),Constants!$B$6,Constants!$B$7)))))</f>
        <v/>
      </c>
      <c r="AA307" s="91" t="str">
        <f aca="false">IF(ISBLANK($C307),"",IF($Z307&lt;&gt;Constants!$B$7,$Z307,Constants!$B$20))</f>
        <v/>
      </c>
      <c r="AB307" s="91" t="str">
        <f aca="false">IF($Z307=Constants!$B$7,IF(X307,Q307,Constants!$B$13),"")</f>
        <v/>
      </c>
      <c r="AC307" s="91" t="str">
        <f aca="false">IF($Z307=Constants!$B$7,IF(X307,P307*IF(R307, 1, Constants!$B$11)*IF(S307, 1, Constants!$B$12),Constants!$B$13),"")</f>
        <v/>
      </c>
      <c r="AD307" s="91" t="str">
        <f aca="false">IF($Z307=Constants!$B$7,AB307*AC307,"")</f>
        <v/>
      </c>
      <c r="AE307" s="91" t="str">
        <f aca="false">IF($Z307=Constants!$B$7,IF(Y307,T307,Constants!$B$13),"")</f>
        <v/>
      </c>
      <c r="AF307" s="91" t="str">
        <f aca="false">IF($Z307=Constants!$B$7,IF(Y307,P307*IF(U307, 1, Constants!$B$11)*IF(V307, 1, Constants!$B$12),Constants!$B$13),"")</f>
        <v/>
      </c>
      <c r="AG307" s="91" t="str">
        <f aca="false">IF($Z307=Constants!$B$7,AE307*AF307,"")</f>
        <v/>
      </c>
      <c r="AH307" s="91" t="str">
        <f aca="false">IF($Z307=Constants!$B$7,IF(AG307&gt;AD307,2,1),"")</f>
        <v/>
      </c>
      <c r="AI307" s="91" t="str">
        <f aca="false">IF($Z307=Constants!$B$7,IF(AH307=1,2,1),"")</f>
        <v/>
      </c>
      <c r="AJ307" s="91" t="str">
        <f aca="false">IF(ISBLANK($C307),"",IF($Z307&lt;&gt;Constants!$B$7,$Z307,IF(AH307=1,AD307,AG307)))</f>
        <v/>
      </c>
      <c r="AK307" s="91" t="str">
        <f aca="false">IF(ISBLANK($C307),"",IF($Z307=Constants!$B$7,IF(ISNUMBER(AJ307),RANK(AJ307,$AJ$8:$AJ$507),Constants!$B$14),$Z307))</f>
        <v/>
      </c>
      <c r="AL307" s="91" t="str">
        <f aca="false">IF(ISBLANK($C307),"",IF($Z307=Constants!$B$7,IF(AI307=1,AD307,AG307),""))</f>
        <v/>
      </c>
      <c r="AM307" s="91" t="str">
        <f aca="false">IF(ISBLANK($C307),"",IF($Z307=Constants!$B$7,RANK(AL307,$AL$8:$AL$507),$Z307))</f>
        <v/>
      </c>
      <c r="AN307" s="91" t="str">
        <f aca="false">IF(ISBLANK($C307),"",IF($Z307=Constants!$B$7,IF(ISNUMBER(AK307),COUNTIFS($AK$8:$AK$507,"&lt;"&amp;$AK307)+COUNTIFS($AK$8:$AK$507,$AK307,$AM$8:$AM$507,"&lt;"&amp;$AM307)+1,Constants!$B$14),$Z307))</f>
        <v/>
      </c>
      <c r="AO307" s="91" t="str">
        <f aca="false">IF(ISBLANK($C307),"",IF($Z307=Constants!$B$7,IF(ISNUMBER(AK307),AK307-AN307,Constants!$B$14),$Z307))</f>
        <v/>
      </c>
      <c r="AP307" s="92"/>
      <c r="AQ307" s="93" t="str">
        <f aca="false">IF(ISBLANK($C307),"",IF($Z307&lt;&gt;Constants!$B$7,"",AH307))</f>
        <v/>
      </c>
      <c r="AR307" s="94" t="str">
        <f aca="false">IF(ISBLANK($C307),"",IF($Z307&lt;&gt;Constants!$B$7,"",IF(AH307=1,AB307,AE307)))</f>
        <v/>
      </c>
      <c r="AS307" s="95" t="str">
        <f aca="false">IF(ISBLANK($C307),"",IF($Z307&lt;&gt;Constants!$B$7,"",IF(AH307=1,AC307,AF307)))</f>
        <v/>
      </c>
      <c r="AT307" s="96" t="str">
        <f aca="false">IF(ISBLANK($C307),"",IF($Z307&lt;&gt;Constants!$B$7,$Z307,AJ307))</f>
        <v/>
      </c>
      <c r="AU307" s="97" t="str">
        <f aca="false">IF(ISBLANK($C307),"",IF($Z307&lt;&gt;Constants!$B$7,$Z307,AA307))</f>
        <v/>
      </c>
      <c r="AV307" s="98" t="str">
        <f aca="false">IF(ISBLANK($C307),"",AO307)</f>
        <v/>
      </c>
      <c r="AW307" s="98" t="str">
        <f aca="false">IF(ISBLANK($C307),"",AN307)</f>
        <v/>
      </c>
      <c r="AX307" s="99" t="str">
        <f aca="false">IF(ISBLANK($C307),"",IFERROR(_xlfn.SWITCH(AW307,Constants!$B$4,COUNTA($C$8:$C$507)+2,Constants!$B$5,COUNTA($C$8:$C$507)+1,Constants!$B$6,COUNTA($C$8:$C$507)),AW307))</f>
        <v/>
      </c>
      <c r="AY307" s="5"/>
      <c r="AZ307" s="100" t="n">
        <f aca="false">IF(OR(ISNUMBER(AW307),AW307=Constants!$B$4,AW307=Constants!$B$6,AW307=Constants!$B$5),1,0)</f>
        <v>0</v>
      </c>
      <c r="BA307" s="100" t="n">
        <v>300</v>
      </c>
      <c r="BB307" s="100" t="str">
        <f aca="false">IF(ISBLANK($C307),"",IF(ISNUMBER(AX307),AX307+ROW($B307)/1000,""))</f>
        <v/>
      </c>
      <c r="BC307" s="100" t="str">
        <f aca="false">IF(ISNUMBER(BB307),RANK(BB307,$BB$8:$BB$507,1),"")</f>
        <v/>
      </c>
      <c r="BD307" s="100" t="str">
        <f aca="false">IF(ISBLANK($C307),"",$B307)</f>
        <v/>
      </c>
      <c r="BE307" s="100" t="str">
        <f aca="false">IF(ISBLANK($C307),"",$C307)</f>
        <v/>
      </c>
      <c r="BF307" s="100" t="str">
        <f aca="false">IF(ISBLANK($C307),"",$D307)</f>
        <v/>
      </c>
      <c r="BG307" s="101" t="str">
        <f aca="false">AU307</f>
        <v/>
      </c>
      <c r="BH307" s="102" t="str">
        <f aca="false">AT307</f>
        <v/>
      </c>
      <c r="BI307" s="100" t="str">
        <f aca="false">IF(ISBLANK($C307),"",AW307)</f>
        <v/>
      </c>
      <c r="BJ307" s="103" t="str">
        <f aca="false">IF($BA307&gt;$AZ$7,"",VLOOKUP($BA307,$BC$8:$BI$507,7,FALSE()))</f>
        <v/>
      </c>
      <c r="BK307" s="104" t="str">
        <f aca="false">IF($BA307&gt;$AZ$7,"",VLOOKUP($BA307,$BC$8:$BI$507,2,FALSE()))</f>
        <v/>
      </c>
      <c r="BL307" s="104" t="str">
        <f aca="false">IF($BA307&gt;$AZ$7,"",VLOOKUP($BA307,$BC$8:$BI$507,3,FALSE()))</f>
        <v/>
      </c>
      <c r="BM307" s="104" t="str">
        <f aca="false">IF($BA307&gt;$AZ$7,"",VLOOKUP($BA307,$BC$8:$BI$507,4,FALSE()))</f>
        <v/>
      </c>
      <c r="BN307" s="104" t="str">
        <f aca="false">IF($BA307&gt;$AZ$7,"",VLOOKUP($BA307,$BC$8:$BI$507,5,FALSE()))</f>
        <v/>
      </c>
      <c r="BO307" s="105" t="str">
        <f aca="false">IF($BA307&gt;$AZ$7,"",VLOOKUP($BA307,$BC$8:$BI$507,6,FALSE()))</f>
        <v/>
      </c>
      <c r="BP307" s="52"/>
    </row>
    <row r="308" customFormat="false" ht="15.75" hidden="false" customHeight="false" outlineLevel="0" collapsed="false">
      <c r="A308" s="5"/>
      <c r="B308" s="118"/>
      <c r="C308" s="54"/>
      <c r="D308" s="55"/>
      <c r="E308" s="79"/>
      <c r="F308" s="57"/>
      <c r="G308" s="58"/>
      <c r="H308" s="58"/>
      <c r="I308" s="57"/>
      <c r="J308" s="58"/>
      <c r="K308" s="58"/>
      <c r="L308" s="57"/>
      <c r="M308" s="79"/>
      <c r="N308" s="60"/>
      <c r="O308" s="62" t="str">
        <f aca="false">IF(ISBLANK($C308),"",IF(E308=Constants!$B$2, TRUE(), IF(E308=Constants!$B$3, FALSE(), TRUE())))</f>
        <v/>
      </c>
      <c r="P308" s="62" t="str">
        <f aca="false">IF(ISBLANK($C308),"",IF(F308=Constants!$B$16,Constants!$B$9,IF(F308=Constants!$B$17,Constants!$B$10,Constants!$B$8)))</f>
        <v/>
      </c>
      <c r="Q308" s="62" t="str">
        <f aca="false">IF(ISBLANK($C308),"",IF(ISNUMBER(G308),IF(G308&gt;=0,G308,""),""))</f>
        <v/>
      </c>
      <c r="R308" s="62" t="str">
        <f aca="false">IF(ISBLANK($C308),"",IF(H308=Constants!$B$2, TRUE(), IF(H308=Constants!$B$3, FALSE(), TRUE())))</f>
        <v/>
      </c>
      <c r="S308" s="62" t="str">
        <f aca="false">IF(ISBLANK($C308),"",IF(I308=Constants!$B$2, TRUE(), IF(I308=Constants!$B$3, FALSE(), TRUE())))</f>
        <v/>
      </c>
      <c r="T308" s="62" t="str">
        <f aca="false">IF(ISBLANK($C308),"",IF(ISNUMBER(J308),IF(J308&gt;=0,J308,""),""))</f>
        <v/>
      </c>
      <c r="U308" s="62" t="str">
        <f aca="false">IF(ISBLANK($C308),"",IF(K308=Constants!$B$2, TRUE(), IF(K308=Constants!$B$3, FALSE(), TRUE())))</f>
        <v/>
      </c>
      <c r="V308" s="62" t="str">
        <f aca="false">IF(ISBLANK($C308),"",IF(L308=Constants!$B$2, TRUE(), IF(L308=Constants!$B$3, FALSE(), TRUE())))</f>
        <v/>
      </c>
      <c r="W308" s="62" t="str">
        <f aca="false">IF(ISBLANK($C308),"",IF(M308=Constants!$B$2, TRUE(), IF(M308=Constants!$B$3, FALSE(), FALSE())))</f>
        <v/>
      </c>
      <c r="X308" s="62" t="str">
        <f aca="false">IF(ISBLANK($C308),"",AND(Q308&lt;&gt;"",O308))</f>
        <v/>
      </c>
      <c r="Y308" s="62" t="str">
        <f aca="false">IF(ISBLANK($C308),"",AND(T308&lt;&gt;"",O308))</f>
        <v/>
      </c>
      <c r="Z308" s="62" t="str">
        <f aca="false">IF(ISBLANK($C308),"",IF(W308,Constants!$B$4,IF(COUNTA(E308:L308)=0,Constants!$B$5,IF(NOT(O308),Constants!$B$6,IF(AND(NOT(X308),NOT(Y308)),Constants!$B$6,Constants!$B$7)))))</f>
        <v/>
      </c>
      <c r="AA308" s="62" t="str">
        <f aca="false">IF(ISBLANK($C308),"",IF($Z308&lt;&gt;Constants!$B$7,$Z308,Constants!$B$20))</f>
        <v/>
      </c>
      <c r="AB308" s="62" t="str">
        <f aca="false">IF($Z308=Constants!$B$7,IF(X308,Q308,Constants!$B$13),"")</f>
        <v/>
      </c>
      <c r="AC308" s="62" t="str">
        <f aca="false">IF($Z308=Constants!$B$7,IF(X308,P308*IF(R308, 1, Constants!$B$11)*IF(S308, 1, Constants!$B$12),Constants!$B$13),"")</f>
        <v/>
      </c>
      <c r="AD308" s="62" t="str">
        <f aca="false">IF($Z308=Constants!$B$7,AB308*AC308,"")</f>
        <v/>
      </c>
      <c r="AE308" s="62" t="str">
        <f aca="false">IF($Z308=Constants!$B$7,IF(Y308,T308,Constants!$B$13),"")</f>
        <v/>
      </c>
      <c r="AF308" s="62" t="str">
        <f aca="false">IF($Z308=Constants!$B$7,IF(Y308,P308*IF(U308, 1, Constants!$B$11)*IF(V308, 1, Constants!$B$12),Constants!$B$13),"")</f>
        <v/>
      </c>
      <c r="AG308" s="62" t="str">
        <f aca="false">IF($Z308=Constants!$B$7,AE308*AF308,"")</f>
        <v/>
      </c>
      <c r="AH308" s="62" t="str">
        <f aca="false">IF($Z308=Constants!$B$7,IF(AG308&gt;AD308,2,1),"")</f>
        <v/>
      </c>
      <c r="AI308" s="62" t="str">
        <f aca="false">IF($Z308=Constants!$B$7,IF(AH308=1,2,1),"")</f>
        <v/>
      </c>
      <c r="AJ308" s="62" t="str">
        <f aca="false">IF(ISBLANK($C308),"",IF($Z308&lt;&gt;Constants!$B$7,$Z308,IF(AH308=1,AD308,AG308)))</f>
        <v/>
      </c>
      <c r="AK308" s="62" t="str">
        <f aca="false">IF(ISBLANK($C308),"",IF($Z308=Constants!$B$7,IF(ISNUMBER(AJ308),RANK(AJ308,$AJ$8:$AJ$507),Constants!$B$14),$Z308))</f>
        <v/>
      </c>
      <c r="AL308" s="62" t="str">
        <f aca="false">IF(ISBLANK($C308),"",IF($Z308=Constants!$B$7,IF(AI308=1,AD308,AG308),""))</f>
        <v/>
      </c>
      <c r="AM308" s="62" t="str">
        <f aca="false">IF(ISBLANK($C308),"",IF($Z308=Constants!$B$7,RANK(AL308,$AL$8:$AL$507),$Z308))</f>
        <v/>
      </c>
      <c r="AN308" s="62" t="str">
        <f aca="false">IF(ISBLANK($C308),"",IF($Z308=Constants!$B$7,IF(ISNUMBER(AK308),COUNTIFS($AK$8:$AK$507,"&lt;"&amp;$AK308)+COUNTIFS($AK$8:$AK$507,$AK308,$AM$8:$AM$507,"&lt;"&amp;$AM308)+1,Constants!$B$14),$Z308))</f>
        <v/>
      </c>
      <c r="AO308" s="62" t="str">
        <f aca="false">IF(ISBLANK($C308),"",IF($Z308=Constants!$B$7,IF(ISNUMBER(AK308),AK308-AN308,Constants!$B$14),$Z308))</f>
        <v/>
      </c>
      <c r="AP308" s="64"/>
      <c r="AQ308" s="65" t="str">
        <f aca="false">IF(ISBLANK($C308),"",IF($Z308&lt;&gt;Constants!$B$7,"",AH308))</f>
        <v/>
      </c>
      <c r="AR308" s="80" t="str">
        <f aca="false">IF(ISBLANK($C308),"",IF($Z308&lt;&gt;Constants!$B$7,"",IF(AH308=1,AB308,AE308)))</f>
        <v/>
      </c>
      <c r="AS308" s="67" t="str">
        <f aca="false">IF(ISBLANK($C308),"",IF($Z308&lt;&gt;Constants!$B$7,"",IF(AH308=1,AC308,AF308)))</f>
        <v/>
      </c>
      <c r="AT308" s="68" t="str">
        <f aca="false">IF(ISBLANK($C308),"",IF($Z308&lt;&gt;Constants!$B$7,$Z308,AJ308))</f>
        <v/>
      </c>
      <c r="AU308" s="69" t="str">
        <f aca="false">IF(ISBLANK($C308),"",IF($Z308&lt;&gt;Constants!$B$7,$Z308,AA308))</f>
        <v/>
      </c>
      <c r="AV308" s="70" t="str">
        <f aca="false">IF(ISBLANK($C308),"",AO308)</f>
        <v/>
      </c>
      <c r="AW308" s="70" t="str">
        <f aca="false">IF(ISBLANK($C308),"",AN308)</f>
        <v/>
      </c>
      <c r="AX308" s="71" t="str">
        <f aca="false">IF(ISBLANK($C308),"",IFERROR(_xlfn.SWITCH(AW308,Constants!$B$4,COUNTA($C$8:$C$507)+2,Constants!$B$5,COUNTA($C$8:$C$507)+1,Constants!$B$6,COUNTA($C$8:$C$507)),AW308))</f>
        <v/>
      </c>
      <c r="AY308" s="5"/>
      <c r="AZ308" s="72" t="n">
        <f aca="false">IF(OR(ISNUMBER(AW308),AW308=Constants!$B$4,AW308=Constants!$B$6,AW308=Constants!$B$5),1,0)</f>
        <v>0</v>
      </c>
      <c r="BA308" s="72" t="n">
        <v>301</v>
      </c>
      <c r="BB308" s="72" t="str">
        <f aca="false">IF(ISBLANK($C308),"",IF(ISNUMBER(AX308),AX308+ROW($B308)/1000,""))</f>
        <v/>
      </c>
      <c r="BC308" s="72" t="str">
        <f aca="false">IF(ISNUMBER(BB308),RANK(BB308,$BB$8:$BB$507,1),"")</f>
        <v/>
      </c>
      <c r="BD308" s="72" t="str">
        <f aca="false">IF(ISBLANK($C308),"",$B308)</f>
        <v/>
      </c>
      <c r="BE308" s="72" t="str">
        <f aca="false">IF(ISBLANK($C308),"",$C308)</f>
        <v/>
      </c>
      <c r="BF308" s="72" t="str">
        <f aca="false">IF(ISBLANK($C308),"",$D308)</f>
        <v/>
      </c>
      <c r="BG308" s="73" t="str">
        <f aca="false">AU308</f>
        <v/>
      </c>
      <c r="BH308" s="74" t="str">
        <f aca="false">AT308</f>
        <v/>
      </c>
      <c r="BI308" s="72" t="str">
        <f aca="false">IF(ISBLANK($C308),"",AW308)</f>
        <v/>
      </c>
      <c r="BJ308" s="75" t="str">
        <f aca="false">IF($BA308&gt;$AZ$7,"",VLOOKUP($BA308,$BC$8:$BI$507,7,FALSE()))</f>
        <v/>
      </c>
      <c r="BK308" s="76" t="str">
        <f aca="false">IF($BA308&gt;$AZ$7,"",VLOOKUP($BA308,$BC$8:$BI$507,2,FALSE()))</f>
        <v/>
      </c>
      <c r="BL308" s="76" t="str">
        <f aca="false">IF($BA308&gt;$AZ$7,"",VLOOKUP($BA308,$BC$8:$BI$507,3,FALSE()))</f>
        <v/>
      </c>
      <c r="BM308" s="76" t="str">
        <f aca="false">IF($BA308&gt;$AZ$7,"",VLOOKUP($BA308,$BC$8:$BI$507,4,FALSE()))</f>
        <v/>
      </c>
      <c r="BN308" s="76" t="str">
        <f aca="false">IF($BA308&gt;$AZ$7,"",VLOOKUP($BA308,$BC$8:$BI$507,5,FALSE()))</f>
        <v/>
      </c>
      <c r="BO308" s="77" t="str">
        <f aca="false">IF($BA308&gt;$AZ$7,"",VLOOKUP($BA308,$BC$8:$BI$507,6,FALSE()))</f>
        <v/>
      </c>
      <c r="BP308" s="52"/>
    </row>
    <row r="309" customFormat="false" ht="15.75" hidden="false" customHeight="false" outlineLevel="0" collapsed="false">
      <c r="A309" s="5"/>
      <c r="B309" s="118"/>
      <c r="C309" s="54"/>
      <c r="D309" s="55"/>
      <c r="E309" s="79"/>
      <c r="F309" s="57"/>
      <c r="G309" s="58"/>
      <c r="H309" s="58"/>
      <c r="I309" s="57"/>
      <c r="J309" s="58"/>
      <c r="K309" s="58"/>
      <c r="L309" s="57"/>
      <c r="M309" s="79"/>
      <c r="N309" s="60"/>
      <c r="O309" s="62" t="str">
        <f aca="false">IF(ISBLANK($C309),"",IF(E309=Constants!$B$2, TRUE(), IF(E309=Constants!$B$3, FALSE(), TRUE())))</f>
        <v/>
      </c>
      <c r="P309" s="62" t="str">
        <f aca="false">IF(ISBLANK($C309),"",IF(F309=Constants!$B$16,Constants!$B$9,IF(F309=Constants!$B$17,Constants!$B$10,Constants!$B$8)))</f>
        <v/>
      </c>
      <c r="Q309" s="62" t="str">
        <f aca="false">IF(ISBLANK($C309),"",IF(ISNUMBER(G309),IF(G309&gt;=0,G309,""),""))</f>
        <v/>
      </c>
      <c r="R309" s="62" t="str">
        <f aca="false">IF(ISBLANK($C309),"",IF(H309=Constants!$B$2, TRUE(), IF(H309=Constants!$B$3, FALSE(), TRUE())))</f>
        <v/>
      </c>
      <c r="S309" s="62" t="str">
        <f aca="false">IF(ISBLANK($C309),"",IF(I309=Constants!$B$2, TRUE(), IF(I309=Constants!$B$3, FALSE(), TRUE())))</f>
        <v/>
      </c>
      <c r="T309" s="62" t="str">
        <f aca="false">IF(ISBLANK($C309),"",IF(ISNUMBER(J309),IF(J309&gt;=0,J309,""),""))</f>
        <v/>
      </c>
      <c r="U309" s="62" t="str">
        <f aca="false">IF(ISBLANK($C309),"",IF(K309=Constants!$B$2, TRUE(), IF(K309=Constants!$B$3, FALSE(), TRUE())))</f>
        <v/>
      </c>
      <c r="V309" s="62" t="str">
        <f aca="false">IF(ISBLANK($C309),"",IF(L309=Constants!$B$2, TRUE(), IF(L309=Constants!$B$3, FALSE(), TRUE())))</f>
        <v/>
      </c>
      <c r="W309" s="62" t="str">
        <f aca="false">IF(ISBLANK($C309),"",IF(M309=Constants!$B$2, TRUE(), IF(M309=Constants!$B$3, FALSE(), FALSE())))</f>
        <v/>
      </c>
      <c r="X309" s="62" t="str">
        <f aca="false">IF(ISBLANK($C309),"",AND(Q309&lt;&gt;"",O309))</f>
        <v/>
      </c>
      <c r="Y309" s="62" t="str">
        <f aca="false">IF(ISBLANK($C309),"",AND(T309&lt;&gt;"",O309))</f>
        <v/>
      </c>
      <c r="Z309" s="62" t="str">
        <f aca="false">IF(ISBLANK($C309),"",IF(W309,Constants!$B$4,IF(COUNTA(E309:L309)=0,Constants!$B$5,IF(NOT(O309),Constants!$B$6,IF(AND(NOT(X309),NOT(Y309)),Constants!$B$6,Constants!$B$7)))))</f>
        <v/>
      </c>
      <c r="AA309" s="62" t="str">
        <f aca="false">IF(ISBLANK($C309),"",IF($Z309&lt;&gt;Constants!$B$7,$Z309,Constants!$B$20))</f>
        <v/>
      </c>
      <c r="AB309" s="62" t="str">
        <f aca="false">IF($Z309=Constants!$B$7,IF(X309,Q309,Constants!$B$13),"")</f>
        <v/>
      </c>
      <c r="AC309" s="62" t="str">
        <f aca="false">IF($Z309=Constants!$B$7,IF(X309,P309*IF(R309, 1, Constants!$B$11)*IF(S309, 1, Constants!$B$12),Constants!$B$13),"")</f>
        <v/>
      </c>
      <c r="AD309" s="62" t="str">
        <f aca="false">IF($Z309=Constants!$B$7,AB309*AC309,"")</f>
        <v/>
      </c>
      <c r="AE309" s="62" t="str">
        <f aca="false">IF($Z309=Constants!$B$7,IF(Y309,T309,Constants!$B$13),"")</f>
        <v/>
      </c>
      <c r="AF309" s="62" t="str">
        <f aca="false">IF($Z309=Constants!$B$7,IF(Y309,P309*IF(U309, 1, Constants!$B$11)*IF(V309, 1, Constants!$B$12),Constants!$B$13),"")</f>
        <v/>
      </c>
      <c r="AG309" s="62" t="str">
        <f aca="false">IF($Z309=Constants!$B$7,AE309*AF309,"")</f>
        <v/>
      </c>
      <c r="AH309" s="62" t="str">
        <f aca="false">IF($Z309=Constants!$B$7,IF(AG309&gt;AD309,2,1),"")</f>
        <v/>
      </c>
      <c r="AI309" s="62" t="str">
        <f aca="false">IF($Z309=Constants!$B$7,IF(AH309=1,2,1),"")</f>
        <v/>
      </c>
      <c r="AJ309" s="62" t="str">
        <f aca="false">IF(ISBLANK($C309),"",IF($Z309&lt;&gt;Constants!$B$7,$Z309,IF(AH309=1,AD309,AG309)))</f>
        <v/>
      </c>
      <c r="AK309" s="62" t="str">
        <f aca="false">IF(ISBLANK($C309),"",IF($Z309=Constants!$B$7,IF(ISNUMBER(AJ309),RANK(AJ309,$AJ$8:$AJ$507),Constants!$B$14),$Z309))</f>
        <v/>
      </c>
      <c r="AL309" s="62" t="str">
        <f aca="false">IF(ISBLANK($C309),"",IF($Z309=Constants!$B$7,IF(AI309=1,AD309,AG309),""))</f>
        <v/>
      </c>
      <c r="AM309" s="62" t="str">
        <f aca="false">IF(ISBLANK($C309),"",IF($Z309=Constants!$B$7,RANK(AL309,$AL$8:$AL$507),$Z309))</f>
        <v/>
      </c>
      <c r="AN309" s="62" t="str">
        <f aca="false">IF(ISBLANK($C309),"",IF($Z309=Constants!$B$7,IF(ISNUMBER(AK309),COUNTIFS($AK$8:$AK$507,"&lt;"&amp;$AK309)+COUNTIFS($AK$8:$AK$507,$AK309,$AM$8:$AM$507,"&lt;"&amp;$AM309)+1,Constants!$B$14),$Z309))</f>
        <v/>
      </c>
      <c r="AO309" s="62" t="str">
        <f aca="false">IF(ISBLANK($C309),"",IF($Z309=Constants!$B$7,IF(ISNUMBER(AK309),AK309-AN309,Constants!$B$14),$Z309))</f>
        <v/>
      </c>
      <c r="AP309" s="64"/>
      <c r="AQ309" s="65" t="str">
        <f aca="false">IF(ISBLANK($C309),"",IF($Z309&lt;&gt;Constants!$B$7,"",AH309))</f>
        <v/>
      </c>
      <c r="AR309" s="80" t="str">
        <f aca="false">IF(ISBLANK($C309),"",IF($Z309&lt;&gt;Constants!$B$7,"",IF(AH309=1,AB309,AE309)))</f>
        <v/>
      </c>
      <c r="AS309" s="67" t="str">
        <f aca="false">IF(ISBLANK($C309),"",IF($Z309&lt;&gt;Constants!$B$7,"",IF(AH309=1,AC309,AF309)))</f>
        <v/>
      </c>
      <c r="AT309" s="68" t="str">
        <f aca="false">IF(ISBLANK($C309),"",IF($Z309&lt;&gt;Constants!$B$7,$Z309,AJ309))</f>
        <v/>
      </c>
      <c r="AU309" s="69" t="str">
        <f aca="false">IF(ISBLANK($C309),"",IF($Z309&lt;&gt;Constants!$B$7,$Z309,AA309))</f>
        <v/>
      </c>
      <c r="AV309" s="70" t="str">
        <f aca="false">IF(ISBLANK($C309),"",AO309)</f>
        <v/>
      </c>
      <c r="AW309" s="70" t="str">
        <f aca="false">IF(ISBLANK($C309),"",AN309)</f>
        <v/>
      </c>
      <c r="AX309" s="71" t="str">
        <f aca="false">IF(ISBLANK($C309),"",IFERROR(_xlfn.SWITCH(AW309,Constants!$B$4,COUNTA($C$8:$C$507)+2,Constants!$B$5,COUNTA($C$8:$C$507)+1,Constants!$B$6,COUNTA($C$8:$C$507)),AW309))</f>
        <v/>
      </c>
      <c r="AY309" s="5"/>
      <c r="AZ309" s="72" t="n">
        <f aca="false">IF(OR(ISNUMBER(AW309),AW309=Constants!$B$4,AW309=Constants!$B$6,AW309=Constants!$B$5),1,0)</f>
        <v>0</v>
      </c>
      <c r="BA309" s="72" t="n">
        <v>302</v>
      </c>
      <c r="BB309" s="72" t="str">
        <f aca="false">IF(ISBLANK($C309),"",IF(ISNUMBER(AX309),AX309+ROW($B309)/1000,""))</f>
        <v/>
      </c>
      <c r="BC309" s="72" t="str">
        <f aca="false">IF(ISNUMBER(BB309),RANK(BB309,$BB$8:$BB$507,1),"")</f>
        <v/>
      </c>
      <c r="BD309" s="72" t="str">
        <f aca="false">IF(ISBLANK($C309),"",$B309)</f>
        <v/>
      </c>
      <c r="BE309" s="72" t="str">
        <f aca="false">IF(ISBLANK($C309),"",$C309)</f>
        <v/>
      </c>
      <c r="BF309" s="72" t="str">
        <f aca="false">IF(ISBLANK($C309),"",$D309)</f>
        <v/>
      </c>
      <c r="BG309" s="73" t="str">
        <f aca="false">AU309</f>
        <v/>
      </c>
      <c r="BH309" s="74" t="str">
        <f aca="false">AT309</f>
        <v/>
      </c>
      <c r="BI309" s="72" t="str">
        <f aca="false">IF(ISBLANK($C309),"",AW309)</f>
        <v/>
      </c>
      <c r="BJ309" s="75" t="str">
        <f aca="false">IF($BA309&gt;$AZ$7,"",VLOOKUP($BA309,$BC$8:$BI$507,7,FALSE()))</f>
        <v/>
      </c>
      <c r="BK309" s="76" t="str">
        <f aca="false">IF($BA309&gt;$AZ$7,"",VLOOKUP($BA309,$BC$8:$BI$507,2,FALSE()))</f>
        <v/>
      </c>
      <c r="BL309" s="76" t="str">
        <f aca="false">IF($BA309&gt;$AZ$7,"",VLOOKUP($BA309,$BC$8:$BI$507,3,FALSE()))</f>
        <v/>
      </c>
      <c r="BM309" s="76" t="str">
        <f aca="false">IF($BA309&gt;$AZ$7,"",VLOOKUP($BA309,$BC$8:$BI$507,4,FALSE()))</f>
        <v/>
      </c>
      <c r="BN309" s="76" t="str">
        <f aca="false">IF($BA309&gt;$AZ$7,"",VLOOKUP($BA309,$BC$8:$BI$507,5,FALSE()))</f>
        <v/>
      </c>
      <c r="BO309" s="77" t="str">
        <f aca="false">IF($BA309&gt;$AZ$7,"",VLOOKUP($BA309,$BC$8:$BI$507,6,FALSE()))</f>
        <v/>
      </c>
      <c r="BP309" s="52"/>
    </row>
    <row r="310" customFormat="false" ht="15.75" hidden="false" customHeight="false" outlineLevel="0" collapsed="false">
      <c r="A310" s="5"/>
      <c r="B310" s="118"/>
      <c r="C310" s="54"/>
      <c r="D310" s="55"/>
      <c r="E310" s="79"/>
      <c r="F310" s="57"/>
      <c r="G310" s="58"/>
      <c r="H310" s="58"/>
      <c r="I310" s="57"/>
      <c r="J310" s="58"/>
      <c r="K310" s="58"/>
      <c r="L310" s="57"/>
      <c r="M310" s="79"/>
      <c r="N310" s="60"/>
      <c r="O310" s="62" t="str">
        <f aca="false">IF(ISBLANK($C310),"",IF(E310=Constants!$B$2, TRUE(), IF(E310=Constants!$B$3, FALSE(), TRUE())))</f>
        <v/>
      </c>
      <c r="P310" s="62" t="str">
        <f aca="false">IF(ISBLANK($C310),"",IF(F310=Constants!$B$16,Constants!$B$9,IF(F310=Constants!$B$17,Constants!$B$10,Constants!$B$8)))</f>
        <v/>
      </c>
      <c r="Q310" s="62" t="str">
        <f aca="false">IF(ISBLANK($C310),"",IF(ISNUMBER(G310),IF(G310&gt;=0,G310,""),""))</f>
        <v/>
      </c>
      <c r="R310" s="62" t="str">
        <f aca="false">IF(ISBLANK($C310),"",IF(H310=Constants!$B$2, TRUE(), IF(H310=Constants!$B$3, FALSE(), TRUE())))</f>
        <v/>
      </c>
      <c r="S310" s="62" t="str">
        <f aca="false">IF(ISBLANK($C310),"",IF(I310=Constants!$B$2, TRUE(), IF(I310=Constants!$B$3, FALSE(), TRUE())))</f>
        <v/>
      </c>
      <c r="T310" s="62" t="str">
        <f aca="false">IF(ISBLANK($C310),"",IF(ISNUMBER(J310),IF(J310&gt;=0,J310,""),""))</f>
        <v/>
      </c>
      <c r="U310" s="62" t="str">
        <f aca="false">IF(ISBLANK($C310),"",IF(K310=Constants!$B$2, TRUE(), IF(K310=Constants!$B$3, FALSE(), TRUE())))</f>
        <v/>
      </c>
      <c r="V310" s="62" t="str">
        <f aca="false">IF(ISBLANK($C310),"",IF(L310=Constants!$B$2, TRUE(), IF(L310=Constants!$B$3, FALSE(), TRUE())))</f>
        <v/>
      </c>
      <c r="W310" s="62" t="str">
        <f aca="false">IF(ISBLANK($C310),"",IF(M310=Constants!$B$2, TRUE(), IF(M310=Constants!$B$3, FALSE(), FALSE())))</f>
        <v/>
      </c>
      <c r="X310" s="62" t="str">
        <f aca="false">IF(ISBLANK($C310),"",AND(Q310&lt;&gt;"",O310))</f>
        <v/>
      </c>
      <c r="Y310" s="62" t="str">
        <f aca="false">IF(ISBLANK($C310),"",AND(T310&lt;&gt;"",O310))</f>
        <v/>
      </c>
      <c r="Z310" s="62" t="str">
        <f aca="false">IF(ISBLANK($C310),"",IF(W310,Constants!$B$4,IF(COUNTA(E310:L310)=0,Constants!$B$5,IF(NOT(O310),Constants!$B$6,IF(AND(NOT(X310),NOT(Y310)),Constants!$B$6,Constants!$B$7)))))</f>
        <v/>
      </c>
      <c r="AA310" s="62" t="str">
        <f aca="false">IF(ISBLANK($C310),"",IF($Z310&lt;&gt;Constants!$B$7,$Z310,Constants!$B$20))</f>
        <v/>
      </c>
      <c r="AB310" s="62" t="str">
        <f aca="false">IF($Z310=Constants!$B$7,IF(X310,Q310,Constants!$B$13),"")</f>
        <v/>
      </c>
      <c r="AC310" s="62" t="str">
        <f aca="false">IF($Z310=Constants!$B$7,IF(X310,P310*IF(R310, 1, Constants!$B$11)*IF(S310, 1, Constants!$B$12),Constants!$B$13),"")</f>
        <v/>
      </c>
      <c r="AD310" s="62" t="str">
        <f aca="false">IF($Z310=Constants!$B$7,AB310*AC310,"")</f>
        <v/>
      </c>
      <c r="AE310" s="62" t="str">
        <f aca="false">IF($Z310=Constants!$B$7,IF(Y310,T310,Constants!$B$13),"")</f>
        <v/>
      </c>
      <c r="AF310" s="62" t="str">
        <f aca="false">IF($Z310=Constants!$B$7,IF(Y310,P310*IF(U310, 1, Constants!$B$11)*IF(V310, 1, Constants!$B$12),Constants!$B$13),"")</f>
        <v/>
      </c>
      <c r="AG310" s="62" t="str">
        <f aca="false">IF($Z310=Constants!$B$7,AE310*AF310,"")</f>
        <v/>
      </c>
      <c r="AH310" s="62" t="str">
        <f aca="false">IF($Z310=Constants!$B$7,IF(AG310&gt;AD310,2,1),"")</f>
        <v/>
      </c>
      <c r="AI310" s="62" t="str">
        <f aca="false">IF($Z310=Constants!$B$7,IF(AH310=1,2,1),"")</f>
        <v/>
      </c>
      <c r="AJ310" s="62" t="str">
        <f aca="false">IF(ISBLANK($C310),"",IF($Z310&lt;&gt;Constants!$B$7,$Z310,IF(AH310=1,AD310,AG310)))</f>
        <v/>
      </c>
      <c r="AK310" s="62" t="str">
        <f aca="false">IF(ISBLANK($C310),"",IF($Z310=Constants!$B$7,IF(ISNUMBER(AJ310),RANK(AJ310,$AJ$8:$AJ$507),Constants!$B$14),$Z310))</f>
        <v/>
      </c>
      <c r="AL310" s="62" t="str">
        <f aca="false">IF(ISBLANK($C310),"",IF($Z310=Constants!$B$7,IF(AI310=1,AD310,AG310),""))</f>
        <v/>
      </c>
      <c r="AM310" s="62" t="str">
        <f aca="false">IF(ISBLANK($C310),"",IF($Z310=Constants!$B$7,RANK(AL310,$AL$8:$AL$507),$Z310))</f>
        <v/>
      </c>
      <c r="AN310" s="62" t="str">
        <f aca="false">IF(ISBLANK($C310),"",IF($Z310=Constants!$B$7,IF(ISNUMBER(AK310),COUNTIFS($AK$8:$AK$507,"&lt;"&amp;$AK310)+COUNTIFS($AK$8:$AK$507,$AK310,$AM$8:$AM$507,"&lt;"&amp;$AM310)+1,Constants!$B$14),$Z310))</f>
        <v/>
      </c>
      <c r="AO310" s="62" t="str">
        <f aca="false">IF(ISBLANK($C310),"",IF($Z310=Constants!$B$7,IF(ISNUMBER(AK310),AK310-AN310,Constants!$B$14),$Z310))</f>
        <v/>
      </c>
      <c r="AP310" s="64"/>
      <c r="AQ310" s="65" t="str">
        <f aca="false">IF(ISBLANK($C310),"",IF($Z310&lt;&gt;Constants!$B$7,"",AH310))</f>
        <v/>
      </c>
      <c r="AR310" s="80" t="str">
        <f aca="false">IF(ISBLANK($C310),"",IF($Z310&lt;&gt;Constants!$B$7,"",IF(AH310=1,AB310,AE310)))</f>
        <v/>
      </c>
      <c r="AS310" s="67" t="str">
        <f aca="false">IF(ISBLANK($C310),"",IF($Z310&lt;&gt;Constants!$B$7,"",IF(AH310=1,AC310,AF310)))</f>
        <v/>
      </c>
      <c r="AT310" s="68" t="str">
        <f aca="false">IF(ISBLANK($C310),"",IF($Z310&lt;&gt;Constants!$B$7,$Z310,AJ310))</f>
        <v/>
      </c>
      <c r="AU310" s="69" t="str">
        <f aca="false">IF(ISBLANK($C310),"",IF($Z310&lt;&gt;Constants!$B$7,$Z310,AA310))</f>
        <v/>
      </c>
      <c r="AV310" s="70" t="str">
        <f aca="false">IF(ISBLANK($C310),"",AO310)</f>
        <v/>
      </c>
      <c r="AW310" s="70" t="str">
        <f aca="false">IF(ISBLANK($C310),"",AN310)</f>
        <v/>
      </c>
      <c r="AX310" s="71" t="str">
        <f aca="false">IF(ISBLANK($C310),"",IFERROR(_xlfn.SWITCH(AW310,Constants!$B$4,COUNTA($C$8:$C$507)+2,Constants!$B$5,COUNTA($C$8:$C$507)+1,Constants!$B$6,COUNTA($C$8:$C$507)),AW310))</f>
        <v/>
      </c>
      <c r="AY310" s="5"/>
      <c r="AZ310" s="72" t="n">
        <f aca="false">IF(OR(ISNUMBER(AW310),AW310=Constants!$B$4,AW310=Constants!$B$6,AW310=Constants!$B$5),1,0)</f>
        <v>0</v>
      </c>
      <c r="BA310" s="72" t="n">
        <v>303</v>
      </c>
      <c r="BB310" s="72" t="str">
        <f aca="false">IF(ISBLANK($C310),"",IF(ISNUMBER(AX310),AX310+ROW($B310)/1000,""))</f>
        <v/>
      </c>
      <c r="BC310" s="72" t="str">
        <f aca="false">IF(ISNUMBER(BB310),RANK(BB310,$BB$8:$BB$507,1),"")</f>
        <v/>
      </c>
      <c r="BD310" s="72" t="str">
        <f aca="false">IF(ISBLANK($C310),"",$B310)</f>
        <v/>
      </c>
      <c r="BE310" s="72" t="str">
        <f aca="false">IF(ISBLANK($C310),"",$C310)</f>
        <v/>
      </c>
      <c r="BF310" s="72" t="str">
        <f aca="false">IF(ISBLANK($C310),"",$D310)</f>
        <v/>
      </c>
      <c r="BG310" s="73" t="str">
        <f aca="false">AU310</f>
        <v/>
      </c>
      <c r="BH310" s="74" t="str">
        <f aca="false">AT310</f>
        <v/>
      </c>
      <c r="BI310" s="72" t="str">
        <f aca="false">IF(ISBLANK($C310),"",AW310)</f>
        <v/>
      </c>
      <c r="BJ310" s="75" t="str">
        <f aca="false">IF($BA310&gt;$AZ$7,"",VLOOKUP($BA310,$BC$8:$BI$507,7,FALSE()))</f>
        <v/>
      </c>
      <c r="BK310" s="76" t="str">
        <f aca="false">IF($BA310&gt;$AZ$7,"",VLOOKUP($BA310,$BC$8:$BI$507,2,FALSE()))</f>
        <v/>
      </c>
      <c r="BL310" s="76" t="str">
        <f aca="false">IF($BA310&gt;$AZ$7,"",VLOOKUP($BA310,$BC$8:$BI$507,3,FALSE()))</f>
        <v/>
      </c>
      <c r="BM310" s="76" t="str">
        <f aca="false">IF($BA310&gt;$AZ$7,"",VLOOKUP($BA310,$BC$8:$BI$507,4,FALSE()))</f>
        <v/>
      </c>
      <c r="BN310" s="76" t="str">
        <f aca="false">IF($BA310&gt;$AZ$7,"",VLOOKUP($BA310,$BC$8:$BI$507,5,FALSE()))</f>
        <v/>
      </c>
      <c r="BO310" s="77" t="str">
        <f aca="false">IF($BA310&gt;$AZ$7,"",VLOOKUP($BA310,$BC$8:$BI$507,6,FALSE()))</f>
        <v/>
      </c>
      <c r="BP310" s="52"/>
    </row>
    <row r="311" customFormat="false" ht="15.75" hidden="false" customHeight="false" outlineLevel="0" collapsed="false">
      <c r="A311" s="5"/>
      <c r="B311" s="114"/>
      <c r="C311" s="115"/>
      <c r="D311" s="106"/>
      <c r="E311" s="117"/>
      <c r="F311" s="87"/>
      <c r="G311" s="88"/>
      <c r="H311" s="88"/>
      <c r="I311" s="87"/>
      <c r="J311" s="88"/>
      <c r="K311" s="88"/>
      <c r="L311" s="87"/>
      <c r="M311" s="117"/>
      <c r="N311" s="90"/>
      <c r="O311" s="91" t="str">
        <f aca="false">IF(ISBLANK($C311),"",IF(E311=Constants!$B$2, TRUE(), IF(E311=Constants!$B$3, FALSE(), TRUE())))</f>
        <v/>
      </c>
      <c r="P311" s="91" t="str">
        <f aca="false">IF(ISBLANK($C311),"",IF(F311=Constants!$B$16,Constants!$B$9,IF(F311=Constants!$B$17,Constants!$B$10,Constants!$B$8)))</f>
        <v/>
      </c>
      <c r="Q311" s="91" t="str">
        <f aca="false">IF(ISBLANK($C311),"",IF(ISNUMBER(G311),IF(G311&gt;=0,G311,""),""))</f>
        <v/>
      </c>
      <c r="R311" s="91" t="str">
        <f aca="false">IF(ISBLANK($C311),"",IF(H311=Constants!$B$2, TRUE(), IF(H311=Constants!$B$3, FALSE(), TRUE())))</f>
        <v/>
      </c>
      <c r="S311" s="91" t="str">
        <f aca="false">IF(ISBLANK($C311),"",IF(I311=Constants!$B$2, TRUE(), IF(I311=Constants!$B$3, FALSE(), TRUE())))</f>
        <v/>
      </c>
      <c r="T311" s="91" t="str">
        <f aca="false">IF(ISBLANK($C311),"",IF(ISNUMBER(J311),IF(J311&gt;=0,J311,""),""))</f>
        <v/>
      </c>
      <c r="U311" s="91" t="str">
        <f aca="false">IF(ISBLANK($C311),"",IF(K311=Constants!$B$2, TRUE(), IF(K311=Constants!$B$3, FALSE(), TRUE())))</f>
        <v/>
      </c>
      <c r="V311" s="91" t="str">
        <f aca="false">IF(ISBLANK($C311),"",IF(L311=Constants!$B$2, TRUE(), IF(L311=Constants!$B$3, FALSE(), TRUE())))</f>
        <v/>
      </c>
      <c r="W311" s="91" t="str">
        <f aca="false">IF(ISBLANK($C311),"",IF(M311=Constants!$B$2, TRUE(), IF(M311=Constants!$B$3, FALSE(), FALSE())))</f>
        <v/>
      </c>
      <c r="X311" s="91" t="str">
        <f aca="false">IF(ISBLANK($C311),"",AND(Q311&lt;&gt;"",O311))</f>
        <v/>
      </c>
      <c r="Y311" s="91" t="str">
        <f aca="false">IF(ISBLANK($C311),"",AND(T311&lt;&gt;"",O311))</f>
        <v/>
      </c>
      <c r="Z311" s="91" t="str">
        <f aca="false">IF(ISBLANK($C311),"",IF(W311,Constants!$B$4,IF(COUNTA(E311:L311)=0,Constants!$B$5,IF(NOT(O311),Constants!$B$6,IF(AND(NOT(X311),NOT(Y311)),Constants!$B$6,Constants!$B$7)))))</f>
        <v/>
      </c>
      <c r="AA311" s="91" t="str">
        <f aca="false">IF(ISBLANK($C311),"",IF($Z311&lt;&gt;Constants!$B$7,$Z311,Constants!$B$20))</f>
        <v/>
      </c>
      <c r="AB311" s="91" t="str">
        <f aca="false">IF($Z311=Constants!$B$7,IF(X311,Q311,Constants!$B$13),"")</f>
        <v/>
      </c>
      <c r="AC311" s="91" t="str">
        <f aca="false">IF($Z311=Constants!$B$7,IF(X311,P311*IF(R311, 1, Constants!$B$11)*IF(S311, 1, Constants!$B$12),Constants!$B$13),"")</f>
        <v/>
      </c>
      <c r="AD311" s="91" t="str">
        <f aca="false">IF($Z311=Constants!$B$7,AB311*AC311,"")</f>
        <v/>
      </c>
      <c r="AE311" s="91" t="str">
        <f aca="false">IF($Z311=Constants!$B$7,IF(Y311,T311,Constants!$B$13),"")</f>
        <v/>
      </c>
      <c r="AF311" s="91" t="str">
        <f aca="false">IF($Z311=Constants!$B$7,IF(Y311,P311*IF(U311, 1, Constants!$B$11)*IF(V311, 1, Constants!$B$12),Constants!$B$13),"")</f>
        <v/>
      </c>
      <c r="AG311" s="91" t="str">
        <f aca="false">IF($Z311=Constants!$B$7,AE311*AF311,"")</f>
        <v/>
      </c>
      <c r="AH311" s="91" t="str">
        <f aca="false">IF($Z311=Constants!$B$7,IF(AG311&gt;AD311,2,1),"")</f>
        <v/>
      </c>
      <c r="AI311" s="91" t="str">
        <f aca="false">IF($Z311=Constants!$B$7,IF(AH311=1,2,1),"")</f>
        <v/>
      </c>
      <c r="AJ311" s="91" t="str">
        <f aca="false">IF(ISBLANK($C311),"",IF($Z311&lt;&gt;Constants!$B$7,$Z311,IF(AH311=1,AD311,AG311)))</f>
        <v/>
      </c>
      <c r="AK311" s="91" t="str">
        <f aca="false">IF(ISBLANK($C311),"",IF($Z311=Constants!$B$7,IF(ISNUMBER(AJ311),RANK(AJ311,$AJ$8:$AJ$507),Constants!$B$14),$Z311))</f>
        <v/>
      </c>
      <c r="AL311" s="91" t="str">
        <f aca="false">IF(ISBLANK($C311),"",IF($Z311=Constants!$B$7,IF(AI311=1,AD311,AG311),""))</f>
        <v/>
      </c>
      <c r="AM311" s="91" t="str">
        <f aca="false">IF(ISBLANK($C311),"",IF($Z311=Constants!$B$7,RANK(AL311,$AL$8:$AL$507),$Z311))</f>
        <v/>
      </c>
      <c r="AN311" s="91" t="str">
        <f aca="false">IF(ISBLANK($C311),"",IF($Z311=Constants!$B$7,IF(ISNUMBER(AK311),COUNTIFS($AK$8:$AK$507,"&lt;"&amp;$AK311)+COUNTIFS($AK$8:$AK$507,$AK311,$AM$8:$AM$507,"&lt;"&amp;$AM311)+1,Constants!$B$14),$Z311))</f>
        <v/>
      </c>
      <c r="AO311" s="91" t="str">
        <f aca="false">IF(ISBLANK($C311),"",IF($Z311=Constants!$B$7,IF(ISNUMBER(AK311),AK311-AN311,Constants!$B$14),$Z311))</f>
        <v/>
      </c>
      <c r="AP311" s="92"/>
      <c r="AQ311" s="93" t="str">
        <f aca="false">IF(ISBLANK($C311),"",IF($Z311&lt;&gt;Constants!$B$7,"",AH311))</f>
        <v/>
      </c>
      <c r="AR311" s="94" t="str">
        <f aca="false">IF(ISBLANK($C311),"",IF($Z311&lt;&gt;Constants!$B$7,"",IF(AH311=1,AB311,AE311)))</f>
        <v/>
      </c>
      <c r="AS311" s="95" t="str">
        <f aca="false">IF(ISBLANK($C311),"",IF($Z311&lt;&gt;Constants!$B$7,"",IF(AH311=1,AC311,AF311)))</f>
        <v/>
      </c>
      <c r="AT311" s="96" t="str">
        <f aca="false">IF(ISBLANK($C311),"",IF($Z311&lt;&gt;Constants!$B$7,$Z311,AJ311))</f>
        <v/>
      </c>
      <c r="AU311" s="97" t="str">
        <f aca="false">IF(ISBLANK($C311),"",IF($Z311&lt;&gt;Constants!$B$7,$Z311,AA311))</f>
        <v/>
      </c>
      <c r="AV311" s="98" t="str">
        <f aca="false">IF(ISBLANK($C311),"",AO311)</f>
        <v/>
      </c>
      <c r="AW311" s="98" t="str">
        <f aca="false">IF(ISBLANK($C311),"",AN311)</f>
        <v/>
      </c>
      <c r="AX311" s="99" t="str">
        <f aca="false">IF(ISBLANK($C311),"",IFERROR(_xlfn.SWITCH(AW311,Constants!$B$4,COUNTA($C$8:$C$507)+2,Constants!$B$5,COUNTA($C$8:$C$507)+1,Constants!$B$6,COUNTA($C$8:$C$507)),AW311))</f>
        <v/>
      </c>
      <c r="AY311" s="5"/>
      <c r="AZ311" s="100" t="n">
        <f aca="false">IF(OR(ISNUMBER(AW311),AW311=Constants!$B$4,AW311=Constants!$B$6,AW311=Constants!$B$5),1,0)</f>
        <v>0</v>
      </c>
      <c r="BA311" s="100" t="n">
        <v>304</v>
      </c>
      <c r="BB311" s="100" t="str">
        <f aca="false">IF(ISBLANK($C311),"",IF(ISNUMBER(AX311),AX311+ROW($B311)/1000,""))</f>
        <v/>
      </c>
      <c r="BC311" s="100" t="str">
        <f aca="false">IF(ISNUMBER(BB311),RANK(BB311,$BB$8:$BB$507,1),"")</f>
        <v/>
      </c>
      <c r="BD311" s="100" t="str">
        <f aca="false">IF(ISBLANK($C311),"",$B311)</f>
        <v/>
      </c>
      <c r="BE311" s="100" t="str">
        <f aca="false">IF(ISBLANK($C311),"",$C311)</f>
        <v/>
      </c>
      <c r="BF311" s="100" t="str">
        <f aca="false">IF(ISBLANK($C311),"",$D311)</f>
        <v/>
      </c>
      <c r="BG311" s="101" t="str">
        <f aca="false">AU311</f>
        <v/>
      </c>
      <c r="BH311" s="102" t="str">
        <f aca="false">AT311</f>
        <v/>
      </c>
      <c r="BI311" s="100" t="str">
        <f aca="false">IF(ISBLANK($C311),"",AW311)</f>
        <v/>
      </c>
      <c r="BJ311" s="103" t="str">
        <f aca="false">IF($BA311&gt;$AZ$7,"",VLOOKUP($BA311,$BC$8:$BI$507,7,FALSE()))</f>
        <v/>
      </c>
      <c r="BK311" s="104" t="str">
        <f aca="false">IF($BA311&gt;$AZ$7,"",VLOOKUP($BA311,$BC$8:$BI$507,2,FALSE()))</f>
        <v/>
      </c>
      <c r="BL311" s="104" t="str">
        <f aca="false">IF($BA311&gt;$AZ$7,"",VLOOKUP($BA311,$BC$8:$BI$507,3,FALSE()))</f>
        <v/>
      </c>
      <c r="BM311" s="104" t="str">
        <f aca="false">IF($BA311&gt;$AZ$7,"",VLOOKUP($BA311,$BC$8:$BI$507,4,FALSE()))</f>
        <v/>
      </c>
      <c r="BN311" s="104" t="str">
        <f aca="false">IF($BA311&gt;$AZ$7,"",VLOOKUP($BA311,$BC$8:$BI$507,5,FALSE()))</f>
        <v/>
      </c>
      <c r="BO311" s="105" t="str">
        <f aca="false">IF($BA311&gt;$AZ$7,"",VLOOKUP($BA311,$BC$8:$BI$507,6,FALSE()))</f>
        <v/>
      </c>
      <c r="BP311" s="52"/>
    </row>
    <row r="312" customFormat="false" ht="15.75" hidden="false" customHeight="false" outlineLevel="0" collapsed="false">
      <c r="A312" s="5"/>
      <c r="B312" s="114"/>
      <c r="C312" s="115"/>
      <c r="D312" s="106"/>
      <c r="E312" s="117"/>
      <c r="F312" s="87"/>
      <c r="G312" s="88"/>
      <c r="H312" s="88"/>
      <c r="I312" s="87"/>
      <c r="J312" s="88"/>
      <c r="K312" s="88"/>
      <c r="L312" s="87"/>
      <c r="M312" s="117"/>
      <c r="N312" s="90"/>
      <c r="O312" s="91" t="str">
        <f aca="false">IF(ISBLANK($C312),"",IF(E312=Constants!$B$2, TRUE(), IF(E312=Constants!$B$3, FALSE(), TRUE())))</f>
        <v/>
      </c>
      <c r="P312" s="91" t="str">
        <f aca="false">IF(ISBLANK($C312),"",IF(F312=Constants!$B$16,Constants!$B$9,IF(F312=Constants!$B$17,Constants!$B$10,Constants!$B$8)))</f>
        <v/>
      </c>
      <c r="Q312" s="91" t="str">
        <f aca="false">IF(ISBLANK($C312),"",IF(ISNUMBER(G312),IF(G312&gt;=0,G312,""),""))</f>
        <v/>
      </c>
      <c r="R312" s="91" t="str">
        <f aca="false">IF(ISBLANK($C312),"",IF(H312=Constants!$B$2, TRUE(), IF(H312=Constants!$B$3, FALSE(), TRUE())))</f>
        <v/>
      </c>
      <c r="S312" s="91" t="str">
        <f aca="false">IF(ISBLANK($C312),"",IF(I312=Constants!$B$2, TRUE(), IF(I312=Constants!$B$3, FALSE(), TRUE())))</f>
        <v/>
      </c>
      <c r="T312" s="91" t="str">
        <f aca="false">IF(ISBLANK($C312),"",IF(ISNUMBER(J312),IF(J312&gt;=0,J312,""),""))</f>
        <v/>
      </c>
      <c r="U312" s="91" t="str">
        <f aca="false">IF(ISBLANK($C312),"",IF(K312=Constants!$B$2, TRUE(), IF(K312=Constants!$B$3, FALSE(), TRUE())))</f>
        <v/>
      </c>
      <c r="V312" s="91" t="str">
        <f aca="false">IF(ISBLANK($C312),"",IF(L312=Constants!$B$2, TRUE(), IF(L312=Constants!$B$3, FALSE(), TRUE())))</f>
        <v/>
      </c>
      <c r="W312" s="91" t="str">
        <f aca="false">IF(ISBLANK($C312),"",IF(M312=Constants!$B$2, TRUE(), IF(M312=Constants!$B$3, FALSE(), FALSE())))</f>
        <v/>
      </c>
      <c r="X312" s="91" t="str">
        <f aca="false">IF(ISBLANK($C312),"",AND(Q312&lt;&gt;"",O312))</f>
        <v/>
      </c>
      <c r="Y312" s="91" t="str">
        <f aca="false">IF(ISBLANK($C312),"",AND(T312&lt;&gt;"",O312))</f>
        <v/>
      </c>
      <c r="Z312" s="91" t="str">
        <f aca="false">IF(ISBLANK($C312),"",IF(W312,Constants!$B$4,IF(COUNTA(E312:L312)=0,Constants!$B$5,IF(NOT(O312),Constants!$B$6,IF(AND(NOT(X312),NOT(Y312)),Constants!$B$6,Constants!$B$7)))))</f>
        <v/>
      </c>
      <c r="AA312" s="91" t="str">
        <f aca="false">IF(ISBLANK($C312),"",IF($Z312&lt;&gt;Constants!$B$7,$Z312,Constants!$B$20))</f>
        <v/>
      </c>
      <c r="AB312" s="91" t="str">
        <f aca="false">IF($Z312=Constants!$B$7,IF(X312,Q312,Constants!$B$13),"")</f>
        <v/>
      </c>
      <c r="AC312" s="91" t="str">
        <f aca="false">IF($Z312=Constants!$B$7,IF(X312,P312*IF(R312, 1, Constants!$B$11)*IF(S312, 1, Constants!$B$12),Constants!$B$13),"")</f>
        <v/>
      </c>
      <c r="AD312" s="91" t="str">
        <f aca="false">IF($Z312=Constants!$B$7,AB312*AC312,"")</f>
        <v/>
      </c>
      <c r="AE312" s="91" t="str">
        <f aca="false">IF($Z312=Constants!$B$7,IF(Y312,T312,Constants!$B$13),"")</f>
        <v/>
      </c>
      <c r="AF312" s="91" t="str">
        <f aca="false">IF($Z312=Constants!$B$7,IF(Y312,P312*IF(U312, 1, Constants!$B$11)*IF(V312, 1, Constants!$B$12),Constants!$B$13),"")</f>
        <v/>
      </c>
      <c r="AG312" s="91" t="str">
        <f aca="false">IF($Z312=Constants!$B$7,AE312*AF312,"")</f>
        <v/>
      </c>
      <c r="AH312" s="91" t="str">
        <f aca="false">IF($Z312=Constants!$B$7,IF(AG312&gt;AD312,2,1),"")</f>
        <v/>
      </c>
      <c r="AI312" s="91" t="str">
        <f aca="false">IF($Z312=Constants!$B$7,IF(AH312=1,2,1),"")</f>
        <v/>
      </c>
      <c r="AJ312" s="91" t="str">
        <f aca="false">IF(ISBLANK($C312),"",IF($Z312&lt;&gt;Constants!$B$7,$Z312,IF(AH312=1,AD312,AG312)))</f>
        <v/>
      </c>
      <c r="AK312" s="91" t="str">
        <f aca="false">IF(ISBLANK($C312),"",IF($Z312=Constants!$B$7,IF(ISNUMBER(AJ312),RANK(AJ312,$AJ$8:$AJ$507),Constants!$B$14),$Z312))</f>
        <v/>
      </c>
      <c r="AL312" s="91" t="str">
        <f aca="false">IF(ISBLANK($C312),"",IF($Z312=Constants!$B$7,IF(AI312=1,AD312,AG312),""))</f>
        <v/>
      </c>
      <c r="AM312" s="91" t="str">
        <f aca="false">IF(ISBLANK($C312),"",IF($Z312=Constants!$B$7,RANK(AL312,$AL$8:$AL$507),$Z312))</f>
        <v/>
      </c>
      <c r="AN312" s="91" t="str">
        <f aca="false">IF(ISBLANK($C312),"",IF($Z312=Constants!$B$7,IF(ISNUMBER(AK312),COUNTIFS($AK$8:$AK$507,"&lt;"&amp;$AK312)+COUNTIFS($AK$8:$AK$507,$AK312,$AM$8:$AM$507,"&lt;"&amp;$AM312)+1,Constants!$B$14),$Z312))</f>
        <v/>
      </c>
      <c r="AO312" s="91" t="str">
        <f aca="false">IF(ISBLANK($C312),"",IF($Z312=Constants!$B$7,IF(ISNUMBER(AK312),AK312-AN312,Constants!$B$14),$Z312))</f>
        <v/>
      </c>
      <c r="AP312" s="92"/>
      <c r="AQ312" s="93" t="str">
        <f aca="false">IF(ISBLANK($C312),"",IF($Z312&lt;&gt;Constants!$B$7,"",AH312))</f>
        <v/>
      </c>
      <c r="AR312" s="94" t="str">
        <f aca="false">IF(ISBLANK($C312),"",IF($Z312&lt;&gt;Constants!$B$7,"",IF(AH312=1,AB312,AE312)))</f>
        <v/>
      </c>
      <c r="AS312" s="95" t="str">
        <f aca="false">IF(ISBLANK($C312),"",IF($Z312&lt;&gt;Constants!$B$7,"",IF(AH312=1,AC312,AF312)))</f>
        <v/>
      </c>
      <c r="AT312" s="96" t="str">
        <f aca="false">IF(ISBLANK($C312),"",IF($Z312&lt;&gt;Constants!$B$7,$Z312,AJ312))</f>
        <v/>
      </c>
      <c r="AU312" s="97" t="str">
        <f aca="false">IF(ISBLANK($C312),"",IF($Z312&lt;&gt;Constants!$B$7,$Z312,AA312))</f>
        <v/>
      </c>
      <c r="AV312" s="98" t="str">
        <f aca="false">IF(ISBLANK($C312),"",AO312)</f>
        <v/>
      </c>
      <c r="AW312" s="98" t="str">
        <f aca="false">IF(ISBLANK($C312),"",AN312)</f>
        <v/>
      </c>
      <c r="AX312" s="99" t="str">
        <f aca="false">IF(ISBLANK($C312),"",IFERROR(_xlfn.SWITCH(AW312,Constants!$B$4,COUNTA($C$8:$C$507)+2,Constants!$B$5,COUNTA($C$8:$C$507)+1,Constants!$B$6,COUNTA($C$8:$C$507)),AW312))</f>
        <v/>
      </c>
      <c r="AY312" s="5"/>
      <c r="AZ312" s="100" t="n">
        <f aca="false">IF(OR(ISNUMBER(AW312),AW312=Constants!$B$4,AW312=Constants!$B$6,AW312=Constants!$B$5),1,0)</f>
        <v>0</v>
      </c>
      <c r="BA312" s="100" t="n">
        <v>305</v>
      </c>
      <c r="BB312" s="100" t="str">
        <f aca="false">IF(ISBLANK($C312),"",IF(ISNUMBER(AX312),AX312+ROW($B312)/1000,""))</f>
        <v/>
      </c>
      <c r="BC312" s="100" t="str">
        <f aca="false">IF(ISNUMBER(BB312),RANK(BB312,$BB$8:$BB$507,1),"")</f>
        <v/>
      </c>
      <c r="BD312" s="100" t="str">
        <f aca="false">IF(ISBLANK($C312),"",$B312)</f>
        <v/>
      </c>
      <c r="BE312" s="100" t="str">
        <f aca="false">IF(ISBLANK($C312),"",$C312)</f>
        <v/>
      </c>
      <c r="BF312" s="100" t="str">
        <f aca="false">IF(ISBLANK($C312),"",$D312)</f>
        <v/>
      </c>
      <c r="BG312" s="101" t="str">
        <f aca="false">AU312</f>
        <v/>
      </c>
      <c r="BH312" s="102" t="str">
        <f aca="false">AT312</f>
        <v/>
      </c>
      <c r="BI312" s="100" t="str">
        <f aca="false">IF(ISBLANK($C312),"",AW312)</f>
        <v/>
      </c>
      <c r="BJ312" s="103" t="str">
        <f aca="false">IF($BA312&gt;$AZ$7,"",VLOOKUP($BA312,$BC$8:$BI$507,7,FALSE()))</f>
        <v/>
      </c>
      <c r="BK312" s="104" t="str">
        <f aca="false">IF($BA312&gt;$AZ$7,"",VLOOKUP($BA312,$BC$8:$BI$507,2,FALSE()))</f>
        <v/>
      </c>
      <c r="BL312" s="104" t="str">
        <f aca="false">IF($BA312&gt;$AZ$7,"",VLOOKUP($BA312,$BC$8:$BI$507,3,FALSE()))</f>
        <v/>
      </c>
      <c r="BM312" s="104" t="str">
        <f aca="false">IF($BA312&gt;$AZ$7,"",VLOOKUP($BA312,$BC$8:$BI$507,4,FALSE()))</f>
        <v/>
      </c>
      <c r="BN312" s="104" t="str">
        <f aca="false">IF($BA312&gt;$AZ$7,"",VLOOKUP($BA312,$BC$8:$BI$507,5,FALSE()))</f>
        <v/>
      </c>
      <c r="BO312" s="105" t="str">
        <f aca="false">IF($BA312&gt;$AZ$7,"",VLOOKUP($BA312,$BC$8:$BI$507,6,FALSE()))</f>
        <v/>
      </c>
      <c r="BP312" s="52"/>
    </row>
    <row r="313" customFormat="false" ht="15.75" hidden="false" customHeight="false" outlineLevel="0" collapsed="false">
      <c r="A313" s="5"/>
      <c r="B313" s="114"/>
      <c r="C313" s="115"/>
      <c r="D313" s="106"/>
      <c r="E313" s="117"/>
      <c r="F313" s="87"/>
      <c r="G313" s="88"/>
      <c r="H313" s="88"/>
      <c r="I313" s="87"/>
      <c r="J313" s="88"/>
      <c r="K313" s="88"/>
      <c r="L313" s="87"/>
      <c r="M313" s="117"/>
      <c r="N313" s="90"/>
      <c r="O313" s="91" t="str">
        <f aca="false">IF(ISBLANK($C313),"",IF(E313=Constants!$B$2, TRUE(), IF(E313=Constants!$B$3, FALSE(), TRUE())))</f>
        <v/>
      </c>
      <c r="P313" s="91" t="str">
        <f aca="false">IF(ISBLANK($C313),"",IF(F313=Constants!$B$16,Constants!$B$9,IF(F313=Constants!$B$17,Constants!$B$10,Constants!$B$8)))</f>
        <v/>
      </c>
      <c r="Q313" s="91" t="str">
        <f aca="false">IF(ISBLANK($C313),"",IF(ISNUMBER(G313),IF(G313&gt;=0,G313,""),""))</f>
        <v/>
      </c>
      <c r="R313" s="91" t="str">
        <f aca="false">IF(ISBLANK($C313),"",IF(H313=Constants!$B$2, TRUE(), IF(H313=Constants!$B$3, FALSE(), TRUE())))</f>
        <v/>
      </c>
      <c r="S313" s="91" t="str">
        <f aca="false">IF(ISBLANK($C313),"",IF(I313=Constants!$B$2, TRUE(), IF(I313=Constants!$B$3, FALSE(), TRUE())))</f>
        <v/>
      </c>
      <c r="T313" s="91" t="str">
        <f aca="false">IF(ISBLANK($C313),"",IF(ISNUMBER(J313),IF(J313&gt;=0,J313,""),""))</f>
        <v/>
      </c>
      <c r="U313" s="91" t="str">
        <f aca="false">IF(ISBLANK($C313),"",IF(K313=Constants!$B$2, TRUE(), IF(K313=Constants!$B$3, FALSE(), TRUE())))</f>
        <v/>
      </c>
      <c r="V313" s="91" t="str">
        <f aca="false">IF(ISBLANK($C313),"",IF(L313=Constants!$B$2, TRUE(), IF(L313=Constants!$B$3, FALSE(), TRUE())))</f>
        <v/>
      </c>
      <c r="W313" s="91" t="str">
        <f aca="false">IF(ISBLANK($C313),"",IF(M313=Constants!$B$2, TRUE(), IF(M313=Constants!$B$3, FALSE(), FALSE())))</f>
        <v/>
      </c>
      <c r="X313" s="91" t="str">
        <f aca="false">IF(ISBLANK($C313),"",AND(Q313&lt;&gt;"",O313))</f>
        <v/>
      </c>
      <c r="Y313" s="91" t="str">
        <f aca="false">IF(ISBLANK($C313),"",AND(T313&lt;&gt;"",O313))</f>
        <v/>
      </c>
      <c r="Z313" s="91" t="str">
        <f aca="false">IF(ISBLANK($C313),"",IF(W313,Constants!$B$4,IF(COUNTA(E313:L313)=0,Constants!$B$5,IF(NOT(O313),Constants!$B$6,IF(AND(NOT(X313),NOT(Y313)),Constants!$B$6,Constants!$B$7)))))</f>
        <v/>
      </c>
      <c r="AA313" s="91" t="str">
        <f aca="false">IF(ISBLANK($C313),"",IF($Z313&lt;&gt;Constants!$B$7,$Z313,Constants!$B$20))</f>
        <v/>
      </c>
      <c r="AB313" s="91" t="str">
        <f aca="false">IF($Z313=Constants!$B$7,IF(X313,Q313,Constants!$B$13),"")</f>
        <v/>
      </c>
      <c r="AC313" s="91" t="str">
        <f aca="false">IF($Z313=Constants!$B$7,IF(X313,P313*IF(R313, 1, Constants!$B$11)*IF(S313, 1, Constants!$B$12),Constants!$B$13),"")</f>
        <v/>
      </c>
      <c r="AD313" s="91" t="str">
        <f aca="false">IF($Z313=Constants!$B$7,AB313*AC313,"")</f>
        <v/>
      </c>
      <c r="AE313" s="91" t="str">
        <f aca="false">IF($Z313=Constants!$B$7,IF(Y313,T313,Constants!$B$13),"")</f>
        <v/>
      </c>
      <c r="AF313" s="91" t="str">
        <f aca="false">IF($Z313=Constants!$B$7,IF(Y313,P313*IF(U313, 1, Constants!$B$11)*IF(V313, 1, Constants!$B$12),Constants!$B$13),"")</f>
        <v/>
      </c>
      <c r="AG313" s="91" t="str">
        <f aca="false">IF($Z313=Constants!$B$7,AE313*AF313,"")</f>
        <v/>
      </c>
      <c r="AH313" s="91" t="str">
        <f aca="false">IF($Z313=Constants!$B$7,IF(AG313&gt;AD313,2,1),"")</f>
        <v/>
      </c>
      <c r="AI313" s="91" t="str">
        <f aca="false">IF($Z313=Constants!$B$7,IF(AH313=1,2,1),"")</f>
        <v/>
      </c>
      <c r="AJ313" s="91" t="str">
        <f aca="false">IF(ISBLANK($C313),"",IF($Z313&lt;&gt;Constants!$B$7,$Z313,IF(AH313=1,AD313,AG313)))</f>
        <v/>
      </c>
      <c r="AK313" s="91" t="str">
        <f aca="false">IF(ISBLANK($C313),"",IF($Z313=Constants!$B$7,IF(ISNUMBER(AJ313),RANK(AJ313,$AJ$8:$AJ$507),Constants!$B$14),$Z313))</f>
        <v/>
      </c>
      <c r="AL313" s="91" t="str">
        <f aca="false">IF(ISBLANK($C313),"",IF($Z313=Constants!$B$7,IF(AI313=1,AD313,AG313),""))</f>
        <v/>
      </c>
      <c r="AM313" s="91" t="str">
        <f aca="false">IF(ISBLANK($C313),"",IF($Z313=Constants!$B$7,RANK(AL313,$AL$8:$AL$507),$Z313))</f>
        <v/>
      </c>
      <c r="AN313" s="91" t="str">
        <f aca="false">IF(ISBLANK($C313),"",IF($Z313=Constants!$B$7,IF(ISNUMBER(AK313),COUNTIFS($AK$8:$AK$507,"&lt;"&amp;$AK313)+COUNTIFS($AK$8:$AK$507,$AK313,$AM$8:$AM$507,"&lt;"&amp;$AM313)+1,Constants!$B$14),$Z313))</f>
        <v/>
      </c>
      <c r="AO313" s="91" t="str">
        <f aca="false">IF(ISBLANK($C313),"",IF($Z313=Constants!$B$7,IF(ISNUMBER(AK313),AK313-AN313,Constants!$B$14),$Z313))</f>
        <v/>
      </c>
      <c r="AP313" s="92"/>
      <c r="AQ313" s="93" t="str">
        <f aca="false">IF(ISBLANK($C313),"",IF($Z313&lt;&gt;Constants!$B$7,"",AH313))</f>
        <v/>
      </c>
      <c r="AR313" s="94" t="str">
        <f aca="false">IF(ISBLANK($C313),"",IF($Z313&lt;&gt;Constants!$B$7,"",IF(AH313=1,AB313,AE313)))</f>
        <v/>
      </c>
      <c r="AS313" s="95" t="str">
        <f aca="false">IF(ISBLANK($C313),"",IF($Z313&lt;&gt;Constants!$B$7,"",IF(AH313=1,AC313,AF313)))</f>
        <v/>
      </c>
      <c r="AT313" s="96" t="str">
        <f aca="false">IF(ISBLANK($C313),"",IF($Z313&lt;&gt;Constants!$B$7,$Z313,AJ313))</f>
        <v/>
      </c>
      <c r="AU313" s="97" t="str">
        <f aca="false">IF(ISBLANK($C313),"",IF($Z313&lt;&gt;Constants!$B$7,$Z313,AA313))</f>
        <v/>
      </c>
      <c r="AV313" s="98" t="str">
        <f aca="false">IF(ISBLANK($C313),"",AO313)</f>
        <v/>
      </c>
      <c r="AW313" s="98" t="str">
        <f aca="false">IF(ISBLANK($C313),"",AN313)</f>
        <v/>
      </c>
      <c r="AX313" s="99" t="str">
        <f aca="false">IF(ISBLANK($C313),"",IFERROR(_xlfn.SWITCH(AW313,Constants!$B$4,COUNTA($C$8:$C$507)+2,Constants!$B$5,COUNTA($C$8:$C$507)+1,Constants!$B$6,COUNTA($C$8:$C$507)),AW313))</f>
        <v/>
      </c>
      <c r="AY313" s="5"/>
      <c r="AZ313" s="100" t="n">
        <f aca="false">IF(OR(ISNUMBER(AW313),AW313=Constants!$B$4,AW313=Constants!$B$6,AW313=Constants!$B$5),1,0)</f>
        <v>0</v>
      </c>
      <c r="BA313" s="100" t="n">
        <v>306</v>
      </c>
      <c r="BB313" s="100" t="str">
        <f aca="false">IF(ISBLANK($C313),"",IF(ISNUMBER(AX313),AX313+ROW($B313)/1000,""))</f>
        <v/>
      </c>
      <c r="BC313" s="100" t="str">
        <f aca="false">IF(ISNUMBER(BB313),RANK(BB313,$BB$8:$BB$507,1),"")</f>
        <v/>
      </c>
      <c r="BD313" s="100" t="str">
        <f aca="false">IF(ISBLANK($C313),"",$B313)</f>
        <v/>
      </c>
      <c r="BE313" s="100" t="str">
        <f aca="false">IF(ISBLANK($C313),"",$C313)</f>
        <v/>
      </c>
      <c r="BF313" s="100" t="str">
        <f aca="false">IF(ISBLANK($C313),"",$D313)</f>
        <v/>
      </c>
      <c r="BG313" s="101" t="str">
        <f aca="false">AU313</f>
        <v/>
      </c>
      <c r="BH313" s="102" t="str">
        <f aca="false">AT313</f>
        <v/>
      </c>
      <c r="BI313" s="100" t="str">
        <f aca="false">IF(ISBLANK($C313),"",AW313)</f>
        <v/>
      </c>
      <c r="BJ313" s="103" t="str">
        <f aca="false">IF($BA313&gt;$AZ$7,"",VLOOKUP($BA313,$BC$8:$BI$507,7,FALSE()))</f>
        <v/>
      </c>
      <c r="BK313" s="104" t="str">
        <f aca="false">IF($BA313&gt;$AZ$7,"",VLOOKUP($BA313,$BC$8:$BI$507,2,FALSE()))</f>
        <v/>
      </c>
      <c r="BL313" s="104" t="str">
        <f aca="false">IF($BA313&gt;$AZ$7,"",VLOOKUP($BA313,$BC$8:$BI$507,3,FALSE()))</f>
        <v/>
      </c>
      <c r="BM313" s="104" t="str">
        <f aca="false">IF($BA313&gt;$AZ$7,"",VLOOKUP($BA313,$BC$8:$BI$507,4,FALSE()))</f>
        <v/>
      </c>
      <c r="BN313" s="104" t="str">
        <f aca="false">IF($BA313&gt;$AZ$7,"",VLOOKUP($BA313,$BC$8:$BI$507,5,FALSE()))</f>
        <v/>
      </c>
      <c r="BO313" s="105" t="str">
        <f aca="false">IF($BA313&gt;$AZ$7,"",VLOOKUP($BA313,$BC$8:$BI$507,6,FALSE()))</f>
        <v/>
      </c>
      <c r="BP313" s="52"/>
    </row>
    <row r="314" customFormat="false" ht="15.75" hidden="false" customHeight="false" outlineLevel="0" collapsed="false">
      <c r="A314" s="5"/>
      <c r="B314" s="118"/>
      <c r="C314" s="54"/>
      <c r="D314" s="55"/>
      <c r="E314" s="79"/>
      <c r="F314" s="57"/>
      <c r="G314" s="58"/>
      <c r="H314" s="58"/>
      <c r="I314" s="57"/>
      <c r="J314" s="58"/>
      <c r="K314" s="58"/>
      <c r="L314" s="57"/>
      <c r="M314" s="79"/>
      <c r="N314" s="60"/>
      <c r="O314" s="62" t="str">
        <f aca="false">IF(ISBLANK($C314),"",IF(E314=Constants!$B$2, TRUE(), IF(E314=Constants!$B$3, FALSE(), TRUE())))</f>
        <v/>
      </c>
      <c r="P314" s="62" t="str">
        <f aca="false">IF(ISBLANK($C314),"",IF(F314=Constants!$B$16,Constants!$B$9,IF(F314=Constants!$B$17,Constants!$B$10,Constants!$B$8)))</f>
        <v/>
      </c>
      <c r="Q314" s="62" t="str">
        <f aca="false">IF(ISBLANK($C314),"",IF(ISNUMBER(G314),IF(G314&gt;=0,G314,""),""))</f>
        <v/>
      </c>
      <c r="R314" s="62" t="str">
        <f aca="false">IF(ISBLANK($C314),"",IF(H314=Constants!$B$2, TRUE(), IF(H314=Constants!$B$3, FALSE(), TRUE())))</f>
        <v/>
      </c>
      <c r="S314" s="62" t="str">
        <f aca="false">IF(ISBLANK($C314),"",IF(I314=Constants!$B$2, TRUE(), IF(I314=Constants!$B$3, FALSE(), TRUE())))</f>
        <v/>
      </c>
      <c r="T314" s="62" t="str">
        <f aca="false">IF(ISBLANK($C314),"",IF(ISNUMBER(J314),IF(J314&gt;=0,J314,""),""))</f>
        <v/>
      </c>
      <c r="U314" s="62" t="str">
        <f aca="false">IF(ISBLANK($C314),"",IF(K314=Constants!$B$2, TRUE(), IF(K314=Constants!$B$3, FALSE(), TRUE())))</f>
        <v/>
      </c>
      <c r="V314" s="62" t="str">
        <f aca="false">IF(ISBLANK($C314),"",IF(L314=Constants!$B$2, TRUE(), IF(L314=Constants!$B$3, FALSE(), TRUE())))</f>
        <v/>
      </c>
      <c r="W314" s="62" t="str">
        <f aca="false">IF(ISBLANK($C314),"",IF(M314=Constants!$B$2, TRUE(), IF(M314=Constants!$B$3, FALSE(), FALSE())))</f>
        <v/>
      </c>
      <c r="X314" s="62" t="str">
        <f aca="false">IF(ISBLANK($C314),"",AND(Q314&lt;&gt;"",O314))</f>
        <v/>
      </c>
      <c r="Y314" s="62" t="str">
        <f aca="false">IF(ISBLANK($C314),"",AND(T314&lt;&gt;"",O314))</f>
        <v/>
      </c>
      <c r="Z314" s="62" t="str">
        <f aca="false">IF(ISBLANK($C314),"",IF(W314,Constants!$B$4,IF(COUNTA(E314:L314)=0,Constants!$B$5,IF(NOT(O314),Constants!$B$6,IF(AND(NOT(X314),NOT(Y314)),Constants!$B$6,Constants!$B$7)))))</f>
        <v/>
      </c>
      <c r="AA314" s="62" t="str">
        <f aca="false">IF(ISBLANK($C314),"",IF($Z314&lt;&gt;Constants!$B$7,$Z314,Constants!$B$20))</f>
        <v/>
      </c>
      <c r="AB314" s="62" t="str">
        <f aca="false">IF($Z314=Constants!$B$7,IF(X314,Q314,Constants!$B$13),"")</f>
        <v/>
      </c>
      <c r="AC314" s="62" t="str">
        <f aca="false">IF($Z314=Constants!$B$7,IF(X314,P314*IF(R314, 1, Constants!$B$11)*IF(S314, 1, Constants!$B$12),Constants!$B$13),"")</f>
        <v/>
      </c>
      <c r="AD314" s="62" t="str">
        <f aca="false">IF($Z314=Constants!$B$7,AB314*AC314,"")</f>
        <v/>
      </c>
      <c r="AE314" s="62" t="str">
        <f aca="false">IF($Z314=Constants!$B$7,IF(Y314,T314,Constants!$B$13),"")</f>
        <v/>
      </c>
      <c r="AF314" s="62" t="str">
        <f aca="false">IF($Z314=Constants!$B$7,IF(Y314,P314*IF(U314, 1, Constants!$B$11)*IF(V314, 1, Constants!$B$12),Constants!$B$13),"")</f>
        <v/>
      </c>
      <c r="AG314" s="62" t="str">
        <f aca="false">IF($Z314=Constants!$B$7,AE314*AF314,"")</f>
        <v/>
      </c>
      <c r="AH314" s="62" t="str">
        <f aca="false">IF($Z314=Constants!$B$7,IF(AG314&gt;AD314,2,1),"")</f>
        <v/>
      </c>
      <c r="AI314" s="62" t="str">
        <f aca="false">IF($Z314=Constants!$B$7,IF(AH314=1,2,1),"")</f>
        <v/>
      </c>
      <c r="AJ314" s="62" t="str">
        <f aca="false">IF(ISBLANK($C314),"",IF($Z314&lt;&gt;Constants!$B$7,$Z314,IF(AH314=1,AD314,AG314)))</f>
        <v/>
      </c>
      <c r="AK314" s="62" t="str">
        <f aca="false">IF(ISBLANK($C314),"",IF($Z314=Constants!$B$7,IF(ISNUMBER(AJ314),RANK(AJ314,$AJ$8:$AJ$507),Constants!$B$14),$Z314))</f>
        <v/>
      </c>
      <c r="AL314" s="62" t="str">
        <f aca="false">IF(ISBLANK($C314),"",IF($Z314=Constants!$B$7,IF(AI314=1,AD314,AG314),""))</f>
        <v/>
      </c>
      <c r="AM314" s="62" t="str">
        <f aca="false">IF(ISBLANK($C314),"",IF($Z314=Constants!$B$7,RANK(AL314,$AL$8:$AL$507),$Z314))</f>
        <v/>
      </c>
      <c r="AN314" s="62" t="str">
        <f aca="false">IF(ISBLANK($C314),"",IF($Z314=Constants!$B$7,IF(ISNUMBER(AK314),COUNTIFS($AK$8:$AK$507,"&lt;"&amp;$AK314)+COUNTIFS($AK$8:$AK$507,$AK314,$AM$8:$AM$507,"&lt;"&amp;$AM314)+1,Constants!$B$14),$Z314))</f>
        <v/>
      </c>
      <c r="AO314" s="62" t="str">
        <f aca="false">IF(ISBLANK($C314),"",IF($Z314=Constants!$B$7,IF(ISNUMBER(AK314),AK314-AN314,Constants!$B$14),$Z314))</f>
        <v/>
      </c>
      <c r="AP314" s="64"/>
      <c r="AQ314" s="65" t="str">
        <f aca="false">IF(ISBLANK($C314),"",IF($Z314&lt;&gt;Constants!$B$7,"",AH314))</f>
        <v/>
      </c>
      <c r="AR314" s="80" t="str">
        <f aca="false">IF(ISBLANK($C314),"",IF($Z314&lt;&gt;Constants!$B$7,"",IF(AH314=1,AB314,AE314)))</f>
        <v/>
      </c>
      <c r="AS314" s="67" t="str">
        <f aca="false">IF(ISBLANK($C314),"",IF($Z314&lt;&gt;Constants!$B$7,"",IF(AH314=1,AC314,AF314)))</f>
        <v/>
      </c>
      <c r="AT314" s="68" t="str">
        <f aca="false">IF(ISBLANK($C314),"",IF($Z314&lt;&gt;Constants!$B$7,$Z314,AJ314))</f>
        <v/>
      </c>
      <c r="AU314" s="69" t="str">
        <f aca="false">IF(ISBLANK($C314),"",IF($Z314&lt;&gt;Constants!$B$7,$Z314,AA314))</f>
        <v/>
      </c>
      <c r="AV314" s="70" t="str">
        <f aca="false">IF(ISBLANK($C314),"",AO314)</f>
        <v/>
      </c>
      <c r="AW314" s="70" t="str">
        <f aca="false">IF(ISBLANK($C314),"",AN314)</f>
        <v/>
      </c>
      <c r="AX314" s="71" t="str">
        <f aca="false">IF(ISBLANK($C314),"",IFERROR(_xlfn.SWITCH(AW314,Constants!$B$4,COUNTA($C$8:$C$507)+2,Constants!$B$5,COUNTA($C$8:$C$507)+1,Constants!$B$6,COUNTA($C$8:$C$507)),AW314))</f>
        <v/>
      </c>
      <c r="AY314" s="5"/>
      <c r="AZ314" s="72" t="n">
        <f aca="false">IF(OR(ISNUMBER(AW314),AW314=Constants!$B$4,AW314=Constants!$B$6,AW314=Constants!$B$5),1,0)</f>
        <v>0</v>
      </c>
      <c r="BA314" s="72" t="n">
        <v>307</v>
      </c>
      <c r="BB314" s="72" t="str">
        <f aca="false">IF(ISBLANK($C314),"",IF(ISNUMBER(AX314),AX314+ROW($B314)/1000,""))</f>
        <v/>
      </c>
      <c r="BC314" s="72" t="str">
        <f aca="false">IF(ISNUMBER(BB314),RANK(BB314,$BB$8:$BB$507,1),"")</f>
        <v/>
      </c>
      <c r="BD314" s="72" t="str">
        <f aca="false">IF(ISBLANK($C314),"",$B314)</f>
        <v/>
      </c>
      <c r="BE314" s="72" t="str">
        <f aca="false">IF(ISBLANK($C314),"",$C314)</f>
        <v/>
      </c>
      <c r="BF314" s="72" t="str">
        <f aca="false">IF(ISBLANK($C314),"",$D314)</f>
        <v/>
      </c>
      <c r="BG314" s="73" t="str">
        <f aca="false">AU314</f>
        <v/>
      </c>
      <c r="BH314" s="74" t="str">
        <f aca="false">AT314</f>
        <v/>
      </c>
      <c r="BI314" s="72" t="str">
        <f aca="false">IF(ISBLANK($C314),"",AW314)</f>
        <v/>
      </c>
      <c r="BJ314" s="75" t="str">
        <f aca="false">IF($BA314&gt;$AZ$7,"",VLOOKUP($BA314,$BC$8:$BI$507,7,FALSE()))</f>
        <v/>
      </c>
      <c r="BK314" s="76" t="str">
        <f aca="false">IF($BA314&gt;$AZ$7,"",VLOOKUP($BA314,$BC$8:$BI$507,2,FALSE()))</f>
        <v/>
      </c>
      <c r="BL314" s="76" t="str">
        <f aca="false">IF($BA314&gt;$AZ$7,"",VLOOKUP($BA314,$BC$8:$BI$507,3,FALSE()))</f>
        <v/>
      </c>
      <c r="BM314" s="76" t="str">
        <f aca="false">IF($BA314&gt;$AZ$7,"",VLOOKUP($BA314,$BC$8:$BI$507,4,FALSE()))</f>
        <v/>
      </c>
      <c r="BN314" s="76" t="str">
        <f aca="false">IF($BA314&gt;$AZ$7,"",VLOOKUP($BA314,$BC$8:$BI$507,5,FALSE()))</f>
        <v/>
      </c>
      <c r="BO314" s="77" t="str">
        <f aca="false">IF($BA314&gt;$AZ$7,"",VLOOKUP($BA314,$BC$8:$BI$507,6,FALSE()))</f>
        <v/>
      </c>
      <c r="BP314" s="52"/>
    </row>
    <row r="315" customFormat="false" ht="15.75" hidden="false" customHeight="false" outlineLevel="0" collapsed="false">
      <c r="A315" s="5"/>
      <c r="B315" s="118"/>
      <c r="C315" s="54"/>
      <c r="D315" s="55"/>
      <c r="E315" s="79"/>
      <c r="F315" s="57"/>
      <c r="G315" s="58"/>
      <c r="H315" s="58"/>
      <c r="I315" s="57"/>
      <c r="J315" s="58"/>
      <c r="K315" s="58"/>
      <c r="L315" s="57"/>
      <c r="M315" s="79"/>
      <c r="N315" s="60"/>
      <c r="O315" s="62" t="str">
        <f aca="false">IF(ISBLANK($C315),"",IF(E315=Constants!$B$2, TRUE(), IF(E315=Constants!$B$3, FALSE(), TRUE())))</f>
        <v/>
      </c>
      <c r="P315" s="62" t="str">
        <f aca="false">IF(ISBLANK($C315),"",IF(F315=Constants!$B$16,Constants!$B$9,IF(F315=Constants!$B$17,Constants!$B$10,Constants!$B$8)))</f>
        <v/>
      </c>
      <c r="Q315" s="62" t="str">
        <f aca="false">IF(ISBLANK($C315),"",IF(ISNUMBER(G315),IF(G315&gt;=0,G315,""),""))</f>
        <v/>
      </c>
      <c r="R315" s="62" t="str">
        <f aca="false">IF(ISBLANK($C315),"",IF(H315=Constants!$B$2, TRUE(), IF(H315=Constants!$B$3, FALSE(), TRUE())))</f>
        <v/>
      </c>
      <c r="S315" s="62" t="str">
        <f aca="false">IF(ISBLANK($C315),"",IF(I315=Constants!$B$2, TRUE(), IF(I315=Constants!$B$3, FALSE(), TRUE())))</f>
        <v/>
      </c>
      <c r="T315" s="62" t="str">
        <f aca="false">IF(ISBLANK($C315),"",IF(ISNUMBER(J315),IF(J315&gt;=0,J315,""),""))</f>
        <v/>
      </c>
      <c r="U315" s="62" t="str">
        <f aca="false">IF(ISBLANK($C315),"",IF(K315=Constants!$B$2, TRUE(), IF(K315=Constants!$B$3, FALSE(), TRUE())))</f>
        <v/>
      </c>
      <c r="V315" s="62" t="str">
        <f aca="false">IF(ISBLANK($C315),"",IF(L315=Constants!$B$2, TRUE(), IF(L315=Constants!$B$3, FALSE(), TRUE())))</f>
        <v/>
      </c>
      <c r="W315" s="62" t="str">
        <f aca="false">IF(ISBLANK($C315),"",IF(M315=Constants!$B$2, TRUE(), IF(M315=Constants!$B$3, FALSE(), FALSE())))</f>
        <v/>
      </c>
      <c r="X315" s="62" t="str">
        <f aca="false">IF(ISBLANK($C315),"",AND(Q315&lt;&gt;"",O315))</f>
        <v/>
      </c>
      <c r="Y315" s="62" t="str">
        <f aca="false">IF(ISBLANK($C315),"",AND(T315&lt;&gt;"",O315))</f>
        <v/>
      </c>
      <c r="Z315" s="62" t="str">
        <f aca="false">IF(ISBLANK($C315),"",IF(W315,Constants!$B$4,IF(COUNTA(E315:L315)=0,Constants!$B$5,IF(NOT(O315),Constants!$B$6,IF(AND(NOT(X315),NOT(Y315)),Constants!$B$6,Constants!$B$7)))))</f>
        <v/>
      </c>
      <c r="AA315" s="62" t="str">
        <f aca="false">IF(ISBLANK($C315),"",IF($Z315&lt;&gt;Constants!$B$7,$Z315,Constants!$B$20))</f>
        <v/>
      </c>
      <c r="AB315" s="62" t="str">
        <f aca="false">IF($Z315=Constants!$B$7,IF(X315,Q315,Constants!$B$13),"")</f>
        <v/>
      </c>
      <c r="AC315" s="62" t="str">
        <f aca="false">IF($Z315=Constants!$B$7,IF(X315,P315*IF(R315, 1, Constants!$B$11)*IF(S315, 1, Constants!$B$12),Constants!$B$13),"")</f>
        <v/>
      </c>
      <c r="AD315" s="62" t="str">
        <f aca="false">IF($Z315=Constants!$B$7,AB315*AC315,"")</f>
        <v/>
      </c>
      <c r="AE315" s="62" t="str">
        <f aca="false">IF($Z315=Constants!$B$7,IF(Y315,T315,Constants!$B$13),"")</f>
        <v/>
      </c>
      <c r="AF315" s="62" t="str">
        <f aca="false">IF($Z315=Constants!$B$7,IF(Y315,P315*IF(U315, 1, Constants!$B$11)*IF(V315, 1, Constants!$B$12),Constants!$B$13),"")</f>
        <v/>
      </c>
      <c r="AG315" s="62" t="str">
        <f aca="false">IF($Z315=Constants!$B$7,AE315*AF315,"")</f>
        <v/>
      </c>
      <c r="AH315" s="62" t="str">
        <f aca="false">IF($Z315=Constants!$B$7,IF(AG315&gt;AD315,2,1),"")</f>
        <v/>
      </c>
      <c r="AI315" s="62" t="str">
        <f aca="false">IF($Z315=Constants!$B$7,IF(AH315=1,2,1),"")</f>
        <v/>
      </c>
      <c r="AJ315" s="62" t="str">
        <f aca="false">IF(ISBLANK($C315),"",IF($Z315&lt;&gt;Constants!$B$7,$Z315,IF(AH315=1,AD315,AG315)))</f>
        <v/>
      </c>
      <c r="AK315" s="62" t="str">
        <f aca="false">IF(ISBLANK($C315),"",IF($Z315=Constants!$B$7,IF(ISNUMBER(AJ315),RANK(AJ315,$AJ$8:$AJ$507),Constants!$B$14),$Z315))</f>
        <v/>
      </c>
      <c r="AL315" s="62" t="str">
        <f aca="false">IF(ISBLANK($C315),"",IF($Z315=Constants!$B$7,IF(AI315=1,AD315,AG315),""))</f>
        <v/>
      </c>
      <c r="AM315" s="62" t="str">
        <f aca="false">IF(ISBLANK($C315),"",IF($Z315=Constants!$B$7,RANK(AL315,$AL$8:$AL$507),$Z315))</f>
        <v/>
      </c>
      <c r="AN315" s="62" t="str">
        <f aca="false">IF(ISBLANK($C315),"",IF($Z315=Constants!$B$7,IF(ISNUMBER(AK315),COUNTIFS($AK$8:$AK$507,"&lt;"&amp;$AK315)+COUNTIFS($AK$8:$AK$507,$AK315,$AM$8:$AM$507,"&lt;"&amp;$AM315)+1,Constants!$B$14),$Z315))</f>
        <v/>
      </c>
      <c r="AO315" s="62" t="str">
        <f aca="false">IF(ISBLANK($C315),"",IF($Z315=Constants!$B$7,IF(ISNUMBER(AK315),AK315-AN315,Constants!$B$14),$Z315))</f>
        <v/>
      </c>
      <c r="AP315" s="64"/>
      <c r="AQ315" s="65" t="str">
        <f aca="false">IF(ISBLANK($C315),"",IF($Z315&lt;&gt;Constants!$B$7,"",AH315))</f>
        <v/>
      </c>
      <c r="AR315" s="80" t="str">
        <f aca="false">IF(ISBLANK($C315),"",IF($Z315&lt;&gt;Constants!$B$7,"",IF(AH315=1,AB315,AE315)))</f>
        <v/>
      </c>
      <c r="AS315" s="67" t="str">
        <f aca="false">IF(ISBLANK($C315),"",IF($Z315&lt;&gt;Constants!$B$7,"",IF(AH315=1,AC315,AF315)))</f>
        <v/>
      </c>
      <c r="AT315" s="68" t="str">
        <f aca="false">IF(ISBLANK($C315),"",IF($Z315&lt;&gt;Constants!$B$7,$Z315,AJ315))</f>
        <v/>
      </c>
      <c r="AU315" s="69" t="str">
        <f aca="false">IF(ISBLANK($C315),"",IF($Z315&lt;&gt;Constants!$B$7,$Z315,AA315))</f>
        <v/>
      </c>
      <c r="AV315" s="70" t="str">
        <f aca="false">IF(ISBLANK($C315),"",AO315)</f>
        <v/>
      </c>
      <c r="AW315" s="70" t="str">
        <f aca="false">IF(ISBLANK($C315),"",AN315)</f>
        <v/>
      </c>
      <c r="AX315" s="71" t="str">
        <f aca="false">IF(ISBLANK($C315),"",IFERROR(_xlfn.SWITCH(AW315,Constants!$B$4,COUNTA($C$8:$C$507)+2,Constants!$B$5,COUNTA($C$8:$C$507)+1,Constants!$B$6,COUNTA($C$8:$C$507)),AW315))</f>
        <v/>
      </c>
      <c r="AY315" s="5"/>
      <c r="AZ315" s="72" t="n">
        <f aca="false">IF(OR(ISNUMBER(AW315),AW315=Constants!$B$4,AW315=Constants!$B$6,AW315=Constants!$B$5),1,0)</f>
        <v>0</v>
      </c>
      <c r="BA315" s="72" t="n">
        <v>308</v>
      </c>
      <c r="BB315" s="72" t="str">
        <f aca="false">IF(ISBLANK($C315),"",IF(ISNUMBER(AX315),AX315+ROW($B315)/1000,""))</f>
        <v/>
      </c>
      <c r="BC315" s="72" t="str">
        <f aca="false">IF(ISNUMBER(BB315),RANK(BB315,$BB$8:$BB$507,1),"")</f>
        <v/>
      </c>
      <c r="BD315" s="72" t="str">
        <f aca="false">IF(ISBLANK($C315),"",$B315)</f>
        <v/>
      </c>
      <c r="BE315" s="72" t="str">
        <f aca="false">IF(ISBLANK($C315),"",$C315)</f>
        <v/>
      </c>
      <c r="BF315" s="72" t="str">
        <f aca="false">IF(ISBLANK($C315),"",$D315)</f>
        <v/>
      </c>
      <c r="BG315" s="73" t="str">
        <f aca="false">AU315</f>
        <v/>
      </c>
      <c r="BH315" s="74" t="str">
        <f aca="false">AT315</f>
        <v/>
      </c>
      <c r="BI315" s="72" t="str">
        <f aca="false">IF(ISBLANK($C315),"",AW315)</f>
        <v/>
      </c>
      <c r="BJ315" s="75" t="str">
        <f aca="false">IF($BA315&gt;$AZ$7,"",VLOOKUP($BA315,$BC$8:$BI$507,7,FALSE()))</f>
        <v/>
      </c>
      <c r="BK315" s="76" t="str">
        <f aca="false">IF($BA315&gt;$AZ$7,"",VLOOKUP($BA315,$BC$8:$BI$507,2,FALSE()))</f>
        <v/>
      </c>
      <c r="BL315" s="76" t="str">
        <f aca="false">IF($BA315&gt;$AZ$7,"",VLOOKUP($BA315,$BC$8:$BI$507,3,FALSE()))</f>
        <v/>
      </c>
      <c r="BM315" s="76" t="str">
        <f aca="false">IF($BA315&gt;$AZ$7,"",VLOOKUP($BA315,$BC$8:$BI$507,4,FALSE()))</f>
        <v/>
      </c>
      <c r="BN315" s="76" t="str">
        <f aca="false">IF($BA315&gt;$AZ$7,"",VLOOKUP($BA315,$BC$8:$BI$507,5,FALSE()))</f>
        <v/>
      </c>
      <c r="BO315" s="77" t="str">
        <f aca="false">IF($BA315&gt;$AZ$7,"",VLOOKUP($BA315,$BC$8:$BI$507,6,FALSE()))</f>
        <v/>
      </c>
      <c r="BP315" s="52"/>
    </row>
    <row r="316" customFormat="false" ht="15.75" hidden="false" customHeight="false" outlineLevel="0" collapsed="false">
      <c r="A316" s="5"/>
      <c r="B316" s="118"/>
      <c r="C316" s="54"/>
      <c r="D316" s="55"/>
      <c r="E316" s="79"/>
      <c r="F316" s="57"/>
      <c r="G316" s="58"/>
      <c r="H316" s="58"/>
      <c r="I316" s="57"/>
      <c r="J316" s="58"/>
      <c r="K316" s="58"/>
      <c r="L316" s="57"/>
      <c r="M316" s="79"/>
      <c r="N316" s="60"/>
      <c r="O316" s="62" t="str">
        <f aca="false">IF(ISBLANK($C316),"",IF(E316=Constants!$B$2, TRUE(), IF(E316=Constants!$B$3, FALSE(), TRUE())))</f>
        <v/>
      </c>
      <c r="P316" s="62" t="str">
        <f aca="false">IF(ISBLANK($C316),"",IF(F316=Constants!$B$16,Constants!$B$9,IF(F316=Constants!$B$17,Constants!$B$10,Constants!$B$8)))</f>
        <v/>
      </c>
      <c r="Q316" s="62" t="str">
        <f aca="false">IF(ISBLANK($C316),"",IF(ISNUMBER(G316),IF(G316&gt;=0,G316,""),""))</f>
        <v/>
      </c>
      <c r="R316" s="62" t="str">
        <f aca="false">IF(ISBLANK($C316),"",IF(H316=Constants!$B$2, TRUE(), IF(H316=Constants!$B$3, FALSE(), TRUE())))</f>
        <v/>
      </c>
      <c r="S316" s="62" t="str">
        <f aca="false">IF(ISBLANK($C316),"",IF(I316=Constants!$B$2, TRUE(), IF(I316=Constants!$B$3, FALSE(), TRUE())))</f>
        <v/>
      </c>
      <c r="T316" s="62" t="str">
        <f aca="false">IF(ISBLANK($C316),"",IF(ISNUMBER(J316),IF(J316&gt;=0,J316,""),""))</f>
        <v/>
      </c>
      <c r="U316" s="62" t="str">
        <f aca="false">IF(ISBLANK($C316),"",IF(K316=Constants!$B$2, TRUE(), IF(K316=Constants!$B$3, FALSE(), TRUE())))</f>
        <v/>
      </c>
      <c r="V316" s="62" t="str">
        <f aca="false">IF(ISBLANK($C316),"",IF(L316=Constants!$B$2, TRUE(), IF(L316=Constants!$B$3, FALSE(), TRUE())))</f>
        <v/>
      </c>
      <c r="W316" s="62" t="str">
        <f aca="false">IF(ISBLANK($C316),"",IF(M316=Constants!$B$2, TRUE(), IF(M316=Constants!$B$3, FALSE(), FALSE())))</f>
        <v/>
      </c>
      <c r="X316" s="62" t="str">
        <f aca="false">IF(ISBLANK($C316),"",AND(Q316&lt;&gt;"",O316))</f>
        <v/>
      </c>
      <c r="Y316" s="62" t="str">
        <f aca="false">IF(ISBLANK($C316),"",AND(T316&lt;&gt;"",O316))</f>
        <v/>
      </c>
      <c r="Z316" s="62" t="str">
        <f aca="false">IF(ISBLANK($C316),"",IF(W316,Constants!$B$4,IF(COUNTA(E316:L316)=0,Constants!$B$5,IF(NOT(O316),Constants!$B$6,IF(AND(NOT(X316),NOT(Y316)),Constants!$B$6,Constants!$B$7)))))</f>
        <v/>
      </c>
      <c r="AA316" s="62" t="str">
        <f aca="false">IF(ISBLANK($C316),"",IF($Z316&lt;&gt;Constants!$B$7,$Z316,Constants!$B$20))</f>
        <v/>
      </c>
      <c r="AB316" s="62" t="str">
        <f aca="false">IF($Z316=Constants!$B$7,IF(X316,Q316,Constants!$B$13),"")</f>
        <v/>
      </c>
      <c r="AC316" s="62" t="str">
        <f aca="false">IF($Z316=Constants!$B$7,IF(X316,P316*IF(R316, 1, Constants!$B$11)*IF(S316, 1, Constants!$B$12),Constants!$B$13),"")</f>
        <v/>
      </c>
      <c r="AD316" s="62" t="str">
        <f aca="false">IF($Z316=Constants!$B$7,AB316*AC316,"")</f>
        <v/>
      </c>
      <c r="AE316" s="62" t="str">
        <f aca="false">IF($Z316=Constants!$B$7,IF(Y316,T316,Constants!$B$13),"")</f>
        <v/>
      </c>
      <c r="AF316" s="62" t="str">
        <f aca="false">IF($Z316=Constants!$B$7,IF(Y316,P316*IF(U316, 1, Constants!$B$11)*IF(V316, 1, Constants!$B$12),Constants!$B$13),"")</f>
        <v/>
      </c>
      <c r="AG316" s="62" t="str">
        <f aca="false">IF($Z316=Constants!$B$7,AE316*AF316,"")</f>
        <v/>
      </c>
      <c r="AH316" s="62" t="str">
        <f aca="false">IF($Z316=Constants!$B$7,IF(AG316&gt;AD316,2,1),"")</f>
        <v/>
      </c>
      <c r="AI316" s="62" t="str">
        <f aca="false">IF($Z316=Constants!$B$7,IF(AH316=1,2,1),"")</f>
        <v/>
      </c>
      <c r="AJ316" s="62" t="str">
        <f aca="false">IF(ISBLANK($C316),"",IF($Z316&lt;&gt;Constants!$B$7,$Z316,IF(AH316=1,AD316,AG316)))</f>
        <v/>
      </c>
      <c r="AK316" s="62" t="str">
        <f aca="false">IF(ISBLANK($C316),"",IF($Z316=Constants!$B$7,IF(ISNUMBER(AJ316),RANK(AJ316,$AJ$8:$AJ$507),Constants!$B$14),$Z316))</f>
        <v/>
      </c>
      <c r="AL316" s="62" t="str">
        <f aca="false">IF(ISBLANK($C316),"",IF($Z316=Constants!$B$7,IF(AI316=1,AD316,AG316),""))</f>
        <v/>
      </c>
      <c r="AM316" s="62" t="str">
        <f aca="false">IF(ISBLANK($C316),"",IF($Z316=Constants!$B$7,RANK(AL316,$AL$8:$AL$507),$Z316))</f>
        <v/>
      </c>
      <c r="AN316" s="62" t="str">
        <f aca="false">IF(ISBLANK($C316),"",IF($Z316=Constants!$B$7,IF(ISNUMBER(AK316),COUNTIFS($AK$8:$AK$507,"&lt;"&amp;$AK316)+COUNTIFS($AK$8:$AK$507,$AK316,$AM$8:$AM$507,"&lt;"&amp;$AM316)+1,Constants!$B$14),$Z316))</f>
        <v/>
      </c>
      <c r="AO316" s="62" t="str">
        <f aca="false">IF(ISBLANK($C316),"",IF($Z316=Constants!$B$7,IF(ISNUMBER(AK316),AK316-AN316,Constants!$B$14),$Z316))</f>
        <v/>
      </c>
      <c r="AP316" s="64"/>
      <c r="AQ316" s="65" t="str">
        <f aca="false">IF(ISBLANK($C316),"",IF($Z316&lt;&gt;Constants!$B$7,"",AH316))</f>
        <v/>
      </c>
      <c r="AR316" s="80" t="str">
        <f aca="false">IF(ISBLANK($C316),"",IF($Z316&lt;&gt;Constants!$B$7,"",IF(AH316=1,AB316,AE316)))</f>
        <v/>
      </c>
      <c r="AS316" s="67" t="str">
        <f aca="false">IF(ISBLANK($C316),"",IF($Z316&lt;&gt;Constants!$B$7,"",IF(AH316=1,AC316,AF316)))</f>
        <v/>
      </c>
      <c r="AT316" s="68" t="str">
        <f aca="false">IF(ISBLANK($C316),"",IF($Z316&lt;&gt;Constants!$B$7,$Z316,AJ316))</f>
        <v/>
      </c>
      <c r="AU316" s="69" t="str">
        <f aca="false">IF(ISBLANK($C316),"",IF($Z316&lt;&gt;Constants!$B$7,$Z316,AA316))</f>
        <v/>
      </c>
      <c r="AV316" s="70" t="str">
        <f aca="false">IF(ISBLANK($C316),"",AO316)</f>
        <v/>
      </c>
      <c r="AW316" s="70" t="str">
        <f aca="false">IF(ISBLANK($C316),"",AN316)</f>
        <v/>
      </c>
      <c r="AX316" s="71" t="str">
        <f aca="false">IF(ISBLANK($C316),"",IFERROR(_xlfn.SWITCH(AW316,Constants!$B$4,COUNTA($C$8:$C$507)+2,Constants!$B$5,COUNTA($C$8:$C$507)+1,Constants!$B$6,COUNTA($C$8:$C$507)),AW316))</f>
        <v/>
      </c>
      <c r="AY316" s="5"/>
      <c r="AZ316" s="72" t="n">
        <f aca="false">IF(OR(ISNUMBER(AW316),AW316=Constants!$B$4,AW316=Constants!$B$6,AW316=Constants!$B$5),1,0)</f>
        <v>0</v>
      </c>
      <c r="BA316" s="72" t="n">
        <v>309</v>
      </c>
      <c r="BB316" s="72" t="str">
        <f aca="false">IF(ISBLANK($C316),"",IF(ISNUMBER(AX316),AX316+ROW($B316)/1000,""))</f>
        <v/>
      </c>
      <c r="BC316" s="72" t="str">
        <f aca="false">IF(ISNUMBER(BB316),RANK(BB316,$BB$8:$BB$507,1),"")</f>
        <v/>
      </c>
      <c r="BD316" s="72" t="str">
        <f aca="false">IF(ISBLANK($C316),"",$B316)</f>
        <v/>
      </c>
      <c r="BE316" s="72" t="str">
        <f aca="false">IF(ISBLANK($C316),"",$C316)</f>
        <v/>
      </c>
      <c r="BF316" s="72" t="str">
        <f aca="false">IF(ISBLANK($C316),"",$D316)</f>
        <v/>
      </c>
      <c r="BG316" s="73" t="str">
        <f aca="false">AU316</f>
        <v/>
      </c>
      <c r="BH316" s="74" t="str">
        <f aca="false">AT316</f>
        <v/>
      </c>
      <c r="BI316" s="72" t="str">
        <f aca="false">IF(ISBLANK($C316),"",AW316)</f>
        <v/>
      </c>
      <c r="BJ316" s="75" t="str">
        <f aca="false">IF($BA316&gt;$AZ$7,"",VLOOKUP($BA316,$BC$8:$BI$507,7,FALSE()))</f>
        <v/>
      </c>
      <c r="BK316" s="76" t="str">
        <f aca="false">IF($BA316&gt;$AZ$7,"",VLOOKUP($BA316,$BC$8:$BI$507,2,FALSE()))</f>
        <v/>
      </c>
      <c r="BL316" s="76" t="str">
        <f aca="false">IF($BA316&gt;$AZ$7,"",VLOOKUP($BA316,$BC$8:$BI$507,3,FALSE()))</f>
        <v/>
      </c>
      <c r="BM316" s="76" t="str">
        <f aca="false">IF($BA316&gt;$AZ$7,"",VLOOKUP($BA316,$BC$8:$BI$507,4,FALSE()))</f>
        <v/>
      </c>
      <c r="BN316" s="76" t="str">
        <f aca="false">IF($BA316&gt;$AZ$7,"",VLOOKUP($BA316,$BC$8:$BI$507,5,FALSE()))</f>
        <v/>
      </c>
      <c r="BO316" s="77" t="str">
        <f aca="false">IF($BA316&gt;$AZ$7,"",VLOOKUP($BA316,$BC$8:$BI$507,6,FALSE()))</f>
        <v/>
      </c>
      <c r="BP316" s="52"/>
    </row>
    <row r="317" customFormat="false" ht="15.75" hidden="false" customHeight="false" outlineLevel="0" collapsed="false">
      <c r="A317" s="5"/>
      <c r="B317" s="114"/>
      <c r="C317" s="115"/>
      <c r="D317" s="106"/>
      <c r="E317" s="117"/>
      <c r="F317" s="87"/>
      <c r="G317" s="88"/>
      <c r="H317" s="88"/>
      <c r="I317" s="87"/>
      <c r="J317" s="88"/>
      <c r="K317" s="88"/>
      <c r="L317" s="87"/>
      <c r="M317" s="117"/>
      <c r="N317" s="90"/>
      <c r="O317" s="91" t="str">
        <f aca="false">IF(ISBLANK($C317),"",IF(E317=Constants!$B$2, TRUE(), IF(E317=Constants!$B$3, FALSE(), TRUE())))</f>
        <v/>
      </c>
      <c r="P317" s="91" t="str">
        <f aca="false">IF(ISBLANK($C317),"",IF(F317=Constants!$B$16,Constants!$B$9,IF(F317=Constants!$B$17,Constants!$B$10,Constants!$B$8)))</f>
        <v/>
      </c>
      <c r="Q317" s="91" t="str">
        <f aca="false">IF(ISBLANK($C317),"",IF(ISNUMBER(G317),IF(G317&gt;=0,G317,""),""))</f>
        <v/>
      </c>
      <c r="R317" s="91" t="str">
        <f aca="false">IF(ISBLANK($C317),"",IF(H317=Constants!$B$2, TRUE(), IF(H317=Constants!$B$3, FALSE(), TRUE())))</f>
        <v/>
      </c>
      <c r="S317" s="91" t="str">
        <f aca="false">IF(ISBLANK($C317),"",IF(I317=Constants!$B$2, TRUE(), IF(I317=Constants!$B$3, FALSE(), TRUE())))</f>
        <v/>
      </c>
      <c r="T317" s="91" t="str">
        <f aca="false">IF(ISBLANK($C317),"",IF(ISNUMBER(J317),IF(J317&gt;=0,J317,""),""))</f>
        <v/>
      </c>
      <c r="U317" s="91" t="str">
        <f aca="false">IF(ISBLANK($C317),"",IF(K317=Constants!$B$2, TRUE(), IF(K317=Constants!$B$3, FALSE(), TRUE())))</f>
        <v/>
      </c>
      <c r="V317" s="91" t="str">
        <f aca="false">IF(ISBLANK($C317),"",IF(L317=Constants!$B$2, TRUE(), IF(L317=Constants!$B$3, FALSE(), TRUE())))</f>
        <v/>
      </c>
      <c r="W317" s="91" t="str">
        <f aca="false">IF(ISBLANK($C317),"",IF(M317=Constants!$B$2, TRUE(), IF(M317=Constants!$B$3, FALSE(), FALSE())))</f>
        <v/>
      </c>
      <c r="X317" s="91" t="str">
        <f aca="false">IF(ISBLANK($C317),"",AND(Q317&lt;&gt;"",O317))</f>
        <v/>
      </c>
      <c r="Y317" s="91" t="str">
        <f aca="false">IF(ISBLANK($C317),"",AND(T317&lt;&gt;"",O317))</f>
        <v/>
      </c>
      <c r="Z317" s="91" t="str">
        <f aca="false">IF(ISBLANK($C317),"",IF(W317,Constants!$B$4,IF(COUNTA(E317:L317)=0,Constants!$B$5,IF(NOT(O317),Constants!$B$6,IF(AND(NOT(X317),NOT(Y317)),Constants!$B$6,Constants!$B$7)))))</f>
        <v/>
      </c>
      <c r="AA317" s="91" t="str">
        <f aca="false">IF(ISBLANK($C317),"",IF($Z317&lt;&gt;Constants!$B$7,$Z317,Constants!$B$20))</f>
        <v/>
      </c>
      <c r="AB317" s="91" t="str">
        <f aca="false">IF($Z317=Constants!$B$7,IF(X317,Q317,Constants!$B$13),"")</f>
        <v/>
      </c>
      <c r="AC317" s="91" t="str">
        <f aca="false">IF($Z317=Constants!$B$7,IF(X317,P317*IF(R317, 1, Constants!$B$11)*IF(S317, 1, Constants!$B$12),Constants!$B$13),"")</f>
        <v/>
      </c>
      <c r="AD317" s="91" t="str">
        <f aca="false">IF($Z317=Constants!$B$7,AB317*AC317,"")</f>
        <v/>
      </c>
      <c r="AE317" s="91" t="str">
        <f aca="false">IF($Z317=Constants!$B$7,IF(Y317,T317,Constants!$B$13),"")</f>
        <v/>
      </c>
      <c r="AF317" s="91" t="str">
        <f aca="false">IF($Z317=Constants!$B$7,IF(Y317,P317*IF(U317, 1, Constants!$B$11)*IF(V317, 1, Constants!$B$12),Constants!$B$13),"")</f>
        <v/>
      </c>
      <c r="AG317" s="91" t="str">
        <f aca="false">IF($Z317=Constants!$B$7,AE317*AF317,"")</f>
        <v/>
      </c>
      <c r="AH317" s="91" t="str">
        <f aca="false">IF($Z317=Constants!$B$7,IF(AG317&gt;AD317,2,1),"")</f>
        <v/>
      </c>
      <c r="AI317" s="91" t="str">
        <f aca="false">IF($Z317=Constants!$B$7,IF(AH317=1,2,1),"")</f>
        <v/>
      </c>
      <c r="AJ317" s="91" t="str">
        <f aca="false">IF(ISBLANK($C317),"",IF($Z317&lt;&gt;Constants!$B$7,$Z317,IF(AH317=1,AD317,AG317)))</f>
        <v/>
      </c>
      <c r="AK317" s="91" t="str">
        <f aca="false">IF(ISBLANK($C317),"",IF($Z317=Constants!$B$7,IF(ISNUMBER(AJ317),RANK(AJ317,$AJ$8:$AJ$507),Constants!$B$14),$Z317))</f>
        <v/>
      </c>
      <c r="AL317" s="91" t="str">
        <f aca="false">IF(ISBLANK($C317),"",IF($Z317=Constants!$B$7,IF(AI317=1,AD317,AG317),""))</f>
        <v/>
      </c>
      <c r="AM317" s="91" t="str">
        <f aca="false">IF(ISBLANK($C317),"",IF($Z317=Constants!$B$7,RANK(AL317,$AL$8:$AL$507),$Z317))</f>
        <v/>
      </c>
      <c r="AN317" s="91" t="str">
        <f aca="false">IF(ISBLANK($C317),"",IF($Z317=Constants!$B$7,IF(ISNUMBER(AK317),COUNTIFS($AK$8:$AK$507,"&lt;"&amp;$AK317)+COUNTIFS($AK$8:$AK$507,$AK317,$AM$8:$AM$507,"&lt;"&amp;$AM317)+1,Constants!$B$14),$Z317))</f>
        <v/>
      </c>
      <c r="AO317" s="91" t="str">
        <f aca="false">IF(ISBLANK($C317),"",IF($Z317=Constants!$B$7,IF(ISNUMBER(AK317),AK317-AN317,Constants!$B$14),$Z317))</f>
        <v/>
      </c>
      <c r="AP317" s="92"/>
      <c r="AQ317" s="93" t="str">
        <f aca="false">IF(ISBLANK($C317),"",IF($Z317&lt;&gt;Constants!$B$7,"",AH317))</f>
        <v/>
      </c>
      <c r="AR317" s="94" t="str">
        <f aca="false">IF(ISBLANK($C317),"",IF($Z317&lt;&gt;Constants!$B$7,"",IF(AH317=1,AB317,AE317)))</f>
        <v/>
      </c>
      <c r="AS317" s="95" t="str">
        <f aca="false">IF(ISBLANK($C317),"",IF($Z317&lt;&gt;Constants!$B$7,"",IF(AH317=1,AC317,AF317)))</f>
        <v/>
      </c>
      <c r="AT317" s="96" t="str">
        <f aca="false">IF(ISBLANK($C317),"",IF($Z317&lt;&gt;Constants!$B$7,$Z317,AJ317))</f>
        <v/>
      </c>
      <c r="AU317" s="97" t="str">
        <f aca="false">IF(ISBLANK($C317),"",IF($Z317&lt;&gt;Constants!$B$7,$Z317,AA317))</f>
        <v/>
      </c>
      <c r="AV317" s="98" t="str">
        <f aca="false">IF(ISBLANK($C317),"",AO317)</f>
        <v/>
      </c>
      <c r="AW317" s="98" t="str">
        <f aca="false">IF(ISBLANK($C317),"",AN317)</f>
        <v/>
      </c>
      <c r="AX317" s="99" t="str">
        <f aca="false">IF(ISBLANK($C317),"",IFERROR(_xlfn.SWITCH(AW317,Constants!$B$4,COUNTA($C$8:$C$507)+2,Constants!$B$5,COUNTA($C$8:$C$507)+1,Constants!$B$6,COUNTA($C$8:$C$507)),AW317))</f>
        <v/>
      </c>
      <c r="AY317" s="5"/>
      <c r="AZ317" s="100" t="n">
        <f aca="false">IF(OR(ISNUMBER(AW317),AW317=Constants!$B$4,AW317=Constants!$B$6,AW317=Constants!$B$5),1,0)</f>
        <v>0</v>
      </c>
      <c r="BA317" s="100" t="n">
        <v>310</v>
      </c>
      <c r="BB317" s="100" t="str">
        <f aca="false">IF(ISBLANK($C317),"",IF(ISNUMBER(AX317),AX317+ROW($B317)/1000,""))</f>
        <v/>
      </c>
      <c r="BC317" s="100" t="str">
        <f aca="false">IF(ISNUMBER(BB317),RANK(BB317,$BB$8:$BB$507,1),"")</f>
        <v/>
      </c>
      <c r="BD317" s="100" t="str">
        <f aca="false">IF(ISBLANK($C317),"",$B317)</f>
        <v/>
      </c>
      <c r="BE317" s="100" t="str">
        <f aca="false">IF(ISBLANK($C317),"",$C317)</f>
        <v/>
      </c>
      <c r="BF317" s="100" t="str">
        <f aca="false">IF(ISBLANK($C317),"",$D317)</f>
        <v/>
      </c>
      <c r="BG317" s="101" t="str">
        <f aca="false">AU317</f>
        <v/>
      </c>
      <c r="BH317" s="102" t="str">
        <f aca="false">AT317</f>
        <v/>
      </c>
      <c r="BI317" s="100" t="str">
        <f aca="false">IF(ISBLANK($C317),"",AW317)</f>
        <v/>
      </c>
      <c r="BJ317" s="103" t="str">
        <f aca="false">IF($BA317&gt;$AZ$7,"",VLOOKUP($BA317,$BC$8:$BI$507,7,FALSE()))</f>
        <v/>
      </c>
      <c r="BK317" s="104" t="str">
        <f aca="false">IF($BA317&gt;$AZ$7,"",VLOOKUP($BA317,$BC$8:$BI$507,2,FALSE()))</f>
        <v/>
      </c>
      <c r="BL317" s="104" t="str">
        <f aca="false">IF($BA317&gt;$AZ$7,"",VLOOKUP($BA317,$BC$8:$BI$507,3,FALSE()))</f>
        <v/>
      </c>
      <c r="BM317" s="104" t="str">
        <f aca="false">IF($BA317&gt;$AZ$7,"",VLOOKUP($BA317,$BC$8:$BI$507,4,FALSE()))</f>
        <v/>
      </c>
      <c r="BN317" s="104" t="str">
        <f aca="false">IF($BA317&gt;$AZ$7,"",VLOOKUP($BA317,$BC$8:$BI$507,5,FALSE()))</f>
        <v/>
      </c>
      <c r="BO317" s="105" t="str">
        <f aca="false">IF($BA317&gt;$AZ$7,"",VLOOKUP($BA317,$BC$8:$BI$507,6,FALSE()))</f>
        <v/>
      </c>
      <c r="BP317" s="52"/>
    </row>
    <row r="318" customFormat="false" ht="15.75" hidden="false" customHeight="false" outlineLevel="0" collapsed="false">
      <c r="A318" s="5"/>
      <c r="B318" s="114"/>
      <c r="C318" s="115"/>
      <c r="D318" s="106"/>
      <c r="E318" s="117"/>
      <c r="F318" s="87"/>
      <c r="G318" s="88"/>
      <c r="H318" s="88"/>
      <c r="I318" s="87"/>
      <c r="J318" s="88"/>
      <c r="K318" s="88"/>
      <c r="L318" s="87"/>
      <c r="M318" s="117"/>
      <c r="N318" s="90"/>
      <c r="O318" s="91" t="str">
        <f aca="false">IF(ISBLANK($C318),"",IF(E318=Constants!$B$2, TRUE(), IF(E318=Constants!$B$3, FALSE(), TRUE())))</f>
        <v/>
      </c>
      <c r="P318" s="91" t="str">
        <f aca="false">IF(ISBLANK($C318),"",IF(F318=Constants!$B$16,Constants!$B$9,IF(F318=Constants!$B$17,Constants!$B$10,Constants!$B$8)))</f>
        <v/>
      </c>
      <c r="Q318" s="91" t="str">
        <f aca="false">IF(ISBLANK($C318),"",IF(ISNUMBER(G318),IF(G318&gt;=0,G318,""),""))</f>
        <v/>
      </c>
      <c r="R318" s="91" t="str">
        <f aca="false">IF(ISBLANK($C318),"",IF(H318=Constants!$B$2, TRUE(), IF(H318=Constants!$B$3, FALSE(), TRUE())))</f>
        <v/>
      </c>
      <c r="S318" s="91" t="str">
        <f aca="false">IF(ISBLANK($C318),"",IF(I318=Constants!$B$2, TRUE(), IF(I318=Constants!$B$3, FALSE(), TRUE())))</f>
        <v/>
      </c>
      <c r="T318" s="91" t="str">
        <f aca="false">IF(ISBLANK($C318),"",IF(ISNUMBER(J318),IF(J318&gt;=0,J318,""),""))</f>
        <v/>
      </c>
      <c r="U318" s="91" t="str">
        <f aca="false">IF(ISBLANK($C318),"",IF(K318=Constants!$B$2, TRUE(), IF(K318=Constants!$B$3, FALSE(), TRUE())))</f>
        <v/>
      </c>
      <c r="V318" s="91" t="str">
        <f aca="false">IF(ISBLANK($C318),"",IF(L318=Constants!$B$2, TRUE(), IF(L318=Constants!$B$3, FALSE(), TRUE())))</f>
        <v/>
      </c>
      <c r="W318" s="91" t="str">
        <f aca="false">IF(ISBLANK($C318),"",IF(M318=Constants!$B$2, TRUE(), IF(M318=Constants!$B$3, FALSE(), FALSE())))</f>
        <v/>
      </c>
      <c r="X318" s="91" t="str">
        <f aca="false">IF(ISBLANK($C318),"",AND(Q318&lt;&gt;"",O318))</f>
        <v/>
      </c>
      <c r="Y318" s="91" t="str">
        <f aca="false">IF(ISBLANK($C318),"",AND(T318&lt;&gt;"",O318))</f>
        <v/>
      </c>
      <c r="Z318" s="91" t="str">
        <f aca="false">IF(ISBLANK($C318),"",IF(W318,Constants!$B$4,IF(COUNTA(E318:L318)=0,Constants!$B$5,IF(NOT(O318),Constants!$B$6,IF(AND(NOT(X318),NOT(Y318)),Constants!$B$6,Constants!$B$7)))))</f>
        <v/>
      </c>
      <c r="AA318" s="91" t="str">
        <f aca="false">IF(ISBLANK($C318),"",IF($Z318&lt;&gt;Constants!$B$7,$Z318,Constants!$B$20))</f>
        <v/>
      </c>
      <c r="AB318" s="91" t="str">
        <f aca="false">IF($Z318=Constants!$B$7,IF(X318,Q318,Constants!$B$13),"")</f>
        <v/>
      </c>
      <c r="AC318" s="91" t="str">
        <f aca="false">IF($Z318=Constants!$B$7,IF(X318,P318*IF(R318, 1, Constants!$B$11)*IF(S318, 1, Constants!$B$12),Constants!$B$13),"")</f>
        <v/>
      </c>
      <c r="AD318" s="91" t="str">
        <f aca="false">IF($Z318=Constants!$B$7,AB318*AC318,"")</f>
        <v/>
      </c>
      <c r="AE318" s="91" t="str">
        <f aca="false">IF($Z318=Constants!$B$7,IF(Y318,T318,Constants!$B$13),"")</f>
        <v/>
      </c>
      <c r="AF318" s="91" t="str">
        <f aca="false">IF($Z318=Constants!$B$7,IF(Y318,P318*IF(U318, 1, Constants!$B$11)*IF(V318, 1, Constants!$B$12),Constants!$B$13),"")</f>
        <v/>
      </c>
      <c r="AG318" s="91" t="str">
        <f aca="false">IF($Z318=Constants!$B$7,AE318*AF318,"")</f>
        <v/>
      </c>
      <c r="AH318" s="91" t="str">
        <f aca="false">IF($Z318=Constants!$B$7,IF(AG318&gt;AD318,2,1),"")</f>
        <v/>
      </c>
      <c r="AI318" s="91" t="str">
        <f aca="false">IF($Z318=Constants!$B$7,IF(AH318=1,2,1),"")</f>
        <v/>
      </c>
      <c r="AJ318" s="91" t="str">
        <f aca="false">IF(ISBLANK($C318),"",IF($Z318&lt;&gt;Constants!$B$7,$Z318,IF(AH318=1,AD318,AG318)))</f>
        <v/>
      </c>
      <c r="AK318" s="91" t="str">
        <f aca="false">IF(ISBLANK($C318),"",IF($Z318=Constants!$B$7,IF(ISNUMBER(AJ318),RANK(AJ318,$AJ$8:$AJ$507),Constants!$B$14),$Z318))</f>
        <v/>
      </c>
      <c r="AL318" s="91" t="str">
        <f aca="false">IF(ISBLANK($C318),"",IF($Z318=Constants!$B$7,IF(AI318=1,AD318,AG318),""))</f>
        <v/>
      </c>
      <c r="AM318" s="91" t="str">
        <f aca="false">IF(ISBLANK($C318),"",IF($Z318=Constants!$B$7,RANK(AL318,$AL$8:$AL$507),$Z318))</f>
        <v/>
      </c>
      <c r="AN318" s="91" t="str">
        <f aca="false">IF(ISBLANK($C318),"",IF($Z318=Constants!$B$7,IF(ISNUMBER(AK318),COUNTIFS($AK$8:$AK$507,"&lt;"&amp;$AK318)+COUNTIFS($AK$8:$AK$507,$AK318,$AM$8:$AM$507,"&lt;"&amp;$AM318)+1,Constants!$B$14),$Z318))</f>
        <v/>
      </c>
      <c r="AO318" s="91" t="str">
        <f aca="false">IF(ISBLANK($C318),"",IF($Z318=Constants!$B$7,IF(ISNUMBER(AK318),AK318-AN318,Constants!$B$14),$Z318))</f>
        <v/>
      </c>
      <c r="AP318" s="92"/>
      <c r="AQ318" s="93" t="str">
        <f aca="false">IF(ISBLANK($C318),"",IF($Z318&lt;&gt;Constants!$B$7,"",AH318))</f>
        <v/>
      </c>
      <c r="AR318" s="94" t="str">
        <f aca="false">IF(ISBLANK($C318),"",IF($Z318&lt;&gt;Constants!$B$7,"",IF(AH318=1,AB318,AE318)))</f>
        <v/>
      </c>
      <c r="AS318" s="95" t="str">
        <f aca="false">IF(ISBLANK($C318),"",IF($Z318&lt;&gt;Constants!$B$7,"",IF(AH318=1,AC318,AF318)))</f>
        <v/>
      </c>
      <c r="AT318" s="96" t="str">
        <f aca="false">IF(ISBLANK($C318),"",IF($Z318&lt;&gt;Constants!$B$7,$Z318,AJ318))</f>
        <v/>
      </c>
      <c r="AU318" s="97" t="str">
        <f aca="false">IF(ISBLANK($C318),"",IF($Z318&lt;&gt;Constants!$B$7,$Z318,AA318))</f>
        <v/>
      </c>
      <c r="AV318" s="98" t="str">
        <f aca="false">IF(ISBLANK($C318),"",AO318)</f>
        <v/>
      </c>
      <c r="AW318" s="98" t="str">
        <f aca="false">IF(ISBLANK($C318),"",AN318)</f>
        <v/>
      </c>
      <c r="AX318" s="99" t="str">
        <f aca="false">IF(ISBLANK($C318),"",IFERROR(_xlfn.SWITCH(AW318,Constants!$B$4,COUNTA($C$8:$C$507)+2,Constants!$B$5,COUNTA($C$8:$C$507)+1,Constants!$B$6,COUNTA($C$8:$C$507)),AW318))</f>
        <v/>
      </c>
      <c r="AY318" s="5"/>
      <c r="AZ318" s="100" t="n">
        <f aca="false">IF(OR(ISNUMBER(AW318),AW318=Constants!$B$4,AW318=Constants!$B$6,AW318=Constants!$B$5),1,0)</f>
        <v>0</v>
      </c>
      <c r="BA318" s="100" t="n">
        <v>311</v>
      </c>
      <c r="BB318" s="100" t="str">
        <f aca="false">IF(ISBLANK($C318),"",IF(ISNUMBER(AX318),AX318+ROW($B318)/1000,""))</f>
        <v/>
      </c>
      <c r="BC318" s="100" t="str">
        <f aca="false">IF(ISNUMBER(BB318),RANK(BB318,$BB$8:$BB$507,1),"")</f>
        <v/>
      </c>
      <c r="BD318" s="100" t="str">
        <f aca="false">IF(ISBLANK($C318),"",$B318)</f>
        <v/>
      </c>
      <c r="BE318" s="100" t="str">
        <f aca="false">IF(ISBLANK($C318),"",$C318)</f>
        <v/>
      </c>
      <c r="BF318" s="100" t="str">
        <f aca="false">IF(ISBLANK($C318),"",$D318)</f>
        <v/>
      </c>
      <c r="BG318" s="101" t="str">
        <f aca="false">AU318</f>
        <v/>
      </c>
      <c r="BH318" s="102" t="str">
        <f aca="false">AT318</f>
        <v/>
      </c>
      <c r="BI318" s="100" t="str">
        <f aca="false">IF(ISBLANK($C318),"",AW318)</f>
        <v/>
      </c>
      <c r="BJ318" s="103" t="str">
        <f aca="false">IF($BA318&gt;$AZ$7,"",VLOOKUP($BA318,$BC$8:$BI$507,7,FALSE()))</f>
        <v/>
      </c>
      <c r="BK318" s="104" t="str">
        <f aca="false">IF($BA318&gt;$AZ$7,"",VLOOKUP($BA318,$BC$8:$BI$507,2,FALSE()))</f>
        <v/>
      </c>
      <c r="BL318" s="104" t="str">
        <f aca="false">IF($BA318&gt;$AZ$7,"",VLOOKUP($BA318,$BC$8:$BI$507,3,FALSE()))</f>
        <v/>
      </c>
      <c r="BM318" s="104" t="str">
        <f aca="false">IF($BA318&gt;$AZ$7,"",VLOOKUP($BA318,$BC$8:$BI$507,4,FALSE()))</f>
        <v/>
      </c>
      <c r="BN318" s="104" t="str">
        <f aca="false">IF($BA318&gt;$AZ$7,"",VLOOKUP($BA318,$BC$8:$BI$507,5,FALSE()))</f>
        <v/>
      </c>
      <c r="BO318" s="105" t="str">
        <f aca="false">IF($BA318&gt;$AZ$7,"",VLOOKUP($BA318,$BC$8:$BI$507,6,FALSE()))</f>
        <v/>
      </c>
      <c r="BP318" s="52"/>
    </row>
    <row r="319" customFormat="false" ht="15.75" hidden="false" customHeight="false" outlineLevel="0" collapsed="false">
      <c r="A319" s="5"/>
      <c r="B319" s="114"/>
      <c r="C319" s="115"/>
      <c r="D319" s="106"/>
      <c r="E319" s="117"/>
      <c r="F319" s="87"/>
      <c r="G319" s="88"/>
      <c r="H319" s="88"/>
      <c r="I319" s="87"/>
      <c r="J319" s="88"/>
      <c r="K319" s="88"/>
      <c r="L319" s="87"/>
      <c r="M319" s="117"/>
      <c r="N319" s="90"/>
      <c r="O319" s="91" t="str">
        <f aca="false">IF(ISBLANK($C319),"",IF(E319=Constants!$B$2, TRUE(), IF(E319=Constants!$B$3, FALSE(), TRUE())))</f>
        <v/>
      </c>
      <c r="P319" s="91" t="str">
        <f aca="false">IF(ISBLANK($C319),"",IF(F319=Constants!$B$16,Constants!$B$9,IF(F319=Constants!$B$17,Constants!$B$10,Constants!$B$8)))</f>
        <v/>
      </c>
      <c r="Q319" s="91" t="str">
        <f aca="false">IF(ISBLANK($C319),"",IF(ISNUMBER(G319),IF(G319&gt;=0,G319,""),""))</f>
        <v/>
      </c>
      <c r="R319" s="91" t="str">
        <f aca="false">IF(ISBLANK($C319),"",IF(H319=Constants!$B$2, TRUE(), IF(H319=Constants!$B$3, FALSE(), TRUE())))</f>
        <v/>
      </c>
      <c r="S319" s="91" t="str">
        <f aca="false">IF(ISBLANK($C319),"",IF(I319=Constants!$B$2, TRUE(), IF(I319=Constants!$B$3, FALSE(), TRUE())))</f>
        <v/>
      </c>
      <c r="T319" s="91" t="str">
        <f aca="false">IF(ISBLANK($C319),"",IF(ISNUMBER(J319),IF(J319&gt;=0,J319,""),""))</f>
        <v/>
      </c>
      <c r="U319" s="91" t="str">
        <f aca="false">IF(ISBLANK($C319),"",IF(K319=Constants!$B$2, TRUE(), IF(K319=Constants!$B$3, FALSE(), TRUE())))</f>
        <v/>
      </c>
      <c r="V319" s="91" t="str">
        <f aca="false">IF(ISBLANK($C319),"",IF(L319=Constants!$B$2, TRUE(), IF(L319=Constants!$B$3, FALSE(), TRUE())))</f>
        <v/>
      </c>
      <c r="W319" s="91" t="str">
        <f aca="false">IF(ISBLANK($C319),"",IF(M319=Constants!$B$2, TRUE(), IF(M319=Constants!$B$3, FALSE(), FALSE())))</f>
        <v/>
      </c>
      <c r="X319" s="91" t="str">
        <f aca="false">IF(ISBLANK($C319),"",AND(Q319&lt;&gt;"",O319))</f>
        <v/>
      </c>
      <c r="Y319" s="91" t="str">
        <f aca="false">IF(ISBLANK($C319),"",AND(T319&lt;&gt;"",O319))</f>
        <v/>
      </c>
      <c r="Z319" s="91" t="str">
        <f aca="false">IF(ISBLANK($C319),"",IF(W319,Constants!$B$4,IF(COUNTA(E319:L319)=0,Constants!$B$5,IF(NOT(O319),Constants!$B$6,IF(AND(NOT(X319),NOT(Y319)),Constants!$B$6,Constants!$B$7)))))</f>
        <v/>
      </c>
      <c r="AA319" s="91" t="str">
        <f aca="false">IF(ISBLANK($C319),"",IF($Z319&lt;&gt;Constants!$B$7,$Z319,Constants!$B$20))</f>
        <v/>
      </c>
      <c r="AB319" s="91" t="str">
        <f aca="false">IF($Z319=Constants!$B$7,IF(X319,Q319,Constants!$B$13),"")</f>
        <v/>
      </c>
      <c r="AC319" s="91" t="str">
        <f aca="false">IF($Z319=Constants!$B$7,IF(X319,P319*IF(R319, 1, Constants!$B$11)*IF(S319, 1, Constants!$B$12),Constants!$B$13),"")</f>
        <v/>
      </c>
      <c r="AD319" s="91" t="str">
        <f aca="false">IF($Z319=Constants!$B$7,AB319*AC319,"")</f>
        <v/>
      </c>
      <c r="AE319" s="91" t="str">
        <f aca="false">IF($Z319=Constants!$B$7,IF(Y319,T319,Constants!$B$13),"")</f>
        <v/>
      </c>
      <c r="AF319" s="91" t="str">
        <f aca="false">IF($Z319=Constants!$B$7,IF(Y319,P319*IF(U319, 1, Constants!$B$11)*IF(V319, 1, Constants!$B$12),Constants!$B$13),"")</f>
        <v/>
      </c>
      <c r="AG319" s="91" t="str">
        <f aca="false">IF($Z319=Constants!$B$7,AE319*AF319,"")</f>
        <v/>
      </c>
      <c r="AH319" s="91" t="str">
        <f aca="false">IF($Z319=Constants!$B$7,IF(AG319&gt;AD319,2,1),"")</f>
        <v/>
      </c>
      <c r="AI319" s="91" t="str">
        <f aca="false">IF($Z319=Constants!$B$7,IF(AH319=1,2,1),"")</f>
        <v/>
      </c>
      <c r="AJ319" s="91" t="str">
        <f aca="false">IF(ISBLANK($C319),"",IF($Z319&lt;&gt;Constants!$B$7,$Z319,IF(AH319=1,AD319,AG319)))</f>
        <v/>
      </c>
      <c r="AK319" s="91" t="str">
        <f aca="false">IF(ISBLANK($C319),"",IF($Z319=Constants!$B$7,IF(ISNUMBER(AJ319),RANK(AJ319,$AJ$8:$AJ$507),Constants!$B$14),$Z319))</f>
        <v/>
      </c>
      <c r="AL319" s="91" t="str">
        <f aca="false">IF(ISBLANK($C319),"",IF($Z319=Constants!$B$7,IF(AI319=1,AD319,AG319),""))</f>
        <v/>
      </c>
      <c r="AM319" s="91" t="str">
        <f aca="false">IF(ISBLANK($C319),"",IF($Z319=Constants!$B$7,RANK(AL319,$AL$8:$AL$507),$Z319))</f>
        <v/>
      </c>
      <c r="AN319" s="91" t="str">
        <f aca="false">IF(ISBLANK($C319),"",IF($Z319=Constants!$B$7,IF(ISNUMBER(AK319),COUNTIFS($AK$8:$AK$507,"&lt;"&amp;$AK319)+COUNTIFS($AK$8:$AK$507,$AK319,$AM$8:$AM$507,"&lt;"&amp;$AM319)+1,Constants!$B$14),$Z319))</f>
        <v/>
      </c>
      <c r="AO319" s="91" t="str">
        <f aca="false">IF(ISBLANK($C319),"",IF($Z319=Constants!$B$7,IF(ISNUMBER(AK319),AK319-AN319,Constants!$B$14),$Z319))</f>
        <v/>
      </c>
      <c r="AP319" s="92"/>
      <c r="AQ319" s="93" t="str">
        <f aca="false">IF(ISBLANK($C319),"",IF($Z319&lt;&gt;Constants!$B$7,"",AH319))</f>
        <v/>
      </c>
      <c r="AR319" s="94" t="str">
        <f aca="false">IF(ISBLANK($C319),"",IF($Z319&lt;&gt;Constants!$B$7,"",IF(AH319=1,AB319,AE319)))</f>
        <v/>
      </c>
      <c r="AS319" s="95" t="str">
        <f aca="false">IF(ISBLANK($C319),"",IF($Z319&lt;&gt;Constants!$B$7,"",IF(AH319=1,AC319,AF319)))</f>
        <v/>
      </c>
      <c r="AT319" s="96" t="str">
        <f aca="false">IF(ISBLANK($C319),"",IF($Z319&lt;&gt;Constants!$B$7,$Z319,AJ319))</f>
        <v/>
      </c>
      <c r="AU319" s="97" t="str">
        <f aca="false">IF(ISBLANK($C319),"",IF($Z319&lt;&gt;Constants!$B$7,$Z319,AA319))</f>
        <v/>
      </c>
      <c r="AV319" s="98" t="str">
        <f aca="false">IF(ISBLANK($C319),"",AO319)</f>
        <v/>
      </c>
      <c r="AW319" s="98" t="str">
        <f aca="false">IF(ISBLANK($C319),"",AN319)</f>
        <v/>
      </c>
      <c r="AX319" s="99" t="str">
        <f aca="false">IF(ISBLANK($C319),"",IFERROR(_xlfn.SWITCH(AW319,Constants!$B$4,COUNTA($C$8:$C$507)+2,Constants!$B$5,COUNTA($C$8:$C$507)+1,Constants!$B$6,COUNTA($C$8:$C$507)),AW319))</f>
        <v/>
      </c>
      <c r="AY319" s="5"/>
      <c r="AZ319" s="100" t="n">
        <f aca="false">IF(OR(ISNUMBER(AW319),AW319=Constants!$B$4,AW319=Constants!$B$6,AW319=Constants!$B$5),1,0)</f>
        <v>0</v>
      </c>
      <c r="BA319" s="100" t="n">
        <v>312</v>
      </c>
      <c r="BB319" s="100" t="str">
        <f aca="false">IF(ISBLANK($C319),"",IF(ISNUMBER(AX319),AX319+ROW($B319)/1000,""))</f>
        <v/>
      </c>
      <c r="BC319" s="100" t="str">
        <f aca="false">IF(ISNUMBER(BB319),RANK(BB319,$BB$8:$BB$507,1),"")</f>
        <v/>
      </c>
      <c r="BD319" s="100" t="str">
        <f aca="false">IF(ISBLANK($C319),"",$B319)</f>
        <v/>
      </c>
      <c r="BE319" s="100" t="str">
        <f aca="false">IF(ISBLANK($C319),"",$C319)</f>
        <v/>
      </c>
      <c r="BF319" s="100" t="str">
        <f aca="false">IF(ISBLANK($C319),"",$D319)</f>
        <v/>
      </c>
      <c r="BG319" s="101" t="str">
        <f aca="false">AU319</f>
        <v/>
      </c>
      <c r="BH319" s="102" t="str">
        <f aca="false">AT319</f>
        <v/>
      </c>
      <c r="BI319" s="100" t="str">
        <f aca="false">IF(ISBLANK($C319),"",AW319)</f>
        <v/>
      </c>
      <c r="BJ319" s="103" t="str">
        <f aca="false">IF($BA319&gt;$AZ$7,"",VLOOKUP($BA319,$BC$8:$BI$507,7,FALSE()))</f>
        <v/>
      </c>
      <c r="BK319" s="104" t="str">
        <f aca="false">IF($BA319&gt;$AZ$7,"",VLOOKUP($BA319,$BC$8:$BI$507,2,FALSE()))</f>
        <v/>
      </c>
      <c r="BL319" s="104" t="str">
        <f aca="false">IF($BA319&gt;$AZ$7,"",VLOOKUP($BA319,$BC$8:$BI$507,3,FALSE()))</f>
        <v/>
      </c>
      <c r="BM319" s="104" t="str">
        <f aca="false">IF($BA319&gt;$AZ$7,"",VLOOKUP($BA319,$BC$8:$BI$507,4,FALSE()))</f>
        <v/>
      </c>
      <c r="BN319" s="104" t="str">
        <f aca="false">IF($BA319&gt;$AZ$7,"",VLOOKUP($BA319,$BC$8:$BI$507,5,FALSE()))</f>
        <v/>
      </c>
      <c r="BO319" s="105" t="str">
        <f aca="false">IF($BA319&gt;$AZ$7,"",VLOOKUP($BA319,$BC$8:$BI$507,6,FALSE()))</f>
        <v/>
      </c>
      <c r="BP319" s="52"/>
    </row>
    <row r="320" customFormat="false" ht="15.75" hidden="false" customHeight="false" outlineLevel="0" collapsed="false">
      <c r="A320" s="5"/>
      <c r="B320" s="118"/>
      <c r="C320" s="54"/>
      <c r="D320" s="55"/>
      <c r="E320" s="79"/>
      <c r="F320" s="57"/>
      <c r="G320" s="58"/>
      <c r="H320" s="58"/>
      <c r="I320" s="57"/>
      <c r="J320" s="58"/>
      <c r="K320" s="58"/>
      <c r="L320" s="57"/>
      <c r="M320" s="79"/>
      <c r="N320" s="60"/>
      <c r="O320" s="62" t="str">
        <f aca="false">IF(ISBLANK($C320),"",IF(E320=Constants!$B$2, TRUE(), IF(E320=Constants!$B$3, FALSE(), TRUE())))</f>
        <v/>
      </c>
      <c r="P320" s="62" t="str">
        <f aca="false">IF(ISBLANK($C320),"",IF(F320=Constants!$B$16,Constants!$B$9,IF(F320=Constants!$B$17,Constants!$B$10,Constants!$B$8)))</f>
        <v/>
      </c>
      <c r="Q320" s="62" t="str">
        <f aca="false">IF(ISBLANK($C320),"",IF(ISNUMBER(G320),IF(G320&gt;=0,G320,""),""))</f>
        <v/>
      </c>
      <c r="R320" s="62" t="str">
        <f aca="false">IF(ISBLANK($C320),"",IF(H320=Constants!$B$2, TRUE(), IF(H320=Constants!$B$3, FALSE(), TRUE())))</f>
        <v/>
      </c>
      <c r="S320" s="62" t="str">
        <f aca="false">IF(ISBLANK($C320),"",IF(I320=Constants!$B$2, TRUE(), IF(I320=Constants!$B$3, FALSE(), TRUE())))</f>
        <v/>
      </c>
      <c r="T320" s="62" t="str">
        <f aca="false">IF(ISBLANK($C320),"",IF(ISNUMBER(J320),IF(J320&gt;=0,J320,""),""))</f>
        <v/>
      </c>
      <c r="U320" s="62" t="str">
        <f aca="false">IF(ISBLANK($C320),"",IF(K320=Constants!$B$2, TRUE(), IF(K320=Constants!$B$3, FALSE(), TRUE())))</f>
        <v/>
      </c>
      <c r="V320" s="62" t="str">
        <f aca="false">IF(ISBLANK($C320),"",IF(L320=Constants!$B$2, TRUE(), IF(L320=Constants!$B$3, FALSE(), TRUE())))</f>
        <v/>
      </c>
      <c r="W320" s="62" t="str">
        <f aca="false">IF(ISBLANK($C320),"",IF(M320=Constants!$B$2, TRUE(), IF(M320=Constants!$B$3, FALSE(), FALSE())))</f>
        <v/>
      </c>
      <c r="X320" s="62" t="str">
        <f aca="false">IF(ISBLANK($C320),"",AND(Q320&lt;&gt;"",O320))</f>
        <v/>
      </c>
      <c r="Y320" s="62" t="str">
        <f aca="false">IF(ISBLANK($C320),"",AND(T320&lt;&gt;"",O320))</f>
        <v/>
      </c>
      <c r="Z320" s="62" t="str">
        <f aca="false">IF(ISBLANK($C320),"",IF(W320,Constants!$B$4,IF(COUNTA(E320:L320)=0,Constants!$B$5,IF(NOT(O320),Constants!$B$6,IF(AND(NOT(X320),NOT(Y320)),Constants!$B$6,Constants!$B$7)))))</f>
        <v/>
      </c>
      <c r="AA320" s="62" t="str">
        <f aca="false">IF(ISBLANK($C320),"",IF($Z320&lt;&gt;Constants!$B$7,$Z320,Constants!$B$20))</f>
        <v/>
      </c>
      <c r="AB320" s="62" t="str">
        <f aca="false">IF($Z320=Constants!$B$7,IF(X320,Q320,Constants!$B$13),"")</f>
        <v/>
      </c>
      <c r="AC320" s="62" t="str">
        <f aca="false">IF($Z320=Constants!$B$7,IF(X320,P320*IF(R320, 1, Constants!$B$11)*IF(S320, 1, Constants!$B$12),Constants!$B$13),"")</f>
        <v/>
      </c>
      <c r="AD320" s="62" t="str">
        <f aca="false">IF($Z320=Constants!$B$7,AB320*AC320,"")</f>
        <v/>
      </c>
      <c r="AE320" s="62" t="str">
        <f aca="false">IF($Z320=Constants!$B$7,IF(Y320,T320,Constants!$B$13),"")</f>
        <v/>
      </c>
      <c r="AF320" s="62" t="str">
        <f aca="false">IF($Z320=Constants!$B$7,IF(Y320,P320*IF(U320, 1, Constants!$B$11)*IF(V320, 1, Constants!$B$12),Constants!$B$13),"")</f>
        <v/>
      </c>
      <c r="AG320" s="62" t="str">
        <f aca="false">IF($Z320=Constants!$B$7,AE320*AF320,"")</f>
        <v/>
      </c>
      <c r="AH320" s="62" t="str">
        <f aca="false">IF($Z320=Constants!$B$7,IF(AG320&gt;AD320,2,1),"")</f>
        <v/>
      </c>
      <c r="AI320" s="62" t="str">
        <f aca="false">IF($Z320=Constants!$B$7,IF(AH320=1,2,1),"")</f>
        <v/>
      </c>
      <c r="AJ320" s="62" t="str">
        <f aca="false">IF(ISBLANK($C320),"",IF($Z320&lt;&gt;Constants!$B$7,$Z320,IF(AH320=1,AD320,AG320)))</f>
        <v/>
      </c>
      <c r="AK320" s="62" t="str">
        <f aca="false">IF(ISBLANK($C320),"",IF($Z320=Constants!$B$7,IF(ISNUMBER(AJ320),RANK(AJ320,$AJ$8:$AJ$507),Constants!$B$14),$Z320))</f>
        <v/>
      </c>
      <c r="AL320" s="62" t="str">
        <f aca="false">IF(ISBLANK($C320),"",IF($Z320=Constants!$B$7,IF(AI320=1,AD320,AG320),""))</f>
        <v/>
      </c>
      <c r="AM320" s="62" t="str">
        <f aca="false">IF(ISBLANK($C320),"",IF($Z320=Constants!$B$7,RANK(AL320,$AL$8:$AL$507),$Z320))</f>
        <v/>
      </c>
      <c r="AN320" s="62" t="str">
        <f aca="false">IF(ISBLANK($C320),"",IF($Z320=Constants!$B$7,IF(ISNUMBER(AK320),COUNTIFS($AK$8:$AK$507,"&lt;"&amp;$AK320)+COUNTIFS($AK$8:$AK$507,$AK320,$AM$8:$AM$507,"&lt;"&amp;$AM320)+1,Constants!$B$14),$Z320))</f>
        <v/>
      </c>
      <c r="AO320" s="62" t="str">
        <f aca="false">IF(ISBLANK($C320),"",IF($Z320=Constants!$B$7,IF(ISNUMBER(AK320),AK320-AN320,Constants!$B$14),$Z320))</f>
        <v/>
      </c>
      <c r="AP320" s="64"/>
      <c r="AQ320" s="65" t="str">
        <f aca="false">IF(ISBLANK($C320),"",IF($Z320&lt;&gt;Constants!$B$7,"",AH320))</f>
        <v/>
      </c>
      <c r="AR320" s="80" t="str">
        <f aca="false">IF(ISBLANK($C320),"",IF($Z320&lt;&gt;Constants!$B$7,"",IF(AH320=1,AB320,AE320)))</f>
        <v/>
      </c>
      <c r="AS320" s="67" t="str">
        <f aca="false">IF(ISBLANK($C320),"",IF($Z320&lt;&gt;Constants!$B$7,"",IF(AH320=1,AC320,AF320)))</f>
        <v/>
      </c>
      <c r="AT320" s="68" t="str">
        <f aca="false">IF(ISBLANK($C320),"",IF($Z320&lt;&gt;Constants!$B$7,$Z320,AJ320))</f>
        <v/>
      </c>
      <c r="AU320" s="69" t="str">
        <f aca="false">IF(ISBLANK($C320),"",IF($Z320&lt;&gt;Constants!$B$7,$Z320,AA320))</f>
        <v/>
      </c>
      <c r="AV320" s="70" t="str">
        <f aca="false">IF(ISBLANK($C320),"",AO320)</f>
        <v/>
      </c>
      <c r="AW320" s="70" t="str">
        <f aca="false">IF(ISBLANK($C320),"",AN320)</f>
        <v/>
      </c>
      <c r="AX320" s="71" t="str">
        <f aca="false">IF(ISBLANK($C320),"",IFERROR(_xlfn.SWITCH(AW320,Constants!$B$4,COUNTA($C$8:$C$507)+2,Constants!$B$5,COUNTA($C$8:$C$507)+1,Constants!$B$6,COUNTA($C$8:$C$507)),AW320))</f>
        <v/>
      </c>
      <c r="AY320" s="5"/>
      <c r="AZ320" s="72" t="n">
        <f aca="false">IF(OR(ISNUMBER(AW320),AW320=Constants!$B$4,AW320=Constants!$B$6,AW320=Constants!$B$5),1,0)</f>
        <v>0</v>
      </c>
      <c r="BA320" s="72" t="n">
        <v>313</v>
      </c>
      <c r="BB320" s="72" t="str">
        <f aca="false">IF(ISBLANK($C320),"",IF(ISNUMBER(AX320),AX320+ROW($B320)/1000,""))</f>
        <v/>
      </c>
      <c r="BC320" s="72" t="str">
        <f aca="false">IF(ISNUMBER(BB320),RANK(BB320,$BB$8:$BB$507,1),"")</f>
        <v/>
      </c>
      <c r="BD320" s="72" t="str">
        <f aca="false">IF(ISBLANK($C320),"",$B320)</f>
        <v/>
      </c>
      <c r="BE320" s="72" t="str">
        <f aca="false">IF(ISBLANK($C320),"",$C320)</f>
        <v/>
      </c>
      <c r="BF320" s="72" t="str">
        <f aca="false">IF(ISBLANK($C320),"",$D320)</f>
        <v/>
      </c>
      <c r="BG320" s="73" t="str">
        <f aca="false">AU320</f>
        <v/>
      </c>
      <c r="BH320" s="74" t="str">
        <f aca="false">AT320</f>
        <v/>
      </c>
      <c r="BI320" s="72" t="str">
        <f aca="false">IF(ISBLANK($C320),"",AW320)</f>
        <v/>
      </c>
      <c r="BJ320" s="75" t="str">
        <f aca="false">IF($BA320&gt;$AZ$7,"",VLOOKUP($BA320,$BC$8:$BI$507,7,FALSE()))</f>
        <v/>
      </c>
      <c r="BK320" s="76" t="str">
        <f aca="false">IF($BA320&gt;$AZ$7,"",VLOOKUP($BA320,$BC$8:$BI$507,2,FALSE()))</f>
        <v/>
      </c>
      <c r="BL320" s="76" t="str">
        <f aca="false">IF($BA320&gt;$AZ$7,"",VLOOKUP($BA320,$BC$8:$BI$507,3,FALSE()))</f>
        <v/>
      </c>
      <c r="BM320" s="76" t="str">
        <f aca="false">IF($BA320&gt;$AZ$7,"",VLOOKUP($BA320,$BC$8:$BI$507,4,FALSE()))</f>
        <v/>
      </c>
      <c r="BN320" s="76" t="str">
        <f aca="false">IF($BA320&gt;$AZ$7,"",VLOOKUP($BA320,$BC$8:$BI$507,5,FALSE()))</f>
        <v/>
      </c>
      <c r="BO320" s="77" t="str">
        <f aca="false">IF($BA320&gt;$AZ$7,"",VLOOKUP($BA320,$BC$8:$BI$507,6,FALSE()))</f>
        <v/>
      </c>
      <c r="BP320" s="52"/>
    </row>
    <row r="321" customFormat="false" ht="15.75" hidden="false" customHeight="false" outlineLevel="0" collapsed="false">
      <c r="A321" s="5"/>
      <c r="B321" s="118"/>
      <c r="C321" s="54"/>
      <c r="D321" s="55"/>
      <c r="E321" s="79"/>
      <c r="F321" s="57"/>
      <c r="G321" s="58"/>
      <c r="H321" s="58"/>
      <c r="I321" s="57"/>
      <c r="J321" s="58"/>
      <c r="K321" s="58"/>
      <c r="L321" s="57"/>
      <c r="M321" s="79"/>
      <c r="N321" s="60"/>
      <c r="O321" s="62" t="str">
        <f aca="false">IF(ISBLANK($C321),"",IF(E321=Constants!$B$2, TRUE(), IF(E321=Constants!$B$3, FALSE(), TRUE())))</f>
        <v/>
      </c>
      <c r="P321" s="62" t="str">
        <f aca="false">IF(ISBLANK($C321),"",IF(F321=Constants!$B$16,Constants!$B$9,IF(F321=Constants!$B$17,Constants!$B$10,Constants!$B$8)))</f>
        <v/>
      </c>
      <c r="Q321" s="62" t="str">
        <f aca="false">IF(ISBLANK($C321),"",IF(ISNUMBER(G321),IF(G321&gt;=0,G321,""),""))</f>
        <v/>
      </c>
      <c r="R321" s="62" t="str">
        <f aca="false">IF(ISBLANK($C321),"",IF(H321=Constants!$B$2, TRUE(), IF(H321=Constants!$B$3, FALSE(), TRUE())))</f>
        <v/>
      </c>
      <c r="S321" s="62" t="str">
        <f aca="false">IF(ISBLANK($C321),"",IF(I321=Constants!$B$2, TRUE(), IF(I321=Constants!$B$3, FALSE(), TRUE())))</f>
        <v/>
      </c>
      <c r="T321" s="62" t="str">
        <f aca="false">IF(ISBLANK($C321),"",IF(ISNUMBER(J321),IF(J321&gt;=0,J321,""),""))</f>
        <v/>
      </c>
      <c r="U321" s="62" t="str">
        <f aca="false">IF(ISBLANK($C321),"",IF(K321=Constants!$B$2, TRUE(), IF(K321=Constants!$B$3, FALSE(), TRUE())))</f>
        <v/>
      </c>
      <c r="V321" s="62" t="str">
        <f aca="false">IF(ISBLANK($C321),"",IF(L321=Constants!$B$2, TRUE(), IF(L321=Constants!$B$3, FALSE(), TRUE())))</f>
        <v/>
      </c>
      <c r="W321" s="62" t="str">
        <f aca="false">IF(ISBLANK($C321),"",IF(M321=Constants!$B$2, TRUE(), IF(M321=Constants!$B$3, FALSE(), FALSE())))</f>
        <v/>
      </c>
      <c r="X321" s="62" t="str">
        <f aca="false">IF(ISBLANK($C321),"",AND(Q321&lt;&gt;"",O321))</f>
        <v/>
      </c>
      <c r="Y321" s="62" t="str">
        <f aca="false">IF(ISBLANK($C321),"",AND(T321&lt;&gt;"",O321))</f>
        <v/>
      </c>
      <c r="Z321" s="62" t="str">
        <f aca="false">IF(ISBLANK($C321),"",IF(W321,Constants!$B$4,IF(COUNTA(E321:L321)=0,Constants!$B$5,IF(NOT(O321),Constants!$B$6,IF(AND(NOT(X321),NOT(Y321)),Constants!$B$6,Constants!$B$7)))))</f>
        <v/>
      </c>
      <c r="AA321" s="62" t="str">
        <f aca="false">IF(ISBLANK($C321),"",IF($Z321&lt;&gt;Constants!$B$7,$Z321,Constants!$B$20))</f>
        <v/>
      </c>
      <c r="AB321" s="62" t="str">
        <f aca="false">IF($Z321=Constants!$B$7,IF(X321,Q321,Constants!$B$13),"")</f>
        <v/>
      </c>
      <c r="AC321" s="62" t="str">
        <f aca="false">IF($Z321=Constants!$B$7,IF(X321,P321*IF(R321, 1, Constants!$B$11)*IF(S321, 1, Constants!$B$12),Constants!$B$13),"")</f>
        <v/>
      </c>
      <c r="AD321" s="62" t="str">
        <f aca="false">IF($Z321=Constants!$B$7,AB321*AC321,"")</f>
        <v/>
      </c>
      <c r="AE321" s="62" t="str">
        <f aca="false">IF($Z321=Constants!$B$7,IF(Y321,T321,Constants!$B$13),"")</f>
        <v/>
      </c>
      <c r="AF321" s="62" t="str">
        <f aca="false">IF($Z321=Constants!$B$7,IF(Y321,P321*IF(U321, 1, Constants!$B$11)*IF(V321, 1, Constants!$B$12),Constants!$B$13),"")</f>
        <v/>
      </c>
      <c r="AG321" s="62" t="str">
        <f aca="false">IF($Z321=Constants!$B$7,AE321*AF321,"")</f>
        <v/>
      </c>
      <c r="AH321" s="62" t="str">
        <f aca="false">IF($Z321=Constants!$B$7,IF(AG321&gt;AD321,2,1),"")</f>
        <v/>
      </c>
      <c r="AI321" s="62" t="str">
        <f aca="false">IF($Z321=Constants!$B$7,IF(AH321=1,2,1),"")</f>
        <v/>
      </c>
      <c r="AJ321" s="62" t="str">
        <f aca="false">IF(ISBLANK($C321),"",IF($Z321&lt;&gt;Constants!$B$7,$Z321,IF(AH321=1,AD321,AG321)))</f>
        <v/>
      </c>
      <c r="AK321" s="62" t="str">
        <f aca="false">IF(ISBLANK($C321),"",IF($Z321=Constants!$B$7,IF(ISNUMBER(AJ321),RANK(AJ321,$AJ$8:$AJ$507),Constants!$B$14),$Z321))</f>
        <v/>
      </c>
      <c r="AL321" s="62" t="str">
        <f aca="false">IF(ISBLANK($C321),"",IF($Z321=Constants!$B$7,IF(AI321=1,AD321,AG321),""))</f>
        <v/>
      </c>
      <c r="AM321" s="62" t="str">
        <f aca="false">IF(ISBLANK($C321),"",IF($Z321=Constants!$B$7,RANK(AL321,$AL$8:$AL$507),$Z321))</f>
        <v/>
      </c>
      <c r="AN321" s="62" t="str">
        <f aca="false">IF(ISBLANK($C321),"",IF($Z321=Constants!$B$7,IF(ISNUMBER(AK321),COUNTIFS($AK$8:$AK$507,"&lt;"&amp;$AK321)+COUNTIFS($AK$8:$AK$507,$AK321,$AM$8:$AM$507,"&lt;"&amp;$AM321)+1,Constants!$B$14),$Z321))</f>
        <v/>
      </c>
      <c r="AO321" s="62" t="str">
        <f aca="false">IF(ISBLANK($C321),"",IF($Z321=Constants!$B$7,IF(ISNUMBER(AK321),AK321-AN321,Constants!$B$14),$Z321))</f>
        <v/>
      </c>
      <c r="AP321" s="64"/>
      <c r="AQ321" s="65" t="str">
        <f aca="false">IF(ISBLANK($C321),"",IF($Z321&lt;&gt;Constants!$B$7,"",AH321))</f>
        <v/>
      </c>
      <c r="AR321" s="80" t="str">
        <f aca="false">IF(ISBLANK($C321),"",IF($Z321&lt;&gt;Constants!$B$7,"",IF(AH321=1,AB321,AE321)))</f>
        <v/>
      </c>
      <c r="AS321" s="67" t="str">
        <f aca="false">IF(ISBLANK($C321),"",IF($Z321&lt;&gt;Constants!$B$7,"",IF(AH321=1,AC321,AF321)))</f>
        <v/>
      </c>
      <c r="AT321" s="68" t="str">
        <f aca="false">IF(ISBLANK($C321),"",IF($Z321&lt;&gt;Constants!$B$7,$Z321,AJ321))</f>
        <v/>
      </c>
      <c r="AU321" s="69" t="str">
        <f aca="false">IF(ISBLANK($C321),"",IF($Z321&lt;&gt;Constants!$B$7,$Z321,AA321))</f>
        <v/>
      </c>
      <c r="AV321" s="70" t="str">
        <f aca="false">IF(ISBLANK($C321),"",AO321)</f>
        <v/>
      </c>
      <c r="AW321" s="70" t="str">
        <f aca="false">IF(ISBLANK($C321),"",AN321)</f>
        <v/>
      </c>
      <c r="AX321" s="71" t="str">
        <f aca="false">IF(ISBLANK($C321),"",IFERROR(_xlfn.SWITCH(AW321,Constants!$B$4,COUNTA($C$8:$C$507)+2,Constants!$B$5,COUNTA($C$8:$C$507)+1,Constants!$B$6,COUNTA($C$8:$C$507)),AW321))</f>
        <v/>
      </c>
      <c r="AY321" s="5"/>
      <c r="AZ321" s="72" t="n">
        <f aca="false">IF(OR(ISNUMBER(AW321),AW321=Constants!$B$4,AW321=Constants!$B$6,AW321=Constants!$B$5),1,0)</f>
        <v>0</v>
      </c>
      <c r="BA321" s="72" t="n">
        <v>314</v>
      </c>
      <c r="BB321" s="72" t="str">
        <f aca="false">IF(ISBLANK($C321),"",IF(ISNUMBER(AX321),AX321+ROW($B321)/1000,""))</f>
        <v/>
      </c>
      <c r="BC321" s="72" t="str">
        <f aca="false">IF(ISNUMBER(BB321),RANK(BB321,$BB$8:$BB$507,1),"")</f>
        <v/>
      </c>
      <c r="BD321" s="72" t="str">
        <f aca="false">IF(ISBLANK($C321),"",$B321)</f>
        <v/>
      </c>
      <c r="BE321" s="72" t="str">
        <f aca="false">IF(ISBLANK($C321),"",$C321)</f>
        <v/>
      </c>
      <c r="BF321" s="72" t="str">
        <f aca="false">IF(ISBLANK($C321),"",$D321)</f>
        <v/>
      </c>
      <c r="BG321" s="73" t="str">
        <f aca="false">AU321</f>
        <v/>
      </c>
      <c r="BH321" s="74" t="str">
        <f aca="false">AT321</f>
        <v/>
      </c>
      <c r="BI321" s="72" t="str">
        <f aca="false">IF(ISBLANK($C321),"",AW321)</f>
        <v/>
      </c>
      <c r="BJ321" s="75" t="str">
        <f aca="false">IF($BA321&gt;$AZ$7,"",VLOOKUP($BA321,$BC$8:$BI$507,7,FALSE()))</f>
        <v/>
      </c>
      <c r="BK321" s="76" t="str">
        <f aca="false">IF($BA321&gt;$AZ$7,"",VLOOKUP($BA321,$BC$8:$BI$507,2,FALSE()))</f>
        <v/>
      </c>
      <c r="BL321" s="76" t="str">
        <f aca="false">IF($BA321&gt;$AZ$7,"",VLOOKUP($BA321,$BC$8:$BI$507,3,FALSE()))</f>
        <v/>
      </c>
      <c r="BM321" s="76" t="str">
        <f aca="false">IF($BA321&gt;$AZ$7,"",VLOOKUP($BA321,$BC$8:$BI$507,4,FALSE()))</f>
        <v/>
      </c>
      <c r="BN321" s="76" t="str">
        <f aca="false">IF($BA321&gt;$AZ$7,"",VLOOKUP($BA321,$BC$8:$BI$507,5,FALSE()))</f>
        <v/>
      </c>
      <c r="BO321" s="77" t="str">
        <f aca="false">IF($BA321&gt;$AZ$7,"",VLOOKUP($BA321,$BC$8:$BI$507,6,FALSE()))</f>
        <v/>
      </c>
      <c r="BP321" s="52"/>
    </row>
    <row r="322" customFormat="false" ht="15.75" hidden="false" customHeight="false" outlineLevel="0" collapsed="false">
      <c r="A322" s="5"/>
      <c r="B322" s="118"/>
      <c r="C322" s="54"/>
      <c r="D322" s="55"/>
      <c r="E322" s="79"/>
      <c r="F322" s="57"/>
      <c r="G322" s="58"/>
      <c r="H322" s="58"/>
      <c r="I322" s="57"/>
      <c r="J322" s="58"/>
      <c r="K322" s="58"/>
      <c r="L322" s="57"/>
      <c r="M322" s="79"/>
      <c r="N322" s="60"/>
      <c r="O322" s="62" t="str">
        <f aca="false">IF(ISBLANK($C322),"",IF(E322=Constants!$B$2, TRUE(), IF(E322=Constants!$B$3, FALSE(), TRUE())))</f>
        <v/>
      </c>
      <c r="P322" s="62" t="str">
        <f aca="false">IF(ISBLANK($C322),"",IF(F322=Constants!$B$16,Constants!$B$9,IF(F322=Constants!$B$17,Constants!$B$10,Constants!$B$8)))</f>
        <v/>
      </c>
      <c r="Q322" s="62" t="str">
        <f aca="false">IF(ISBLANK($C322),"",IF(ISNUMBER(G322),IF(G322&gt;=0,G322,""),""))</f>
        <v/>
      </c>
      <c r="R322" s="62" t="str">
        <f aca="false">IF(ISBLANK($C322),"",IF(H322=Constants!$B$2, TRUE(), IF(H322=Constants!$B$3, FALSE(), TRUE())))</f>
        <v/>
      </c>
      <c r="S322" s="62" t="str">
        <f aca="false">IF(ISBLANK($C322),"",IF(I322=Constants!$B$2, TRUE(), IF(I322=Constants!$B$3, FALSE(), TRUE())))</f>
        <v/>
      </c>
      <c r="T322" s="62" t="str">
        <f aca="false">IF(ISBLANK($C322),"",IF(ISNUMBER(J322),IF(J322&gt;=0,J322,""),""))</f>
        <v/>
      </c>
      <c r="U322" s="62" t="str">
        <f aca="false">IF(ISBLANK($C322),"",IF(K322=Constants!$B$2, TRUE(), IF(K322=Constants!$B$3, FALSE(), TRUE())))</f>
        <v/>
      </c>
      <c r="V322" s="62" t="str">
        <f aca="false">IF(ISBLANK($C322),"",IF(L322=Constants!$B$2, TRUE(), IF(L322=Constants!$B$3, FALSE(), TRUE())))</f>
        <v/>
      </c>
      <c r="W322" s="62" t="str">
        <f aca="false">IF(ISBLANK($C322),"",IF(M322=Constants!$B$2, TRUE(), IF(M322=Constants!$B$3, FALSE(), FALSE())))</f>
        <v/>
      </c>
      <c r="X322" s="62" t="str">
        <f aca="false">IF(ISBLANK($C322),"",AND(Q322&lt;&gt;"",O322))</f>
        <v/>
      </c>
      <c r="Y322" s="62" t="str">
        <f aca="false">IF(ISBLANK($C322),"",AND(T322&lt;&gt;"",O322))</f>
        <v/>
      </c>
      <c r="Z322" s="62" t="str">
        <f aca="false">IF(ISBLANK($C322),"",IF(W322,Constants!$B$4,IF(COUNTA(E322:L322)=0,Constants!$B$5,IF(NOT(O322),Constants!$B$6,IF(AND(NOT(X322),NOT(Y322)),Constants!$B$6,Constants!$B$7)))))</f>
        <v/>
      </c>
      <c r="AA322" s="62" t="str">
        <f aca="false">IF(ISBLANK($C322),"",IF($Z322&lt;&gt;Constants!$B$7,$Z322,Constants!$B$20))</f>
        <v/>
      </c>
      <c r="AB322" s="62" t="str">
        <f aca="false">IF($Z322=Constants!$B$7,IF(X322,Q322,Constants!$B$13),"")</f>
        <v/>
      </c>
      <c r="AC322" s="62" t="str">
        <f aca="false">IF($Z322=Constants!$B$7,IF(X322,P322*IF(R322, 1, Constants!$B$11)*IF(S322, 1, Constants!$B$12),Constants!$B$13),"")</f>
        <v/>
      </c>
      <c r="AD322" s="62" t="str">
        <f aca="false">IF($Z322=Constants!$B$7,AB322*AC322,"")</f>
        <v/>
      </c>
      <c r="AE322" s="62" t="str">
        <f aca="false">IF($Z322=Constants!$B$7,IF(Y322,T322,Constants!$B$13),"")</f>
        <v/>
      </c>
      <c r="AF322" s="62" t="str">
        <f aca="false">IF($Z322=Constants!$B$7,IF(Y322,P322*IF(U322, 1, Constants!$B$11)*IF(V322, 1, Constants!$B$12),Constants!$B$13),"")</f>
        <v/>
      </c>
      <c r="AG322" s="62" t="str">
        <f aca="false">IF($Z322=Constants!$B$7,AE322*AF322,"")</f>
        <v/>
      </c>
      <c r="AH322" s="62" t="str">
        <f aca="false">IF($Z322=Constants!$B$7,IF(AG322&gt;AD322,2,1),"")</f>
        <v/>
      </c>
      <c r="AI322" s="62" t="str">
        <f aca="false">IF($Z322=Constants!$B$7,IF(AH322=1,2,1),"")</f>
        <v/>
      </c>
      <c r="AJ322" s="62" t="str">
        <f aca="false">IF(ISBLANK($C322),"",IF($Z322&lt;&gt;Constants!$B$7,$Z322,IF(AH322=1,AD322,AG322)))</f>
        <v/>
      </c>
      <c r="AK322" s="62" t="str">
        <f aca="false">IF(ISBLANK($C322),"",IF($Z322=Constants!$B$7,IF(ISNUMBER(AJ322),RANK(AJ322,$AJ$8:$AJ$507),Constants!$B$14),$Z322))</f>
        <v/>
      </c>
      <c r="AL322" s="62" t="str">
        <f aca="false">IF(ISBLANK($C322),"",IF($Z322=Constants!$B$7,IF(AI322=1,AD322,AG322),""))</f>
        <v/>
      </c>
      <c r="AM322" s="62" t="str">
        <f aca="false">IF(ISBLANK($C322),"",IF($Z322=Constants!$B$7,RANK(AL322,$AL$8:$AL$507),$Z322))</f>
        <v/>
      </c>
      <c r="AN322" s="62" t="str">
        <f aca="false">IF(ISBLANK($C322),"",IF($Z322=Constants!$B$7,IF(ISNUMBER(AK322),COUNTIFS($AK$8:$AK$507,"&lt;"&amp;$AK322)+COUNTIFS($AK$8:$AK$507,$AK322,$AM$8:$AM$507,"&lt;"&amp;$AM322)+1,Constants!$B$14),$Z322))</f>
        <v/>
      </c>
      <c r="AO322" s="62" t="str">
        <f aca="false">IF(ISBLANK($C322),"",IF($Z322=Constants!$B$7,IF(ISNUMBER(AK322),AK322-AN322,Constants!$B$14),$Z322))</f>
        <v/>
      </c>
      <c r="AP322" s="64"/>
      <c r="AQ322" s="65" t="str">
        <f aca="false">IF(ISBLANK($C322),"",IF($Z322&lt;&gt;Constants!$B$7,"",AH322))</f>
        <v/>
      </c>
      <c r="AR322" s="80" t="str">
        <f aca="false">IF(ISBLANK($C322),"",IF($Z322&lt;&gt;Constants!$B$7,"",IF(AH322=1,AB322,AE322)))</f>
        <v/>
      </c>
      <c r="AS322" s="67" t="str">
        <f aca="false">IF(ISBLANK($C322),"",IF($Z322&lt;&gt;Constants!$B$7,"",IF(AH322=1,AC322,AF322)))</f>
        <v/>
      </c>
      <c r="AT322" s="68" t="str">
        <f aca="false">IF(ISBLANK($C322),"",IF($Z322&lt;&gt;Constants!$B$7,$Z322,AJ322))</f>
        <v/>
      </c>
      <c r="AU322" s="69" t="str">
        <f aca="false">IF(ISBLANK($C322),"",IF($Z322&lt;&gt;Constants!$B$7,$Z322,AA322))</f>
        <v/>
      </c>
      <c r="AV322" s="70" t="str">
        <f aca="false">IF(ISBLANK($C322),"",AO322)</f>
        <v/>
      </c>
      <c r="AW322" s="70" t="str">
        <f aca="false">IF(ISBLANK($C322),"",AN322)</f>
        <v/>
      </c>
      <c r="AX322" s="71" t="str">
        <f aca="false">IF(ISBLANK($C322),"",IFERROR(_xlfn.SWITCH(AW322,Constants!$B$4,COUNTA($C$8:$C$507)+2,Constants!$B$5,COUNTA($C$8:$C$507)+1,Constants!$B$6,COUNTA($C$8:$C$507)),AW322))</f>
        <v/>
      </c>
      <c r="AY322" s="5"/>
      <c r="AZ322" s="72" t="n">
        <f aca="false">IF(OR(ISNUMBER(AW322),AW322=Constants!$B$4,AW322=Constants!$B$6,AW322=Constants!$B$5),1,0)</f>
        <v>0</v>
      </c>
      <c r="BA322" s="72" t="n">
        <v>315</v>
      </c>
      <c r="BB322" s="72" t="str">
        <f aca="false">IF(ISBLANK($C322),"",IF(ISNUMBER(AX322),AX322+ROW($B322)/1000,""))</f>
        <v/>
      </c>
      <c r="BC322" s="72" t="str">
        <f aca="false">IF(ISNUMBER(BB322),RANK(BB322,$BB$8:$BB$507,1),"")</f>
        <v/>
      </c>
      <c r="BD322" s="72" t="str">
        <f aca="false">IF(ISBLANK($C322),"",$B322)</f>
        <v/>
      </c>
      <c r="BE322" s="72" t="str">
        <f aca="false">IF(ISBLANK($C322),"",$C322)</f>
        <v/>
      </c>
      <c r="BF322" s="72" t="str">
        <f aca="false">IF(ISBLANK($C322),"",$D322)</f>
        <v/>
      </c>
      <c r="BG322" s="73" t="str">
        <f aca="false">AU322</f>
        <v/>
      </c>
      <c r="BH322" s="74" t="str">
        <f aca="false">AT322</f>
        <v/>
      </c>
      <c r="BI322" s="72" t="str">
        <f aca="false">IF(ISBLANK($C322),"",AW322)</f>
        <v/>
      </c>
      <c r="BJ322" s="75" t="str">
        <f aca="false">IF($BA322&gt;$AZ$7,"",VLOOKUP($BA322,$BC$8:$BI$507,7,FALSE()))</f>
        <v/>
      </c>
      <c r="BK322" s="76" t="str">
        <f aca="false">IF($BA322&gt;$AZ$7,"",VLOOKUP($BA322,$BC$8:$BI$507,2,FALSE()))</f>
        <v/>
      </c>
      <c r="BL322" s="76" t="str">
        <f aca="false">IF($BA322&gt;$AZ$7,"",VLOOKUP($BA322,$BC$8:$BI$507,3,FALSE()))</f>
        <v/>
      </c>
      <c r="BM322" s="76" t="str">
        <f aca="false">IF($BA322&gt;$AZ$7,"",VLOOKUP($BA322,$BC$8:$BI$507,4,FALSE()))</f>
        <v/>
      </c>
      <c r="BN322" s="76" t="str">
        <f aca="false">IF($BA322&gt;$AZ$7,"",VLOOKUP($BA322,$BC$8:$BI$507,5,FALSE()))</f>
        <v/>
      </c>
      <c r="BO322" s="77" t="str">
        <f aca="false">IF($BA322&gt;$AZ$7,"",VLOOKUP($BA322,$BC$8:$BI$507,6,FALSE()))</f>
        <v/>
      </c>
      <c r="BP322" s="52"/>
    </row>
    <row r="323" customFormat="false" ht="15.75" hidden="false" customHeight="false" outlineLevel="0" collapsed="false">
      <c r="A323" s="5"/>
      <c r="B323" s="114"/>
      <c r="C323" s="115"/>
      <c r="D323" s="106"/>
      <c r="E323" s="117"/>
      <c r="F323" s="87"/>
      <c r="G323" s="88"/>
      <c r="H323" s="88"/>
      <c r="I323" s="87"/>
      <c r="J323" s="88"/>
      <c r="K323" s="88"/>
      <c r="L323" s="87"/>
      <c r="M323" s="117"/>
      <c r="N323" s="90"/>
      <c r="O323" s="91" t="str">
        <f aca="false">IF(ISBLANK($C323),"",IF(E323=Constants!$B$2, TRUE(), IF(E323=Constants!$B$3, FALSE(), TRUE())))</f>
        <v/>
      </c>
      <c r="P323" s="91" t="str">
        <f aca="false">IF(ISBLANK($C323),"",IF(F323=Constants!$B$16,Constants!$B$9,IF(F323=Constants!$B$17,Constants!$B$10,Constants!$B$8)))</f>
        <v/>
      </c>
      <c r="Q323" s="91" t="str">
        <f aca="false">IF(ISBLANK($C323),"",IF(ISNUMBER(G323),IF(G323&gt;=0,G323,""),""))</f>
        <v/>
      </c>
      <c r="R323" s="91" t="str">
        <f aca="false">IF(ISBLANK($C323),"",IF(H323=Constants!$B$2, TRUE(), IF(H323=Constants!$B$3, FALSE(), TRUE())))</f>
        <v/>
      </c>
      <c r="S323" s="91" t="str">
        <f aca="false">IF(ISBLANK($C323),"",IF(I323=Constants!$B$2, TRUE(), IF(I323=Constants!$B$3, FALSE(), TRUE())))</f>
        <v/>
      </c>
      <c r="T323" s="91" t="str">
        <f aca="false">IF(ISBLANK($C323),"",IF(ISNUMBER(J323),IF(J323&gt;=0,J323,""),""))</f>
        <v/>
      </c>
      <c r="U323" s="91" t="str">
        <f aca="false">IF(ISBLANK($C323),"",IF(K323=Constants!$B$2, TRUE(), IF(K323=Constants!$B$3, FALSE(), TRUE())))</f>
        <v/>
      </c>
      <c r="V323" s="91" t="str">
        <f aca="false">IF(ISBLANK($C323),"",IF(L323=Constants!$B$2, TRUE(), IF(L323=Constants!$B$3, FALSE(), TRUE())))</f>
        <v/>
      </c>
      <c r="W323" s="91" t="str">
        <f aca="false">IF(ISBLANK($C323),"",IF(M323=Constants!$B$2, TRUE(), IF(M323=Constants!$B$3, FALSE(), FALSE())))</f>
        <v/>
      </c>
      <c r="X323" s="91" t="str">
        <f aca="false">IF(ISBLANK($C323),"",AND(Q323&lt;&gt;"",O323))</f>
        <v/>
      </c>
      <c r="Y323" s="91" t="str">
        <f aca="false">IF(ISBLANK($C323),"",AND(T323&lt;&gt;"",O323))</f>
        <v/>
      </c>
      <c r="Z323" s="91" t="str">
        <f aca="false">IF(ISBLANK($C323),"",IF(W323,Constants!$B$4,IF(COUNTA(E323:L323)=0,Constants!$B$5,IF(NOT(O323),Constants!$B$6,IF(AND(NOT(X323),NOT(Y323)),Constants!$B$6,Constants!$B$7)))))</f>
        <v/>
      </c>
      <c r="AA323" s="91" t="str">
        <f aca="false">IF(ISBLANK($C323),"",IF($Z323&lt;&gt;Constants!$B$7,$Z323,Constants!$B$20))</f>
        <v/>
      </c>
      <c r="AB323" s="91" t="str">
        <f aca="false">IF($Z323=Constants!$B$7,IF(X323,Q323,Constants!$B$13),"")</f>
        <v/>
      </c>
      <c r="AC323" s="91" t="str">
        <f aca="false">IF($Z323=Constants!$B$7,IF(X323,P323*IF(R323, 1, Constants!$B$11)*IF(S323, 1, Constants!$B$12),Constants!$B$13),"")</f>
        <v/>
      </c>
      <c r="AD323" s="91" t="str">
        <f aca="false">IF($Z323=Constants!$B$7,AB323*AC323,"")</f>
        <v/>
      </c>
      <c r="AE323" s="91" t="str">
        <f aca="false">IF($Z323=Constants!$B$7,IF(Y323,T323,Constants!$B$13),"")</f>
        <v/>
      </c>
      <c r="AF323" s="91" t="str">
        <f aca="false">IF($Z323=Constants!$B$7,IF(Y323,P323*IF(U323, 1, Constants!$B$11)*IF(V323, 1, Constants!$B$12),Constants!$B$13),"")</f>
        <v/>
      </c>
      <c r="AG323" s="91" t="str">
        <f aca="false">IF($Z323=Constants!$B$7,AE323*AF323,"")</f>
        <v/>
      </c>
      <c r="AH323" s="91" t="str">
        <f aca="false">IF($Z323=Constants!$B$7,IF(AG323&gt;AD323,2,1),"")</f>
        <v/>
      </c>
      <c r="AI323" s="91" t="str">
        <f aca="false">IF($Z323=Constants!$B$7,IF(AH323=1,2,1),"")</f>
        <v/>
      </c>
      <c r="AJ323" s="91" t="str">
        <f aca="false">IF(ISBLANK($C323),"",IF($Z323&lt;&gt;Constants!$B$7,$Z323,IF(AH323=1,AD323,AG323)))</f>
        <v/>
      </c>
      <c r="AK323" s="91" t="str">
        <f aca="false">IF(ISBLANK($C323),"",IF($Z323=Constants!$B$7,IF(ISNUMBER(AJ323),RANK(AJ323,$AJ$8:$AJ$507),Constants!$B$14),$Z323))</f>
        <v/>
      </c>
      <c r="AL323" s="91" t="str">
        <f aca="false">IF(ISBLANK($C323),"",IF($Z323=Constants!$B$7,IF(AI323=1,AD323,AG323),""))</f>
        <v/>
      </c>
      <c r="AM323" s="91" t="str">
        <f aca="false">IF(ISBLANK($C323),"",IF($Z323=Constants!$B$7,RANK(AL323,$AL$8:$AL$507),$Z323))</f>
        <v/>
      </c>
      <c r="AN323" s="91" t="str">
        <f aca="false">IF(ISBLANK($C323),"",IF($Z323=Constants!$B$7,IF(ISNUMBER(AK323),COUNTIFS($AK$8:$AK$507,"&lt;"&amp;$AK323)+COUNTIFS($AK$8:$AK$507,$AK323,$AM$8:$AM$507,"&lt;"&amp;$AM323)+1,Constants!$B$14),$Z323))</f>
        <v/>
      </c>
      <c r="AO323" s="91" t="str">
        <f aca="false">IF(ISBLANK($C323),"",IF($Z323=Constants!$B$7,IF(ISNUMBER(AK323),AK323-AN323,Constants!$B$14),$Z323))</f>
        <v/>
      </c>
      <c r="AP323" s="92"/>
      <c r="AQ323" s="93" t="str">
        <f aca="false">IF(ISBLANK($C323),"",IF($Z323&lt;&gt;Constants!$B$7,"",AH323))</f>
        <v/>
      </c>
      <c r="AR323" s="94" t="str">
        <f aca="false">IF(ISBLANK($C323),"",IF($Z323&lt;&gt;Constants!$B$7,"",IF(AH323=1,AB323,AE323)))</f>
        <v/>
      </c>
      <c r="AS323" s="95" t="str">
        <f aca="false">IF(ISBLANK($C323),"",IF($Z323&lt;&gt;Constants!$B$7,"",IF(AH323=1,AC323,AF323)))</f>
        <v/>
      </c>
      <c r="AT323" s="96" t="str">
        <f aca="false">IF(ISBLANK($C323),"",IF($Z323&lt;&gt;Constants!$B$7,$Z323,AJ323))</f>
        <v/>
      </c>
      <c r="AU323" s="97" t="str">
        <f aca="false">IF(ISBLANK($C323),"",IF($Z323&lt;&gt;Constants!$B$7,$Z323,AA323))</f>
        <v/>
      </c>
      <c r="AV323" s="98" t="str">
        <f aca="false">IF(ISBLANK($C323),"",AO323)</f>
        <v/>
      </c>
      <c r="AW323" s="98" t="str">
        <f aca="false">IF(ISBLANK($C323),"",AN323)</f>
        <v/>
      </c>
      <c r="AX323" s="99" t="str">
        <f aca="false">IF(ISBLANK($C323),"",IFERROR(_xlfn.SWITCH(AW323,Constants!$B$4,COUNTA($C$8:$C$507)+2,Constants!$B$5,COUNTA($C$8:$C$507)+1,Constants!$B$6,COUNTA($C$8:$C$507)),AW323))</f>
        <v/>
      </c>
      <c r="AY323" s="5"/>
      <c r="AZ323" s="100" t="n">
        <f aca="false">IF(OR(ISNUMBER(AW323),AW323=Constants!$B$4,AW323=Constants!$B$6,AW323=Constants!$B$5),1,0)</f>
        <v>0</v>
      </c>
      <c r="BA323" s="100" t="n">
        <v>316</v>
      </c>
      <c r="BB323" s="100" t="str">
        <f aca="false">IF(ISBLANK($C323),"",IF(ISNUMBER(AX323),AX323+ROW($B323)/1000,""))</f>
        <v/>
      </c>
      <c r="BC323" s="100" t="str">
        <f aca="false">IF(ISNUMBER(BB323),RANK(BB323,$BB$8:$BB$507,1),"")</f>
        <v/>
      </c>
      <c r="BD323" s="100" t="str">
        <f aca="false">IF(ISBLANK($C323),"",$B323)</f>
        <v/>
      </c>
      <c r="BE323" s="100" t="str">
        <f aca="false">IF(ISBLANK($C323),"",$C323)</f>
        <v/>
      </c>
      <c r="BF323" s="100" t="str">
        <f aca="false">IF(ISBLANK($C323),"",$D323)</f>
        <v/>
      </c>
      <c r="BG323" s="101" t="str">
        <f aca="false">AU323</f>
        <v/>
      </c>
      <c r="BH323" s="102" t="str">
        <f aca="false">AT323</f>
        <v/>
      </c>
      <c r="BI323" s="100" t="str">
        <f aca="false">IF(ISBLANK($C323),"",AW323)</f>
        <v/>
      </c>
      <c r="BJ323" s="103" t="str">
        <f aca="false">IF($BA323&gt;$AZ$7,"",VLOOKUP($BA323,$BC$8:$BI$507,7,FALSE()))</f>
        <v/>
      </c>
      <c r="BK323" s="104" t="str">
        <f aca="false">IF($BA323&gt;$AZ$7,"",VLOOKUP($BA323,$BC$8:$BI$507,2,FALSE()))</f>
        <v/>
      </c>
      <c r="BL323" s="104" t="str">
        <f aca="false">IF($BA323&gt;$AZ$7,"",VLOOKUP($BA323,$BC$8:$BI$507,3,FALSE()))</f>
        <v/>
      </c>
      <c r="BM323" s="104" t="str">
        <f aca="false">IF($BA323&gt;$AZ$7,"",VLOOKUP($BA323,$BC$8:$BI$507,4,FALSE()))</f>
        <v/>
      </c>
      <c r="BN323" s="104" t="str">
        <f aca="false">IF($BA323&gt;$AZ$7,"",VLOOKUP($BA323,$BC$8:$BI$507,5,FALSE()))</f>
        <v/>
      </c>
      <c r="BO323" s="105" t="str">
        <f aca="false">IF($BA323&gt;$AZ$7,"",VLOOKUP($BA323,$BC$8:$BI$507,6,FALSE()))</f>
        <v/>
      </c>
      <c r="BP323" s="52"/>
    </row>
    <row r="324" customFormat="false" ht="15.75" hidden="false" customHeight="false" outlineLevel="0" collapsed="false">
      <c r="A324" s="5"/>
      <c r="B324" s="114"/>
      <c r="C324" s="115"/>
      <c r="D324" s="106"/>
      <c r="E324" s="117"/>
      <c r="F324" s="87"/>
      <c r="G324" s="88"/>
      <c r="H324" s="88"/>
      <c r="I324" s="87"/>
      <c r="J324" s="88"/>
      <c r="K324" s="88"/>
      <c r="L324" s="87"/>
      <c r="M324" s="117"/>
      <c r="N324" s="90"/>
      <c r="O324" s="91" t="str">
        <f aca="false">IF(ISBLANK($C324),"",IF(E324=Constants!$B$2, TRUE(), IF(E324=Constants!$B$3, FALSE(), TRUE())))</f>
        <v/>
      </c>
      <c r="P324" s="91" t="str">
        <f aca="false">IF(ISBLANK($C324),"",IF(F324=Constants!$B$16,Constants!$B$9,IF(F324=Constants!$B$17,Constants!$B$10,Constants!$B$8)))</f>
        <v/>
      </c>
      <c r="Q324" s="91" t="str">
        <f aca="false">IF(ISBLANK($C324),"",IF(ISNUMBER(G324),IF(G324&gt;=0,G324,""),""))</f>
        <v/>
      </c>
      <c r="R324" s="91" t="str">
        <f aca="false">IF(ISBLANK($C324),"",IF(H324=Constants!$B$2, TRUE(), IF(H324=Constants!$B$3, FALSE(), TRUE())))</f>
        <v/>
      </c>
      <c r="S324" s="91" t="str">
        <f aca="false">IF(ISBLANK($C324),"",IF(I324=Constants!$B$2, TRUE(), IF(I324=Constants!$B$3, FALSE(), TRUE())))</f>
        <v/>
      </c>
      <c r="T324" s="91" t="str">
        <f aca="false">IF(ISBLANK($C324),"",IF(ISNUMBER(J324),IF(J324&gt;=0,J324,""),""))</f>
        <v/>
      </c>
      <c r="U324" s="91" t="str">
        <f aca="false">IF(ISBLANK($C324),"",IF(K324=Constants!$B$2, TRUE(), IF(K324=Constants!$B$3, FALSE(), TRUE())))</f>
        <v/>
      </c>
      <c r="V324" s="91" t="str">
        <f aca="false">IF(ISBLANK($C324),"",IF(L324=Constants!$B$2, TRUE(), IF(L324=Constants!$B$3, FALSE(), TRUE())))</f>
        <v/>
      </c>
      <c r="W324" s="91" t="str">
        <f aca="false">IF(ISBLANK($C324),"",IF(M324=Constants!$B$2, TRUE(), IF(M324=Constants!$B$3, FALSE(), FALSE())))</f>
        <v/>
      </c>
      <c r="X324" s="91" t="str">
        <f aca="false">IF(ISBLANK($C324),"",AND(Q324&lt;&gt;"",O324))</f>
        <v/>
      </c>
      <c r="Y324" s="91" t="str">
        <f aca="false">IF(ISBLANK($C324),"",AND(T324&lt;&gt;"",O324))</f>
        <v/>
      </c>
      <c r="Z324" s="91" t="str">
        <f aca="false">IF(ISBLANK($C324),"",IF(W324,Constants!$B$4,IF(COUNTA(E324:L324)=0,Constants!$B$5,IF(NOT(O324),Constants!$B$6,IF(AND(NOT(X324),NOT(Y324)),Constants!$B$6,Constants!$B$7)))))</f>
        <v/>
      </c>
      <c r="AA324" s="91" t="str">
        <f aca="false">IF(ISBLANK($C324),"",IF($Z324&lt;&gt;Constants!$B$7,$Z324,Constants!$B$20))</f>
        <v/>
      </c>
      <c r="AB324" s="91" t="str">
        <f aca="false">IF($Z324=Constants!$B$7,IF(X324,Q324,Constants!$B$13),"")</f>
        <v/>
      </c>
      <c r="AC324" s="91" t="str">
        <f aca="false">IF($Z324=Constants!$B$7,IF(X324,P324*IF(R324, 1, Constants!$B$11)*IF(S324, 1, Constants!$B$12),Constants!$B$13),"")</f>
        <v/>
      </c>
      <c r="AD324" s="91" t="str">
        <f aca="false">IF($Z324=Constants!$B$7,AB324*AC324,"")</f>
        <v/>
      </c>
      <c r="AE324" s="91" t="str">
        <f aca="false">IF($Z324=Constants!$B$7,IF(Y324,T324,Constants!$B$13),"")</f>
        <v/>
      </c>
      <c r="AF324" s="91" t="str">
        <f aca="false">IF($Z324=Constants!$B$7,IF(Y324,P324*IF(U324, 1, Constants!$B$11)*IF(V324, 1, Constants!$B$12),Constants!$B$13),"")</f>
        <v/>
      </c>
      <c r="AG324" s="91" t="str">
        <f aca="false">IF($Z324=Constants!$B$7,AE324*AF324,"")</f>
        <v/>
      </c>
      <c r="AH324" s="91" t="str">
        <f aca="false">IF($Z324=Constants!$B$7,IF(AG324&gt;AD324,2,1),"")</f>
        <v/>
      </c>
      <c r="AI324" s="91" t="str">
        <f aca="false">IF($Z324=Constants!$B$7,IF(AH324=1,2,1),"")</f>
        <v/>
      </c>
      <c r="AJ324" s="91" t="str">
        <f aca="false">IF(ISBLANK($C324),"",IF($Z324&lt;&gt;Constants!$B$7,$Z324,IF(AH324=1,AD324,AG324)))</f>
        <v/>
      </c>
      <c r="AK324" s="91" t="str">
        <f aca="false">IF(ISBLANK($C324),"",IF($Z324=Constants!$B$7,IF(ISNUMBER(AJ324),RANK(AJ324,$AJ$8:$AJ$507),Constants!$B$14),$Z324))</f>
        <v/>
      </c>
      <c r="AL324" s="91" t="str">
        <f aca="false">IF(ISBLANK($C324),"",IF($Z324=Constants!$B$7,IF(AI324=1,AD324,AG324),""))</f>
        <v/>
      </c>
      <c r="AM324" s="91" t="str">
        <f aca="false">IF(ISBLANK($C324),"",IF($Z324=Constants!$B$7,RANK(AL324,$AL$8:$AL$507),$Z324))</f>
        <v/>
      </c>
      <c r="AN324" s="91" t="str">
        <f aca="false">IF(ISBLANK($C324),"",IF($Z324=Constants!$B$7,IF(ISNUMBER(AK324),COUNTIFS($AK$8:$AK$507,"&lt;"&amp;$AK324)+COUNTIFS($AK$8:$AK$507,$AK324,$AM$8:$AM$507,"&lt;"&amp;$AM324)+1,Constants!$B$14),$Z324))</f>
        <v/>
      </c>
      <c r="AO324" s="91" t="str">
        <f aca="false">IF(ISBLANK($C324),"",IF($Z324=Constants!$B$7,IF(ISNUMBER(AK324),AK324-AN324,Constants!$B$14),$Z324))</f>
        <v/>
      </c>
      <c r="AP324" s="92"/>
      <c r="AQ324" s="93" t="str">
        <f aca="false">IF(ISBLANK($C324),"",IF($Z324&lt;&gt;Constants!$B$7,"",AH324))</f>
        <v/>
      </c>
      <c r="AR324" s="94" t="str">
        <f aca="false">IF(ISBLANK($C324),"",IF($Z324&lt;&gt;Constants!$B$7,"",IF(AH324=1,AB324,AE324)))</f>
        <v/>
      </c>
      <c r="AS324" s="95" t="str">
        <f aca="false">IF(ISBLANK($C324),"",IF($Z324&lt;&gt;Constants!$B$7,"",IF(AH324=1,AC324,AF324)))</f>
        <v/>
      </c>
      <c r="AT324" s="96" t="str">
        <f aca="false">IF(ISBLANK($C324),"",IF($Z324&lt;&gt;Constants!$B$7,$Z324,AJ324))</f>
        <v/>
      </c>
      <c r="AU324" s="97" t="str">
        <f aca="false">IF(ISBLANK($C324),"",IF($Z324&lt;&gt;Constants!$B$7,$Z324,AA324))</f>
        <v/>
      </c>
      <c r="AV324" s="98" t="str">
        <f aca="false">IF(ISBLANK($C324),"",AO324)</f>
        <v/>
      </c>
      <c r="AW324" s="98" t="str">
        <f aca="false">IF(ISBLANK($C324),"",AN324)</f>
        <v/>
      </c>
      <c r="AX324" s="99" t="str">
        <f aca="false">IF(ISBLANK($C324),"",IFERROR(_xlfn.SWITCH(AW324,Constants!$B$4,COUNTA($C$8:$C$507)+2,Constants!$B$5,COUNTA($C$8:$C$507)+1,Constants!$B$6,COUNTA($C$8:$C$507)),AW324))</f>
        <v/>
      </c>
      <c r="AY324" s="5"/>
      <c r="AZ324" s="100" t="n">
        <f aca="false">IF(OR(ISNUMBER(AW324),AW324=Constants!$B$4,AW324=Constants!$B$6,AW324=Constants!$B$5),1,0)</f>
        <v>0</v>
      </c>
      <c r="BA324" s="100" t="n">
        <v>317</v>
      </c>
      <c r="BB324" s="100" t="str">
        <f aca="false">IF(ISBLANK($C324),"",IF(ISNUMBER(AX324),AX324+ROW($B324)/1000,""))</f>
        <v/>
      </c>
      <c r="BC324" s="100" t="str">
        <f aca="false">IF(ISNUMBER(BB324),RANK(BB324,$BB$8:$BB$507,1),"")</f>
        <v/>
      </c>
      <c r="BD324" s="100" t="str">
        <f aca="false">IF(ISBLANK($C324),"",$B324)</f>
        <v/>
      </c>
      <c r="BE324" s="100" t="str">
        <f aca="false">IF(ISBLANK($C324),"",$C324)</f>
        <v/>
      </c>
      <c r="BF324" s="100" t="str">
        <f aca="false">IF(ISBLANK($C324),"",$D324)</f>
        <v/>
      </c>
      <c r="BG324" s="101" t="str">
        <f aca="false">AU324</f>
        <v/>
      </c>
      <c r="BH324" s="102" t="str">
        <f aca="false">AT324</f>
        <v/>
      </c>
      <c r="BI324" s="100" t="str">
        <f aca="false">IF(ISBLANK($C324),"",AW324)</f>
        <v/>
      </c>
      <c r="BJ324" s="103" t="str">
        <f aca="false">IF($BA324&gt;$AZ$7,"",VLOOKUP($BA324,$BC$8:$BI$507,7,FALSE()))</f>
        <v/>
      </c>
      <c r="BK324" s="104" t="str">
        <f aca="false">IF($BA324&gt;$AZ$7,"",VLOOKUP($BA324,$BC$8:$BI$507,2,FALSE()))</f>
        <v/>
      </c>
      <c r="BL324" s="104" t="str">
        <f aca="false">IF($BA324&gt;$AZ$7,"",VLOOKUP($BA324,$BC$8:$BI$507,3,FALSE()))</f>
        <v/>
      </c>
      <c r="BM324" s="104" t="str">
        <f aca="false">IF($BA324&gt;$AZ$7,"",VLOOKUP($BA324,$BC$8:$BI$507,4,FALSE()))</f>
        <v/>
      </c>
      <c r="BN324" s="104" t="str">
        <f aca="false">IF($BA324&gt;$AZ$7,"",VLOOKUP($BA324,$BC$8:$BI$507,5,FALSE()))</f>
        <v/>
      </c>
      <c r="BO324" s="105" t="str">
        <f aca="false">IF($BA324&gt;$AZ$7,"",VLOOKUP($BA324,$BC$8:$BI$507,6,FALSE()))</f>
        <v/>
      </c>
      <c r="BP324" s="52"/>
    </row>
    <row r="325" customFormat="false" ht="15.75" hidden="false" customHeight="false" outlineLevel="0" collapsed="false">
      <c r="A325" s="5"/>
      <c r="B325" s="114"/>
      <c r="C325" s="115"/>
      <c r="D325" s="106"/>
      <c r="E325" s="117"/>
      <c r="F325" s="87"/>
      <c r="G325" s="88"/>
      <c r="H325" s="88"/>
      <c r="I325" s="87"/>
      <c r="J325" s="88"/>
      <c r="K325" s="88"/>
      <c r="L325" s="87"/>
      <c r="M325" s="117"/>
      <c r="N325" s="90"/>
      <c r="O325" s="91" t="str">
        <f aca="false">IF(ISBLANK($C325),"",IF(E325=Constants!$B$2, TRUE(), IF(E325=Constants!$B$3, FALSE(), TRUE())))</f>
        <v/>
      </c>
      <c r="P325" s="91" t="str">
        <f aca="false">IF(ISBLANK($C325),"",IF(F325=Constants!$B$16,Constants!$B$9,IF(F325=Constants!$B$17,Constants!$B$10,Constants!$B$8)))</f>
        <v/>
      </c>
      <c r="Q325" s="91" t="str">
        <f aca="false">IF(ISBLANK($C325),"",IF(ISNUMBER(G325),IF(G325&gt;=0,G325,""),""))</f>
        <v/>
      </c>
      <c r="R325" s="91" t="str">
        <f aca="false">IF(ISBLANK($C325),"",IF(H325=Constants!$B$2, TRUE(), IF(H325=Constants!$B$3, FALSE(), TRUE())))</f>
        <v/>
      </c>
      <c r="S325" s="91" t="str">
        <f aca="false">IF(ISBLANK($C325),"",IF(I325=Constants!$B$2, TRUE(), IF(I325=Constants!$B$3, FALSE(), TRUE())))</f>
        <v/>
      </c>
      <c r="T325" s="91" t="str">
        <f aca="false">IF(ISBLANK($C325),"",IF(ISNUMBER(J325),IF(J325&gt;=0,J325,""),""))</f>
        <v/>
      </c>
      <c r="U325" s="91" t="str">
        <f aca="false">IF(ISBLANK($C325),"",IF(K325=Constants!$B$2, TRUE(), IF(K325=Constants!$B$3, FALSE(), TRUE())))</f>
        <v/>
      </c>
      <c r="V325" s="91" t="str">
        <f aca="false">IF(ISBLANK($C325),"",IF(L325=Constants!$B$2, TRUE(), IF(L325=Constants!$B$3, FALSE(), TRUE())))</f>
        <v/>
      </c>
      <c r="W325" s="91" t="str">
        <f aca="false">IF(ISBLANK($C325),"",IF(M325=Constants!$B$2, TRUE(), IF(M325=Constants!$B$3, FALSE(), FALSE())))</f>
        <v/>
      </c>
      <c r="X325" s="91" t="str">
        <f aca="false">IF(ISBLANK($C325),"",AND(Q325&lt;&gt;"",O325))</f>
        <v/>
      </c>
      <c r="Y325" s="91" t="str">
        <f aca="false">IF(ISBLANK($C325),"",AND(T325&lt;&gt;"",O325))</f>
        <v/>
      </c>
      <c r="Z325" s="91" t="str">
        <f aca="false">IF(ISBLANK($C325),"",IF(W325,Constants!$B$4,IF(COUNTA(E325:L325)=0,Constants!$B$5,IF(NOT(O325),Constants!$B$6,IF(AND(NOT(X325),NOT(Y325)),Constants!$B$6,Constants!$B$7)))))</f>
        <v/>
      </c>
      <c r="AA325" s="91" t="str">
        <f aca="false">IF(ISBLANK($C325),"",IF($Z325&lt;&gt;Constants!$B$7,$Z325,Constants!$B$20))</f>
        <v/>
      </c>
      <c r="AB325" s="91" t="str">
        <f aca="false">IF($Z325=Constants!$B$7,IF(X325,Q325,Constants!$B$13),"")</f>
        <v/>
      </c>
      <c r="AC325" s="91" t="str">
        <f aca="false">IF($Z325=Constants!$B$7,IF(X325,P325*IF(R325, 1, Constants!$B$11)*IF(S325, 1, Constants!$B$12),Constants!$B$13),"")</f>
        <v/>
      </c>
      <c r="AD325" s="91" t="str">
        <f aca="false">IF($Z325=Constants!$B$7,AB325*AC325,"")</f>
        <v/>
      </c>
      <c r="AE325" s="91" t="str">
        <f aca="false">IF($Z325=Constants!$B$7,IF(Y325,T325,Constants!$B$13),"")</f>
        <v/>
      </c>
      <c r="AF325" s="91" t="str">
        <f aca="false">IF($Z325=Constants!$B$7,IF(Y325,P325*IF(U325, 1, Constants!$B$11)*IF(V325, 1, Constants!$B$12),Constants!$B$13),"")</f>
        <v/>
      </c>
      <c r="AG325" s="91" t="str">
        <f aca="false">IF($Z325=Constants!$B$7,AE325*AF325,"")</f>
        <v/>
      </c>
      <c r="AH325" s="91" t="str">
        <f aca="false">IF($Z325=Constants!$B$7,IF(AG325&gt;AD325,2,1),"")</f>
        <v/>
      </c>
      <c r="AI325" s="91" t="str">
        <f aca="false">IF($Z325=Constants!$B$7,IF(AH325=1,2,1),"")</f>
        <v/>
      </c>
      <c r="AJ325" s="91" t="str">
        <f aca="false">IF(ISBLANK($C325),"",IF($Z325&lt;&gt;Constants!$B$7,$Z325,IF(AH325=1,AD325,AG325)))</f>
        <v/>
      </c>
      <c r="AK325" s="91" t="str">
        <f aca="false">IF(ISBLANK($C325),"",IF($Z325=Constants!$B$7,IF(ISNUMBER(AJ325),RANK(AJ325,$AJ$8:$AJ$507),Constants!$B$14),$Z325))</f>
        <v/>
      </c>
      <c r="AL325" s="91" t="str">
        <f aca="false">IF(ISBLANK($C325),"",IF($Z325=Constants!$B$7,IF(AI325=1,AD325,AG325),""))</f>
        <v/>
      </c>
      <c r="AM325" s="91" t="str">
        <f aca="false">IF(ISBLANK($C325),"",IF($Z325=Constants!$B$7,RANK(AL325,$AL$8:$AL$507),$Z325))</f>
        <v/>
      </c>
      <c r="AN325" s="91" t="str">
        <f aca="false">IF(ISBLANK($C325),"",IF($Z325=Constants!$B$7,IF(ISNUMBER(AK325),COUNTIFS($AK$8:$AK$507,"&lt;"&amp;$AK325)+COUNTIFS($AK$8:$AK$507,$AK325,$AM$8:$AM$507,"&lt;"&amp;$AM325)+1,Constants!$B$14),$Z325))</f>
        <v/>
      </c>
      <c r="AO325" s="91" t="str">
        <f aca="false">IF(ISBLANK($C325),"",IF($Z325=Constants!$B$7,IF(ISNUMBER(AK325),AK325-AN325,Constants!$B$14),$Z325))</f>
        <v/>
      </c>
      <c r="AP325" s="92"/>
      <c r="AQ325" s="93" t="str">
        <f aca="false">IF(ISBLANK($C325),"",IF($Z325&lt;&gt;Constants!$B$7,"",AH325))</f>
        <v/>
      </c>
      <c r="AR325" s="94" t="str">
        <f aca="false">IF(ISBLANK($C325),"",IF($Z325&lt;&gt;Constants!$B$7,"",IF(AH325=1,AB325,AE325)))</f>
        <v/>
      </c>
      <c r="AS325" s="95" t="str">
        <f aca="false">IF(ISBLANK($C325),"",IF($Z325&lt;&gt;Constants!$B$7,"",IF(AH325=1,AC325,AF325)))</f>
        <v/>
      </c>
      <c r="AT325" s="96" t="str">
        <f aca="false">IF(ISBLANK($C325),"",IF($Z325&lt;&gt;Constants!$B$7,$Z325,AJ325))</f>
        <v/>
      </c>
      <c r="AU325" s="97" t="str">
        <f aca="false">IF(ISBLANK($C325),"",IF($Z325&lt;&gt;Constants!$B$7,$Z325,AA325))</f>
        <v/>
      </c>
      <c r="AV325" s="98" t="str">
        <f aca="false">IF(ISBLANK($C325),"",AO325)</f>
        <v/>
      </c>
      <c r="AW325" s="98" t="str">
        <f aca="false">IF(ISBLANK($C325),"",AN325)</f>
        <v/>
      </c>
      <c r="AX325" s="99" t="str">
        <f aca="false">IF(ISBLANK($C325),"",IFERROR(_xlfn.SWITCH(AW325,Constants!$B$4,COUNTA($C$8:$C$507)+2,Constants!$B$5,COUNTA($C$8:$C$507)+1,Constants!$B$6,COUNTA($C$8:$C$507)),AW325))</f>
        <v/>
      </c>
      <c r="AY325" s="5"/>
      <c r="AZ325" s="100" t="n">
        <f aca="false">IF(OR(ISNUMBER(AW325),AW325=Constants!$B$4,AW325=Constants!$B$6,AW325=Constants!$B$5),1,0)</f>
        <v>0</v>
      </c>
      <c r="BA325" s="100" t="n">
        <v>318</v>
      </c>
      <c r="BB325" s="100" t="str">
        <f aca="false">IF(ISBLANK($C325),"",IF(ISNUMBER(AX325),AX325+ROW($B325)/1000,""))</f>
        <v/>
      </c>
      <c r="BC325" s="100" t="str">
        <f aca="false">IF(ISNUMBER(BB325),RANK(BB325,$BB$8:$BB$507,1),"")</f>
        <v/>
      </c>
      <c r="BD325" s="100" t="str">
        <f aca="false">IF(ISBLANK($C325),"",$B325)</f>
        <v/>
      </c>
      <c r="BE325" s="100" t="str">
        <f aca="false">IF(ISBLANK($C325),"",$C325)</f>
        <v/>
      </c>
      <c r="BF325" s="100" t="str">
        <f aca="false">IF(ISBLANK($C325),"",$D325)</f>
        <v/>
      </c>
      <c r="BG325" s="101" t="str">
        <f aca="false">AU325</f>
        <v/>
      </c>
      <c r="BH325" s="102" t="str">
        <f aca="false">AT325</f>
        <v/>
      </c>
      <c r="BI325" s="100" t="str">
        <f aca="false">IF(ISBLANK($C325),"",AW325)</f>
        <v/>
      </c>
      <c r="BJ325" s="103" t="str">
        <f aca="false">IF($BA325&gt;$AZ$7,"",VLOOKUP($BA325,$BC$8:$BI$507,7,FALSE()))</f>
        <v/>
      </c>
      <c r="BK325" s="104" t="str">
        <f aca="false">IF($BA325&gt;$AZ$7,"",VLOOKUP($BA325,$BC$8:$BI$507,2,FALSE()))</f>
        <v/>
      </c>
      <c r="BL325" s="104" t="str">
        <f aca="false">IF($BA325&gt;$AZ$7,"",VLOOKUP($BA325,$BC$8:$BI$507,3,FALSE()))</f>
        <v/>
      </c>
      <c r="BM325" s="104" t="str">
        <f aca="false">IF($BA325&gt;$AZ$7,"",VLOOKUP($BA325,$BC$8:$BI$507,4,FALSE()))</f>
        <v/>
      </c>
      <c r="BN325" s="104" t="str">
        <f aca="false">IF($BA325&gt;$AZ$7,"",VLOOKUP($BA325,$BC$8:$BI$507,5,FALSE()))</f>
        <v/>
      </c>
      <c r="BO325" s="105" t="str">
        <f aca="false">IF($BA325&gt;$AZ$7,"",VLOOKUP($BA325,$BC$8:$BI$507,6,FALSE()))</f>
        <v/>
      </c>
      <c r="BP325" s="52"/>
    </row>
    <row r="326" customFormat="false" ht="15.75" hidden="false" customHeight="false" outlineLevel="0" collapsed="false">
      <c r="A326" s="5"/>
      <c r="B326" s="118"/>
      <c r="C326" s="54"/>
      <c r="D326" s="55"/>
      <c r="E326" s="79"/>
      <c r="F326" s="57"/>
      <c r="G326" s="58"/>
      <c r="H326" s="58"/>
      <c r="I326" s="57"/>
      <c r="J326" s="58"/>
      <c r="K326" s="58"/>
      <c r="L326" s="57"/>
      <c r="M326" s="79"/>
      <c r="N326" s="60"/>
      <c r="O326" s="62" t="str">
        <f aca="false">IF(ISBLANK($C326),"",IF(E326=Constants!$B$2, TRUE(), IF(E326=Constants!$B$3, FALSE(), TRUE())))</f>
        <v/>
      </c>
      <c r="P326" s="62" t="str">
        <f aca="false">IF(ISBLANK($C326),"",IF(F326=Constants!$B$16,Constants!$B$9,IF(F326=Constants!$B$17,Constants!$B$10,Constants!$B$8)))</f>
        <v/>
      </c>
      <c r="Q326" s="62" t="str">
        <f aca="false">IF(ISBLANK($C326),"",IF(ISNUMBER(G326),IF(G326&gt;=0,G326,""),""))</f>
        <v/>
      </c>
      <c r="R326" s="62" t="str">
        <f aca="false">IF(ISBLANK($C326),"",IF(H326=Constants!$B$2, TRUE(), IF(H326=Constants!$B$3, FALSE(), TRUE())))</f>
        <v/>
      </c>
      <c r="S326" s="62" t="str">
        <f aca="false">IF(ISBLANK($C326),"",IF(I326=Constants!$B$2, TRUE(), IF(I326=Constants!$B$3, FALSE(), TRUE())))</f>
        <v/>
      </c>
      <c r="T326" s="62" t="str">
        <f aca="false">IF(ISBLANK($C326),"",IF(ISNUMBER(J326),IF(J326&gt;=0,J326,""),""))</f>
        <v/>
      </c>
      <c r="U326" s="62" t="str">
        <f aca="false">IF(ISBLANK($C326),"",IF(K326=Constants!$B$2, TRUE(), IF(K326=Constants!$B$3, FALSE(), TRUE())))</f>
        <v/>
      </c>
      <c r="V326" s="62" t="str">
        <f aca="false">IF(ISBLANK($C326),"",IF(L326=Constants!$B$2, TRUE(), IF(L326=Constants!$B$3, FALSE(), TRUE())))</f>
        <v/>
      </c>
      <c r="W326" s="62" t="str">
        <f aca="false">IF(ISBLANK($C326),"",IF(M326=Constants!$B$2, TRUE(), IF(M326=Constants!$B$3, FALSE(), FALSE())))</f>
        <v/>
      </c>
      <c r="X326" s="62" t="str">
        <f aca="false">IF(ISBLANK($C326),"",AND(Q326&lt;&gt;"",O326))</f>
        <v/>
      </c>
      <c r="Y326" s="62" t="str">
        <f aca="false">IF(ISBLANK($C326),"",AND(T326&lt;&gt;"",O326))</f>
        <v/>
      </c>
      <c r="Z326" s="62" t="str">
        <f aca="false">IF(ISBLANK($C326),"",IF(W326,Constants!$B$4,IF(COUNTA(E326:L326)=0,Constants!$B$5,IF(NOT(O326),Constants!$B$6,IF(AND(NOT(X326),NOT(Y326)),Constants!$B$6,Constants!$B$7)))))</f>
        <v/>
      </c>
      <c r="AA326" s="62" t="str">
        <f aca="false">IF(ISBLANK($C326),"",IF($Z326&lt;&gt;Constants!$B$7,$Z326,Constants!$B$20))</f>
        <v/>
      </c>
      <c r="AB326" s="62" t="str">
        <f aca="false">IF($Z326=Constants!$B$7,IF(X326,Q326,Constants!$B$13),"")</f>
        <v/>
      </c>
      <c r="AC326" s="62" t="str">
        <f aca="false">IF($Z326=Constants!$B$7,IF(X326,P326*IF(R326, 1, Constants!$B$11)*IF(S326, 1, Constants!$B$12),Constants!$B$13),"")</f>
        <v/>
      </c>
      <c r="AD326" s="62" t="str">
        <f aca="false">IF($Z326=Constants!$B$7,AB326*AC326,"")</f>
        <v/>
      </c>
      <c r="AE326" s="62" t="str">
        <f aca="false">IF($Z326=Constants!$B$7,IF(Y326,T326,Constants!$B$13),"")</f>
        <v/>
      </c>
      <c r="AF326" s="62" t="str">
        <f aca="false">IF($Z326=Constants!$B$7,IF(Y326,P326*IF(U326, 1, Constants!$B$11)*IF(V326, 1, Constants!$B$12),Constants!$B$13),"")</f>
        <v/>
      </c>
      <c r="AG326" s="62" t="str">
        <f aca="false">IF($Z326=Constants!$B$7,AE326*AF326,"")</f>
        <v/>
      </c>
      <c r="AH326" s="62" t="str">
        <f aca="false">IF($Z326=Constants!$B$7,IF(AG326&gt;AD326,2,1),"")</f>
        <v/>
      </c>
      <c r="AI326" s="62" t="str">
        <f aca="false">IF($Z326=Constants!$B$7,IF(AH326=1,2,1),"")</f>
        <v/>
      </c>
      <c r="AJ326" s="62" t="str">
        <f aca="false">IF(ISBLANK($C326),"",IF($Z326&lt;&gt;Constants!$B$7,$Z326,IF(AH326=1,AD326,AG326)))</f>
        <v/>
      </c>
      <c r="AK326" s="62" t="str">
        <f aca="false">IF(ISBLANK($C326),"",IF($Z326=Constants!$B$7,IF(ISNUMBER(AJ326),RANK(AJ326,$AJ$8:$AJ$507),Constants!$B$14),$Z326))</f>
        <v/>
      </c>
      <c r="AL326" s="62" t="str">
        <f aca="false">IF(ISBLANK($C326),"",IF($Z326=Constants!$B$7,IF(AI326=1,AD326,AG326),""))</f>
        <v/>
      </c>
      <c r="AM326" s="62" t="str">
        <f aca="false">IF(ISBLANK($C326),"",IF($Z326=Constants!$B$7,RANK(AL326,$AL$8:$AL$507),$Z326))</f>
        <v/>
      </c>
      <c r="AN326" s="62" t="str">
        <f aca="false">IF(ISBLANK($C326),"",IF($Z326=Constants!$B$7,IF(ISNUMBER(AK326),COUNTIFS($AK$8:$AK$507,"&lt;"&amp;$AK326)+COUNTIFS($AK$8:$AK$507,$AK326,$AM$8:$AM$507,"&lt;"&amp;$AM326)+1,Constants!$B$14),$Z326))</f>
        <v/>
      </c>
      <c r="AO326" s="62" t="str">
        <f aca="false">IF(ISBLANK($C326),"",IF($Z326=Constants!$B$7,IF(ISNUMBER(AK326),AK326-AN326,Constants!$B$14),$Z326))</f>
        <v/>
      </c>
      <c r="AP326" s="64"/>
      <c r="AQ326" s="65" t="str">
        <f aca="false">IF(ISBLANK($C326),"",IF($Z326&lt;&gt;Constants!$B$7,"",AH326))</f>
        <v/>
      </c>
      <c r="AR326" s="80" t="str">
        <f aca="false">IF(ISBLANK($C326),"",IF($Z326&lt;&gt;Constants!$B$7,"",IF(AH326=1,AB326,AE326)))</f>
        <v/>
      </c>
      <c r="AS326" s="67" t="str">
        <f aca="false">IF(ISBLANK($C326),"",IF($Z326&lt;&gt;Constants!$B$7,"",IF(AH326=1,AC326,AF326)))</f>
        <v/>
      </c>
      <c r="AT326" s="68" t="str">
        <f aca="false">IF(ISBLANK($C326),"",IF($Z326&lt;&gt;Constants!$B$7,$Z326,AJ326))</f>
        <v/>
      </c>
      <c r="AU326" s="69" t="str">
        <f aca="false">IF(ISBLANK($C326),"",IF($Z326&lt;&gt;Constants!$B$7,$Z326,AA326))</f>
        <v/>
      </c>
      <c r="AV326" s="70" t="str">
        <f aca="false">IF(ISBLANK($C326),"",AO326)</f>
        <v/>
      </c>
      <c r="AW326" s="70" t="str">
        <f aca="false">IF(ISBLANK($C326),"",AN326)</f>
        <v/>
      </c>
      <c r="AX326" s="71" t="str">
        <f aca="false">IF(ISBLANK($C326),"",IFERROR(_xlfn.SWITCH(AW326,Constants!$B$4,COUNTA($C$8:$C$507)+2,Constants!$B$5,COUNTA($C$8:$C$507)+1,Constants!$B$6,COUNTA($C$8:$C$507)),AW326))</f>
        <v/>
      </c>
      <c r="AY326" s="5"/>
      <c r="AZ326" s="72" t="n">
        <f aca="false">IF(OR(ISNUMBER(AW326),AW326=Constants!$B$4,AW326=Constants!$B$6,AW326=Constants!$B$5),1,0)</f>
        <v>0</v>
      </c>
      <c r="BA326" s="72" t="n">
        <v>319</v>
      </c>
      <c r="BB326" s="72" t="str">
        <f aca="false">IF(ISBLANK($C326),"",IF(ISNUMBER(AX326),AX326+ROW($B326)/1000,""))</f>
        <v/>
      </c>
      <c r="BC326" s="72" t="str">
        <f aca="false">IF(ISNUMBER(BB326),RANK(BB326,$BB$8:$BB$507,1),"")</f>
        <v/>
      </c>
      <c r="BD326" s="72" t="str">
        <f aca="false">IF(ISBLANK($C326),"",$B326)</f>
        <v/>
      </c>
      <c r="BE326" s="72" t="str">
        <f aca="false">IF(ISBLANK($C326),"",$C326)</f>
        <v/>
      </c>
      <c r="BF326" s="72" t="str">
        <f aca="false">IF(ISBLANK($C326),"",$D326)</f>
        <v/>
      </c>
      <c r="BG326" s="73" t="str">
        <f aca="false">AU326</f>
        <v/>
      </c>
      <c r="BH326" s="74" t="str">
        <f aca="false">AT326</f>
        <v/>
      </c>
      <c r="BI326" s="72" t="str">
        <f aca="false">IF(ISBLANK($C326),"",AW326)</f>
        <v/>
      </c>
      <c r="BJ326" s="75" t="str">
        <f aca="false">IF($BA326&gt;$AZ$7,"",VLOOKUP($BA326,$BC$8:$BI$507,7,FALSE()))</f>
        <v/>
      </c>
      <c r="BK326" s="76" t="str">
        <f aca="false">IF($BA326&gt;$AZ$7,"",VLOOKUP($BA326,$BC$8:$BI$507,2,FALSE()))</f>
        <v/>
      </c>
      <c r="BL326" s="76" t="str">
        <f aca="false">IF($BA326&gt;$AZ$7,"",VLOOKUP($BA326,$BC$8:$BI$507,3,FALSE()))</f>
        <v/>
      </c>
      <c r="BM326" s="76" t="str">
        <f aca="false">IF($BA326&gt;$AZ$7,"",VLOOKUP($BA326,$BC$8:$BI$507,4,FALSE()))</f>
        <v/>
      </c>
      <c r="BN326" s="76" t="str">
        <f aca="false">IF($BA326&gt;$AZ$7,"",VLOOKUP($BA326,$BC$8:$BI$507,5,FALSE()))</f>
        <v/>
      </c>
      <c r="BO326" s="77" t="str">
        <f aca="false">IF($BA326&gt;$AZ$7,"",VLOOKUP($BA326,$BC$8:$BI$507,6,FALSE()))</f>
        <v/>
      </c>
      <c r="BP326" s="52"/>
    </row>
    <row r="327" customFormat="false" ht="15.75" hidden="false" customHeight="false" outlineLevel="0" collapsed="false">
      <c r="A327" s="5"/>
      <c r="B327" s="118"/>
      <c r="C327" s="54"/>
      <c r="D327" s="55"/>
      <c r="E327" s="79"/>
      <c r="F327" s="57"/>
      <c r="G327" s="58"/>
      <c r="H327" s="58"/>
      <c r="I327" s="57"/>
      <c r="J327" s="58"/>
      <c r="K327" s="58"/>
      <c r="L327" s="57"/>
      <c r="M327" s="79"/>
      <c r="N327" s="60"/>
      <c r="O327" s="62" t="str">
        <f aca="false">IF(ISBLANK($C327),"",IF(E327=Constants!$B$2, TRUE(), IF(E327=Constants!$B$3, FALSE(), TRUE())))</f>
        <v/>
      </c>
      <c r="P327" s="62" t="str">
        <f aca="false">IF(ISBLANK($C327),"",IF(F327=Constants!$B$16,Constants!$B$9,IF(F327=Constants!$B$17,Constants!$B$10,Constants!$B$8)))</f>
        <v/>
      </c>
      <c r="Q327" s="62" t="str">
        <f aca="false">IF(ISBLANK($C327),"",IF(ISNUMBER(G327),IF(G327&gt;=0,G327,""),""))</f>
        <v/>
      </c>
      <c r="R327" s="62" t="str">
        <f aca="false">IF(ISBLANK($C327),"",IF(H327=Constants!$B$2, TRUE(), IF(H327=Constants!$B$3, FALSE(), TRUE())))</f>
        <v/>
      </c>
      <c r="S327" s="62" t="str">
        <f aca="false">IF(ISBLANK($C327),"",IF(I327=Constants!$B$2, TRUE(), IF(I327=Constants!$B$3, FALSE(), TRUE())))</f>
        <v/>
      </c>
      <c r="T327" s="62" t="str">
        <f aca="false">IF(ISBLANK($C327),"",IF(ISNUMBER(J327),IF(J327&gt;=0,J327,""),""))</f>
        <v/>
      </c>
      <c r="U327" s="62" t="str">
        <f aca="false">IF(ISBLANK($C327),"",IF(K327=Constants!$B$2, TRUE(), IF(K327=Constants!$B$3, FALSE(), TRUE())))</f>
        <v/>
      </c>
      <c r="V327" s="62" t="str">
        <f aca="false">IF(ISBLANK($C327),"",IF(L327=Constants!$B$2, TRUE(), IF(L327=Constants!$B$3, FALSE(), TRUE())))</f>
        <v/>
      </c>
      <c r="W327" s="62" t="str">
        <f aca="false">IF(ISBLANK($C327),"",IF(M327=Constants!$B$2, TRUE(), IF(M327=Constants!$B$3, FALSE(), FALSE())))</f>
        <v/>
      </c>
      <c r="X327" s="62" t="str">
        <f aca="false">IF(ISBLANK($C327),"",AND(Q327&lt;&gt;"",O327))</f>
        <v/>
      </c>
      <c r="Y327" s="62" t="str">
        <f aca="false">IF(ISBLANK($C327),"",AND(T327&lt;&gt;"",O327))</f>
        <v/>
      </c>
      <c r="Z327" s="62" t="str">
        <f aca="false">IF(ISBLANK($C327),"",IF(W327,Constants!$B$4,IF(COUNTA(E327:L327)=0,Constants!$B$5,IF(NOT(O327),Constants!$B$6,IF(AND(NOT(X327),NOT(Y327)),Constants!$B$6,Constants!$B$7)))))</f>
        <v/>
      </c>
      <c r="AA327" s="62" t="str">
        <f aca="false">IF(ISBLANK($C327),"",IF($Z327&lt;&gt;Constants!$B$7,$Z327,Constants!$B$20))</f>
        <v/>
      </c>
      <c r="AB327" s="62" t="str">
        <f aca="false">IF($Z327=Constants!$B$7,IF(X327,Q327,Constants!$B$13),"")</f>
        <v/>
      </c>
      <c r="AC327" s="62" t="str">
        <f aca="false">IF($Z327=Constants!$B$7,IF(X327,P327*IF(R327, 1, Constants!$B$11)*IF(S327, 1, Constants!$B$12),Constants!$B$13),"")</f>
        <v/>
      </c>
      <c r="AD327" s="62" t="str">
        <f aca="false">IF($Z327=Constants!$B$7,AB327*AC327,"")</f>
        <v/>
      </c>
      <c r="AE327" s="62" t="str">
        <f aca="false">IF($Z327=Constants!$B$7,IF(Y327,T327,Constants!$B$13),"")</f>
        <v/>
      </c>
      <c r="AF327" s="62" t="str">
        <f aca="false">IF($Z327=Constants!$B$7,IF(Y327,P327*IF(U327, 1, Constants!$B$11)*IF(V327, 1, Constants!$B$12),Constants!$B$13),"")</f>
        <v/>
      </c>
      <c r="AG327" s="62" t="str">
        <f aca="false">IF($Z327=Constants!$B$7,AE327*AF327,"")</f>
        <v/>
      </c>
      <c r="AH327" s="62" t="str">
        <f aca="false">IF($Z327=Constants!$B$7,IF(AG327&gt;AD327,2,1),"")</f>
        <v/>
      </c>
      <c r="AI327" s="62" t="str">
        <f aca="false">IF($Z327=Constants!$B$7,IF(AH327=1,2,1),"")</f>
        <v/>
      </c>
      <c r="AJ327" s="62" t="str">
        <f aca="false">IF(ISBLANK($C327),"",IF($Z327&lt;&gt;Constants!$B$7,$Z327,IF(AH327=1,AD327,AG327)))</f>
        <v/>
      </c>
      <c r="AK327" s="62" t="str">
        <f aca="false">IF(ISBLANK($C327),"",IF($Z327=Constants!$B$7,IF(ISNUMBER(AJ327),RANK(AJ327,$AJ$8:$AJ$507),Constants!$B$14),$Z327))</f>
        <v/>
      </c>
      <c r="AL327" s="62" t="str">
        <f aca="false">IF(ISBLANK($C327),"",IF($Z327=Constants!$B$7,IF(AI327=1,AD327,AG327),""))</f>
        <v/>
      </c>
      <c r="AM327" s="62" t="str">
        <f aca="false">IF(ISBLANK($C327),"",IF($Z327=Constants!$B$7,RANK(AL327,$AL$8:$AL$507),$Z327))</f>
        <v/>
      </c>
      <c r="AN327" s="62" t="str">
        <f aca="false">IF(ISBLANK($C327),"",IF($Z327=Constants!$B$7,IF(ISNUMBER(AK327),COUNTIFS($AK$8:$AK$507,"&lt;"&amp;$AK327)+COUNTIFS($AK$8:$AK$507,$AK327,$AM$8:$AM$507,"&lt;"&amp;$AM327)+1,Constants!$B$14),$Z327))</f>
        <v/>
      </c>
      <c r="AO327" s="62" t="str">
        <f aca="false">IF(ISBLANK($C327),"",IF($Z327=Constants!$B$7,IF(ISNUMBER(AK327),AK327-AN327,Constants!$B$14),$Z327))</f>
        <v/>
      </c>
      <c r="AP327" s="64"/>
      <c r="AQ327" s="65" t="str">
        <f aca="false">IF(ISBLANK($C327),"",IF($Z327&lt;&gt;Constants!$B$7,"",AH327))</f>
        <v/>
      </c>
      <c r="AR327" s="80" t="str">
        <f aca="false">IF(ISBLANK($C327),"",IF($Z327&lt;&gt;Constants!$B$7,"",IF(AH327=1,AB327,AE327)))</f>
        <v/>
      </c>
      <c r="AS327" s="67" t="str">
        <f aca="false">IF(ISBLANK($C327),"",IF($Z327&lt;&gt;Constants!$B$7,"",IF(AH327=1,AC327,AF327)))</f>
        <v/>
      </c>
      <c r="AT327" s="68" t="str">
        <f aca="false">IF(ISBLANK($C327),"",IF($Z327&lt;&gt;Constants!$B$7,$Z327,AJ327))</f>
        <v/>
      </c>
      <c r="AU327" s="69" t="str">
        <f aca="false">IF(ISBLANK($C327),"",IF($Z327&lt;&gt;Constants!$B$7,$Z327,AA327))</f>
        <v/>
      </c>
      <c r="AV327" s="70" t="str">
        <f aca="false">IF(ISBLANK($C327),"",AO327)</f>
        <v/>
      </c>
      <c r="AW327" s="70" t="str">
        <f aca="false">IF(ISBLANK($C327),"",AN327)</f>
        <v/>
      </c>
      <c r="AX327" s="71" t="str">
        <f aca="false">IF(ISBLANK($C327),"",IFERROR(_xlfn.SWITCH(AW327,Constants!$B$4,COUNTA($C$8:$C$507)+2,Constants!$B$5,COUNTA($C$8:$C$507)+1,Constants!$B$6,COUNTA($C$8:$C$507)),AW327))</f>
        <v/>
      </c>
      <c r="AY327" s="5"/>
      <c r="AZ327" s="72" t="n">
        <f aca="false">IF(OR(ISNUMBER(AW327),AW327=Constants!$B$4,AW327=Constants!$B$6,AW327=Constants!$B$5),1,0)</f>
        <v>0</v>
      </c>
      <c r="BA327" s="72" t="n">
        <v>320</v>
      </c>
      <c r="BB327" s="72" t="str">
        <f aca="false">IF(ISBLANK($C327),"",IF(ISNUMBER(AX327),AX327+ROW($B327)/1000,""))</f>
        <v/>
      </c>
      <c r="BC327" s="72" t="str">
        <f aca="false">IF(ISNUMBER(BB327),RANK(BB327,$BB$8:$BB$507,1),"")</f>
        <v/>
      </c>
      <c r="BD327" s="72" t="str">
        <f aca="false">IF(ISBLANK($C327),"",$B327)</f>
        <v/>
      </c>
      <c r="BE327" s="72" t="str">
        <f aca="false">IF(ISBLANK($C327),"",$C327)</f>
        <v/>
      </c>
      <c r="BF327" s="72" t="str">
        <f aca="false">IF(ISBLANK($C327),"",$D327)</f>
        <v/>
      </c>
      <c r="BG327" s="73" t="str">
        <f aca="false">AU327</f>
        <v/>
      </c>
      <c r="BH327" s="74" t="str">
        <f aca="false">AT327</f>
        <v/>
      </c>
      <c r="BI327" s="72" t="str">
        <f aca="false">IF(ISBLANK($C327),"",AW327)</f>
        <v/>
      </c>
      <c r="BJ327" s="75" t="str">
        <f aca="false">IF($BA327&gt;$AZ$7,"",VLOOKUP($BA327,$BC$8:$BI$507,7,FALSE()))</f>
        <v/>
      </c>
      <c r="BK327" s="76" t="str">
        <f aca="false">IF($BA327&gt;$AZ$7,"",VLOOKUP($BA327,$BC$8:$BI$507,2,FALSE()))</f>
        <v/>
      </c>
      <c r="BL327" s="76" t="str">
        <f aca="false">IF($BA327&gt;$AZ$7,"",VLOOKUP($BA327,$BC$8:$BI$507,3,FALSE()))</f>
        <v/>
      </c>
      <c r="BM327" s="76" t="str">
        <f aca="false">IF($BA327&gt;$AZ$7,"",VLOOKUP($BA327,$BC$8:$BI$507,4,FALSE()))</f>
        <v/>
      </c>
      <c r="BN327" s="76" t="str">
        <f aca="false">IF($BA327&gt;$AZ$7,"",VLOOKUP($BA327,$BC$8:$BI$507,5,FALSE()))</f>
        <v/>
      </c>
      <c r="BO327" s="77" t="str">
        <f aca="false">IF($BA327&gt;$AZ$7,"",VLOOKUP($BA327,$BC$8:$BI$507,6,FALSE()))</f>
        <v/>
      </c>
      <c r="BP327" s="52"/>
    </row>
    <row r="328" customFormat="false" ht="15.75" hidden="false" customHeight="false" outlineLevel="0" collapsed="false">
      <c r="A328" s="5"/>
      <c r="B328" s="118"/>
      <c r="C328" s="54"/>
      <c r="D328" s="55"/>
      <c r="E328" s="79"/>
      <c r="F328" s="57"/>
      <c r="G328" s="58"/>
      <c r="H328" s="58"/>
      <c r="I328" s="57"/>
      <c r="J328" s="58"/>
      <c r="K328" s="58"/>
      <c r="L328" s="57"/>
      <c r="M328" s="79"/>
      <c r="N328" s="60"/>
      <c r="O328" s="62" t="str">
        <f aca="false">IF(ISBLANK($C328),"",IF(E328=Constants!$B$2, TRUE(), IF(E328=Constants!$B$3, FALSE(), TRUE())))</f>
        <v/>
      </c>
      <c r="P328" s="62" t="str">
        <f aca="false">IF(ISBLANK($C328),"",IF(F328=Constants!$B$16,Constants!$B$9,IF(F328=Constants!$B$17,Constants!$B$10,Constants!$B$8)))</f>
        <v/>
      </c>
      <c r="Q328" s="62" t="str">
        <f aca="false">IF(ISBLANK($C328),"",IF(ISNUMBER(G328),IF(G328&gt;=0,G328,""),""))</f>
        <v/>
      </c>
      <c r="R328" s="62" t="str">
        <f aca="false">IF(ISBLANK($C328),"",IF(H328=Constants!$B$2, TRUE(), IF(H328=Constants!$B$3, FALSE(), TRUE())))</f>
        <v/>
      </c>
      <c r="S328" s="62" t="str">
        <f aca="false">IF(ISBLANK($C328),"",IF(I328=Constants!$B$2, TRUE(), IF(I328=Constants!$B$3, FALSE(), TRUE())))</f>
        <v/>
      </c>
      <c r="T328" s="62" t="str">
        <f aca="false">IF(ISBLANK($C328),"",IF(ISNUMBER(J328),IF(J328&gt;=0,J328,""),""))</f>
        <v/>
      </c>
      <c r="U328" s="62" t="str">
        <f aca="false">IF(ISBLANK($C328),"",IF(K328=Constants!$B$2, TRUE(), IF(K328=Constants!$B$3, FALSE(), TRUE())))</f>
        <v/>
      </c>
      <c r="V328" s="62" t="str">
        <f aca="false">IF(ISBLANK($C328),"",IF(L328=Constants!$B$2, TRUE(), IF(L328=Constants!$B$3, FALSE(), TRUE())))</f>
        <v/>
      </c>
      <c r="W328" s="62" t="str">
        <f aca="false">IF(ISBLANK($C328),"",IF(M328=Constants!$B$2, TRUE(), IF(M328=Constants!$B$3, FALSE(), FALSE())))</f>
        <v/>
      </c>
      <c r="X328" s="62" t="str">
        <f aca="false">IF(ISBLANK($C328),"",AND(Q328&lt;&gt;"",O328))</f>
        <v/>
      </c>
      <c r="Y328" s="62" t="str">
        <f aca="false">IF(ISBLANK($C328),"",AND(T328&lt;&gt;"",O328))</f>
        <v/>
      </c>
      <c r="Z328" s="62" t="str">
        <f aca="false">IF(ISBLANK($C328),"",IF(W328,Constants!$B$4,IF(COUNTA(E328:L328)=0,Constants!$B$5,IF(NOT(O328),Constants!$B$6,IF(AND(NOT(X328),NOT(Y328)),Constants!$B$6,Constants!$B$7)))))</f>
        <v/>
      </c>
      <c r="AA328" s="62" t="str">
        <f aca="false">IF(ISBLANK($C328),"",IF($Z328&lt;&gt;Constants!$B$7,$Z328,Constants!$B$20))</f>
        <v/>
      </c>
      <c r="AB328" s="62" t="str">
        <f aca="false">IF($Z328=Constants!$B$7,IF(X328,Q328,Constants!$B$13),"")</f>
        <v/>
      </c>
      <c r="AC328" s="62" t="str">
        <f aca="false">IF($Z328=Constants!$B$7,IF(X328,P328*IF(R328, 1, Constants!$B$11)*IF(S328, 1, Constants!$B$12),Constants!$B$13),"")</f>
        <v/>
      </c>
      <c r="AD328" s="62" t="str">
        <f aca="false">IF($Z328=Constants!$B$7,AB328*AC328,"")</f>
        <v/>
      </c>
      <c r="AE328" s="62" t="str">
        <f aca="false">IF($Z328=Constants!$B$7,IF(Y328,T328,Constants!$B$13),"")</f>
        <v/>
      </c>
      <c r="AF328" s="62" t="str">
        <f aca="false">IF($Z328=Constants!$B$7,IF(Y328,P328*IF(U328, 1, Constants!$B$11)*IF(V328, 1, Constants!$B$12),Constants!$B$13),"")</f>
        <v/>
      </c>
      <c r="AG328" s="62" t="str">
        <f aca="false">IF($Z328=Constants!$B$7,AE328*AF328,"")</f>
        <v/>
      </c>
      <c r="AH328" s="62" t="str">
        <f aca="false">IF($Z328=Constants!$B$7,IF(AG328&gt;AD328,2,1),"")</f>
        <v/>
      </c>
      <c r="AI328" s="62" t="str">
        <f aca="false">IF($Z328=Constants!$B$7,IF(AH328=1,2,1),"")</f>
        <v/>
      </c>
      <c r="AJ328" s="62" t="str">
        <f aca="false">IF(ISBLANK($C328),"",IF($Z328&lt;&gt;Constants!$B$7,$Z328,IF(AH328=1,AD328,AG328)))</f>
        <v/>
      </c>
      <c r="AK328" s="62" t="str">
        <f aca="false">IF(ISBLANK($C328),"",IF($Z328=Constants!$B$7,IF(ISNUMBER(AJ328),RANK(AJ328,$AJ$8:$AJ$507),Constants!$B$14),$Z328))</f>
        <v/>
      </c>
      <c r="AL328" s="62" t="str">
        <f aca="false">IF(ISBLANK($C328),"",IF($Z328=Constants!$B$7,IF(AI328=1,AD328,AG328),""))</f>
        <v/>
      </c>
      <c r="AM328" s="62" t="str">
        <f aca="false">IF(ISBLANK($C328),"",IF($Z328=Constants!$B$7,RANK(AL328,$AL$8:$AL$507),$Z328))</f>
        <v/>
      </c>
      <c r="AN328" s="62" t="str">
        <f aca="false">IF(ISBLANK($C328),"",IF($Z328=Constants!$B$7,IF(ISNUMBER(AK328),COUNTIFS($AK$8:$AK$507,"&lt;"&amp;$AK328)+COUNTIFS($AK$8:$AK$507,$AK328,$AM$8:$AM$507,"&lt;"&amp;$AM328)+1,Constants!$B$14),$Z328))</f>
        <v/>
      </c>
      <c r="AO328" s="62" t="str">
        <f aca="false">IF(ISBLANK($C328),"",IF($Z328=Constants!$B$7,IF(ISNUMBER(AK328),AK328-AN328,Constants!$B$14),$Z328))</f>
        <v/>
      </c>
      <c r="AP328" s="64"/>
      <c r="AQ328" s="65" t="str">
        <f aca="false">IF(ISBLANK($C328),"",IF($Z328&lt;&gt;Constants!$B$7,"",AH328))</f>
        <v/>
      </c>
      <c r="AR328" s="80" t="str">
        <f aca="false">IF(ISBLANK($C328),"",IF($Z328&lt;&gt;Constants!$B$7,"",IF(AH328=1,AB328,AE328)))</f>
        <v/>
      </c>
      <c r="AS328" s="67" t="str">
        <f aca="false">IF(ISBLANK($C328),"",IF($Z328&lt;&gt;Constants!$B$7,"",IF(AH328=1,AC328,AF328)))</f>
        <v/>
      </c>
      <c r="AT328" s="68" t="str">
        <f aca="false">IF(ISBLANK($C328),"",IF($Z328&lt;&gt;Constants!$B$7,$Z328,AJ328))</f>
        <v/>
      </c>
      <c r="AU328" s="69" t="str">
        <f aca="false">IF(ISBLANK($C328),"",IF($Z328&lt;&gt;Constants!$B$7,$Z328,AA328))</f>
        <v/>
      </c>
      <c r="AV328" s="70" t="str">
        <f aca="false">IF(ISBLANK($C328),"",AO328)</f>
        <v/>
      </c>
      <c r="AW328" s="70" t="str">
        <f aca="false">IF(ISBLANK($C328),"",AN328)</f>
        <v/>
      </c>
      <c r="AX328" s="71" t="str">
        <f aca="false">IF(ISBLANK($C328),"",IFERROR(_xlfn.SWITCH(AW328,Constants!$B$4,COUNTA($C$8:$C$507)+2,Constants!$B$5,COUNTA($C$8:$C$507)+1,Constants!$B$6,COUNTA($C$8:$C$507)),AW328))</f>
        <v/>
      </c>
      <c r="AY328" s="5"/>
      <c r="AZ328" s="72" t="n">
        <f aca="false">IF(OR(ISNUMBER(AW328),AW328=Constants!$B$4,AW328=Constants!$B$6,AW328=Constants!$B$5),1,0)</f>
        <v>0</v>
      </c>
      <c r="BA328" s="72" t="n">
        <v>321</v>
      </c>
      <c r="BB328" s="72" t="str">
        <f aca="false">IF(ISBLANK($C328),"",IF(ISNUMBER(AX328),AX328+ROW($B328)/1000,""))</f>
        <v/>
      </c>
      <c r="BC328" s="72" t="str">
        <f aca="false">IF(ISNUMBER(BB328),RANK(BB328,$BB$8:$BB$507,1),"")</f>
        <v/>
      </c>
      <c r="BD328" s="72" t="str">
        <f aca="false">IF(ISBLANK($C328),"",$B328)</f>
        <v/>
      </c>
      <c r="BE328" s="72" t="str">
        <f aca="false">IF(ISBLANK($C328),"",$C328)</f>
        <v/>
      </c>
      <c r="BF328" s="72" t="str">
        <f aca="false">IF(ISBLANK($C328),"",$D328)</f>
        <v/>
      </c>
      <c r="BG328" s="73" t="str">
        <f aca="false">AU328</f>
        <v/>
      </c>
      <c r="BH328" s="74" t="str">
        <f aca="false">AT328</f>
        <v/>
      </c>
      <c r="BI328" s="72" t="str">
        <f aca="false">IF(ISBLANK($C328),"",AW328)</f>
        <v/>
      </c>
      <c r="BJ328" s="75" t="str">
        <f aca="false">IF($BA328&gt;$AZ$7,"",VLOOKUP($BA328,$BC$8:$BI$507,7,FALSE()))</f>
        <v/>
      </c>
      <c r="BK328" s="76" t="str">
        <f aca="false">IF($BA328&gt;$AZ$7,"",VLOOKUP($BA328,$BC$8:$BI$507,2,FALSE()))</f>
        <v/>
      </c>
      <c r="BL328" s="76" t="str">
        <f aca="false">IF($BA328&gt;$AZ$7,"",VLOOKUP($BA328,$BC$8:$BI$507,3,FALSE()))</f>
        <v/>
      </c>
      <c r="BM328" s="76" t="str">
        <f aca="false">IF($BA328&gt;$AZ$7,"",VLOOKUP($BA328,$BC$8:$BI$507,4,FALSE()))</f>
        <v/>
      </c>
      <c r="BN328" s="76" t="str">
        <f aca="false">IF($BA328&gt;$AZ$7,"",VLOOKUP($BA328,$BC$8:$BI$507,5,FALSE()))</f>
        <v/>
      </c>
      <c r="BO328" s="77" t="str">
        <f aca="false">IF($BA328&gt;$AZ$7,"",VLOOKUP($BA328,$BC$8:$BI$507,6,FALSE()))</f>
        <v/>
      </c>
      <c r="BP328" s="52"/>
    </row>
    <row r="329" customFormat="false" ht="15.75" hidden="false" customHeight="false" outlineLevel="0" collapsed="false">
      <c r="A329" s="5"/>
      <c r="B329" s="114"/>
      <c r="C329" s="115"/>
      <c r="D329" s="106"/>
      <c r="E329" s="117"/>
      <c r="F329" s="87"/>
      <c r="G329" s="88"/>
      <c r="H329" s="88"/>
      <c r="I329" s="87"/>
      <c r="J329" s="88"/>
      <c r="K329" s="88"/>
      <c r="L329" s="87"/>
      <c r="M329" s="117"/>
      <c r="N329" s="90"/>
      <c r="O329" s="91" t="str">
        <f aca="false">IF(ISBLANK($C329),"",IF(E329=Constants!$B$2, TRUE(), IF(E329=Constants!$B$3, FALSE(), TRUE())))</f>
        <v/>
      </c>
      <c r="P329" s="91" t="str">
        <f aca="false">IF(ISBLANK($C329),"",IF(F329=Constants!$B$16,Constants!$B$9,IF(F329=Constants!$B$17,Constants!$B$10,Constants!$B$8)))</f>
        <v/>
      </c>
      <c r="Q329" s="91" t="str">
        <f aca="false">IF(ISBLANK($C329),"",IF(ISNUMBER(G329),IF(G329&gt;=0,G329,""),""))</f>
        <v/>
      </c>
      <c r="R329" s="91" t="str">
        <f aca="false">IF(ISBLANK($C329),"",IF(H329=Constants!$B$2, TRUE(), IF(H329=Constants!$B$3, FALSE(), TRUE())))</f>
        <v/>
      </c>
      <c r="S329" s="91" t="str">
        <f aca="false">IF(ISBLANK($C329),"",IF(I329=Constants!$B$2, TRUE(), IF(I329=Constants!$B$3, FALSE(), TRUE())))</f>
        <v/>
      </c>
      <c r="T329" s="91" t="str">
        <f aca="false">IF(ISBLANK($C329),"",IF(ISNUMBER(J329),IF(J329&gt;=0,J329,""),""))</f>
        <v/>
      </c>
      <c r="U329" s="91" t="str">
        <f aca="false">IF(ISBLANK($C329),"",IF(K329=Constants!$B$2, TRUE(), IF(K329=Constants!$B$3, FALSE(), TRUE())))</f>
        <v/>
      </c>
      <c r="V329" s="91" t="str">
        <f aca="false">IF(ISBLANK($C329),"",IF(L329=Constants!$B$2, TRUE(), IF(L329=Constants!$B$3, FALSE(), TRUE())))</f>
        <v/>
      </c>
      <c r="W329" s="91" t="str">
        <f aca="false">IF(ISBLANK($C329),"",IF(M329=Constants!$B$2, TRUE(), IF(M329=Constants!$B$3, FALSE(), FALSE())))</f>
        <v/>
      </c>
      <c r="X329" s="91" t="str">
        <f aca="false">IF(ISBLANK($C329),"",AND(Q329&lt;&gt;"",O329))</f>
        <v/>
      </c>
      <c r="Y329" s="91" t="str">
        <f aca="false">IF(ISBLANK($C329),"",AND(T329&lt;&gt;"",O329))</f>
        <v/>
      </c>
      <c r="Z329" s="91" t="str">
        <f aca="false">IF(ISBLANK($C329),"",IF(W329,Constants!$B$4,IF(COUNTA(E329:L329)=0,Constants!$B$5,IF(NOT(O329),Constants!$B$6,IF(AND(NOT(X329),NOT(Y329)),Constants!$B$6,Constants!$B$7)))))</f>
        <v/>
      </c>
      <c r="AA329" s="91" t="str">
        <f aca="false">IF(ISBLANK($C329),"",IF($Z329&lt;&gt;Constants!$B$7,$Z329,Constants!$B$20))</f>
        <v/>
      </c>
      <c r="AB329" s="91" t="str">
        <f aca="false">IF($Z329=Constants!$B$7,IF(X329,Q329,Constants!$B$13),"")</f>
        <v/>
      </c>
      <c r="AC329" s="91" t="str">
        <f aca="false">IF($Z329=Constants!$B$7,IF(X329,P329*IF(R329, 1, Constants!$B$11)*IF(S329, 1, Constants!$B$12),Constants!$B$13),"")</f>
        <v/>
      </c>
      <c r="AD329" s="91" t="str">
        <f aca="false">IF($Z329=Constants!$B$7,AB329*AC329,"")</f>
        <v/>
      </c>
      <c r="AE329" s="91" t="str">
        <f aca="false">IF($Z329=Constants!$B$7,IF(Y329,T329,Constants!$B$13),"")</f>
        <v/>
      </c>
      <c r="AF329" s="91" t="str">
        <f aca="false">IF($Z329=Constants!$B$7,IF(Y329,P329*IF(U329, 1, Constants!$B$11)*IF(V329, 1, Constants!$B$12),Constants!$B$13),"")</f>
        <v/>
      </c>
      <c r="AG329" s="91" t="str">
        <f aca="false">IF($Z329=Constants!$B$7,AE329*AF329,"")</f>
        <v/>
      </c>
      <c r="AH329" s="91" t="str">
        <f aca="false">IF($Z329=Constants!$B$7,IF(AG329&gt;AD329,2,1),"")</f>
        <v/>
      </c>
      <c r="AI329" s="91" t="str">
        <f aca="false">IF($Z329=Constants!$B$7,IF(AH329=1,2,1),"")</f>
        <v/>
      </c>
      <c r="AJ329" s="91" t="str">
        <f aca="false">IF(ISBLANK($C329),"",IF($Z329&lt;&gt;Constants!$B$7,$Z329,IF(AH329=1,AD329,AG329)))</f>
        <v/>
      </c>
      <c r="AK329" s="91" t="str">
        <f aca="false">IF(ISBLANK($C329),"",IF($Z329=Constants!$B$7,IF(ISNUMBER(AJ329),RANK(AJ329,$AJ$8:$AJ$507),Constants!$B$14),$Z329))</f>
        <v/>
      </c>
      <c r="AL329" s="91" t="str">
        <f aca="false">IF(ISBLANK($C329),"",IF($Z329=Constants!$B$7,IF(AI329=1,AD329,AG329),""))</f>
        <v/>
      </c>
      <c r="AM329" s="91" t="str">
        <f aca="false">IF(ISBLANK($C329),"",IF($Z329=Constants!$B$7,RANK(AL329,$AL$8:$AL$507),$Z329))</f>
        <v/>
      </c>
      <c r="AN329" s="91" t="str">
        <f aca="false">IF(ISBLANK($C329),"",IF($Z329=Constants!$B$7,IF(ISNUMBER(AK329),COUNTIFS($AK$8:$AK$507,"&lt;"&amp;$AK329)+COUNTIFS($AK$8:$AK$507,$AK329,$AM$8:$AM$507,"&lt;"&amp;$AM329)+1,Constants!$B$14),$Z329))</f>
        <v/>
      </c>
      <c r="AO329" s="91" t="str">
        <f aca="false">IF(ISBLANK($C329),"",IF($Z329=Constants!$B$7,IF(ISNUMBER(AK329),AK329-AN329,Constants!$B$14),$Z329))</f>
        <v/>
      </c>
      <c r="AP329" s="92"/>
      <c r="AQ329" s="93" t="str">
        <f aca="false">IF(ISBLANK($C329),"",IF($Z329&lt;&gt;Constants!$B$7,"",AH329))</f>
        <v/>
      </c>
      <c r="AR329" s="94" t="str">
        <f aca="false">IF(ISBLANK($C329),"",IF($Z329&lt;&gt;Constants!$B$7,"",IF(AH329=1,AB329,AE329)))</f>
        <v/>
      </c>
      <c r="AS329" s="95" t="str">
        <f aca="false">IF(ISBLANK($C329),"",IF($Z329&lt;&gt;Constants!$B$7,"",IF(AH329=1,AC329,AF329)))</f>
        <v/>
      </c>
      <c r="AT329" s="96" t="str">
        <f aca="false">IF(ISBLANK($C329),"",IF($Z329&lt;&gt;Constants!$B$7,$Z329,AJ329))</f>
        <v/>
      </c>
      <c r="AU329" s="97" t="str">
        <f aca="false">IF(ISBLANK($C329),"",IF($Z329&lt;&gt;Constants!$B$7,$Z329,AA329))</f>
        <v/>
      </c>
      <c r="AV329" s="98" t="str">
        <f aca="false">IF(ISBLANK($C329),"",AO329)</f>
        <v/>
      </c>
      <c r="AW329" s="98" t="str">
        <f aca="false">IF(ISBLANK($C329),"",AN329)</f>
        <v/>
      </c>
      <c r="AX329" s="99" t="str">
        <f aca="false">IF(ISBLANK($C329),"",IFERROR(_xlfn.SWITCH(AW329,Constants!$B$4,COUNTA($C$8:$C$507)+2,Constants!$B$5,COUNTA($C$8:$C$507)+1,Constants!$B$6,COUNTA($C$8:$C$507)),AW329))</f>
        <v/>
      </c>
      <c r="AY329" s="5"/>
      <c r="AZ329" s="100" t="n">
        <f aca="false">IF(OR(ISNUMBER(AW329),AW329=Constants!$B$4,AW329=Constants!$B$6,AW329=Constants!$B$5),1,0)</f>
        <v>0</v>
      </c>
      <c r="BA329" s="100" t="n">
        <v>322</v>
      </c>
      <c r="BB329" s="100" t="str">
        <f aca="false">IF(ISBLANK($C329),"",IF(ISNUMBER(AX329),AX329+ROW($B329)/1000,""))</f>
        <v/>
      </c>
      <c r="BC329" s="100" t="str">
        <f aca="false">IF(ISNUMBER(BB329),RANK(BB329,$BB$8:$BB$507,1),"")</f>
        <v/>
      </c>
      <c r="BD329" s="100" t="str">
        <f aca="false">IF(ISBLANK($C329),"",$B329)</f>
        <v/>
      </c>
      <c r="BE329" s="100" t="str">
        <f aca="false">IF(ISBLANK($C329),"",$C329)</f>
        <v/>
      </c>
      <c r="BF329" s="100" t="str">
        <f aca="false">IF(ISBLANK($C329),"",$D329)</f>
        <v/>
      </c>
      <c r="BG329" s="101" t="str">
        <f aca="false">AU329</f>
        <v/>
      </c>
      <c r="BH329" s="102" t="str">
        <f aca="false">AT329</f>
        <v/>
      </c>
      <c r="BI329" s="100" t="str">
        <f aca="false">IF(ISBLANK($C329),"",AW329)</f>
        <v/>
      </c>
      <c r="BJ329" s="103" t="str">
        <f aca="false">IF($BA329&gt;$AZ$7,"",VLOOKUP($BA329,$BC$8:$BI$507,7,FALSE()))</f>
        <v/>
      </c>
      <c r="BK329" s="104" t="str">
        <f aca="false">IF($BA329&gt;$AZ$7,"",VLOOKUP($BA329,$BC$8:$BI$507,2,FALSE()))</f>
        <v/>
      </c>
      <c r="BL329" s="104" t="str">
        <f aca="false">IF($BA329&gt;$AZ$7,"",VLOOKUP($BA329,$BC$8:$BI$507,3,FALSE()))</f>
        <v/>
      </c>
      <c r="BM329" s="104" t="str">
        <f aca="false">IF($BA329&gt;$AZ$7,"",VLOOKUP($BA329,$BC$8:$BI$507,4,FALSE()))</f>
        <v/>
      </c>
      <c r="BN329" s="104" t="str">
        <f aca="false">IF($BA329&gt;$AZ$7,"",VLOOKUP($BA329,$BC$8:$BI$507,5,FALSE()))</f>
        <v/>
      </c>
      <c r="BO329" s="105" t="str">
        <f aca="false">IF($BA329&gt;$AZ$7,"",VLOOKUP($BA329,$BC$8:$BI$507,6,FALSE()))</f>
        <v/>
      </c>
      <c r="BP329" s="52"/>
    </row>
    <row r="330" customFormat="false" ht="15.75" hidden="false" customHeight="false" outlineLevel="0" collapsed="false">
      <c r="A330" s="5"/>
      <c r="B330" s="114"/>
      <c r="C330" s="115"/>
      <c r="D330" s="106"/>
      <c r="E330" s="117"/>
      <c r="F330" s="87"/>
      <c r="G330" s="88"/>
      <c r="H330" s="88"/>
      <c r="I330" s="87"/>
      <c r="J330" s="88"/>
      <c r="K330" s="88"/>
      <c r="L330" s="87"/>
      <c r="M330" s="117"/>
      <c r="N330" s="90"/>
      <c r="O330" s="91" t="str">
        <f aca="false">IF(ISBLANK($C330),"",IF(E330=Constants!$B$2, TRUE(), IF(E330=Constants!$B$3, FALSE(), TRUE())))</f>
        <v/>
      </c>
      <c r="P330" s="91" t="str">
        <f aca="false">IF(ISBLANK($C330),"",IF(F330=Constants!$B$16,Constants!$B$9,IF(F330=Constants!$B$17,Constants!$B$10,Constants!$B$8)))</f>
        <v/>
      </c>
      <c r="Q330" s="91" t="str">
        <f aca="false">IF(ISBLANK($C330),"",IF(ISNUMBER(G330),IF(G330&gt;=0,G330,""),""))</f>
        <v/>
      </c>
      <c r="R330" s="91" t="str">
        <f aca="false">IF(ISBLANK($C330),"",IF(H330=Constants!$B$2, TRUE(), IF(H330=Constants!$B$3, FALSE(), TRUE())))</f>
        <v/>
      </c>
      <c r="S330" s="91" t="str">
        <f aca="false">IF(ISBLANK($C330),"",IF(I330=Constants!$B$2, TRUE(), IF(I330=Constants!$B$3, FALSE(), TRUE())))</f>
        <v/>
      </c>
      <c r="T330" s="91" t="str">
        <f aca="false">IF(ISBLANK($C330),"",IF(ISNUMBER(J330),IF(J330&gt;=0,J330,""),""))</f>
        <v/>
      </c>
      <c r="U330" s="91" t="str">
        <f aca="false">IF(ISBLANK($C330),"",IF(K330=Constants!$B$2, TRUE(), IF(K330=Constants!$B$3, FALSE(), TRUE())))</f>
        <v/>
      </c>
      <c r="V330" s="91" t="str">
        <f aca="false">IF(ISBLANK($C330),"",IF(L330=Constants!$B$2, TRUE(), IF(L330=Constants!$B$3, FALSE(), TRUE())))</f>
        <v/>
      </c>
      <c r="W330" s="91" t="str">
        <f aca="false">IF(ISBLANK($C330),"",IF(M330=Constants!$B$2, TRUE(), IF(M330=Constants!$B$3, FALSE(), FALSE())))</f>
        <v/>
      </c>
      <c r="X330" s="91" t="str">
        <f aca="false">IF(ISBLANK($C330),"",AND(Q330&lt;&gt;"",O330))</f>
        <v/>
      </c>
      <c r="Y330" s="91" t="str">
        <f aca="false">IF(ISBLANK($C330),"",AND(T330&lt;&gt;"",O330))</f>
        <v/>
      </c>
      <c r="Z330" s="91" t="str">
        <f aca="false">IF(ISBLANK($C330),"",IF(W330,Constants!$B$4,IF(COUNTA(E330:L330)=0,Constants!$B$5,IF(NOT(O330),Constants!$B$6,IF(AND(NOT(X330),NOT(Y330)),Constants!$B$6,Constants!$B$7)))))</f>
        <v/>
      </c>
      <c r="AA330" s="91" t="str">
        <f aca="false">IF(ISBLANK($C330),"",IF($Z330&lt;&gt;Constants!$B$7,$Z330,Constants!$B$20))</f>
        <v/>
      </c>
      <c r="AB330" s="91" t="str">
        <f aca="false">IF($Z330=Constants!$B$7,IF(X330,Q330,Constants!$B$13),"")</f>
        <v/>
      </c>
      <c r="AC330" s="91" t="str">
        <f aca="false">IF($Z330=Constants!$B$7,IF(X330,P330*IF(R330, 1, Constants!$B$11)*IF(S330, 1, Constants!$B$12),Constants!$B$13),"")</f>
        <v/>
      </c>
      <c r="AD330" s="91" t="str">
        <f aca="false">IF($Z330=Constants!$B$7,AB330*AC330,"")</f>
        <v/>
      </c>
      <c r="AE330" s="91" t="str">
        <f aca="false">IF($Z330=Constants!$B$7,IF(Y330,T330,Constants!$B$13),"")</f>
        <v/>
      </c>
      <c r="AF330" s="91" t="str">
        <f aca="false">IF($Z330=Constants!$B$7,IF(Y330,P330*IF(U330, 1, Constants!$B$11)*IF(V330, 1, Constants!$B$12),Constants!$B$13),"")</f>
        <v/>
      </c>
      <c r="AG330" s="91" t="str">
        <f aca="false">IF($Z330=Constants!$B$7,AE330*AF330,"")</f>
        <v/>
      </c>
      <c r="AH330" s="91" t="str">
        <f aca="false">IF($Z330=Constants!$B$7,IF(AG330&gt;AD330,2,1),"")</f>
        <v/>
      </c>
      <c r="AI330" s="91" t="str">
        <f aca="false">IF($Z330=Constants!$B$7,IF(AH330=1,2,1),"")</f>
        <v/>
      </c>
      <c r="AJ330" s="91" t="str">
        <f aca="false">IF(ISBLANK($C330),"",IF($Z330&lt;&gt;Constants!$B$7,$Z330,IF(AH330=1,AD330,AG330)))</f>
        <v/>
      </c>
      <c r="AK330" s="91" t="str">
        <f aca="false">IF(ISBLANK($C330),"",IF($Z330=Constants!$B$7,IF(ISNUMBER(AJ330),RANK(AJ330,$AJ$8:$AJ$507),Constants!$B$14),$Z330))</f>
        <v/>
      </c>
      <c r="AL330" s="91" t="str">
        <f aca="false">IF(ISBLANK($C330),"",IF($Z330=Constants!$B$7,IF(AI330=1,AD330,AG330),""))</f>
        <v/>
      </c>
      <c r="AM330" s="91" t="str">
        <f aca="false">IF(ISBLANK($C330),"",IF($Z330=Constants!$B$7,RANK(AL330,$AL$8:$AL$507),$Z330))</f>
        <v/>
      </c>
      <c r="AN330" s="91" t="str">
        <f aca="false">IF(ISBLANK($C330),"",IF($Z330=Constants!$B$7,IF(ISNUMBER(AK330),COUNTIFS($AK$8:$AK$507,"&lt;"&amp;$AK330)+COUNTIFS($AK$8:$AK$507,$AK330,$AM$8:$AM$507,"&lt;"&amp;$AM330)+1,Constants!$B$14),$Z330))</f>
        <v/>
      </c>
      <c r="AO330" s="91" t="str">
        <f aca="false">IF(ISBLANK($C330),"",IF($Z330=Constants!$B$7,IF(ISNUMBER(AK330),AK330-AN330,Constants!$B$14),$Z330))</f>
        <v/>
      </c>
      <c r="AP330" s="92"/>
      <c r="AQ330" s="93" t="str">
        <f aca="false">IF(ISBLANK($C330),"",IF($Z330&lt;&gt;Constants!$B$7,"",AH330))</f>
        <v/>
      </c>
      <c r="AR330" s="94" t="str">
        <f aca="false">IF(ISBLANK($C330),"",IF($Z330&lt;&gt;Constants!$B$7,"",IF(AH330=1,AB330,AE330)))</f>
        <v/>
      </c>
      <c r="AS330" s="95" t="str">
        <f aca="false">IF(ISBLANK($C330),"",IF($Z330&lt;&gt;Constants!$B$7,"",IF(AH330=1,AC330,AF330)))</f>
        <v/>
      </c>
      <c r="AT330" s="96" t="str">
        <f aca="false">IF(ISBLANK($C330),"",IF($Z330&lt;&gt;Constants!$B$7,$Z330,AJ330))</f>
        <v/>
      </c>
      <c r="AU330" s="97" t="str">
        <f aca="false">IF(ISBLANK($C330),"",IF($Z330&lt;&gt;Constants!$B$7,$Z330,AA330))</f>
        <v/>
      </c>
      <c r="AV330" s="98" t="str">
        <f aca="false">IF(ISBLANK($C330),"",AO330)</f>
        <v/>
      </c>
      <c r="AW330" s="98" t="str">
        <f aca="false">IF(ISBLANK($C330),"",AN330)</f>
        <v/>
      </c>
      <c r="AX330" s="99" t="str">
        <f aca="false">IF(ISBLANK($C330),"",IFERROR(_xlfn.SWITCH(AW330,Constants!$B$4,COUNTA($C$8:$C$507)+2,Constants!$B$5,COUNTA($C$8:$C$507)+1,Constants!$B$6,COUNTA($C$8:$C$507)),AW330))</f>
        <v/>
      </c>
      <c r="AY330" s="5"/>
      <c r="AZ330" s="100" t="n">
        <f aca="false">IF(OR(ISNUMBER(AW330),AW330=Constants!$B$4,AW330=Constants!$B$6,AW330=Constants!$B$5),1,0)</f>
        <v>0</v>
      </c>
      <c r="BA330" s="100" t="n">
        <v>323</v>
      </c>
      <c r="BB330" s="100" t="str">
        <f aca="false">IF(ISBLANK($C330),"",IF(ISNUMBER(AX330),AX330+ROW($B330)/1000,""))</f>
        <v/>
      </c>
      <c r="BC330" s="100" t="str">
        <f aca="false">IF(ISNUMBER(BB330),RANK(BB330,$BB$8:$BB$507,1),"")</f>
        <v/>
      </c>
      <c r="BD330" s="100" t="str">
        <f aca="false">IF(ISBLANK($C330),"",$B330)</f>
        <v/>
      </c>
      <c r="BE330" s="100" t="str">
        <f aca="false">IF(ISBLANK($C330),"",$C330)</f>
        <v/>
      </c>
      <c r="BF330" s="100" t="str">
        <f aca="false">IF(ISBLANK($C330),"",$D330)</f>
        <v/>
      </c>
      <c r="BG330" s="101" t="str">
        <f aca="false">AU330</f>
        <v/>
      </c>
      <c r="BH330" s="102" t="str">
        <f aca="false">AT330</f>
        <v/>
      </c>
      <c r="BI330" s="100" t="str">
        <f aca="false">IF(ISBLANK($C330),"",AW330)</f>
        <v/>
      </c>
      <c r="BJ330" s="103" t="str">
        <f aca="false">IF($BA330&gt;$AZ$7,"",VLOOKUP($BA330,$BC$8:$BI$507,7,FALSE()))</f>
        <v/>
      </c>
      <c r="BK330" s="104" t="str">
        <f aca="false">IF($BA330&gt;$AZ$7,"",VLOOKUP($BA330,$BC$8:$BI$507,2,FALSE()))</f>
        <v/>
      </c>
      <c r="BL330" s="104" t="str">
        <f aca="false">IF($BA330&gt;$AZ$7,"",VLOOKUP($BA330,$BC$8:$BI$507,3,FALSE()))</f>
        <v/>
      </c>
      <c r="BM330" s="104" t="str">
        <f aca="false">IF($BA330&gt;$AZ$7,"",VLOOKUP($BA330,$BC$8:$BI$507,4,FALSE()))</f>
        <v/>
      </c>
      <c r="BN330" s="104" t="str">
        <f aca="false">IF($BA330&gt;$AZ$7,"",VLOOKUP($BA330,$BC$8:$BI$507,5,FALSE()))</f>
        <v/>
      </c>
      <c r="BO330" s="105" t="str">
        <f aca="false">IF($BA330&gt;$AZ$7,"",VLOOKUP($BA330,$BC$8:$BI$507,6,FALSE()))</f>
        <v/>
      </c>
      <c r="BP330" s="52"/>
    </row>
    <row r="331" customFormat="false" ht="15.75" hidden="false" customHeight="false" outlineLevel="0" collapsed="false">
      <c r="A331" s="5"/>
      <c r="B331" s="114"/>
      <c r="C331" s="115"/>
      <c r="D331" s="106"/>
      <c r="E331" s="117"/>
      <c r="F331" s="87"/>
      <c r="G331" s="88"/>
      <c r="H331" s="88"/>
      <c r="I331" s="87"/>
      <c r="J331" s="88"/>
      <c r="K331" s="88"/>
      <c r="L331" s="87"/>
      <c r="M331" s="117"/>
      <c r="N331" s="90"/>
      <c r="O331" s="91" t="str">
        <f aca="false">IF(ISBLANK($C331),"",IF(E331=Constants!$B$2, TRUE(), IF(E331=Constants!$B$3, FALSE(), TRUE())))</f>
        <v/>
      </c>
      <c r="P331" s="91" t="str">
        <f aca="false">IF(ISBLANK($C331),"",IF(F331=Constants!$B$16,Constants!$B$9,IF(F331=Constants!$B$17,Constants!$B$10,Constants!$B$8)))</f>
        <v/>
      </c>
      <c r="Q331" s="91" t="str">
        <f aca="false">IF(ISBLANK($C331),"",IF(ISNUMBER(G331),IF(G331&gt;=0,G331,""),""))</f>
        <v/>
      </c>
      <c r="R331" s="91" t="str">
        <f aca="false">IF(ISBLANK($C331),"",IF(H331=Constants!$B$2, TRUE(), IF(H331=Constants!$B$3, FALSE(), TRUE())))</f>
        <v/>
      </c>
      <c r="S331" s="91" t="str">
        <f aca="false">IF(ISBLANK($C331),"",IF(I331=Constants!$B$2, TRUE(), IF(I331=Constants!$B$3, FALSE(), TRUE())))</f>
        <v/>
      </c>
      <c r="T331" s="91" t="str">
        <f aca="false">IF(ISBLANK($C331),"",IF(ISNUMBER(J331),IF(J331&gt;=0,J331,""),""))</f>
        <v/>
      </c>
      <c r="U331" s="91" t="str">
        <f aca="false">IF(ISBLANK($C331),"",IF(K331=Constants!$B$2, TRUE(), IF(K331=Constants!$B$3, FALSE(), TRUE())))</f>
        <v/>
      </c>
      <c r="V331" s="91" t="str">
        <f aca="false">IF(ISBLANK($C331),"",IF(L331=Constants!$B$2, TRUE(), IF(L331=Constants!$B$3, FALSE(), TRUE())))</f>
        <v/>
      </c>
      <c r="W331" s="91" t="str">
        <f aca="false">IF(ISBLANK($C331),"",IF(M331=Constants!$B$2, TRUE(), IF(M331=Constants!$B$3, FALSE(), FALSE())))</f>
        <v/>
      </c>
      <c r="X331" s="91" t="str">
        <f aca="false">IF(ISBLANK($C331),"",AND(Q331&lt;&gt;"",O331))</f>
        <v/>
      </c>
      <c r="Y331" s="91" t="str">
        <f aca="false">IF(ISBLANK($C331),"",AND(T331&lt;&gt;"",O331))</f>
        <v/>
      </c>
      <c r="Z331" s="91" t="str">
        <f aca="false">IF(ISBLANK($C331),"",IF(W331,Constants!$B$4,IF(COUNTA(E331:L331)=0,Constants!$B$5,IF(NOT(O331),Constants!$B$6,IF(AND(NOT(X331),NOT(Y331)),Constants!$B$6,Constants!$B$7)))))</f>
        <v/>
      </c>
      <c r="AA331" s="91" t="str">
        <f aca="false">IF(ISBLANK($C331),"",IF($Z331&lt;&gt;Constants!$B$7,$Z331,Constants!$B$20))</f>
        <v/>
      </c>
      <c r="AB331" s="91" t="str">
        <f aca="false">IF($Z331=Constants!$B$7,IF(X331,Q331,Constants!$B$13),"")</f>
        <v/>
      </c>
      <c r="AC331" s="91" t="str">
        <f aca="false">IF($Z331=Constants!$B$7,IF(X331,P331*IF(R331, 1, Constants!$B$11)*IF(S331, 1, Constants!$B$12),Constants!$B$13),"")</f>
        <v/>
      </c>
      <c r="AD331" s="91" t="str">
        <f aca="false">IF($Z331=Constants!$B$7,AB331*AC331,"")</f>
        <v/>
      </c>
      <c r="AE331" s="91" t="str">
        <f aca="false">IF($Z331=Constants!$B$7,IF(Y331,T331,Constants!$B$13),"")</f>
        <v/>
      </c>
      <c r="AF331" s="91" t="str">
        <f aca="false">IF($Z331=Constants!$B$7,IF(Y331,P331*IF(U331, 1, Constants!$B$11)*IF(V331, 1, Constants!$B$12),Constants!$B$13),"")</f>
        <v/>
      </c>
      <c r="AG331" s="91" t="str">
        <f aca="false">IF($Z331=Constants!$B$7,AE331*AF331,"")</f>
        <v/>
      </c>
      <c r="AH331" s="91" t="str">
        <f aca="false">IF($Z331=Constants!$B$7,IF(AG331&gt;AD331,2,1),"")</f>
        <v/>
      </c>
      <c r="AI331" s="91" t="str">
        <f aca="false">IF($Z331=Constants!$B$7,IF(AH331=1,2,1),"")</f>
        <v/>
      </c>
      <c r="AJ331" s="91" t="str">
        <f aca="false">IF(ISBLANK($C331),"",IF($Z331&lt;&gt;Constants!$B$7,$Z331,IF(AH331=1,AD331,AG331)))</f>
        <v/>
      </c>
      <c r="AK331" s="91" t="str">
        <f aca="false">IF(ISBLANK($C331),"",IF($Z331=Constants!$B$7,IF(ISNUMBER(AJ331),RANK(AJ331,$AJ$8:$AJ$507),Constants!$B$14),$Z331))</f>
        <v/>
      </c>
      <c r="AL331" s="91" t="str">
        <f aca="false">IF(ISBLANK($C331),"",IF($Z331=Constants!$B$7,IF(AI331=1,AD331,AG331),""))</f>
        <v/>
      </c>
      <c r="AM331" s="91" t="str">
        <f aca="false">IF(ISBLANK($C331),"",IF($Z331=Constants!$B$7,RANK(AL331,$AL$8:$AL$507),$Z331))</f>
        <v/>
      </c>
      <c r="AN331" s="91" t="str">
        <f aca="false">IF(ISBLANK($C331),"",IF($Z331=Constants!$B$7,IF(ISNUMBER(AK331),COUNTIFS($AK$8:$AK$507,"&lt;"&amp;$AK331)+COUNTIFS($AK$8:$AK$507,$AK331,$AM$8:$AM$507,"&lt;"&amp;$AM331)+1,Constants!$B$14),$Z331))</f>
        <v/>
      </c>
      <c r="AO331" s="91" t="str">
        <f aca="false">IF(ISBLANK($C331),"",IF($Z331=Constants!$B$7,IF(ISNUMBER(AK331),AK331-AN331,Constants!$B$14),$Z331))</f>
        <v/>
      </c>
      <c r="AP331" s="92"/>
      <c r="AQ331" s="93" t="str">
        <f aca="false">IF(ISBLANK($C331),"",IF($Z331&lt;&gt;Constants!$B$7,"",AH331))</f>
        <v/>
      </c>
      <c r="AR331" s="94" t="str">
        <f aca="false">IF(ISBLANK($C331),"",IF($Z331&lt;&gt;Constants!$B$7,"",IF(AH331=1,AB331,AE331)))</f>
        <v/>
      </c>
      <c r="AS331" s="95" t="str">
        <f aca="false">IF(ISBLANK($C331),"",IF($Z331&lt;&gt;Constants!$B$7,"",IF(AH331=1,AC331,AF331)))</f>
        <v/>
      </c>
      <c r="AT331" s="96" t="str">
        <f aca="false">IF(ISBLANK($C331),"",IF($Z331&lt;&gt;Constants!$B$7,$Z331,AJ331))</f>
        <v/>
      </c>
      <c r="AU331" s="97" t="str">
        <f aca="false">IF(ISBLANK($C331),"",IF($Z331&lt;&gt;Constants!$B$7,$Z331,AA331))</f>
        <v/>
      </c>
      <c r="AV331" s="98" t="str">
        <f aca="false">IF(ISBLANK($C331),"",AO331)</f>
        <v/>
      </c>
      <c r="AW331" s="98" t="str">
        <f aca="false">IF(ISBLANK($C331),"",AN331)</f>
        <v/>
      </c>
      <c r="AX331" s="99" t="str">
        <f aca="false">IF(ISBLANK($C331),"",IFERROR(_xlfn.SWITCH(AW331,Constants!$B$4,COUNTA($C$8:$C$507)+2,Constants!$B$5,COUNTA($C$8:$C$507)+1,Constants!$B$6,COUNTA($C$8:$C$507)),AW331))</f>
        <v/>
      </c>
      <c r="AY331" s="5"/>
      <c r="AZ331" s="100" t="n">
        <f aca="false">IF(OR(ISNUMBER(AW331),AW331=Constants!$B$4,AW331=Constants!$B$6,AW331=Constants!$B$5),1,0)</f>
        <v>0</v>
      </c>
      <c r="BA331" s="100" t="n">
        <v>324</v>
      </c>
      <c r="BB331" s="100" t="str">
        <f aca="false">IF(ISBLANK($C331),"",IF(ISNUMBER(AX331),AX331+ROW($B331)/1000,""))</f>
        <v/>
      </c>
      <c r="BC331" s="100" t="str">
        <f aca="false">IF(ISNUMBER(BB331),RANK(BB331,$BB$8:$BB$507,1),"")</f>
        <v/>
      </c>
      <c r="BD331" s="100" t="str">
        <f aca="false">IF(ISBLANK($C331),"",$B331)</f>
        <v/>
      </c>
      <c r="BE331" s="100" t="str">
        <f aca="false">IF(ISBLANK($C331),"",$C331)</f>
        <v/>
      </c>
      <c r="BF331" s="100" t="str">
        <f aca="false">IF(ISBLANK($C331),"",$D331)</f>
        <v/>
      </c>
      <c r="BG331" s="101" t="str">
        <f aca="false">AU331</f>
        <v/>
      </c>
      <c r="BH331" s="102" t="str">
        <f aca="false">AT331</f>
        <v/>
      </c>
      <c r="BI331" s="100" t="str">
        <f aca="false">IF(ISBLANK($C331),"",AW331)</f>
        <v/>
      </c>
      <c r="BJ331" s="103" t="str">
        <f aca="false">IF($BA331&gt;$AZ$7,"",VLOOKUP($BA331,$BC$8:$BI$507,7,FALSE()))</f>
        <v/>
      </c>
      <c r="BK331" s="104" t="str">
        <f aca="false">IF($BA331&gt;$AZ$7,"",VLOOKUP($BA331,$BC$8:$BI$507,2,FALSE()))</f>
        <v/>
      </c>
      <c r="BL331" s="104" t="str">
        <f aca="false">IF($BA331&gt;$AZ$7,"",VLOOKUP($BA331,$BC$8:$BI$507,3,FALSE()))</f>
        <v/>
      </c>
      <c r="BM331" s="104" t="str">
        <f aca="false">IF($BA331&gt;$AZ$7,"",VLOOKUP($BA331,$BC$8:$BI$507,4,FALSE()))</f>
        <v/>
      </c>
      <c r="BN331" s="104" t="str">
        <f aca="false">IF($BA331&gt;$AZ$7,"",VLOOKUP($BA331,$BC$8:$BI$507,5,FALSE()))</f>
        <v/>
      </c>
      <c r="BO331" s="105" t="str">
        <f aca="false">IF($BA331&gt;$AZ$7,"",VLOOKUP($BA331,$BC$8:$BI$507,6,FALSE()))</f>
        <v/>
      </c>
      <c r="BP331" s="52"/>
    </row>
    <row r="332" customFormat="false" ht="15.75" hidden="false" customHeight="false" outlineLevel="0" collapsed="false">
      <c r="A332" s="5"/>
      <c r="B332" s="118"/>
      <c r="C332" s="54"/>
      <c r="D332" s="55"/>
      <c r="E332" s="79"/>
      <c r="F332" s="57"/>
      <c r="G332" s="58"/>
      <c r="H332" s="58"/>
      <c r="I332" s="57"/>
      <c r="J332" s="58"/>
      <c r="K332" s="58"/>
      <c r="L332" s="57"/>
      <c r="M332" s="79"/>
      <c r="N332" s="60"/>
      <c r="O332" s="62" t="str">
        <f aca="false">IF(ISBLANK($C332),"",IF(E332=Constants!$B$2, TRUE(), IF(E332=Constants!$B$3, FALSE(), TRUE())))</f>
        <v/>
      </c>
      <c r="P332" s="62" t="str">
        <f aca="false">IF(ISBLANK($C332),"",IF(F332=Constants!$B$16,Constants!$B$9,IF(F332=Constants!$B$17,Constants!$B$10,Constants!$B$8)))</f>
        <v/>
      </c>
      <c r="Q332" s="62" t="str">
        <f aca="false">IF(ISBLANK($C332),"",IF(ISNUMBER(G332),IF(G332&gt;=0,G332,""),""))</f>
        <v/>
      </c>
      <c r="R332" s="62" t="str">
        <f aca="false">IF(ISBLANK($C332),"",IF(H332=Constants!$B$2, TRUE(), IF(H332=Constants!$B$3, FALSE(), TRUE())))</f>
        <v/>
      </c>
      <c r="S332" s="62" t="str">
        <f aca="false">IF(ISBLANK($C332),"",IF(I332=Constants!$B$2, TRUE(), IF(I332=Constants!$B$3, FALSE(), TRUE())))</f>
        <v/>
      </c>
      <c r="T332" s="62" t="str">
        <f aca="false">IF(ISBLANK($C332),"",IF(ISNUMBER(J332),IF(J332&gt;=0,J332,""),""))</f>
        <v/>
      </c>
      <c r="U332" s="62" t="str">
        <f aca="false">IF(ISBLANK($C332),"",IF(K332=Constants!$B$2, TRUE(), IF(K332=Constants!$B$3, FALSE(), TRUE())))</f>
        <v/>
      </c>
      <c r="V332" s="62" t="str">
        <f aca="false">IF(ISBLANK($C332),"",IF(L332=Constants!$B$2, TRUE(), IF(L332=Constants!$B$3, FALSE(), TRUE())))</f>
        <v/>
      </c>
      <c r="W332" s="62" t="str">
        <f aca="false">IF(ISBLANK($C332),"",IF(M332=Constants!$B$2, TRUE(), IF(M332=Constants!$B$3, FALSE(), FALSE())))</f>
        <v/>
      </c>
      <c r="X332" s="62" t="str">
        <f aca="false">IF(ISBLANK($C332),"",AND(Q332&lt;&gt;"",O332))</f>
        <v/>
      </c>
      <c r="Y332" s="62" t="str">
        <f aca="false">IF(ISBLANK($C332),"",AND(T332&lt;&gt;"",O332))</f>
        <v/>
      </c>
      <c r="Z332" s="62" t="str">
        <f aca="false">IF(ISBLANK($C332),"",IF(W332,Constants!$B$4,IF(COUNTA(E332:L332)=0,Constants!$B$5,IF(NOT(O332),Constants!$B$6,IF(AND(NOT(X332),NOT(Y332)),Constants!$B$6,Constants!$B$7)))))</f>
        <v/>
      </c>
      <c r="AA332" s="62" t="str">
        <f aca="false">IF(ISBLANK($C332),"",IF($Z332&lt;&gt;Constants!$B$7,$Z332,Constants!$B$20))</f>
        <v/>
      </c>
      <c r="AB332" s="62" t="str">
        <f aca="false">IF($Z332=Constants!$B$7,IF(X332,Q332,Constants!$B$13),"")</f>
        <v/>
      </c>
      <c r="AC332" s="62" t="str">
        <f aca="false">IF($Z332=Constants!$B$7,IF(X332,P332*IF(R332, 1, Constants!$B$11)*IF(S332, 1, Constants!$B$12),Constants!$B$13),"")</f>
        <v/>
      </c>
      <c r="AD332" s="62" t="str">
        <f aca="false">IF($Z332=Constants!$B$7,AB332*AC332,"")</f>
        <v/>
      </c>
      <c r="AE332" s="62" t="str">
        <f aca="false">IF($Z332=Constants!$B$7,IF(Y332,T332,Constants!$B$13),"")</f>
        <v/>
      </c>
      <c r="AF332" s="62" t="str">
        <f aca="false">IF($Z332=Constants!$B$7,IF(Y332,P332*IF(U332, 1, Constants!$B$11)*IF(V332, 1, Constants!$B$12),Constants!$B$13),"")</f>
        <v/>
      </c>
      <c r="AG332" s="62" t="str">
        <f aca="false">IF($Z332=Constants!$B$7,AE332*AF332,"")</f>
        <v/>
      </c>
      <c r="AH332" s="62" t="str">
        <f aca="false">IF($Z332=Constants!$B$7,IF(AG332&gt;AD332,2,1),"")</f>
        <v/>
      </c>
      <c r="AI332" s="62" t="str">
        <f aca="false">IF($Z332=Constants!$B$7,IF(AH332=1,2,1),"")</f>
        <v/>
      </c>
      <c r="AJ332" s="62" t="str">
        <f aca="false">IF(ISBLANK($C332),"",IF($Z332&lt;&gt;Constants!$B$7,$Z332,IF(AH332=1,AD332,AG332)))</f>
        <v/>
      </c>
      <c r="AK332" s="62" t="str">
        <f aca="false">IF(ISBLANK($C332),"",IF($Z332=Constants!$B$7,IF(ISNUMBER(AJ332),RANK(AJ332,$AJ$8:$AJ$507),Constants!$B$14),$Z332))</f>
        <v/>
      </c>
      <c r="AL332" s="62" t="str">
        <f aca="false">IF(ISBLANK($C332),"",IF($Z332=Constants!$B$7,IF(AI332=1,AD332,AG332),""))</f>
        <v/>
      </c>
      <c r="AM332" s="62" t="str">
        <f aca="false">IF(ISBLANK($C332),"",IF($Z332=Constants!$B$7,RANK(AL332,$AL$8:$AL$507),$Z332))</f>
        <v/>
      </c>
      <c r="AN332" s="62" t="str">
        <f aca="false">IF(ISBLANK($C332),"",IF($Z332=Constants!$B$7,IF(ISNUMBER(AK332),COUNTIFS($AK$8:$AK$507,"&lt;"&amp;$AK332)+COUNTIFS($AK$8:$AK$507,$AK332,$AM$8:$AM$507,"&lt;"&amp;$AM332)+1,Constants!$B$14),$Z332))</f>
        <v/>
      </c>
      <c r="AO332" s="62" t="str">
        <f aca="false">IF(ISBLANK($C332),"",IF($Z332=Constants!$B$7,IF(ISNUMBER(AK332),AK332-AN332,Constants!$B$14),$Z332))</f>
        <v/>
      </c>
      <c r="AP332" s="64"/>
      <c r="AQ332" s="65" t="str">
        <f aca="false">IF(ISBLANK($C332),"",IF($Z332&lt;&gt;Constants!$B$7,"",AH332))</f>
        <v/>
      </c>
      <c r="AR332" s="80" t="str">
        <f aca="false">IF(ISBLANK($C332),"",IF($Z332&lt;&gt;Constants!$B$7,"",IF(AH332=1,AB332,AE332)))</f>
        <v/>
      </c>
      <c r="AS332" s="67" t="str">
        <f aca="false">IF(ISBLANK($C332),"",IF($Z332&lt;&gt;Constants!$B$7,"",IF(AH332=1,AC332,AF332)))</f>
        <v/>
      </c>
      <c r="AT332" s="68" t="str">
        <f aca="false">IF(ISBLANK($C332),"",IF($Z332&lt;&gt;Constants!$B$7,$Z332,AJ332))</f>
        <v/>
      </c>
      <c r="AU332" s="69" t="str">
        <f aca="false">IF(ISBLANK($C332),"",IF($Z332&lt;&gt;Constants!$B$7,$Z332,AA332))</f>
        <v/>
      </c>
      <c r="AV332" s="70" t="str">
        <f aca="false">IF(ISBLANK($C332),"",AO332)</f>
        <v/>
      </c>
      <c r="AW332" s="70" t="str">
        <f aca="false">IF(ISBLANK($C332),"",AN332)</f>
        <v/>
      </c>
      <c r="AX332" s="71" t="str">
        <f aca="false">IF(ISBLANK($C332),"",IFERROR(_xlfn.SWITCH(AW332,Constants!$B$4,COUNTA($C$8:$C$507)+2,Constants!$B$5,COUNTA($C$8:$C$507)+1,Constants!$B$6,COUNTA($C$8:$C$507)),AW332))</f>
        <v/>
      </c>
      <c r="AY332" s="5"/>
      <c r="AZ332" s="72" t="n">
        <f aca="false">IF(OR(ISNUMBER(AW332),AW332=Constants!$B$4,AW332=Constants!$B$6,AW332=Constants!$B$5),1,0)</f>
        <v>0</v>
      </c>
      <c r="BA332" s="72" t="n">
        <v>325</v>
      </c>
      <c r="BB332" s="72" t="str">
        <f aca="false">IF(ISBLANK($C332),"",IF(ISNUMBER(AX332),AX332+ROW($B332)/1000,""))</f>
        <v/>
      </c>
      <c r="BC332" s="72" t="str">
        <f aca="false">IF(ISNUMBER(BB332),RANK(BB332,$BB$8:$BB$507,1),"")</f>
        <v/>
      </c>
      <c r="BD332" s="72" t="str">
        <f aca="false">IF(ISBLANK($C332),"",$B332)</f>
        <v/>
      </c>
      <c r="BE332" s="72" t="str">
        <f aca="false">IF(ISBLANK($C332),"",$C332)</f>
        <v/>
      </c>
      <c r="BF332" s="72" t="str">
        <f aca="false">IF(ISBLANK($C332),"",$D332)</f>
        <v/>
      </c>
      <c r="BG332" s="73" t="str">
        <f aca="false">AU332</f>
        <v/>
      </c>
      <c r="BH332" s="74" t="str">
        <f aca="false">AT332</f>
        <v/>
      </c>
      <c r="BI332" s="72" t="str">
        <f aca="false">IF(ISBLANK($C332),"",AW332)</f>
        <v/>
      </c>
      <c r="BJ332" s="75" t="str">
        <f aca="false">IF($BA332&gt;$AZ$7,"",VLOOKUP($BA332,$BC$8:$BI$507,7,FALSE()))</f>
        <v/>
      </c>
      <c r="BK332" s="76" t="str">
        <f aca="false">IF($BA332&gt;$AZ$7,"",VLOOKUP($BA332,$BC$8:$BI$507,2,FALSE()))</f>
        <v/>
      </c>
      <c r="BL332" s="76" t="str">
        <f aca="false">IF($BA332&gt;$AZ$7,"",VLOOKUP($BA332,$BC$8:$BI$507,3,FALSE()))</f>
        <v/>
      </c>
      <c r="BM332" s="76" t="str">
        <f aca="false">IF($BA332&gt;$AZ$7,"",VLOOKUP($BA332,$BC$8:$BI$507,4,FALSE()))</f>
        <v/>
      </c>
      <c r="BN332" s="76" t="str">
        <f aca="false">IF($BA332&gt;$AZ$7,"",VLOOKUP($BA332,$BC$8:$BI$507,5,FALSE()))</f>
        <v/>
      </c>
      <c r="BO332" s="77" t="str">
        <f aca="false">IF($BA332&gt;$AZ$7,"",VLOOKUP($BA332,$BC$8:$BI$507,6,FALSE()))</f>
        <v/>
      </c>
      <c r="BP332" s="52"/>
    </row>
    <row r="333" customFormat="false" ht="15.75" hidden="false" customHeight="false" outlineLevel="0" collapsed="false">
      <c r="A333" s="5"/>
      <c r="B333" s="118"/>
      <c r="C333" s="54"/>
      <c r="D333" s="55"/>
      <c r="E333" s="79"/>
      <c r="F333" s="57"/>
      <c r="G333" s="58"/>
      <c r="H333" s="58"/>
      <c r="I333" s="57"/>
      <c r="J333" s="58"/>
      <c r="K333" s="58"/>
      <c r="L333" s="57"/>
      <c r="M333" s="79"/>
      <c r="N333" s="60"/>
      <c r="O333" s="62" t="str">
        <f aca="false">IF(ISBLANK($C333),"",IF(E333=Constants!$B$2, TRUE(), IF(E333=Constants!$B$3, FALSE(), TRUE())))</f>
        <v/>
      </c>
      <c r="P333" s="62" t="str">
        <f aca="false">IF(ISBLANK($C333),"",IF(F333=Constants!$B$16,Constants!$B$9,IF(F333=Constants!$B$17,Constants!$B$10,Constants!$B$8)))</f>
        <v/>
      </c>
      <c r="Q333" s="62" t="str">
        <f aca="false">IF(ISBLANK($C333),"",IF(ISNUMBER(G333),IF(G333&gt;=0,G333,""),""))</f>
        <v/>
      </c>
      <c r="R333" s="62" t="str">
        <f aca="false">IF(ISBLANK($C333),"",IF(H333=Constants!$B$2, TRUE(), IF(H333=Constants!$B$3, FALSE(), TRUE())))</f>
        <v/>
      </c>
      <c r="S333" s="62" t="str">
        <f aca="false">IF(ISBLANK($C333),"",IF(I333=Constants!$B$2, TRUE(), IF(I333=Constants!$B$3, FALSE(), TRUE())))</f>
        <v/>
      </c>
      <c r="T333" s="62" t="str">
        <f aca="false">IF(ISBLANK($C333),"",IF(ISNUMBER(J333),IF(J333&gt;=0,J333,""),""))</f>
        <v/>
      </c>
      <c r="U333" s="62" t="str">
        <f aca="false">IF(ISBLANK($C333),"",IF(K333=Constants!$B$2, TRUE(), IF(K333=Constants!$B$3, FALSE(), TRUE())))</f>
        <v/>
      </c>
      <c r="V333" s="62" t="str">
        <f aca="false">IF(ISBLANK($C333),"",IF(L333=Constants!$B$2, TRUE(), IF(L333=Constants!$B$3, FALSE(), TRUE())))</f>
        <v/>
      </c>
      <c r="W333" s="62" t="str">
        <f aca="false">IF(ISBLANK($C333),"",IF(M333=Constants!$B$2, TRUE(), IF(M333=Constants!$B$3, FALSE(), FALSE())))</f>
        <v/>
      </c>
      <c r="X333" s="62" t="str">
        <f aca="false">IF(ISBLANK($C333),"",AND(Q333&lt;&gt;"",O333))</f>
        <v/>
      </c>
      <c r="Y333" s="62" t="str">
        <f aca="false">IF(ISBLANK($C333),"",AND(T333&lt;&gt;"",O333))</f>
        <v/>
      </c>
      <c r="Z333" s="62" t="str">
        <f aca="false">IF(ISBLANK($C333),"",IF(W333,Constants!$B$4,IF(COUNTA(E333:L333)=0,Constants!$B$5,IF(NOT(O333),Constants!$B$6,IF(AND(NOT(X333),NOT(Y333)),Constants!$B$6,Constants!$B$7)))))</f>
        <v/>
      </c>
      <c r="AA333" s="62" t="str">
        <f aca="false">IF(ISBLANK($C333),"",IF($Z333&lt;&gt;Constants!$B$7,$Z333,Constants!$B$20))</f>
        <v/>
      </c>
      <c r="AB333" s="62" t="str">
        <f aca="false">IF($Z333=Constants!$B$7,IF(X333,Q333,Constants!$B$13),"")</f>
        <v/>
      </c>
      <c r="AC333" s="62" t="str">
        <f aca="false">IF($Z333=Constants!$B$7,IF(X333,P333*IF(R333, 1, Constants!$B$11)*IF(S333, 1, Constants!$B$12),Constants!$B$13),"")</f>
        <v/>
      </c>
      <c r="AD333" s="62" t="str">
        <f aca="false">IF($Z333=Constants!$B$7,AB333*AC333,"")</f>
        <v/>
      </c>
      <c r="AE333" s="62" t="str">
        <f aca="false">IF($Z333=Constants!$B$7,IF(Y333,T333,Constants!$B$13),"")</f>
        <v/>
      </c>
      <c r="AF333" s="62" t="str">
        <f aca="false">IF($Z333=Constants!$B$7,IF(Y333,P333*IF(U333, 1, Constants!$B$11)*IF(V333, 1, Constants!$B$12),Constants!$B$13),"")</f>
        <v/>
      </c>
      <c r="AG333" s="62" t="str">
        <f aca="false">IF($Z333=Constants!$B$7,AE333*AF333,"")</f>
        <v/>
      </c>
      <c r="AH333" s="62" t="str">
        <f aca="false">IF($Z333=Constants!$B$7,IF(AG333&gt;AD333,2,1),"")</f>
        <v/>
      </c>
      <c r="AI333" s="62" t="str">
        <f aca="false">IF($Z333=Constants!$B$7,IF(AH333=1,2,1),"")</f>
        <v/>
      </c>
      <c r="AJ333" s="62" t="str">
        <f aca="false">IF(ISBLANK($C333),"",IF($Z333&lt;&gt;Constants!$B$7,$Z333,IF(AH333=1,AD333,AG333)))</f>
        <v/>
      </c>
      <c r="AK333" s="62" t="str">
        <f aca="false">IF(ISBLANK($C333),"",IF($Z333=Constants!$B$7,IF(ISNUMBER(AJ333),RANK(AJ333,$AJ$8:$AJ$507),Constants!$B$14),$Z333))</f>
        <v/>
      </c>
      <c r="AL333" s="62" t="str">
        <f aca="false">IF(ISBLANK($C333),"",IF($Z333=Constants!$B$7,IF(AI333=1,AD333,AG333),""))</f>
        <v/>
      </c>
      <c r="AM333" s="62" t="str">
        <f aca="false">IF(ISBLANK($C333),"",IF($Z333=Constants!$B$7,RANK(AL333,$AL$8:$AL$507),$Z333))</f>
        <v/>
      </c>
      <c r="AN333" s="62" t="str">
        <f aca="false">IF(ISBLANK($C333),"",IF($Z333=Constants!$B$7,IF(ISNUMBER(AK333),COUNTIFS($AK$8:$AK$507,"&lt;"&amp;$AK333)+COUNTIFS($AK$8:$AK$507,$AK333,$AM$8:$AM$507,"&lt;"&amp;$AM333)+1,Constants!$B$14),$Z333))</f>
        <v/>
      </c>
      <c r="AO333" s="62" t="str">
        <f aca="false">IF(ISBLANK($C333),"",IF($Z333=Constants!$B$7,IF(ISNUMBER(AK333),AK333-AN333,Constants!$B$14),$Z333))</f>
        <v/>
      </c>
      <c r="AP333" s="64"/>
      <c r="AQ333" s="65" t="str">
        <f aca="false">IF(ISBLANK($C333),"",IF($Z333&lt;&gt;Constants!$B$7,"",AH333))</f>
        <v/>
      </c>
      <c r="AR333" s="80" t="str">
        <f aca="false">IF(ISBLANK($C333),"",IF($Z333&lt;&gt;Constants!$B$7,"",IF(AH333=1,AB333,AE333)))</f>
        <v/>
      </c>
      <c r="AS333" s="67" t="str">
        <f aca="false">IF(ISBLANK($C333),"",IF($Z333&lt;&gt;Constants!$B$7,"",IF(AH333=1,AC333,AF333)))</f>
        <v/>
      </c>
      <c r="AT333" s="68" t="str">
        <f aca="false">IF(ISBLANK($C333),"",IF($Z333&lt;&gt;Constants!$B$7,$Z333,AJ333))</f>
        <v/>
      </c>
      <c r="AU333" s="69" t="str">
        <f aca="false">IF(ISBLANK($C333),"",IF($Z333&lt;&gt;Constants!$B$7,$Z333,AA333))</f>
        <v/>
      </c>
      <c r="AV333" s="70" t="str">
        <f aca="false">IF(ISBLANK($C333),"",AO333)</f>
        <v/>
      </c>
      <c r="AW333" s="70" t="str">
        <f aca="false">IF(ISBLANK($C333),"",AN333)</f>
        <v/>
      </c>
      <c r="AX333" s="71" t="str">
        <f aca="false">IF(ISBLANK($C333),"",IFERROR(_xlfn.SWITCH(AW333,Constants!$B$4,COUNTA($C$8:$C$507)+2,Constants!$B$5,COUNTA($C$8:$C$507)+1,Constants!$B$6,COUNTA($C$8:$C$507)),AW333))</f>
        <v/>
      </c>
      <c r="AY333" s="5"/>
      <c r="AZ333" s="72" t="n">
        <f aca="false">IF(OR(ISNUMBER(AW333),AW333=Constants!$B$4,AW333=Constants!$B$6,AW333=Constants!$B$5),1,0)</f>
        <v>0</v>
      </c>
      <c r="BA333" s="72" t="n">
        <v>326</v>
      </c>
      <c r="BB333" s="72" t="str">
        <f aca="false">IF(ISBLANK($C333),"",IF(ISNUMBER(AX333),AX333+ROW($B333)/1000,""))</f>
        <v/>
      </c>
      <c r="BC333" s="72" t="str">
        <f aca="false">IF(ISNUMBER(BB333),RANK(BB333,$BB$8:$BB$507,1),"")</f>
        <v/>
      </c>
      <c r="BD333" s="72" t="str">
        <f aca="false">IF(ISBLANK($C333),"",$B333)</f>
        <v/>
      </c>
      <c r="BE333" s="72" t="str">
        <f aca="false">IF(ISBLANK($C333),"",$C333)</f>
        <v/>
      </c>
      <c r="BF333" s="72" t="str">
        <f aca="false">IF(ISBLANK($C333),"",$D333)</f>
        <v/>
      </c>
      <c r="BG333" s="73" t="str">
        <f aca="false">AU333</f>
        <v/>
      </c>
      <c r="BH333" s="74" t="str">
        <f aca="false">AT333</f>
        <v/>
      </c>
      <c r="BI333" s="72" t="str">
        <f aca="false">IF(ISBLANK($C333),"",AW333)</f>
        <v/>
      </c>
      <c r="BJ333" s="75" t="str">
        <f aca="false">IF($BA333&gt;$AZ$7,"",VLOOKUP($BA333,$BC$8:$BI$507,7,FALSE()))</f>
        <v/>
      </c>
      <c r="BK333" s="76" t="str">
        <f aca="false">IF($BA333&gt;$AZ$7,"",VLOOKUP($BA333,$BC$8:$BI$507,2,FALSE()))</f>
        <v/>
      </c>
      <c r="BL333" s="76" t="str">
        <f aca="false">IF($BA333&gt;$AZ$7,"",VLOOKUP($BA333,$BC$8:$BI$507,3,FALSE()))</f>
        <v/>
      </c>
      <c r="BM333" s="76" t="str">
        <f aca="false">IF($BA333&gt;$AZ$7,"",VLOOKUP($BA333,$BC$8:$BI$507,4,FALSE()))</f>
        <v/>
      </c>
      <c r="BN333" s="76" t="str">
        <f aca="false">IF($BA333&gt;$AZ$7,"",VLOOKUP($BA333,$BC$8:$BI$507,5,FALSE()))</f>
        <v/>
      </c>
      <c r="BO333" s="77" t="str">
        <f aca="false">IF($BA333&gt;$AZ$7,"",VLOOKUP($BA333,$BC$8:$BI$507,6,FALSE()))</f>
        <v/>
      </c>
      <c r="BP333" s="52"/>
    </row>
    <row r="334" customFormat="false" ht="15.75" hidden="false" customHeight="false" outlineLevel="0" collapsed="false">
      <c r="A334" s="5"/>
      <c r="B334" s="118"/>
      <c r="C334" s="54"/>
      <c r="D334" s="55"/>
      <c r="E334" s="79"/>
      <c r="F334" s="57"/>
      <c r="G334" s="58"/>
      <c r="H334" s="58"/>
      <c r="I334" s="57"/>
      <c r="J334" s="58"/>
      <c r="K334" s="58"/>
      <c r="L334" s="57"/>
      <c r="M334" s="79"/>
      <c r="N334" s="60"/>
      <c r="O334" s="62" t="str">
        <f aca="false">IF(ISBLANK($C334),"",IF(E334=Constants!$B$2, TRUE(), IF(E334=Constants!$B$3, FALSE(), TRUE())))</f>
        <v/>
      </c>
      <c r="P334" s="62" t="str">
        <f aca="false">IF(ISBLANK($C334),"",IF(F334=Constants!$B$16,Constants!$B$9,IF(F334=Constants!$B$17,Constants!$B$10,Constants!$B$8)))</f>
        <v/>
      </c>
      <c r="Q334" s="62" t="str">
        <f aca="false">IF(ISBLANK($C334),"",IF(ISNUMBER(G334),IF(G334&gt;=0,G334,""),""))</f>
        <v/>
      </c>
      <c r="R334" s="62" t="str">
        <f aca="false">IF(ISBLANK($C334),"",IF(H334=Constants!$B$2, TRUE(), IF(H334=Constants!$B$3, FALSE(), TRUE())))</f>
        <v/>
      </c>
      <c r="S334" s="62" t="str">
        <f aca="false">IF(ISBLANK($C334),"",IF(I334=Constants!$B$2, TRUE(), IF(I334=Constants!$B$3, FALSE(), TRUE())))</f>
        <v/>
      </c>
      <c r="T334" s="62" t="str">
        <f aca="false">IF(ISBLANK($C334),"",IF(ISNUMBER(J334),IF(J334&gt;=0,J334,""),""))</f>
        <v/>
      </c>
      <c r="U334" s="62" t="str">
        <f aca="false">IF(ISBLANK($C334),"",IF(K334=Constants!$B$2, TRUE(), IF(K334=Constants!$B$3, FALSE(), TRUE())))</f>
        <v/>
      </c>
      <c r="V334" s="62" t="str">
        <f aca="false">IF(ISBLANK($C334),"",IF(L334=Constants!$B$2, TRUE(), IF(L334=Constants!$B$3, FALSE(), TRUE())))</f>
        <v/>
      </c>
      <c r="W334" s="62" t="str">
        <f aca="false">IF(ISBLANK($C334),"",IF(M334=Constants!$B$2, TRUE(), IF(M334=Constants!$B$3, FALSE(), FALSE())))</f>
        <v/>
      </c>
      <c r="X334" s="62" t="str">
        <f aca="false">IF(ISBLANK($C334),"",AND(Q334&lt;&gt;"",O334))</f>
        <v/>
      </c>
      <c r="Y334" s="62" t="str">
        <f aca="false">IF(ISBLANK($C334),"",AND(T334&lt;&gt;"",O334))</f>
        <v/>
      </c>
      <c r="Z334" s="62" t="str">
        <f aca="false">IF(ISBLANK($C334),"",IF(W334,Constants!$B$4,IF(COUNTA(E334:L334)=0,Constants!$B$5,IF(NOT(O334),Constants!$B$6,IF(AND(NOT(X334),NOT(Y334)),Constants!$B$6,Constants!$B$7)))))</f>
        <v/>
      </c>
      <c r="AA334" s="62" t="str">
        <f aca="false">IF(ISBLANK($C334),"",IF($Z334&lt;&gt;Constants!$B$7,$Z334,Constants!$B$20))</f>
        <v/>
      </c>
      <c r="AB334" s="62" t="str">
        <f aca="false">IF($Z334=Constants!$B$7,IF(X334,Q334,Constants!$B$13),"")</f>
        <v/>
      </c>
      <c r="AC334" s="62" t="str">
        <f aca="false">IF($Z334=Constants!$B$7,IF(X334,P334*IF(R334, 1, Constants!$B$11)*IF(S334, 1, Constants!$B$12),Constants!$B$13),"")</f>
        <v/>
      </c>
      <c r="AD334" s="62" t="str">
        <f aca="false">IF($Z334=Constants!$B$7,AB334*AC334,"")</f>
        <v/>
      </c>
      <c r="AE334" s="62" t="str">
        <f aca="false">IF($Z334=Constants!$B$7,IF(Y334,T334,Constants!$B$13),"")</f>
        <v/>
      </c>
      <c r="AF334" s="62" t="str">
        <f aca="false">IF($Z334=Constants!$B$7,IF(Y334,P334*IF(U334, 1, Constants!$B$11)*IF(V334, 1, Constants!$B$12),Constants!$B$13),"")</f>
        <v/>
      </c>
      <c r="AG334" s="62" t="str">
        <f aca="false">IF($Z334=Constants!$B$7,AE334*AF334,"")</f>
        <v/>
      </c>
      <c r="AH334" s="62" t="str">
        <f aca="false">IF($Z334=Constants!$B$7,IF(AG334&gt;AD334,2,1),"")</f>
        <v/>
      </c>
      <c r="AI334" s="62" t="str">
        <f aca="false">IF($Z334=Constants!$B$7,IF(AH334=1,2,1),"")</f>
        <v/>
      </c>
      <c r="AJ334" s="62" t="str">
        <f aca="false">IF(ISBLANK($C334),"",IF($Z334&lt;&gt;Constants!$B$7,$Z334,IF(AH334=1,AD334,AG334)))</f>
        <v/>
      </c>
      <c r="AK334" s="62" t="str">
        <f aca="false">IF(ISBLANK($C334),"",IF($Z334=Constants!$B$7,IF(ISNUMBER(AJ334),RANK(AJ334,$AJ$8:$AJ$507),Constants!$B$14),$Z334))</f>
        <v/>
      </c>
      <c r="AL334" s="62" t="str">
        <f aca="false">IF(ISBLANK($C334),"",IF($Z334=Constants!$B$7,IF(AI334=1,AD334,AG334),""))</f>
        <v/>
      </c>
      <c r="AM334" s="62" t="str">
        <f aca="false">IF(ISBLANK($C334),"",IF($Z334=Constants!$B$7,RANK(AL334,$AL$8:$AL$507),$Z334))</f>
        <v/>
      </c>
      <c r="AN334" s="62" t="str">
        <f aca="false">IF(ISBLANK($C334),"",IF($Z334=Constants!$B$7,IF(ISNUMBER(AK334),COUNTIFS($AK$8:$AK$507,"&lt;"&amp;$AK334)+COUNTIFS($AK$8:$AK$507,$AK334,$AM$8:$AM$507,"&lt;"&amp;$AM334)+1,Constants!$B$14),$Z334))</f>
        <v/>
      </c>
      <c r="AO334" s="62" t="str">
        <f aca="false">IF(ISBLANK($C334),"",IF($Z334=Constants!$B$7,IF(ISNUMBER(AK334),AK334-AN334,Constants!$B$14),$Z334))</f>
        <v/>
      </c>
      <c r="AP334" s="64"/>
      <c r="AQ334" s="65" t="str">
        <f aca="false">IF(ISBLANK($C334),"",IF($Z334&lt;&gt;Constants!$B$7,"",AH334))</f>
        <v/>
      </c>
      <c r="AR334" s="80" t="str">
        <f aca="false">IF(ISBLANK($C334),"",IF($Z334&lt;&gt;Constants!$B$7,"",IF(AH334=1,AB334,AE334)))</f>
        <v/>
      </c>
      <c r="AS334" s="67" t="str">
        <f aca="false">IF(ISBLANK($C334),"",IF($Z334&lt;&gt;Constants!$B$7,"",IF(AH334=1,AC334,AF334)))</f>
        <v/>
      </c>
      <c r="AT334" s="68" t="str">
        <f aca="false">IF(ISBLANK($C334),"",IF($Z334&lt;&gt;Constants!$B$7,$Z334,AJ334))</f>
        <v/>
      </c>
      <c r="AU334" s="69" t="str">
        <f aca="false">IF(ISBLANK($C334),"",IF($Z334&lt;&gt;Constants!$B$7,$Z334,AA334))</f>
        <v/>
      </c>
      <c r="AV334" s="70" t="str">
        <f aca="false">IF(ISBLANK($C334),"",AO334)</f>
        <v/>
      </c>
      <c r="AW334" s="70" t="str">
        <f aca="false">IF(ISBLANK($C334),"",AN334)</f>
        <v/>
      </c>
      <c r="AX334" s="71" t="str">
        <f aca="false">IF(ISBLANK($C334),"",IFERROR(_xlfn.SWITCH(AW334,Constants!$B$4,COUNTA($C$8:$C$507)+2,Constants!$B$5,COUNTA($C$8:$C$507)+1,Constants!$B$6,COUNTA($C$8:$C$507)),AW334))</f>
        <v/>
      </c>
      <c r="AY334" s="5"/>
      <c r="AZ334" s="72" t="n">
        <f aca="false">IF(OR(ISNUMBER(AW334),AW334=Constants!$B$4,AW334=Constants!$B$6,AW334=Constants!$B$5),1,0)</f>
        <v>0</v>
      </c>
      <c r="BA334" s="72" t="n">
        <v>327</v>
      </c>
      <c r="BB334" s="72" t="str">
        <f aca="false">IF(ISBLANK($C334),"",IF(ISNUMBER(AX334),AX334+ROW($B334)/1000,""))</f>
        <v/>
      </c>
      <c r="BC334" s="72" t="str">
        <f aca="false">IF(ISNUMBER(BB334),RANK(BB334,$BB$8:$BB$507,1),"")</f>
        <v/>
      </c>
      <c r="BD334" s="72" t="str">
        <f aca="false">IF(ISBLANK($C334),"",$B334)</f>
        <v/>
      </c>
      <c r="BE334" s="72" t="str">
        <f aca="false">IF(ISBLANK($C334),"",$C334)</f>
        <v/>
      </c>
      <c r="BF334" s="72" t="str">
        <f aca="false">IF(ISBLANK($C334),"",$D334)</f>
        <v/>
      </c>
      <c r="BG334" s="73" t="str">
        <f aca="false">AU334</f>
        <v/>
      </c>
      <c r="BH334" s="74" t="str">
        <f aca="false">AT334</f>
        <v/>
      </c>
      <c r="BI334" s="72" t="str">
        <f aca="false">IF(ISBLANK($C334),"",AW334)</f>
        <v/>
      </c>
      <c r="BJ334" s="75" t="str">
        <f aca="false">IF($BA334&gt;$AZ$7,"",VLOOKUP($BA334,$BC$8:$BI$507,7,FALSE()))</f>
        <v/>
      </c>
      <c r="BK334" s="76" t="str">
        <f aca="false">IF($BA334&gt;$AZ$7,"",VLOOKUP($BA334,$BC$8:$BI$507,2,FALSE()))</f>
        <v/>
      </c>
      <c r="BL334" s="76" t="str">
        <f aca="false">IF($BA334&gt;$AZ$7,"",VLOOKUP($BA334,$BC$8:$BI$507,3,FALSE()))</f>
        <v/>
      </c>
      <c r="BM334" s="76" t="str">
        <f aca="false">IF($BA334&gt;$AZ$7,"",VLOOKUP($BA334,$BC$8:$BI$507,4,FALSE()))</f>
        <v/>
      </c>
      <c r="BN334" s="76" t="str">
        <f aca="false">IF($BA334&gt;$AZ$7,"",VLOOKUP($BA334,$BC$8:$BI$507,5,FALSE()))</f>
        <v/>
      </c>
      <c r="BO334" s="77" t="str">
        <f aca="false">IF($BA334&gt;$AZ$7,"",VLOOKUP($BA334,$BC$8:$BI$507,6,FALSE()))</f>
        <v/>
      </c>
      <c r="BP334" s="52"/>
    </row>
    <row r="335" customFormat="false" ht="15.75" hidden="false" customHeight="false" outlineLevel="0" collapsed="false">
      <c r="A335" s="5"/>
      <c r="B335" s="114"/>
      <c r="C335" s="115"/>
      <c r="D335" s="106"/>
      <c r="E335" s="117"/>
      <c r="F335" s="87"/>
      <c r="G335" s="88"/>
      <c r="H335" s="88"/>
      <c r="I335" s="87"/>
      <c r="J335" s="88"/>
      <c r="K335" s="88"/>
      <c r="L335" s="87"/>
      <c r="M335" s="117"/>
      <c r="N335" s="90"/>
      <c r="O335" s="91" t="str">
        <f aca="false">IF(ISBLANK($C335),"",IF(E335=Constants!$B$2, TRUE(), IF(E335=Constants!$B$3, FALSE(), TRUE())))</f>
        <v/>
      </c>
      <c r="P335" s="91" t="str">
        <f aca="false">IF(ISBLANK($C335),"",IF(F335=Constants!$B$16,Constants!$B$9,IF(F335=Constants!$B$17,Constants!$B$10,Constants!$B$8)))</f>
        <v/>
      </c>
      <c r="Q335" s="91" t="str">
        <f aca="false">IF(ISBLANK($C335),"",IF(ISNUMBER(G335),IF(G335&gt;=0,G335,""),""))</f>
        <v/>
      </c>
      <c r="R335" s="91" t="str">
        <f aca="false">IF(ISBLANK($C335),"",IF(H335=Constants!$B$2, TRUE(), IF(H335=Constants!$B$3, FALSE(), TRUE())))</f>
        <v/>
      </c>
      <c r="S335" s="91" t="str">
        <f aca="false">IF(ISBLANK($C335),"",IF(I335=Constants!$B$2, TRUE(), IF(I335=Constants!$B$3, FALSE(), TRUE())))</f>
        <v/>
      </c>
      <c r="T335" s="91" t="str">
        <f aca="false">IF(ISBLANK($C335),"",IF(ISNUMBER(J335),IF(J335&gt;=0,J335,""),""))</f>
        <v/>
      </c>
      <c r="U335" s="91" t="str">
        <f aca="false">IF(ISBLANK($C335),"",IF(K335=Constants!$B$2, TRUE(), IF(K335=Constants!$B$3, FALSE(), TRUE())))</f>
        <v/>
      </c>
      <c r="V335" s="91" t="str">
        <f aca="false">IF(ISBLANK($C335),"",IF(L335=Constants!$B$2, TRUE(), IF(L335=Constants!$B$3, FALSE(), TRUE())))</f>
        <v/>
      </c>
      <c r="W335" s="91" t="str">
        <f aca="false">IF(ISBLANK($C335),"",IF(M335=Constants!$B$2, TRUE(), IF(M335=Constants!$B$3, FALSE(), FALSE())))</f>
        <v/>
      </c>
      <c r="X335" s="91" t="str">
        <f aca="false">IF(ISBLANK($C335),"",AND(Q335&lt;&gt;"",O335))</f>
        <v/>
      </c>
      <c r="Y335" s="91" t="str">
        <f aca="false">IF(ISBLANK($C335),"",AND(T335&lt;&gt;"",O335))</f>
        <v/>
      </c>
      <c r="Z335" s="91" t="str">
        <f aca="false">IF(ISBLANK($C335),"",IF(W335,Constants!$B$4,IF(COUNTA(E335:L335)=0,Constants!$B$5,IF(NOT(O335),Constants!$B$6,IF(AND(NOT(X335),NOT(Y335)),Constants!$B$6,Constants!$B$7)))))</f>
        <v/>
      </c>
      <c r="AA335" s="91" t="str">
        <f aca="false">IF(ISBLANK($C335),"",IF($Z335&lt;&gt;Constants!$B$7,$Z335,Constants!$B$20))</f>
        <v/>
      </c>
      <c r="AB335" s="91" t="str">
        <f aca="false">IF($Z335=Constants!$B$7,IF(X335,Q335,Constants!$B$13),"")</f>
        <v/>
      </c>
      <c r="AC335" s="91" t="str">
        <f aca="false">IF($Z335=Constants!$B$7,IF(X335,P335*IF(R335, 1, Constants!$B$11)*IF(S335, 1, Constants!$B$12),Constants!$B$13),"")</f>
        <v/>
      </c>
      <c r="AD335" s="91" t="str">
        <f aca="false">IF($Z335=Constants!$B$7,AB335*AC335,"")</f>
        <v/>
      </c>
      <c r="AE335" s="91" t="str">
        <f aca="false">IF($Z335=Constants!$B$7,IF(Y335,T335,Constants!$B$13),"")</f>
        <v/>
      </c>
      <c r="AF335" s="91" t="str">
        <f aca="false">IF($Z335=Constants!$B$7,IF(Y335,P335*IF(U335, 1, Constants!$B$11)*IF(V335, 1, Constants!$B$12),Constants!$B$13),"")</f>
        <v/>
      </c>
      <c r="AG335" s="91" t="str">
        <f aca="false">IF($Z335=Constants!$B$7,AE335*AF335,"")</f>
        <v/>
      </c>
      <c r="AH335" s="91" t="str">
        <f aca="false">IF($Z335=Constants!$B$7,IF(AG335&gt;AD335,2,1),"")</f>
        <v/>
      </c>
      <c r="AI335" s="91" t="str">
        <f aca="false">IF($Z335=Constants!$B$7,IF(AH335=1,2,1),"")</f>
        <v/>
      </c>
      <c r="AJ335" s="91" t="str">
        <f aca="false">IF(ISBLANK($C335),"",IF($Z335&lt;&gt;Constants!$B$7,$Z335,IF(AH335=1,AD335,AG335)))</f>
        <v/>
      </c>
      <c r="AK335" s="91" t="str">
        <f aca="false">IF(ISBLANK($C335),"",IF($Z335=Constants!$B$7,IF(ISNUMBER(AJ335),RANK(AJ335,$AJ$8:$AJ$507),Constants!$B$14),$Z335))</f>
        <v/>
      </c>
      <c r="AL335" s="91" t="str">
        <f aca="false">IF(ISBLANK($C335),"",IF($Z335=Constants!$B$7,IF(AI335=1,AD335,AG335),""))</f>
        <v/>
      </c>
      <c r="AM335" s="91" t="str">
        <f aca="false">IF(ISBLANK($C335),"",IF($Z335=Constants!$B$7,RANK(AL335,$AL$8:$AL$507),$Z335))</f>
        <v/>
      </c>
      <c r="AN335" s="91" t="str">
        <f aca="false">IF(ISBLANK($C335),"",IF($Z335=Constants!$B$7,IF(ISNUMBER(AK335),COUNTIFS($AK$8:$AK$507,"&lt;"&amp;$AK335)+COUNTIFS($AK$8:$AK$507,$AK335,$AM$8:$AM$507,"&lt;"&amp;$AM335)+1,Constants!$B$14),$Z335))</f>
        <v/>
      </c>
      <c r="AO335" s="91" t="str">
        <f aca="false">IF(ISBLANK($C335),"",IF($Z335=Constants!$B$7,IF(ISNUMBER(AK335),AK335-AN335,Constants!$B$14),$Z335))</f>
        <v/>
      </c>
      <c r="AP335" s="92"/>
      <c r="AQ335" s="93" t="str">
        <f aca="false">IF(ISBLANK($C335),"",IF($Z335&lt;&gt;Constants!$B$7,"",AH335))</f>
        <v/>
      </c>
      <c r="AR335" s="94" t="str">
        <f aca="false">IF(ISBLANK($C335),"",IF($Z335&lt;&gt;Constants!$B$7,"",IF(AH335=1,AB335,AE335)))</f>
        <v/>
      </c>
      <c r="AS335" s="95" t="str">
        <f aca="false">IF(ISBLANK($C335),"",IF($Z335&lt;&gt;Constants!$B$7,"",IF(AH335=1,AC335,AF335)))</f>
        <v/>
      </c>
      <c r="AT335" s="96" t="str">
        <f aca="false">IF(ISBLANK($C335),"",IF($Z335&lt;&gt;Constants!$B$7,$Z335,AJ335))</f>
        <v/>
      </c>
      <c r="AU335" s="97" t="str">
        <f aca="false">IF(ISBLANK($C335),"",IF($Z335&lt;&gt;Constants!$B$7,$Z335,AA335))</f>
        <v/>
      </c>
      <c r="AV335" s="98" t="str">
        <f aca="false">IF(ISBLANK($C335),"",AO335)</f>
        <v/>
      </c>
      <c r="AW335" s="98" t="str">
        <f aca="false">IF(ISBLANK($C335),"",AN335)</f>
        <v/>
      </c>
      <c r="AX335" s="99" t="str">
        <f aca="false">IF(ISBLANK($C335),"",IFERROR(_xlfn.SWITCH(AW335,Constants!$B$4,COUNTA($C$8:$C$507)+2,Constants!$B$5,COUNTA($C$8:$C$507)+1,Constants!$B$6,COUNTA($C$8:$C$507)),AW335))</f>
        <v/>
      </c>
      <c r="AY335" s="5"/>
      <c r="AZ335" s="100" t="n">
        <f aca="false">IF(OR(ISNUMBER(AW335),AW335=Constants!$B$4,AW335=Constants!$B$6,AW335=Constants!$B$5),1,0)</f>
        <v>0</v>
      </c>
      <c r="BA335" s="100" t="n">
        <v>328</v>
      </c>
      <c r="BB335" s="100" t="str">
        <f aca="false">IF(ISBLANK($C335),"",IF(ISNUMBER(AX335),AX335+ROW($B335)/1000,""))</f>
        <v/>
      </c>
      <c r="BC335" s="100" t="str">
        <f aca="false">IF(ISNUMBER(BB335),RANK(BB335,$BB$8:$BB$507,1),"")</f>
        <v/>
      </c>
      <c r="BD335" s="100" t="str">
        <f aca="false">IF(ISBLANK($C335),"",$B335)</f>
        <v/>
      </c>
      <c r="BE335" s="100" t="str">
        <f aca="false">IF(ISBLANK($C335),"",$C335)</f>
        <v/>
      </c>
      <c r="BF335" s="100" t="str">
        <f aca="false">IF(ISBLANK($C335),"",$D335)</f>
        <v/>
      </c>
      <c r="BG335" s="101" t="str">
        <f aca="false">AU335</f>
        <v/>
      </c>
      <c r="BH335" s="102" t="str">
        <f aca="false">AT335</f>
        <v/>
      </c>
      <c r="BI335" s="100" t="str">
        <f aca="false">IF(ISBLANK($C335),"",AW335)</f>
        <v/>
      </c>
      <c r="BJ335" s="103" t="str">
        <f aca="false">IF($BA335&gt;$AZ$7,"",VLOOKUP($BA335,$BC$8:$BI$507,7,FALSE()))</f>
        <v/>
      </c>
      <c r="BK335" s="104" t="str">
        <f aca="false">IF($BA335&gt;$AZ$7,"",VLOOKUP($BA335,$BC$8:$BI$507,2,FALSE()))</f>
        <v/>
      </c>
      <c r="BL335" s="104" t="str">
        <f aca="false">IF($BA335&gt;$AZ$7,"",VLOOKUP($BA335,$BC$8:$BI$507,3,FALSE()))</f>
        <v/>
      </c>
      <c r="BM335" s="104" t="str">
        <f aca="false">IF($BA335&gt;$AZ$7,"",VLOOKUP($BA335,$BC$8:$BI$507,4,FALSE()))</f>
        <v/>
      </c>
      <c r="BN335" s="104" t="str">
        <f aca="false">IF($BA335&gt;$AZ$7,"",VLOOKUP($BA335,$BC$8:$BI$507,5,FALSE()))</f>
        <v/>
      </c>
      <c r="BO335" s="105" t="str">
        <f aca="false">IF($BA335&gt;$AZ$7,"",VLOOKUP($BA335,$BC$8:$BI$507,6,FALSE()))</f>
        <v/>
      </c>
      <c r="BP335" s="52"/>
    </row>
    <row r="336" customFormat="false" ht="15.75" hidden="false" customHeight="false" outlineLevel="0" collapsed="false">
      <c r="A336" s="5"/>
      <c r="B336" s="114"/>
      <c r="C336" s="115"/>
      <c r="D336" s="106"/>
      <c r="E336" s="117"/>
      <c r="F336" s="87"/>
      <c r="G336" s="88"/>
      <c r="H336" s="88"/>
      <c r="I336" s="87"/>
      <c r="J336" s="88"/>
      <c r="K336" s="88"/>
      <c r="L336" s="87"/>
      <c r="M336" s="117"/>
      <c r="N336" s="90"/>
      <c r="O336" s="91" t="str">
        <f aca="false">IF(ISBLANK($C336),"",IF(E336=Constants!$B$2, TRUE(), IF(E336=Constants!$B$3, FALSE(), TRUE())))</f>
        <v/>
      </c>
      <c r="P336" s="91" t="str">
        <f aca="false">IF(ISBLANK($C336),"",IF(F336=Constants!$B$16,Constants!$B$9,IF(F336=Constants!$B$17,Constants!$B$10,Constants!$B$8)))</f>
        <v/>
      </c>
      <c r="Q336" s="91" t="str">
        <f aca="false">IF(ISBLANK($C336),"",IF(ISNUMBER(G336),IF(G336&gt;=0,G336,""),""))</f>
        <v/>
      </c>
      <c r="R336" s="91" t="str">
        <f aca="false">IF(ISBLANK($C336),"",IF(H336=Constants!$B$2, TRUE(), IF(H336=Constants!$B$3, FALSE(), TRUE())))</f>
        <v/>
      </c>
      <c r="S336" s="91" t="str">
        <f aca="false">IF(ISBLANK($C336),"",IF(I336=Constants!$B$2, TRUE(), IF(I336=Constants!$B$3, FALSE(), TRUE())))</f>
        <v/>
      </c>
      <c r="T336" s="91" t="str">
        <f aca="false">IF(ISBLANK($C336),"",IF(ISNUMBER(J336),IF(J336&gt;=0,J336,""),""))</f>
        <v/>
      </c>
      <c r="U336" s="91" t="str">
        <f aca="false">IF(ISBLANK($C336),"",IF(K336=Constants!$B$2, TRUE(), IF(K336=Constants!$B$3, FALSE(), TRUE())))</f>
        <v/>
      </c>
      <c r="V336" s="91" t="str">
        <f aca="false">IF(ISBLANK($C336),"",IF(L336=Constants!$B$2, TRUE(), IF(L336=Constants!$B$3, FALSE(), TRUE())))</f>
        <v/>
      </c>
      <c r="W336" s="91" t="str">
        <f aca="false">IF(ISBLANK($C336),"",IF(M336=Constants!$B$2, TRUE(), IF(M336=Constants!$B$3, FALSE(), FALSE())))</f>
        <v/>
      </c>
      <c r="X336" s="91" t="str">
        <f aca="false">IF(ISBLANK($C336),"",AND(Q336&lt;&gt;"",O336))</f>
        <v/>
      </c>
      <c r="Y336" s="91" t="str">
        <f aca="false">IF(ISBLANK($C336),"",AND(T336&lt;&gt;"",O336))</f>
        <v/>
      </c>
      <c r="Z336" s="91" t="str">
        <f aca="false">IF(ISBLANK($C336),"",IF(W336,Constants!$B$4,IF(COUNTA(E336:L336)=0,Constants!$B$5,IF(NOT(O336),Constants!$B$6,IF(AND(NOT(X336),NOT(Y336)),Constants!$B$6,Constants!$B$7)))))</f>
        <v/>
      </c>
      <c r="AA336" s="91" t="str">
        <f aca="false">IF(ISBLANK($C336),"",IF($Z336&lt;&gt;Constants!$B$7,$Z336,Constants!$B$20))</f>
        <v/>
      </c>
      <c r="AB336" s="91" t="str">
        <f aca="false">IF($Z336=Constants!$B$7,IF(X336,Q336,Constants!$B$13),"")</f>
        <v/>
      </c>
      <c r="AC336" s="91" t="str">
        <f aca="false">IF($Z336=Constants!$B$7,IF(X336,P336*IF(R336, 1, Constants!$B$11)*IF(S336, 1, Constants!$B$12),Constants!$B$13),"")</f>
        <v/>
      </c>
      <c r="AD336" s="91" t="str">
        <f aca="false">IF($Z336=Constants!$B$7,AB336*AC336,"")</f>
        <v/>
      </c>
      <c r="AE336" s="91" t="str">
        <f aca="false">IF($Z336=Constants!$B$7,IF(Y336,T336,Constants!$B$13),"")</f>
        <v/>
      </c>
      <c r="AF336" s="91" t="str">
        <f aca="false">IF($Z336=Constants!$B$7,IF(Y336,P336*IF(U336, 1, Constants!$B$11)*IF(V336, 1, Constants!$B$12),Constants!$B$13),"")</f>
        <v/>
      </c>
      <c r="AG336" s="91" t="str">
        <f aca="false">IF($Z336=Constants!$B$7,AE336*AF336,"")</f>
        <v/>
      </c>
      <c r="AH336" s="91" t="str">
        <f aca="false">IF($Z336=Constants!$B$7,IF(AG336&gt;AD336,2,1),"")</f>
        <v/>
      </c>
      <c r="AI336" s="91" t="str">
        <f aca="false">IF($Z336=Constants!$B$7,IF(AH336=1,2,1),"")</f>
        <v/>
      </c>
      <c r="AJ336" s="91" t="str">
        <f aca="false">IF(ISBLANK($C336),"",IF($Z336&lt;&gt;Constants!$B$7,$Z336,IF(AH336=1,AD336,AG336)))</f>
        <v/>
      </c>
      <c r="AK336" s="91" t="str">
        <f aca="false">IF(ISBLANK($C336),"",IF($Z336=Constants!$B$7,IF(ISNUMBER(AJ336),RANK(AJ336,$AJ$8:$AJ$507),Constants!$B$14),$Z336))</f>
        <v/>
      </c>
      <c r="AL336" s="91" t="str">
        <f aca="false">IF(ISBLANK($C336),"",IF($Z336=Constants!$B$7,IF(AI336=1,AD336,AG336),""))</f>
        <v/>
      </c>
      <c r="AM336" s="91" t="str">
        <f aca="false">IF(ISBLANK($C336),"",IF($Z336=Constants!$B$7,RANK(AL336,$AL$8:$AL$507),$Z336))</f>
        <v/>
      </c>
      <c r="AN336" s="91" t="str">
        <f aca="false">IF(ISBLANK($C336),"",IF($Z336=Constants!$B$7,IF(ISNUMBER(AK336),COUNTIFS($AK$8:$AK$507,"&lt;"&amp;$AK336)+COUNTIFS($AK$8:$AK$507,$AK336,$AM$8:$AM$507,"&lt;"&amp;$AM336)+1,Constants!$B$14),$Z336))</f>
        <v/>
      </c>
      <c r="AO336" s="91" t="str">
        <f aca="false">IF(ISBLANK($C336),"",IF($Z336=Constants!$B$7,IF(ISNUMBER(AK336),AK336-AN336,Constants!$B$14),$Z336))</f>
        <v/>
      </c>
      <c r="AP336" s="92"/>
      <c r="AQ336" s="93" t="str">
        <f aca="false">IF(ISBLANK($C336),"",IF($Z336&lt;&gt;Constants!$B$7,"",AH336))</f>
        <v/>
      </c>
      <c r="AR336" s="94" t="str">
        <f aca="false">IF(ISBLANK($C336),"",IF($Z336&lt;&gt;Constants!$B$7,"",IF(AH336=1,AB336,AE336)))</f>
        <v/>
      </c>
      <c r="AS336" s="95" t="str">
        <f aca="false">IF(ISBLANK($C336),"",IF($Z336&lt;&gt;Constants!$B$7,"",IF(AH336=1,AC336,AF336)))</f>
        <v/>
      </c>
      <c r="AT336" s="96" t="str">
        <f aca="false">IF(ISBLANK($C336),"",IF($Z336&lt;&gt;Constants!$B$7,$Z336,AJ336))</f>
        <v/>
      </c>
      <c r="AU336" s="97" t="str">
        <f aca="false">IF(ISBLANK($C336),"",IF($Z336&lt;&gt;Constants!$B$7,$Z336,AA336))</f>
        <v/>
      </c>
      <c r="AV336" s="98" t="str">
        <f aca="false">IF(ISBLANK($C336),"",AO336)</f>
        <v/>
      </c>
      <c r="AW336" s="98" t="str">
        <f aca="false">IF(ISBLANK($C336),"",AN336)</f>
        <v/>
      </c>
      <c r="AX336" s="99" t="str">
        <f aca="false">IF(ISBLANK($C336),"",IFERROR(_xlfn.SWITCH(AW336,Constants!$B$4,COUNTA($C$8:$C$507)+2,Constants!$B$5,COUNTA($C$8:$C$507)+1,Constants!$B$6,COUNTA($C$8:$C$507)),AW336))</f>
        <v/>
      </c>
      <c r="AY336" s="5"/>
      <c r="AZ336" s="100" t="n">
        <f aca="false">IF(OR(ISNUMBER(AW336),AW336=Constants!$B$4,AW336=Constants!$B$6,AW336=Constants!$B$5),1,0)</f>
        <v>0</v>
      </c>
      <c r="BA336" s="100" t="n">
        <v>329</v>
      </c>
      <c r="BB336" s="100" t="str">
        <f aca="false">IF(ISBLANK($C336),"",IF(ISNUMBER(AX336),AX336+ROW($B336)/1000,""))</f>
        <v/>
      </c>
      <c r="BC336" s="100" t="str">
        <f aca="false">IF(ISNUMBER(BB336),RANK(BB336,$BB$8:$BB$507,1),"")</f>
        <v/>
      </c>
      <c r="BD336" s="100" t="str">
        <f aca="false">IF(ISBLANK($C336),"",$B336)</f>
        <v/>
      </c>
      <c r="BE336" s="100" t="str">
        <f aca="false">IF(ISBLANK($C336),"",$C336)</f>
        <v/>
      </c>
      <c r="BF336" s="100" t="str">
        <f aca="false">IF(ISBLANK($C336),"",$D336)</f>
        <v/>
      </c>
      <c r="BG336" s="101" t="str">
        <f aca="false">AU336</f>
        <v/>
      </c>
      <c r="BH336" s="102" t="str">
        <f aca="false">AT336</f>
        <v/>
      </c>
      <c r="BI336" s="100" t="str">
        <f aca="false">IF(ISBLANK($C336),"",AW336)</f>
        <v/>
      </c>
      <c r="BJ336" s="103" t="str">
        <f aca="false">IF($BA336&gt;$AZ$7,"",VLOOKUP($BA336,$BC$8:$BI$507,7,FALSE()))</f>
        <v/>
      </c>
      <c r="BK336" s="104" t="str">
        <f aca="false">IF($BA336&gt;$AZ$7,"",VLOOKUP($BA336,$BC$8:$BI$507,2,FALSE()))</f>
        <v/>
      </c>
      <c r="BL336" s="104" t="str">
        <f aca="false">IF($BA336&gt;$AZ$7,"",VLOOKUP($BA336,$BC$8:$BI$507,3,FALSE()))</f>
        <v/>
      </c>
      <c r="BM336" s="104" t="str">
        <f aca="false">IF($BA336&gt;$AZ$7,"",VLOOKUP($BA336,$BC$8:$BI$507,4,FALSE()))</f>
        <v/>
      </c>
      <c r="BN336" s="104" t="str">
        <f aca="false">IF($BA336&gt;$AZ$7,"",VLOOKUP($BA336,$BC$8:$BI$507,5,FALSE()))</f>
        <v/>
      </c>
      <c r="BO336" s="105" t="str">
        <f aca="false">IF($BA336&gt;$AZ$7,"",VLOOKUP($BA336,$BC$8:$BI$507,6,FALSE()))</f>
        <v/>
      </c>
      <c r="BP336" s="52"/>
    </row>
    <row r="337" customFormat="false" ht="15.75" hidden="false" customHeight="false" outlineLevel="0" collapsed="false">
      <c r="A337" s="5"/>
      <c r="B337" s="114"/>
      <c r="C337" s="115"/>
      <c r="D337" s="106"/>
      <c r="E337" s="117"/>
      <c r="F337" s="87"/>
      <c r="G337" s="88"/>
      <c r="H337" s="88"/>
      <c r="I337" s="87"/>
      <c r="J337" s="88"/>
      <c r="K337" s="88"/>
      <c r="L337" s="87"/>
      <c r="M337" s="117"/>
      <c r="N337" s="90"/>
      <c r="O337" s="91" t="str">
        <f aca="false">IF(ISBLANK($C337),"",IF(E337=Constants!$B$2, TRUE(), IF(E337=Constants!$B$3, FALSE(), TRUE())))</f>
        <v/>
      </c>
      <c r="P337" s="91" t="str">
        <f aca="false">IF(ISBLANK($C337),"",IF(F337=Constants!$B$16,Constants!$B$9,IF(F337=Constants!$B$17,Constants!$B$10,Constants!$B$8)))</f>
        <v/>
      </c>
      <c r="Q337" s="91" t="str">
        <f aca="false">IF(ISBLANK($C337),"",IF(ISNUMBER(G337),IF(G337&gt;=0,G337,""),""))</f>
        <v/>
      </c>
      <c r="R337" s="91" t="str">
        <f aca="false">IF(ISBLANK($C337),"",IF(H337=Constants!$B$2, TRUE(), IF(H337=Constants!$B$3, FALSE(), TRUE())))</f>
        <v/>
      </c>
      <c r="S337" s="91" t="str">
        <f aca="false">IF(ISBLANK($C337),"",IF(I337=Constants!$B$2, TRUE(), IF(I337=Constants!$B$3, FALSE(), TRUE())))</f>
        <v/>
      </c>
      <c r="T337" s="91" t="str">
        <f aca="false">IF(ISBLANK($C337),"",IF(ISNUMBER(J337),IF(J337&gt;=0,J337,""),""))</f>
        <v/>
      </c>
      <c r="U337" s="91" t="str">
        <f aca="false">IF(ISBLANK($C337),"",IF(K337=Constants!$B$2, TRUE(), IF(K337=Constants!$B$3, FALSE(), TRUE())))</f>
        <v/>
      </c>
      <c r="V337" s="91" t="str">
        <f aca="false">IF(ISBLANK($C337),"",IF(L337=Constants!$B$2, TRUE(), IF(L337=Constants!$B$3, FALSE(), TRUE())))</f>
        <v/>
      </c>
      <c r="W337" s="91" t="str">
        <f aca="false">IF(ISBLANK($C337),"",IF(M337=Constants!$B$2, TRUE(), IF(M337=Constants!$B$3, FALSE(), FALSE())))</f>
        <v/>
      </c>
      <c r="X337" s="91" t="str">
        <f aca="false">IF(ISBLANK($C337),"",AND(Q337&lt;&gt;"",O337))</f>
        <v/>
      </c>
      <c r="Y337" s="91" t="str">
        <f aca="false">IF(ISBLANK($C337),"",AND(T337&lt;&gt;"",O337))</f>
        <v/>
      </c>
      <c r="Z337" s="91" t="str">
        <f aca="false">IF(ISBLANK($C337),"",IF(W337,Constants!$B$4,IF(COUNTA(E337:L337)=0,Constants!$B$5,IF(NOT(O337),Constants!$B$6,IF(AND(NOT(X337),NOT(Y337)),Constants!$B$6,Constants!$B$7)))))</f>
        <v/>
      </c>
      <c r="AA337" s="91" t="str">
        <f aca="false">IF(ISBLANK($C337),"",IF($Z337&lt;&gt;Constants!$B$7,$Z337,Constants!$B$20))</f>
        <v/>
      </c>
      <c r="AB337" s="91" t="str">
        <f aca="false">IF($Z337=Constants!$B$7,IF(X337,Q337,Constants!$B$13),"")</f>
        <v/>
      </c>
      <c r="AC337" s="91" t="str">
        <f aca="false">IF($Z337=Constants!$B$7,IF(X337,P337*IF(R337, 1, Constants!$B$11)*IF(S337, 1, Constants!$B$12),Constants!$B$13),"")</f>
        <v/>
      </c>
      <c r="AD337" s="91" t="str">
        <f aca="false">IF($Z337=Constants!$B$7,AB337*AC337,"")</f>
        <v/>
      </c>
      <c r="AE337" s="91" t="str">
        <f aca="false">IF($Z337=Constants!$B$7,IF(Y337,T337,Constants!$B$13),"")</f>
        <v/>
      </c>
      <c r="AF337" s="91" t="str">
        <f aca="false">IF($Z337=Constants!$B$7,IF(Y337,P337*IF(U337, 1, Constants!$B$11)*IF(V337, 1, Constants!$B$12),Constants!$B$13),"")</f>
        <v/>
      </c>
      <c r="AG337" s="91" t="str">
        <f aca="false">IF($Z337=Constants!$B$7,AE337*AF337,"")</f>
        <v/>
      </c>
      <c r="AH337" s="91" t="str">
        <f aca="false">IF($Z337=Constants!$B$7,IF(AG337&gt;AD337,2,1),"")</f>
        <v/>
      </c>
      <c r="AI337" s="91" t="str">
        <f aca="false">IF($Z337=Constants!$B$7,IF(AH337=1,2,1),"")</f>
        <v/>
      </c>
      <c r="AJ337" s="91" t="str">
        <f aca="false">IF(ISBLANK($C337),"",IF($Z337&lt;&gt;Constants!$B$7,$Z337,IF(AH337=1,AD337,AG337)))</f>
        <v/>
      </c>
      <c r="AK337" s="91" t="str">
        <f aca="false">IF(ISBLANK($C337),"",IF($Z337=Constants!$B$7,IF(ISNUMBER(AJ337),RANK(AJ337,$AJ$8:$AJ$507),Constants!$B$14),$Z337))</f>
        <v/>
      </c>
      <c r="AL337" s="91" t="str">
        <f aca="false">IF(ISBLANK($C337),"",IF($Z337=Constants!$B$7,IF(AI337=1,AD337,AG337),""))</f>
        <v/>
      </c>
      <c r="AM337" s="91" t="str">
        <f aca="false">IF(ISBLANK($C337),"",IF($Z337=Constants!$B$7,RANK(AL337,$AL$8:$AL$507),$Z337))</f>
        <v/>
      </c>
      <c r="AN337" s="91" t="str">
        <f aca="false">IF(ISBLANK($C337),"",IF($Z337=Constants!$B$7,IF(ISNUMBER(AK337),COUNTIFS($AK$8:$AK$507,"&lt;"&amp;$AK337)+COUNTIFS($AK$8:$AK$507,$AK337,$AM$8:$AM$507,"&lt;"&amp;$AM337)+1,Constants!$B$14),$Z337))</f>
        <v/>
      </c>
      <c r="AO337" s="91" t="str">
        <f aca="false">IF(ISBLANK($C337),"",IF($Z337=Constants!$B$7,IF(ISNUMBER(AK337),AK337-AN337,Constants!$B$14),$Z337))</f>
        <v/>
      </c>
      <c r="AP337" s="92"/>
      <c r="AQ337" s="93" t="str">
        <f aca="false">IF(ISBLANK($C337),"",IF($Z337&lt;&gt;Constants!$B$7,"",AH337))</f>
        <v/>
      </c>
      <c r="AR337" s="94" t="str">
        <f aca="false">IF(ISBLANK($C337),"",IF($Z337&lt;&gt;Constants!$B$7,"",IF(AH337=1,AB337,AE337)))</f>
        <v/>
      </c>
      <c r="AS337" s="95" t="str">
        <f aca="false">IF(ISBLANK($C337),"",IF($Z337&lt;&gt;Constants!$B$7,"",IF(AH337=1,AC337,AF337)))</f>
        <v/>
      </c>
      <c r="AT337" s="96" t="str">
        <f aca="false">IF(ISBLANK($C337),"",IF($Z337&lt;&gt;Constants!$B$7,$Z337,AJ337))</f>
        <v/>
      </c>
      <c r="AU337" s="97" t="str">
        <f aca="false">IF(ISBLANK($C337),"",IF($Z337&lt;&gt;Constants!$B$7,$Z337,AA337))</f>
        <v/>
      </c>
      <c r="AV337" s="98" t="str">
        <f aca="false">IF(ISBLANK($C337),"",AO337)</f>
        <v/>
      </c>
      <c r="AW337" s="98" t="str">
        <f aca="false">IF(ISBLANK($C337),"",AN337)</f>
        <v/>
      </c>
      <c r="AX337" s="99" t="str">
        <f aca="false">IF(ISBLANK($C337),"",IFERROR(_xlfn.SWITCH(AW337,Constants!$B$4,COUNTA($C$8:$C$507)+2,Constants!$B$5,COUNTA($C$8:$C$507)+1,Constants!$B$6,COUNTA($C$8:$C$507)),AW337))</f>
        <v/>
      </c>
      <c r="AY337" s="5"/>
      <c r="AZ337" s="100" t="n">
        <f aca="false">IF(OR(ISNUMBER(AW337),AW337=Constants!$B$4,AW337=Constants!$B$6,AW337=Constants!$B$5),1,0)</f>
        <v>0</v>
      </c>
      <c r="BA337" s="100" t="n">
        <v>330</v>
      </c>
      <c r="BB337" s="100" t="str">
        <f aca="false">IF(ISBLANK($C337),"",IF(ISNUMBER(AX337),AX337+ROW($B337)/1000,""))</f>
        <v/>
      </c>
      <c r="BC337" s="100" t="str">
        <f aca="false">IF(ISNUMBER(BB337),RANK(BB337,$BB$8:$BB$507,1),"")</f>
        <v/>
      </c>
      <c r="BD337" s="100" t="str">
        <f aca="false">IF(ISBLANK($C337),"",$B337)</f>
        <v/>
      </c>
      <c r="BE337" s="100" t="str">
        <f aca="false">IF(ISBLANK($C337),"",$C337)</f>
        <v/>
      </c>
      <c r="BF337" s="100" t="str">
        <f aca="false">IF(ISBLANK($C337),"",$D337)</f>
        <v/>
      </c>
      <c r="BG337" s="101" t="str">
        <f aca="false">AU337</f>
        <v/>
      </c>
      <c r="BH337" s="102" t="str">
        <f aca="false">AT337</f>
        <v/>
      </c>
      <c r="BI337" s="100" t="str">
        <f aca="false">IF(ISBLANK($C337),"",AW337)</f>
        <v/>
      </c>
      <c r="BJ337" s="103" t="str">
        <f aca="false">IF($BA337&gt;$AZ$7,"",VLOOKUP($BA337,$BC$8:$BI$507,7,FALSE()))</f>
        <v/>
      </c>
      <c r="BK337" s="104" t="str">
        <f aca="false">IF($BA337&gt;$AZ$7,"",VLOOKUP($BA337,$BC$8:$BI$507,2,FALSE()))</f>
        <v/>
      </c>
      <c r="BL337" s="104" t="str">
        <f aca="false">IF($BA337&gt;$AZ$7,"",VLOOKUP($BA337,$BC$8:$BI$507,3,FALSE()))</f>
        <v/>
      </c>
      <c r="BM337" s="104" t="str">
        <f aca="false">IF($BA337&gt;$AZ$7,"",VLOOKUP($BA337,$BC$8:$BI$507,4,FALSE()))</f>
        <v/>
      </c>
      <c r="BN337" s="104" t="str">
        <f aca="false">IF($BA337&gt;$AZ$7,"",VLOOKUP($BA337,$BC$8:$BI$507,5,FALSE()))</f>
        <v/>
      </c>
      <c r="BO337" s="105" t="str">
        <f aca="false">IF($BA337&gt;$AZ$7,"",VLOOKUP($BA337,$BC$8:$BI$507,6,FALSE()))</f>
        <v/>
      </c>
      <c r="BP337" s="52"/>
    </row>
    <row r="338" customFormat="false" ht="15.75" hidden="false" customHeight="false" outlineLevel="0" collapsed="false">
      <c r="A338" s="5"/>
      <c r="B338" s="118"/>
      <c r="C338" s="54"/>
      <c r="D338" s="55"/>
      <c r="E338" s="79"/>
      <c r="F338" s="57"/>
      <c r="G338" s="58"/>
      <c r="H338" s="58"/>
      <c r="I338" s="57"/>
      <c r="J338" s="58"/>
      <c r="K338" s="58"/>
      <c r="L338" s="57"/>
      <c r="M338" s="79"/>
      <c r="N338" s="60"/>
      <c r="O338" s="62" t="str">
        <f aca="false">IF(ISBLANK($C338),"",IF(E338=Constants!$B$2, TRUE(), IF(E338=Constants!$B$3, FALSE(), TRUE())))</f>
        <v/>
      </c>
      <c r="P338" s="62" t="str">
        <f aca="false">IF(ISBLANK($C338),"",IF(F338=Constants!$B$16,Constants!$B$9,IF(F338=Constants!$B$17,Constants!$B$10,Constants!$B$8)))</f>
        <v/>
      </c>
      <c r="Q338" s="62" t="str">
        <f aca="false">IF(ISBLANK($C338),"",IF(ISNUMBER(G338),IF(G338&gt;=0,G338,""),""))</f>
        <v/>
      </c>
      <c r="R338" s="62" t="str">
        <f aca="false">IF(ISBLANK($C338),"",IF(H338=Constants!$B$2, TRUE(), IF(H338=Constants!$B$3, FALSE(), TRUE())))</f>
        <v/>
      </c>
      <c r="S338" s="62" t="str">
        <f aca="false">IF(ISBLANK($C338),"",IF(I338=Constants!$B$2, TRUE(), IF(I338=Constants!$B$3, FALSE(), TRUE())))</f>
        <v/>
      </c>
      <c r="T338" s="62" t="str">
        <f aca="false">IF(ISBLANK($C338),"",IF(ISNUMBER(J338),IF(J338&gt;=0,J338,""),""))</f>
        <v/>
      </c>
      <c r="U338" s="62" t="str">
        <f aca="false">IF(ISBLANK($C338),"",IF(K338=Constants!$B$2, TRUE(), IF(K338=Constants!$B$3, FALSE(), TRUE())))</f>
        <v/>
      </c>
      <c r="V338" s="62" t="str">
        <f aca="false">IF(ISBLANK($C338),"",IF(L338=Constants!$B$2, TRUE(), IF(L338=Constants!$B$3, FALSE(), TRUE())))</f>
        <v/>
      </c>
      <c r="W338" s="62" t="str">
        <f aca="false">IF(ISBLANK($C338),"",IF(M338=Constants!$B$2, TRUE(), IF(M338=Constants!$B$3, FALSE(), FALSE())))</f>
        <v/>
      </c>
      <c r="X338" s="62" t="str">
        <f aca="false">IF(ISBLANK($C338),"",AND(Q338&lt;&gt;"",O338))</f>
        <v/>
      </c>
      <c r="Y338" s="62" t="str">
        <f aca="false">IF(ISBLANK($C338),"",AND(T338&lt;&gt;"",O338))</f>
        <v/>
      </c>
      <c r="Z338" s="62" t="str">
        <f aca="false">IF(ISBLANK($C338),"",IF(W338,Constants!$B$4,IF(COUNTA(E338:L338)=0,Constants!$B$5,IF(NOT(O338),Constants!$B$6,IF(AND(NOT(X338),NOT(Y338)),Constants!$B$6,Constants!$B$7)))))</f>
        <v/>
      </c>
      <c r="AA338" s="62" t="str">
        <f aca="false">IF(ISBLANK($C338),"",IF($Z338&lt;&gt;Constants!$B$7,$Z338,Constants!$B$20))</f>
        <v/>
      </c>
      <c r="AB338" s="62" t="str">
        <f aca="false">IF($Z338=Constants!$B$7,IF(X338,Q338,Constants!$B$13),"")</f>
        <v/>
      </c>
      <c r="AC338" s="62" t="str">
        <f aca="false">IF($Z338=Constants!$B$7,IF(X338,P338*IF(R338, 1, Constants!$B$11)*IF(S338, 1, Constants!$B$12),Constants!$B$13),"")</f>
        <v/>
      </c>
      <c r="AD338" s="62" t="str">
        <f aca="false">IF($Z338=Constants!$B$7,AB338*AC338,"")</f>
        <v/>
      </c>
      <c r="AE338" s="62" t="str">
        <f aca="false">IF($Z338=Constants!$B$7,IF(Y338,T338,Constants!$B$13),"")</f>
        <v/>
      </c>
      <c r="AF338" s="62" t="str">
        <f aca="false">IF($Z338=Constants!$B$7,IF(Y338,P338*IF(U338, 1, Constants!$B$11)*IF(V338, 1, Constants!$B$12),Constants!$B$13),"")</f>
        <v/>
      </c>
      <c r="AG338" s="62" t="str">
        <f aca="false">IF($Z338=Constants!$B$7,AE338*AF338,"")</f>
        <v/>
      </c>
      <c r="AH338" s="62" t="str">
        <f aca="false">IF($Z338=Constants!$B$7,IF(AG338&gt;AD338,2,1),"")</f>
        <v/>
      </c>
      <c r="AI338" s="62" t="str">
        <f aca="false">IF($Z338=Constants!$B$7,IF(AH338=1,2,1),"")</f>
        <v/>
      </c>
      <c r="AJ338" s="62" t="str">
        <f aca="false">IF(ISBLANK($C338),"",IF($Z338&lt;&gt;Constants!$B$7,$Z338,IF(AH338=1,AD338,AG338)))</f>
        <v/>
      </c>
      <c r="AK338" s="62" t="str">
        <f aca="false">IF(ISBLANK($C338),"",IF($Z338=Constants!$B$7,IF(ISNUMBER(AJ338),RANK(AJ338,$AJ$8:$AJ$507),Constants!$B$14),$Z338))</f>
        <v/>
      </c>
      <c r="AL338" s="62" t="str">
        <f aca="false">IF(ISBLANK($C338),"",IF($Z338=Constants!$B$7,IF(AI338=1,AD338,AG338),""))</f>
        <v/>
      </c>
      <c r="AM338" s="62" t="str">
        <f aca="false">IF(ISBLANK($C338),"",IF($Z338=Constants!$B$7,RANK(AL338,$AL$8:$AL$507),$Z338))</f>
        <v/>
      </c>
      <c r="AN338" s="62" t="str">
        <f aca="false">IF(ISBLANK($C338),"",IF($Z338=Constants!$B$7,IF(ISNUMBER(AK338),COUNTIFS($AK$8:$AK$507,"&lt;"&amp;$AK338)+COUNTIFS($AK$8:$AK$507,$AK338,$AM$8:$AM$507,"&lt;"&amp;$AM338)+1,Constants!$B$14),$Z338))</f>
        <v/>
      </c>
      <c r="AO338" s="62" t="str">
        <f aca="false">IF(ISBLANK($C338),"",IF($Z338=Constants!$B$7,IF(ISNUMBER(AK338),AK338-AN338,Constants!$B$14),$Z338))</f>
        <v/>
      </c>
      <c r="AP338" s="64"/>
      <c r="AQ338" s="65" t="str">
        <f aca="false">IF(ISBLANK($C338),"",IF($Z338&lt;&gt;Constants!$B$7,"",AH338))</f>
        <v/>
      </c>
      <c r="AR338" s="80" t="str">
        <f aca="false">IF(ISBLANK($C338),"",IF($Z338&lt;&gt;Constants!$B$7,"",IF(AH338=1,AB338,AE338)))</f>
        <v/>
      </c>
      <c r="AS338" s="67" t="str">
        <f aca="false">IF(ISBLANK($C338),"",IF($Z338&lt;&gt;Constants!$B$7,"",IF(AH338=1,AC338,AF338)))</f>
        <v/>
      </c>
      <c r="AT338" s="68" t="str">
        <f aca="false">IF(ISBLANK($C338),"",IF($Z338&lt;&gt;Constants!$B$7,$Z338,AJ338))</f>
        <v/>
      </c>
      <c r="AU338" s="69" t="str">
        <f aca="false">IF(ISBLANK($C338),"",IF($Z338&lt;&gt;Constants!$B$7,$Z338,AA338))</f>
        <v/>
      </c>
      <c r="AV338" s="70" t="str">
        <f aca="false">IF(ISBLANK($C338),"",AO338)</f>
        <v/>
      </c>
      <c r="AW338" s="70" t="str">
        <f aca="false">IF(ISBLANK($C338),"",AN338)</f>
        <v/>
      </c>
      <c r="AX338" s="71" t="str">
        <f aca="false">IF(ISBLANK($C338),"",IFERROR(_xlfn.SWITCH(AW338,Constants!$B$4,COUNTA($C$8:$C$507)+2,Constants!$B$5,COUNTA($C$8:$C$507)+1,Constants!$B$6,COUNTA($C$8:$C$507)),AW338))</f>
        <v/>
      </c>
      <c r="AY338" s="5"/>
      <c r="AZ338" s="72" t="n">
        <f aca="false">IF(OR(ISNUMBER(AW338),AW338=Constants!$B$4,AW338=Constants!$B$6,AW338=Constants!$B$5),1,0)</f>
        <v>0</v>
      </c>
      <c r="BA338" s="72" t="n">
        <v>331</v>
      </c>
      <c r="BB338" s="72" t="str">
        <f aca="false">IF(ISBLANK($C338),"",IF(ISNUMBER(AX338),AX338+ROW($B338)/1000,""))</f>
        <v/>
      </c>
      <c r="BC338" s="72" t="str">
        <f aca="false">IF(ISNUMBER(BB338),RANK(BB338,$BB$8:$BB$507,1),"")</f>
        <v/>
      </c>
      <c r="BD338" s="72" t="str">
        <f aca="false">IF(ISBLANK($C338),"",$B338)</f>
        <v/>
      </c>
      <c r="BE338" s="72" t="str">
        <f aca="false">IF(ISBLANK($C338),"",$C338)</f>
        <v/>
      </c>
      <c r="BF338" s="72" t="str">
        <f aca="false">IF(ISBLANK($C338),"",$D338)</f>
        <v/>
      </c>
      <c r="BG338" s="73" t="str">
        <f aca="false">AU338</f>
        <v/>
      </c>
      <c r="BH338" s="74" t="str">
        <f aca="false">AT338</f>
        <v/>
      </c>
      <c r="BI338" s="72" t="str">
        <f aca="false">IF(ISBLANK($C338),"",AW338)</f>
        <v/>
      </c>
      <c r="BJ338" s="75" t="str">
        <f aca="false">IF($BA338&gt;$AZ$7,"",VLOOKUP($BA338,$BC$8:$BI$507,7,FALSE()))</f>
        <v/>
      </c>
      <c r="BK338" s="76" t="str">
        <f aca="false">IF($BA338&gt;$AZ$7,"",VLOOKUP($BA338,$BC$8:$BI$507,2,FALSE()))</f>
        <v/>
      </c>
      <c r="BL338" s="76" t="str">
        <f aca="false">IF($BA338&gt;$AZ$7,"",VLOOKUP($BA338,$BC$8:$BI$507,3,FALSE()))</f>
        <v/>
      </c>
      <c r="BM338" s="76" t="str">
        <f aca="false">IF($BA338&gt;$AZ$7,"",VLOOKUP($BA338,$BC$8:$BI$507,4,FALSE()))</f>
        <v/>
      </c>
      <c r="BN338" s="76" t="str">
        <f aca="false">IF($BA338&gt;$AZ$7,"",VLOOKUP($BA338,$BC$8:$BI$507,5,FALSE()))</f>
        <v/>
      </c>
      <c r="BO338" s="77" t="str">
        <f aca="false">IF($BA338&gt;$AZ$7,"",VLOOKUP($BA338,$BC$8:$BI$507,6,FALSE()))</f>
        <v/>
      </c>
      <c r="BP338" s="52"/>
    </row>
    <row r="339" customFormat="false" ht="15.75" hidden="false" customHeight="false" outlineLevel="0" collapsed="false">
      <c r="A339" s="5"/>
      <c r="B339" s="118"/>
      <c r="C339" s="54"/>
      <c r="D339" s="55"/>
      <c r="E339" s="79"/>
      <c r="F339" s="57"/>
      <c r="G339" s="58"/>
      <c r="H339" s="58"/>
      <c r="I339" s="57"/>
      <c r="J339" s="58"/>
      <c r="K339" s="58"/>
      <c r="L339" s="57"/>
      <c r="M339" s="79"/>
      <c r="N339" s="60"/>
      <c r="O339" s="62" t="str">
        <f aca="false">IF(ISBLANK($C339),"",IF(E339=Constants!$B$2, TRUE(), IF(E339=Constants!$B$3, FALSE(), TRUE())))</f>
        <v/>
      </c>
      <c r="P339" s="62" t="str">
        <f aca="false">IF(ISBLANK($C339),"",IF(F339=Constants!$B$16,Constants!$B$9,IF(F339=Constants!$B$17,Constants!$B$10,Constants!$B$8)))</f>
        <v/>
      </c>
      <c r="Q339" s="62" t="str">
        <f aca="false">IF(ISBLANK($C339),"",IF(ISNUMBER(G339),IF(G339&gt;=0,G339,""),""))</f>
        <v/>
      </c>
      <c r="R339" s="62" t="str">
        <f aca="false">IF(ISBLANK($C339),"",IF(H339=Constants!$B$2, TRUE(), IF(H339=Constants!$B$3, FALSE(), TRUE())))</f>
        <v/>
      </c>
      <c r="S339" s="62" t="str">
        <f aca="false">IF(ISBLANK($C339),"",IF(I339=Constants!$B$2, TRUE(), IF(I339=Constants!$B$3, FALSE(), TRUE())))</f>
        <v/>
      </c>
      <c r="T339" s="62" t="str">
        <f aca="false">IF(ISBLANK($C339),"",IF(ISNUMBER(J339),IF(J339&gt;=0,J339,""),""))</f>
        <v/>
      </c>
      <c r="U339" s="62" t="str">
        <f aca="false">IF(ISBLANK($C339),"",IF(K339=Constants!$B$2, TRUE(), IF(K339=Constants!$B$3, FALSE(), TRUE())))</f>
        <v/>
      </c>
      <c r="V339" s="62" t="str">
        <f aca="false">IF(ISBLANK($C339),"",IF(L339=Constants!$B$2, TRUE(), IF(L339=Constants!$B$3, FALSE(), TRUE())))</f>
        <v/>
      </c>
      <c r="W339" s="62" t="str">
        <f aca="false">IF(ISBLANK($C339),"",IF(M339=Constants!$B$2, TRUE(), IF(M339=Constants!$B$3, FALSE(), FALSE())))</f>
        <v/>
      </c>
      <c r="X339" s="62" t="str">
        <f aca="false">IF(ISBLANK($C339),"",AND(Q339&lt;&gt;"",O339))</f>
        <v/>
      </c>
      <c r="Y339" s="62" t="str">
        <f aca="false">IF(ISBLANK($C339),"",AND(T339&lt;&gt;"",O339))</f>
        <v/>
      </c>
      <c r="Z339" s="62" t="str">
        <f aca="false">IF(ISBLANK($C339),"",IF(W339,Constants!$B$4,IF(COUNTA(E339:L339)=0,Constants!$B$5,IF(NOT(O339),Constants!$B$6,IF(AND(NOT(X339),NOT(Y339)),Constants!$B$6,Constants!$B$7)))))</f>
        <v/>
      </c>
      <c r="AA339" s="62" t="str">
        <f aca="false">IF(ISBLANK($C339),"",IF($Z339&lt;&gt;Constants!$B$7,$Z339,Constants!$B$20))</f>
        <v/>
      </c>
      <c r="AB339" s="62" t="str">
        <f aca="false">IF($Z339=Constants!$B$7,IF(X339,Q339,Constants!$B$13),"")</f>
        <v/>
      </c>
      <c r="AC339" s="62" t="str">
        <f aca="false">IF($Z339=Constants!$B$7,IF(X339,P339*IF(R339, 1, Constants!$B$11)*IF(S339, 1, Constants!$B$12),Constants!$B$13),"")</f>
        <v/>
      </c>
      <c r="AD339" s="62" t="str">
        <f aca="false">IF($Z339=Constants!$B$7,AB339*AC339,"")</f>
        <v/>
      </c>
      <c r="AE339" s="62" t="str">
        <f aca="false">IF($Z339=Constants!$B$7,IF(Y339,T339,Constants!$B$13),"")</f>
        <v/>
      </c>
      <c r="AF339" s="62" t="str">
        <f aca="false">IF($Z339=Constants!$B$7,IF(Y339,P339*IF(U339, 1, Constants!$B$11)*IF(V339, 1, Constants!$B$12),Constants!$B$13),"")</f>
        <v/>
      </c>
      <c r="AG339" s="62" t="str">
        <f aca="false">IF($Z339=Constants!$B$7,AE339*AF339,"")</f>
        <v/>
      </c>
      <c r="AH339" s="62" t="str">
        <f aca="false">IF($Z339=Constants!$B$7,IF(AG339&gt;AD339,2,1),"")</f>
        <v/>
      </c>
      <c r="AI339" s="62" t="str">
        <f aca="false">IF($Z339=Constants!$B$7,IF(AH339=1,2,1),"")</f>
        <v/>
      </c>
      <c r="AJ339" s="62" t="str">
        <f aca="false">IF(ISBLANK($C339),"",IF($Z339&lt;&gt;Constants!$B$7,$Z339,IF(AH339=1,AD339,AG339)))</f>
        <v/>
      </c>
      <c r="AK339" s="62" t="str">
        <f aca="false">IF(ISBLANK($C339),"",IF($Z339=Constants!$B$7,IF(ISNUMBER(AJ339),RANK(AJ339,$AJ$8:$AJ$507),Constants!$B$14),$Z339))</f>
        <v/>
      </c>
      <c r="AL339" s="62" t="str">
        <f aca="false">IF(ISBLANK($C339),"",IF($Z339=Constants!$B$7,IF(AI339=1,AD339,AG339),""))</f>
        <v/>
      </c>
      <c r="AM339" s="62" t="str">
        <f aca="false">IF(ISBLANK($C339),"",IF($Z339=Constants!$B$7,RANK(AL339,$AL$8:$AL$507),$Z339))</f>
        <v/>
      </c>
      <c r="AN339" s="62" t="str">
        <f aca="false">IF(ISBLANK($C339),"",IF($Z339=Constants!$B$7,IF(ISNUMBER(AK339),COUNTIFS($AK$8:$AK$507,"&lt;"&amp;$AK339)+COUNTIFS($AK$8:$AK$507,$AK339,$AM$8:$AM$507,"&lt;"&amp;$AM339)+1,Constants!$B$14),$Z339))</f>
        <v/>
      </c>
      <c r="AO339" s="62" t="str">
        <f aca="false">IF(ISBLANK($C339),"",IF($Z339=Constants!$B$7,IF(ISNUMBER(AK339),AK339-AN339,Constants!$B$14),$Z339))</f>
        <v/>
      </c>
      <c r="AP339" s="64"/>
      <c r="AQ339" s="65" t="str">
        <f aca="false">IF(ISBLANK($C339),"",IF($Z339&lt;&gt;Constants!$B$7,"",AH339))</f>
        <v/>
      </c>
      <c r="AR339" s="80" t="str">
        <f aca="false">IF(ISBLANK($C339),"",IF($Z339&lt;&gt;Constants!$B$7,"",IF(AH339=1,AB339,AE339)))</f>
        <v/>
      </c>
      <c r="AS339" s="67" t="str">
        <f aca="false">IF(ISBLANK($C339),"",IF($Z339&lt;&gt;Constants!$B$7,"",IF(AH339=1,AC339,AF339)))</f>
        <v/>
      </c>
      <c r="AT339" s="68" t="str">
        <f aca="false">IF(ISBLANK($C339),"",IF($Z339&lt;&gt;Constants!$B$7,$Z339,AJ339))</f>
        <v/>
      </c>
      <c r="AU339" s="69" t="str">
        <f aca="false">IF(ISBLANK($C339),"",IF($Z339&lt;&gt;Constants!$B$7,$Z339,AA339))</f>
        <v/>
      </c>
      <c r="AV339" s="70" t="str">
        <f aca="false">IF(ISBLANK($C339),"",AO339)</f>
        <v/>
      </c>
      <c r="AW339" s="70" t="str">
        <f aca="false">IF(ISBLANK($C339),"",AN339)</f>
        <v/>
      </c>
      <c r="AX339" s="71" t="str">
        <f aca="false">IF(ISBLANK($C339),"",IFERROR(_xlfn.SWITCH(AW339,Constants!$B$4,COUNTA($C$8:$C$507)+2,Constants!$B$5,COUNTA($C$8:$C$507)+1,Constants!$B$6,COUNTA($C$8:$C$507)),AW339))</f>
        <v/>
      </c>
      <c r="AY339" s="5"/>
      <c r="AZ339" s="72" t="n">
        <f aca="false">IF(OR(ISNUMBER(AW339),AW339=Constants!$B$4,AW339=Constants!$B$6,AW339=Constants!$B$5),1,0)</f>
        <v>0</v>
      </c>
      <c r="BA339" s="72" t="n">
        <v>332</v>
      </c>
      <c r="BB339" s="72" t="str">
        <f aca="false">IF(ISBLANK($C339),"",IF(ISNUMBER(AX339),AX339+ROW($B339)/1000,""))</f>
        <v/>
      </c>
      <c r="BC339" s="72" t="str">
        <f aca="false">IF(ISNUMBER(BB339),RANK(BB339,$BB$8:$BB$507,1),"")</f>
        <v/>
      </c>
      <c r="BD339" s="72" t="str">
        <f aca="false">IF(ISBLANK($C339),"",$B339)</f>
        <v/>
      </c>
      <c r="BE339" s="72" t="str">
        <f aca="false">IF(ISBLANK($C339),"",$C339)</f>
        <v/>
      </c>
      <c r="BF339" s="72" t="str">
        <f aca="false">IF(ISBLANK($C339),"",$D339)</f>
        <v/>
      </c>
      <c r="BG339" s="73" t="str">
        <f aca="false">AU339</f>
        <v/>
      </c>
      <c r="BH339" s="74" t="str">
        <f aca="false">AT339</f>
        <v/>
      </c>
      <c r="BI339" s="72" t="str">
        <f aca="false">IF(ISBLANK($C339),"",AW339)</f>
        <v/>
      </c>
      <c r="BJ339" s="75" t="str">
        <f aca="false">IF($BA339&gt;$AZ$7,"",VLOOKUP($BA339,$BC$8:$BI$507,7,FALSE()))</f>
        <v/>
      </c>
      <c r="BK339" s="76" t="str">
        <f aca="false">IF($BA339&gt;$AZ$7,"",VLOOKUP($BA339,$BC$8:$BI$507,2,FALSE()))</f>
        <v/>
      </c>
      <c r="BL339" s="76" t="str">
        <f aca="false">IF($BA339&gt;$AZ$7,"",VLOOKUP($BA339,$BC$8:$BI$507,3,FALSE()))</f>
        <v/>
      </c>
      <c r="BM339" s="76" t="str">
        <f aca="false">IF($BA339&gt;$AZ$7,"",VLOOKUP($BA339,$BC$8:$BI$507,4,FALSE()))</f>
        <v/>
      </c>
      <c r="BN339" s="76" t="str">
        <f aca="false">IF($BA339&gt;$AZ$7,"",VLOOKUP($BA339,$BC$8:$BI$507,5,FALSE()))</f>
        <v/>
      </c>
      <c r="BO339" s="77" t="str">
        <f aca="false">IF($BA339&gt;$AZ$7,"",VLOOKUP($BA339,$BC$8:$BI$507,6,FALSE()))</f>
        <v/>
      </c>
      <c r="BP339" s="52"/>
    </row>
    <row r="340" customFormat="false" ht="15.75" hidden="false" customHeight="false" outlineLevel="0" collapsed="false">
      <c r="A340" s="5"/>
      <c r="B340" s="118"/>
      <c r="C340" s="54"/>
      <c r="D340" s="55"/>
      <c r="E340" s="79"/>
      <c r="F340" s="57"/>
      <c r="G340" s="58"/>
      <c r="H340" s="58"/>
      <c r="I340" s="57"/>
      <c r="J340" s="58"/>
      <c r="K340" s="58"/>
      <c r="L340" s="57"/>
      <c r="M340" s="79"/>
      <c r="N340" s="60"/>
      <c r="O340" s="62" t="str">
        <f aca="false">IF(ISBLANK($C340),"",IF(E340=Constants!$B$2, TRUE(), IF(E340=Constants!$B$3, FALSE(), TRUE())))</f>
        <v/>
      </c>
      <c r="P340" s="62" t="str">
        <f aca="false">IF(ISBLANK($C340),"",IF(F340=Constants!$B$16,Constants!$B$9,IF(F340=Constants!$B$17,Constants!$B$10,Constants!$B$8)))</f>
        <v/>
      </c>
      <c r="Q340" s="62" t="str">
        <f aca="false">IF(ISBLANK($C340),"",IF(ISNUMBER(G340),IF(G340&gt;=0,G340,""),""))</f>
        <v/>
      </c>
      <c r="R340" s="62" t="str">
        <f aca="false">IF(ISBLANK($C340),"",IF(H340=Constants!$B$2, TRUE(), IF(H340=Constants!$B$3, FALSE(), TRUE())))</f>
        <v/>
      </c>
      <c r="S340" s="62" t="str">
        <f aca="false">IF(ISBLANK($C340),"",IF(I340=Constants!$B$2, TRUE(), IF(I340=Constants!$B$3, FALSE(), TRUE())))</f>
        <v/>
      </c>
      <c r="T340" s="62" t="str">
        <f aca="false">IF(ISBLANK($C340),"",IF(ISNUMBER(J340),IF(J340&gt;=0,J340,""),""))</f>
        <v/>
      </c>
      <c r="U340" s="62" t="str">
        <f aca="false">IF(ISBLANK($C340),"",IF(K340=Constants!$B$2, TRUE(), IF(K340=Constants!$B$3, FALSE(), TRUE())))</f>
        <v/>
      </c>
      <c r="V340" s="62" t="str">
        <f aca="false">IF(ISBLANK($C340),"",IF(L340=Constants!$B$2, TRUE(), IF(L340=Constants!$B$3, FALSE(), TRUE())))</f>
        <v/>
      </c>
      <c r="W340" s="62" t="str">
        <f aca="false">IF(ISBLANK($C340),"",IF(M340=Constants!$B$2, TRUE(), IF(M340=Constants!$B$3, FALSE(), FALSE())))</f>
        <v/>
      </c>
      <c r="X340" s="62" t="str">
        <f aca="false">IF(ISBLANK($C340),"",AND(Q340&lt;&gt;"",O340))</f>
        <v/>
      </c>
      <c r="Y340" s="62" t="str">
        <f aca="false">IF(ISBLANK($C340),"",AND(T340&lt;&gt;"",O340))</f>
        <v/>
      </c>
      <c r="Z340" s="62" t="str">
        <f aca="false">IF(ISBLANK($C340),"",IF(W340,Constants!$B$4,IF(COUNTA(E340:L340)=0,Constants!$B$5,IF(NOT(O340),Constants!$B$6,IF(AND(NOT(X340),NOT(Y340)),Constants!$B$6,Constants!$B$7)))))</f>
        <v/>
      </c>
      <c r="AA340" s="62" t="str">
        <f aca="false">IF(ISBLANK($C340),"",IF($Z340&lt;&gt;Constants!$B$7,$Z340,Constants!$B$20))</f>
        <v/>
      </c>
      <c r="AB340" s="62" t="str">
        <f aca="false">IF($Z340=Constants!$B$7,IF(X340,Q340,Constants!$B$13),"")</f>
        <v/>
      </c>
      <c r="AC340" s="62" t="str">
        <f aca="false">IF($Z340=Constants!$B$7,IF(X340,P340*IF(R340, 1, Constants!$B$11)*IF(S340, 1, Constants!$B$12),Constants!$B$13),"")</f>
        <v/>
      </c>
      <c r="AD340" s="62" t="str">
        <f aca="false">IF($Z340=Constants!$B$7,AB340*AC340,"")</f>
        <v/>
      </c>
      <c r="AE340" s="62" t="str">
        <f aca="false">IF($Z340=Constants!$B$7,IF(Y340,T340,Constants!$B$13),"")</f>
        <v/>
      </c>
      <c r="AF340" s="62" t="str">
        <f aca="false">IF($Z340=Constants!$B$7,IF(Y340,P340*IF(U340, 1, Constants!$B$11)*IF(V340, 1, Constants!$B$12),Constants!$B$13),"")</f>
        <v/>
      </c>
      <c r="AG340" s="62" t="str">
        <f aca="false">IF($Z340=Constants!$B$7,AE340*AF340,"")</f>
        <v/>
      </c>
      <c r="AH340" s="62" t="str">
        <f aca="false">IF($Z340=Constants!$B$7,IF(AG340&gt;AD340,2,1),"")</f>
        <v/>
      </c>
      <c r="AI340" s="62" t="str">
        <f aca="false">IF($Z340=Constants!$B$7,IF(AH340=1,2,1),"")</f>
        <v/>
      </c>
      <c r="AJ340" s="62" t="str">
        <f aca="false">IF(ISBLANK($C340),"",IF($Z340&lt;&gt;Constants!$B$7,$Z340,IF(AH340=1,AD340,AG340)))</f>
        <v/>
      </c>
      <c r="AK340" s="62" t="str">
        <f aca="false">IF(ISBLANK($C340),"",IF($Z340=Constants!$B$7,IF(ISNUMBER(AJ340),RANK(AJ340,$AJ$8:$AJ$507),Constants!$B$14),$Z340))</f>
        <v/>
      </c>
      <c r="AL340" s="62" t="str">
        <f aca="false">IF(ISBLANK($C340),"",IF($Z340=Constants!$B$7,IF(AI340=1,AD340,AG340),""))</f>
        <v/>
      </c>
      <c r="AM340" s="62" t="str">
        <f aca="false">IF(ISBLANK($C340),"",IF($Z340=Constants!$B$7,RANK(AL340,$AL$8:$AL$507),$Z340))</f>
        <v/>
      </c>
      <c r="AN340" s="62" t="str">
        <f aca="false">IF(ISBLANK($C340),"",IF($Z340=Constants!$B$7,IF(ISNUMBER(AK340),COUNTIFS($AK$8:$AK$507,"&lt;"&amp;$AK340)+COUNTIFS($AK$8:$AK$507,$AK340,$AM$8:$AM$507,"&lt;"&amp;$AM340)+1,Constants!$B$14),$Z340))</f>
        <v/>
      </c>
      <c r="AO340" s="62" t="str">
        <f aca="false">IF(ISBLANK($C340),"",IF($Z340=Constants!$B$7,IF(ISNUMBER(AK340),AK340-AN340,Constants!$B$14),$Z340))</f>
        <v/>
      </c>
      <c r="AP340" s="64"/>
      <c r="AQ340" s="65" t="str">
        <f aca="false">IF(ISBLANK($C340),"",IF($Z340&lt;&gt;Constants!$B$7,"",AH340))</f>
        <v/>
      </c>
      <c r="AR340" s="80" t="str">
        <f aca="false">IF(ISBLANK($C340),"",IF($Z340&lt;&gt;Constants!$B$7,"",IF(AH340=1,AB340,AE340)))</f>
        <v/>
      </c>
      <c r="AS340" s="67" t="str">
        <f aca="false">IF(ISBLANK($C340),"",IF($Z340&lt;&gt;Constants!$B$7,"",IF(AH340=1,AC340,AF340)))</f>
        <v/>
      </c>
      <c r="AT340" s="68" t="str">
        <f aca="false">IF(ISBLANK($C340),"",IF($Z340&lt;&gt;Constants!$B$7,$Z340,AJ340))</f>
        <v/>
      </c>
      <c r="AU340" s="69" t="str">
        <f aca="false">IF(ISBLANK($C340),"",IF($Z340&lt;&gt;Constants!$B$7,$Z340,AA340))</f>
        <v/>
      </c>
      <c r="AV340" s="70" t="str">
        <f aca="false">IF(ISBLANK($C340),"",AO340)</f>
        <v/>
      </c>
      <c r="AW340" s="70" t="str">
        <f aca="false">IF(ISBLANK($C340),"",AN340)</f>
        <v/>
      </c>
      <c r="AX340" s="71" t="str">
        <f aca="false">IF(ISBLANK($C340),"",IFERROR(_xlfn.SWITCH(AW340,Constants!$B$4,COUNTA($C$8:$C$507)+2,Constants!$B$5,COUNTA($C$8:$C$507)+1,Constants!$B$6,COUNTA($C$8:$C$507)),AW340))</f>
        <v/>
      </c>
      <c r="AY340" s="5"/>
      <c r="AZ340" s="72" t="n">
        <f aca="false">IF(OR(ISNUMBER(AW340),AW340=Constants!$B$4,AW340=Constants!$B$6,AW340=Constants!$B$5),1,0)</f>
        <v>0</v>
      </c>
      <c r="BA340" s="72" t="n">
        <v>333</v>
      </c>
      <c r="BB340" s="72" t="str">
        <f aca="false">IF(ISBLANK($C340),"",IF(ISNUMBER(AX340),AX340+ROW($B340)/1000,""))</f>
        <v/>
      </c>
      <c r="BC340" s="72" t="str">
        <f aca="false">IF(ISNUMBER(BB340),RANK(BB340,$BB$8:$BB$507,1),"")</f>
        <v/>
      </c>
      <c r="BD340" s="72" t="str">
        <f aca="false">IF(ISBLANK($C340),"",$B340)</f>
        <v/>
      </c>
      <c r="BE340" s="72" t="str">
        <f aca="false">IF(ISBLANK($C340),"",$C340)</f>
        <v/>
      </c>
      <c r="BF340" s="72" t="str">
        <f aca="false">IF(ISBLANK($C340),"",$D340)</f>
        <v/>
      </c>
      <c r="BG340" s="73" t="str">
        <f aca="false">AU340</f>
        <v/>
      </c>
      <c r="BH340" s="74" t="str">
        <f aca="false">AT340</f>
        <v/>
      </c>
      <c r="BI340" s="72" t="str">
        <f aca="false">IF(ISBLANK($C340),"",AW340)</f>
        <v/>
      </c>
      <c r="BJ340" s="75" t="str">
        <f aca="false">IF($BA340&gt;$AZ$7,"",VLOOKUP($BA340,$BC$8:$BI$507,7,FALSE()))</f>
        <v/>
      </c>
      <c r="BK340" s="76" t="str">
        <f aca="false">IF($BA340&gt;$AZ$7,"",VLOOKUP($BA340,$BC$8:$BI$507,2,FALSE()))</f>
        <v/>
      </c>
      <c r="BL340" s="76" t="str">
        <f aca="false">IF($BA340&gt;$AZ$7,"",VLOOKUP($BA340,$BC$8:$BI$507,3,FALSE()))</f>
        <v/>
      </c>
      <c r="BM340" s="76" t="str">
        <f aca="false">IF($BA340&gt;$AZ$7,"",VLOOKUP($BA340,$BC$8:$BI$507,4,FALSE()))</f>
        <v/>
      </c>
      <c r="BN340" s="76" t="str">
        <f aca="false">IF($BA340&gt;$AZ$7,"",VLOOKUP($BA340,$BC$8:$BI$507,5,FALSE()))</f>
        <v/>
      </c>
      <c r="BO340" s="77" t="str">
        <f aca="false">IF($BA340&gt;$AZ$7,"",VLOOKUP($BA340,$BC$8:$BI$507,6,FALSE()))</f>
        <v/>
      </c>
      <c r="BP340" s="52"/>
    </row>
    <row r="341" customFormat="false" ht="15.75" hidden="false" customHeight="false" outlineLevel="0" collapsed="false">
      <c r="A341" s="5"/>
      <c r="B341" s="114"/>
      <c r="C341" s="115"/>
      <c r="D341" s="106"/>
      <c r="E341" s="117"/>
      <c r="F341" s="87"/>
      <c r="G341" s="88"/>
      <c r="H341" s="88"/>
      <c r="I341" s="87"/>
      <c r="J341" s="88"/>
      <c r="K341" s="88"/>
      <c r="L341" s="87"/>
      <c r="M341" s="117"/>
      <c r="N341" s="90"/>
      <c r="O341" s="91" t="str">
        <f aca="false">IF(ISBLANK($C341),"",IF(E341=Constants!$B$2, TRUE(), IF(E341=Constants!$B$3, FALSE(), TRUE())))</f>
        <v/>
      </c>
      <c r="P341" s="91" t="str">
        <f aca="false">IF(ISBLANK($C341),"",IF(F341=Constants!$B$16,Constants!$B$9,IF(F341=Constants!$B$17,Constants!$B$10,Constants!$B$8)))</f>
        <v/>
      </c>
      <c r="Q341" s="91" t="str">
        <f aca="false">IF(ISBLANK($C341),"",IF(ISNUMBER(G341),IF(G341&gt;=0,G341,""),""))</f>
        <v/>
      </c>
      <c r="R341" s="91" t="str">
        <f aca="false">IF(ISBLANK($C341),"",IF(H341=Constants!$B$2, TRUE(), IF(H341=Constants!$B$3, FALSE(), TRUE())))</f>
        <v/>
      </c>
      <c r="S341" s="91" t="str">
        <f aca="false">IF(ISBLANK($C341),"",IF(I341=Constants!$B$2, TRUE(), IF(I341=Constants!$B$3, FALSE(), TRUE())))</f>
        <v/>
      </c>
      <c r="T341" s="91" t="str">
        <f aca="false">IF(ISBLANK($C341),"",IF(ISNUMBER(J341),IF(J341&gt;=0,J341,""),""))</f>
        <v/>
      </c>
      <c r="U341" s="91" t="str">
        <f aca="false">IF(ISBLANK($C341),"",IF(K341=Constants!$B$2, TRUE(), IF(K341=Constants!$B$3, FALSE(), TRUE())))</f>
        <v/>
      </c>
      <c r="V341" s="91" t="str">
        <f aca="false">IF(ISBLANK($C341),"",IF(L341=Constants!$B$2, TRUE(), IF(L341=Constants!$B$3, FALSE(), TRUE())))</f>
        <v/>
      </c>
      <c r="W341" s="91" t="str">
        <f aca="false">IF(ISBLANK($C341),"",IF(M341=Constants!$B$2, TRUE(), IF(M341=Constants!$B$3, FALSE(), FALSE())))</f>
        <v/>
      </c>
      <c r="X341" s="91" t="str">
        <f aca="false">IF(ISBLANK($C341),"",AND(Q341&lt;&gt;"",O341))</f>
        <v/>
      </c>
      <c r="Y341" s="91" t="str">
        <f aca="false">IF(ISBLANK($C341),"",AND(T341&lt;&gt;"",O341))</f>
        <v/>
      </c>
      <c r="Z341" s="91" t="str">
        <f aca="false">IF(ISBLANK($C341),"",IF(W341,Constants!$B$4,IF(COUNTA(E341:L341)=0,Constants!$B$5,IF(NOT(O341),Constants!$B$6,IF(AND(NOT(X341),NOT(Y341)),Constants!$B$6,Constants!$B$7)))))</f>
        <v/>
      </c>
      <c r="AA341" s="91" t="str">
        <f aca="false">IF(ISBLANK($C341),"",IF($Z341&lt;&gt;Constants!$B$7,$Z341,Constants!$B$20))</f>
        <v/>
      </c>
      <c r="AB341" s="91" t="str">
        <f aca="false">IF($Z341=Constants!$B$7,IF(X341,Q341,Constants!$B$13),"")</f>
        <v/>
      </c>
      <c r="AC341" s="91" t="str">
        <f aca="false">IF($Z341=Constants!$B$7,IF(X341,P341*IF(R341, 1, Constants!$B$11)*IF(S341, 1, Constants!$B$12),Constants!$B$13),"")</f>
        <v/>
      </c>
      <c r="AD341" s="91" t="str">
        <f aca="false">IF($Z341=Constants!$B$7,AB341*AC341,"")</f>
        <v/>
      </c>
      <c r="AE341" s="91" t="str">
        <f aca="false">IF($Z341=Constants!$B$7,IF(Y341,T341,Constants!$B$13),"")</f>
        <v/>
      </c>
      <c r="AF341" s="91" t="str">
        <f aca="false">IF($Z341=Constants!$B$7,IF(Y341,P341*IF(U341, 1, Constants!$B$11)*IF(V341, 1, Constants!$B$12),Constants!$B$13),"")</f>
        <v/>
      </c>
      <c r="AG341" s="91" t="str">
        <f aca="false">IF($Z341=Constants!$B$7,AE341*AF341,"")</f>
        <v/>
      </c>
      <c r="AH341" s="91" t="str">
        <f aca="false">IF($Z341=Constants!$B$7,IF(AG341&gt;AD341,2,1),"")</f>
        <v/>
      </c>
      <c r="AI341" s="91" t="str">
        <f aca="false">IF($Z341=Constants!$B$7,IF(AH341=1,2,1),"")</f>
        <v/>
      </c>
      <c r="AJ341" s="91" t="str">
        <f aca="false">IF(ISBLANK($C341),"",IF($Z341&lt;&gt;Constants!$B$7,$Z341,IF(AH341=1,AD341,AG341)))</f>
        <v/>
      </c>
      <c r="AK341" s="91" t="str">
        <f aca="false">IF(ISBLANK($C341),"",IF($Z341=Constants!$B$7,IF(ISNUMBER(AJ341),RANK(AJ341,$AJ$8:$AJ$507),Constants!$B$14),$Z341))</f>
        <v/>
      </c>
      <c r="AL341" s="91" t="str">
        <f aca="false">IF(ISBLANK($C341),"",IF($Z341=Constants!$B$7,IF(AI341=1,AD341,AG341),""))</f>
        <v/>
      </c>
      <c r="AM341" s="91" t="str">
        <f aca="false">IF(ISBLANK($C341),"",IF($Z341=Constants!$B$7,RANK(AL341,$AL$8:$AL$507),$Z341))</f>
        <v/>
      </c>
      <c r="AN341" s="91" t="str">
        <f aca="false">IF(ISBLANK($C341),"",IF($Z341=Constants!$B$7,IF(ISNUMBER(AK341),COUNTIFS($AK$8:$AK$507,"&lt;"&amp;$AK341)+COUNTIFS($AK$8:$AK$507,$AK341,$AM$8:$AM$507,"&lt;"&amp;$AM341)+1,Constants!$B$14),$Z341))</f>
        <v/>
      </c>
      <c r="AO341" s="91" t="str">
        <f aca="false">IF(ISBLANK($C341),"",IF($Z341=Constants!$B$7,IF(ISNUMBER(AK341),AK341-AN341,Constants!$B$14),$Z341))</f>
        <v/>
      </c>
      <c r="AP341" s="92"/>
      <c r="AQ341" s="93" t="str">
        <f aca="false">IF(ISBLANK($C341),"",IF($Z341&lt;&gt;Constants!$B$7,"",AH341))</f>
        <v/>
      </c>
      <c r="AR341" s="94" t="str">
        <f aca="false">IF(ISBLANK($C341),"",IF($Z341&lt;&gt;Constants!$B$7,"",IF(AH341=1,AB341,AE341)))</f>
        <v/>
      </c>
      <c r="AS341" s="95" t="str">
        <f aca="false">IF(ISBLANK($C341),"",IF($Z341&lt;&gt;Constants!$B$7,"",IF(AH341=1,AC341,AF341)))</f>
        <v/>
      </c>
      <c r="AT341" s="96" t="str">
        <f aca="false">IF(ISBLANK($C341),"",IF($Z341&lt;&gt;Constants!$B$7,$Z341,AJ341))</f>
        <v/>
      </c>
      <c r="AU341" s="97" t="str">
        <f aca="false">IF(ISBLANK($C341),"",IF($Z341&lt;&gt;Constants!$B$7,$Z341,AA341))</f>
        <v/>
      </c>
      <c r="AV341" s="98" t="str">
        <f aca="false">IF(ISBLANK($C341),"",AO341)</f>
        <v/>
      </c>
      <c r="AW341" s="98" t="str">
        <f aca="false">IF(ISBLANK($C341),"",AN341)</f>
        <v/>
      </c>
      <c r="AX341" s="99" t="str">
        <f aca="false">IF(ISBLANK($C341),"",IFERROR(_xlfn.SWITCH(AW341,Constants!$B$4,COUNTA($C$8:$C$507)+2,Constants!$B$5,COUNTA($C$8:$C$507)+1,Constants!$B$6,COUNTA($C$8:$C$507)),AW341))</f>
        <v/>
      </c>
      <c r="AY341" s="5"/>
      <c r="AZ341" s="100" t="n">
        <f aca="false">IF(OR(ISNUMBER(AW341),AW341=Constants!$B$4,AW341=Constants!$B$6,AW341=Constants!$B$5),1,0)</f>
        <v>0</v>
      </c>
      <c r="BA341" s="100" t="n">
        <v>334</v>
      </c>
      <c r="BB341" s="100" t="str">
        <f aca="false">IF(ISBLANK($C341),"",IF(ISNUMBER(AX341),AX341+ROW($B341)/1000,""))</f>
        <v/>
      </c>
      <c r="BC341" s="100" t="str">
        <f aca="false">IF(ISNUMBER(BB341),RANK(BB341,$BB$8:$BB$507,1),"")</f>
        <v/>
      </c>
      <c r="BD341" s="100" t="str">
        <f aca="false">IF(ISBLANK($C341),"",$B341)</f>
        <v/>
      </c>
      <c r="BE341" s="100" t="str">
        <f aca="false">IF(ISBLANK($C341),"",$C341)</f>
        <v/>
      </c>
      <c r="BF341" s="100" t="str">
        <f aca="false">IF(ISBLANK($C341),"",$D341)</f>
        <v/>
      </c>
      <c r="BG341" s="101" t="str">
        <f aca="false">AU341</f>
        <v/>
      </c>
      <c r="BH341" s="102" t="str">
        <f aca="false">AT341</f>
        <v/>
      </c>
      <c r="BI341" s="100" t="str">
        <f aca="false">IF(ISBLANK($C341),"",AW341)</f>
        <v/>
      </c>
      <c r="BJ341" s="103" t="str">
        <f aca="false">IF($BA341&gt;$AZ$7,"",VLOOKUP($BA341,$BC$8:$BI$507,7,FALSE()))</f>
        <v/>
      </c>
      <c r="BK341" s="104" t="str">
        <f aca="false">IF($BA341&gt;$AZ$7,"",VLOOKUP($BA341,$BC$8:$BI$507,2,FALSE()))</f>
        <v/>
      </c>
      <c r="BL341" s="104" t="str">
        <f aca="false">IF($BA341&gt;$AZ$7,"",VLOOKUP($BA341,$BC$8:$BI$507,3,FALSE()))</f>
        <v/>
      </c>
      <c r="BM341" s="104" t="str">
        <f aca="false">IF($BA341&gt;$AZ$7,"",VLOOKUP($BA341,$BC$8:$BI$507,4,FALSE()))</f>
        <v/>
      </c>
      <c r="BN341" s="104" t="str">
        <f aca="false">IF($BA341&gt;$AZ$7,"",VLOOKUP($BA341,$BC$8:$BI$507,5,FALSE()))</f>
        <v/>
      </c>
      <c r="BO341" s="105" t="str">
        <f aca="false">IF($BA341&gt;$AZ$7,"",VLOOKUP($BA341,$BC$8:$BI$507,6,FALSE()))</f>
        <v/>
      </c>
      <c r="BP341" s="52"/>
    </row>
    <row r="342" customFormat="false" ht="15.75" hidden="false" customHeight="false" outlineLevel="0" collapsed="false">
      <c r="A342" s="5"/>
      <c r="B342" s="114"/>
      <c r="C342" s="115"/>
      <c r="D342" s="106"/>
      <c r="E342" s="117"/>
      <c r="F342" s="87"/>
      <c r="G342" s="88"/>
      <c r="H342" s="88"/>
      <c r="I342" s="87"/>
      <c r="J342" s="88"/>
      <c r="K342" s="88"/>
      <c r="L342" s="87"/>
      <c r="M342" s="117"/>
      <c r="N342" s="90"/>
      <c r="O342" s="91" t="str">
        <f aca="false">IF(ISBLANK($C342),"",IF(E342=Constants!$B$2, TRUE(), IF(E342=Constants!$B$3, FALSE(), TRUE())))</f>
        <v/>
      </c>
      <c r="P342" s="91" t="str">
        <f aca="false">IF(ISBLANK($C342),"",IF(F342=Constants!$B$16,Constants!$B$9,IF(F342=Constants!$B$17,Constants!$B$10,Constants!$B$8)))</f>
        <v/>
      </c>
      <c r="Q342" s="91" t="str">
        <f aca="false">IF(ISBLANK($C342),"",IF(ISNUMBER(G342),IF(G342&gt;=0,G342,""),""))</f>
        <v/>
      </c>
      <c r="R342" s="91" t="str">
        <f aca="false">IF(ISBLANK($C342),"",IF(H342=Constants!$B$2, TRUE(), IF(H342=Constants!$B$3, FALSE(), TRUE())))</f>
        <v/>
      </c>
      <c r="S342" s="91" t="str">
        <f aca="false">IF(ISBLANK($C342),"",IF(I342=Constants!$B$2, TRUE(), IF(I342=Constants!$B$3, FALSE(), TRUE())))</f>
        <v/>
      </c>
      <c r="T342" s="91" t="str">
        <f aca="false">IF(ISBLANK($C342),"",IF(ISNUMBER(J342),IF(J342&gt;=0,J342,""),""))</f>
        <v/>
      </c>
      <c r="U342" s="91" t="str">
        <f aca="false">IF(ISBLANK($C342),"",IF(K342=Constants!$B$2, TRUE(), IF(K342=Constants!$B$3, FALSE(), TRUE())))</f>
        <v/>
      </c>
      <c r="V342" s="91" t="str">
        <f aca="false">IF(ISBLANK($C342),"",IF(L342=Constants!$B$2, TRUE(), IF(L342=Constants!$B$3, FALSE(), TRUE())))</f>
        <v/>
      </c>
      <c r="W342" s="91" t="str">
        <f aca="false">IF(ISBLANK($C342),"",IF(M342=Constants!$B$2, TRUE(), IF(M342=Constants!$B$3, FALSE(), FALSE())))</f>
        <v/>
      </c>
      <c r="X342" s="91" t="str">
        <f aca="false">IF(ISBLANK($C342),"",AND(Q342&lt;&gt;"",O342))</f>
        <v/>
      </c>
      <c r="Y342" s="91" t="str">
        <f aca="false">IF(ISBLANK($C342),"",AND(T342&lt;&gt;"",O342))</f>
        <v/>
      </c>
      <c r="Z342" s="91" t="str">
        <f aca="false">IF(ISBLANK($C342),"",IF(W342,Constants!$B$4,IF(COUNTA(E342:L342)=0,Constants!$B$5,IF(NOT(O342),Constants!$B$6,IF(AND(NOT(X342),NOT(Y342)),Constants!$B$6,Constants!$B$7)))))</f>
        <v/>
      </c>
      <c r="AA342" s="91" t="str">
        <f aca="false">IF(ISBLANK($C342),"",IF($Z342&lt;&gt;Constants!$B$7,$Z342,Constants!$B$20))</f>
        <v/>
      </c>
      <c r="AB342" s="91" t="str">
        <f aca="false">IF($Z342=Constants!$B$7,IF(X342,Q342,Constants!$B$13),"")</f>
        <v/>
      </c>
      <c r="AC342" s="91" t="str">
        <f aca="false">IF($Z342=Constants!$B$7,IF(X342,P342*IF(R342, 1, Constants!$B$11)*IF(S342, 1, Constants!$B$12),Constants!$B$13),"")</f>
        <v/>
      </c>
      <c r="AD342" s="91" t="str">
        <f aca="false">IF($Z342=Constants!$B$7,AB342*AC342,"")</f>
        <v/>
      </c>
      <c r="AE342" s="91" t="str">
        <f aca="false">IF($Z342=Constants!$B$7,IF(Y342,T342,Constants!$B$13),"")</f>
        <v/>
      </c>
      <c r="AF342" s="91" t="str">
        <f aca="false">IF($Z342=Constants!$B$7,IF(Y342,P342*IF(U342, 1, Constants!$B$11)*IF(V342, 1, Constants!$B$12),Constants!$B$13),"")</f>
        <v/>
      </c>
      <c r="AG342" s="91" t="str">
        <f aca="false">IF($Z342=Constants!$B$7,AE342*AF342,"")</f>
        <v/>
      </c>
      <c r="AH342" s="91" t="str">
        <f aca="false">IF($Z342=Constants!$B$7,IF(AG342&gt;AD342,2,1),"")</f>
        <v/>
      </c>
      <c r="AI342" s="91" t="str">
        <f aca="false">IF($Z342=Constants!$B$7,IF(AH342=1,2,1),"")</f>
        <v/>
      </c>
      <c r="AJ342" s="91" t="str">
        <f aca="false">IF(ISBLANK($C342),"",IF($Z342&lt;&gt;Constants!$B$7,$Z342,IF(AH342=1,AD342,AG342)))</f>
        <v/>
      </c>
      <c r="AK342" s="91" t="str">
        <f aca="false">IF(ISBLANK($C342),"",IF($Z342=Constants!$B$7,IF(ISNUMBER(AJ342),RANK(AJ342,$AJ$8:$AJ$507),Constants!$B$14),$Z342))</f>
        <v/>
      </c>
      <c r="AL342" s="91" t="str">
        <f aca="false">IF(ISBLANK($C342),"",IF($Z342=Constants!$B$7,IF(AI342=1,AD342,AG342),""))</f>
        <v/>
      </c>
      <c r="AM342" s="91" t="str">
        <f aca="false">IF(ISBLANK($C342),"",IF($Z342=Constants!$B$7,RANK(AL342,$AL$8:$AL$507),$Z342))</f>
        <v/>
      </c>
      <c r="AN342" s="91" t="str">
        <f aca="false">IF(ISBLANK($C342),"",IF($Z342=Constants!$B$7,IF(ISNUMBER(AK342),COUNTIFS($AK$8:$AK$507,"&lt;"&amp;$AK342)+COUNTIFS($AK$8:$AK$507,$AK342,$AM$8:$AM$507,"&lt;"&amp;$AM342)+1,Constants!$B$14),$Z342))</f>
        <v/>
      </c>
      <c r="AO342" s="91" t="str">
        <f aca="false">IF(ISBLANK($C342),"",IF($Z342=Constants!$B$7,IF(ISNUMBER(AK342),AK342-AN342,Constants!$B$14),$Z342))</f>
        <v/>
      </c>
      <c r="AP342" s="92"/>
      <c r="AQ342" s="93" t="str">
        <f aca="false">IF(ISBLANK($C342),"",IF($Z342&lt;&gt;Constants!$B$7,"",AH342))</f>
        <v/>
      </c>
      <c r="AR342" s="94" t="str">
        <f aca="false">IF(ISBLANK($C342),"",IF($Z342&lt;&gt;Constants!$B$7,"",IF(AH342=1,AB342,AE342)))</f>
        <v/>
      </c>
      <c r="AS342" s="95" t="str">
        <f aca="false">IF(ISBLANK($C342),"",IF($Z342&lt;&gt;Constants!$B$7,"",IF(AH342=1,AC342,AF342)))</f>
        <v/>
      </c>
      <c r="AT342" s="96" t="str">
        <f aca="false">IF(ISBLANK($C342),"",IF($Z342&lt;&gt;Constants!$B$7,$Z342,AJ342))</f>
        <v/>
      </c>
      <c r="AU342" s="97" t="str">
        <f aca="false">IF(ISBLANK($C342),"",IF($Z342&lt;&gt;Constants!$B$7,$Z342,AA342))</f>
        <v/>
      </c>
      <c r="AV342" s="98" t="str">
        <f aca="false">IF(ISBLANK($C342),"",AO342)</f>
        <v/>
      </c>
      <c r="AW342" s="98" t="str">
        <f aca="false">IF(ISBLANK($C342),"",AN342)</f>
        <v/>
      </c>
      <c r="AX342" s="99" t="str">
        <f aca="false">IF(ISBLANK($C342),"",IFERROR(_xlfn.SWITCH(AW342,Constants!$B$4,COUNTA($C$8:$C$507)+2,Constants!$B$5,COUNTA($C$8:$C$507)+1,Constants!$B$6,COUNTA($C$8:$C$507)),AW342))</f>
        <v/>
      </c>
      <c r="AY342" s="5"/>
      <c r="AZ342" s="100" t="n">
        <f aca="false">IF(OR(ISNUMBER(AW342),AW342=Constants!$B$4,AW342=Constants!$B$6,AW342=Constants!$B$5),1,0)</f>
        <v>0</v>
      </c>
      <c r="BA342" s="100" t="n">
        <v>335</v>
      </c>
      <c r="BB342" s="100" t="str">
        <f aca="false">IF(ISBLANK($C342),"",IF(ISNUMBER(AX342),AX342+ROW($B342)/1000,""))</f>
        <v/>
      </c>
      <c r="BC342" s="100" t="str">
        <f aca="false">IF(ISNUMBER(BB342),RANK(BB342,$BB$8:$BB$507,1),"")</f>
        <v/>
      </c>
      <c r="BD342" s="100" t="str">
        <f aca="false">IF(ISBLANK($C342),"",$B342)</f>
        <v/>
      </c>
      <c r="BE342" s="100" t="str">
        <f aca="false">IF(ISBLANK($C342),"",$C342)</f>
        <v/>
      </c>
      <c r="BF342" s="100" t="str">
        <f aca="false">IF(ISBLANK($C342),"",$D342)</f>
        <v/>
      </c>
      <c r="BG342" s="101" t="str">
        <f aca="false">AU342</f>
        <v/>
      </c>
      <c r="BH342" s="102" t="str">
        <f aca="false">AT342</f>
        <v/>
      </c>
      <c r="BI342" s="100" t="str">
        <f aca="false">IF(ISBLANK($C342),"",AW342)</f>
        <v/>
      </c>
      <c r="BJ342" s="103" t="str">
        <f aca="false">IF($BA342&gt;$AZ$7,"",VLOOKUP($BA342,$BC$8:$BI$507,7,FALSE()))</f>
        <v/>
      </c>
      <c r="BK342" s="104" t="str">
        <f aca="false">IF($BA342&gt;$AZ$7,"",VLOOKUP($BA342,$BC$8:$BI$507,2,FALSE()))</f>
        <v/>
      </c>
      <c r="BL342" s="104" t="str">
        <f aca="false">IF($BA342&gt;$AZ$7,"",VLOOKUP($BA342,$BC$8:$BI$507,3,FALSE()))</f>
        <v/>
      </c>
      <c r="BM342" s="104" t="str">
        <f aca="false">IF($BA342&gt;$AZ$7,"",VLOOKUP($BA342,$BC$8:$BI$507,4,FALSE()))</f>
        <v/>
      </c>
      <c r="BN342" s="104" t="str">
        <f aca="false">IF($BA342&gt;$AZ$7,"",VLOOKUP($BA342,$BC$8:$BI$507,5,FALSE()))</f>
        <v/>
      </c>
      <c r="BO342" s="105" t="str">
        <f aca="false">IF($BA342&gt;$AZ$7,"",VLOOKUP($BA342,$BC$8:$BI$507,6,FALSE()))</f>
        <v/>
      </c>
      <c r="BP342" s="52"/>
    </row>
    <row r="343" customFormat="false" ht="15.75" hidden="false" customHeight="false" outlineLevel="0" collapsed="false">
      <c r="A343" s="5"/>
      <c r="B343" s="114"/>
      <c r="C343" s="115"/>
      <c r="D343" s="106"/>
      <c r="E343" s="117"/>
      <c r="F343" s="87"/>
      <c r="G343" s="88"/>
      <c r="H343" s="88"/>
      <c r="I343" s="87"/>
      <c r="J343" s="88"/>
      <c r="K343" s="88"/>
      <c r="L343" s="87"/>
      <c r="M343" s="117"/>
      <c r="N343" s="90"/>
      <c r="O343" s="91" t="str">
        <f aca="false">IF(ISBLANK($C343),"",IF(E343=Constants!$B$2, TRUE(), IF(E343=Constants!$B$3, FALSE(), TRUE())))</f>
        <v/>
      </c>
      <c r="P343" s="91" t="str">
        <f aca="false">IF(ISBLANK($C343),"",IF(F343=Constants!$B$16,Constants!$B$9,IF(F343=Constants!$B$17,Constants!$B$10,Constants!$B$8)))</f>
        <v/>
      </c>
      <c r="Q343" s="91" t="str">
        <f aca="false">IF(ISBLANK($C343),"",IF(ISNUMBER(G343),IF(G343&gt;=0,G343,""),""))</f>
        <v/>
      </c>
      <c r="R343" s="91" t="str">
        <f aca="false">IF(ISBLANK($C343),"",IF(H343=Constants!$B$2, TRUE(), IF(H343=Constants!$B$3, FALSE(), TRUE())))</f>
        <v/>
      </c>
      <c r="S343" s="91" t="str">
        <f aca="false">IF(ISBLANK($C343),"",IF(I343=Constants!$B$2, TRUE(), IF(I343=Constants!$B$3, FALSE(), TRUE())))</f>
        <v/>
      </c>
      <c r="T343" s="91" t="str">
        <f aca="false">IF(ISBLANK($C343),"",IF(ISNUMBER(J343),IF(J343&gt;=0,J343,""),""))</f>
        <v/>
      </c>
      <c r="U343" s="91" t="str">
        <f aca="false">IF(ISBLANK($C343),"",IF(K343=Constants!$B$2, TRUE(), IF(K343=Constants!$B$3, FALSE(), TRUE())))</f>
        <v/>
      </c>
      <c r="V343" s="91" t="str">
        <f aca="false">IF(ISBLANK($C343),"",IF(L343=Constants!$B$2, TRUE(), IF(L343=Constants!$B$3, FALSE(), TRUE())))</f>
        <v/>
      </c>
      <c r="W343" s="91" t="str">
        <f aca="false">IF(ISBLANK($C343),"",IF(M343=Constants!$B$2, TRUE(), IF(M343=Constants!$B$3, FALSE(), FALSE())))</f>
        <v/>
      </c>
      <c r="X343" s="91" t="str">
        <f aca="false">IF(ISBLANK($C343),"",AND(Q343&lt;&gt;"",O343))</f>
        <v/>
      </c>
      <c r="Y343" s="91" t="str">
        <f aca="false">IF(ISBLANK($C343),"",AND(T343&lt;&gt;"",O343))</f>
        <v/>
      </c>
      <c r="Z343" s="91" t="str">
        <f aca="false">IF(ISBLANK($C343),"",IF(W343,Constants!$B$4,IF(COUNTA(E343:L343)=0,Constants!$B$5,IF(NOT(O343),Constants!$B$6,IF(AND(NOT(X343),NOT(Y343)),Constants!$B$6,Constants!$B$7)))))</f>
        <v/>
      </c>
      <c r="AA343" s="91" t="str">
        <f aca="false">IF(ISBLANK($C343),"",IF($Z343&lt;&gt;Constants!$B$7,$Z343,Constants!$B$20))</f>
        <v/>
      </c>
      <c r="AB343" s="91" t="str">
        <f aca="false">IF($Z343=Constants!$B$7,IF(X343,Q343,Constants!$B$13),"")</f>
        <v/>
      </c>
      <c r="AC343" s="91" t="str">
        <f aca="false">IF($Z343=Constants!$B$7,IF(X343,P343*IF(R343, 1, Constants!$B$11)*IF(S343, 1, Constants!$B$12),Constants!$B$13),"")</f>
        <v/>
      </c>
      <c r="AD343" s="91" t="str">
        <f aca="false">IF($Z343=Constants!$B$7,AB343*AC343,"")</f>
        <v/>
      </c>
      <c r="AE343" s="91" t="str">
        <f aca="false">IF($Z343=Constants!$B$7,IF(Y343,T343,Constants!$B$13),"")</f>
        <v/>
      </c>
      <c r="AF343" s="91" t="str">
        <f aca="false">IF($Z343=Constants!$B$7,IF(Y343,P343*IF(U343, 1, Constants!$B$11)*IF(V343, 1, Constants!$B$12),Constants!$B$13),"")</f>
        <v/>
      </c>
      <c r="AG343" s="91" t="str">
        <f aca="false">IF($Z343=Constants!$B$7,AE343*AF343,"")</f>
        <v/>
      </c>
      <c r="AH343" s="91" t="str">
        <f aca="false">IF($Z343=Constants!$B$7,IF(AG343&gt;AD343,2,1),"")</f>
        <v/>
      </c>
      <c r="AI343" s="91" t="str">
        <f aca="false">IF($Z343=Constants!$B$7,IF(AH343=1,2,1),"")</f>
        <v/>
      </c>
      <c r="AJ343" s="91" t="str">
        <f aca="false">IF(ISBLANK($C343),"",IF($Z343&lt;&gt;Constants!$B$7,$Z343,IF(AH343=1,AD343,AG343)))</f>
        <v/>
      </c>
      <c r="AK343" s="91" t="str">
        <f aca="false">IF(ISBLANK($C343),"",IF($Z343=Constants!$B$7,IF(ISNUMBER(AJ343),RANK(AJ343,$AJ$8:$AJ$507),Constants!$B$14),$Z343))</f>
        <v/>
      </c>
      <c r="AL343" s="91" t="str">
        <f aca="false">IF(ISBLANK($C343),"",IF($Z343=Constants!$B$7,IF(AI343=1,AD343,AG343),""))</f>
        <v/>
      </c>
      <c r="AM343" s="91" t="str">
        <f aca="false">IF(ISBLANK($C343),"",IF($Z343=Constants!$B$7,RANK(AL343,$AL$8:$AL$507),$Z343))</f>
        <v/>
      </c>
      <c r="AN343" s="91" t="str">
        <f aca="false">IF(ISBLANK($C343),"",IF($Z343=Constants!$B$7,IF(ISNUMBER(AK343),COUNTIFS($AK$8:$AK$507,"&lt;"&amp;$AK343)+COUNTIFS($AK$8:$AK$507,$AK343,$AM$8:$AM$507,"&lt;"&amp;$AM343)+1,Constants!$B$14),$Z343))</f>
        <v/>
      </c>
      <c r="AO343" s="91" t="str">
        <f aca="false">IF(ISBLANK($C343),"",IF($Z343=Constants!$B$7,IF(ISNUMBER(AK343),AK343-AN343,Constants!$B$14),$Z343))</f>
        <v/>
      </c>
      <c r="AP343" s="92"/>
      <c r="AQ343" s="93" t="str">
        <f aca="false">IF(ISBLANK($C343),"",IF($Z343&lt;&gt;Constants!$B$7,"",AH343))</f>
        <v/>
      </c>
      <c r="AR343" s="94" t="str">
        <f aca="false">IF(ISBLANK($C343),"",IF($Z343&lt;&gt;Constants!$B$7,"",IF(AH343=1,AB343,AE343)))</f>
        <v/>
      </c>
      <c r="AS343" s="95" t="str">
        <f aca="false">IF(ISBLANK($C343),"",IF($Z343&lt;&gt;Constants!$B$7,"",IF(AH343=1,AC343,AF343)))</f>
        <v/>
      </c>
      <c r="AT343" s="96" t="str">
        <f aca="false">IF(ISBLANK($C343),"",IF($Z343&lt;&gt;Constants!$B$7,$Z343,AJ343))</f>
        <v/>
      </c>
      <c r="AU343" s="97" t="str">
        <f aca="false">IF(ISBLANK($C343),"",IF($Z343&lt;&gt;Constants!$B$7,$Z343,AA343))</f>
        <v/>
      </c>
      <c r="AV343" s="98" t="str">
        <f aca="false">IF(ISBLANK($C343),"",AO343)</f>
        <v/>
      </c>
      <c r="AW343" s="98" t="str">
        <f aca="false">IF(ISBLANK($C343),"",AN343)</f>
        <v/>
      </c>
      <c r="AX343" s="99" t="str">
        <f aca="false">IF(ISBLANK($C343),"",IFERROR(_xlfn.SWITCH(AW343,Constants!$B$4,COUNTA($C$8:$C$507)+2,Constants!$B$5,COUNTA($C$8:$C$507)+1,Constants!$B$6,COUNTA($C$8:$C$507)),AW343))</f>
        <v/>
      </c>
      <c r="AY343" s="5"/>
      <c r="AZ343" s="100" t="n">
        <f aca="false">IF(OR(ISNUMBER(AW343),AW343=Constants!$B$4,AW343=Constants!$B$6,AW343=Constants!$B$5),1,0)</f>
        <v>0</v>
      </c>
      <c r="BA343" s="100" t="n">
        <v>336</v>
      </c>
      <c r="BB343" s="100" t="str">
        <f aca="false">IF(ISBLANK($C343),"",IF(ISNUMBER(AX343),AX343+ROW($B343)/1000,""))</f>
        <v/>
      </c>
      <c r="BC343" s="100" t="str">
        <f aca="false">IF(ISNUMBER(BB343),RANK(BB343,$BB$8:$BB$507,1),"")</f>
        <v/>
      </c>
      <c r="BD343" s="100" t="str">
        <f aca="false">IF(ISBLANK($C343),"",$B343)</f>
        <v/>
      </c>
      <c r="BE343" s="100" t="str">
        <f aca="false">IF(ISBLANK($C343),"",$C343)</f>
        <v/>
      </c>
      <c r="BF343" s="100" t="str">
        <f aca="false">IF(ISBLANK($C343),"",$D343)</f>
        <v/>
      </c>
      <c r="BG343" s="101" t="str">
        <f aca="false">AU343</f>
        <v/>
      </c>
      <c r="BH343" s="102" t="str">
        <f aca="false">AT343</f>
        <v/>
      </c>
      <c r="BI343" s="100" t="str">
        <f aca="false">IF(ISBLANK($C343),"",AW343)</f>
        <v/>
      </c>
      <c r="BJ343" s="103" t="str">
        <f aca="false">IF($BA343&gt;$AZ$7,"",VLOOKUP($BA343,$BC$8:$BI$507,7,FALSE()))</f>
        <v/>
      </c>
      <c r="BK343" s="104" t="str">
        <f aca="false">IF($BA343&gt;$AZ$7,"",VLOOKUP($BA343,$BC$8:$BI$507,2,FALSE()))</f>
        <v/>
      </c>
      <c r="BL343" s="104" t="str">
        <f aca="false">IF($BA343&gt;$AZ$7,"",VLOOKUP($BA343,$BC$8:$BI$507,3,FALSE()))</f>
        <v/>
      </c>
      <c r="BM343" s="104" t="str">
        <f aca="false">IF($BA343&gt;$AZ$7,"",VLOOKUP($BA343,$BC$8:$BI$507,4,FALSE()))</f>
        <v/>
      </c>
      <c r="BN343" s="104" t="str">
        <f aca="false">IF($BA343&gt;$AZ$7,"",VLOOKUP($BA343,$BC$8:$BI$507,5,FALSE()))</f>
        <v/>
      </c>
      <c r="BO343" s="105" t="str">
        <f aca="false">IF($BA343&gt;$AZ$7,"",VLOOKUP($BA343,$BC$8:$BI$507,6,FALSE()))</f>
        <v/>
      </c>
      <c r="BP343" s="52"/>
    </row>
    <row r="344" customFormat="false" ht="15.75" hidden="false" customHeight="false" outlineLevel="0" collapsed="false">
      <c r="A344" s="5"/>
      <c r="B344" s="118"/>
      <c r="C344" s="54"/>
      <c r="D344" s="55"/>
      <c r="E344" s="79"/>
      <c r="F344" s="57"/>
      <c r="G344" s="58"/>
      <c r="H344" s="58"/>
      <c r="I344" s="57"/>
      <c r="J344" s="58"/>
      <c r="K344" s="58"/>
      <c r="L344" s="57"/>
      <c r="M344" s="79"/>
      <c r="N344" s="60"/>
      <c r="O344" s="62" t="str">
        <f aca="false">IF(ISBLANK($C344),"",IF(E344=Constants!$B$2, TRUE(), IF(E344=Constants!$B$3, FALSE(), TRUE())))</f>
        <v/>
      </c>
      <c r="P344" s="62" t="str">
        <f aca="false">IF(ISBLANK($C344),"",IF(F344=Constants!$B$16,Constants!$B$9,IF(F344=Constants!$B$17,Constants!$B$10,Constants!$B$8)))</f>
        <v/>
      </c>
      <c r="Q344" s="62" t="str">
        <f aca="false">IF(ISBLANK($C344),"",IF(ISNUMBER(G344),IF(G344&gt;=0,G344,""),""))</f>
        <v/>
      </c>
      <c r="R344" s="62" t="str">
        <f aca="false">IF(ISBLANK($C344),"",IF(H344=Constants!$B$2, TRUE(), IF(H344=Constants!$B$3, FALSE(), TRUE())))</f>
        <v/>
      </c>
      <c r="S344" s="62" t="str">
        <f aca="false">IF(ISBLANK($C344),"",IF(I344=Constants!$B$2, TRUE(), IF(I344=Constants!$B$3, FALSE(), TRUE())))</f>
        <v/>
      </c>
      <c r="T344" s="62" t="str">
        <f aca="false">IF(ISBLANK($C344),"",IF(ISNUMBER(J344),IF(J344&gt;=0,J344,""),""))</f>
        <v/>
      </c>
      <c r="U344" s="62" t="str">
        <f aca="false">IF(ISBLANK($C344),"",IF(K344=Constants!$B$2, TRUE(), IF(K344=Constants!$B$3, FALSE(), TRUE())))</f>
        <v/>
      </c>
      <c r="V344" s="62" t="str">
        <f aca="false">IF(ISBLANK($C344),"",IF(L344=Constants!$B$2, TRUE(), IF(L344=Constants!$B$3, FALSE(), TRUE())))</f>
        <v/>
      </c>
      <c r="W344" s="62" t="str">
        <f aca="false">IF(ISBLANK($C344),"",IF(M344=Constants!$B$2, TRUE(), IF(M344=Constants!$B$3, FALSE(), FALSE())))</f>
        <v/>
      </c>
      <c r="X344" s="62" t="str">
        <f aca="false">IF(ISBLANK($C344),"",AND(Q344&lt;&gt;"",O344))</f>
        <v/>
      </c>
      <c r="Y344" s="62" t="str">
        <f aca="false">IF(ISBLANK($C344),"",AND(T344&lt;&gt;"",O344))</f>
        <v/>
      </c>
      <c r="Z344" s="62" t="str">
        <f aca="false">IF(ISBLANK($C344),"",IF(W344,Constants!$B$4,IF(COUNTA(E344:L344)=0,Constants!$B$5,IF(NOT(O344),Constants!$B$6,IF(AND(NOT(X344),NOT(Y344)),Constants!$B$6,Constants!$B$7)))))</f>
        <v/>
      </c>
      <c r="AA344" s="62" t="str">
        <f aca="false">IF(ISBLANK($C344),"",IF($Z344&lt;&gt;Constants!$B$7,$Z344,Constants!$B$20))</f>
        <v/>
      </c>
      <c r="AB344" s="62" t="str">
        <f aca="false">IF($Z344=Constants!$B$7,IF(X344,Q344,Constants!$B$13),"")</f>
        <v/>
      </c>
      <c r="AC344" s="62" t="str">
        <f aca="false">IF($Z344=Constants!$B$7,IF(X344,P344*IF(R344, 1, Constants!$B$11)*IF(S344, 1, Constants!$B$12),Constants!$B$13),"")</f>
        <v/>
      </c>
      <c r="AD344" s="62" t="str">
        <f aca="false">IF($Z344=Constants!$B$7,AB344*AC344,"")</f>
        <v/>
      </c>
      <c r="AE344" s="62" t="str">
        <f aca="false">IF($Z344=Constants!$B$7,IF(Y344,T344,Constants!$B$13),"")</f>
        <v/>
      </c>
      <c r="AF344" s="62" t="str">
        <f aca="false">IF($Z344=Constants!$B$7,IF(Y344,P344*IF(U344, 1, Constants!$B$11)*IF(V344, 1, Constants!$B$12),Constants!$B$13),"")</f>
        <v/>
      </c>
      <c r="AG344" s="62" t="str">
        <f aca="false">IF($Z344=Constants!$B$7,AE344*AF344,"")</f>
        <v/>
      </c>
      <c r="AH344" s="62" t="str">
        <f aca="false">IF($Z344=Constants!$B$7,IF(AG344&gt;AD344,2,1),"")</f>
        <v/>
      </c>
      <c r="AI344" s="62" t="str">
        <f aca="false">IF($Z344=Constants!$B$7,IF(AH344=1,2,1),"")</f>
        <v/>
      </c>
      <c r="AJ344" s="62" t="str">
        <f aca="false">IF(ISBLANK($C344),"",IF($Z344&lt;&gt;Constants!$B$7,$Z344,IF(AH344=1,AD344,AG344)))</f>
        <v/>
      </c>
      <c r="AK344" s="62" t="str">
        <f aca="false">IF(ISBLANK($C344),"",IF($Z344=Constants!$B$7,IF(ISNUMBER(AJ344),RANK(AJ344,$AJ$8:$AJ$507),Constants!$B$14),$Z344))</f>
        <v/>
      </c>
      <c r="AL344" s="62" t="str">
        <f aca="false">IF(ISBLANK($C344),"",IF($Z344=Constants!$B$7,IF(AI344=1,AD344,AG344),""))</f>
        <v/>
      </c>
      <c r="AM344" s="62" t="str">
        <f aca="false">IF(ISBLANK($C344),"",IF($Z344=Constants!$B$7,RANK(AL344,$AL$8:$AL$507),$Z344))</f>
        <v/>
      </c>
      <c r="AN344" s="62" t="str">
        <f aca="false">IF(ISBLANK($C344),"",IF($Z344=Constants!$B$7,IF(ISNUMBER(AK344),COUNTIFS($AK$8:$AK$507,"&lt;"&amp;$AK344)+COUNTIFS($AK$8:$AK$507,$AK344,$AM$8:$AM$507,"&lt;"&amp;$AM344)+1,Constants!$B$14),$Z344))</f>
        <v/>
      </c>
      <c r="AO344" s="62" t="str">
        <f aca="false">IF(ISBLANK($C344),"",IF($Z344=Constants!$B$7,IF(ISNUMBER(AK344),AK344-AN344,Constants!$B$14),$Z344))</f>
        <v/>
      </c>
      <c r="AP344" s="64"/>
      <c r="AQ344" s="65" t="str">
        <f aca="false">IF(ISBLANK($C344),"",IF($Z344&lt;&gt;Constants!$B$7,"",AH344))</f>
        <v/>
      </c>
      <c r="AR344" s="80" t="str">
        <f aca="false">IF(ISBLANK($C344),"",IF($Z344&lt;&gt;Constants!$B$7,"",IF(AH344=1,AB344,AE344)))</f>
        <v/>
      </c>
      <c r="AS344" s="67" t="str">
        <f aca="false">IF(ISBLANK($C344),"",IF($Z344&lt;&gt;Constants!$B$7,"",IF(AH344=1,AC344,AF344)))</f>
        <v/>
      </c>
      <c r="AT344" s="68" t="str">
        <f aca="false">IF(ISBLANK($C344),"",IF($Z344&lt;&gt;Constants!$B$7,$Z344,AJ344))</f>
        <v/>
      </c>
      <c r="AU344" s="69" t="str">
        <f aca="false">IF(ISBLANK($C344),"",IF($Z344&lt;&gt;Constants!$B$7,$Z344,AA344))</f>
        <v/>
      </c>
      <c r="AV344" s="70" t="str">
        <f aca="false">IF(ISBLANK($C344),"",AO344)</f>
        <v/>
      </c>
      <c r="AW344" s="70" t="str">
        <f aca="false">IF(ISBLANK($C344),"",AN344)</f>
        <v/>
      </c>
      <c r="AX344" s="71" t="str">
        <f aca="false">IF(ISBLANK($C344),"",IFERROR(_xlfn.SWITCH(AW344,Constants!$B$4,COUNTA($C$8:$C$507)+2,Constants!$B$5,COUNTA($C$8:$C$507)+1,Constants!$B$6,COUNTA($C$8:$C$507)),AW344))</f>
        <v/>
      </c>
      <c r="AY344" s="5"/>
      <c r="AZ344" s="72" t="n">
        <f aca="false">IF(OR(ISNUMBER(AW344),AW344=Constants!$B$4,AW344=Constants!$B$6,AW344=Constants!$B$5),1,0)</f>
        <v>0</v>
      </c>
      <c r="BA344" s="72" t="n">
        <v>337</v>
      </c>
      <c r="BB344" s="72" t="str">
        <f aca="false">IF(ISBLANK($C344),"",IF(ISNUMBER(AX344),AX344+ROW($B344)/1000,""))</f>
        <v/>
      </c>
      <c r="BC344" s="72" t="str">
        <f aca="false">IF(ISNUMBER(BB344),RANK(BB344,$BB$8:$BB$507,1),"")</f>
        <v/>
      </c>
      <c r="BD344" s="72" t="str">
        <f aca="false">IF(ISBLANK($C344),"",$B344)</f>
        <v/>
      </c>
      <c r="BE344" s="72" t="str">
        <f aca="false">IF(ISBLANK($C344),"",$C344)</f>
        <v/>
      </c>
      <c r="BF344" s="72" t="str">
        <f aca="false">IF(ISBLANK($C344),"",$D344)</f>
        <v/>
      </c>
      <c r="BG344" s="73" t="str">
        <f aca="false">AU344</f>
        <v/>
      </c>
      <c r="BH344" s="74" t="str">
        <f aca="false">AT344</f>
        <v/>
      </c>
      <c r="BI344" s="72" t="str">
        <f aca="false">IF(ISBLANK($C344),"",AW344)</f>
        <v/>
      </c>
      <c r="BJ344" s="75" t="str">
        <f aca="false">IF($BA344&gt;$AZ$7,"",VLOOKUP($BA344,$BC$8:$BI$507,7,FALSE()))</f>
        <v/>
      </c>
      <c r="BK344" s="76" t="str">
        <f aca="false">IF($BA344&gt;$AZ$7,"",VLOOKUP($BA344,$BC$8:$BI$507,2,FALSE()))</f>
        <v/>
      </c>
      <c r="BL344" s="76" t="str">
        <f aca="false">IF($BA344&gt;$AZ$7,"",VLOOKUP($BA344,$BC$8:$BI$507,3,FALSE()))</f>
        <v/>
      </c>
      <c r="BM344" s="76" t="str">
        <f aca="false">IF($BA344&gt;$AZ$7,"",VLOOKUP($BA344,$BC$8:$BI$507,4,FALSE()))</f>
        <v/>
      </c>
      <c r="BN344" s="76" t="str">
        <f aca="false">IF($BA344&gt;$AZ$7,"",VLOOKUP($BA344,$BC$8:$BI$507,5,FALSE()))</f>
        <v/>
      </c>
      <c r="BO344" s="77" t="str">
        <f aca="false">IF($BA344&gt;$AZ$7,"",VLOOKUP($BA344,$BC$8:$BI$507,6,FALSE()))</f>
        <v/>
      </c>
      <c r="BP344" s="52"/>
    </row>
    <row r="345" customFormat="false" ht="15.75" hidden="false" customHeight="false" outlineLevel="0" collapsed="false">
      <c r="A345" s="5"/>
      <c r="B345" s="118"/>
      <c r="C345" s="54"/>
      <c r="D345" s="55"/>
      <c r="E345" s="79"/>
      <c r="F345" s="57"/>
      <c r="G345" s="58"/>
      <c r="H345" s="58"/>
      <c r="I345" s="57"/>
      <c r="J345" s="58"/>
      <c r="K345" s="58"/>
      <c r="L345" s="57"/>
      <c r="M345" s="79"/>
      <c r="N345" s="60"/>
      <c r="O345" s="62" t="str">
        <f aca="false">IF(ISBLANK($C345),"",IF(E345=Constants!$B$2, TRUE(), IF(E345=Constants!$B$3, FALSE(), TRUE())))</f>
        <v/>
      </c>
      <c r="P345" s="62" t="str">
        <f aca="false">IF(ISBLANK($C345),"",IF(F345=Constants!$B$16,Constants!$B$9,IF(F345=Constants!$B$17,Constants!$B$10,Constants!$B$8)))</f>
        <v/>
      </c>
      <c r="Q345" s="62" t="str">
        <f aca="false">IF(ISBLANK($C345),"",IF(ISNUMBER(G345),IF(G345&gt;=0,G345,""),""))</f>
        <v/>
      </c>
      <c r="R345" s="62" t="str">
        <f aca="false">IF(ISBLANK($C345),"",IF(H345=Constants!$B$2, TRUE(), IF(H345=Constants!$B$3, FALSE(), TRUE())))</f>
        <v/>
      </c>
      <c r="S345" s="62" t="str">
        <f aca="false">IF(ISBLANK($C345),"",IF(I345=Constants!$B$2, TRUE(), IF(I345=Constants!$B$3, FALSE(), TRUE())))</f>
        <v/>
      </c>
      <c r="T345" s="62" t="str">
        <f aca="false">IF(ISBLANK($C345),"",IF(ISNUMBER(J345),IF(J345&gt;=0,J345,""),""))</f>
        <v/>
      </c>
      <c r="U345" s="62" t="str">
        <f aca="false">IF(ISBLANK($C345),"",IF(K345=Constants!$B$2, TRUE(), IF(K345=Constants!$B$3, FALSE(), TRUE())))</f>
        <v/>
      </c>
      <c r="V345" s="62" t="str">
        <f aca="false">IF(ISBLANK($C345),"",IF(L345=Constants!$B$2, TRUE(), IF(L345=Constants!$B$3, FALSE(), TRUE())))</f>
        <v/>
      </c>
      <c r="W345" s="62" t="str">
        <f aca="false">IF(ISBLANK($C345),"",IF(M345=Constants!$B$2, TRUE(), IF(M345=Constants!$B$3, FALSE(), FALSE())))</f>
        <v/>
      </c>
      <c r="X345" s="62" t="str">
        <f aca="false">IF(ISBLANK($C345),"",AND(Q345&lt;&gt;"",O345))</f>
        <v/>
      </c>
      <c r="Y345" s="62" t="str">
        <f aca="false">IF(ISBLANK($C345),"",AND(T345&lt;&gt;"",O345))</f>
        <v/>
      </c>
      <c r="Z345" s="62" t="str">
        <f aca="false">IF(ISBLANK($C345),"",IF(W345,Constants!$B$4,IF(COUNTA(E345:L345)=0,Constants!$B$5,IF(NOT(O345),Constants!$B$6,IF(AND(NOT(X345),NOT(Y345)),Constants!$B$6,Constants!$B$7)))))</f>
        <v/>
      </c>
      <c r="AA345" s="62" t="str">
        <f aca="false">IF(ISBLANK($C345),"",IF($Z345&lt;&gt;Constants!$B$7,$Z345,Constants!$B$20))</f>
        <v/>
      </c>
      <c r="AB345" s="62" t="str">
        <f aca="false">IF($Z345=Constants!$B$7,IF(X345,Q345,Constants!$B$13),"")</f>
        <v/>
      </c>
      <c r="AC345" s="62" t="str">
        <f aca="false">IF($Z345=Constants!$B$7,IF(X345,P345*IF(R345, 1, Constants!$B$11)*IF(S345, 1, Constants!$B$12),Constants!$B$13),"")</f>
        <v/>
      </c>
      <c r="AD345" s="62" t="str">
        <f aca="false">IF($Z345=Constants!$B$7,AB345*AC345,"")</f>
        <v/>
      </c>
      <c r="AE345" s="62" t="str">
        <f aca="false">IF($Z345=Constants!$B$7,IF(Y345,T345,Constants!$B$13),"")</f>
        <v/>
      </c>
      <c r="AF345" s="62" t="str">
        <f aca="false">IF($Z345=Constants!$B$7,IF(Y345,P345*IF(U345, 1, Constants!$B$11)*IF(V345, 1, Constants!$B$12),Constants!$B$13),"")</f>
        <v/>
      </c>
      <c r="AG345" s="62" t="str">
        <f aca="false">IF($Z345=Constants!$B$7,AE345*AF345,"")</f>
        <v/>
      </c>
      <c r="AH345" s="62" t="str">
        <f aca="false">IF($Z345=Constants!$B$7,IF(AG345&gt;AD345,2,1),"")</f>
        <v/>
      </c>
      <c r="AI345" s="62" t="str">
        <f aca="false">IF($Z345=Constants!$B$7,IF(AH345=1,2,1),"")</f>
        <v/>
      </c>
      <c r="AJ345" s="62" t="str">
        <f aca="false">IF(ISBLANK($C345),"",IF($Z345&lt;&gt;Constants!$B$7,$Z345,IF(AH345=1,AD345,AG345)))</f>
        <v/>
      </c>
      <c r="AK345" s="62" t="str">
        <f aca="false">IF(ISBLANK($C345),"",IF($Z345=Constants!$B$7,IF(ISNUMBER(AJ345),RANK(AJ345,$AJ$8:$AJ$507),Constants!$B$14),$Z345))</f>
        <v/>
      </c>
      <c r="AL345" s="62" t="str">
        <f aca="false">IF(ISBLANK($C345),"",IF($Z345=Constants!$B$7,IF(AI345=1,AD345,AG345),""))</f>
        <v/>
      </c>
      <c r="AM345" s="62" t="str">
        <f aca="false">IF(ISBLANK($C345),"",IF($Z345=Constants!$B$7,RANK(AL345,$AL$8:$AL$507),$Z345))</f>
        <v/>
      </c>
      <c r="AN345" s="62" t="str">
        <f aca="false">IF(ISBLANK($C345),"",IF($Z345=Constants!$B$7,IF(ISNUMBER(AK345),COUNTIFS($AK$8:$AK$507,"&lt;"&amp;$AK345)+COUNTIFS($AK$8:$AK$507,$AK345,$AM$8:$AM$507,"&lt;"&amp;$AM345)+1,Constants!$B$14),$Z345))</f>
        <v/>
      </c>
      <c r="AO345" s="62" t="str">
        <f aca="false">IF(ISBLANK($C345),"",IF($Z345=Constants!$B$7,IF(ISNUMBER(AK345),AK345-AN345,Constants!$B$14),$Z345))</f>
        <v/>
      </c>
      <c r="AP345" s="64"/>
      <c r="AQ345" s="65" t="str">
        <f aca="false">IF(ISBLANK($C345),"",IF($Z345&lt;&gt;Constants!$B$7,"",AH345))</f>
        <v/>
      </c>
      <c r="AR345" s="80" t="str">
        <f aca="false">IF(ISBLANK($C345),"",IF($Z345&lt;&gt;Constants!$B$7,"",IF(AH345=1,AB345,AE345)))</f>
        <v/>
      </c>
      <c r="AS345" s="67" t="str">
        <f aca="false">IF(ISBLANK($C345),"",IF($Z345&lt;&gt;Constants!$B$7,"",IF(AH345=1,AC345,AF345)))</f>
        <v/>
      </c>
      <c r="AT345" s="68" t="str">
        <f aca="false">IF(ISBLANK($C345),"",IF($Z345&lt;&gt;Constants!$B$7,$Z345,AJ345))</f>
        <v/>
      </c>
      <c r="AU345" s="69" t="str">
        <f aca="false">IF(ISBLANK($C345),"",IF($Z345&lt;&gt;Constants!$B$7,$Z345,AA345))</f>
        <v/>
      </c>
      <c r="AV345" s="70" t="str">
        <f aca="false">IF(ISBLANK($C345),"",AO345)</f>
        <v/>
      </c>
      <c r="AW345" s="70" t="str">
        <f aca="false">IF(ISBLANK($C345),"",AN345)</f>
        <v/>
      </c>
      <c r="AX345" s="71" t="str">
        <f aca="false">IF(ISBLANK($C345),"",IFERROR(_xlfn.SWITCH(AW345,Constants!$B$4,COUNTA($C$8:$C$507)+2,Constants!$B$5,COUNTA($C$8:$C$507)+1,Constants!$B$6,COUNTA($C$8:$C$507)),AW345))</f>
        <v/>
      </c>
      <c r="AY345" s="5"/>
      <c r="AZ345" s="72" t="n">
        <f aca="false">IF(OR(ISNUMBER(AW345),AW345=Constants!$B$4,AW345=Constants!$B$6,AW345=Constants!$B$5),1,0)</f>
        <v>0</v>
      </c>
      <c r="BA345" s="72" t="n">
        <v>338</v>
      </c>
      <c r="BB345" s="72" t="str">
        <f aca="false">IF(ISBLANK($C345),"",IF(ISNUMBER(AX345),AX345+ROW($B345)/1000,""))</f>
        <v/>
      </c>
      <c r="BC345" s="72" t="str">
        <f aca="false">IF(ISNUMBER(BB345),RANK(BB345,$BB$8:$BB$507,1),"")</f>
        <v/>
      </c>
      <c r="BD345" s="72" t="str">
        <f aca="false">IF(ISBLANK($C345),"",$B345)</f>
        <v/>
      </c>
      <c r="BE345" s="72" t="str">
        <f aca="false">IF(ISBLANK($C345),"",$C345)</f>
        <v/>
      </c>
      <c r="BF345" s="72" t="str">
        <f aca="false">IF(ISBLANK($C345),"",$D345)</f>
        <v/>
      </c>
      <c r="BG345" s="73" t="str">
        <f aca="false">AU345</f>
        <v/>
      </c>
      <c r="BH345" s="74" t="str">
        <f aca="false">AT345</f>
        <v/>
      </c>
      <c r="BI345" s="72" t="str">
        <f aca="false">IF(ISBLANK($C345),"",AW345)</f>
        <v/>
      </c>
      <c r="BJ345" s="75" t="str">
        <f aca="false">IF($BA345&gt;$AZ$7,"",VLOOKUP($BA345,$BC$8:$BI$507,7,FALSE()))</f>
        <v/>
      </c>
      <c r="BK345" s="76" t="str">
        <f aca="false">IF($BA345&gt;$AZ$7,"",VLOOKUP($BA345,$BC$8:$BI$507,2,FALSE()))</f>
        <v/>
      </c>
      <c r="BL345" s="76" t="str">
        <f aca="false">IF($BA345&gt;$AZ$7,"",VLOOKUP($BA345,$BC$8:$BI$507,3,FALSE()))</f>
        <v/>
      </c>
      <c r="BM345" s="76" t="str">
        <f aca="false">IF($BA345&gt;$AZ$7,"",VLOOKUP($BA345,$BC$8:$BI$507,4,FALSE()))</f>
        <v/>
      </c>
      <c r="BN345" s="76" t="str">
        <f aca="false">IF($BA345&gt;$AZ$7,"",VLOOKUP($BA345,$BC$8:$BI$507,5,FALSE()))</f>
        <v/>
      </c>
      <c r="BO345" s="77" t="str">
        <f aca="false">IF($BA345&gt;$AZ$7,"",VLOOKUP($BA345,$BC$8:$BI$507,6,FALSE()))</f>
        <v/>
      </c>
      <c r="BP345" s="52"/>
    </row>
    <row r="346" customFormat="false" ht="15.75" hidden="false" customHeight="false" outlineLevel="0" collapsed="false">
      <c r="A346" s="5"/>
      <c r="B346" s="118"/>
      <c r="C346" s="54"/>
      <c r="D346" s="55"/>
      <c r="E346" s="79"/>
      <c r="F346" s="57"/>
      <c r="G346" s="58"/>
      <c r="H346" s="58"/>
      <c r="I346" s="57"/>
      <c r="J346" s="58"/>
      <c r="K346" s="58"/>
      <c r="L346" s="57"/>
      <c r="M346" s="79"/>
      <c r="N346" s="60"/>
      <c r="O346" s="62" t="str">
        <f aca="false">IF(ISBLANK($C346),"",IF(E346=Constants!$B$2, TRUE(), IF(E346=Constants!$B$3, FALSE(), TRUE())))</f>
        <v/>
      </c>
      <c r="P346" s="62" t="str">
        <f aca="false">IF(ISBLANK($C346),"",IF(F346=Constants!$B$16,Constants!$B$9,IF(F346=Constants!$B$17,Constants!$B$10,Constants!$B$8)))</f>
        <v/>
      </c>
      <c r="Q346" s="62" t="str">
        <f aca="false">IF(ISBLANK($C346),"",IF(ISNUMBER(G346),IF(G346&gt;=0,G346,""),""))</f>
        <v/>
      </c>
      <c r="R346" s="62" t="str">
        <f aca="false">IF(ISBLANK($C346),"",IF(H346=Constants!$B$2, TRUE(), IF(H346=Constants!$B$3, FALSE(), TRUE())))</f>
        <v/>
      </c>
      <c r="S346" s="62" t="str">
        <f aca="false">IF(ISBLANK($C346),"",IF(I346=Constants!$B$2, TRUE(), IF(I346=Constants!$B$3, FALSE(), TRUE())))</f>
        <v/>
      </c>
      <c r="T346" s="62" t="str">
        <f aca="false">IF(ISBLANK($C346),"",IF(ISNUMBER(J346),IF(J346&gt;=0,J346,""),""))</f>
        <v/>
      </c>
      <c r="U346" s="62" t="str">
        <f aca="false">IF(ISBLANK($C346),"",IF(K346=Constants!$B$2, TRUE(), IF(K346=Constants!$B$3, FALSE(), TRUE())))</f>
        <v/>
      </c>
      <c r="V346" s="62" t="str">
        <f aca="false">IF(ISBLANK($C346),"",IF(L346=Constants!$B$2, TRUE(), IF(L346=Constants!$B$3, FALSE(), TRUE())))</f>
        <v/>
      </c>
      <c r="W346" s="62" t="str">
        <f aca="false">IF(ISBLANK($C346),"",IF(M346=Constants!$B$2, TRUE(), IF(M346=Constants!$B$3, FALSE(), FALSE())))</f>
        <v/>
      </c>
      <c r="X346" s="62" t="str">
        <f aca="false">IF(ISBLANK($C346),"",AND(Q346&lt;&gt;"",O346))</f>
        <v/>
      </c>
      <c r="Y346" s="62" t="str">
        <f aca="false">IF(ISBLANK($C346),"",AND(T346&lt;&gt;"",O346))</f>
        <v/>
      </c>
      <c r="Z346" s="62" t="str">
        <f aca="false">IF(ISBLANK($C346),"",IF(W346,Constants!$B$4,IF(COUNTA(E346:L346)=0,Constants!$B$5,IF(NOT(O346),Constants!$B$6,IF(AND(NOT(X346),NOT(Y346)),Constants!$B$6,Constants!$B$7)))))</f>
        <v/>
      </c>
      <c r="AA346" s="62" t="str">
        <f aca="false">IF(ISBLANK($C346),"",IF($Z346&lt;&gt;Constants!$B$7,$Z346,Constants!$B$20))</f>
        <v/>
      </c>
      <c r="AB346" s="62" t="str">
        <f aca="false">IF($Z346=Constants!$B$7,IF(X346,Q346,Constants!$B$13),"")</f>
        <v/>
      </c>
      <c r="AC346" s="62" t="str">
        <f aca="false">IF($Z346=Constants!$B$7,IF(X346,P346*IF(R346, 1, Constants!$B$11)*IF(S346, 1, Constants!$B$12),Constants!$B$13),"")</f>
        <v/>
      </c>
      <c r="AD346" s="62" t="str">
        <f aca="false">IF($Z346=Constants!$B$7,AB346*AC346,"")</f>
        <v/>
      </c>
      <c r="AE346" s="62" t="str">
        <f aca="false">IF($Z346=Constants!$B$7,IF(Y346,T346,Constants!$B$13),"")</f>
        <v/>
      </c>
      <c r="AF346" s="62" t="str">
        <f aca="false">IF($Z346=Constants!$B$7,IF(Y346,P346*IF(U346, 1, Constants!$B$11)*IF(V346, 1, Constants!$B$12),Constants!$B$13),"")</f>
        <v/>
      </c>
      <c r="AG346" s="62" t="str">
        <f aca="false">IF($Z346=Constants!$B$7,AE346*AF346,"")</f>
        <v/>
      </c>
      <c r="AH346" s="62" t="str">
        <f aca="false">IF($Z346=Constants!$B$7,IF(AG346&gt;AD346,2,1),"")</f>
        <v/>
      </c>
      <c r="AI346" s="62" t="str">
        <f aca="false">IF($Z346=Constants!$B$7,IF(AH346=1,2,1),"")</f>
        <v/>
      </c>
      <c r="AJ346" s="62" t="str">
        <f aca="false">IF(ISBLANK($C346),"",IF($Z346&lt;&gt;Constants!$B$7,$Z346,IF(AH346=1,AD346,AG346)))</f>
        <v/>
      </c>
      <c r="AK346" s="62" t="str">
        <f aca="false">IF(ISBLANK($C346),"",IF($Z346=Constants!$B$7,IF(ISNUMBER(AJ346),RANK(AJ346,$AJ$8:$AJ$507),Constants!$B$14),$Z346))</f>
        <v/>
      </c>
      <c r="AL346" s="62" t="str">
        <f aca="false">IF(ISBLANK($C346),"",IF($Z346=Constants!$B$7,IF(AI346=1,AD346,AG346),""))</f>
        <v/>
      </c>
      <c r="AM346" s="62" t="str">
        <f aca="false">IF(ISBLANK($C346),"",IF($Z346=Constants!$B$7,RANK(AL346,$AL$8:$AL$507),$Z346))</f>
        <v/>
      </c>
      <c r="AN346" s="62" t="str">
        <f aca="false">IF(ISBLANK($C346),"",IF($Z346=Constants!$B$7,IF(ISNUMBER(AK346),COUNTIFS($AK$8:$AK$507,"&lt;"&amp;$AK346)+COUNTIFS($AK$8:$AK$507,$AK346,$AM$8:$AM$507,"&lt;"&amp;$AM346)+1,Constants!$B$14),$Z346))</f>
        <v/>
      </c>
      <c r="AO346" s="62" t="str">
        <f aca="false">IF(ISBLANK($C346),"",IF($Z346=Constants!$B$7,IF(ISNUMBER(AK346),AK346-AN346,Constants!$B$14),$Z346))</f>
        <v/>
      </c>
      <c r="AP346" s="64"/>
      <c r="AQ346" s="65" t="str">
        <f aca="false">IF(ISBLANK($C346),"",IF($Z346&lt;&gt;Constants!$B$7,"",AH346))</f>
        <v/>
      </c>
      <c r="AR346" s="80" t="str">
        <f aca="false">IF(ISBLANK($C346),"",IF($Z346&lt;&gt;Constants!$B$7,"",IF(AH346=1,AB346,AE346)))</f>
        <v/>
      </c>
      <c r="AS346" s="67" t="str">
        <f aca="false">IF(ISBLANK($C346),"",IF($Z346&lt;&gt;Constants!$B$7,"",IF(AH346=1,AC346,AF346)))</f>
        <v/>
      </c>
      <c r="AT346" s="68" t="str">
        <f aca="false">IF(ISBLANK($C346),"",IF($Z346&lt;&gt;Constants!$B$7,$Z346,AJ346))</f>
        <v/>
      </c>
      <c r="AU346" s="69" t="str">
        <f aca="false">IF(ISBLANK($C346),"",IF($Z346&lt;&gt;Constants!$B$7,$Z346,AA346))</f>
        <v/>
      </c>
      <c r="AV346" s="70" t="str">
        <f aca="false">IF(ISBLANK($C346),"",AO346)</f>
        <v/>
      </c>
      <c r="AW346" s="70" t="str">
        <f aca="false">IF(ISBLANK($C346),"",AN346)</f>
        <v/>
      </c>
      <c r="AX346" s="71" t="str">
        <f aca="false">IF(ISBLANK($C346),"",IFERROR(_xlfn.SWITCH(AW346,Constants!$B$4,COUNTA($C$8:$C$507)+2,Constants!$B$5,COUNTA($C$8:$C$507)+1,Constants!$B$6,COUNTA($C$8:$C$507)),AW346))</f>
        <v/>
      </c>
      <c r="AY346" s="5"/>
      <c r="AZ346" s="72" t="n">
        <f aca="false">IF(OR(ISNUMBER(AW346),AW346=Constants!$B$4,AW346=Constants!$B$6,AW346=Constants!$B$5),1,0)</f>
        <v>0</v>
      </c>
      <c r="BA346" s="72" t="n">
        <v>339</v>
      </c>
      <c r="BB346" s="72" t="str">
        <f aca="false">IF(ISBLANK($C346),"",IF(ISNUMBER(AX346),AX346+ROW($B346)/1000,""))</f>
        <v/>
      </c>
      <c r="BC346" s="72" t="str">
        <f aca="false">IF(ISNUMBER(BB346),RANK(BB346,$BB$8:$BB$507,1),"")</f>
        <v/>
      </c>
      <c r="BD346" s="72" t="str">
        <f aca="false">IF(ISBLANK($C346),"",$B346)</f>
        <v/>
      </c>
      <c r="BE346" s="72" t="str">
        <f aca="false">IF(ISBLANK($C346),"",$C346)</f>
        <v/>
      </c>
      <c r="BF346" s="72" t="str">
        <f aca="false">IF(ISBLANK($C346),"",$D346)</f>
        <v/>
      </c>
      <c r="BG346" s="73" t="str">
        <f aca="false">AU346</f>
        <v/>
      </c>
      <c r="BH346" s="74" t="str">
        <f aca="false">AT346</f>
        <v/>
      </c>
      <c r="BI346" s="72" t="str">
        <f aca="false">IF(ISBLANK($C346),"",AW346)</f>
        <v/>
      </c>
      <c r="BJ346" s="75" t="str">
        <f aca="false">IF($BA346&gt;$AZ$7,"",VLOOKUP($BA346,$BC$8:$BI$507,7,FALSE()))</f>
        <v/>
      </c>
      <c r="BK346" s="76" t="str">
        <f aca="false">IF($BA346&gt;$AZ$7,"",VLOOKUP($BA346,$BC$8:$BI$507,2,FALSE()))</f>
        <v/>
      </c>
      <c r="BL346" s="76" t="str">
        <f aca="false">IF($BA346&gt;$AZ$7,"",VLOOKUP($BA346,$BC$8:$BI$507,3,FALSE()))</f>
        <v/>
      </c>
      <c r="BM346" s="76" t="str">
        <f aca="false">IF($BA346&gt;$AZ$7,"",VLOOKUP($BA346,$BC$8:$BI$507,4,FALSE()))</f>
        <v/>
      </c>
      <c r="BN346" s="76" t="str">
        <f aca="false">IF($BA346&gt;$AZ$7,"",VLOOKUP($BA346,$BC$8:$BI$507,5,FALSE()))</f>
        <v/>
      </c>
      <c r="BO346" s="77" t="str">
        <f aca="false">IF($BA346&gt;$AZ$7,"",VLOOKUP($BA346,$BC$8:$BI$507,6,FALSE()))</f>
        <v/>
      </c>
      <c r="BP346" s="52"/>
    </row>
    <row r="347" customFormat="false" ht="15.75" hidden="false" customHeight="false" outlineLevel="0" collapsed="false">
      <c r="A347" s="5"/>
      <c r="B347" s="114"/>
      <c r="C347" s="115"/>
      <c r="D347" s="106"/>
      <c r="E347" s="117"/>
      <c r="F347" s="87"/>
      <c r="G347" s="88"/>
      <c r="H347" s="88"/>
      <c r="I347" s="87"/>
      <c r="J347" s="88"/>
      <c r="K347" s="88"/>
      <c r="L347" s="87"/>
      <c r="M347" s="117"/>
      <c r="N347" s="90"/>
      <c r="O347" s="91" t="str">
        <f aca="false">IF(ISBLANK($C347),"",IF(E347=Constants!$B$2, TRUE(), IF(E347=Constants!$B$3, FALSE(), TRUE())))</f>
        <v/>
      </c>
      <c r="P347" s="91" t="str">
        <f aca="false">IF(ISBLANK($C347),"",IF(F347=Constants!$B$16,Constants!$B$9,IF(F347=Constants!$B$17,Constants!$B$10,Constants!$B$8)))</f>
        <v/>
      </c>
      <c r="Q347" s="91" t="str">
        <f aca="false">IF(ISBLANK($C347),"",IF(ISNUMBER(G347),IF(G347&gt;=0,G347,""),""))</f>
        <v/>
      </c>
      <c r="R347" s="91" t="str">
        <f aca="false">IF(ISBLANK($C347),"",IF(H347=Constants!$B$2, TRUE(), IF(H347=Constants!$B$3, FALSE(), TRUE())))</f>
        <v/>
      </c>
      <c r="S347" s="91" t="str">
        <f aca="false">IF(ISBLANK($C347),"",IF(I347=Constants!$B$2, TRUE(), IF(I347=Constants!$B$3, FALSE(), TRUE())))</f>
        <v/>
      </c>
      <c r="T347" s="91" t="str">
        <f aca="false">IF(ISBLANK($C347),"",IF(ISNUMBER(J347),IF(J347&gt;=0,J347,""),""))</f>
        <v/>
      </c>
      <c r="U347" s="91" t="str">
        <f aca="false">IF(ISBLANK($C347),"",IF(K347=Constants!$B$2, TRUE(), IF(K347=Constants!$B$3, FALSE(), TRUE())))</f>
        <v/>
      </c>
      <c r="V347" s="91" t="str">
        <f aca="false">IF(ISBLANK($C347),"",IF(L347=Constants!$B$2, TRUE(), IF(L347=Constants!$B$3, FALSE(), TRUE())))</f>
        <v/>
      </c>
      <c r="W347" s="91" t="str">
        <f aca="false">IF(ISBLANK($C347),"",IF(M347=Constants!$B$2, TRUE(), IF(M347=Constants!$B$3, FALSE(), FALSE())))</f>
        <v/>
      </c>
      <c r="X347" s="91" t="str">
        <f aca="false">IF(ISBLANK($C347),"",AND(Q347&lt;&gt;"",O347))</f>
        <v/>
      </c>
      <c r="Y347" s="91" t="str">
        <f aca="false">IF(ISBLANK($C347),"",AND(T347&lt;&gt;"",O347))</f>
        <v/>
      </c>
      <c r="Z347" s="91" t="str">
        <f aca="false">IF(ISBLANK($C347),"",IF(W347,Constants!$B$4,IF(COUNTA(E347:L347)=0,Constants!$B$5,IF(NOT(O347),Constants!$B$6,IF(AND(NOT(X347),NOT(Y347)),Constants!$B$6,Constants!$B$7)))))</f>
        <v/>
      </c>
      <c r="AA347" s="91" t="str">
        <f aca="false">IF(ISBLANK($C347),"",IF($Z347&lt;&gt;Constants!$B$7,$Z347,Constants!$B$20))</f>
        <v/>
      </c>
      <c r="AB347" s="91" t="str">
        <f aca="false">IF($Z347=Constants!$B$7,IF(X347,Q347,Constants!$B$13),"")</f>
        <v/>
      </c>
      <c r="AC347" s="91" t="str">
        <f aca="false">IF($Z347=Constants!$B$7,IF(X347,P347*IF(R347, 1, Constants!$B$11)*IF(S347, 1, Constants!$B$12),Constants!$B$13),"")</f>
        <v/>
      </c>
      <c r="AD347" s="91" t="str">
        <f aca="false">IF($Z347=Constants!$B$7,AB347*AC347,"")</f>
        <v/>
      </c>
      <c r="AE347" s="91" t="str">
        <f aca="false">IF($Z347=Constants!$B$7,IF(Y347,T347,Constants!$B$13),"")</f>
        <v/>
      </c>
      <c r="AF347" s="91" t="str">
        <f aca="false">IF($Z347=Constants!$B$7,IF(Y347,P347*IF(U347, 1, Constants!$B$11)*IF(V347, 1, Constants!$B$12),Constants!$B$13),"")</f>
        <v/>
      </c>
      <c r="AG347" s="91" t="str">
        <f aca="false">IF($Z347=Constants!$B$7,AE347*AF347,"")</f>
        <v/>
      </c>
      <c r="AH347" s="91" t="str">
        <f aca="false">IF($Z347=Constants!$B$7,IF(AG347&gt;AD347,2,1),"")</f>
        <v/>
      </c>
      <c r="AI347" s="91" t="str">
        <f aca="false">IF($Z347=Constants!$B$7,IF(AH347=1,2,1),"")</f>
        <v/>
      </c>
      <c r="AJ347" s="91" t="str">
        <f aca="false">IF(ISBLANK($C347),"",IF($Z347&lt;&gt;Constants!$B$7,$Z347,IF(AH347=1,AD347,AG347)))</f>
        <v/>
      </c>
      <c r="AK347" s="91" t="str">
        <f aca="false">IF(ISBLANK($C347),"",IF($Z347=Constants!$B$7,IF(ISNUMBER(AJ347),RANK(AJ347,$AJ$8:$AJ$507),Constants!$B$14),$Z347))</f>
        <v/>
      </c>
      <c r="AL347" s="91" t="str">
        <f aca="false">IF(ISBLANK($C347),"",IF($Z347=Constants!$B$7,IF(AI347=1,AD347,AG347),""))</f>
        <v/>
      </c>
      <c r="AM347" s="91" t="str">
        <f aca="false">IF(ISBLANK($C347),"",IF($Z347=Constants!$B$7,RANK(AL347,$AL$8:$AL$507),$Z347))</f>
        <v/>
      </c>
      <c r="AN347" s="91" t="str">
        <f aca="false">IF(ISBLANK($C347),"",IF($Z347=Constants!$B$7,IF(ISNUMBER(AK347),COUNTIFS($AK$8:$AK$507,"&lt;"&amp;$AK347)+COUNTIFS($AK$8:$AK$507,$AK347,$AM$8:$AM$507,"&lt;"&amp;$AM347)+1,Constants!$B$14),$Z347))</f>
        <v/>
      </c>
      <c r="AO347" s="91" t="str">
        <f aca="false">IF(ISBLANK($C347),"",IF($Z347=Constants!$B$7,IF(ISNUMBER(AK347),AK347-AN347,Constants!$B$14),$Z347))</f>
        <v/>
      </c>
      <c r="AP347" s="92"/>
      <c r="AQ347" s="93" t="str">
        <f aca="false">IF(ISBLANK($C347),"",IF($Z347&lt;&gt;Constants!$B$7,"",AH347))</f>
        <v/>
      </c>
      <c r="AR347" s="94" t="str">
        <f aca="false">IF(ISBLANK($C347),"",IF($Z347&lt;&gt;Constants!$B$7,"",IF(AH347=1,AB347,AE347)))</f>
        <v/>
      </c>
      <c r="AS347" s="95" t="str">
        <f aca="false">IF(ISBLANK($C347),"",IF($Z347&lt;&gt;Constants!$B$7,"",IF(AH347=1,AC347,AF347)))</f>
        <v/>
      </c>
      <c r="AT347" s="96" t="str">
        <f aca="false">IF(ISBLANK($C347),"",IF($Z347&lt;&gt;Constants!$B$7,$Z347,AJ347))</f>
        <v/>
      </c>
      <c r="AU347" s="97" t="str">
        <f aca="false">IF(ISBLANK($C347),"",IF($Z347&lt;&gt;Constants!$B$7,$Z347,AA347))</f>
        <v/>
      </c>
      <c r="AV347" s="98" t="str">
        <f aca="false">IF(ISBLANK($C347),"",AO347)</f>
        <v/>
      </c>
      <c r="AW347" s="98" t="str">
        <f aca="false">IF(ISBLANK($C347),"",AN347)</f>
        <v/>
      </c>
      <c r="AX347" s="99" t="str">
        <f aca="false">IF(ISBLANK($C347),"",IFERROR(_xlfn.SWITCH(AW347,Constants!$B$4,COUNTA($C$8:$C$507)+2,Constants!$B$5,COUNTA($C$8:$C$507)+1,Constants!$B$6,COUNTA($C$8:$C$507)),AW347))</f>
        <v/>
      </c>
      <c r="AY347" s="5"/>
      <c r="AZ347" s="100" t="n">
        <f aca="false">IF(OR(ISNUMBER(AW347),AW347=Constants!$B$4,AW347=Constants!$B$6,AW347=Constants!$B$5),1,0)</f>
        <v>0</v>
      </c>
      <c r="BA347" s="100" t="n">
        <v>340</v>
      </c>
      <c r="BB347" s="100" t="str">
        <f aca="false">IF(ISBLANK($C347),"",IF(ISNUMBER(AX347),AX347+ROW($B347)/1000,""))</f>
        <v/>
      </c>
      <c r="BC347" s="100" t="str">
        <f aca="false">IF(ISNUMBER(BB347),RANK(BB347,$BB$8:$BB$507,1),"")</f>
        <v/>
      </c>
      <c r="BD347" s="100" t="str">
        <f aca="false">IF(ISBLANK($C347),"",$B347)</f>
        <v/>
      </c>
      <c r="BE347" s="100" t="str">
        <f aca="false">IF(ISBLANK($C347),"",$C347)</f>
        <v/>
      </c>
      <c r="BF347" s="100" t="str">
        <f aca="false">IF(ISBLANK($C347),"",$D347)</f>
        <v/>
      </c>
      <c r="BG347" s="101" t="str">
        <f aca="false">AU347</f>
        <v/>
      </c>
      <c r="BH347" s="102" t="str">
        <f aca="false">AT347</f>
        <v/>
      </c>
      <c r="BI347" s="100" t="str">
        <f aca="false">IF(ISBLANK($C347),"",AW347)</f>
        <v/>
      </c>
      <c r="BJ347" s="103" t="str">
        <f aca="false">IF($BA347&gt;$AZ$7,"",VLOOKUP($BA347,$BC$8:$BI$507,7,FALSE()))</f>
        <v/>
      </c>
      <c r="BK347" s="104" t="str">
        <f aca="false">IF($BA347&gt;$AZ$7,"",VLOOKUP($BA347,$BC$8:$BI$507,2,FALSE()))</f>
        <v/>
      </c>
      <c r="BL347" s="104" t="str">
        <f aca="false">IF($BA347&gt;$AZ$7,"",VLOOKUP($BA347,$BC$8:$BI$507,3,FALSE()))</f>
        <v/>
      </c>
      <c r="BM347" s="104" t="str">
        <f aca="false">IF($BA347&gt;$AZ$7,"",VLOOKUP($BA347,$BC$8:$BI$507,4,FALSE()))</f>
        <v/>
      </c>
      <c r="BN347" s="104" t="str">
        <f aca="false">IF($BA347&gt;$AZ$7,"",VLOOKUP($BA347,$BC$8:$BI$507,5,FALSE()))</f>
        <v/>
      </c>
      <c r="BO347" s="105" t="str">
        <f aca="false">IF($BA347&gt;$AZ$7,"",VLOOKUP($BA347,$BC$8:$BI$507,6,FALSE()))</f>
        <v/>
      </c>
      <c r="BP347" s="52"/>
    </row>
    <row r="348" customFormat="false" ht="15.75" hidden="false" customHeight="false" outlineLevel="0" collapsed="false">
      <c r="A348" s="5"/>
      <c r="B348" s="114"/>
      <c r="C348" s="115"/>
      <c r="D348" s="106"/>
      <c r="E348" s="117"/>
      <c r="F348" s="87"/>
      <c r="G348" s="88"/>
      <c r="H348" s="88"/>
      <c r="I348" s="87"/>
      <c r="J348" s="88"/>
      <c r="K348" s="88"/>
      <c r="L348" s="87"/>
      <c r="M348" s="117"/>
      <c r="N348" s="90"/>
      <c r="O348" s="91" t="str">
        <f aca="false">IF(ISBLANK($C348),"",IF(E348=Constants!$B$2, TRUE(), IF(E348=Constants!$B$3, FALSE(), TRUE())))</f>
        <v/>
      </c>
      <c r="P348" s="91" t="str">
        <f aca="false">IF(ISBLANK($C348),"",IF(F348=Constants!$B$16,Constants!$B$9,IF(F348=Constants!$B$17,Constants!$B$10,Constants!$B$8)))</f>
        <v/>
      </c>
      <c r="Q348" s="91" t="str">
        <f aca="false">IF(ISBLANK($C348),"",IF(ISNUMBER(G348),IF(G348&gt;=0,G348,""),""))</f>
        <v/>
      </c>
      <c r="R348" s="91" t="str">
        <f aca="false">IF(ISBLANK($C348),"",IF(H348=Constants!$B$2, TRUE(), IF(H348=Constants!$B$3, FALSE(), TRUE())))</f>
        <v/>
      </c>
      <c r="S348" s="91" t="str">
        <f aca="false">IF(ISBLANK($C348),"",IF(I348=Constants!$B$2, TRUE(), IF(I348=Constants!$B$3, FALSE(), TRUE())))</f>
        <v/>
      </c>
      <c r="T348" s="91" t="str">
        <f aca="false">IF(ISBLANK($C348),"",IF(ISNUMBER(J348),IF(J348&gt;=0,J348,""),""))</f>
        <v/>
      </c>
      <c r="U348" s="91" t="str">
        <f aca="false">IF(ISBLANK($C348),"",IF(K348=Constants!$B$2, TRUE(), IF(K348=Constants!$B$3, FALSE(), TRUE())))</f>
        <v/>
      </c>
      <c r="V348" s="91" t="str">
        <f aca="false">IF(ISBLANK($C348),"",IF(L348=Constants!$B$2, TRUE(), IF(L348=Constants!$B$3, FALSE(), TRUE())))</f>
        <v/>
      </c>
      <c r="W348" s="91" t="str">
        <f aca="false">IF(ISBLANK($C348),"",IF(M348=Constants!$B$2, TRUE(), IF(M348=Constants!$B$3, FALSE(), FALSE())))</f>
        <v/>
      </c>
      <c r="X348" s="91" t="str">
        <f aca="false">IF(ISBLANK($C348),"",AND(Q348&lt;&gt;"",O348))</f>
        <v/>
      </c>
      <c r="Y348" s="91" t="str">
        <f aca="false">IF(ISBLANK($C348),"",AND(T348&lt;&gt;"",O348))</f>
        <v/>
      </c>
      <c r="Z348" s="91" t="str">
        <f aca="false">IF(ISBLANK($C348),"",IF(W348,Constants!$B$4,IF(COUNTA(E348:L348)=0,Constants!$B$5,IF(NOT(O348),Constants!$B$6,IF(AND(NOT(X348),NOT(Y348)),Constants!$B$6,Constants!$B$7)))))</f>
        <v/>
      </c>
      <c r="AA348" s="91" t="str">
        <f aca="false">IF(ISBLANK($C348),"",IF($Z348&lt;&gt;Constants!$B$7,$Z348,Constants!$B$20))</f>
        <v/>
      </c>
      <c r="AB348" s="91" t="str">
        <f aca="false">IF($Z348=Constants!$B$7,IF(X348,Q348,Constants!$B$13),"")</f>
        <v/>
      </c>
      <c r="AC348" s="91" t="str">
        <f aca="false">IF($Z348=Constants!$B$7,IF(X348,P348*IF(R348, 1, Constants!$B$11)*IF(S348, 1, Constants!$B$12),Constants!$B$13),"")</f>
        <v/>
      </c>
      <c r="AD348" s="91" t="str">
        <f aca="false">IF($Z348=Constants!$B$7,AB348*AC348,"")</f>
        <v/>
      </c>
      <c r="AE348" s="91" t="str">
        <f aca="false">IF($Z348=Constants!$B$7,IF(Y348,T348,Constants!$B$13),"")</f>
        <v/>
      </c>
      <c r="AF348" s="91" t="str">
        <f aca="false">IF($Z348=Constants!$B$7,IF(Y348,P348*IF(U348, 1, Constants!$B$11)*IF(V348, 1, Constants!$B$12),Constants!$B$13),"")</f>
        <v/>
      </c>
      <c r="AG348" s="91" t="str">
        <f aca="false">IF($Z348=Constants!$B$7,AE348*AF348,"")</f>
        <v/>
      </c>
      <c r="AH348" s="91" t="str">
        <f aca="false">IF($Z348=Constants!$B$7,IF(AG348&gt;AD348,2,1),"")</f>
        <v/>
      </c>
      <c r="AI348" s="91" t="str">
        <f aca="false">IF($Z348=Constants!$B$7,IF(AH348=1,2,1),"")</f>
        <v/>
      </c>
      <c r="AJ348" s="91" t="str">
        <f aca="false">IF(ISBLANK($C348),"",IF($Z348&lt;&gt;Constants!$B$7,$Z348,IF(AH348=1,AD348,AG348)))</f>
        <v/>
      </c>
      <c r="AK348" s="91" t="str">
        <f aca="false">IF(ISBLANK($C348),"",IF($Z348=Constants!$B$7,IF(ISNUMBER(AJ348),RANK(AJ348,$AJ$8:$AJ$507),Constants!$B$14),$Z348))</f>
        <v/>
      </c>
      <c r="AL348" s="91" t="str">
        <f aca="false">IF(ISBLANK($C348),"",IF($Z348=Constants!$B$7,IF(AI348=1,AD348,AG348),""))</f>
        <v/>
      </c>
      <c r="AM348" s="91" t="str">
        <f aca="false">IF(ISBLANK($C348),"",IF($Z348=Constants!$B$7,RANK(AL348,$AL$8:$AL$507),$Z348))</f>
        <v/>
      </c>
      <c r="AN348" s="91" t="str">
        <f aca="false">IF(ISBLANK($C348),"",IF($Z348=Constants!$B$7,IF(ISNUMBER(AK348),COUNTIFS($AK$8:$AK$507,"&lt;"&amp;$AK348)+COUNTIFS($AK$8:$AK$507,$AK348,$AM$8:$AM$507,"&lt;"&amp;$AM348)+1,Constants!$B$14),$Z348))</f>
        <v/>
      </c>
      <c r="AO348" s="91" t="str">
        <f aca="false">IF(ISBLANK($C348),"",IF($Z348=Constants!$B$7,IF(ISNUMBER(AK348),AK348-AN348,Constants!$B$14),$Z348))</f>
        <v/>
      </c>
      <c r="AP348" s="92"/>
      <c r="AQ348" s="93" t="str">
        <f aca="false">IF(ISBLANK($C348),"",IF($Z348&lt;&gt;Constants!$B$7,"",AH348))</f>
        <v/>
      </c>
      <c r="AR348" s="94" t="str">
        <f aca="false">IF(ISBLANK($C348),"",IF($Z348&lt;&gt;Constants!$B$7,"",IF(AH348=1,AB348,AE348)))</f>
        <v/>
      </c>
      <c r="AS348" s="95" t="str">
        <f aca="false">IF(ISBLANK($C348),"",IF($Z348&lt;&gt;Constants!$B$7,"",IF(AH348=1,AC348,AF348)))</f>
        <v/>
      </c>
      <c r="AT348" s="96" t="str">
        <f aca="false">IF(ISBLANK($C348),"",IF($Z348&lt;&gt;Constants!$B$7,$Z348,AJ348))</f>
        <v/>
      </c>
      <c r="AU348" s="97" t="str">
        <f aca="false">IF(ISBLANK($C348),"",IF($Z348&lt;&gt;Constants!$B$7,$Z348,AA348))</f>
        <v/>
      </c>
      <c r="AV348" s="98" t="str">
        <f aca="false">IF(ISBLANK($C348),"",AO348)</f>
        <v/>
      </c>
      <c r="AW348" s="98" t="str">
        <f aca="false">IF(ISBLANK($C348),"",AN348)</f>
        <v/>
      </c>
      <c r="AX348" s="99" t="str">
        <f aca="false">IF(ISBLANK($C348),"",IFERROR(_xlfn.SWITCH(AW348,Constants!$B$4,COUNTA($C$8:$C$507)+2,Constants!$B$5,COUNTA($C$8:$C$507)+1,Constants!$B$6,COUNTA($C$8:$C$507)),AW348))</f>
        <v/>
      </c>
      <c r="AY348" s="5"/>
      <c r="AZ348" s="100" t="n">
        <f aca="false">IF(OR(ISNUMBER(AW348),AW348=Constants!$B$4,AW348=Constants!$B$6,AW348=Constants!$B$5),1,0)</f>
        <v>0</v>
      </c>
      <c r="BA348" s="100" t="n">
        <v>341</v>
      </c>
      <c r="BB348" s="100" t="str">
        <f aca="false">IF(ISBLANK($C348),"",IF(ISNUMBER(AX348),AX348+ROW($B348)/1000,""))</f>
        <v/>
      </c>
      <c r="BC348" s="100" t="str">
        <f aca="false">IF(ISNUMBER(BB348),RANK(BB348,$BB$8:$BB$507,1),"")</f>
        <v/>
      </c>
      <c r="BD348" s="100" t="str">
        <f aca="false">IF(ISBLANK($C348),"",$B348)</f>
        <v/>
      </c>
      <c r="BE348" s="100" t="str">
        <f aca="false">IF(ISBLANK($C348),"",$C348)</f>
        <v/>
      </c>
      <c r="BF348" s="100" t="str">
        <f aca="false">IF(ISBLANK($C348),"",$D348)</f>
        <v/>
      </c>
      <c r="BG348" s="101" t="str">
        <f aca="false">AU348</f>
        <v/>
      </c>
      <c r="BH348" s="102" t="str">
        <f aca="false">AT348</f>
        <v/>
      </c>
      <c r="BI348" s="100" t="str">
        <f aca="false">IF(ISBLANK($C348),"",AW348)</f>
        <v/>
      </c>
      <c r="BJ348" s="103" t="str">
        <f aca="false">IF($BA348&gt;$AZ$7,"",VLOOKUP($BA348,$BC$8:$BI$507,7,FALSE()))</f>
        <v/>
      </c>
      <c r="BK348" s="104" t="str">
        <f aca="false">IF($BA348&gt;$AZ$7,"",VLOOKUP($BA348,$BC$8:$BI$507,2,FALSE()))</f>
        <v/>
      </c>
      <c r="BL348" s="104" t="str">
        <f aca="false">IF($BA348&gt;$AZ$7,"",VLOOKUP($BA348,$BC$8:$BI$507,3,FALSE()))</f>
        <v/>
      </c>
      <c r="BM348" s="104" t="str">
        <f aca="false">IF($BA348&gt;$AZ$7,"",VLOOKUP($BA348,$BC$8:$BI$507,4,FALSE()))</f>
        <v/>
      </c>
      <c r="BN348" s="104" t="str">
        <f aca="false">IF($BA348&gt;$AZ$7,"",VLOOKUP($BA348,$BC$8:$BI$507,5,FALSE()))</f>
        <v/>
      </c>
      <c r="BO348" s="105" t="str">
        <f aca="false">IF($BA348&gt;$AZ$7,"",VLOOKUP($BA348,$BC$8:$BI$507,6,FALSE()))</f>
        <v/>
      </c>
      <c r="BP348" s="52"/>
    </row>
    <row r="349" customFormat="false" ht="15.75" hidden="false" customHeight="false" outlineLevel="0" collapsed="false">
      <c r="A349" s="5"/>
      <c r="B349" s="114"/>
      <c r="C349" s="115"/>
      <c r="D349" s="106"/>
      <c r="E349" s="117"/>
      <c r="F349" s="87"/>
      <c r="G349" s="88"/>
      <c r="H349" s="88"/>
      <c r="I349" s="87"/>
      <c r="J349" s="88"/>
      <c r="K349" s="88"/>
      <c r="L349" s="87"/>
      <c r="M349" s="117"/>
      <c r="N349" s="90"/>
      <c r="O349" s="91" t="str">
        <f aca="false">IF(ISBLANK($C349),"",IF(E349=Constants!$B$2, TRUE(), IF(E349=Constants!$B$3, FALSE(), TRUE())))</f>
        <v/>
      </c>
      <c r="P349" s="91" t="str">
        <f aca="false">IF(ISBLANK($C349),"",IF(F349=Constants!$B$16,Constants!$B$9,IF(F349=Constants!$B$17,Constants!$B$10,Constants!$B$8)))</f>
        <v/>
      </c>
      <c r="Q349" s="91" t="str">
        <f aca="false">IF(ISBLANK($C349),"",IF(ISNUMBER(G349),IF(G349&gt;=0,G349,""),""))</f>
        <v/>
      </c>
      <c r="R349" s="91" t="str">
        <f aca="false">IF(ISBLANK($C349),"",IF(H349=Constants!$B$2, TRUE(), IF(H349=Constants!$B$3, FALSE(), TRUE())))</f>
        <v/>
      </c>
      <c r="S349" s="91" t="str">
        <f aca="false">IF(ISBLANK($C349),"",IF(I349=Constants!$B$2, TRUE(), IF(I349=Constants!$B$3, FALSE(), TRUE())))</f>
        <v/>
      </c>
      <c r="T349" s="91" t="str">
        <f aca="false">IF(ISBLANK($C349),"",IF(ISNUMBER(J349),IF(J349&gt;=0,J349,""),""))</f>
        <v/>
      </c>
      <c r="U349" s="91" t="str">
        <f aca="false">IF(ISBLANK($C349),"",IF(K349=Constants!$B$2, TRUE(), IF(K349=Constants!$B$3, FALSE(), TRUE())))</f>
        <v/>
      </c>
      <c r="V349" s="91" t="str">
        <f aca="false">IF(ISBLANK($C349),"",IF(L349=Constants!$B$2, TRUE(), IF(L349=Constants!$B$3, FALSE(), TRUE())))</f>
        <v/>
      </c>
      <c r="W349" s="91" t="str">
        <f aca="false">IF(ISBLANK($C349),"",IF(M349=Constants!$B$2, TRUE(), IF(M349=Constants!$B$3, FALSE(), FALSE())))</f>
        <v/>
      </c>
      <c r="X349" s="91" t="str">
        <f aca="false">IF(ISBLANK($C349),"",AND(Q349&lt;&gt;"",O349))</f>
        <v/>
      </c>
      <c r="Y349" s="91" t="str">
        <f aca="false">IF(ISBLANK($C349),"",AND(T349&lt;&gt;"",O349))</f>
        <v/>
      </c>
      <c r="Z349" s="91" t="str">
        <f aca="false">IF(ISBLANK($C349),"",IF(W349,Constants!$B$4,IF(COUNTA(E349:L349)=0,Constants!$B$5,IF(NOT(O349),Constants!$B$6,IF(AND(NOT(X349),NOT(Y349)),Constants!$B$6,Constants!$B$7)))))</f>
        <v/>
      </c>
      <c r="AA349" s="91" t="str">
        <f aca="false">IF(ISBLANK($C349),"",IF($Z349&lt;&gt;Constants!$B$7,$Z349,Constants!$B$20))</f>
        <v/>
      </c>
      <c r="AB349" s="91" t="str">
        <f aca="false">IF($Z349=Constants!$B$7,IF(X349,Q349,Constants!$B$13),"")</f>
        <v/>
      </c>
      <c r="AC349" s="91" t="str">
        <f aca="false">IF($Z349=Constants!$B$7,IF(X349,P349*IF(R349, 1, Constants!$B$11)*IF(S349, 1, Constants!$B$12),Constants!$B$13),"")</f>
        <v/>
      </c>
      <c r="AD349" s="91" t="str">
        <f aca="false">IF($Z349=Constants!$B$7,AB349*AC349,"")</f>
        <v/>
      </c>
      <c r="AE349" s="91" t="str">
        <f aca="false">IF($Z349=Constants!$B$7,IF(Y349,T349,Constants!$B$13),"")</f>
        <v/>
      </c>
      <c r="AF349" s="91" t="str">
        <f aca="false">IF($Z349=Constants!$B$7,IF(Y349,P349*IF(U349, 1, Constants!$B$11)*IF(V349, 1, Constants!$B$12),Constants!$B$13),"")</f>
        <v/>
      </c>
      <c r="AG349" s="91" t="str">
        <f aca="false">IF($Z349=Constants!$B$7,AE349*AF349,"")</f>
        <v/>
      </c>
      <c r="AH349" s="91" t="str">
        <f aca="false">IF($Z349=Constants!$B$7,IF(AG349&gt;AD349,2,1),"")</f>
        <v/>
      </c>
      <c r="AI349" s="91" t="str">
        <f aca="false">IF($Z349=Constants!$B$7,IF(AH349=1,2,1),"")</f>
        <v/>
      </c>
      <c r="AJ349" s="91" t="str">
        <f aca="false">IF(ISBLANK($C349),"",IF($Z349&lt;&gt;Constants!$B$7,$Z349,IF(AH349=1,AD349,AG349)))</f>
        <v/>
      </c>
      <c r="AK349" s="91" t="str">
        <f aca="false">IF(ISBLANK($C349),"",IF($Z349=Constants!$B$7,IF(ISNUMBER(AJ349),RANK(AJ349,$AJ$8:$AJ$507),Constants!$B$14),$Z349))</f>
        <v/>
      </c>
      <c r="AL349" s="91" t="str">
        <f aca="false">IF(ISBLANK($C349),"",IF($Z349=Constants!$B$7,IF(AI349=1,AD349,AG349),""))</f>
        <v/>
      </c>
      <c r="AM349" s="91" t="str">
        <f aca="false">IF(ISBLANK($C349),"",IF($Z349=Constants!$B$7,RANK(AL349,$AL$8:$AL$507),$Z349))</f>
        <v/>
      </c>
      <c r="AN349" s="91" t="str">
        <f aca="false">IF(ISBLANK($C349),"",IF($Z349=Constants!$B$7,IF(ISNUMBER(AK349),COUNTIFS($AK$8:$AK$507,"&lt;"&amp;$AK349)+COUNTIFS($AK$8:$AK$507,$AK349,$AM$8:$AM$507,"&lt;"&amp;$AM349)+1,Constants!$B$14),$Z349))</f>
        <v/>
      </c>
      <c r="AO349" s="91" t="str">
        <f aca="false">IF(ISBLANK($C349),"",IF($Z349=Constants!$B$7,IF(ISNUMBER(AK349),AK349-AN349,Constants!$B$14),$Z349))</f>
        <v/>
      </c>
      <c r="AP349" s="92"/>
      <c r="AQ349" s="93" t="str">
        <f aca="false">IF(ISBLANK($C349),"",IF($Z349&lt;&gt;Constants!$B$7,"",AH349))</f>
        <v/>
      </c>
      <c r="AR349" s="94" t="str">
        <f aca="false">IF(ISBLANK($C349),"",IF($Z349&lt;&gt;Constants!$B$7,"",IF(AH349=1,AB349,AE349)))</f>
        <v/>
      </c>
      <c r="AS349" s="95" t="str">
        <f aca="false">IF(ISBLANK($C349),"",IF($Z349&lt;&gt;Constants!$B$7,"",IF(AH349=1,AC349,AF349)))</f>
        <v/>
      </c>
      <c r="AT349" s="96" t="str">
        <f aca="false">IF(ISBLANK($C349),"",IF($Z349&lt;&gt;Constants!$B$7,$Z349,AJ349))</f>
        <v/>
      </c>
      <c r="AU349" s="97" t="str">
        <f aca="false">IF(ISBLANK($C349),"",IF($Z349&lt;&gt;Constants!$B$7,$Z349,AA349))</f>
        <v/>
      </c>
      <c r="AV349" s="98" t="str">
        <f aca="false">IF(ISBLANK($C349),"",AO349)</f>
        <v/>
      </c>
      <c r="AW349" s="98" t="str">
        <f aca="false">IF(ISBLANK($C349),"",AN349)</f>
        <v/>
      </c>
      <c r="AX349" s="99" t="str">
        <f aca="false">IF(ISBLANK($C349),"",IFERROR(_xlfn.SWITCH(AW349,Constants!$B$4,COUNTA($C$8:$C$507)+2,Constants!$B$5,COUNTA($C$8:$C$507)+1,Constants!$B$6,COUNTA($C$8:$C$507)),AW349))</f>
        <v/>
      </c>
      <c r="AY349" s="5"/>
      <c r="AZ349" s="100" t="n">
        <f aca="false">IF(OR(ISNUMBER(AW349),AW349=Constants!$B$4,AW349=Constants!$B$6,AW349=Constants!$B$5),1,0)</f>
        <v>0</v>
      </c>
      <c r="BA349" s="100" t="n">
        <v>342</v>
      </c>
      <c r="BB349" s="100" t="str">
        <f aca="false">IF(ISBLANK($C349),"",IF(ISNUMBER(AX349),AX349+ROW($B349)/1000,""))</f>
        <v/>
      </c>
      <c r="BC349" s="100" t="str">
        <f aca="false">IF(ISNUMBER(BB349),RANK(BB349,$BB$8:$BB$507,1),"")</f>
        <v/>
      </c>
      <c r="BD349" s="100" t="str">
        <f aca="false">IF(ISBLANK($C349),"",$B349)</f>
        <v/>
      </c>
      <c r="BE349" s="100" t="str">
        <f aca="false">IF(ISBLANK($C349),"",$C349)</f>
        <v/>
      </c>
      <c r="BF349" s="100" t="str">
        <f aca="false">IF(ISBLANK($C349),"",$D349)</f>
        <v/>
      </c>
      <c r="BG349" s="101" t="str">
        <f aca="false">AU349</f>
        <v/>
      </c>
      <c r="BH349" s="102" t="str">
        <f aca="false">AT349</f>
        <v/>
      </c>
      <c r="BI349" s="100" t="str">
        <f aca="false">IF(ISBLANK($C349),"",AW349)</f>
        <v/>
      </c>
      <c r="BJ349" s="103" t="str">
        <f aca="false">IF($BA349&gt;$AZ$7,"",VLOOKUP($BA349,$BC$8:$BI$507,7,FALSE()))</f>
        <v/>
      </c>
      <c r="BK349" s="104" t="str">
        <f aca="false">IF($BA349&gt;$AZ$7,"",VLOOKUP($BA349,$BC$8:$BI$507,2,FALSE()))</f>
        <v/>
      </c>
      <c r="BL349" s="104" t="str">
        <f aca="false">IF($BA349&gt;$AZ$7,"",VLOOKUP($BA349,$BC$8:$BI$507,3,FALSE()))</f>
        <v/>
      </c>
      <c r="BM349" s="104" t="str">
        <f aca="false">IF($BA349&gt;$AZ$7,"",VLOOKUP($BA349,$BC$8:$BI$507,4,FALSE()))</f>
        <v/>
      </c>
      <c r="BN349" s="104" t="str">
        <f aca="false">IF($BA349&gt;$AZ$7,"",VLOOKUP($BA349,$BC$8:$BI$507,5,FALSE()))</f>
        <v/>
      </c>
      <c r="BO349" s="105" t="str">
        <f aca="false">IF($BA349&gt;$AZ$7,"",VLOOKUP($BA349,$BC$8:$BI$507,6,FALSE()))</f>
        <v/>
      </c>
      <c r="BP349" s="52"/>
    </row>
    <row r="350" customFormat="false" ht="15.75" hidden="false" customHeight="false" outlineLevel="0" collapsed="false">
      <c r="A350" s="5"/>
      <c r="B350" s="118"/>
      <c r="C350" s="54"/>
      <c r="D350" s="55"/>
      <c r="E350" s="79"/>
      <c r="F350" s="57"/>
      <c r="G350" s="58"/>
      <c r="H350" s="58"/>
      <c r="I350" s="57"/>
      <c r="J350" s="58"/>
      <c r="K350" s="58"/>
      <c r="L350" s="57"/>
      <c r="M350" s="79"/>
      <c r="N350" s="60"/>
      <c r="O350" s="62" t="str">
        <f aca="false">IF(ISBLANK($C350),"",IF(E350=Constants!$B$2, TRUE(), IF(E350=Constants!$B$3, FALSE(), TRUE())))</f>
        <v/>
      </c>
      <c r="P350" s="62" t="str">
        <f aca="false">IF(ISBLANK($C350),"",IF(F350=Constants!$B$16,Constants!$B$9,IF(F350=Constants!$B$17,Constants!$B$10,Constants!$B$8)))</f>
        <v/>
      </c>
      <c r="Q350" s="62" t="str">
        <f aca="false">IF(ISBLANK($C350),"",IF(ISNUMBER(G350),IF(G350&gt;=0,G350,""),""))</f>
        <v/>
      </c>
      <c r="R350" s="62" t="str">
        <f aca="false">IF(ISBLANK($C350),"",IF(H350=Constants!$B$2, TRUE(), IF(H350=Constants!$B$3, FALSE(), TRUE())))</f>
        <v/>
      </c>
      <c r="S350" s="62" t="str">
        <f aca="false">IF(ISBLANK($C350),"",IF(I350=Constants!$B$2, TRUE(), IF(I350=Constants!$B$3, FALSE(), TRUE())))</f>
        <v/>
      </c>
      <c r="T350" s="62" t="str">
        <f aca="false">IF(ISBLANK($C350),"",IF(ISNUMBER(J350),IF(J350&gt;=0,J350,""),""))</f>
        <v/>
      </c>
      <c r="U350" s="62" t="str">
        <f aca="false">IF(ISBLANK($C350),"",IF(K350=Constants!$B$2, TRUE(), IF(K350=Constants!$B$3, FALSE(), TRUE())))</f>
        <v/>
      </c>
      <c r="V350" s="62" t="str">
        <f aca="false">IF(ISBLANK($C350),"",IF(L350=Constants!$B$2, TRUE(), IF(L350=Constants!$B$3, FALSE(), TRUE())))</f>
        <v/>
      </c>
      <c r="W350" s="62" t="str">
        <f aca="false">IF(ISBLANK($C350),"",IF(M350=Constants!$B$2, TRUE(), IF(M350=Constants!$B$3, FALSE(), FALSE())))</f>
        <v/>
      </c>
      <c r="X350" s="62" t="str">
        <f aca="false">IF(ISBLANK($C350),"",AND(Q350&lt;&gt;"",O350))</f>
        <v/>
      </c>
      <c r="Y350" s="62" t="str">
        <f aca="false">IF(ISBLANK($C350),"",AND(T350&lt;&gt;"",O350))</f>
        <v/>
      </c>
      <c r="Z350" s="62" t="str">
        <f aca="false">IF(ISBLANK($C350),"",IF(W350,Constants!$B$4,IF(COUNTA(E350:L350)=0,Constants!$B$5,IF(NOT(O350),Constants!$B$6,IF(AND(NOT(X350),NOT(Y350)),Constants!$B$6,Constants!$B$7)))))</f>
        <v/>
      </c>
      <c r="AA350" s="62" t="str">
        <f aca="false">IF(ISBLANK($C350),"",IF($Z350&lt;&gt;Constants!$B$7,$Z350,Constants!$B$20))</f>
        <v/>
      </c>
      <c r="AB350" s="62" t="str">
        <f aca="false">IF($Z350=Constants!$B$7,IF(X350,Q350,Constants!$B$13),"")</f>
        <v/>
      </c>
      <c r="AC350" s="62" t="str">
        <f aca="false">IF($Z350=Constants!$B$7,IF(X350,P350*IF(R350, 1, Constants!$B$11)*IF(S350, 1, Constants!$B$12),Constants!$B$13),"")</f>
        <v/>
      </c>
      <c r="AD350" s="62" t="str">
        <f aca="false">IF($Z350=Constants!$B$7,AB350*AC350,"")</f>
        <v/>
      </c>
      <c r="AE350" s="62" t="str">
        <f aca="false">IF($Z350=Constants!$B$7,IF(Y350,T350,Constants!$B$13),"")</f>
        <v/>
      </c>
      <c r="AF350" s="62" t="str">
        <f aca="false">IF($Z350=Constants!$B$7,IF(Y350,P350*IF(U350, 1, Constants!$B$11)*IF(V350, 1, Constants!$B$12),Constants!$B$13),"")</f>
        <v/>
      </c>
      <c r="AG350" s="62" t="str">
        <f aca="false">IF($Z350=Constants!$B$7,AE350*AF350,"")</f>
        <v/>
      </c>
      <c r="AH350" s="62" t="str">
        <f aca="false">IF($Z350=Constants!$B$7,IF(AG350&gt;AD350,2,1),"")</f>
        <v/>
      </c>
      <c r="AI350" s="62" t="str">
        <f aca="false">IF($Z350=Constants!$B$7,IF(AH350=1,2,1),"")</f>
        <v/>
      </c>
      <c r="AJ350" s="62" t="str">
        <f aca="false">IF(ISBLANK($C350),"",IF($Z350&lt;&gt;Constants!$B$7,$Z350,IF(AH350=1,AD350,AG350)))</f>
        <v/>
      </c>
      <c r="AK350" s="62" t="str">
        <f aca="false">IF(ISBLANK($C350),"",IF($Z350=Constants!$B$7,IF(ISNUMBER(AJ350),RANK(AJ350,$AJ$8:$AJ$507),Constants!$B$14),$Z350))</f>
        <v/>
      </c>
      <c r="AL350" s="62" t="str">
        <f aca="false">IF(ISBLANK($C350),"",IF($Z350=Constants!$B$7,IF(AI350=1,AD350,AG350),""))</f>
        <v/>
      </c>
      <c r="AM350" s="62" t="str">
        <f aca="false">IF(ISBLANK($C350),"",IF($Z350=Constants!$B$7,RANK(AL350,$AL$8:$AL$507),$Z350))</f>
        <v/>
      </c>
      <c r="AN350" s="62" t="str">
        <f aca="false">IF(ISBLANK($C350),"",IF($Z350=Constants!$B$7,IF(ISNUMBER(AK350),COUNTIFS($AK$8:$AK$507,"&lt;"&amp;$AK350)+COUNTIFS($AK$8:$AK$507,$AK350,$AM$8:$AM$507,"&lt;"&amp;$AM350)+1,Constants!$B$14),$Z350))</f>
        <v/>
      </c>
      <c r="AO350" s="62" t="str">
        <f aca="false">IF(ISBLANK($C350),"",IF($Z350=Constants!$B$7,IF(ISNUMBER(AK350),AK350-AN350,Constants!$B$14),$Z350))</f>
        <v/>
      </c>
      <c r="AP350" s="64"/>
      <c r="AQ350" s="65" t="str">
        <f aca="false">IF(ISBLANK($C350),"",IF($Z350&lt;&gt;Constants!$B$7,"",AH350))</f>
        <v/>
      </c>
      <c r="AR350" s="80" t="str">
        <f aca="false">IF(ISBLANK($C350),"",IF($Z350&lt;&gt;Constants!$B$7,"",IF(AH350=1,AB350,AE350)))</f>
        <v/>
      </c>
      <c r="AS350" s="67" t="str">
        <f aca="false">IF(ISBLANK($C350),"",IF($Z350&lt;&gt;Constants!$B$7,"",IF(AH350=1,AC350,AF350)))</f>
        <v/>
      </c>
      <c r="AT350" s="68" t="str">
        <f aca="false">IF(ISBLANK($C350),"",IF($Z350&lt;&gt;Constants!$B$7,$Z350,AJ350))</f>
        <v/>
      </c>
      <c r="AU350" s="69" t="str">
        <f aca="false">IF(ISBLANK($C350),"",IF($Z350&lt;&gt;Constants!$B$7,$Z350,AA350))</f>
        <v/>
      </c>
      <c r="AV350" s="70" t="str">
        <f aca="false">IF(ISBLANK($C350),"",AO350)</f>
        <v/>
      </c>
      <c r="AW350" s="70" t="str">
        <f aca="false">IF(ISBLANK($C350),"",AN350)</f>
        <v/>
      </c>
      <c r="AX350" s="71" t="str">
        <f aca="false">IF(ISBLANK($C350),"",IFERROR(_xlfn.SWITCH(AW350,Constants!$B$4,COUNTA($C$8:$C$507)+2,Constants!$B$5,COUNTA($C$8:$C$507)+1,Constants!$B$6,COUNTA($C$8:$C$507)),AW350))</f>
        <v/>
      </c>
      <c r="AY350" s="5"/>
      <c r="AZ350" s="72" t="n">
        <f aca="false">IF(OR(ISNUMBER(AW350),AW350=Constants!$B$4,AW350=Constants!$B$6,AW350=Constants!$B$5),1,0)</f>
        <v>0</v>
      </c>
      <c r="BA350" s="72" t="n">
        <v>343</v>
      </c>
      <c r="BB350" s="72" t="str">
        <f aca="false">IF(ISBLANK($C350),"",IF(ISNUMBER(AX350),AX350+ROW($B350)/1000,""))</f>
        <v/>
      </c>
      <c r="BC350" s="72" t="str">
        <f aca="false">IF(ISNUMBER(BB350),RANK(BB350,$BB$8:$BB$507,1),"")</f>
        <v/>
      </c>
      <c r="BD350" s="72" t="str">
        <f aca="false">IF(ISBLANK($C350),"",$B350)</f>
        <v/>
      </c>
      <c r="BE350" s="72" t="str">
        <f aca="false">IF(ISBLANK($C350),"",$C350)</f>
        <v/>
      </c>
      <c r="BF350" s="72" t="str">
        <f aca="false">IF(ISBLANK($C350),"",$D350)</f>
        <v/>
      </c>
      <c r="BG350" s="73" t="str">
        <f aca="false">AU350</f>
        <v/>
      </c>
      <c r="BH350" s="74" t="str">
        <f aca="false">AT350</f>
        <v/>
      </c>
      <c r="BI350" s="72" t="str">
        <f aca="false">IF(ISBLANK($C350),"",AW350)</f>
        <v/>
      </c>
      <c r="BJ350" s="75" t="str">
        <f aca="false">IF($BA350&gt;$AZ$7,"",VLOOKUP($BA350,$BC$8:$BI$507,7,FALSE()))</f>
        <v/>
      </c>
      <c r="BK350" s="76" t="str">
        <f aca="false">IF($BA350&gt;$AZ$7,"",VLOOKUP($BA350,$BC$8:$BI$507,2,FALSE()))</f>
        <v/>
      </c>
      <c r="BL350" s="76" t="str">
        <f aca="false">IF($BA350&gt;$AZ$7,"",VLOOKUP($BA350,$BC$8:$BI$507,3,FALSE()))</f>
        <v/>
      </c>
      <c r="BM350" s="76" t="str">
        <f aca="false">IF($BA350&gt;$AZ$7,"",VLOOKUP($BA350,$BC$8:$BI$507,4,FALSE()))</f>
        <v/>
      </c>
      <c r="BN350" s="76" t="str">
        <f aca="false">IF($BA350&gt;$AZ$7,"",VLOOKUP($BA350,$BC$8:$BI$507,5,FALSE()))</f>
        <v/>
      </c>
      <c r="BO350" s="77" t="str">
        <f aca="false">IF($BA350&gt;$AZ$7,"",VLOOKUP($BA350,$BC$8:$BI$507,6,FALSE()))</f>
        <v/>
      </c>
      <c r="BP350" s="52"/>
    </row>
    <row r="351" customFormat="false" ht="15.75" hidden="false" customHeight="false" outlineLevel="0" collapsed="false">
      <c r="A351" s="5"/>
      <c r="B351" s="118"/>
      <c r="C351" s="54"/>
      <c r="D351" s="55"/>
      <c r="E351" s="79"/>
      <c r="F351" s="57"/>
      <c r="G351" s="58"/>
      <c r="H351" s="58"/>
      <c r="I351" s="57"/>
      <c r="J351" s="58"/>
      <c r="K351" s="58"/>
      <c r="L351" s="57"/>
      <c r="M351" s="79"/>
      <c r="N351" s="60"/>
      <c r="O351" s="62" t="str">
        <f aca="false">IF(ISBLANK($C351),"",IF(E351=Constants!$B$2, TRUE(), IF(E351=Constants!$B$3, FALSE(), TRUE())))</f>
        <v/>
      </c>
      <c r="P351" s="62" t="str">
        <f aca="false">IF(ISBLANK($C351),"",IF(F351=Constants!$B$16,Constants!$B$9,IF(F351=Constants!$B$17,Constants!$B$10,Constants!$B$8)))</f>
        <v/>
      </c>
      <c r="Q351" s="62" t="str">
        <f aca="false">IF(ISBLANK($C351),"",IF(ISNUMBER(G351),IF(G351&gt;=0,G351,""),""))</f>
        <v/>
      </c>
      <c r="R351" s="62" t="str">
        <f aca="false">IF(ISBLANK($C351),"",IF(H351=Constants!$B$2, TRUE(), IF(H351=Constants!$B$3, FALSE(), TRUE())))</f>
        <v/>
      </c>
      <c r="S351" s="62" t="str">
        <f aca="false">IF(ISBLANK($C351),"",IF(I351=Constants!$B$2, TRUE(), IF(I351=Constants!$B$3, FALSE(), TRUE())))</f>
        <v/>
      </c>
      <c r="T351" s="62" t="str">
        <f aca="false">IF(ISBLANK($C351),"",IF(ISNUMBER(J351),IF(J351&gt;=0,J351,""),""))</f>
        <v/>
      </c>
      <c r="U351" s="62" t="str">
        <f aca="false">IF(ISBLANK($C351),"",IF(K351=Constants!$B$2, TRUE(), IF(K351=Constants!$B$3, FALSE(), TRUE())))</f>
        <v/>
      </c>
      <c r="V351" s="62" t="str">
        <f aca="false">IF(ISBLANK($C351),"",IF(L351=Constants!$B$2, TRUE(), IF(L351=Constants!$B$3, FALSE(), TRUE())))</f>
        <v/>
      </c>
      <c r="W351" s="62" t="str">
        <f aca="false">IF(ISBLANK($C351),"",IF(M351=Constants!$B$2, TRUE(), IF(M351=Constants!$B$3, FALSE(), FALSE())))</f>
        <v/>
      </c>
      <c r="X351" s="62" t="str">
        <f aca="false">IF(ISBLANK($C351),"",AND(Q351&lt;&gt;"",O351))</f>
        <v/>
      </c>
      <c r="Y351" s="62" t="str">
        <f aca="false">IF(ISBLANK($C351),"",AND(T351&lt;&gt;"",O351))</f>
        <v/>
      </c>
      <c r="Z351" s="62" t="str">
        <f aca="false">IF(ISBLANK($C351),"",IF(W351,Constants!$B$4,IF(COUNTA(E351:L351)=0,Constants!$B$5,IF(NOT(O351),Constants!$B$6,IF(AND(NOT(X351),NOT(Y351)),Constants!$B$6,Constants!$B$7)))))</f>
        <v/>
      </c>
      <c r="AA351" s="62" t="str">
        <f aca="false">IF(ISBLANK($C351),"",IF($Z351&lt;&gt;Constants!$B$7,$Z351,Constants!$B$20))</f>
        <v/>
      </c>
      <c r="AB351" s="62" t="str">
        <f aca="false">IF($Z351=Constants!$B$7,IF(X351,Q351,Constants!$B$13),"")</f>
        <v/>
      </c>
      <c r="AC351" s="62" t="str">
        <f aca="false">IF($Z351=Constants!$B$7,IF(X351,P351*IF(R351, 1, Constants!$B$11)*IF(S351, 1, Constants!$B$12),Constants!$B$13),"")</f>
        <v/>
      </c>
      <c r="AD351" s="62" t="str">
        <f aca="false">IF($Z351=Constants!$B$7,AB351*AC351,"")</f>
        <v/>
      </c>
      <c r="AE351" s="62" t="str">
        <f aca="false">IF($Z351=Constants!$B$7,IF(Y351,T351,Constants!$B$13),"")</f>
        <v/>
      </c>
      <c r="AF351" s="62" t="str">
        <f aca="false">IF($Z351=Constants!$B$7,IF(Y351,P351*IF(U351, 1, Constants!$B$11)*IF(V351, 1, Constants!$B$12),Constants!$B$13),"")</f>
        <v/>
      </c>
      <c r="AG351" s="62" t="str">
        <f aca="false">IF($Z351=Constants!$B$7,AE351*AF351,"")</f>
        <v/>
      </c>
      <c r="AH351" s="62" t="str">
        <f aca="false">IF($Z351=Constants!$B$7,IF(AG351&gt;AD351,2,1),"")</f>
        <v/>
      </c>
      <c r="AI351" s="62" t="str">
        <f aca="false">IF($Z351=Constants!$B$7,IF(AH351=1,2,1),"")</f>
        <v/>
      </c>
      <c r="AJ351" s="62" t="str">
        <f aca="false">IF(ISBLANK($C351),"",IF($Z351&lt;&gt;Constants!$B$7,$Z351,IF(AH351=1,AD351,AG351)))</f>
        <v/>
      </c>
      <c r="AK351" s="62" t="str">
        <f aca="false">IF(ISBLANK($C351),"",IF($Z351=Constants!$B$7,IF(ISNUMBER(AJ351),RANK(AJ351,$AJ$8:$AJ$507),Constants!$B$14),$Z351))</f>
        <v/>
      </c>
      <c r="AL351" s="62" t="str">
        <f aca="false">IF(ISBLANK($C351),"",IF($Z351=Constants!$B$7,IF(AI351=1,AD351,AG351),""))</f>
        <v/>
      </c>
      <c r="AM351" s="62" t="str">
        <f aca="false">IF(ISBLANK($C351),"",IF($Z351=Constants!$B$7,RANK(AL351,$AL$8:$AL$507),$Z351))</f>
        <v/>
      </c>
      <c r="AN351" s="62" t="str">
        <f aca="false">IF(ISBLANK($C351),"",IF($Z351=Constants!$B$7,IF(ISNUMBER(AK351),COUNTIFS($AK$8:$AK$507,"&lt;"&amp;$AK351)+COUNTIFS($AK$8:$AK$507,$AK351,$AM$8:$AM$507,"&lt;"&amp;$AM351)+1,Constants!$B$14),$Z351))</f>
        <v/>
      </c>
      <c r="AO351" s="62" t="str">
        <f aca="false">IF(ISBLANK($C351),"",IF($Z351=Constants!$B$7,IF(ISNUMBER(AK351),AK351-AN351,Constants!$B$14),$Z351))</f>
        <v/>
      </c>
      <c r="AP351" s="64"/>
      <c r="AQ351" s="65" t="str">
        <f aca="false">IF(ISBLANK($C351),"",IF($Z351&lt;&gt;Constants!$B$7,"",AH351))</f>
        <v/>
      </c>
      <c r="AR351" s="80" t="str">
        <f aca="false">IF(ISBLANK($C351),"",IF($Z351&lt;&gt;Constants!$B$7,"",IF(AH351=1,AB351,AE351)))</f>
        <v/>
      </c>
      <c r="AS351" s="67" t="str">
        <f aca="false">IF(ISBLANK($C351),"",IF($Z351&lt;&gt;Constants!$B$7,"",IF(AH351=1,AC351,AF351)))</f>
        <v/>
      </c>
      <c r="AT351" s="68" t="str">
        <f aca="false">IF(ISBLANK($C351),"",IF($Z351&lt;&gt;Constants!$B$7,$Z351,AJ351))</f>
        <v/>
      </c>
      <c r="AU351" s="69" t="str">
        <f aca="false">IF(ISBLANK($C351),"",IF($Z351&lt;&gt;Constants!$B$7,$Z351,AA351))</f>
        <v/>
      </c>
      <c r="AV351" s="70" t="str">
        <f aca="false">IF(ISBLANK($C351),"",AO351)</f>
        <v/>
      </c>
      <c r="AW351" s="70" t="str">
        <f aca="false">IF(ISBLANK($C351),"",AN351)</f>
        <v/>
      </c>
      <c r="AX351" s="71" t="str">
        <f aca="false">IF(ISBLANK($C351),"",IFERROR(_xlfn.SWITCH(AW351,Constants!$B$4,COUNTA($C$8:$C$507)+2,Constants!$B$5,COUNTA($C$8:$C$507)+1,Constants!$B$6,COUNTA($C$8:$C$507)),AW351))</f>
        <v/>
      </c>
      <c r="AY351" s="5"/>
      <c r="AZ351" s="72" t="n">
        <f aca="false">IF(OR(ISNUMBER(AW351),AW351=Constants!$B$4,AW351=Constants!$B$6,AW351=Constants!$B$5),1,0)</f>
        <v>0</v>
      </c>
      <c r="BA351" s="72" t="n">
        <v>344</v>
      </c>
      <c r="BB351" s="72" t="str">
        <f aca="false">IF(ISBLANK($C351),"",IF(ISNUMBER(AX351),AX351+ROW($B351)/1000,""))</f>
        <v/>
      </c>
      <c r="BC351" s="72" t="str">
        <f aca="false">IF(ISNUMBER(BB351),RANK(BB351,$BB$8:$BB$507,1),"")</f>
        <v/>
      </c>
      <c r="BD351" s="72" t="str">
        <f aca="false">IF(ISBLANK($C351),"",$B351)</f>
        <v/>
      </c>
      <c r="BE351" s="72" t="str">
        <f aca="false">IF(ISBLANK($C351),"",$C351)</f>
        <v/>
      </c>
      <c r="BF351" s="72" t="str">
        <f aca="false">IF(ISBLANK($C351),"",$D351)</f>
        <v/>
      </c>
      <c r="BG351" s="73" t="str">
        <f aca="false">AU351</f>
        <v/>
      </c>
      <c r="BH351" s="74" t="str">
        <f aca="false">AT351</f>
        <v/>
      </c>
      <c r="BI351" s="72" t="str">
        <f aca="false">IF(ISBLANK($C351),"",AW351)</f>
        <v/>
      </c>
      <c r="BJ351" s="75" t="str">
        <f aca="false">IF($BA351&gt;$AZ$7,"",VLOOKUP($BA351,$BC$8:$BI$507,7,FALSE()))</f>
        <v/>
      </c>
      <c r="BK351" s="76" t="str">
        <f aca="false">IF($BA351&gt;$AZ$7,"",VLOOKUP($BA351,$BC$8:$BI$507,2,FALSE()))</f>
        <v/>
      </c>
      <c r="BL351" s="76" t="str">
        <f aca="false">IF($BA351&gt;$AZ$7,"",VLOOKUP($BA351,$BC$8:$BI$507,3,FALSE()))</f>
        <v/>
      </c>
      <c r="BM351" s="76" t="str">
        <f aca="false">IF($BA351&gt;$AZ$7,"",VLOOKUP($BA351,$BC$8:$BI$507,4,FALSE()))</f>
        <v/>
      </c>
      <c r="BN351" s="76" t="str">
        <f aca="false">IF($BA351&gt;$AZ$7,"",VLOOKUP($BA351,$BC$8:$BI$507,5,FALSE()))</f>
        <v/>
      </c>
      <c r="BO351" s="77" t="str">
        <f aca="false">IF($BA351&gt;$AZ$7,"",VLOOKUP($BA351,$BC$8:$BI$507,6,FALSE()))</f>
        <v/>
      </c>
      <c r="BP351" s="52"/>
    </row>
    <row r="352" customFormat="false" ht="15.75" hidden="false" customHeight="false" outlineLevel="0" collapsed="false">
      <c r="A352" s="5"/>
      <c r="B352" s="118"/>
      <c r="C352" s="54"/>
      <c r="D352" s="55"/>
      <c r="E352" s="79"/>
      <c r="F352" s="57"/>
      <c r="G352" s="58"/>
      <c r="H352" s="58"/>
      <c r="I352" s="57"/>
      <c r="J352" s="58"/>
      <c r="K352" s="58"/>
      <c r="L352" s="57"/>
      <c r="M352" s="79"/>
      <c r="N352" s="60"/>
      <c r="O352" s="62" t="str">
        <f aca="false">IF(ISBLANK($C352),"",IF(E352=Constants!$B$2, TRUE(), IF(E352=Constants!$B$3, FALSE(), TRUE())))</f>
        <v/>
      </c>
      <c r="P352" s="62" t="str">
        <f aca="false">IF(ISBLANK($C352),"",IF(F352=Constants!$B$16,Constants!$B$9,IF(F352=Constants!$B$17,Constants!$B$10,Constants!$B$8)))</f>
        <v/>
      </c>
      <c r="Q352" s="62" t="str">
        <f aca="false">IF(ISBLANK($C352),"",IF(ISNUMBER(G352),IF(G352&gt;=0,G352,""),""))</f>
        <v/>
      </c>
      <c r="R352" s="62" t="str">
        <f aca="false">IF(ISBLANK($C352),"",IF(H352=Constants!$B$2, TRUE(), IF(H352=Constants!$B$3, FALSE(), TRUE())))</f>
        <v/>
      </c>
      <c r="S352" s="62" t="str">
        <f aca="false">IF(ISBLANK($C352),"",IF(I352=Constants!$B$2, TRUE(), IF(I352=Constants!$B$3, FALSE(), TRUE())))</f>
        <v/>
      </c>
      <c r="T352" s="62" t="str">
        <f aca="false">IF(ISBLANK($C352),"",IF(ISNUMBER(J352),IF(J352&gt;=0,J352,""),""))</f>
        <v/>
      </c>
      <c r="U352" s="62" t="str">
        <f aca="false">IF(ISBLANK($C352),"",IF(K352=Constants!$B$2, TRUE(), IF(K352=Constants!$B$3, FALSE(), TRUE())))</f>
        <v/>
      </c>
      <c r="V352" s="62" t="str">
        <f aca="false">IF(ISBLANK($C352),"",IF(L352=Constants!$B$2, TRUE(), IF(L352=Constants!$B$3, FALSE(), TRUE())))</f>
        <v/>
      </c>
      <c r="W352" s="62" t="str">
        <f aca="false">IF(ISBLANK($C352),"",IF(M352=Constants!$B$2, TRUE(), IF(M352=Constants!$B$3, FALSE(), FALSE())))</f>
        <v/>
      </c>
      <c r="X352" s="62" t="str">
        <f aca="false">IF(ISBLANK($C352),"",AND(Q352&lt;&gt;"",O352))</f>
        <v/>
      </c>
      <c r="Y352" s="62" t="str">
        <f aca="false">IF(ISBLANK($C352),"",AND(T352&lt;&gt;"",O352))</f>
        <v/>
      </c>
      <c r="Z352" s="62" t="str">
        <f aca="false">IF(ISBLANK($C352),"",IF(W352,Constants!$B$4,IF(COUNTA(E352:L352)=0,Constants!$B$5,IF(NOT(O352),Constants!$B$6,IF(AND(NOT(X352),NOT(Y352)),Constants!$B$6,Constants!$B$7)))))</f>
        <v/>
      </c>
      <c r="AA352" s="62" t="str">
        <f aca="false">IF(ISBLANK($C352),"",IF($Z352&lt;&gt;Constants!$B$7,$Z352,Constants!$B$20))</f>
        <v/>
      </c>
      <c r="AB352" s="62" t="str">
        <f aca="false">IF($Z352=Constants!$B$7,IF(X352,Q352,Constants!$B$13),"")</f>
        <v/>
      </c>
      <c r="AC352" s="62" t="str">
        <f aca="false">IF($Z352=Constants!$B$7,IF(X352,P352*IF(R352, 1, Constants!$B$11)*IF(S352, 1, Constants!$B$12),Constants!$B$13),"")</f>
        <v/>
      </c>
      <c r="AD352" s="62" t="str">
        <f aca="false">IF($Z352=Constants!$B$7,AB352*AC352,"")</f>
        <v/>
      </c>
      <c r="AE352" s="62" t="str">
        <f aca="false">IF($Z352=Constants!$B$7,IF(Y352,T352,Constants!$B$13),"")</f>
        <v/>
      </c>
      <c r="AF352" s="62" t="str">
        <f aca="false">IF($Z352=Constants!$B$7,IF(Y352,P352*IF(U352, 1, Constants!$B$11)*IF(V352, 1, Constants!$B$12),Constants!$B$13),"")</f>
        <v/>
      </c>
      <c r="AG352" s="62" t="str">
        <f aca="false">IF($Z352=Constants!$B$7,AE352*AF352,"")</f>
        <v/>
      </c>
      <c r="AH352" s="62" t="str">
        <f aca="false">IF($Z352=Constants!$B$7,IF(AG352&gt;AD352,2,1),"")</f>
        <v/>
      </c>
      <c r="AI352" s="62" t="str">
        <f aca="false">IF($Z352=Constants!$B$7,IF(AH352=1,2,1),"")</f>
        <v/>
      </c>
      <c r="AJ352" s="62" t="str">
        <f aca="false">IF(ISBLANK($C352),"",IF($Z352&lt;&gt;Constants!$B$7,$Z352,IF(AH352=1,AD352,AG352)))</f>
        <v/>
      </c>
      <c r="AK352" s="62" t="str">
        <f aca="false">IF(ISBLANK($C352),"",IF($Z352=Constants!$B$7,IF(ISNUMBER(AJ352),RANK(AJ352,$AJ$8:$AJ$507),Constants!$B$14),$Z352))</f>
        <v/>
      </c>
      <c r="AL352" s="62" t="str">
        <f aca="false">IF(ISBLANK($C352),"",IF($Z352=Constants!$B$7,IF(AI352=1,AD352,AG352),""))</f>
        <v/>
      </c>
      <c r="AM352" s="62" t="str">
        <f aca="false">IF(ISBLANK($C352),"",IF($Z352=Constants!$B$7,RANK(AL352,$AL$8:$AL$507),$Z352))</f>
        <v/>
      </c>
      <c r="AN352" s="62" t="str">
        <f aca="false">IF(ISBLANK($C352),"",IF($Z352=Constants!$B$7,IF(ISNUMBER(AK352),COUNTIFS($AK$8:$AK$507,"&lt;"&amp;$AK352)+COUNTIFS($AK$8:$AK$507,$AK352,$AM$8:$AM$507,"&lt;"&amp;$AM352)+1,Constants!$B$14),$Z352))</f>
        <v/>
      </c>
      <c r="AO352" s="62" t="str">
        <f aca="false">IF(ISBLANK($C352),"",IF($Z352=Constants!$B$7,IF(ISNUMBER(AK352),AK352-AN352,Constants!$B$14),$Z352))</f>
        <v/>
      </c>
      <c r="AP352" s="64"/>
      <c r="AQ352" s="65" t="str">
        <f aca="false">IF(ISBLANK($C352),"",IF($Z352&lt;&gt;Constants!$B$7,"",AH352))</f>
        <v/>
      </c>
      <c r="AR352" s="80" t="str">
        <f aca="false">IF(ISBLANK($C352),"",IF($Z352&lt;&gt;Constants!$B$7,"",IF(AH352=1,AB352,AE352)))</f>
        <v/>
      </c>
      <c r="AS352" s="67" t="str">
        <f aca="false">IF(ISBLANK($C352),"",IF($Z352&lt;&gt;Constants!$B$7,"",IF(AH352=1,AC352,AF352)))</f>
        <v/>
      </c>
      <c r="AT352" s="68" t="str">
        <f aca="false">IF(ISBLANK($C352),"",IF($Z352&lt;&gt;Constants!$B$7,$Z352,AJ352))</f>
        <v/>
      </c>
      <c r="AU352" s="69" t="str">
        <f aca="false">IF(ISBLANK($C352),"",IF($Z352&lt;&gt;Constants!$B$7,$Z352,AA352))</f>
        <v/>
      </c>
      <c r="AV352" s="70" t="str">
        <f aca="false">IF(ISBLANK($C352),"",AO352)</f>
        <v/>
      </c>
      <c r="AW352" s="70" t="str">
        <f aca="false">IF(ISBLANK($C352),"",AN352)</f>
        <v/>
      </c>
      <c r="AX352" s="71" t="str">
        <f aca="false">IF(ISBLANK($C352),"",IFERROR(_xlfn.SWITCH(AW352,Constants!$B$4,COUNTA($C$8:$C$507)+2,Constants!$B$5,COUNTA($C$8:$C$507)+1,Constants!$B$6,COUNTA($C$8:$C$507)),AW352))</f>
        <v/>
      </c>
      <c r="AY352" s="5"/>
      <c r="AZ352" s="72" t="n">
        <f aca="false">IF(OR(ISNUMBER(AW352),AW352=Constants!$B$4,AW352=Constants!$B$6,AW352=Constants!$B$5),1,0)</f>
        <v>0</v>
      </c>
      <c r="BA352" s="72" t="n">
        <v>345</v>
      </c>
      <c r="BB352" s="72" t="str">
        <f aca="false">IF(ISBLANK($C352),"",IF(ISNUMBER(AX352),AX352+ROW($B352)/1000,""))</f>
        <v/>
      </c>
      <c r="BC352" s="72" t="str">
        <f aca="false">IF(ISNUMBER(BB352),RANK(BB352,$BB$8:$BB$507,1),"")</f>
        <v/>
      </c>
      <c r="BD352" s="72" t="str">
        <f aca="false">IF(ISBLANK($C352),"",$B352)</f>
        <v/>
      </c>
      <c r="BE352" s="72" t="str">
        <f aca="false">IF(ISBLANK($C352),"",$C352)</f>
        <v/>
      </c>
      <c r="BF352" s="72" t="str">
        <f aca="false">IF(ISBLANK($C352),"",$D352)</f>
        <v/>
      </c>
      <c r="BG352" s="73" t="str">
        <f aca="false">AU352</f>
        <v/>
      </c>
      <c r="BH352" s="74" t="str">
        <f aca="false">AT352</f>
        <v/>
      </c>
      <c r="BI352" s="72" t="str">
        <f aca="false">IF(ISBLANK($C352),"",AW352)</f>
        <v/>
      </c>
      <c r="BJ352" s="75" t="str">
        <f aca="false">IF($BA352&gt;$AZ$7,"",VLOOKUP($BA352,$BC$8:$BI$507,7,FALSE()))</f>
        <v/>
      </c>
      <c r="BK352" s="76" t="str">
        <f aca="false">IF($BA352&gt;$AZ$7,"",VLOOKUP($BA352,$BC$8:$BI$507,2,FALSE()))</f>
        <v/>
      </c>
      <c r="BL352" s="76" t="str">
        <f aca="false">IF($BA352&gt;$AZ$7,"",VLOOKUP($BA352,$BC$8:$BI$507,3,FALSE()))</f>
        <v/>
      </c>
      <c r="BM352" s="76" t="str">
        <f aca="false">IF($BA352&gt;$AZ$7,"",VLOOKUP($BA352,$BC$8:$BI$507,4,FALSE()))</f>
        <v/>
      </c>
      <c r="BN352" s="76" t="str">
        <f aca="false">IF($BA352&gt;$AZ$7,"",VLOOKUP($BA352,$BC$8:$BI$507,5,FALSE()))</f>
        <v/>
      </c>
      <c r="BO352" s="77" t="str">
        <f aca="false">IF($BA352&gt;$AZ$7,"",VLOOKUP($BA352,$BC$8:$BI$507,6,FALSE()))</f>
        <v/>
      </c>
      <c r="BP352" s="52"/>
    </row>
    <row r="353" customFormat="false" ht="15.75" hidden="false" customHeight="false" outlineLevel="0" collapsed="false">
      <c r="A353" s="5"/>
      <c r="B353" s="114"/>
      <c r="C353" s="115"/>
      <c r="D353" s="106"/>
      <c r="E353" s="117"/>
      <c r="F353" s="87"/>
      <c r="G353" s="88"/>
      <c r="H353" s="88"/>
      <c r="I353" s="87"/>
      <c r="J353" s="88"/>
      <c r="K353" s="88"/>
      <c r="L353" s="87"/>
      <c r="M353" s="117"/>
      <c r="N353" s="90"/>
      <c r="O353" s="91" t="str">
        <f aca="false">IF(ISBLANK($C353),"",IF(E353=Constants!$B$2, TRUE(), IF(E353=Constants!$B$3, FALSE(), TRUE())))</f>
        <v/>
      </c>
      <c r="P353" s="91" t="str">
        <f aca="false">IF(ISBLANK($C353),"",IF(F353=Constants!$B$16,Constants!$B$9,IF(F353=Constants!$B$17,Constants!$B$10,Constants!$B$8)))</f>
        <v/>
      </c>
      <c r="Q353" s="91" t="str">
        <f aca="false">IF(ISBLANK($C353),"",IF(ISNUMBER(G353),IF(G353&gt;=0,G353,""),""))</f>
        <v/>
      </c>
      <c r="R353" s="91" t="str">
        <f aca="false">IF(ISBLANK($C353),"",IF(H353=Constants!$B$2, TRUE(), IF(H353=Constants!$B$3, FALSE(), TRUE())))</f>
        <v/>
      </c>
      <c r="S353" s="91" t="str">
        <f aca="false">IF(ISBLANK($C353),"",IF(I353=Constants!$B$2, TRUE(), IF(I353=Constants!$B$3, FALSE(), TRUE())))</f>
        <v/>
      </c>
      <c r="T353" s="91" t="str">
        <f aca="false">IF(ISBLANK($C353),"",IF(ISNUMBER(J353),IF(J353&gt;=0,J353,""),""))</f>
        <v/>
      </c>
      <c r="U353" s="91" t="str">
        <f aca="false">IF(ISBLANK($C353),"",IF(K353=Constants!$B$2, TRUE(), IF(K353=Constants!$B$3, FALSE(), TRUE())))</f>
        <v/>
      </c>
      <c r="V353" s="91" t="str">
        <f aca="false">IF(ISBLANK($C353),"",IF(L353=Constants!$B$2, TRUE(), IF(L353=Constants!$B$3, FALSE(), TRUE())))</f>
        <v/>
      </c>
      <c r="W353" s="91" t="str">
        <f aca="false">IF(ISBLANK($C353),"",IF(M353=Constants!$B$2, TRUE(), IF(M353=Constants!$B$3, FALSE(), FALSE())))</f>
        <v/>
      </c>
      <c r="X353" s="91" t="str">
        <f aca="false">IF(ISBLANK($C353),"",AND(Q353&lt;&gt;"",O353))</f>
        <v/>
      </c>
      <c r="Y353" s="91" t="str">
        <f aca="false">IF(ISBLANK($C353),"",AND(T353&lt;&gt;"",O353))</f>
        <v/>
      </c>
      <c r="Z353" s="91" t="str">
        <f aca="false">IF(ISBLANK($C353),"",IF(W353,Constants!$B$4,IF(COUNTA(E353:L353)=0,Constants!$B$5,IF(NOT(O353),Constants!$B$6,IF(AND(NOT(X353),NOT(Y353)),Constants!$B$6,Constants!$B$7)))))</f>
        <v/>
      </c>
      <c r="AA353" s="91" t="str">
        <f aca="false">IF(ISBLANK($C353),"",IF($Z353&lt;&gt;Constants!$B$7,$Z353,Constants!$B$20))</f>
        <v/>
      </c>
      <c r="AB353" s="91" t="str">
        <f aca="false">IF($Z353=Constants!$B$7,IF(X353,Q353,Constants!$B$13),"")</f>
        <v/>
      </c>
      <c r="AC353" s="91" t="str">
        <f aca="false">IF($Z353=Constants!$B$7,IF(X353,P353*IF(R353, 1, Constants!$B$11)*IF(S353, 1, Constants!$B$12),Constants!$B$13),"")</f>
        <v/>
      </c>
      <c r="AD353" s="91" t="str">
        <f aca="false">IF($Z353=Constants!$B$7,AB353*AC353,"")</f>
        <v/>
      </c>
      <c r="AE353" s="91" t="str">
        <f aca="false">IF($Z353=Constants!$B$7,IF(Y353,T353,Constants!$B$13),"")</f>
        <v/>
      </c>
      <c r="AF353" s="91" t="str">
        <f aca="false">IF($Z353=Constants!$B$7,IF(Y353,P353*IF(U353, 1, Constants!$B$11)*IF(V353, 1, Constants!$B$12),Constants!$B$13),"")</f>
        <v/>
      </c>
      <c r="AG353" s="91" t="str">
        <f aca="false">IF($Z353=Constants!$B$7,AE353*AF353,"")</f>
        <v/>
      </c>
      <c r="AH353" s="91" t="str">
        <f aca="false">IF($Z353=Constants!$B$7,IF(AG353&gt;AD353,2,1),"")</f>
        <v/>
      </c>
      <c r="AI353" s="91" t="str">
        <f aca="false">IF($Z353=Constants!$B$7,IF(AH353=1,2,1),"")</f>
        <v/>
      </c>
      <c r="AJ353" s="91" t="str">
        <f aca="false">IF(ISBLANK($C353),"",IF($Z353&lt;&gt;Constants!$B$7,$Z353,IF(AH353=1,AD353,AG353)))</f>
        <v/>
      </c>
      <c r="AK353" s="91" t="str">
        <f aca="false">IF(ISBLANK($C353),"",IF($Z353=Constants!$B$7,IF(ISNUMBER(AJ353),RANK(AJ353,$AJ$8:$AJ$507),Constants!$B$14),$Z353))</f>
        <v/>
      </c>
      <c r="AL353" s="91" t="str">
        <f aca="false">IF(ISBLANK($C353),"",IF($Z353=Constants!$B$7,IF(AI353=1,AD353,AG353),""))</f>
        <v/>
      </c>
      <c r="AM353" s="91" t="str">
        <f aca="false">IF(ISBLANK($C353),"",IF($Z353=Constants!$B$7,RANK(AL353,$AL$8:$AL$507),$Z353))</f>
        <v/>
      </c>
      <c r="AN353" s="91" t="str">
        <f aca="false">IF(ISBLANK($C353),"",IF($Z353=Constants!$B$7,IF(ISNUMBER(AK353),COUNTIFS($AK$8:$AK$507,"&lt;"&amp;$AK353)+COUNTIFS($AK$8:$AK$507,$AK353,$AM$8:$AM$507,"&lt;"&amp;$AM353)+1,Constants!$B$14),$Z353))</f>
        <v/>
      </c>
      <c r="AO353" s="91" t="str">
        <f aca="false">IF(ISBLANK($C353),"",IF($Z353=Constants!$B$7,IF(ISNUMBER(AK353),AK353-AN353,Constants!$B$14),$Z353))</f>
        <v/>
      </c>
      <c r="AP353" s="92"/>
      <c r="AQ353" s="93" t="str">
        <f aca="false">IF(ISBLANK($C353),"",IF($Z353&lt;&gt;Constants!$B$7,"",AH353))</f>
        <v/>
      </c>
      <c r="AR353" s="94" t="str">
        <f aca="false">IF(ISBLANK($C353),"",IF($Z353&lt;&gt;Constants!$B$7,"",IF(AH353=1,AB353,AE353)))</f>
        <v/>
      </c>
      <c r="AS353" s="95" t="str">
        <f aca="false">IF(ISBLANK($C353),"",IF($Z353&lt;&gt;Constants!$B$7,"",IF(AH353=1,AC353,AF353)))</f>
        <v/>
      </c>
      <c r="AT353" s="96" t="str">
        <f aca="false">IF(ISBLANK($C353),"",IF($Z353&lt;&gt;Constants!$B$7,$Z353,AJ353))</f>
        <v/>
      </c>
      <c r="AU353" s="97" t="str">
        <f aca="false">IF(ISBLANK($C353),"",IF($Z353&lt;&gt;Constants!$B$7,$Z353,AA353))</f>
        <v/>
      </c>
      <c r="AV353" s="98" t="str">
        <f aca="false">IF(ISBLANK($C353),"",AO353)</f>
        <v/>
      </c>
      <c r="AW353" s="98" t="str">
        <f aca="false">IF(ISBLANK($C353),"",AN353)</f>
        <v/>
      </c>
      <c r="AX353" s="99" t="str">
        <f aca="false">IF(ISBLANK($C353),"",IFERROR(_xlfn.SWITCH(AW353,Constants!$B$4,COUNTA($C$8:$C$507)+2,Constants!$B$5,COUNTA($C$8:$C$507)+1,Constants!$B$6,COUNTA($C$8:$C$507)),AW353))</f>
        <v/>
      </c>
      <c r="AY353" s="5"/>
      <c r="AZ353" s="100" t="n">
        <f aca="false">IF(OR(ISNUMBER(AW353),AW353=Constants!$B$4,AW353=Constants!$B$6,AW353=Constants!$B$5),1,0)</f>
        <v>0</v>
      </c>
      <c r="BA353" s="100" t="n">
        <v>346</v>
      </c>
      <c r="BB353" s="100" t="str">
        <f aca="false">IF(ISBLANK($C353),"",IF(ISNUMBER(AX353),AX353+ROW($B353)/1000,""))</f>
        <v/>
      </c>
      <c r="BC353" s="100" t="str">
        <f aca="false">IF(ISNUMBER(BB353),RANK(BB353,$BB$8:$BB$507,1),"")</f>
        <v/>
      </c>
      <c r="BD353" s="100" t="str">
        <f aca="false">IF(ISBLANK($C353),"",$B353)</f>
        <v/>
      </c>
      <c r="BE353" s="100" t="str">
        <f aca="false">IF(ISBLANK($C353),"",$C353)</f>
        <v/>
      </c>
      <c r="BF353" s="100" t="str">
        <f aca="false">IF(ISBLANK($C353),"",$D353)</f>
        <v/>
      </c>
      <c r="BG353" s="101" t="str">
        <f aca="false">AU353</f>
        <v/>
      </c>
      <c r="BH353" s="102" t="str">
        <f aca="false">AT353</f>
        <v/>
      </c>
      <c r="BI353" s="100" t="str">
        <f aca="false">IF(ISBLANK($C353),"",AW353)</f>
        <v/>
      </c>
      <c r="BJ353" s="103" t="str">
        <f aca="false">IF($BA353&gt;$AZ$7,"",VLOOKUP($BA353,$BC$8:$BI$507,7,FALSE()))</f>
        <v/>
      </c>
      <c r="BK353" s="104" t="str">
        <f aca="false">IF($BA353&gt;$AZ$7,"",VLOOKUP($BA353,$BC$8:$BI$507,2,FALSE()))</f>
        <v/>
      </c>
      <c r="BL353" s="104" t="str">
        <f aca="false">IF($BA353&gt;$AZ$7,"",VLOOKUP($BA353,$BC$8:$BI$507,3,FALSE()))</f>
        <v/>
      </c>
      <c r="BM353" s="104" t="str">
        <f aca="false">IF($BA353&gt;$AZ$7,"",VLOOKUP($BA353,$BC$8:$BI$507,4,FALSE()))</f>
        <v/>
      </c>
      <c r="BN353" s="104" t="str">
        <f aca="false">IF($BA353&gt;$AZ$7,"",VLOOKUP($BA353,$BC$8:$BI$507,5,FALSE()))</f>
        <v/>
      </c>
      <c r="BO353" s="105" t="str">
        <f aca="false">IF($BA353&gt;$AZ$7,"",VLOOKUP($BA353,$BC$8:$BI$507,6,FALSE()))</f>
        <v/>
      </c>
      <c r="BP353" s="52"/>
    </row>
    <row r="354" customFormat="false" ht="15.75" hidden="false" customHeight="false" outlineLevel="0" collapsed="false">
      <c r="A354" s="5"/>
      <c r="B354" s="114"/>
      <c r="C354" s="115"/>
      <c r="D354" s="106"/>
      <c r="E354" s="117"/>
      <c r="F354" s="87"/>
      <c r="G354" s="88"/>
      <c r="H354" s="88"/>
      <c r="I354" s="87"/>
      <c r="J354" s="88"/>
      <c r="K354" s="88"/>
      <c r="L354" s="87"/>
      <c r="M354" s="117"/>
      <c r="N354" s="90"/>
      <c r="O354" s="91" t="str">
        <f aca="false">IF(ISBLANK($C354),"",IF(E354=Constants!$B$2, TRUE(), IF(E354=Constants!$B$3, FALSE(), TRUE())))</f>
        <v/>
      </c>
      <c r="P354" s="91" t="str">
        <f aca="false">IF(ISBLANK($C354),"",IF(F354=Constants!$B$16,Constants!$B$9,IF(F354=Constants!$B$17,Constants!$B$10,Constants!$B$8)))</f>
        <v/>
      </c>
      <c r="Q354" s="91" t="str">
        <f aca="false">IF(ISBLANK($C354),"",IF(ISNUMBER(G354),IF(G354&gt;=0,G354,""),""))</f>
        <v/>
      </c>
      <c r="R354" s="91" t="str">
        <f aca="false">IF(ISBLANK($C354),"",IF(H354=Constants!$B$2, TRUE(), IF(H354=Constants!$B$3, FALSE(), TRUE())))</f>
        <v/>
      </c>
      <c r="S354" s="91" t="str">
        <f aca="false">IF(ISBLANK($C354),"",IF(I354=Constants!$B$2, TRUE(), IF(I354=Constants!$B$3, FALSE(), TRUE())))</f>
        <v/>
      </c>
      <c r="T354" s="91" t="str">
        <f aca="false">IF(ISBLANK($C354),"",IF(ISNUMBER(J354),IF(J354&gt;=0,J354,""),""))</f>
        <v/>
      </c>
      <c r="U354" s="91" t="str">
        <f aca="false">IF(ISBLANK($C354),"",IF(K354=Constants!$B$2, TRUE(), IF(K354=Constants!$B$3, FALSE(), TRUE())))</f>
        <v/>
      </c>
      <c r="V354" s="91" t="str">
        <f aca="false">IF(ISBLANK($C354),"",IF(L354=Constants!$B$2, TRUE(), IF(L354=Constants!$B$3, FALSE(), TRUE())))</f>
        <v/>
      </c>
      <c r="W354" s="91" t="str">
        <f aca="false">IF(ISBLANK($C354),"",IF(M354=Constants!$B$2, TRUE(), IF(M354=Constants!$B$3, FALSE(), FALSE())))</f>
        <v/>
      </c>
      <c r="X354" s="91" t="str">
        <f aca="false">IF(ISBLANK($C354),"",AND(Q354&lt;&gt;"",O354))</f>
        <v/>
      </c>
      <c r="Y354" s="91" t="str">
        <f aca="false">IF(ISBLANK($C354),"",AND(T354&lt;&gt;"",O354))</f>
        <v/>
      </c>
      <c r="Z354" s="91" t="str">
        <f aca="false">IF(ISBLANK($C354),"",IF(W354,Constants!$B$4,IF(COUNTA(E354:L354)=0,Constants!$B$5,IF(NOT(O354),Constants!$B$6,IF(AND(NOT(X354),NOT(Y354)),Constants!$B$6,Constants!$B$7)))))</f>
        <v/>
      </c>
      <c r="AA354" s="91" t="str">
        <f aca="false">IF(ISBLANK($C354),"",IF($Z354&lt;&gt;Constants!$B$7,$Z354,Constants!$B$20))</f>
        <v/>
      </c>
      <c r="AB354" s="91" t="str">
        <f aca="false">IF($Z354=Constants!$B$7,IF(X354,Q354,Constants!$B$13),"")</f>
        <v/>
      </c>
      <c r="AC354" s="91" t="str">
        <f aca="false">IF($Z354=Constants!$B$7,IF(X354,P354*IF(R354, 1, Constants!$B$11)*IF(S354, 1, Constants!$B$12),Constants!$B$13),"")</f>
        <v/>
      </c>
      <c r="AD354" s="91" t="str">
        <f aca="false">IF($Z354=Constants!$B$7,AB354*AC354,"")</f>
        <v/>
      </c>
      <c r="AE354" s="91" t="str">
        <f aca="false">IF($Z354=Constants!$B$7,IF(Y354,T354,Constants!$B$13),"")</f>
        <v/>
      </c>
      <c r="AF354" s="91" t="str">
        <f aca="false">IF($Z354=Constants!$B$7,IF(Y354,P354*IF(U354, 1, Constants!$B$11)*IF(V354, 1, Constants!$B$12),Constants!$B$13),"")</f>
        <v/>
      </c>
      <c r="AG354" s="91" t="str">
        <f aca="false">IF($Z354=Constants!$B$7,AE354*AF354,"")</f>
        <v/>
      </c>
      <c r="AH354" s="91" t="str">
        <f aca="false">IF($Z354=Constants!$B$7,IF(AG354&gt;AD354,2,1),"")</f>
        <v/>
      </c>
      <c r="AI354" s="91" t="str">
        <f aca="false">IF($Z354=Constants!$B$7,IF(AH354=1,2,1),"")</f>
        <v/>
      </c>
      <c r="AJ354" s="91" t="str">
        <f aca="false">IF(ISBLANK($C354),"",IF($Z354&lt;&gt;Constants!$B$7,$Z354,IF(AH354=1,AD354,AG354)))</f>
        <v/>
      </c>
      <c r="AK354" s="91" t="str">
        <f aca="false">IF(ISBLANK($C354),"",IF($Z354=Constants!$B$7,IF(ISNUMBER(AJ354),RANK(AJ354,$AJ$8:$AJ$507),Constants!$B$14),$Z354))</f>
        <v/>
      </c>
      <c r="AL354" s="91" t="str">
        <f aca="false">IF(ISBLANK($C354),"",IF($Z354=Constants!$B$7,IF(AI354=1,AD354,AG354),""))</f>
        <v/>
      </c>
      <c r="AM354" s="91" t="str">
        <f aca="false">IF(ISBLANK($C354),"",IF($Z354=Constants!$B$7,RANK(AL354,$AL$8:$AL$507),$Z354))</f>
        <v/>
      </c>
      <c r="AN354" s="91" t="str">
        <f aca="false">IF(ISBLANK($C354),"",IF($Z354=Constants!$B$7,IF(ISNUMBER(AK354),COUNTIFS($AK$8:$AK$507,"&lt;"&amp;$AK354)+COUNTIFS($AK$8:$AK$507,$AK354,$AM$8:$AM$507,"&lt;"&amp;$AM354)+1,Constants!$B$14),$Z354))</f>
        <v/>
      </c>
      <c r="AO354" s="91" t="str">
        <f aca="false">IF(ISBLANK($C354),"",IF($Z354=Constants!$B$7,IF(ISNUMBER(AK354),AK354-AN354,Constants!$B$14),$Z354))</f>
        <v/>
      </c>
      <c r="AP354" s="92"/>
      <c r="AQ354" s="93" t="str">
        <f aca="false">IF(ISBLANK($C354),"",IF($Z354&lt;&gt;Constants!$B$7,"",AH354))</f>
        <v/>
      </c>
      <c r="AR354" s="94" t="str">
        <f aca="false">IF(ISBLANK($C354),"",IF($Z354&lt;&gt;Constants!$B$7,"",IF(AH354=1,AB354,AE354)))</f>
        <v/>
      </c>
      <c r="AS354" s="95" t="str">
        <f aca="false">IF(ISBLANK($C354),"",IF($Z354&lt;&gt;Constants!$B$7,"",IF(AH354=1,AC354,AF354)))</f>
        <v/>
      </c>
      <c r="AT354" s="96" t="str">
        <f aca="false">IF(ISBLANK($C354),"",IF($Z354&lt;&gt;Constants!$B$7,$Z354,AJ354))</f>
        <v/>
      </c>
      <c r="AU354" s="97" t="str">
        <f aca="false">IF(ISBLANK($C354),"",IF($Z354&lt;&gt;Constants!$B$7,$Z354,AA354))</f>
        <v/>
      </c>
      <c r="AV354" s="98" t="str">
        <f aca="false">IF(ISBLANK($C354),"",AO354)</f>
        <v/>
      </c>
      <c r="AW354" s="98" t="str">
        <f aca="false">IF(ISBLANK($C354),"",AN354)</f>
        <v/>
      </c>
      <c r="AX354" s="99" t="str">
        <f aca="false">IF(ISBLANK($C354),"",IFERROR(_xlfn.SWITCH(AW354,Constants!$B$4,COUNTA($C$8:$C$507)+2,Constants!$B$5,COUNTA($C$8:$C$507)+1,Constants!$B$6,COUNTA($C$8:$C$507)),AW354))</f>
        <v/>
      </c>
      <c r="AY354" s="5"/>
      <c r="AZ354" s="100" t="n">
        <f aca="false">IF(OR(ISNUMBER(AW354),AW354=Constants!$B$4,AW354=Constants!$B$6,AW354=Constants!$B$5),1,0)</f>
        <v>0</v>
      </c>
      <c r="BA354" s="100" t="n">
        <v>347</v>
      </c>
      <c r="BB354" s="100" t="str">
        <f aca="false">IF(ISBLANK($C354),"",IF(ISNUMBER(AX354),AX354+ROW($B354)/1000,""))</f>
        <v/>
      </c>
      <c r="BC354" s="100" t="str">
        <f aca="false">IF(ISNUMBER(BB354),RANK(BB354,$BB$8:$BB$507,1),"")</f>
        <v/>
      </c>
      <c r="BD354" s="100" t="str">
        <f aca="false">IF(ISBLANK($C354),"",$B354)</f>
        <v/>
      </c>
      <c r="BE354" s="100" t="str">
        <f aca="false">IF(ISBLANK($C354),"",$C354)</f>
        <v/>
      </c>
      <c r="BF354" s="100" t="str">
        <f aca="false">IF(ISBLANK($C354),"",$D354)</f>
        <v/>
      </c>
      <c r="BG354" s="101" t="str">
        <f aca="false">AU354</f>
        <v/>
      </c>
      <c r="BH354" s="102" t="str">
        <f aca="false">AT354</f>
        <v/>
      </c>
      <c r="BI354" s="100" t="str">
        <f aca="false">IF(ISBLANK($C354),"",AW354)</f>
        <v/>
      </c>
      <c r="BJ354" s="103" t="str">
        <f aca="false">IF($BA354&gt;$AZ$7,"",VLOOKUP($BA354,$BC$8:$BI$507,7,FALSE()))</f>
        <v/>
      </c>
      <c r="BK354" s="104" t="str">
        <f aca="false">IF($BA354&gt;$AZ$7,"",VLOOKUP($BA354,$BC$8:$BI$507,2,FALSE()))</f>
        <v/>
      </c>
      <c r="BL354" s="104" t="str">
        <f aca="false">IF($BA354&gt;$AZ$7,"",VLOOKUP($BA354,$BC$8:$BI$507,3,FALSE()))</f>
        <v/>
      </c>
      <c r="BM354" s="104" t="str">
        <f aca="false">IF($BA354&gt;$AZ$7,"",VLOOKUP($BA354,$BC$8:$BI$507,4,FALSE()))</f>
        <v/>
      </c>
      <c r="BN354" s="104" t="str">
        <f aca="false">IF($BA354&gt;$AZ$7,"",VLOOKUP($BA354,$BC$8:$BI$507,5,FALSE()))</f>
        <v/>
      </c>
      <c r="BO354" s="105" t="str">
        <f aca="false">IF($BA354&gt;$AZ$7,"",VLOOKUP($BA354,$BC$8:$BI$507,6,FALSE()))</f>
        <v/>
      </c>
      <c r="BP354" s="52"/>
    </row>
    <row r="355" customFormat="false" ht="15.75" hidden="false" customHeight="false" outlineLevel="0" collapsed="false">
      <c r="A355" s="5"/>
      <c r="B355" s="114"/>
      <c r="C355" s="115"/>
      <c r="D355" s="106"/>
      <c r="E355" s="117"/>
      <c r="F355" s="87"/>
      <c r="G355" s="88"/>
      <c r="H355" s="88"/>
      <c r="I355" s="87"/>
      <c r="J355" s="88"/>
      <c r="K355" s="88"/>
      <c r="L355" s="87"/>
      <c r="M355" s="117"/>
      <c r="N355" s="90"/>
      <c r="O355" s="91" t="str">
        <f aca="false">IF(ISBLANK($C355),"",IF(E355=Constants!$B$2, TRUE(), IF(E355=Constants!$B$3, FALSE(), TRUE())))</f>
        <v/>
      </c>
      <c r="P355" s="91" t="str">
        <f aca="false">IF(ISBLANK($C355),"",IF(F355=Constants!$B$16,Constants!$B$9,IF(F355=Constants!$B$17,Constants!$B$10,Constants!$B$8)))</f>
        <v/>
      </c>
      <c r="Q355" s="91" t="str">
        <f aca="false">IF(ISBLANK($C355),"",IF(ISNUMBER(G355),IF(G355&gt;=0,G355,""),""))</f>
        <v/>
      </c>
      <c r="R355" s="91" t="str">
        <f aca="false">IF(ISBLANK($C355),"",IF(H355=Constants!$B$2, TRUE(), IF(H355=Constants!$B$3, FALSE(), TRUE())))</f>
        <v/>
      </c>
      <c r="S355" s="91" t="str">
        <f aca="false">IF(ISBLANK($C355),"",IF(I355=Constants!$B$2, TRUE(), IF(I355=Constants!$B$3, FALSE(), TRUE())))</f>
        <v/>
      </c>
      <c r="T355" s="91" t="str">
        <f aca="false">IF(ISBLANK($C355),"",IF(ISNUMBER(J355),IF(J355&gt;=0,J355,""),""))</f>
        <v/>
      </c>
      <c r="U355" s="91" t="str">
        <f aca="false">IF(ISBLANK($C355),"",IF(K355=Constants!$B$2, TRUE(), IF(K355=Constants!$B$3, FALSE(), TRUE())))</f>
        <v/>
      </c>
      <c r="V355" s="91" t="str">
        <f aca="false">IF(ISBLANK($C355),"",IF(L355=Constants!$B$2, TRUE(), IF(L355=Constants!$B$3, FALSE(), TRUE())))</f>
        <v/>
      </c>
      <c r="W355" s="91" t="str">
        <f aca="false">IF(ISBLANK($C355),"",IF(M355=Constants!$B$2, TRUE(), IF(M355=Constants!$B$3, FALSE(), FALSE())))</f>
        <v/>
      </c>
      <c r="X355" s="91" t="str">
        <f aca="false">IF(ISBLANK($C355),"",AND(Q355&lt;&gt;"",O355))</f>
        <v/>
      </c>
      <c r="Y355" s="91" t="str">
        <f aca="false">IF(ISBLANK($C355),"",AND(T355&lt;&gt;"",O355))</f>
        <v/>
      </c>
      <c r="Z355" s="91" t="str">
        <f aca="false">IF(ISBLANK($C355),"",IF(W355,Constants!$B$4,IF(COUNTA(E355:L355)=0,Constants!$B$5,IF(NOT(O355),Constants!$B$6,IF(AND(NOT(X355),NOT(Y355)),Constants!$B$6,Constants!$B$7)))))</f>
        <v/>
      </c>
      <c r="AA355" s="91" t="str">
        <f aca="false">IF(ISBLANK($C355),"",IF($Z355&lt;&gt;Constants!$B$7,$Z355,Constants!$B$20))</f>
        <v/>
      </c>
      <c r="AB355" s="91" t="str">
        <f aca="false">IF($Z355=Constants!$B$7,IF(X355,Q355,Constants!$B$13),"")</f>
        <v/>
      </c>
      <c r="AC355" s="91" t="str">
        <f aca="false">IF($Z355=Constants!$B$7,IF(X355,P355*IF(R355, 1, Constants!$B$11)*IF(S355, 1, Constants!$B$12),Constants!$B$13),"")</f>
        <v/>
      </c>
      <c r="AD355" s="91" t="str">
        <f aca="false">IF($Z355=Constants!$B$7,AB355*AC355,"")</f>
        <v/>
      </c>
      <c r="AE355" s="91" t="str">
        <f aca="false">IF($Z355=Constants!$B$7,IF(Y355,T355,Constants!$B$13),"")</f>
        <v/>
      </c>
      <c r="AF355" s="91" t="str">
        <f aca="false">IF($Z355=Constants!$B$7,IF(Y355,P355*IF(U355, 1, Constants!$B$11)*IF(V355, 1, Constants!$B$12),Constants!$B$13),"")</f>
        <v/>
      </c>
      <c r="AG355" s="91" t="str">
        <f aca="false">IF($Z355=Constants!$B$7,AE355*AF355,"")</f>
        <v/>
      </c>
      <c r="AH355" s="91" t="str">
        <f aca="false">IF($Z355=Constants!$B$7,IF(AG355&gt;AD355,2,1),"")</f>
        <v/>
      </c>
      <c r="AI355" s="91" t="str">
        <f aca="false">IF($Z355=Constants!$B$7,IF(AH355=1,2,1),"")</f>
        <v/>
      </c>
      <c r="AJ355" s="91" t="str">
        <f aca="false">IF(ISBLANK($C355),"",IF($Z355&lt;&gt;Constants!$B$7,$Z355,IF(AH355=1,AD355,AG355)))</f>
        <v/>
      </c>
      <c r="AK355" s="91" t="str">
        <f aca="false">IF(ISBLANK($C355),"",IF($Z355=Constants!$B$7,IF(ISNUMBER(AJ355),RANK(AJ355,$AJ$8:$AJ$507),Constants!$B$14),$Z355))</f>
        <v/>
      </c>
      <c r="AL355" s="91" t="str">
        <f aca="false">IF(ISBLANK($C355),"",IF($Z355=Constants!$B$7,IF(AI355=1,AD355,AG355),""))</f>
        <v/>
      </c>
      <c r="AM355" s="91" t="str">
        <f aca="false">IF(ISBLANK($C355),"",IF($Z355=Constants!$B$7,RANK(AL355,$AL$8:$AL$507),$Z355))</f>
        <v/>
      </c>
      <c r="AN355" s="91" t="str">
        <f aca="false">IF(ISBLANK($C355),"",IF($Z355=Constants!$B$7,IF(ISNUMBER(AK355),COUNTIFS($AK$8:$AK$507,"&lt;"&amp;$AK355)+COUNTIFS($AK$8:$AK$507,$AK355,$AM$8:$AM$507,"&lt;"&amp;$AM355)+1,Constants!$B$14),$Z355))</f>
        <v/>
      </c>
      <c r="AO355" s="91" t="str">
        <f aca="false">IF(ISBLANK($C355),"",IF($Z355=Constants!$B$7,IF(ISNUMBER(AK355),AK355-AN355,Constants!$B$14),$Z355))</f>
        <v/>
      </c>
      <c r="AP355" s="92"/>
      <c r="AQ355" s="93" t="str">
        <f aca="false">IF(ISBLANK($C355),"",IF($Z355&lt;&gt;Constants!$B$7,"",AH355))</f>
        <v/>
      </c>
      <c r="AR355" s="94" t="str">
        <f aca="false">IF(ISBLANK($C355),"",IF($Z355&lt;&gt;Constants!$B$7,"",IF(AH355=1,AB355,AE355)))</f>
        <v/>
      </c>
      <c r="AS355" s="95" t="str">
        <f aca="false">IF(ISBLANK($C355),"",IF($Z355&lt;&gt;Constants!$B$7,"",IF(AH355=1,AC355,AF355)))</f>
        <v/>
      </c>
      <c r="AT355" s="96" t="str">
        <f aca="false">IF(ISBLANK($C355),"",IF($Z355&lt;&gt;Constants!$B$7,$Z355,AJ355))</f>
        <v/>
      </c>
      <c r="AU355" s="97" t="str">
        <f aca="false">IF(ISBLANK($C355),"",IF($Z355&lt;&gt;Constants!$B$7,$Z355,AA355))</f>
        <v/>
      </c>
      <c r="AV355" s="98" t="str">
        <f aca="false">IF(ISBLANK($C355),"",AO355)</f>
        <v/>
      </c>
      <c r="AW355" s="98" t="str">
        <f aca="false">IF(ISBLANK($C355),"",AN355)</f>
        <v/>
      </c>
      <c r="AX355" s="99" t="str">
        <f aca="false">IF(ISBLANK($C355),"",IFERROR(_xlfn.SWITCH(AW355,Constants!$B$4,COUNTA($C$8:$C$507)+2,Constants!$B$5,COUNTA($C$8:$C$507)+1,Constants!$B$6,COUNTA($C$8:$C$507)),AW355))</f>
        <v/>
      </c>
      <c r="AY355" s="5"/>
      <c r="AZ355" s="100" t="n">
        <f aca="false">IF(OR(ISNUMBER(AW355),AW355=Constants!$B$4,AW355=Constants!$B$6,AW355=Constants!$B$5),1,0)</f>
        <v>0</v>
      </c>
      <c r="BA355" s="100" t="n">
        <v>348</v>
      </c>
      <c r="BB355" s="100" t="str">
        <f aca="false">IF(ISBLANK($C355),"",IF(ISNUMBER(AX355),AX355+ROW($B355)/1000,""))</f>
        <v/>
      </c>
      <c r="BC355" s="100" t="str">
        <f aca="false">IF(ISNUMBER(BB355),RANK(BB355,$BB$8:$BB$507,1),"")</f>
        <v/>
      </c>
      <c r="BD355" s="100" t="str">
        <f aca="false">IF(ISBLANK($C355),"",$B355)</f>
        <v/>
      </c>
      <c r="BE355" s="100" t="str">
        <f aca="false">IF(ISBLANK($C355),"",$C355)</f>
        <v/>
      </c>
      <c r="BF355" s="100" t="str">
        <f aca="false">IF(ISBLANK($C355),"",$D355)</f>
        <v/>
      </c>
      <c r="BG355" s="101" t="str">
        <f aca="false">AU355</f>
        <v/>
      </c>
      <c r="BH355" s="102" t="str">
        <f aca="false">AT355</f>
        <v/>
      </c>
      <c r="BI355" s="100" t="str">
        <f aca="false">IF(ISBLANK($C355),"",AW355)</f>
        <v/>
      </c>
      <c r="BJ355" s="103" t="str">
        <f aca="false">IF($BA355&gt;$AZ$7,"",VLOOKUP($BA355,$BC$8:$BI$507,7,FALSE()))</f>
        <v/>
      </c>
      <c r="BK355" s="104" t="str">
        <f aca="false">IF($BA355&gt;$AZ$7,"",VLOOKUP($BA355,$BC$8:$BI$507,2,FALSE()))</f>
        <v/>
      </c>
      <c r="BL355" s="104" t="str">
        <f aca="false">IF($BA355&gt;$AZ$7,"",VLOOKUP($BA355,$BC$8:$BI$507,3,FALSE()))</f>
        <v/>
      </c>
      <c r="BM355" s="104" t="str">
        <f aca="false">IF($BA355&gt;$AZ$7,"",VLOOKUP($BA355,$BC$8:$BI$507,4,FALSE()))</f>
        <v/>
      </c>
      <c r="BN355" s="104" t="str">
        <f aca="false">IF($BA355&gt;$AZ$7,"",VLOOKUP($BA355,$BC$8:$BI$507,5,FALSE()))</f>
        <v/>
      </c>
      <c r="BO355" s="105" t="str">
        <f aca="false">IF($BA355&gt;$AZ$7,"",VLOOKUP($BA355,$BC$8:$BI$507,6,FALSE()))</f>
        <v/>
      </c>
      <c r="BP355" s="52"/>
    </row>
    <row r="356" customFormat="false" ht="15.75" hidden="false" customHeight="false" outlineLevel="0" collapsed="false">
      <c r="A356" s="5"/>
      <c r="B356" s="118"/>
      <c r="C356" s="54"/>
      <c r="D356" s="55"/>
      <c r="E356" s="79"/>
      <c r="F356" s="57"/>
      <c r="G356" s="58"/>
      <c r="H356" s="58"/>
      <c r="I356" s="57"/>
      <c r="J356" s="58"/>
      <c r="K356" s="58"/>
      <c r="L356" s="57"/>
      <c r="M356" s="79"/>
      <c r="N356" s="60"/>
      <c r="O356" s="62" t="str">
        <f aca="false">IF(ISBLANK($C356),"",IF(E356=Constants!$B$2, TRUE(), IF(E356=Constants!$B$3, FALSE(), TRUE())))</f>
        <v/>
      </c>
      <c r="P356" s="62" t="str">
        <f aca="false">IF(ISBLANK($C356),"",IF(F356=Constants!$B$16,Constants!$B$9,IF(F356=Constants!$B$17,Constants!$B$10,Constants!$B$8)))</f>
        <v/>
      </c>
      <c r="Q356" s="62" t="str">
        <f aca="false">IF(ISBLANK($C356),"",IF(ISNUMBER(G356),IF(G356&gt;=0,G356,""),""))</f>
        <v/>
      </c>
      <c r="R356" s="62" t="str">
        <f aca="false">IF(ISBLANK($C356),"",IF(H356=Constants!$B$2, TRUE(), IF(H356=Constants!$B$3, FALSE(), TRUE())))</f>
        <v/>
      </c>
      <c r="S356" s="62" t="str">
        <f aca="false">IF(ISBLANK($C356),"",IF(I356=Constants!$B$2, TRUE(), IF(I356=Constants!$B$3, FALSE(), TRUE())))</f>
        <v/>
      </c>
      <c r="T356" s="62" t="str">
        <f aca="false">IF(ISBLANK($C356),"",IF(ISNUMBER(J356),IF(J356&gt;=0,J356,""),""))</f>
        <v/>
      </c>
      <c r="U356" s="62" t="str">
        <f aca="false">IF(ISBLANK($C356),"",IF(K356=Constants!$B$2, TRUE(), IF(K356=Constants!$B$3, FALSE(), TRUE())))</f>
        <v/>
      </c>
      <c r="V356" s="62" t="str">
        <f aca="false">IF(ISBLANK($C356),"",IF(L356=Constants!$B$2, TRUE(), IF(L356=Constants!$B$3, FALSE(), TRUE())))</f>
        <v/>
      </c>
      <c r="W356" s="62" t="str">
        <f aca="false">IF(ISBLANK($C356),"",IF(M356=Constants!$B$2, TRUE(), IF(M356=Constants!$B$3, FALSE(), FALSE())))</f>
        <v/>
      </c>
      <c r="X356" s="62" t="str">
        <f aca="false">IF(ISBLANK($C356),"",AND(Q356&lt;&gt;"",O356))</f>
        <v/>
      </c>
      <c r="Y356" s="62" t="str">
        <f aca="false">IF(ISBLANK($C356),"",AND(T356&lt;&gt;"",O356))</f>
        <v/>
      </c>
      <c r="Z356" s="62" t="str">
        <f aca="false">IF(ISBLANK($C356),"",IF(W356,Constants!$B$4,IF(COUNTA(E356:L356)=0,Constants!$B$5,IF(NOT(O356),Constants!$B$6,IF(AND(NOT(X356),NOT(Y356)),Constants!$B$6,Constants!$B$7)))))</f>
        <v/>
      </c>
      <c r="AA356" s="62" t="str">
        <f aca="false">IF(ISBLANK($C356),"",IF($Z356&lt;&gt;Constants!$B$7,$Z356,Constants!$B$20))</f>
        <v/>
      </c>
      <c r="AB356" s="62" t="str">
        <f aca="false">IF($Z356=Constants!$B$7,IF(X356,Q356,Constants!$B$13),"")</f>
        <v/>
      </c>
      <c r="AC356" s="62" t="str">
        <f aca="false">IF($Z356=Constants!$B$7,IF(X356,P356*IF(R356, 1, Constants!$B$11)*IF(S356, 1, Constants!$B$12),Constants!$B$13),"")</f>
        <v/>
      </c>
      <c r="AD356" s="62" t="str">
        <f aca="false">IF($Z356=Constants!$B$7,AB356*AC356,"")</f>
        <v/>
      </c>
      <c r="AE356" s="62" t="str">
        <f aca="false">IF($Z356=Constants!$B$7,IF(Y356,T356,Constants!$B$13),"")</f>
        <v/>
      </c>
      <c r="AF356" s="62" t="str">
        <f aca="false">IF($Z356=Constants!$B$7,IF(Y356,P356*IF(U356, 1, Constants!$B$11)*IF(V356, 1, Constants!$B$12),Constants!$B$13),"")</f>
        <v/>
      </c>
      <c r="AG356" s="62" t="str">
        <f aca="false">IF($Z356=Constants!$B$7,AE356*AF356,"")</f>
        <v/>
      </c>
      <c r="AH356" s="62" t="str">
        <f aca="false">IF($Z356=Constants!$B$7,IF(AG356&gt;AD356,2,1),"")</f>
        <v/>
      </c>
      <c r="AI356" s="62" t="str">
        <f aca="false">IF($Z356=Constants!$B$7,IF(AH356=1,2,1),"")</f>
        <v/>
      </c>
      <c r="AJ356" s="62" t="str">
        <f aca="false">IF(ISBLANK($C356),"",IF($Z356&lt;&gt;Constants!$B$7,$Z356,IF(AH356=1,AD356,AG356)))</f>
        <v/>
      </c>
      <c r="AK356" s="62" t="str">
        <f aca="false">IF(ISBLANK($C356),"",IF($Z356=Constants!$B$7,IF(ISNUMBER(AJ356),RANK(AJ356,$AJ$8:$AJ$507),Constants!$B$14),$Z356))</f>
        <v/>
      </c>
      <c r="AL356" s="62" t="str">
        <f aca="false">IF(ISBLANK($C356),"",IF($Z356=Constants!$B$7,IF(AI356=1,AD356,AG356),""))</f>
        <v/>
      </c>
      <c r="AM356" s="62" t="str">
        <f aca="false">IF(ISBLANK($C356),"",IF($Z356=Constants!$B$7,RANK(AL356,$AL$8:$AL$507),$Z356))</f>
        <v/>
      </c>
      <c r="AN356" s="62" t="str">
        <f aca="false">IF(ISBLANK($C356),"",IF($Z356=Constants!$B$7,IF(ISNUMBER(AK356),COUNTIFS($AK$8:$AK$507,"&lt;"&amp;$AK356)+COUNTIFS($AK$8:$AK$507,$AK356,$AM$8:$AM$507,"&lt;"&amp;$AM356)+1,Constants!$B$14),$Z356))</f>
        <v/>
      </c>
      <c r="AO356" s="62" t="str">
        <f aca="false">IF(ISBLANK($C356),"",IF($Z356=Constants!$B$7,IF(ISNUMBER(AK356),AK356-AN356,Constants!$B$14),$Z356))</f>
        <v/>
      </c>
      <c r="AP356" s="64"/>
      <c r="AQ356" s="65" t="str">
        <f aca="false">IF(ISBLANK($C356),"",IF($Z356&lt;&gt;Constants!$B$7,"",AH356))</f>
        <v/>
      </c>
      <c r="AR356" s="80" t="str">
        <f aca="false">IF(ISBLANK($C356),"",IF($Z356&lt;&gt;Constants!$B$7,"",IF(AH356=1,AB356,AE356)))</f>
        <v/>
      </c>
      <c r="AS356" s="67" t="str">
        <f aca="false">IF(ISBLANK($C356),"",IF($Z356&lt;&gt;Constants!$B$7,"",IF(AH356=1,AC356,AF356)))</f>
        <v/>
      </c>
      <c r="AT356" s="68" t="str">
        <f aca="false">IF(ISBLANK($C356),"",IF($Z356&lt;&gt;Constants!$B$7,$Z356,AJ356))</f>
        <v/>
      </c>
      <c r="AU356" s="69" t="str">
        <f aca="false">IF(ISBLANK($C356),"",IF($Z356&lt;&gt;Constants!$B$7,$Z356,AA356))</f>
        <v/>
      </c>
      <c r="AV356" s="70" t="str">
        <f aca="false">IF(ISBLANK($C356),"",AO356)</f>
        <v/>
      </c>
      <c r="AW356" s="70" t="str">
        <f aca="false">IF(ISBLANK($C356),"",AN356)</f>
        <v/>
      </c>
      <c r="AX356" s="71" t="str">
        <f aca="false">IF(ISBLANK($C356),"",IFERROR(_xlfn.SWITCH(AW356,Constants!$B$4,COUNTA($C$8:$C$507)+2,Constants!$B$5,COUNTA($C$8:$C$507)+1,Constants!$B$6,COUNTA($C$8:$C$507)),AW356))</f>
        <v/>
      </c>
      <c r="AY356" s="5"/>
      <c r="AZ356" s="72" t="n">
        <f aca="false">IF(OR(ISNUMBER(AW356),AW356=Constants!$B$4,AW356=Constants!$B$6,AW356=Constants!$B$5),1,0)</f>
        <v>0</v>
      </c>
      <c r="BA356" s="72" t="n">
        <v>349</v>
      </c>
      <c r="BB356" s="72" t="str">
        <f aca="false">IF(ISBLANK($C356),"",IF(ISNUMBER(AX356),AX356+ROW($B356)/1000,""))</f>
        <v/>
      </c>
      <c r="BC356" s="72" t="str">
        <f aca="false">IF(ISNUMBER(BB356),RANK(BB356,$BB$8:$BB$507,1),"")</f>
        <v/>
      </c>
      <c r="BD356" s="72" t="str">
        <f aca="false">IF(ISBLANK($C356),"",$B356)</f>
        <v/>
      </c>
      <c r="BE356" s="72" t="str">
        <f aca="false">IF(ISBLANK($C356),"",$C356)</f>
        <v/>
      </c>
      <c r="BF356" s="72" t="str">
        <f aca="false">IF(ISBLANK($C356),"",$D356)</f>
        <v/>
      </c>
      <c r="BG356" s="73" t="str">
        <f aca="false">AU356</f>
        <v/>
      </c>
      <c r="BH356" s="74" t="str">
        <f aca="false">AT356</f>
        <v/>
      </c>
      <c r="BI356" s="72" t="str">
        <f aca="false">IF(ISBLANK($C356),"",AW356)</f>
        <v/>
      </c>
      <c r="BJ356" s="75" t="str">
        <f aca="false">IF($BA356&gt;$AZ$7,"",VLOOKUP($BA356,$BC$8:$BI$507,7,FALSE()))</f>
        <v/>
      </c>
      <c r="BK356" s="76" t="str">
        <f aca="false">IF($BA356&gt;$AZ$7,"",VLOOKUP($BA356,$BC$8:$BI$507,2,FALSE()))</f>
        <v/>
      </c>
      <c r="BL356" s="76" t="str">
        <f aca="false">IF($BA356&gt;$AZ$7,"",VLOOKUP($BA356,$BC$8:$BI$507,3,FALSE()))</f>
        <v/>
      </c>
      <c r="BM356" s="76" t="str">
        <f aca="false">IF($BA356&gt;$AZ$7,"",VLOOKUP($BA356,$BC$8:$BI$507,4,FALSE()))</f>
        <v/>
      </c>
      <c r="BN356" s="76" t="str">
        <f aca="false">IF($BA356&gt;$AZ$7,"",VLOOKUP($BA356,$BC$8:$BI$507,5,FALSE()))</f>
        <v/>
      </c>
      <c r="BO356" s="77" t="str">
        <f aca="false">IF($BA356&gt;$AZ$7,"",VLOOKUP($BA356,$BC$8:$BI$507,6,FALSE()))</f>
        <v/>
      </c>
      <c r="BP356" s="52"/>
    </row>
    <row r="357" customFormat="false" ht="15.75" hidden="false" customHeight="false" outlineLevel="0" collapsed="false">
      <c r="A357" s="5"/>
      <c r="B357" s="118"/>
      <c r="C357" s="54"/>
      <c r="D357" s="55"/>
      <c r="E357" s="79"/>
      <c r="F357" s="57"/>
      <c r="G357" s="58"/>
      <c r="H357" s="58"/>
      <c r="I357" s="57"/>
      <c r="J357" s="58"/>
      <c r="K357" s="58"/>
      <c r="L357" s="57"/>
      <c r="M357" s="79"/>
      <c r="N357" s="60"/>
      <c r="O357" s="62" t="str">
        <f aca="false">IF(ISBLANK($C357),"",IF(E357=Constants!$B$2, TRUE(), IF(E357=Constants!$B$3, FALSE(), TRUE())))</f>
        <v/>
      </c>
      <c r="P357" s="62" t="str">
        <f aca="false">IF(ISBLANK($C357),"",IF(F357=Constants!$B$16,Constants!$B$9,IF(F357=Constants!$B$17,Constants!$B$10,Constants!$B$8)))</f>
        <v/>
      </c>
      <c r="Q357" s="62" t="str">
        <f aca="false">IF(ISBLANK($C357),"",IF(ISNUMBER(G357),IF(G357&gt;=0,G357,""),""))</f>
        <v/>
      </c>
      <c r="R357" s="62" t="str">
        <f aca="false">IF(ISBLANK($C357),"",IF(H357=Constants!$B$2, TRUE(), IF(H357=Constants!$B$3, FALSE(), TRUE())))</f>
        <v/>
      </c>
      <c r="S357" s="62" t="str">
        <f aca="false">IF(ISBLANK($C357),"",IF(I357=Constants!$B$2, TRUE(), IF(I357=Constants!$B$3, FALSE(), TRUE())))</f>
        <v/>
      </c>
      <c r="T357" s="62" t="str">
        <f aca="false">IF(ISBLANK($C357),"",IF(ISNUMBER(J357),IF(J357&gt;=0,J357,""),""))</f>
        <v/>
      </c>
      <c r="U357" s="62" t="str">
        <f aca="false">IF(ISBLANK($C357),"",IF(K357=Constants!$B$2, TRUE(), IF(K357=Constants!$B$3, FALSE(), TRUE())))</f>
        <v/>
      </c>
      <c r="V357" s="62" t="str">
        <f aca="false">IF(ISBLANK($C357),"",IF(L357=Constants!$B$2, TRUE(), IF(L357=Constants!$B$3, FALSE(), TRUE())))</f>
        <v/>
      </c>
      <c r="W357" s="62" t="str">
        <f aca="false">IF(ISBLANK($C357),"",IF(M357=Constants!$B$2, TRUE(), IF(M357=Constants!$B$3, FALSE(), FALSE())))</f>
        <v/>
      </c>
      <c r="X357" s="62" t="str">
        <f aca="false">IF(ISBLANK($C357),"",AND(Q357&lt;&gt;"",O357))</f>
        <v/>
      </c>
      <c r="Y357" s="62" t="str">
        <f aca="false">IF(ISBLANK($C357),"",AND(T357&lt;&gt;"",O357))</f>
        <v/>
      </c>
      <c r="Z357" s="62" t="str">
        <f aca="false">IF(ISBLANK($C357),"",IF(W357,Constants!$B$4,IF(COUNTA(E357:L357)=0,Constants!$B$5,IF(NOT(O357),Constants!$B$6,IF(AND(NOT(X357),NOT(Y357)),Constants!$B$6,Constants!$B$7)))))</f>
        <v/>
      </c>
      <c r="AA357" s="62" t="str">
        <f aca="false">IF(ISBLANK($C357),"",IF($Z357&lt;&gt;Constants!$B$7,$Z357,Constants!$B$20))</f>
        <v/>
      </c>
      <c r="AB357" s="62" t="str">
        <f aca="false">IF($Z357=Constants!$B$7,IF(X357,Q357,Constants!$B$13),"")</f>
        <v/>
      </c>
      <c r="AC357" s="62" t="str">
        <f aca="false">IF($Z357=Constants!$B$7,IF(X357,P357*IF(R357, 1, Constants!$B$11)*IF(S357, 1, Constants!$B$12),Constants!$B$13),"")</f>
        <v/>
      </c>
      <c r="AD357" s="62" t="str">
        <f aca="false">IF($Z357=Constants!$B$7,AB357*AC357,"")</f>
        <v/>
      </c>
      <c r="AE357" s="62" t="str">
        <f aca="false">IF($Z357=Constants!$B$7,IF(Y357,T357,Constants!$B$13),"")</f>
        <v/>
      </c>
      <c r="AF357" s="62" t="str">
        <f aca="false">IF($Z357=Constants!$B$7,IF(Y357,P357*IF(U357, 1, Constants!$B$11)*IF(V357, 1, Constants!$B$12),Constants!$B$13),"")</f>
        <v/>
      </c>
      <c r="AG357" s="62" t="str">
        <f aca="false">IF($Z357=Constants!$B$7,AE357*AF357,"")</f>
        <v/>
      </c>
      <c r="AH357" s="62" t="str">
        <f aca="false">IF($Z357=Constants!$B$7,IF(AG357&gt;AD357,2,1),"")</f>
        <v/>
      </c>
      <c r="AI357" s="62" t="str">
        <f aca="false">IF($Z357=Constants!$B$7,IF(AH357=1,2,1),"")</f>
        <v/>
      </c>
      <c r="AJ357" s="62" t="str">
        <f aca="false">IF(ISBLANK($C357),"",IF($Z357&lt;&gt;Constants!$B$7,$Z357,IF(AH357=1,AD357,AG357)))</f>
        <v/>
      </c>
      <c r="AK357" s="62" t="str">
        <f aca="false">IF(ISBLANK($C357),"",IF($Z357=Constants!$B$7,IF(ISNUMBER(AJ357),RANK(AJ357,$AJ$8:$AJ$507),Constants!$B$14),$Z357))</f>
        <v/>
      </c>
      <c r="AL357" s="62" t="str">
        <f aca="false">IF(ISBLANK($C357),"",IF($Z357=Constants!$B$7,IF(AI357=1,AD357,AG357),""))</f>
        <v/>
      </c>
      <c r="AM357" s="62" t="str">
        <f aca="false">IF(ISBLANK($C357),"",IF($Z357=Constants!$B$7,RANK(AL357,$AL$8:$AL$507),$Z357))</f>
        <v/>
      </c>
      <c r="AN357" s="62" t="str">
        <f aca="false">IF(ISBLANK($C357),"",IF($Z357=Constants!$B$7,IF(ISNUMBER(AK357),COUNTIFS($AK$8:$AK$507,"&lt;"&amp;$AK357)+COUNTIFS($AK$8:$AK$507,$AK357,$AM$8:$AM$507,"&lt;"&amp;$AM357)+1,Constants!$B$14),$Z357))</f>
        <v/>
      </c>
      <c r="AO357" s="62" t="str">
        <f aca="false">IF(ISBLANK($C357),"",IF($Z357=Constants!$B$7,IF(ISNUMBER(AK357),AK357-AN357,Constants!$B$14),$Z357))</f>
        <v/>
      </c>
      <c r="AP357" s="64"/>
      <c r="AQ357" s="65" t="str">
        <f aca="false">IF(ISBLANK($C357),"",IF($Z357&lt;&gt;Constants!$B$7,"",AH357))</f>
        <v/>
      </c>
      <c r="AR357" s="80" t="str">
        <f aca="false">IF(ISBLANK($C357),"",IF($Z357&lt;&gt;Constants!$B$7,"",IF(AH357=1,AB357,AE357)))</f>
        <v/>
      </c>
      <c r="AS357" s="67" t="str">
        <f aca="false">IF(ISBLANK($C357),"",IF($Z357&lt;&gt;Constants!$B$7,"",IF(AH357=1,AC357,AF357)))</f>
        <v/>
      </c>
      <c r="AT357" s="68" t="str">
        <f aca="false">IF(ISBLANK($C357),"",IF($Z357&lt;&gt;Constants!$B$7,$Z357,AJ357))</f>
        <v/>
      </c>
      <c r="AU357" s="69" t="str">
        <f aca="false">IF(ISBLANK($C357),"",IF($Z357&lt;&gt;Constants!$B$7,$Z357,AA357))</f>
        <v/>
      </c>
      <c r="AV357" s="70" t="str">
        <f aca="false">IF(ISBLANK($C357),"",AO357)</f>
        <v/>
      </c>
      <c r="AW357" s="70" t="str">
        <f aca="false">IF(ISBLANK($C357),"",AN357)</f>
        <v/>
      </c>
      <c r="AX357" s="71" t="str">
        <f aca="false">IF(ISBLANK($C357),"",IFERROR(_xlfn.SWITCH(AW357,Constants!$B$4,COUNTA($C$8:$C$507)+2,Constants!$B$5,COUNTA($C$8:$C$507)+1,Constants!$B$6,COUNTA($C$8:$C$507)),AW357))</f>
        <v/>
      </c>
      <c r="AY357" s="5"/>
      <c r="AZ357" s="72" t="n">
        <f aca="false">IF(OR(ISNUMBER(AW357),AW357=Constants!$B$4,AW357=Constants!$B$6,AW357=Constants!$B$5),1,0)</f>
        <v>0</v>
      </c>
      <c r="BA357" s="72" t="n">
        <v>350</v>
      </c>
      <c r="BB357" s="72" t="str">
        <f aca="false">IF(ISBLANK($C357),"",IF(ISNUMBER(AX357),AX357+ROW($B357)/1000,""))</f>
        <v/>
      </c>
      <c r="BC357" s="72" t="str">
        <f aca="false">IF(ISNUMBER(BB357),RANK(BB357,$BB$8:$BB$507,1),"")</f>
        <v/>
      </c>
      <c r="BD357" s="72" t="str">
        <f aca="false">IF(ISBLANK($C357),"",$B357)</f>
        <v/>
      </c>
      <c r="BE357" s="72" t="str">
        <f aca="false">IF(ISBLANK($C357),"",$C357)</f>
        <v/>
      </c>
      <c r="BF357" s="72" t="str">
        <f aca="false">IF(ISBLANK($C357),"",$D357)</f>
        <v/>
      </c>
      <c r="BG357" s="73" t="str">
        <f aca="false">AU357</f>
        <v/>
      </c>
      <c r="BH357" s="74" t="str">
        <f aca="false">AT357</f>
        <v/>
      </c>
      <c r="BI357" s="72" t="str">
        <f aca="false">IF(ISBLANK($C357),"",AW357)</f>
        <v/>
      </c>
      <c r="BJ357" s="75" t="str">
        <f aca="false">IF($BA357&gt;$AZ$7,"",VLOOKUP($BA357,$BC$8:$BI$507,7,FALSE()))</f>
        <v/>
      </c>
      <c r="BK357" s="76" t="str">
        <f aca="false">IF($BA357&gt;$AZ$7,"",VLOOKUP($BA357,$BC$8:$BI$507,2,FALSE()))</f>
        <v/>
      </c>
      <c r="BL357" s="76" t="str">
        <f aca="false">IF($BA357&gt;$AZ$7,"",VLOOKUP($BA357,$BC$8:$BI$507,3,FALSE()))</f>
        <v/>
      </c>
      <c r="BM357" s="76" t="str">
        <f aca="false">IF($BA357&gt;$AZ$7,"",VLOOKUP($BA357,$BC$8:$BI$507,4,FALSE()))</f>
        <v/>
      </c>
      <c r="BN357" s="76" t="str">
        <f aca="false">IF($BA357&gt;$AZ$7,"",VLOOKUP($BA357,$BC$8:$BI$507,5,FALSE()))</f>
        <v/>
      </c>
      <c r="BO357" s="77" t="str">
        <f aca="false">IF($BA357&gt;$AZ$7,"",VLOOKUP($BA357,$BC$8:$BI$507,6,FALSE()))</f>
        <v/>
      </c>
      <c r="BP357" s="52"/>
    </row>
    <row r="358" customFormat="false" ht="15.75" hidden="false" customHeight="false" outlineLevel="0" collapsed="false">
      <c r="A358" s="5"/>
      <c r="B358" s="118"/>
      <c r="C358" s="54"/>
      <c r="D358" s="55"/>
      <c r="E358" s="79"/>
      <c r="F358" s="57"/>
      <c r="G358" s="58"/>
      <c r="H358" s="58"/>
      <c r="I358" s="57"/>
      <c r="J358" s="58"/>
      <c r="K358" s="58"/>
      <c r="L358" s="57"/>
      <c r="M358" s="79"/>
      <c r="N358" s="60"/>
      <c r="O358" s="62" t="str">
        <f aca="false">IF(ISBLANK($C358),"",IF(E358=Constants!$B$2, TRUE(), IF(E358=Constants!$B$3, FALSE(), TRUE())))</f>
        <v/>
      </c>
      <c r="P358" s="62" t="str">
        <f aca="false">IF(ISBLANK($C358),"",IF(F358=Constants!$B$16,Constants!$B$9,IF(F358=Constants!$B$17,Constants!$B$10,Constants!$B$8)))</f>
        <v/>
      </c>
      <c r="Q358" s="62" t="str">
        <f aca="false">IF(ISBLANK($C358),"",IF(ISNUMBER(G358),IF(G358&gt;=0,G358,""),""))</f>
        <v/>
      </c>
      <c r="R358" s="62" t="str">
        <f aca="false">IF(ISBLANK($C358),"",IF(H358=Constants!$B$2, TRUE(), IF(H358=Constants!$B$3, FALSE(), TRUE())))</f>
        <v/>
      </c>
      <c r="S358" s="62" t="str">
        <f aca="false">IF(ISBLANK($C358),"",IF(I358=Constants!$B$2, TRUE(), IF(I358=Constants!$B$3, FALSE(), TRUE())))</f>
        <v/>
      </c>
      <c r="T358" s="62" t="str">
        <f aca="false">IF(ISBLANK($C358),"",IF(ISNUMBER(J358),IF(J358&gt;=0,J358,""),""))</f>
        <v/>
      </c>
      <c r="U358" s="62" t="str">
        <f aca="false">IF(ISBLANK($C358),"",IF(K358=Constants!$B$2, TRUE(), IF(K358=Constants!$B$3, FALSE(), TRUE())))</f>
        <v/>
      </c>
      <c r="V358" s="62" t="str">
        <f aca="false">IF(ISBLANK($C358),"",IF(L358=Constants!$B$2, TRUE(), IF(L358=Constants!$B$3, FALSE(), TRUE())))</f>
        <v/>
      </c>
      <c r="W358" s="62" t="str">
        <f aca="false">IF(ISBLANK($C358),"",IF(M358=Constants!$B$2, TRUE(), IF(M358=Constants!$B$3, FALSE(), FALSE())))</f>
        <v/>
      </c>
      <c r="X358" s="62" t="str">
        <f aca="false">IF(ISBLANK($C358),"",AND(Q358&lt;&gt;"",O358))</f>
        <v/>
      </c>
      <c r="Y358" s="62" t="str">
        <f aca="false">IF(ISBLANK($C358),"",AND(T358&lt;&gt;"",O358))</f>
        <v/>
      </c>
      <c r="Z358" s="62" t="str">
        <f aca="false">IF(ISBLANK($C358),"",IF(W358,Constants!$B$4,IF(COUNTA(E358:L358)=0,Constants!$B$5,IF(NOT(O358),Constants!$B$6,IF(AND(NOT(X358),NOT(Y358)),Constants!$B$6,Constants!$B$7)))))</f>
        <v/>
      </c>
      <c r="AA358" s="62" t="str">
        <f aca="false">IF(ISBLANK($C358),"",IF($Z358&lt;&gt;Constants!$B$7,$Z358,Constants!$B$20))</f>
        <v/>
      </c>
      <c r="AB358" s="62" t="str">
        <f aca="false">IF($Z358=Constants!$B$7,IF(X358,Q358,Constants!$B$13),"")</f>
        <v/>
      </c>
      <c r="AC358" s="62" t="str">
        <f aca="false">IF($Z358=Constants!$B$7,IF(X358,P358*IF(R358, 1, Constants!$B$11)*IF(S358, 1, Constants!$B$12),Constants!$B$13),"")</f>
        <v/>
      </c>
      <c r="AD358" s="62" t="str">
        <f aca="false">IF($Z358=Constants!$B$7,AB358*AC358,"")</f>
        <v/>
      </c>
      <c r="AE358" s="62" t="str">
        <f aca="false">IF($Z358=Constants!$B$7,IF(Y358,T358,Constants!$B$13),"")</f>
        <v/>
      </c>
      <c r="AF358" s="62" t="str">
        <f aca="false">IF($Z358=Constants!$B$7,IF(Y358,P358*IF(U358, 1, Constants!$B$11)*IF(V358, 1, Constants!$B$12),Constants!$B$13),"")</f>
        <v/>
      </c>
      <c r="AG358" s="62" t="str">
        <f aca="false">IF($Z358=Constants!$B$7,AE358*AF358,"")</f>
        <v/>
      </c>
      <c r="AH358" s="62" t="str">
        <f aca="false">IF($Z358=Constants!$B$7,IF(AG358&gt;AD358,2,1),"")</f>
        <v/>
      </c>
      <c r="AI358" s="62" t="str">
        <f aca="false">IF($Z358=Constants!$B$7,IF(AH358=1,2,1),"")</f>
        <v/>
      </c>
      <c r="AJ358" s="62" t="str">
        <f aca="false">IF(ISBLANK($C358),"",IF($Z358&lt;&gt;Constants!$B$7,$Z358,IF(AH358=1,AD358,AG358)))</f>
        <v/>
      </c>
      <c r="AK358" s="62" t="str">
        <f aca="false">IF(ISBLANK($C358),"",IF($Z358=Constants!$B$7,IF(ISNUMBER(AJ358),RANK(AJ358,$AJ$8:$AJ$507),Constants!$B$14),$Z358))</f>
        <v/>
      </c>
      <c r="AL358" s="62" t="str">
        <f aca="false">IF(ISBLANK($C358),"",IF($Z358=Constants!$B$7,IF(AI358=1,AD358,AG358),""))</f>
        <v/>
      </c>
      <c r="AM358" s="62" t="str">
        <f aca="false">IF(ISBLANK($C358),"",IF($Z358=Constants!$B$7,RANK(AL358,$AL$8:$AL$507),$Z358))</f>
        <v/>
      </c>
      <c r="AN358" s="62" t="str">
        <f aca="false">IF(ISBLANK($C358),"",IF($Z358=Constants!$B$7,IF(ISNUMBER(AK358),COUNTIFS($AK$8:$AK$507,"&lt;"&amp;$AK358)+COUNTIFS($AK$8:$AK$507,$AK358,$AM$8:$AM$507,"&lt;"&amp;$AM358)+1,Constants!$B$14),$Z358))</f>
        <v/>
      </c>
      <c r="AO358" s="62" t="str">
        <f aca="false">IF(ISBLANK($C358),"",IF($Z358=Constants!$B$7,IF(ISNUMBER(AK358),AK358-AN358,Constants!$B$14),$Z358))</f>
        <v/>
      </c>
      <c r="AP358" s="64"/>
      <c r="AQ358" s="65" t="str">
        <f aca="false">IF(ISBLANK($C358),"",IF($Z358&lt;&gt;Constants!$B$7,"",AH358))</f>
        <v/>
      </c>
      <c r="AR358" s="80" t="str">
        <f aca="false">IF(ISBLANK($C358),"",IF($Z358&lt;&gt;Constants!$B$7,"",IF(AH358=1,AB358,AE358)))</f>
        <v/>
      </c>
      <c r="AS358" s="67" t="str">
        <f aca="false">IF(ISBLANK($C358),"",IF($Z358&lt;&gt;Constants!$B$7,"",IF(AH358=1,AC358,AF358)))</f>
        <v/>
      </c>
      <c r="AT358" s="68" t="str">
        <f aca="false">IF(ISBLANK($C358),"",IF($Z358&lt;&gt;Constants!$B$7,$Z358,AJ358))</f>
        <v/>
      </c>
      <c r="AU358" s="69" t="str">
        <f aca="false">IF(ISBLANK($C358),"",IF($Z358&lt;&gt;Constants!$B$7,$Z358,AA358))</f>
        <v/>
      </c>
      <c r="AV358" s="70" t="str">
        <f aca="false">IF(ISBLANK($C358),"",AO358)</f>
        <v/>
      </c>
      <c r="AW358" s="70" t="str">
        <f aca="false">IF(ISBLANK($C358),"",AN358)</f>
        <v/>
      </c>
      <c r="AX358" s="71" t="str">
        <f aca="false">IF(ISBLANK($C358),"",IFERROR(_xlfn.SWITCH(AW358,Constants!$B$4,COUNTA($C$8:$C$507)+2,Constants!$B$5,COUNTA($C$8:$C$507)+1,Constants!$B$6,COUNTA($C$8:$C$507)),AW358))</f>
        <v/>
      </c>
      <c r="AY358" s="5"/>
      <c r="AZ358" s="72" t="n">
        <f aca="false">IF(OR(ISNUMBER(AW358),AW358=Constants!$B$4,AW358=Constants!$B$6,AW358=Constants!$B$5),1,0)</f>
        <v>0</v>
      </c>
      <c r="BA358" s="72" t="n">
        <v>351</v>
      </c>
      <c r="BB358" s="72" t="str">
        <f aca="false">IF(ISBLANK($C358),"",IF(ISNUMBER(AX358),AX358+ROW($B358)/1000,""))</f>
        <v/>
      </c>
      <c r="BC358" s="72" t="str">
        <f aca="false">IF(ISNUMBER(BB358),RANK(BB358,$BB$8:$BB$507,1),"")</f>
        <v/>
      </c>
      <c r="BD358" s="72" t="str">
        <f aca="false">IF(ISBLANK($C358),"",$B358)</f>
        <v/>
      </c>
      <c r="BE358" s="72" t="str">
        <f aca="false">IF(ISBLANK($C358),"",$C358)</f>
        <v/>
      </c>
      <c r="BF358" s="72" t="str">
        <f aca="false">IF(ISBLANK($C358),"",$D358)</f>
        <v/>
      </c>
      <c r="BG358" s="73" t="str">
        <f aca="false">AU358</f>
        <v/>
      </c>
      <c r="BH358" s="74" t="str">
        <f aca="false">AT358</f>
        <v/>
      </c>
      <c r="BI358" s="72" t="str">
        <f aca="false">IF(ISBLANK($C358),"",AW358)</f>
        <v/>
      </c>
      <c r="BJ358" s="75" t="str">
        <f aca="false">IF($BA358&gt;$AZ$7,"",VLOOKUP($BA358,$BC$8:$BI$507,7,FALSE()))</f>
        <v/>
      </c>
      <c r="BK358" s="76" t="str">
        <f aca="false">IF($BA358&gt;$AZ$7,"",VLOOKUP($BA358,$BC$8:$BI$507,2,FALSE()))</f>
        <v/>
      </c>
      <c r="BL358" s="76" t="str">
        <f aca="false">IF($BA358&gt;$AZ$7,"",VLOOKUP($BA358,$BC$8:$BI$507,3,FALSE()))</f>
        <v/>
      </c>
      <c r="BM358" s="76" t="str">
        <f aca="false">IF($BA358&gt;$AZ$7,"",VLOOKUP($BA358,$BC$8:$BI$507,4,FALSE()))</f>
        <v/>
      </c>
      <c r="BN358" s="76" t="str">
        <f aca="false">IF($BA358&gt;$AZ$7,"",VLOOKUP($BA358,$BC$8:$BI$507,5,FALSE()))</f>
        <v/>
      </c>
      <c r="BO358" s="77" t="str">
        <f aca="false">IF($BA358&gt;$AZ$7,"",VLOOKUP($BA358,$BC$8:$BI$507,6,FALSE()))</f>
        <v/>
      </c>
      <c r="BP358" s="52"/>
    </row>
    <row r="359" customFormat="false" ht="15.75" hidden="false" customHeight="false" outlineLevel="0" collapsed="false">
      <c r="A359" s="5"/>
      <c r="B359" s="114"/>
      <c r="C359" s="115"/>
      <c r="D359" s="106"/>
      <c r="E359" s="117"/>
      <c r="F359" s="87"/>
      <c r="G359" s="88"/>
      <c r="H359" s="88"/>
      <c r="I359" s="87"/>
      <c r="J359" s="88"/>
      <c r="K359" s="88"/>
      <c r="L359" s="87"/>
      <c r="M359" s="117"/>
      <c r="N359" s="90"/>
      <c r="O359" s="91" t="str">
        <f aca="false">IF(ISBLANK($C359),"",IF(E359=Constants!$B$2, TRUE(), IF(E359=Constants!$B$3, FALSE(), TRUE())))</f>
        <v/>
      </c>
      <c r="P359" s="91" t="str">
        <f aca="false">IF(ISBLANK($C359),"",IF(F359=Constants!$B$16,Constants!$B$9,IF(F359=Constants!$B$17,Constants!$B$10,Constants!$B$8)))</f>
        <v/>
      </c>
      <c r="Q359" s="91" t="str">
        <f aca="false">IF(ISBLANK($C359),"",IF(ISNUMBER(G359),IF(G359&gt;=0,G359,""),""))</f>
        <v/>
      </c>
      <c r="R359" s="91" t="str">
        <f aca="false">IF(ISBLANK($C359),"",IF(H359=Constants!$B$2, TRUE(), IF(H359=Constants!$B$3, FALSE(), TRUE())))</f>
        <v/>
      </c>
      <c r="S359" s="91" t="str">
        <f aca="false">IF(ISBLANK($C359),"",IF(I359=Constants!$B$2, TRUE(), IF(I359=Constants!$B$3, FALSE(), TRUE())))</f>
        <v/>
      </c>
      <c r="T359" s="91" t="str">
        <f aca="false">IF(ISBLANK($C359),"",IF(ISNUMBER(J359),IF(J359&gt;=0,J359,""),""))</f>
        <v/>
      </c>
      <c r="U359" s="91" t="str">
        <f aca="false">IF(ISBLANK($C359),"",IF(K359=Constants!$B$2, TRUE(), IF(K359=Constants!$B$3, FALSE(), TRUE())))</f>
        <v/>
      </c>
      <c r="V359" s="91" t="str">
        <f aca="false">IF(ISBLANK($C359),"",IF(L359=Constants!$B$2, TRUE(), IF(L359=Constants!$B$3, FALSE(), TRUE())))</f>
        <v/>
      </c>
      <c r="W359" s="91" t="str">
        <f aca="false">IF(ISBLANK($C359),"",IF(M359=Constants!$B$2, TRUE(), IF(M359=Constants!$B$3, FALSE(), FALSE())))</f>
        <v/>
      </c>
      <c r="X359" s="91" t="str">
        <f aca="false">IF(ISBLANK($C359),"",AND(Q359&lt;&gt;"",O359))</f>
        <v/>
      </c>
      <c r="Y359" s="91" t="str">
        <f aca="false">IF(ISBLANK($C359),"",AND(T359&lt;&gt;"",O359))</f>
        <v/>
      </c>
      <c r="Z359" s="91" t="str">
        <f aca="false">IF(ISBLANK($C359),"",IF(W359,Constants!$B$4,IF(COUNTA(E359:L359)=0,Constants!$B$5,IF(NOT(O359),Constants!$B$6,IF(AND(NOT(X359),NOT(Y359)),Constants!$B$6,Constants!$B$7)))))</f>
        <v/>
      </c>
      <c r="AA359" s="91" t="str">
        <f aca="false">IF(ISBLANK($C359),"",IF($Z359&lt;&gt;Constants!$B$7,$Z359,Constants!$B$20))</f>
        <v/>
      </c>
      <c r="AB359" s="91" t="str">
        <f aca="false">IF($Z359=Constants!$B$7,IF(X359,Q359,Constants!$B$13),"")</f>
        <v/>
      </c>
      <c r="AC359" s="91" t="str">
        <f aca="false">IF($Z359=Constants!$B$7,IF(X359,P359*IF(R359, 1, Constants!$B$11)*IF(S359, 1, Constants!$B$12),Constants!$B$13),"")</f>
        <v/>
      </c>
      <c r="AD359" s="91" t="str">
        <f aca="false">IF($Z359=Constants!$B$7,AB359*AC359,"")</f>
        <v/>
      </c>
      <c r="AE359" s="91" t="str">
        <f aca="false">IF($Z359=Constants!$B$7,IF(Y359,T359,Constants!$B$13),"")</f>
        <v/>
      </c>
      <c r="AF359" s="91" t="str">
        <f aca="false">IF($Z359=Constants!$B$7,IF(Y359,P359*IF(U359, 1, Constants!$B$11)*IF(V359, 1, Constants!$B$12),Constants!$B$13),"")</f>
        <v/>
      </c>
      <c r="AG359" s="91" t="str">
        <f aca="false">IF($Z359=Constants!$B$7,AE359*AF359,"")</f>
        <v/>
      </c>
      <c r="AH359" s="91" t="str">
        <f aca="false">IF($Z359=Constants!$B$7,IF(AG359&gt;AD359,2,1),"")</f>
        <v/>
      </c>
      <c r="AI359" s="91" t="str">
        <f aca="false">IF($Z359=Constants!$B$7,IF(AH359=1,2,1),"")</f>
        <v/>
      </c>
      <c r="AJ359" s="91" t="str">
        <f aca="false">IF(ISBLANK($C359),"",IF($Z359&lt;&gt;Constants!$B$7,$Z359,IF(AH359=1,AD359,AG359)))</f>
        <v/>
      </c>
      <c r="AK359" s="91" t="str">
        <f aca="false">IF(ISBLANK($C359),"",IF($Z359=Constants!$B$7,IF(ISNUMBER(AJ359),RANK(AJ359,$AJ$8:$AJ$507),Constants!$B$14),$Z359))</f>
        <v/>
      </c>
      <c r="AL359" s="91" t="str">
        <f aca="false">IF(ISBLANK($C359),"",IF($Z359=Constants!$B$7,IF(AI359=1,AD359,AG359),""))</f>
        <v/>
      </c>
      <c r="AM359" s="91" t="str">
        <f aca="false">IF(ISBLANK($C359),"",IF($Z359=Constants!$B$7,RANK(AL359,$AL$8:$AL$507),$Z359))</f>
        <v/>
      </c>
      <c r="AN359" s="91" t="str">
        <f aca="false">IF(ISBLANK($C359),"",IF($Z359=Constants!$B$7,IF(ISNUMBER(AK359),COUNTIFS($AK$8:$AK$507,"&lt;"&amp;$AK359)+COUNTIFS($AK$8:$AK$507,$AK359,$AM$8:$AM$507,"&lt;"&amp;$AM359)+1,Constants!$B$14),$Z359))</f>
        <v/>
      </c>
      <c r="AO359" s="91" t="str">
        <f aca="false">IF(ISBLANK($C359),"",IF($Z359=Constants!$B$7,IF(ISNUMBER(AK359),AK359-AN359,Constants!$B$14),$Z359))</f>
        <v/>
      </c>
      <c r="AP359" s="92"/>
      <c r="AQ359" s="93" t="str">
        <f aca="false">IF(ISBLANK($C359),"",IF($Z359&lt;&gt;Constants!$B$7,"",AH359))</f>
        <v/>
      </c>
      <c r="AR359" s="94" t="str">
        <f aca="false">IF(ISBLANK($C359),"",IF($Z359&lt;&gt;Constants!$B$7,"",IF(AH359=1,AB359,AE359)))</f>
        <v/>
      </c>
      <c r="AS359" s="95" t="str">
        <f aca="false">IF(ISBLANK($C359),"",IF($Z359&lt;&gt;Constants!$B$7,"",IF(AH359=1,AC359,AF359)))</f>
        <v/>
      </c>
      <c r="AT359" s="96" t="str">
        <f aca="false">IF(ISBLANK($C359),"",IF($Z359&lt;&gt;Constants!$B$7,$Z359,AJ359))</f>
        <v/>
      </c>
      <c r="AU359" s="97" t="str">
        <f aca="false">IF(ISBLANK($C359),"",IF($Z359&lt;&gt;Constants!$B$7,$Z359,AA359))</f>
        <v/>
      </c>
      <c r="AV359" s="98" t="str">
        <f aca="false">IF(ISBLANK($C359),"",AO359)</f>
        <v/>
      </c>
      <c r="AW359" s="98" t="str">
        <f aca="false">IF(ISBLANK($C359),"",AN359)</f>
        <v/>
      </c>
      <c r="AX359" s="99" t="str">
        <f aca="false">IF(ISBLANK($C359),"",IFERROR(_xlfn.SWITCH(AW359,Constants!$B$4,COUNTA($C$8:$C$507)+2,Constants!$B$5,COUNTA($C$8:$C$507)+1,Constants!$B$6,COUNTA($C$8:$C$507)),AW359))</f>
        <v/>
      </c>
      <c r="AY359" s="5"/>
      <c r="AZ359" s="100" t="n">
        <f aca="false">IF(OR(ISNUMBER(AW359),AW359=Constants!$B$4,AW359=Constants!$B$6,AW359=Constants!$B$5),1,0)</f>
        <v>0</v>
      </c>
      <c r="BA359" s="100" t="n">
        <v>352</v>
      </c>
      <c r="BB359" s="100" t="str">
        <f aca="false">IF(ISBLANK($C359),"",IF(ISNUMBER(AX359),AX359+ROW($B359)/1000,""))</f>
        <v/>
      </c>
      <c r="BC359" s="100" t="str">
        <f aca="false">IF(ISNUMBER(BB359),RANK(BB359,$BB$8:$BB$507,1),"")</f>
        <v/>
      </c>
      <c r="BD359" s="100" t="str">
        <f aca="false">IF(ISBLANK($C359),"",$B359)</f>
        <v/>
      </c>
      <c r="BE359" s="100" t="str">
        <f aca="false">IF(ISBLANK($C359),"",$C359)</f>
        <v/>
      </c>
      <c r="BF359" s="100" t="str">
        <f aca="false">IF(ISBLANK($C359),"",$D359)</f>
        <v/>
      </c>
      <c r="BG359" s="101" t="str">
        <f aca="false">AU359</f>
        <v/>
      </c>
      <c r="BH359" s="102" t="str">
        <f aca="false">AT359</f>
        <v/>
      </c>
      <c r="BI359" s="100" t="str">
        <f aca="false">IF(ISBLANK($C359),"",AW359)</f>
        <v/>
      </c>
      <c r="BJ359" s="103" t="str">
        <f aca="false">IF($BA359&gt;$AZ$7,"",VLOOKUP($BA359,$BC$8:$BI$507,7,FALSE()))</f>
        <v/>
      </c>
      <c r="BK359" s="104" t="str">
        <f aca="false">IF($BA359&gt;$AZ$7,"",VLOOKUP($BA359,$BC$8:$BI$507,2,FALSE()))</f>
        <v/>
      </c>
      <c r="BL359" s="104" t="str">
        <f aca="false">IF($BA359&gt;$AZ$7,"",VLOOKUP($BA359,$BC$8:$BI$507,3,FALSE()))</f>
        <v/>
      </c>
      <c r="BM359" s="104" t="str">
        <f aca="false">IF($BA359&gt;$AZ$7,"",VLOOKUP($BA359,$BC$8:$BI$507,4,FALSE()))</f>
        <v/>
      </c>
      <c r="BN359" s="104" t="str">
        <f aca="false">IF($BA359&gt;$AZ$7,"",VLOOKUP($BA359,$BC$8:$BI$507,5,FALSE()))</f>
        <v/>
      </c>
      <c r="BO359" s="105" t="str">
        <f aca="false">IF($BA359&gt;$AZ$7,"",VLOOKUP($BA359,$BC$8:$BI$507,6,FALSE()))</f>
        <v/>
      </c>
      <c r="BP359" s="52"/>
    </row>
    <row r="360" customFormat="false" ht="15.75" hidden="false" customHeight="false" outlineLevel="0" collapsed="false">
      <c r="A360" s="5"/>
      <c r="B360" s="114"/>
      <c r="C360" s="115"/>
      <c r="D360" s="106"/>
      <c r="E360" s="117"/>
      <c r="F360" s="87"/>
      <c r="G360" s="88"/>
      <c r="H360" s="88"/>
      <c r="I360" s="87"/>
      <c r="J360" s="88"/>
      <c r="K360" s="88"/>
      <c r="L360" s="87"/>
      <c r="M360" s="117"/>
      <c r="N360" s="90"/>
      <c r="O360" s="91" t="str">
        <f aca="false">IF(ISBLANK($C360),"",IF(E360=Constants!$B$2, TRUE(), IF(E360=Constants!$B$3, FALSE(), TRUE())))</f>
        <v/>
      </c>
      <c r="P360" s="91" t="str">
        <f aca="false">IF(ISBLANK($C360),"",IF(F360=Constants!$B$16,Constants!$B$9,IF(F360=Constants!$B$17,Constants!$B$10,Constants!$B$8)))</f>
        <v/>
      </c>
      <c r="Q360" s="91" t="str">
        <f aca="false">IF(ISBLANK($C360),"",IF(ISNUMBER(G360),IF(G360&gt;=0,G360,""),""))</f>
        <v/>
      </c>
      <c r="R360" s="91" t="str">
        <f aca="false">IF(ISBLANK($C360),"",IF(H360=Constants!$B$2, TRUE(), IF(H360=Constants!$B$3, FALSE(), TRUE())))</f>
        <v/>
      </c>
      <c r="S360" s="91" t="str">
        <f aca="false">IF(ISBLANK($C360),"",IF(I360=Constants!$B$2, TRUE(), IF(I360=Constants!$B$3, FALSE(), TRUE())))</f>
        <v/>
      </c>
      <c r="T360" s="91" t="str">
        <f aca="false">IF(ISBLANK($C360),"",IF(ISNUMBER(J360),IF(J360&gt;=0,J360,""),""))</f>
        <v/>
      </c>
      <c r="U360" s="91" t="str">
        <f aca="false">IF(ISBLANK($C360),"",IF(K360=Constants!$B$2, TRUE(), IF(K360=Constants!$B$3, FALSE(), TRUE())))</f>
        <v/>
      </c>
      <c r="V360" s="91" t="str">
        <f aca="false">IF(ISBLANK($C360),"",IF(L360=Constants!$B$2, TRUE(), IF(L360=Constants!$B$3, FALSE(), TRUE())))</f>
        <v/>
      </c>
      <c r="W360" s="91" t="str">
        <f aca="false">IF(ISBLANK($C360),"",IF(M360=Constants!$B$2, TRUE(), IF(M360=Constants!$B$3, FALSE(), FALSE())))</f>
        <v/>
      </c>
      <c r="X360" s="91" t="str">
        <f aca="false">IF(ISBLANK($C360),"",AND(Q360&lt;&gt;"",O360))</f>
        <v/>
      </c>
      <c r="Y360" s="91" t="str">
        <f aca="false">IF(ISBLANK($C360),"",AND(T360&lt;&gt;"",O360))</f>
        <v/>
      </c>
      <c r="Z360" s="91" t="str">
        <f aca="false">IF(ISBLANK($C360),"",IF(W360,Constants!$B$4,IF(COUNTA(E360:L360)=0,Constants!$B$5,IF(NOT(O360),Constants!$B$6,IF(AND(NOT(X360),NOT(Y360)),Constants!$B$6,Constants!$B$7)))))</f>
        <v/>
      </c>
      <c r="AA360" s="91" t="str">
        <f aca="false">IF(ISBLANK($C360),"",IF($Z360&lt;&gt;Constants!$B$7,$Z360,Constants!$B$20))</f>
        <v/>
      </c>
      <c r="AB360" s="91" t="str">
        <f aca="false">IF($Z360=Constants!$B$7,IF(X360,Q360,Constants!$B$13),"")</f>
        <v/>
      </c>
      <c r="AC360" s="91" t="str">
        <f aca="false">IF($Z360=Constants!$B$7,IF(X360,P360*IF(R360, 1, Constants!$B$11)*IF(S360, 1, Constants!$B$12),Constants!$B$13),"")</f>
        <v/>
      </c>
      <c r="AD360" s="91" t="str">
        <f aca="false">IF($Z360=Constants!$B$7,AB360*AC360,"")</f>
        <v/>
      </c>
      <c r="AE360" s="91" t="str">
        <f aca="false">IF($Z360=Constants!$B$7,IF(Y360,T360,Constants!$B$13),"")</f>
        <v/>
      </c>
      <c r="AF360" s="91" t="str">
        <f aca="false">IF($Z360=Constants!$B$7,IF(Y360,P360*IF(U360, 1, Constants!$B$11)*IF(V360, 1, Constants!$B$12),Constants!$B$13),"")</f>
        <v/>
      </c>
      <c r="AG360" s="91" t="str">
        <f aca="false">IF($Z360=Constants!$B$7,AE360*AF360,"")</f>
        <v/>
      </c>
      <c r="AH360" s="91" t="str">
        <f aca="false">IF($Z360=Constants!$B$7,IF(AG360&gt;AD360,2,1),"")</f>
        <v/>
      </c>
      <c r="AI360" s="91" t="str">
        <f aca="false">IF($Z360=Constants!$B$7,IF(AH360=1,2,1),"")</f>
        <v/>
      </c>
      <c r="AJ360" s="91" t="str">
        <f aca="false">IF(ISBLANK($C360),"",IF($Z360&lt;&gt;Constants!$B$7,$Z360,IF(AH360=1,AD360,AG360)))</f>
        <v/>
      </c>
      <c r="AK360" s="91" t="str">
        <f aca="false">IF(ISBLANK($C360),"",IF($Z360=Constants!$B$7,IF(ISNUMBER(AJ360),RANK(AJ360,$AJ$8:$AJ$507),Constants!$B$14),$Z360))</f>
        <v/>
      </c>
      <c r="AL360" s="91" t="str">
        <f aca="false">IF(ISBLANK($C360),"",IF($Z360=Constants!$B$7,IF(AI360=1,AD360,AG360),""))</f>
        <v/>
      </c>
      <c r="AM360" s="91" t="str">
        <f aca="false">IF(ISBLANK($C360),"",IF($Z360=Constants!$B$7,RANK(AL360,$AL$8:$AL$507),$Z360))</f>
        <v/>
      </c>
      <c r="AN360" s="91" t="str">
        <f aca="false">IF(ISBLANK($C360),"",IF($Z360=Constants!$B$7,IF(ISNUMBER(AK360),COUNTIFS($AK$8:$AK$507,"&lt;"&amp;$AK360)+COUNTIFS($AK$8:$AK$507,$AK360,$AM$8:$AM$507,"&lt;"&amp;$AM360)+1,Constants!$B$14),$Z360))</f>
        <v/>
      </c>
      <c r="AO360" s="91" t="str">
        <f aca="false">IF(ISBLANK($C360),"",IF($Z360=Constants!$B$7,IF(ISNUMBER(AK360),AK360-AN360,Constants!$B$14),$Z360))</f>
        <v/>
      </c>
      <c r="AP360" s="92"/>
      <c r="AQ360" s="93" t="str">
        <f aca="false">IF(ISBLANK($C360),"",IF($Z360&lt;&gt;Constants!$B$7,"",AH360))</f>
        <v/>
      </c>
      <c r="AR360" s="94" t="str">
        <f aca="false">IF(ISBLANK($C360),"",IF($Z360&lt;&gt;Constants!$B$7,"",IF(AH360=1,AB360,AE360)))</f>
        <v/>
      </c>
      <c r="AS360" s="95" t="str">
        <f aca="false">IF(ISBLANK($C360),"",IF($Z360&lt;&gt;Constants!$B$7,"",IF(AH360=1,AC360,AF360)))</f>
        <v/>
      </c>
      <c r="AT360" s="96" t="str">
        <f aca="false">IF(ISBLANK($C360),"",IF($Z360&lt;&gt;Constants!$B$7,$Z360,AJ360))</f>
        <v/>
      </c>
      <c r="AU360" s="97" t="str">
        <f aca="false">IF(ISBLANK($C360),"",IF($Z360&lt;&gt;Constants!$B$7,$Z360,AA360))</f>
        <v/>
      </c>
      <c r="AV360" s="98" t="str">
        <f aca="false">IF(ISBLANK($C360),"",AO360)</f>
        <v/>
      </c>
      <c r="AW360" s="98" t="str">
        <f aca="false">IF(ISBLANK($C360),"",AN360)</f>
        <v/>
      </c>
      <c r="AX360" s="99" t="str">
        <f aca="false">IF(ISBLANK($C360),"",IFERROR(_xlfn.SWITCH(AW360,Constants!$B$4,COUNTA($C$8:$C$507)+2,Constants!$B$5,COUNTA($C$8:$C$507)+1,Constants!$B$6,COUNTA($C$8:$C$507)),AW360))</f>
        <v/>
      </c>
      <c r="AY360" s="5"/>
      <c r="AZ360" s="100" t="n">
        <f aca="false">IF(OR(ISNUMBER(AW360),AW360=Constants!$B$4,AW360=Constants!$B$6,AW360=Constants!$B$5),1,0)</f>
        <v>0</v>
      </c>
      <c r="BA360" s="100" t="n">
        <v>353</v>
      </c>
      <c r="BB360" s="100" t="str">
        <f aca="false">IF(ISBLANK($C360),"",IF(ISNUMBER(AX360),AX360+ROW($B360)/1000,""))</f>
        <v/>
      </c>
      <c r="BC360" s="100" t="str">
        <f aca="false">IF(ISNUMBER(BB360),RANK(BB360,$BB$8:$BB$507,1),"")</f>
        <v/>
      </c>
      <c r="BD360" s="100" t="str">
        <f aca="false">IF(ISBLANK($C360),"",$B360)</f>
        <v/>
      </c>
      <c r="BE360" s="100" t="str">
        <f aca="false">IF(ISBLANK($C360),"",$C360)</f>
        <v/>
      </c>
      <c r="BF360" s="100" t="str">
        <f aca="false">IF(ISBLANK($C360),"",$D360)</f>
        <v/>
      </c>
      <c r="BG360" s="101" t="str">
        <f aca="false">AU360</f>
        <v/>
      </c>
      <c r="BH360" s="102" t="str">
        <f aca="false">AT360</f>
        <v/>
      </c>
      <c r="BI360" s="100" t="str">
        <f aca="false">IF(ISBLANK($C360),"",AW360)</f>
        <v/>
      </c>
      <c r="BJ360" s="103" t="str">
        <f aca="false">IF($BA360&gt;$AZ$7,"",VLOOKUP($BA360,$BC$8:$BI$507,7,FALSE()))</f>
        <v/>
      </c>
      <c r="BK360" s="104" t="str">
        <f aca="false">IF($BA360&gt;$AZ$7,"",VLOOKUP($BA360,$BC$8:$BI$507,2,FALSE()))</f>
        <v/>
      </c>
      <c r="BL360" s="104" t="str">
        <f aca="false">IF($BA360&gt;$AZ$7,"",VLOOKUP($BA360,$BC$8:$BI$507,3,FALSE()))</f>
        <v/>
      </c>
      <c r="BM360" s="104" t="str">
        <f aca="false">IF($BA360&gt;$AZ$7,"",VLOOKUP($BA360,$BC$8:$BI$507,4,FALSE()))</f>
        <v/>
      </c>
      <c r="BN360" s="104" t="str">
        <f aca="false">IF($BA360&gt;$AZ$7,"",VLOOKUP($BA360,$BC$8:$BI$507,5,FALSE()))</f>
        <v/>
      </c>
      <c r="BO360" s="105" t="str">
        <f aca="false">IF($BA360&gt;$AZ$7,"",VLOOKUP($BA360,$BC$8:$BI$507,6,FALSE()))</f>
        <v/>
      </c>
      <c r="BP360" s="52"/>
    </row>
    <row r="361" customFormat="false" ht="15.75" hidden="false" customHeight="false" outlineLevel="0" collapsed="false">
      <c r="A361" s="5"/>
      <c r="B361" s="114"/>
      <c r="C361" s="115"/>
      <c r="D361" s="106"/>
      <c r="E361" s="117"/>
      <c r="F361" s="87"/>
      <c r="G361" s="88"/>
      <c r="H361" s="88"/>
      <c r="I361" s="87"/>
      <c r="J361" s="88"/>
      <c r="K361" s="88"/>
      <c r="L361" s="87"/>
      <c r="M361" s="117"/>
      <c r="N361" s="90"/>
      <c r="O361" s="91" t="str">
        <f aca="false">IF(ISBLANK($C361),"",IF(E361=Constants!$B$2, TRUE(), IF(E361=Constants!$B$3, FALSE(), TRUE())))</f>
        <v/>
      </c>
      <c r="P361" s="91" t="str">
        <f aca="false">IF(ISBLANK($C361),"",IF(F361=Constants!$B$16,Constants!$B$9,IF(F361=Constants!$B$17,Constants!$B$10,Constants!$B$8)))</f>
        <v/>
      </c>
      <c r="Q361" s="91" t="str">
        <f aca="false">IF(ISBLANK($C361),"",IF(ISNUMBER(G361),IF(G361&gt;=0,G361,""),""))</f>
        <v/>
      </c>
      <c r="R361" s="91" t="str">
        <f aca="false">IF(ISBLANK($C361),"",IF(H361=Constants!$B$2, TRUE(), IF(H361=Constants!$B$3, FALSE(), TRUE())))</f>
        <v/>
      </c>
      <c r="S361" s="91" t="str">
        <f aca="false">IF(ISBLANK($C361),"",IF(I361=Constants!$B$2, TRUE(), IF(I361=Constants!$B$3, FALSE(), TRUE())))</f>
        <v/>
      </c>
      <c r="T361" s="91" t="str">
        <f aca="false">IF(ISBLANK($C361),"",IF(ISNUMBER(J361),IF(J361&gt;=0,J361,""),""))</f>
        <v/>
      </c>
      <c r="U361" s="91" t="str">
        <f aca="false">IF(ISBLANK($C361),"",IF(K361=Constants!$B$2, TRUE(), IF(K361=Constants!$B$3, FALSE(), TRUE())))</f>
        <v/>
      </c>
      <c r="V361" s="91" t="str">
        <f aca="false">IF(ISBLANK($C361),"",IF(L361=Constants!$B$2, TRUE(), IF(L361=Constants!$B$3, FALSE(), TRUE())))</f>
        <v/>
      </c>
      <c r="W361" s="91" t="str">
        <f aca="false">IF(ISBLANK($C361),"",IF(M361=Constants!$B$2, TRUE(), IF(M361=Constants!$B$3, FALSE(), FALSE())))</f>
        <v/>
      </c>
      <c r="X361" s="91" t="str">
        <f aca="false">IF(ISBLANK($C361),"",AND(Q361&lt;&gt;"",O361))</f>
        <v/>
      </c>
      <c r="Y361" s="91" t="str">
        <f aca="false">IF(ISBLANK($C361),"",AND(T361&lt;&gt;"",O361))</f>
        <v/>
      </c>
      <c r="Z361" s="91" t="str">
        <f aca="false">IF(ISBLANK($C361),"",IF(W361,Constants!$B$4,IF(COUNTA(E361:L361)=0,Constants!$B$5,IF(NOT(O361),Constants!$B$6,IF(AND(NOT(X361),NOT(Y361)),Constants!$B$6,Constants!$B$7)))))</f>
        <v/>
      </c>
      <c r="AA361" s="91" t="str">
        <f aca="false">IF(ISBLANK($C361),"",IF($Z361&lt;&gt;Constants!$B$7,$Z361,Constants!$B$20))</f>
        <v/>
      </c>
      <c r="AB361" s="91" t="str">
        <f aca="false">IF($Z361=Constants!$B$7,IF(X361,Q361,Constants!$B$13),"")</f>
        <v/>
      </c>
      <c r="AC361" s="91" t="str">
        <f aca="false">IF($Z361=Constants!$B$7,IF(X361,P361*IF(R361, 1, Constants!$B$11)*IF(S361, 1, Constants!$B$12),Constants!$B$13),"")</f>
        <v/>
      </c>
      <c r="AD361" s="91" t="str">
        <f aca="false">IF($Z361=Constants!$B$7,AB361*AC361,"")</f>
        <v/>
      </c>
      <c r="AE361" s="91" t="str">
        <f aca="false">IF($Z361=Constants!$B$7,IF(Y361,T361,Constants!$B$13),"")</f>
        <v/>
      </c>
      <c r="AF361" s="91" t="str">
        <f aca="false">IF($Z361=Constants!$B$7,IF(Y361,P361*IF(U361, 1, Constants!$B$11)*IF(V361, 1, Constants!$B$12),Constants!$B$13),"")</f>
        <v/>
      </c>
      <c r="AG361" s="91" t="str">
        <f aca="false">IF($Z361=Constants!$B$7,AE361*AF361,"")</f>
        <v/>
      </c>
      <c r="AH361" s="91" t="str">
        <f aca="false">IF($Z361=Constants!$B$7,IF(AG361&gt;AD361,2,1),"")</f>
        <v/>
      </c>
      <c r="AI361" s="91" t="str">
        <f aca="false">IF($Z361=Constants!$B$7,IF(AH361=1,2,1),"")</f>
        <v/>
      </c>
      <c r="AJ361" s="91" t="str">
        <f aca="false">IF(ISBLANK($C361),"",IF($Z361&lt;&gt;Constants!$B$7,$Z361,IF(AH361=1,AD361,AG361)))</f>
        <v/>
      </c>
      <c r="AK361" s="91" t="str">
        <f aca="false">IF(ISBLANK($C361),"",IF($Z361=Constants!$B$7,IF(ISNUMBER(AJ361),RANK(AJ361,$AJ$8:$AJ$507),Constants!$B$14),$Z361))</f>
        <v/>
      </c>
      <c r="AL361" s="91" t="str">
        <f aca="false">IF(ISBLANK($C361),"",IF($Z361=Constants!$B$7,IF(AI361=1,AD361,AG361),""))</f>
        <v/>
      </c>
      <c r="AM361" s="91" t="str">
        <f aca="false">IF(ISBLANK($C361),"",IF($Z361=Constants!$B$7,RANK(AL361,$AL$8:$AL$507),$Z361))</f>
        <v/>
      </c>
      <c r="AN361" s="91" t="str">
        <f aca="false">IF(ISBLANK($C361),"",IF($Z361=Constants!$B$7,IF(ISNUMBER(AK361),COUNTIFS($AK$8:$AK$507,"&lt;"&amp;$AK361)+COUNTIFS($AK$8:$AK$507,$AK361,$AM$8:$AM$507,"&lt;"&amp;$AM361)+1,Constants!$B$14),$Z361))</f>
        <v/>
      </c>
      <c r="AO361" s="91" t="str">
        <f aca="false">IF(ISBLANK($C361),"",IF($Z361=Constants!$B$7,IF(ISNUMBER(AK361),AK361-AN361,Constants!$B$14),$Z361))</f>
        <v/>
      </c>
      <c r="AP361" s="92"/>
      <c r="AQ361" s="93" t="str">
        <f aca="false">IF(ISBLANK($C361),"",IF($Z361&lt;&gt;Constants!$B$7,"",AH361))</f>
        <v/>
      </c>
      <c r="AR361" s="94" t="str">
        <f aca="false">IF(ISBLANK($C361),"",IF($Z361&lt;&gt;Constants!$B$7,"",IF(AH361=1,AB361,AE361)))</f>
        <v/>
      </c>
      <c r="AS361" s="95" t="str">
        <f aca="false">IF(ISBLANK($C361),"",IF($Z361&lt;&gt;Constants!$B$7,"",IF(AH361=1,AC361,AF361)))</f>
        <v/>
      </c>
      <c r="AT361" s="96" t="str">
        <f aca="false">IF(ISBLANK($C361),"",IF($Z361&lt;&gt;Constants!$B$7,$Z361,AJ361))</f>
        <v/>
      </c>
      <c r="AU361" s="97" t="str">
        <f aca="false">IF(ISBLANK($C361),"",IF($Z361&lt;&gt;Constants!$B$7,$Z361,AA361))</f>
        <v/>
      </c>
      <c r="AV361" s="98" t="str">
        <f aca="false">IF(ISBLANK($C361),"",AO361)</f>
        <v/>
      </c>
      <c r="AW361" s="98" t="str">
        <f aca="false">IF(ISBLANK($C361),"",AN361)</f>
        <v/>
      </c>
      <c r="AX361" s="99" t="str">
        <f aca="false">IF(ISBLANK($C361),"",IFERROR(_xlfn.SWITCH(AW361,Constants!$B$4,COUNTA($C$8:$C$507)+2,Constants!$B$5,COUNTA($C$8:$C$507)+1,Constants!$B$6,COUNTA($C$8:$C$507)),AW361))</f>
        <v/>
      </c>
      <c r="AY361" s="5"/>
      <c r="AZ361" s="100" t="n">
        <f aca="false">IF(OR(ISNUMBER(AW361),AW361=Constants!$B$4,AW361=Constants!$B$6,AW361=Constants!$B$5),1,0)</f>
        <v>0</v>
      </c>
      <c r="BA361" s="100" t="n">
        <v>354</v>
      </c>
      <c r="BB361" s="100" t="str">
        <f aca="false">IF(ISBLANK($C361),"",IF(ISNUMBER(AX361),AX361+ROW($B361)/1000,""))</f>
        <v/>
      </c>
      <c r="BC361" s="100" t="str">
        <f aca="false">IF(ISNUMBER(BB361),RANK(BB361,$BB$8:$BB$507,1),"")</f>
        <v/>
      </c>
      <c r="BD361" s="100" t="str">
        <f aca="false">IF(ISBLANK($C361),"",$B361)</f>
        <v/>
      </c>
      <c r="BE361" s="100" t="str">
        <f aca="false">IF(ISBLANK($C361),"",$C361)</f>
        <v/>
      </c>
      <c r="BF361" s="100" t="str">
        <f aca="false">IF(ISBLANK($C361),"",$D361)</f>
        <v/>
      </c>
      <c r="BG361" s="101" t="str">
        <f aca="false">AU361</f>
        <v/>
      </c>
      <c r="BH361" s="102" t="str">
        <f aca="false">AT361</f>
        <v/>
      </c>
      <c r="BI361" s="100" t="str">
        <f aca="false">IF(ISBLANK($C361),"",AW361)</f>
        <v/>
      </c>
      <c r="BJ361" s="103" t="str">
        <f aca="false">IF($BA361&gt;$AZ$7,"",VLOOKUP($BA361,$BC$8:$BI$507,7,FALSE()))</f>
        <v/>
      </c>
      <c r="BK361" s="104" t="str">
        <f aca="false">IF($BA361&gt;$AZ$7,"",VLOOKUP($BA361,$BC$8:$BI$507,2,FALSE()))</f>
        <v/>
      </c>
      <c r="BL361" s="104" t="str">
        <f aca="false">IF($BA361&gt;$AZ$7,"",VLOOKUP($BA361,$BC$8:$BI$507,3,FALSE()))</f>
        <v/>
      </c>
      <c r="BM361" s="104" t="str">
        <f aca="false">IF($BA361&gt;$AZ$7,"",VLOOKUP($BA361,$BC$8:$BI$507,4,FALSE()))</f>
        <v/>
      </c>
      <c r="BN361" s="104" t="str">
        <f aca="false">IF($BA361&gt;$AZ$7,"",VLOOKUP($BA361,$BC$8:$BI$507,5,FALSE()))</f>
        <v/>
      </c>
      <c r="BO361" s="105" t="str">
        <f aca="false">IF($BA361&gt;$AZ$7,"",VLOOKUP($BA361,$BC$8:$BI$507,6,FALSE()))</f>
        <v/>
      </c>
      <c r="BP361" s="52"/>
    </row>
    <row r="362" customFormat="false" ht="15.75" hidden="false" customHeight="false" outlineLevel="0" collapsed="false">
      <c r="A362" s="5"/>
      <c r="B362" s="118"/>
      <c r="C362" s="54"/>
      <c r="D362" s="55"/>
      <c r="E362" s="79"/>
      <c r="F362" s="57"/>
      <c r="G362" s="58"/>
      <c r="H362" s="58"/>
      <c r="I362" s="57"/>
      <c r="J362" s="58"/>
      <c r="K362" s="58"/>
      <c r="L362" s="57"/>
      <c r="M362" s="79"/>
      <c r="N362" s="60"/>
      <c r="O362" s="62" t="str">
        <f aca="false">IF(ISBLANK($C362),"",IF(E362=Constants!$B$2, TRUE(), IF(E362=Constants!$B$3, FALSE(), TRUE())))</f>
        <v/>
      </c>
      <c r="P362" s="62" t="str">
        <f aca="false">IF(ISBLANK($C362),"",IF(F362=Constants!$B$16,Constants!$B$9,IF(F362=Constants!$B$17,Constants!$B$10,Constants!$B$8)))</f>
        <v/>
      </c>
      <c r="Q362" s="62" t="str">
        <f aca="false">IF(ISBLANK($C362),"",IF(ISNUMBER(G362),IF(G362&gt;=0,G362,""),""))</f>
        <v/>
      </c>
      <c r="R362" s="62" t="str">
        <f aca="false">IF(ISBLANK($C362),"",IF(H362=Constants!$B$2, TRUE(), IF(H362=Constants!$B$3, FALSE(), TRUE())))</f>
        <v/>
      </c>
      <c r="S362" s="62" t="str">
        <f aca="false">IF(ISBLANK($C362),"",IF(I362=Constants!$B$2, TRUE(), IF(I362=Constants!$B$3, FALSE(), TRUE())))</f>
        <v/>
      </c>
      <c r="T362" s="62" t="str">
        <f aca="false">IF(ISBLANK($C362),"",IF(ISNUMBER(J362),IF(J362&gt;=0,J362,""),""))</f>
        <v/>
      </c>
      <c r="U362" s="62" t="str">
        <f aca="false">IF(ISBLANK($C362),"",IF(K362=Constants!$B$2, TRUE(), IF(K362=Constants!$B$3, FALSE(), TRUE())))</f>
        <v/>
      </c>
      <c r="V362" s="62" t="str">
        <f aca="false">IF(ISBLANK($C362),"",IF(L362=Constants!$B$2, TRUE(), IF(L362=Constants!$B$3, FALSE(), TRUE())))</f>
        <v/>
      </c>
      <c r="W362" s="62" t="str">
        <f aca="false">IF(ISBLANK($C362),"",IF(M362=Constants!$B$2, TRUE(), IF(M362=Constants!$B$3, FALSE(), FALSE())))</f>
        <v/>
      </c>
      <c r="X362" s="62" t="str">
        <f aca="false">IF(ISBLANK($C362),"",AND(Q362&lt;&gt;"",O362))</f>
        <v/>
      </c>
      <c r="Y362" s="62" t="str">
        <f aca="false">IF(ISBLANK($C362),"",AND(T362&lt;&gt;"",O362))</f>
        <v/>
      </c>
      <c r="Z362" s="62" t="str">
        <f aca="false">IF(ISBLANK($C362),"",IF(W362,Constants!$B$4,IF(COUNTA(E362:L362)=0,Constants!$B$5,IF(NOT(O362),Constants!$B$6,IF(AND(NOT(X362),NOT(Y362)),Constants!$B$6,Constants!$B$7)))))</f>
        <v/>
      </c>
      <c r="AA362" s="62" t="str">
        <f aca="false">IF(ISBLANK($C362),"",IF($Z362&lt;&gt;Constants!$B$7,$Z362,Constants!$B$20))</f>
        <v/>
      </c>
      <c r="AB362" s="62" t="str">
        <f aca="false">IF($Z362=Constants!$B$7,IF(X362,Q362,Constants!$B$13),"")</f>
        <v/>
      </c>
      <c r="AC362" s="62" t="str">
        <f aca="false">IF($Z362=Constants!$B$7,IF(X362,P362*IF(R362, 1, Constants!$B$11)*IF(S362, 1, Constants!$B$12),Constants!$B$13),"")</f>
        <v/>
      </c>
      <c r="AD362" s="62" t="str">
        <f aca="false">IF($Z362=Constants!$B$7,AB362*AC362,"")</f>
        <v/>
      </c>
      <c r="AE362" s="62" t="str">
        <f aca="false">IF($Z362=Constants!$B$7,IF(Y362,T362,Constants!$B$13),"")</f>
        <v/>
      </c>
      <c r="AF362" s="62" t="str">
        <f aca="false">IF($Z362=Constants!$B$7,IF(Y362,P362*IF(U362, 1, Constants!$B$11)*IF(V362, 1, Constants!$B$12),Constants!$B$13),"")</f>
        <v/>
      </c>
      <c r="AG362" s="62" t="str">
        <f aca="false">IF($Z362=Constants!$B$7,AE362*AF362,"")</f>
        <v/>
      </c>
      <c r="AH362" s="62" t="str">
        <f aca="false">IF($Z362=Constants!$B$7,IF(AG362&gt;AD362,2,1),"")</f>
        <v/>
      </c>
      <c r="AI362" s="62" t="str">
        <f aca="false">IF($Z362=Constants!$B$7,IF(AH362=1,2,1),"")</f>
        <v/>
      </c>
      <c r="AJ362" s="62" t="str">
        <f aca="false">IF(ISBLANK($C362),"",IF($Z362&lt;&gt;Constants!$B$7,$Z362,IF(AH362=1,AD362,AG362)))</f>
        <v/>
      </c>
      <c r="AK362" s="62" t="str">
        <f aca="false">IF(ISBLANK($C362),"",IF($Z362=Constants!$B$7,IF(ISNUMBER(AJ362),RANK(AJ362,$AJ$8:$AJ$507),Constants!$B$14),$Z362))</f>
        <v/>
      </c>
      <c r="AL362" s="62" t="str">
        <f aca="false">IF(ISBLANK($C362),"",IF($Z362=Constants!$B$7,IF(AI362=1,AD362,AG362),""))</f>
        <v/>
      </c>
      <c r="AM362" s="62" t="str">
        <f aca="false">IF(ISBLANK($C362),"",IF($Z362=Constants!$B$7,RANK(AL362,$AL$8:$AL$507),$Z362))</f>
        <v/>
      </c>
      <c r="AN362" s="62" t="str">
        <f aca="false">IF(ISBLANK($C362),"",IF($Z362=Constants!$B$7,IF(ISNUMBER(AK362),COUNTIFS($AK$8:$AK$507,"&lt;"&amp;$AK362)+COUNTIFS($AK$8:$AK$507,$AK362,$AM$8:$AM$507,"&lt;"&amp;$AM362)+1,Constants!$B$14),$Z362))</f>
        <v/>
      </c>
      <c r="AO362" s="62" t="str">
        <f aca="false">IF(ISBLANK($C362),"",IF($Z362=Constants!$B$7,IF(ISNUMBER(AK362),AK362-AN362,Constants!$B$14),$Z362))</f>
        <v/>
      </c>
      <c r="AP362" s="64"/>
      <c r="AQ362" s="65" t="str">
        <f aca="false">IF(ISBLANK($C362),"",IF($Z362&lt;&gt;Constants!$B$7,"",AH362))</f>
        <v/>
      </c>
      <c r="AR362" s="80" t="str">
        <f aca="false">IF(ISBLANK($C362),"",IF($Z362&lt;&gt;Constants!$B$7,"",IF(AH362=1,AB362,AE362)))</f>
        <v/>
      </c>
      <c r="AS362" s="67" t="str">
        <f aca="false">IF(ISBLANK($C362),"",IF($Z362&lt;&gt;Constants!$B$7,"",IF(AH362=1,AC362,AF362)))</f>
        <v/>
      </c>
      <c r="AT362" s="68" t="str">
        <f aca="false">IF(ISBLANK($C362),"",IF($Z362&lt;&gt;Constants!$B$7,$Z362,AJ362))</f>
        <v/>
      </c>
      <c r="AU362" s="69" t="str">
        <f aca="false">IF(ISBLANK($C362),"",IF($Z362&lt;&gt;Constants!$B$7,$Z362,AA362))</f>
        <v/>
      </c>
      <c r="AV362" s="70" t="str">
        <f aca="false">IF(ISBLANK($C362),"",AO362)</f>
        <v/>
      </c>
      <c r="AW362" s="70" t="str">
        <f aca="false">IF(ISBLANK($C362),"",AN362)</f>
        <v/>
      </c>
      <c r="AX362" s="71" t="str">
        <f aca="false">IF(ISBLANK($C362),"",IFERROR(_xlfn.SWITCH(AW362,Constants!$B$4,COUNTA($C$8:$C$507)+2,Constants!$B$5,COUNTA($C$8:$C$507)+1,Constants!$B$6,COUNTA($C$8:$C$507)),AW362))</f>
        <v/>
      </c>
      <c r="AY362" s="5"/>
      <c r="AZ362" s="72" t="n">
        <f aca="false">IF(OR(ISNUMBER(AW362),AW362=Constants!$B$4,AW362=Constants!$B$6,AW362=Constants!$B$5),1,0)</f>
        <v>0</v>
      </c>
      <c r="BA362" s="72" t="n">
        <v>355</v>
      </c>
      <c r="BB362" s="72" t="str">
        <f aca="false">IF(ISBLANK($C362),"",IF(ISNUMBER(AX362),AX362+ROW($B362)/1000,""))</f>
        <v/>
      </c>
      <c r="BC362" s="72" t="str">
        <f aca="false">IF(ISNUMBER(BB362),RANK(BB362,$BB$8:$BB$507,1),"")</f>
        <v/>
      </c>
      <c r="BD362" s="72" t="str">
        <f aca="false">IF(ISBLANK($C362),"",$B362)</f>
        <v/>
      </c>
      <c r="BE362" s="72" t="str">
        <f aca="false">IF(ISBLANK($C362),"",$C362)</f>
        <v/>
      </c>
      <c r="BF362" s="72" t="str">
        <f aca="false">IF(ISBLANK($C362),"",$D362)</f>
        <v/>
      </c>
      <c r="BG362" s="73" t="str">
        <f aca="false">AU362</f>
        <v/>
      </c>
      <c r="BH362" s="74" t="str">
        <f aca="false">AT362</f>
        <v/>
      </c>
      <c r="BI362" s="72" t="str">
        <f aca="false">IF(ISBLANK($C362),"",AW362)</f>
        <v/>
      </c>
      <c r="BJ362" s="75" t="str">
        <f aca="false">IF($BA362&gt;$AZ$7,"",VLOOKUP($BA362,$BC$8:$BI$507,7,FALSE()))</f>
        <v/>
      </c>
      <c r="BK362" s="76" t="str">
        <f aca="false">IF($BA362&gt;$AZ$7,"",VLOOKUP($BA362,$BC$8:$BI$507,2,FALSE()))</f>
        <v/>
      </c>
      <c r="BL362" s="76" t="str">
        <f aca="false">IF($BA362&gt;$AZ$7,"",VLOOKUP($BA362,$BC$8:$BI$507,3,FALSE()))</f>
        <v/>
      </c>
      <c r="BM362" s="76" t="str">
        <f aca="false">IF($BA362&gt;$AZ$7,"",VLOOKUP($BA362,$BC$8:$BI$507,4,FALSE()))</f>
        <v/>
      </c>
      <c r="BN362" s="76" t="str">
        <f aca="false">IF($BA362&gt;$AZ$7,"",VLOOKUP($BA362,$BC$8:$BI$507,5,FALSE()))</f>
        <v/>
      </c>
      <c r="BO362" s="77" t="str">
        <f aca="false">IF($BA362&gt;$AZ$7,"",VLOOKUP($BA362,$BC$8:$BI$507,6,FALSE()))</f>
        <v/>
      </c>
      <c r="BP362" s="52"/>
    </row>
    <row r="363" customFormat="false" ht="15.75" hidden="false" customHeight="false" outlineLevel="0" collapsed="false">
      <c r="A363" s="5"/>
      <c r="B363" s="118"/>
      <c r="C363" s="54"/>
      <c r="D363" s="55"/>
      <c r="E363" s="79"/>
      <c r="F363" s="57"/>
      <c r="G363" s="58"/>
      <c r="H363" s="58"/>
      <c r="I363" s="57"/>
      <c r="J363" s="58"/>
      <c r="K363" s="58"/>
      <c r="L363" s="57"/>
      <c r="M363" s="79"/>
      <c r="N363" s="60"/>
      <c r="O363" s="62" t="str">
        <f aca="false">IF(ISBLANK($C363),"",IF(E363=Constants!$B$2, TRUE(), IF(E363=Constants!$B$3, FALSE(), TRUE())))</f>
        <v/>
      </c>
      <c r="P363" s="62" t="str">
        <f aca="false">IF(ISBLANK($C363),"",IF(F363=Constants!$B$16,Constants!$B$9,IF(F363=Constants!$B$17,Constants!$B$10,Constants!$B$8)))</f>
        <v/>
      </c>
      <c r="Q363" s="62" t="str">
        <f aca="false">IF(ISBLANK($C363),"",IF(ISNUMBER(G363),IF(G363&gt;=0,G363,""),""))</f>
        <v/>
      </c>
      <c r="R363" s="62" t="str">
        <f aca="false">IF(ISBLANK($C363),"",IF(H363=Constants!$B$2, TRUE(), IF(H363=Constants!$B$3, FALSE(), TRUE())))</f>
        <v/>
      </c>
      <c r="S363" s="62" t="str">
        <f aca="false">IF(ISBLANK($C363),"",IF(I363=Constants!$B$2, TRUE(), IF(I363=Constants!$B$3, FALSE(), TRUE())))</f>
        <v/>
      </c>
      <c r="T363" s="62" t="str">
        <f aca="false">IF(ISBLANK($C363),"",IF(ISNUMBER(J363),IF(J363&gt;=0,J363,""),""))</f>
        <v/>
      </c>
      <c r="U363" s="62" t="str">
        <f aca="false">IF(ISBLANK($C363),"",IF(K363=Constants!$B$2, TRUE(), IF(K363=Constants!$B$3, FALSE(), TRUE())))</f>
        <v/>
      </c>
      <c r="V363" s="62" t="str">
        <f aca="false">IF(ISBLANK($C363),"",IF(L363=Constants!$B$2, TRUE(), IF(L363=Constants!$B$3, FALSE(), TRUE())))</f>
        <v/>
      </c>
      <c r="W363" s="62" t="str">
        <f aca="false">IF(ISBLANK($C363),"",IF(M363=Constants!$B$2, TRUE(), IF(M363=Constants!$B$3, FALSE(), FALSE())))</f>
        <v/>
      </c>
      <c r="X363" s="62" t="str">
        <f aca="false">IF(ISBLANK($C363),"",AND(Q363&lt;&gt;"",O363))</f>
        <v/>
      </c>
      <c r="Y363" s="62" t="str">
        <f aca="false">IF(ISBLANK($C363),"",AND(T363&lt;&gt;"",O363))</f>
        <v/>
      </c>
      <c r="Z363" s="62" t="str">
        <f aca="false">IF(ISBLANK($C363),"",IF(W363,Constants!$B$4,IF(COUNTA(E363:L363)=0,Constants!$B$5,IF(NOT(O363),Constants!$B$6,IF(AND(NOT(X363),NOT(Y363)),Constants!$B$6,Constants!$B$7)))))</f>
        <v/>
      </c>
      <c r="AA363" s="62" t="str">
        <f aca="false">IF(ISBLANK($C363),"",IF($Z363&lt;&gt;Constants!$B$7,$Z363,Constants!$B$20))</f>
        <v/>
      </c>
      <c r="AB363" s="62" t="str">
        <f aca="false">IF($Z363=Constants!$B$7,IF(X363,Q363,Constants!$B$13),"")</f>
        <v/>
      </c>
      <c r="AC363" s="62" t="str">
        <f aca="false">IF($Z363=Constants!$B$7,IF(X363,P363*IF(R363, 1, Constants!$B$11)*IF(S363, 1, Constants!$B$12),Constants!$B$13),"")</f>
        <v/>
      </c>
      <c r="AD363" s="62" t="str">
        <f aca="false">IF($Z363=Constants!$B$7,AB363*AC363,"")</f>
        <v/>
      </c>
      <c r="AE363" s="62" t="str">
        <f aca="false">IF($Z363=Constants!$B$7,IF(Y363,T363,Constants!$B$13),"")</f>
        <v/>
      </c>
      <c r="AF363" s="62" t="str">
        <f aca="false">IF($Z363=Constants!$B$7,IF(Y363,P363*IF(U363, 1, Constants!$B$11)*IF(V363, 1, Constants!$B$12),Constants!$B$13),"")</f>
        <v/>
      </c>
      <c r="AG363" s="62" t="str">
        <f aca="false">IF($Z363=Constants!$B$7,AE363*AF363,"")</f>
        <v/>
      </c>
      <c r="AH363" s="62" t="str">
        <f aca="false">IF($Z363=Constants!$B$7,IF(AG363&gt;AD363,2,1),"")</f>
        <v/>
      </c>
      <c r="AI363" s="62" t="str">
        <f aca="false">IF($Z363=Constants!$B$7,IF(AH363=1,2,1),"")</f>
        <v/>
      </c>
      <c r="AJ363" s="62" t="str">
        <f aca="false">IF(ISBLANK($C363),"",IF($Z363&lt;&gt;Constants!$B$7,$Z363,IF(AH363=1,AD363,AG363)))</f>
        <v/>
      </c>
      <c r="AK363" s="62" t="str">
        <f aca="false">IF(ISBLANK($C363),"",IF($Z363=Constants!$B$7,IF(ISNUMBER(AJ363),RANK(AJ363,$AJ$8:$AJ$507),Constants!$B$14),$Z363))</f>
        <v/>
      </c>
      <c r="AL363" s="62" t="str">
        <f aca="false">IF(ISBLANK($C363),"",IF($Z363=Constants!$B$7,IF(AI363=1,AD363,AG363),""))</f>
        <v/>
      </c>
      <c r="AM363" s="62" t="str">
        <f aca="false">IF(ISBLANK($C363),"",IF($Z363=Constants!$B$7,RANK(AL363,$AL$8:$AL$507),$Z363))</f>
        <v/>
      </c>
      <c r="AN363" s="62" t="str">
        <f aca="false">IF(ISBLANK($C363),"",IF($Z363=Constants!$B$7,IF(ISNUMBER(AK363),COUNTIFS($AK$8:$AK$507,"&lt;"&amp;$AK363)+COUNTIFS($AK$8:$AK$507,$AK363,$AM$8:$AM$507,"&lt;"&amp;$AM363)+1,Constants!$B$14),$Z363))</f>
        <v/>
      </c>
      <c r="AO363" s="62" t="str">
        <f aca="false">IF(ISBLANK($C363),"",IF($Z363=Constants!$B$7,IF(ISNUMBER(AK363),AK363-AN363,Constants!$B$14),$Z363))</f>
        <v/>
      </c>
      <c r="AP363" s="64"/>
      <c r="AQ363" s="65" t="str">
        <f aca="false">IF(ISBLANK($C363),"",IF($Z363&lt;&gt;Constants!$B$7,"",AH363))</f>
        <v/>
      </c>
      <c r="AR363" s="80" t="str">
        <f aca="false">IF(ISBLANK($C363),"",IF($Z363&lt;&gt;Constants!$B$7,"",IF(AH363=1,AB363,AE363)))</f>
        <v/>
      </c>
      <c r="AS363" s="67" t="str">
        <f aca="false">IF(ISBLANK($C363),"",IF($Z363&lt;&gt;Constants!$B$7,"",IF(AH363=1,AC363,AF363)))</f>
        <v/>
      </c>
      <c r="AT363" s="68" t="str">
        <f aca="false">IF(ISBLANK($C363),"",IF($Z363&lt;&gt;Constants!$B$7,$Z363,AJ363))</f>
        <v/>
      </c>
      <c r="AU363" s="69" t="str">
        <f aca="false">IF(ISBLANK($C363),"",IF($Z363&lt;&gt;Constants!$B$7,$Z363,AA363))</f>
        <v/>
      </c>
      <c r="AV363" s="70" t="str">
        <f aca="false">IF(ISBLANK($C363),"",AO363)</f>
        <v/>
      </c>
      <c r="AW363" s="70" t="str">
        <f aca="false">IF(ISBLANK($C363),"",AN363)</f>
        <v/>
      </c>
      <c r="AX363" s="71" t="str">
        <f aca="false">IF(ISBLANK($C363),"",IFERROR(_xlfn.SWITCH(AW363,Constants!$B$4,COUNTA($C$8:$C$507)+2,Constants!$B$5,COUNTA($C$8:$C$507)+1,Constants!$B$6,COUNTA($C$8:$C$507)),AW363))</f>
        <v/>
      </c>
      <c r="AY363" s="5"/>
      <c r="AZ363" s="72" t="n">
        <f aca="false">IF(OR(ISNUMBER(AW363),AW363=Constants!$B$4,AW363=Constants!$B$6,AW363=Constants!$B$5),1,0)</f>
        <v>0</v>
      </c>
      <c r="BA363" s="72" t="n">
        <v>356</v>
      </c>
      <c r="BB363" s="72" t="str">
        <f aca="false">IF(ISBLANK($C363),"",IF(ISNUMBER(AX363),AX363+ROW($B363)/1000,""))</f>
        <v/>
      </c>
      <c r="BC363" s="72" t="str">
        <f aca="false">IF(ISNUMBER(BB363),RANK(BB363,$BB$8:$BB$507,1),"")</f>
        <v/>
      </c>
      <c r="BD363" s="72" t="str">
        <f aca="false">IF(ISBLANK($C363),"",$B363)</f>
        <v/>
      </c>
      <c r="BE363" s="72" t="str">
        <f aca="false">IF(ISBLANK($C363),"",$C363)</f>
        <v/>
      </c>
      <c r="BF363" s="72" t="str">
        <f aca="false">IF(ISBLANK($C363),"",$D363)</f>
        <v/>
      </c>
      <c r="BG363" s="73" t="str">
        <f aca="false">AU363</f>
        <v/>
      </c>
      <c r="BH363" s="74" t="str">
        <f aca="false">AT363</f>
        <v/>
      </c>
      <c r="BI363" s="72" t="str">
        <f aca="false">IF(ISBLANK($C363),"",AW363)</f>
        <v/>
      </c>
      <c r="BJ363" s="75" t="str">
        <f aca="false">IF($BA363&gt;$AZ$7,"",VLOOKUP($BA363,$BC$8:$BI$507,7,FALSE()))</f>
        <v/>
      </c>
      <c r="BK363" s="76" t="str">
        <f aca="false">IF($BA363&gt;$AZ$7,"",VLOOKUP($BA363,$BC$8:$BI$507,2,FALSE()))</f>
        <v/>
      </c>
      <c r="BL363" s="76" t="str">
        <f aca="false">IF($BA363&gt;$AZ$7,"",VLOOKUP($BA363,$BC$8:$BI$507,3,FALSE()))</f>
        <v/>
      </c>
      <c r="BM363" s="76" t="str">
        <f aca="false">IF($BA363&gt;$AZ$7,"",VLOOKUP($BA363,$BC$8:$BI$507,4,FALSE()))</f>
        <v/>
      </c>
      <c r="BN363" s="76" t="str">
        <f aca="false">IF($BA363&gt;$AZ$7,"",VLOOKUP($BA363,$BC$8:$BI$507,5,FALSE()))</f>
        <v/>
      </c>
      <c r="BO363" s="77" t="str">
        <f aca="false">IF($BA363&gt;$AZ$7,"",VLOOKUP($BA363,$BC$8:$BI$507,6,FALSE()))</f>
        <v/>
      </c>
      <c r="BP363" s="52"/>
    </row>
    <row r="364" customFormat="false" ht="15.75" hidden="false" customHeight="false" outlineLevel="0" collapsed="false">
      <c r="A364" s="5"/>
      <c r="B364" s="118"/>
      <c r="C364" s="54"/>
      <c r="D364" s="55"/>
      <c r="E364" s="79"/>
      <c r="F364" s="57"/>
      <c r="G364" s="58"/>
      <c r="H364" s="58"/>
      <c r="I364" s="57"/>
      <c r="J364" s="58"/>
      <c r="K364" s="58"/>
      <c r="L364" s="57"/>
      <c r="M364" s="79"/>
      <c r="N364" s="60"/>
      <c r="O364" s="62" t="str">
        <f aca="false">IF(ISBLANK($C364),"",IF(E364=Constants!$B$2, TRUE(), IF(E364=Constants!$B$3, FALSE(), TRUE())))</f>
        <v/>
      </c>
      <c r="P364" s="62" t="str">
        <f aca="false">IF(ISBLANK($C364),"",IF(F364=Constants!$B$16,Constants!$B$9,IF(F364=Constants!$B$17,Constants!$B$10,Constants!$B$8)))</f>
        <v/>
      </c>
      <c r="Q364" s="62" t="str">
        <f aca="false">IF(ISBLANK($C364),"",IF(ISNUMBER(G364),IF(G364&gt;=0,G364,""),""))</f>
        <v/>
      </c>
      <c r="R364" s="62" t="str">
        <f aca="false">IF(ISBLANK($C364),"",IF(H364=Constants!$B$2, TRUE(), IF(H364=Constants!$B$3, FALSE(), TRUE())))</f>
        <v/>
      </c>
      <c r="S364" s="62" t="str">
        <f aca="false">IF(ISBLANK($C364),"",IF(I364=Constants!$B$2, TRUE(), IF(I364=Constants!$B$3, FALSE(), TRUE())))</f>
        <v/>
      </c>
      <c r="T364" s="62" t="str">
        <f aca="false">IF(ISBLANK($C364),"",IF(ISNUMBER(J364),IF(J364&gt;=0,J364,""),""))</f>
        <v/>
      </c>
      <c r="U364" s="62" t="str">
        <f aca="false">IF(ISBLANK($C364),"",IF(K364=Constants!$B$2, TRUE(), IF(K364=Constants!$B$3, FALSE(), TRUE())))</f>
        <v/>
      </c>
      <c r="V364" s="62" t="str">
        <f aca="false">IF(ISBLANK($C364),"",IF(L364=Constants!$B$2, TRUE(), IF(L364=Constants!$B$3, FALSE(), TRUE())))</f>
        <v/>
      </c>
      <c r="W364" s="62" t="str">
        <f aca="false">IF(ISBLANK($C364),"",IF(M364=Constants!$B$2, TRUE(), IF(M364=Constants!$B$3, FALSE(), FALSE())))</f>
        <v/>
      </c>
      <c r="X364" s="62" t="str">
        <f aca="false">IF(ISBLANK($C364),"",AND(Q364&lt;&gt;"",O364))</f>
        <v/>
      </c>
      <c r="Y364" s="62" t="str">
        <f aca="false">IF(ISBLANK($C364),"",AND(T364&lt;&gt;"",O364))</f>
        <v/>
      </c>
      <c r="Z364" s="62" t="str">
        <f aca="false">IF(ISBLANK($C364),"",IF(W364,Constants!$B$4,IF(COUNTA(E364:L364)=0,Constants!$B$5,IF(NOT(O364),Constants!$B$6,IF(AND(NOT(X364),NOT(Y364)),Constants!$B$6,Constants!$B$7)))))</f>
        <v/>
      </c>
      <c r="AA364" s="62" t="str">
        <f aca="false">IF(ISBLANK($C364),"",IF($Z364&lt;&gt;Constants!$B$7,$Z364,Constants!$B$20))</f>
        <v/>
      </c>
      <c r="AB364" s="62" t="str">
        <f aca="false">IF($Z364=Constants!$B$7,IF(X364,Q364,Constants!$B$13),"")</f>
        <v/>
      </c>
      <c r="AC364" s="62" t="str">
        <f aca="false">IF($Z364=Constants!$B$7,IF(X364,P364*IF(R364, 1, Constants!$B$11)*IF(S364, 1, Constants!$B$12),Constants!$B$13),"")</f>
        <v/>
      </c>
      <c r="AD364" s="62" t="str">
        <f aca="false">IF($Z364=Constants!$B$7,AB364*AC364,"")</f>
        <v/>
      </c>
      <c r="AE364" s="62" t="str">
        <f aca="false">IF($Z364=Constants!$B$7,IF(Y364,T364,Constants!$B$13),"")</f>
        <v/>
      </c>
      <c r="AF364" s="62" t="str">
        <f aca="false">IF($Z364=Constants!$B$7,IF(Y364,P364*IF(U364, 1, Constants!$B$11)*IF(V364, 1, Constants!$B$12),Constants!$B$13),"")</f>
        <v/>
      </c>
      <c r="AG364" s="62" t="str">
        <f aca="false">IF($Z364=Constants!$B$7,AE364*AF364,"")</f>
        <v/>
      </c>
      <c r="AH364" s="62" t="str">
        <f aca="false">IF($Z364=Constants!$B$7,IF(AG364&gt;AD364,2,1),"")</f>
        <v/>
      </c>
      <c r="AI364" s="62" t="str">
        <f aca="false">IF($Z364=Constants!$B$7,IF(AH364=1,2,1),"")</f>
        <v/>
      </c>
      <c r="AJ364" s="62" t="str">
        <f aca="false">IF(ISBLANK($C364),"",IF($Z364&lt;&gt;Constants!$B$7,$Z364,IF(AH364=1,AD364,AG364)))</f>
        <v/>
      </c>
      <c r="AK364" s="62" t="str">
        <f aca="false">IF(ISBLANK($C364),"",IF($Z364=Constants!$B$7,IF(ISNUMBER(AJ364),RANK(AJ364,$AJ$8:$AJ$507),Constants!$B$14),$Z364))</f>
        <v/>
      </c>
      <c r="AL364" s="62" t="str">
        <f aca="false">IF(ISBLANK($C364),"",IF($Z364=Constants!$B$7,IF(AI364=1,AD364,AG364),""))</f>
        <v/>
      </c>
      <c r="AM364" s="62" t="str">
        <f aca="false">IF(ISBLANK($C364),"",IF($Z364=Constants!$B$7,RANK(AL364,$AL$8:$AL$507),$Z364))</f>
        <v/>
      </c>
      <c r="AN364" s="62" t="str">
        <f aca="false">IF(ISBLANK($C364),"",IF($Z364=Constants!$B$7,IF(ISNUMBER(AK364),COUNTIFS($AK$8:$AK$507,"&lt;"&amp;$AK364)+COUNTIFS($AK$8:$AK$507,$AK364,$AM$8:$AM$507,"&lt;"&amp;$AM364)+1,Constants!$B$14),$Z364))</f>
        <v/>
      </c>
      <c r="AO364" s="62" t="str">
        <f aca="false">IF(ISBLANK($C364),"",IF($Z364=Constants!$B$7,IF(ISNUMBER(AK364),AK364-AN364,Constants!$B$14),$Z364))</f>
        <v/>
      </c>
      <c r="AP364" s="64"/>
      <c r="AQ364" s="65" t="str">
        <f aca="false">IF(ISBLANK($C364),"",IF($Z364&lt;&gt;Constants!$B$7,"",AH364))</f>
        <v/>
      </c>
      <c r="AR364" s="80" t="str">
        <f aca="false">IF(ISBLANK($C364),"",IF($Z364&lt;&gt;Constants!$B$7,"",IF(AH364=1,AB364,AE364)))</f>
        <v/>
      </c>
      <c r="AS364" s="67" t="str">
        <f aca="false">IF(ISBLANK($C364),"",IF($Z364&lt;&gt;Constants!$B$7,"",IF(AH364=1,AC364,AF364)))</f>
        <v/>
      </c>
      <c r="AT364" s="68" t="str">
        <f aca="false">IF(ISBLANK($C364),"",IF($Z364&lt;&gt;Constants!$B$7,$Z364,AJ364))</f>
        <v/>
      </c>
      <c r="AU364" s="69" t="str">
        <f aca="false">IF(ISBLANK($C364),"",IF($Z364&lt;&gt;Constants!$B$7,$Z364,AA364))</f>
        <v/>
      </c>
      <c r="AV364" s="70" t="str">
        <f aca="false">IF(ISBLANK($C364),"",AO364)</f>
        <v/>
      </c>
      <c r="AW364" s="70" t="str">
        <f aca="false">IF(ISBLANK($C364),"",AN364)</f>
        <v/>
      </c>
      <c r="AX364" s="71" t="str">
        <f aca="false">IF(ISBLANK($C364),"",IFERROR(_xlfn.SWITCH(AW364,Constants!$B$4,COUNTA($C$8:$C$507)+2,Constants!$B$5,COUNTA($C$8:$C$507)+1,Constants!$B$6,COUNTA($C$8:$C$507)),AW364))</f>
        <v/>
      </c>
      <c r="AY364" s="5"/>
      <c r="AZ364" s="72" t="n">
        <f aca="false">IF(OR(ISNUMBER(AW364),AW364=Constants!$B$4,AW364=Constants!$B$6,AW364=Constants!$B$5),1,0)</f>
        <v>0</v>
      </c>
      <c r="BA364" s="72" t="n">
        <v>357</v>
      </c>
      <c r="BB364" s="72" t="str">
        <f aca="false">IF(ISBLANK($C364),"",IF(ISNUMBER(AX364),AX364+ROW($B364)/1000,""))</f>
        <v/>
      </c>
      <c r="BC364" s="72" t="str">
        <f aca="false">IF(ISNUMBER(BB364),RANK(BB364,$BB$8:$BB$507,1),"")</f>
        <v/>
      </c>
      <c r="BD364" s="72" t="str">
        <f aca="false">IF(ISBLANK($C364),"",$B364)</f>
        <v/>
      </c>
      <c r="BE364" s="72" t="str">
        <f aca="false">IF(ISBLANK($C364),"",$C364)</f>
        <v/>
      </c>
      <c r="BF364" s="72" t="str">
        <f aca="false">IF(ISBLANK($C364),"",$D364)</f>
        <v/>
      </c>
      <c r="BG364" s="73" t="str">
        <f aca="false">AU364</f>
        <v/>
      </c>
      <c r="BH364" s="74" t="str">
        <f aca="false">AT364</f>
        <v/>
      </c>
      <c r="BI364" s="72" t="str">
        <f aca="false">IF(ISBLANK($C364),"",AW364)</f>
        <v/>
      </c>
      <c r="BJ364" s="75" t="str">
        <f aca="false">IF($BA364&gt;$AZ$7,"",VLOOKUP($BA364,$BC$8:$BI$507,7,FALSE()))</f>
        <v/>
      </c>
      <c r="BK364" s="76" t="str">
        <f aca="false">IF($BA364&gt;$AZ$7,"",VLOOKUP($BA364,$BC$8:$BI$507,2,FALSE()))</f>
        <v/>
      </c>
      <c r="BL364" s="76" t="str">
        <f aca="false">IF($BA364&gt;$AZ$7,"",VLOOKUP($BA364,$BC$8:$BI$507,3,FALSE()))</f>
        <v/>
      </c>
      <c r="BM364" s="76" t="str">
        <f aca="false">IF($BA364&gt;$AZ$7,"",VLOOKUP($BA364,$BC$8:$BI$507,4,FALSE()))</f>
        <v/>
      </c>
      <c r="BN364" s="76" t="str">
        <f aca="false">IF($BA364&gt;$AZ$7,"",VLOOKUP($BA364,$BC$8:$BI$507,5,FALSE()))</f>
        <v/>
      </c>
      <c r="BO364" s="77" t="str">
        <f aca="false">IF($BA364&gt;$AZ$7,"",VLOOKUP($BA364,$BC$8:$BI$507,6,FALSE()))</f>
        <v/>
      </c>
      <c r="BP364" s="52"/>
    </row>
    <row r="365" customFormat="false" ht="15.75" hidden="false" customHeight="false" outlineLevel="0" collapsed="false">
      <c r="A365" s="5"/>
      <c r="B365" s="114"/>
      <c r="C365" s="115"/>
      <c r="D365" s="106"/>
      <c r="E365" s="117"/>
      <c r="F365" s="87"/>
      <c r="G365" s="88"/>
      <c r="H365" s="88"/>
      <c r="I365" s="87"/>
      <c r="J365" s="88"/>
      <c r="K365" s="88"/>
      <c r="L365" s="87"/>
      <c r="M365" s="117"/>
      <c r="N365" s="90"/>
      <c r="O365" s="91" t="str">
        <f aca="false">IF(ISBLANK($C365),"",IF(E365=Constants!$B$2, TRUE(), IF(E365=Constants!$B$3, FALSE(), TRUE())))</f>
        <v/>
      </c>
      <c r="P365" s="91" t="str">
        <f aca="false">IF(ISBLANK($C365),"",IF(F365=Constants!$B$16,Constants!$B$9,IF(F365=Constants!$B$17,Constants!$B$10,Constants!$B$8)))</f>
        <v/>
      </c>
      <c r="Q365" s="91" t="str">
        <f aca="false">IF(ISBLANK($C365),"",IF(ISNUMBER(G365),IF(G365&gt;=0,G365,""),""))</f>
        <v/>
      </c>
      <c r="R365" s="91" t="str">
        <f aca="false">IF(ISBLANK($C365),"",IF(H365=Constants!$B$2, TRUE(), IF(H365=Constants!$B$3, FALSE(), TRUE())))</f>
        <v/>
      </c>
      <c r="S365" s="91" t="str">
        <f aca="false">IF(ISBLANK($C365),"",IF(I365=Constants!$B$2, TRUE(), IF(I365=Constants!$B$3, FALSE(), TRUE())))</f>
        <v/>
      </c>
      <c r="T365" s="91" t="str">
        <f aca="false">IF(ISBLANK($C365),"",IF(ISNUMBER(J365),IF(J365&gt;=0,J365,""),""))</f>
        <v/>
      </c>
      <c r="U365" s="91" t="str">
        <f aca="false">IF(ISBLANK($C365),"",IF(K365=Constants!$B$2, TRUE(), IF(K365=Constants!$B$3, FALSE(), TRUE())))</f>
        <v/>
      </c>
      <c r="V365" s="91" t="str">
        <f aca="false">IF(ISBLANK($C365),"",IF(L365=Constants!$B$2, TRUE(), IF(L365=Constants!$B$3, FALSE(), TRUE())))</f>
        <v/>
      </c>
      <c r="W365" s="91" t="str">
        <f aca="false">IF(ISBLANK($C365),"",IF(M365=Constants!$B$2, TRUE(), IF(M365=Constants!$B$3, FALSE(), FALSE())))</f>
        <v/>
      </c>
      <c r="X365" s="91" t="str">
        <f aca="false">IF(ISBLANK($C365),"",AND(Q365&lt;&gt;"",O365))</f>
        <v/>
      </c>
      <c r="Y365" s="91" t="str">
        <f aca="false">IF(ISBLANK($C365),"",AND(T365&lt;&gt;"",O365))</f>
        <v/>
      </c>
      <c r="Z365" s="91" t="str">
        <f aca="false">IF(ISBLANK($C365),"",IF(W365,Constants!$B$4,IF(COUNTA(E365:L365)=0,Constants!$B$5,IF(NOT(O365),Constants!$B$6,IF(AND(NOT(X365),NOT(Y365)),Constants!$B$6,Constants!$B$7)))))</f>
        <v/>
      </c>
      <c r="AA365" s="91" t="str">
        <f aca="false">IF(ISBLANK($C365),"",IF($Z365&lt;&gt;Constants!$B$7,$Z365,Constants!$B$20))</f>
        <v/>
      </c>
      <c r="AB365" s="91" t="str">
        <f aca="false">IF($Z365=Constants!$B$7,IF(X365,Q365,Constants!$B$13),"")</f>
        <v/>
      </c>
      <c r="AC365" s="91" t="str">
        <f aca="false">IF($Z365=Constants!$B$7,IF(X365,P365*IF(R365, 1, Constants!$B$11)*IF(S365, 1, Constants!$B$12),Constants!$B$13),"")</f>
        <v/>
      </c>
      <c r="AD365" s="91" t="str">
        <f aca="false">IF($Z365=Constants!$B$7,AB365*AC365,"")</f>
        <v/>
      </c>
      <c r="AE365" s="91" t="str">
        <f aca="false">IF($Z365=Constants!$B$7,IF(Y365,T365,Constants!$B$13),"")</f>
        <v/>
      </c>
      <c r="AF365" s="91" t="str">
        <f aca="false">IF($Z365=Constants!$B$7,IF(Y365,P365*IF(U365, 1, Constants!$B$11)*IF(V365, 1, Constants!$B$12),Constants!$B$13),"")</f>
        <v/>
      </c>
      <c r="AG365" s="91" t="str">
        <f aca="false">IF($Z365=Constants!$B$7,AE365*AF365,"")</f>
        <v/>
      </c>
      <c r="AH365" s="91" t="str">
        <f aca="false">IF($Z365=Constants!$B$7,IF(AG365&gt;AD365,2,1),"")</f>
        <v/>
      </c>
      <c r="AI365" s="91" t="str">
        <f aca="false">IF($Z365=Constants!$B$7,IF(AH365=1,2,1),"")</f>
        <v/>
      </c>
      <c r="AJ365" s="91" t="str">
        <f aca="false">IF(ISBLANK($C365),"",IF($Z365&lt;&gt;Constants!$B$7,$Z365,IF(AH365=1,AD365,AG365)))</f>
        <v/>
      </c>
      <c r="AK365" s="91" t="str">
        <f aca="false">IF(ISBLANK($C365),"",IF($Z365=Constants!$B$7,IF(ISNUMBER(AJ365),RANK(AJ365,$AJ$8:$AJ$507),Constants!$B$14),$Z365))</f>
        <v/>
      </c>
      <c r="AL365" s="91" t="str">
        <f aca="false">IF(ISBLANK($C365),"",IF($Z365=Constants!$B$7,IF(AI365=1,AD365,AG365),""))</f>
        <v/>
      </c>
      <c r="AM365" s="91" t="str">
        <f aca="false">IF(ISBLANK($C365),"",IF($Z365=Constants!$B$7,RANK(AL365,$AL$8:$AL$507),$Z365))</f>
        <v/>
      </c>
      <c r="AN365" s="91" t="str">
        <f aca="false">IF(ISBLANK($C365),"",IF($Z365=Constants!$B$7,IF(ISNUMBER(AK365),COUNTIFS($AK$8:$AK$507,"&lt;"&amp;$AK365)+COUNTIFS($AK$8:$AK$507,$AK365,$AM$8:$AM$507,"&lt;"&amp;$AM365)+1,Constants!$B$14),$Z365))</f>
        <v/>
      </c>
      <c r="AO365" s="91" t="str">
        <f aca="false">IF(ISBLANK($C365),"",IF($Z365=Constants!$B$7,IF(ISNUMBER(AK365),AK365-AN365,Constants!$B$14),$Z365))</f>
        <v/>
      </c>
      <c r="AP365" s="92"/>
      <c r="AQ365" s="93" t="str">
        <f aca="false">IF(ISBLANK($C365),"",IF($Z365&lt;&gt;Constants!$B$7,"",AH365))</f>
        <v/>
      </c>
      <c r="AR365" s="94" t="str">
        <f aca="false">IF(ISBLANK($C365),"",IF($Z365&lt;&gt;Constants!$B$7,"",IF(AH365=1,AB365,AE365)))</f>
        <v/>
      </c>
      <c r="AS365" s="95" t="str">
        <f aca="false">IF(ISBLANK($C365),"",IF($Z365&lt;&gt;Constants!$B$7,"",IF(AH365=1,AC365,AF365)))</f>
        <v/>
      </c>
      <c r="AT365" s="96" t="str">
        <f aca="false">IF(ISBLANK($C365),"",IF($Z365&lt;&gt;Constants!$B$7,$Z365,AJ365))</f>
        <v/>
      </c>
      <c r="AU365" s="97" t="str">
        <f aca="false">IF(ISBLANK($C365),"",IF($Z365&lt;&gt;Constants!$B$7,$Z365,AA365))</f>
        <v/>
      </c>
      <c r="AV365" s="98" t="str">
        <f aca="false">IF(ISBLANK($C365),"",AO365)</f>
        <v/>
      </c>
      <c r="AW365" s="98" t="str">
        <f aca="false">IF(ISBLANK($C365),"",AN365)</f>
        <v/>
      </c>
      <c r="AX365" s="99" t="str">
        <f aca="false">IF(ISBLANK($C365),"",IFERROR(_xlfn.SWITCH(AW365,Constants!$B$4,COUNTA($C$8:$C$507)+2,Constants!$B$5,COUNTA($C$8:$C$507)+1,Constants!$B$6,COUNTA($C$8:$C$507)),AW365))</f>
        <v/>
      </c>
      <c r="AY365" s="5"/>
      <c r="AZ365" s="100" t="n">
        <f aca="false">IF(OR(ISNUMBER(AW365),AW365=Constants!$B$4,AW365=Constants!$B$6,AW365=Constants!$B$5),1,0)</f>
        <v>0</v>
      </c>
      <c r="BA365" s="100" t="n">
        <v>358</v>
      </c>
      <c r="BB365" s="100" t="str">
        <f aca="false">IF(ISBLANK($C365),"",IF(ISNUMBER(AX365),AX365+ROW($B365)/1000,""))</f>
        <v/>
      </c>
      <c r="BC365" s="100" t="str">
        <f aca="false">IF(ISNUMBER(BB365),RANK(BB365,$BB$8:$BB$507,1),"")</f>
        <v/>
      </c>
      <c r="BD365" s="100" t="str">
        <f aca="false">IF(ISBLANK($C365),"",$B365)</f>
        <v/>
      </c>
      <c r="BE365" s="100" t="str">
        <f aca="false">IF(ISBLANK($C365),"",$C365)</f>
        <v/>
      </c>
      <c r="BF365" s="100" t="str">
        <f aca="false">IF(ISBLANK($C365),"",$D365)</f>
        <v/>
      </c>
      <c r="BG365" s="101" t="str">
        <f aca="false">AU365</f>
        <v/>
      </c>
      <c r="BH365" s="102" t="str">
        <f aca="false">AT365</f>
        <v/>
      </c>
      <c r="BI365" s="100" t="str">
        <f aca="false">IF(ISBLANK($C365),"",AW365)</f>
        <v/>
      </c>
      <c r="BJ365" s="103" t="str">
        <f aca="false">IF($BA365&gt;$AZ$7,"",VLOOKUP($BA365,$BC$8:$BI$507,7,FALSE()))</f>
        <v/>
      </c>
      <c r="BK365" s="104" t="str">
        <f aca="false">IF($BA365&gt;$AZ$7,"",VLOOKUP($BA365,$BC$8:$BI$507,2,FALSE()))</f>
        <v/>
      </c>
      <c r="BL365" s="104" t="str">
        <f aca="false">IF($BA365&gt;$AZ$7,"",VLOOKUP($BA365,$BC$8:$BI$507,3,FALSE()))</f>
        <v/>
      </c>
      <c r="BM365" s="104" t="str">
        <f aca="false">IF($BA365&gt;$AZ$7,"",VLOOKUP($BA365,$BC$8:$BI$507,4,FALSE()))</f>
        <v/>
      </c>
      <c r="BN365" s="104" t="str">
        <f aca="false">IF($BA365&gt;$AZ$7,"",VLOOKUP($BA365,$BC$8:$BI$507,5,FALSE()))</f>
        <v/>
      </c>
      <c r="BO365" s="105" t="str">
        <f aca="false">IF($BA365&gt;$AZ$7,"",VLOOKUP($BA365,$BC$8:$BI$507,6,FALSE()))</f>
        <v/>
      </c>
      <c r="BP365" s="52"/>
    </row>
    <row r="366" customFormat="false" ht="15.75" hidden="false" customHeight="false" outlineLevel="0" collapsed="false">
      <c r="A366" s="5"/>
      <c r="B366" s="114"/>
      <c r="C366" s="115"/>
      <c r="D366" s="106"/>
      <c r="E366" s="117"/>
      <c r="F366" s="87"/>
      <c r="G366" s="88"/>
      <c r="H366" s="88"/>
      <c r="I366" s="87"/>
      <c r="J366" s="88"/>
      <c r="K366" s="88"/>
      <c r="L366" s="87"/>
      <c r="M366" s="117"/>
      <c r="N366" s="90"/>
      <c r="O366" s="91" t="str">
        <f aca="false">IF(ISBLANK($C366),"",IF(E366=Constants!$B$2, TRUE(), IF(E366=Constants!$B$3, FALSE(), TRUE())))</f>
        <v/>
      </c>
      <c r="P366" s="91" t="str">
        <f aca="false">IF(ISBLANK($C366),"",IF(F366=Constants!$B$16,Constants!$B$9,IF(F366=Constants!$B$17,Constants!$B$10,Constants!$B$8)))</f>
        <v/>
      </c>
      <c r="Q366" s="91" t="str">
        <f aca="false">IF(ISBLANK($C366),"",IF(ISNUMBER(G366),IF(G366&gt;=0,G366,""),""))</f>
        <v/>
      </c>
      <c r="R366" s="91" t="str">
        <f aca="false">IF(ISBLANK($C366),"",IF(H366=Constants!$B$2, TRUE(), IF(H366=Constants!$B$3, FALSE(), TRUE())))</f>
        <v/>
      </c>
      <c r="S366" s="91" t="str">
        <f aca="false">IF(ISBLANK($C366),"",IF(I366=Constants!$B$2, TRUE(), IF(I366=Constants!$B$3, FALSE(), TRUE())))</f>
        <v/>
      </c>
      <c r="T366" s="91" t="str">
        <f aca="false">IF(ISBLANK($C366),"",IF(ISNUMBER(J366),IF(J366&gt;=0,J366,""),""))</f>
        <v/>
      </c>
      <c r="U366" s="91" t="str">
        <f aca="false">IF(ISBLANK($C366),"",IF(K366=Constants!$B$2, TRUE(), IF(K366=Constants!$B$3, FALSE(), TRUE())))</f>
        <v/>
      </c>
      <c r="V366" s="91" t="str">
        <f aca="false">IF(ISBLANK($C366),"",IF(L366=Constants!$B$2, TRUE(), IF(L366=Constants!$B$3, FALSE(), TRUE())))</f>
        <v/>
      </c>
      <c r="W366" s="91" t="str">
        <f aca="false">IF(ISBLANK($C366),"",IF(M366=Constants!$B$2, TRUE(), IF(M366=Constants!$B$3, FALSE(), FALSE())))</f>
        <v/>
      </c>
      <c r="X366" s="91" t="str">
        <f aca="false">IF(ISBLANK($C366),"",AND(Q366&lt;&gt;"",O366))</f>
        <v/>
      </c>
      <c r="Y366" s="91" t="str">
        <f aca="false">IF(ISBLANK($C366),"",AND(T366&lt;&gt;"",O366))</f>
        <v/>
      </c>
      <c r="Z366" s="91" t="str">
        <f aca="false">IF(ISBLANK($C366),"",IF(W366,Constants!$B$4,IF(COUNTA(E366:L366)=0,Constants!$B$5,IF(NOT(O366),Constants!$B$6,IF(AND(NOT(X366),NOT(Y366)),Constants!$B$6,Constants!$B$7)))))</f>
        <v/>
      </c>
      <c r="AA366" s="91" t="str">
        <f aca="false">IF(ISBLANK($C366),"",IF($Z366&lt;&gt;Constants!$B$7,$Z366,Constants!$B$20))</f>
        <v/>
      </c>
      <c r="AB366" s="91" t="str">
        <f aca="false">IF($Z366=Constants!$B$7,IF(X366,Q366,Constants!$B$13),"")</f>
        <v/>
      </c>
      <c r="AC366" s="91" t="str">
        <f aca="false">IF($Z366=Constants!$B$7,IF(X366,P366*IF(R366, 1, Constants!$B$11)*IF(S366, 1, Constants!$B$12),Constants!$B$13),"")</f>
        <v/>
      </c>
      <c r="AD366" s="91" t="str">
        <f aca="false">IF($Z366=Constants!$B$7,AB366*AC366,"")</f>
        <v/>
      </c>
      <c r="AE366" s="91" t="str">
        <f aca="false">IF($Z366=Constants!$B$7,IF(Y366,T366,Constants!$B$13),"")</f>
        <v/>
      </c>
      <c r="AF366" s="91" t="str">
        <f aca="false">IF($Z366=Constants!$B$7,IF(Y366,P366*IF(U366, 1, Constants!$B$11)*IF(V366, 1, Constants!$B$12),Constants!$B$13),"")</f>
        <v/>
      </c>
      <c r="AG366" s="91" t="str">
        <f aca="false">IF($Z366=Constants!$B$7,AE366*AF366,"")</f>
        <v/>
      </c>
      <c r="AH366" s="91" t="str">
        <f aca="false">IF($Z366=Constants!$B$7,IF(AG366&gt;AD366,2,1),"")</f>
        <v/>
      </c>
      <c r="AI366" s="91" t="str">
        <f aca="false">IF($Z366=Constants!$B$7,IF(AH366=1,2,1),"")</f>
        <v/>
      </c>
      <c r="AJ366" s="91" t="str">
        <f aca="false">IF(ISBLANK($C366),"",IF($Z366&lt;&gt;Constants!$B$7,$Z366,IF(AH366=1,AD366,AG366)))</f>
        <v/>
      </c>
      <c r="AK366" s="91" t="str">
        <f aca="false">IF(ISBLANK($C366),"",IF($Z366=Constants!$B$7,IF(ISNUMBER(AJ366),RANK(AJ366,$AJ$8:$AJ$507),Constants!$B$14),$Z366))</f>
        <v/>
      </c>
      <c r="AL366" s="91" t="str">
        <f aca="false">IF(ISBLANK($C366),"",IF($Z366=Constants!$B$7,IF(AI366=1,AD366,AG366),""))</f>
        <v/>
      </c>
      <c r="AM366" s="91" t="str">
        <f aca="false">IF(ISBLANK($C366),"",IF($Z366=Constants!$B$7,RANK(AL366,$AL$8:$AL$507),$Z366))</f>
        <v/>
      </c>
      <c r="AN366" s="91" t="str">
        <f aca="false">IF(ISBLANK($C366),"",IF($Z366=Constants!$B$7,IF(ISNUMBER(AK366),COUNTIFS($AK$8:$AK$507,"&lt;"&amp;$AK366)+COUNTIFS($AK$8:$AK$507,$AK366,$AM$8:$AM$507,"&lt;"&amp;$AM366)+1,Constants!$B$14),$Z366))</f>
        <v/>
      </c>
      <c r="AO366" s="91" t="str">
        <f aca="false">IF(ISBLANK($C366),"",IF($Z366=Constants!$B$7,IF(ISNUMBER(AK366),AK366-AN366,Constants!$B$14),$Z366))</f>
        <v/>
      </c>
      <c r="AP366" s="92"/>
      <c r="AQ366" s="93" t="str">
        <f aca="false">IF(ISBLANK($C366),"",IF($Z366&lt;&gt;Constants!$B$7,"",AH366))</f>
        <v/>
      </c>
      <c r="AR366" s="94" t="str">
        <f aca="false">IF(ISBLANK($C366),"",IF($Z366&lt;&gt;Constants!$B$7,"",IF(AH366=1,AB366,AE366)))</f>
        <v/>
      </c>
      <c r="AS366" s="95" t="str">
        <f aca="false">IF(ISBLANK($C366),"",IF($Z366&lt;&gt;Constants!$B$7,"",IF(AH366=1,AC366,AF366)))</f>
        <v/>
      </c>
      <c r="AT366" s="96" t="str">
        <f aca="false">IF(ISBLANK($C366),"",IF($Z366&lt;&gt;Constants!$B$7,$Z366,AJ366))</f>
        <v/>
      </c>
      <c r="AU366" s="97" t="str">
        <f aca="false">IF(ISBLANK($C366),"",IF($Z366&lt;&gt;Constants!$B$7,$Z366,AA366))</f>
        <v/>
      </c>
      <c r="AV366" s="98" t="str">
        <f aca="false">IF(ISBLANK($C366),"",AO366)</f>
        <v/>
      </c>
      <c r="AW366" s="98" t="str">
        <f aca="false">IF(ISBLANK($C366),"",AN366)</f>
        <v/>
      </c>
      <c r="AX366" s="99" t="str">
        <f aca="false">IF(ISBLANK($C366),"",IFERROR(_xlfn.SWITCH(AW366,Constants!$B$4,COUNTA($C$8:$C$507)+2,Constants!$B$5,COUNTA($C$8:$C$507)+1,Constants!$B$6,COUNTA($C$8:$C$507)),AW366))</f>
        <v/>
      </c>
      <c r="AY366" s="5"/>
      <c r="AZ366" s="100" t="n">
        <f aca="false">IF(OR(ISNUMBER(AW366),AW366=Constants!$B$4,AW366=Constants!$B$6,AW366=Constants!$B$5),1,0)</f>
        <v>0</v>
      </c>
      <c r="BA366" s="100" t="n">
        <v>359</v>
      </c>
      <c r="BB366" s="100" t="str">
        <f aca="false">IF(ISBLANK($C366),"",IF(ISNUMBER(AX366),AX366+ROW($B366)/1000,""))</f>
        <v/>
      </c>
      <c r="BC366" s="100" t="str">
        <f aca="false">IF(ISNUMBER(BB366),RANK(BB366,$BB$8:$BB$507,1),"")</f>
        <v/>
      </c>
      <c r="BD366" s="100" t="str">
        <f aca="false">IF(ISBLANK($C366),"",$B366)</f>
        <v/>
      </c>
      <c r="BE366" s="100" t="str">
        <f aca="false">IF(ISBLANK($C366),"",$C366)</f>
        <v/>
      </c>
      <c r="BF366" s="100" t="str">
        <f aca="false">IF(ISBLANK($C366),"",$D366)</f>
        <v/>
      </c>
      <c r="BG366" s="101" t="str">
        <f aca="false">AU366</f>
        <v/>
      </c>
      <c r="BH366" s="102" t="str">
        <f aca="false">AT366</f>
        <v/>
      </c>
      <c r="BI366" s="100" t="str">
        <f aca="false">IF(ISBLANK($C366),"",AW366)</f>
        <v/>
      </c>
      <c r="BJ366" s="103" t="str">
        <f aca="false">IF($BA366&gt;$AZ$7,"",VLOOKUP($BA366,$BC$8:$BI$507,7,FALSE()))</f>
        <v/>
      </c>
      <c r="BK366" s="104" t="str">
        <f aca="false">IF($BA366&gt;$AZ$7,"",VLOOKUP($BA366,$BC$8:$BI$507,2,FALSE()))</f>
        <v/>
      </c>
      <c r="BL366" s="104" t="str">
        <f aca="false">IF($BA366&gt;$AZ$7,"",VLOOKUP($BA366,$BC$8:$BI$507,3,FALSE()))</f>
        <v/>
      </c>
      <c r="BM366" s="104" t="str">
        <f aca="false">IF($BA366&gt;$AZ$7,"",VLOOKUP($BA366,$BC$8:$BI$507,4,FALSE()))</f>
        <v/>
      </c>
      <c r="BN366" s="104" t="str">
        <f aca="false">IF($BA366&gt;$AZ$7,"",VLOOKUP($BA366,$BC$8:$BI$507,5,FALSE()))</f>
        <v/>
      </c>
      <c r="BO366" s="105" t="str">
        <f aca="false">IF($BA366&gt;$AZ$7,"",VLOOKUP($BA366,$BC$8:$BI$507,6,FALSE()))</f>
        <v/>
      </c>
      <c r="BP366" s="52"/>
    </row>
    <row r="367" customFormat="false" ht="15.75" hidden="false" customHeight="false" outlineLevel="0" collapsed="false">
      <c r="A367" s="5"/>
      <c r="B367" s="114"/>
      <c r="C367" s="115"/>
      <c r="D367" s="106"/>
      <c r="E367" s="117"/>
      <c r="F367" s="87"/>
      <c r="G367" s="88"/>
      <c r="H367" s="88"/>
      <c r="I367" s="87"/>
      <c r="J367" s="88"/>
      <c r="K367" s="88"/>
      <c r="L367" s="87"/>
      <c r="M367" s="117"/>
      <c r="N367" s="90"/>
      <c r="O367" s="91" t="str">
        <f aca="false">IF(ISBLANK($C367),"",IF(E367=Constants!$B$2, TRUE(), IF(E367=Constants!$B$3, FALSE(), TRUE())))</f>
        <v/>
      </c>
      <c r="P367" s="91" t="str">
        <f aca="false">IF(ISBLANK($C367),"",IF(F367=Constants!$B$16,Constants!$B$9,IF(F367=Constants!$B$17,Constants!$B$10,Constants!$B$8)))</f>
        <v/>
      </c>
      <c r="Q367" s="91" t="str">
        <f aca="false">IF(ISBLANK($C367),"",IF(ISNUMBER(G367),IF(G367&gt;=0,G367,""),""))</f>
        <v/>
      </c>
      <c r="R367" s="91" t="str">
        <f aca="false">IF(ISBLANK($C367),"",IF(H367=Constants!$B$2, TRUE(), IF(H367=Constants!$B$3, FALSE(), TRUE())))</f>
        <v/>
      </c>
      <c r="S367" s="91" t="str">
        <f aca="false">IF(ISBLANK($C367),"",IF(I367=Constants!$B$2, TRUE(), IF(I367=Constants!$B$3, FALSE(), TRUE())))</f>
        <v/>
      </c>
      <c r="T367" s="91" t="str">
        <f aca="false">IF(ISBLANK($C367),"",IF(ISNUMBER(J367),IF(J367&gt;=0,J367,""),""))</f>
        <v/>
      </c>
      <c r="U367" s="91" t="str">
        <f aca="false">IF(ISBLANK($C367),"",IF(K367=Constants!$B$2, TRUE(), IF(K367=Constants!$B$3, FALSE(), TRUE())))</f>
        <v/>
      </c>
      <c r="V367" s="91" t="str">
        <f aca="false">IF(ISBLANK($C367),"",IF(L367=Constants!$B$2, TRUE(), IF(L367=Constants!$B$3, FALSE(), TRUE())))</f>
        <v/>
      </c>
      <c r="W367" s="91" t="str">
        <f aca="false">IF(ISBLANK($C367),"",IF(M367=Constants!$B$2, TRUE(), IF(M367=Constants!$B$3, FALSE(), FALSE())))</f>
        <v/>
      </c>
      <c r="X367" s="91" t="str">
        <f aca="false">IF(ISBLANK($C367),"",AND(Q367&lt;&gt;"",O367))</f>
        <v/>
      </c>
      <c r="Y367" s="91" t="str">
        <f aca="false">IF(ISBLANK($C367),"",AND(T367&lt;&gt;"",O367))</f>
        <v/>
      </c>
      <c r="Z367" s="91" t="str">
        <f aca="false">IF(ISBLANK($C367),"",IF(W367,Constants!$B$4,IF(COUNTA(E367:L367)=0,Constants!$B$5,IF(NOT(O367),Constants!$B$6,IF(AND(NOT(X367),NOT(Y367)),Constants!$B$6,Constants!$B$7)))))</f>
        <v/>
      </c>
      <c r="AA367" s="91" t="str">
        <f aca="false">IF(ISBLANK($C367),"",IF($Z367&lt;&gt;Constants!$B$7,$Z367,Constants!$B$20))</f>
        <v/>
      </c>
      <c r="AB367" s="91" t="str">
        <f aca="false">IF($Z367=Constants!$B$7,IF(X367,Q367,Constants!$B$13),"")</f>
        <v/>
      </c>
      <c r="AC367" s="91" t="str">
        <f aca="false">IF($Z367=Constants!$B$7,IF(X367,P367*IF(R367, 1, Constants!$B$11)*IF(S367, 1, Constants!$B$12),Constants!$B$13),"")</f>
        <v/>
      </c>
      <c r="AD367" s="91" t="str">
        <f aca="false">IF($Z367=Constants!$B$7,AB367*AC367,"")</f>
        <v/>
      </c>
      <c r="AE367" s="91" t="str">
        <f aca="false">IF($Z367=Constants!$B$7,IF(Y367,T367,Constants!$B$13),"")</f>
        <v/>
      </c>
      <c r="AF367" s="91" t="str">
        <f aca="false">IF($Z367=Constants!$B$7,IF(Y367,P367*IF(U367, 1, Constants!$B$11)*IF(V367, 1, Constants!$B$12),Constants!$B$13),"")</f>
        <v/>
      </c>
      <c r="AG367" s="91" t="str">
        <f aca="false">IF($Z367=Constants!$B$7,AE367*AF367,"")</f>
        <v/>
      </c>
      <c r="AH367" s="91" t="str">
        <f aca="false">IF($Z367=Constants!$B$7,IF(AG367&gt;AD367,2,1),"")</f>
        <v/>
      </c>
      <c r="AI367" s="91" t="str">
        <f aca="false">IF($Z367=Constants!$B$7,IF(AH367=1,2,1),"")</f>
        <v/>
      </c>
      <c r="AJ367" s="91" t="str">
        <f aca="false">IF(ISBLANK($C367),"",IF($Z367&lt;&gt;Constants!$B$7,$Z367,IF(AH367=1,AD367,AG367)))</f>
        <v/>
      </c>
      <c r="AK367" s="91" t="str">
        <f aca="false">IF(ISBLANK($C367),"",IF($Z367=Constants!$B$7,IF(ISNUMBER(AJ367),RANK(AJ367,$AJ$8:$AJ$507),Constants!$B$14),$Z367))</f>
        <v/>
      </c>
      <c r="AL367" s="91" t="str">
        <f aca="false">IF(ISBLANK($C367),"",IF($Z367=Constants!$B$7,IF(AI367=1,AD367,AG367),""))</f>
        <v/>
      </c>
      <c r="AM367" s="91" t="str">
        <f aca="false">IF(ISBLANK($C367),"",IF($Z367=Constants!$B$7,RANK(AL367,$AL$8:$AL$507),$Z367))</f>
        <v/>
      </c>
      <c r="AN367" s="91" t="str">
        <f aca="false">IF(ISBLANK($C367),"",IF($Z367=Constants!$B$7,IF(ISNUMBER(AK367),COUNTIFS($AK$8:$AK$507,"&lt;"&amp;$AK367)+COUNTIFS($AK$8:$AK$507,$AK367,$AM$8:$AM$507,"&lt;"&amp;$AM367)+1,Constants!$B$14),$Z367))</f>
        <v/>
      </c>
      <c r="AO367" s="91" t="str">
        <f aca="false">IF(ISBLANK($C367),"",IF($Z367=Constants!$B$7,IF(ISNUMBER(AK367),AK367-AN367,Constants!$B$14),$Z367))</f>
        <v/>
      </c>
      <c r="AP367" s="92"/>
      <c r="AQ367" s="93" t="str">
        <f aca="false">IF(ISBLANK($C367),"",IF($Z367&lt;&gt;Constants!$B$7,"",AH367))</f>
        <v/>
      </c>
      <c r="AR367" s="94" t="str">
        <f aca="false">IF(ISBLANK($C367),"",IF($Z367&lt;&gt;Constants!$B$7,"",IF(AH367=1,AB367,AE367)))</f>
        <v/>
      </c>
      <c r="AS367" s="95" t="str">
        <f aca="false">IF(ISBLANK($C367),"",IF($Z367&lt;&gt;Constants!$B$7,"",IF(AH367=1,AC367,AF367)))</f>
        <v/>
      </c>
      <c r="AT367" s="96" t="str">
        <f aca="false">IF(ISBLANK($C367),"",IF($Z367&lt;&gt;Constants!$B$7,$Z367,AJ367))</f>
        <v/>
      </c>
      <c r="AU367" s="97" t="str">
        <f aca="false">IF(ISBLANK($C367),"",IF($Z367&lt;&gt;Constants!$B$7,$Z367,AA367))</f>
        <v/>
      </c>
      <c r="AV367" s="98" t="str">
        <f aca="false">IF(ISBLANK($C367),"",AO367)</f>
        <v/>
      </c>
      <c r="AW367" s="98" t="str">
        <f aca="false">IF(ISBLANK($C367),"",AN367)</f>
        <v/>
      </c>
      <c r="AX367" s="99" t="str">
        <f aca="false">IF(ISBLANK($C367),"",IFERROR(_xlfn.SWITCH(AW367,Constants!$B$4,COUNTA($C$8:$C$507)+2,Constants!$B$5,COUNTA($C$8:$C$507)+1,Constants!$B$6,COUNTA($C$8:$C$507)),AW367))</f>
        <v/>
      </c>
      <c r="AY367" s="5"/>
      <c r="AZ367" s="100" t="n">
        <f aca="false">IF(OR(ISNUMBER(AW367),AW367=Constants!$B$4,AW367=Constants!$B$6,AW367=Constants!$B$5),1,0)</f>
        <v>0</v>
      </c>
      <c r="BA367" s="100" t="n">
        <v>360</v>
      </c>
      <c r="BB367" s="100" t="str">
        <f aca="false">IF(ISBLANK($C367),"",IF(ISNUMBER(AX367),AX367+ROW($B367)/1000,""))</f>
        <v/>
      </c>
      <c r="BC367" s="100" t="str">
        <f aca="false">IF(ISNUMBER(BB367),RANK(BB367,$BB$8:$BB$507,1),"")</f>
        <v/>
      </c>
      <c r="BD367" s="100" t="str">
        <f aca="false">IF(ISBLANK($C367),"",$B367)</f>
        <v/>
      </c>
      <c r="BE367" s="100" t="str">
        <f aca="false">IF(ISBLANK($C367),"",$C367)</f>
        <v/>
      </c>
      <c r="BF367" s="100" t="str">
        <f aca="false">IF(ISBLANK($C367),"",$D367)</f>
        <v/>
      </c>
      <c r="BG367" s="101" t="str">
        <f aca="false">AU367</f>
        <v/>
      </c>
      <c r="BH367" s="102" t="str">
        <f aca="false">AT367</f>
        <v/>
      </c>
      <c r="BI367" s="100" t="str">
        <f aca="false">IF(ISBLANK($C367),"",AW367)</f>
        <v/>
      </c>
      <c r="BJ367" s="103" t="str">
        <f aca="false">IF($BA367&gt;$AZ$7,"",VLOOKUP($BA367,$BC$8:$BI$507,7,FALSE()))</f>
        <v/>
      </c>
      <c r="BK367" s="104" t="str">
        <f aca="false">IF($BA367&gt;$AZ$7,"",VLOOKUP($BA367,$BC$8:$BI$507,2,FALSE()))</f>
        <v/>
      </c>
      <c r="BL367" s="104" t="str">
        <f aca="false">IF($BA367&gt;$AZ$7,"",VLOOKUP($BA367,$BC$8:$BI$507,3,FALSE()))</f>
        <v/>
      </c>
      <c r="BM367" s="104" t="str">
        <f aca="false">IF($BA367&gt;$AZ$7,"",VLOOKUP($BA367,$BC$8:$BI$507,4,FALSE()))</f>
        <v/>
      </c>
      <c r="BN367" s="104" t="str">
        <f aca="false">IF($BA367&gt;$AZ$7,"",VLOOKUP($BA367,$BC$8:$BI$507,5,FALSE()))</f>
        <v/>
      </c>
      <c r="BO367" s="105" t="str">
        <f aca="false">IF($BA367&gt;$AZ$7,"",VLOOKUP($BA367,$BC$8:$BI$507,6,FALSE()))</f>
        <v/>
      </c>
      <c r="BP367" s="52"/>
    </row>
    <row r="368" customFormat="false" ht="15.75" hidden="false" customHeight="false" outlineLevel="0" collapsed="false">
      <c r="A368" s="5"/>
      <c r="B368" s="118"/>
      <c r="C368" s="54"/>
      <c r="D368" s="55"/>
      <c r="E368" s="79"/>
      <c r="F368" s="57"/>
      <c r="G368" s="58"/>
      <c r="H368" s="58"/>
      <c r="I368" s="57"/>
      <c r="J368" s="58"/>
      <c r="K368" s="58"/>
      <c r="L368" s="57"/>
      <c r="M368" s="79"/>
      <c r="N368" s="60"/>
      <c r="O368" s="62" t="str">
        <f aca="false">IF(ISBLANK($C368),"",IF(E368=Constants!$B$2, TRUE(), IF(E368=Constants!$B$3, FALSE(), TRUE())))</f>
        <v/>
      </c>
      <c r="P368" s="62" t="str">
        <f aca="false">IF(ISBLANK($C368),"",IF(F368=Constants!$B$16,Constants!$B$9,IF(F368=Constants!$B$17,Constants!$B$10,Constants!$B$8)))</f>
        <v/>
      </c>
      <c r="Q368" s="62" t="str">
        <f aca="false">IF(ISBLANK($C368),"",IF(ISNUMBER(G368),IF(G368&gt;=0,G368,""),""))</f>
        <v/>
      </c>
      <c r="R368" s="62" t="str">
        <f aca="false">IF(ISBLANK($C368),"",IF(H368=Constants!$B$2, TRUE(), IF(H368=Constants!$B$3, FALSE(), TRUE())))</f>
        <v/>
      </c>
      <c r="S368" s="62" t="str">
        <f aca="false">IF(ISBLANK($C368),"",IF(I368=Constants!$B$2, TRUE(), IF(I368=Constants!$B$3, FALSE(), TRUE())))</f>
        <v/>
      </c>
      <c r="T368" s="62" t="str">
        <f aca="false">IF(ISBLANK($C368),"",IF(ISNUMBER(J368),IF(J368&gt;=0,J368,""),""))</f>
        <v/>
      </c>
      <c r="U368" s="62" t="str">
        <f aca="false">IF(ISBLANK($C368),"",IF(K368=Constants!$B$2, TRUE(), IF(K368=Constants!$B$3, FALSE(), TRUE())))</f>
        <v/>
      </c>
      <c r="V368" s="62" t="str">
        <f aca="false">IF(ISBLANK($C368),"",IF(L368=Constants!$B$2, TRUE(), IF(L368=Constants!$B$3, FALSE(), TRUE())))</f>
        <v/>
      </c>
      <c r="W368" s="62" t="str">
        <f aca="false">IF(ISBLANK($C368),"",IF(M368=Constants!$B$2, TRUE(), IF(M368=Constants!$B$3, FALSE(), FALSE())))</f>
        <v/>
      </c>
      <c r="X368" s="62" t="str">
        <f aca="false">IF(ISBLANK($C368),"",AND(Q368&lt;&gt;"",O368))</f>
        <v/>
      </c>
      <c r="Y368" s="62" t="str">
        <f aca="false">IF(ISBLANK($C368),"",AND(T368&lt;&gt;"",O368))</f>
        <v/>
      </c>
      <c r="Z368" s="62" t="str">
        <f aca="false">IF(ISBLANK($C368),"",IF(W368,Constants!$B$4,IF(COUNTA(E368:L368)=0,Constants!$B$5,IF(NOT(O368),Constants!$B$6,IF(AND(NOT(X368),NOT(Y368)),Constants!$B$6,Constants!$B$7)))))</f>
        <v/>
      </c>
      <c r="AA368" s="62" t="str">
        <f aca="false">IF(ISBLANK($C368),"",IF($Z368&lt;&gt;Constants!$B$7,$Z368,Constants!$B$20))</f>
        <v/>
      </c>
      <c r="AB368" s="62" t="str">
        <f aca="false">IF($Z368=Constants!$B$7,IF(X368,Q368,Constants!$B$13),"")</f>
        <v/>
      </c>
      <c r="AC368" s="62" t="str">
        <f aca="false">IF($Z368=Constants!$B$7,IF(X368,P368*IF(R368, 1, Constants!$B$11)*IF(S368, 1, Constants!$B$12),Constants!$B$13),"")</f>
        <v/>
      </c>
      <c r="AD368" s="62" t="str">
        <f aca="false">IF($Z368=Constants!$B$7,AB368*AC368,"")</f>
        <v/>
      </c>
      <c r="AE368" s="62" t="str">
        <f aca="false">IF($Z368=Constants!$B$7,IF(Y368,T368,Constants!$B$13),"")</f>
        <v/>
      </c>
      <c r="AF368" s="62" t="str">
        <f aca="false">IF($Z368=Constants!$B$7,IF(Y368,P368*IF(U368, 1, Constants!$B$11)*IF(V368, 1, Constants!$B$12),Constants!$B$13),"")</f>
        <v/>
      </c>
      <c r="AG368" s="62" t="str">
        <f aca="false">IF($Z368=Constants!$B$7,AE368*AF368,"")</f>
        <v/>
      </c>
      <c r="AH368" s="62" t="str">
        <f aca="false">IF($Z368=Constants!$B$7,IF(AG368&gt;AD368,2,1),"")</f>
        <v/>
      </c>
      <c r="AI368" s="62" t="str">
        <f aca="false">IF($Z368=Constants!$B$7,IF(AH368=1,2,1),"")</f>
        <v/>
      </c>
      <c r="AJ368" s="62" t="str">
        <f aca="false">IF(ISBLANK($C368),"",IF($Z368&lt;&gt;Constants!$B$7,$Z368,IF(AH368=1,AD368,AG368)))</f>
        <v/>
      </c>
      <c r="AK368" s="62" t="str">
        <f aca="false">IF(ISBLANK($C368),"",IF($Z368=Constants!$B$7,IF(ISNUMBER(AJ368),RANK(AJ368,$AJ$8:$AJ$507),Constants!$B$14),$Z368))</f>
        <v/>
      </c>
      <c r="AL368" s="62" t="str">
        <f aca="false">IF(ISBLANK($C368),"",IF($Z368=Constants!$B$7,IF(AI368=1,AD368,AG368),""))</f>
        <v/>
      </c>
      <c r="AM368" s="62" t="str">
        <f aca="false">IF(ISBLANK($C368),"",IF($Z368=Constants!$B$7,RANK(AL368,$AL$8:$AL$507),$Z368))</f>
        <v/>
      </c>
      <c r="AN368" s="62" t="str">
        <f aca="false">IF(ISBLANK($C368),"",IF($Z368=Constants!$B$7,IF(ISNUMBER(AK368),COUNTIFS($AK$8:$AK$507,"&lt;"&amp;$AK368)+COUNTIFS($AK$8:$AK$507,$AK368,$AM$8:$AM$507,"&lt;"&amp;$AM368)+1,Constants!$B$14),$Z368))</f>
        <v/>
      </c>
      <c r="AO368" s="62" t="str">
        <f aca="false">IF(ISBLANK($C368),"",IF($Z368=Constants!$B$7,IF(ISNUMBER(AK368),AK368-AN368,Constants!$B$14),$Z368))</f>
        <v/>
      </c>
      <c r="AP368" s="64"/>
      <c r="AQ368" s="65" t="str">
        <f aca="false">IF(ISBLANK($C368),"",IF($Z368&lt;&gt;Constants!$B$7,"",AH368))</f>
        <v/>
      </c>
      <c r="AR368" s="80" t="str">
        <f aca="false">IF(ISBLANK($C368),"",IF($Z368&lt;&gt;Constants!$B$7,"",IF(AH368=1,AB368,AE368)))</f>
        <v/>
      </c>
      <c r="AS368" s="67" t="str">
        <f aca="false">IF(ISBLANK($C368),"",IF($Z368&lt;&gt;Constants!$B$7,"",IF(AH368=1,AC368,AF368)))</f>
        <v/>
      </c>
      <c r="AT368" s="68" t="str">
        <f aca="false">IF(ISBLANK($C368),"",IF($Z368&lt;&gt;Constants!$B$7,$Z368,AJ368))</f>
        <v/>
      </c>
      <c r="AU368" s="69" t="str">
        <f aca="false">IF(ISBLANK($C368),"",IF($Z368&lt;&gt;Constants!$B$7,$Z368,AA368))</f>
        <v/>
      </c>
      <c r="AV368" s="70" t="str">
        <f aca="false">IF(ISBLANK($C368),"",AO368)</f>
        <v/>
      </c>
      <c r="AW368" s="70" t="str">
        <f aca="false">IF(ISBLANK($C368),"",AN368)</f>
        <v/>
      </c>
      <c r="AX368" s="71" t="str">
        <f aca="false">IF(ISBLANK($C368),"",IFERROR(_xlfn.SWITCH(AW368,Constants!$B$4,COUNTA($C$8:$C$507)+2,Constants!$B$5,COUNTA($C$8:$C$507)+1,Constants!$B$6,COUNTA($C$8:$C$507)),AW368))</f>
        <v/>
      </c>
      <c r="AY368" s="5"/>
      <c r="AZ368" s="72" t="n">
        <f aca="false">IF(OR(ISNUMBER(AW368),AW368=Constants!$B$4,AW368=Constants!$B$6,AW368=Constants!$B$5),1,0)</f>
        <v>0</v>
      </c>
      <c r="BA368" s="72" t="n">
        <v>361</v>
      </c>
      <c r="BB368" s="72" t="str">
        <f aca="false">IF(ISBLANK($C368),"",IF(ISNUMBER(AX368),AX368+ROW($B368)/1000,""))</f>
        <v/>
      </c>
      <c r="BC368" s="72" t="str">
        <f aca="false">IF(ISNUMBER(BB368),RANK(BB368,$BB$8:$BB$507,1),"")</f>
        <v/>
      </c>
      <c r="BD368" s="72" t="str">
        <f aca="false">IF(ISBLANK($C368),"",$B368)</f>
        <v/>
      </c>
      <c r="BE368" s="72" t="str">
        <f aca="false">IF(ISBLANK($C368),"",$C368)</f>
        <v/>
      </c>
      <c r="BF368" s="72" t="str">
        <f aca="false">IF(ISBLANK($C368),"",$D368)</f>
        <v/>
      </c>
      <c r="BG368" s="73" t="str">
        <f aca="false">AU368</f>
        <v/>
      </c>
      <c r="BH368" s="74" t="str">
        <f aca="false">AT368</f>
        <v/>
      </c>
      <c r="BI368" s="72" t="str">
        <f aca="false">IF(ISBLANK($C368),"",AW368)</f>
        <v/>
      </c>
      <c r="BJ368" s="75" t="str">
        <f aca="false">IF($BA368&gt;$AZ$7,"",VLOOKUP($BA368,$BC$8:$BI$507,7,FALSE()))</f>
        <v/>
      </c>
      <c r="BK368" s="76" t="str">
        <f aca="false">IF($BA368&gt;$AZ$7,"",VLOOKUP($BA368,$BC$8:$BI$507,2,FALSE()))</f>
        <v/>
      </c>
      <c r="BL368" s="76" t="str">
        <f aca="false">IF($BA368&gt;$AZ$7,"",VLOOKUP($BA368,$BC$8:$BI$507,3,FALSE()))</f>
        <v/>
      </c>
      <c r="BM368" s="76" t="str">
        <f aca="false">IF($BA368&gt;$AZ$7,"",VLOOKUP($BA368,$BC$8:$BI$507,4,FALSE()))</f>
        <v/>
      </c>
      <c r="BN368" s="76" t="str">
        <f aca="false">IF($BA368&gt;$AZ$7,"",VLOOKUP($BA368,$BC$8:$BI$507,5,FALSE()))</f>
        <v/>
      </c>
      <c r="BO368" s="77" t="str">
        <f aca="false">IF($BA368&gt;$AZ$7,"",VLOOKUP($BA368,$BC$8:$BI$507,6,FALSE()))</f>
        <v/>
      </c>
      <c r="BP368" s="52"/>
    </row>
    <row r="369" customFormat="false" ht="15.75" hidden="false" customHeight="false" outlineLevel="0" collapsed="false">
      <c r="A369" s="5"/>
      <c r="B369" s="118"/>
      <c r="C369" s="54"/>
      <c r="D369" s="55"/>
      <c r="E369" s="79"/>
      <c r="F369" s="57"/>
      <c r="G369" s="58"/>
      <c r="H369" s="58"/>
      <c r="I369" s="57"/>
      <c r="J369" s="58"/>
      <c r="K369" s="58"/>
      <c r="L369" s="57"/>
      <c r="M369" s="79"/>
      <c r="N369" s="60"/>
      <c r="O369" s="62" t="str">
        <f aca="false">IF(ISBLANK($C369),"",IF(E369=Constants!$B$2, TRUE(), IF(E369=Constants!$B$3, FALSE(), TRUE())))</f>
        <v/>
      </c>
      <c r="P369" s="62" t="str">
        <f aca="false">IF(ISBLANK($C369),"",IF(F369=Constants!$B$16,Constants!$B$9,IF(F369=Constants!$B$17,Constants!$B$10,Constants!$B$8)))</f>
        <v/>
      </c>
      <c r="Q369" s="62" t="str">
        <f aca="false">IF(ISBLANK($C369),"",IF(ISNUMBER(G369),IF(G369&gt;=0,G369,""),""))</f>
        <v/>
      </c>
      <c r="R369" s="62" t="str">
        <f aca="false">IF(ISBLANK($C369),"",IF(H369=Constants!$B$2, TRUE(), IF(H369=Constants!$B$3, FALSE(), TRUE())))</f>
        <v/>
      </c>
      <c r="S369" s="62" t="str">
        <f aca="false">IF(ISBLANK($C369),"",IF(I369=Constants!$B$2, TRUE(), IF(I369=Constants!$B$3, FALSE(), TRUE())))</f>
        <v/>
      </c>
      <c r="T369" s="62" t="str">
        <f aca="false">IF(ISBLANK($C369),"",IF(ISNUMBER(J369),IF(J369&gt;=0,J369,""),""))</f>
        <v/>
      </c>
      <c r="U369" s="62" t="str">
        <f aca="false">IF(ISBLANK($C369),"",IF(K369=Constants!$B$2, TRUE(), IF(K369=Constants!$B$3, FALSE(), TRUE())))</f>
        <v/>
      </c>
      <c r="V369" s="62" t="str">
        <f aca="false">IF(ISBLANK($C369),"",IF(L369=Constants!$B$2, TRUE(), IF(L369=Constants!$B$3, FALSE(), TRUE())))</f>
        <v/>
      </c>
      <c r="W369" s="62" t="str">
        <f aca="false">IF(ISBLANK($C369),"",IF(M369=Constants!$B$2, TRUE(), IF(M369=Constants!$B$3, FALSE(), FALSE())))</f>
        <v/>
      </c>
      <c r="X369" s="62" t="str">
        <f aca="false">IF(ISBLANK($C369),"",AND(Q369&lt;&gt;"",O369))</f>
        <v/>
      </c>
      <c r="Y369" s="62" t="str">
        <f aca="false">IF(ISBLANK($C369),"",AND(T369&lt;&gt;"",O369))</f>
        <v/>
      </c>
      <c r="Z369" s="62" t="str">
        <f aca="false">IF(ISBLANK($C369),"",IF(W369,Constants!$B$4,IF(COUNTA(E369:L369)=0,Constants!$B$5,IF(NOT(O369),Constants!$B$6,IF(AND(NOT(X369),NOT(Y369)),Constants!$B$6,Constants!$B$7)))))</f>
        <v/>
      </c>
      <c r="AA369" s="62" t="str">
        <f aca="false">IF(ISBLANK($C369),"",IF($Z369&lt;&gt;Constants!$B$7,$Z369,Constants!$B$20))</f>
        <v/>
      </c>
      <c r="AB369" s="62" t="str">
        <f aca="false">IF($Z369=Constants!$B$7,IF(X369,Q369,Constants!$B$13),"")</f>
        <v/>
      </c>
      <c r="AC369" s="62" t="str">
        <f aca="false">IF($Z369=Constants!$B$7,IF(X369,P369*IF(R369, 1, Constants!$B$11)*IF(S369, 1, Constants!$B$12),Constants!$B$13),"")</f>
        <v/>
      </c>
      <c r="AD369" s="62" t="str">
        <f aca="false">IF($Z369=Constants!$B$7,AB369*AC369,"")</f>
        <v/>
      </c>
      <c r="AE369" s="62" t="str">
        <f aca="false">IF($Z369=Constants!$B$7,IF(Y369,T369,Constants!$B$13),"")</f>
        <v/>
      </c>
      <c r="AF369" s="62" t="str">
        <f aca="false">IF($Z369=Constants!$B$7,IF(Y369,P369*IF(U369, 1, Constants!$B$11)*IF(V369, 1, Constants!$B$12),Constants!$B$13),"")</f>
        <v/>
      </c>
      <c r="AG369" s="62" t="str">
        <f aca="false">IF($Z369=Constants!$B$7,AE369*AF369,"")</f>
        <v/>
      </c>
      <c r="AH369" s="62" t="str">
        <f aca="false">IF($Z369=Constants!$B$7,IF(AG369&gt;AD369,2,1),"")</f>
        <v/>
      </c>
      <c r="AI369" s="62" t="str">
        <f aca="false">IF($Z369=Constants!$B$7,IF(AH369=1,2,1),"")</f>
        <v/>
      </c>
      <c r="AJ369" s="62" t="str">
        <f aca="false">IF(ISBLANK($C369),"",IF($Z369&lt;&gt;Constants!$B$7,$Z369,IF(AH369=1,AD369,AG369)))</f>
        <v/>
      </c>
      <c r="AK369" s="62" t="str">
        <f aca="false">IF(ISBLANK($C369),"",IF($Z369=Constants!$B$7,IF(ISNUMBER(AJ369),RANK(AJ369,$AJ$8:$AJ$507),Constants!$B$14),$Z369))</f>
        <v/>
      </c>
      <c r="AL369" s="62" t="str">
        <f aca="false">IF(ISBLANK($C369),"",IF($Z369=Constants!$B$7,IF(AI369=1,AD369,AG369),""))</f>
        <v/>
      </c>
      <c r="AM369" s="62" t="str">
        <f aca="false">IF(ISBLANK($C369),"",IF($Z369=Constants!$B$7,RANK(AL369,$AL$8:$AL$507),$Z369))</f>
        <v/>
      </c>
      <c r="AN369" s="62" t="str">
        <f aca="false">IF(ISBLANK($C369),"",IF($Z369=Constants!$B$7,IF(ISNUMBER(AK369),COUNTIFS($AK$8:$AK$507,"&lt;"&amp;$AK369)+COUNTIFS($AK$8:$AK$507,$AK369,$AM$8:$AM$507,"&lt;"&amp;$AM369)+1,Constants!$B$14),$Z369))</f>
        <v/>
      </c>
      <c r="AO369" s="62" t="str">
        <f aca="false">IF(ISBLANK($C369),"",IF($Z369=Constants!$B$7,IF(ISNUMBER(AK369),AK369-AN369,Constants!$B$14),$Z369))</f>
        <v/>
      </c>
      <c r="AP369" s="64"/>
      <c r="AQ369" s="65" t="str">
        <f aca="false">IF(ISBLANK($C369),"",IF($Z369&lt;&gt;Constants!$B$7,"",AH369))</f>
        <v/>
      </c>
      <c r="AR369" s="80" t="str">
        <f aca="false">IF(ISBLANK($C369),"",IF($Z369&lt;&gt;Constants!$B$7,"",IF(AH369=1,AB369,AE369)))</f>
        <v/>
      </c>
      <c r="AS369" s="67" t="str">
        <f aca="false">IF(ISBLANK($C369),"",IF($Z369&lt;&gt;Constants!$B$7,"",IF(AH369=1,AC369,AF369)))</f>
        <v/>
      </c>
      <c r="AT369" s="68" t="str">
        <f aca="false">IF(ISBLANK($C369),"",IF($Z369&lt;&gt;Constants!$B$7,$Z369,AJ369))</f>
        <v/>
      </c>
      <c r="AU369" s="69" t="str">
        <f aca="false">IF(ISBLANK($C369),"",IF($Z369&lt;&gt;Constants!$B$7,$Z369,AA369))</f>
        <v/>
      </c>
      <c r="AV369" s="70" t="str">
        <f aca="false">IF(ISBLANK($C369),"",AO369)</f>
        <v/>
      </c>
      <c r="AW369" s="70" t="str">
        <f aca="false">IF(ISBLANK($C369),"",AN369)</f>
        <v/>
      </c>
      <c r="AX369" s="71" t="str">
        <f aca="false">IF(ISBLANK($C369),"",IFERROR(_xlfn.SWITCH(AW369,Constants!$B$4,COUNTA($C$8:$C$507)+2,Constants!$B$5,COUNTA($C$8:$C$507)+1,Constants!$B$6,COUNTA($C$8:$C$507)),AW369))</f>
        <v/>
      </c>
      <c r="AY369" s="5"/>
      <c r="AZ369" s="72" t="n">
        <f aca="false">IF(OR(ISNUMBER(AW369),AW369=Constants!$B$4,AW369=Constants!$B$6,AW369=Constants!$B$5),1,0)</f>
        <v>0</v>
      </c>
      <c r="BA369" s="72" t="n">
        <v>362</v>
      </c>
      <c r="BB369" s="72" t="str">
        <f aca="false">IF(ISBLANK($C369),"",IF(ISNUMBER(AX369),AX369+ROW($B369)/1000,""))</f>
        <v/>
      </c>
      <c r="BC369" s="72" t="str">
        <f aca="false">IF(ISNUMBER(BB369),RANK(BB369,$BB$8:$BB$507,1),"")</f>
        <v/>
      </c>
      <c r="BD369" s="72" t="str">
        <f aca="false">IF(ISBLANK($C369),"",$B369)</f>
        <v/>
      </c>
      <c r="BE369" s="72" t="str">
        <f aca="false">IF(ISBLANK($C369),"",$C369)</f>
        <v/>
      </c>
      <c r="BF369" s="72" t="str">
        <f aca="false">IF(ISBLANK($C369),"",$D369)</f>
        <v/>
      </c>
      <c r="BG369" s="73" t="str">
        <f aca="false">AU369</f>
        <v/>
      </c>
      <c r="BH369" s="74" t="str">
        <f aca="false">AT369</f>
        <v/>
      </c>
      <c r="BI369" s="72" t="str">
        <f aca="false">IF(ISBLANK($C369),"",AW369)</f>
        <v/>
      </c>
      <c r="BJ369" s="75" t="str">
        <f aca="false">IF($BA369&gt;$AZ$7,"",VLOOKUP($BA369,$BC$8:$BI$507,7,FALSE()))</f>
        <v/>
      </c>
      <c r="BK369" s="76" t="str">
        <f aca="false">IF($BA369&gt;$AZ$7,"",VLOOKUP($BA369,$BC$8:$BI$507,2,FALSE()))</f>
        <v/>
      </c>
      <c r="BL369" s="76" t="str">
        <f aca="false">IF($BA369&gt;$AZ$7,"",VLOOKUP($BA369,$BC$8:$BI$507,3,FALSE()))</f>
        <v/>
      </c>
      <c r="BM369" s="76" t="str">
        <f aca="false">IF($BA369&gt;$AZ$7,"",VLOOKUP($BA369,$BC$8:$BI$507,4,FALSE()))</f>
        <v/>
      </c>
      <c r="BN369" s="76" t="str">
        <f aca="false">IF($BA369&gt;$AZ$7,"",VLOOKUP($BA369,$BC$8:$BI$507,5,FALSE()))</f>
        <v/>
      </c>
      <c r="BO369" s="77" t="str">
        <f aca="false">IF($BA369&gt;$AZ$7,"",VLOOKUP($BA369,$BC$8:$BI$507,6,FALSE()))</f>
        <v/>
      </c>
      <c r="BP369" s="52"/>
    </row>
    <row r="370" customFormat="false" ht="15.75" hidden="false" customHeight="false" outlineLevel="0" collapsed="false">
      <c r="A370" s="5"/>
      <c r="B370" s="118"/>
      <c r="C370" s="54"/>
      <c r="D370" s="55"/>
      <c r="E370" s="79"/>
      <c r="F370" s="57"/>
      <c r="G370" s="58"/>
      <c r="H370" s="58"/>
      <c r="I370" s="57"/>
      <c r="J370" s="58"/>
      <c r="K370" s="58"/>
      <c r="L370" s="57"/>
      <c r="M370" s="79"/>
      <c r="N370" s="60"/>
      <c r="O370" s="62" t="str">
        <f aca="false">IF(ISBLANK($C370),"",IF(E370=Constants!$B$2, TRUE(), IF(E370=Constants!$B$3, FALSE(), TRUE())))</f>
        <v/>
      </c>
      <c r="P370" s="62" t="str">
        <f aca="false">IF(ISBLANK($C370),"",IF(F370=Constants!$B$16,Constants!$B$9,IF(F370=Constants!$B$17,Constants!$B$10,Constants!$B$8)))</f>
        <v/>
      </c>
      <c r="Q370" s="62" t="str">
        <f aca="false">IF(ISBLANK($C370),"",IF(ISNUMBER(G370),IF(G370&gt;=0,G370,""),""))</f>
        <v/>
      </c>
      <c r="R370" s="62" t="str">
        <f aca="false">IF(ISBLANK($C370),"",IF(H370=Constants!$B$2, TRUE(), IF(H370=Constants!$B$3, FALSE(), TRUE())))</f>
        <v/>
      </c>
      <c r="S370" s="62" t="str">
        <f aca="false">IF(ISBLANK($C370),"",IF(I370=Constants!$B$2, TRUE(), IF(I370=Constants!$B$3, FALSE(), TRUE())))</f>
        <v/>
      </c>
      <c r="T370" s="62" t="str">
        <f aca="false">IF(ISBLANK($C370),"",IF(ISNUMBER(J370),IF(J370&gt;=0,J370,""),""))</f>
        <v/>
      </c>
      <c r="U370" s="62" t="str">
        <f aca="false">IF(ISBLANK($C370),"",IF(K370=Constants!$B$2, TRUE(), IF(K370=Constants!$B$3, FALSE(), TRUE())))</f>
        <v/>
      </c>
      <c r="V370" s="62" t="str">
        <f aca="false">IF(ISBLANK($C370),"",IF(L370=Constants!$B$2, TRUE(), IF(L370=Constants!$B$3, FALSE(), TRUE())))</f>
        <v/>
      </c>
      <c r="W370" s="62" t="str">
        <f aca="false">IF(ISBLANK($C370),"",IF(M370=Constants!$B$2, TRUE(), IF(M370=Constants!$B$3, FALSE(), FALSE())))</f>
        <v/>
      </c>
      <c r="X370" s="62" t="str">
        <f aca="false">IF(ISBLANK($C370),"",AND(Q370&lt;&gt;"",O370))</f>
        <v/>
      </c>
      <c r="Y370" s="62" t="str">
        <f aca="false">IF(ISBLANK($C370),"",AND(T370&lt;&gt;"",O370))</f>
        <v/>
      </c>
      <c r="Z370" s="62" t="str">
        <f aca="false">IF(ISBLANK($C370),"",IF(W370,Constants!$B$4,IF(COUNTA(E370:L370)=0,Constants!$B$5,IF(NOT(O370),Constants!$B$6,IF(AND(NOT(X370),NOT(Y370)),Constants!$B$6,Constants!$B$7)))))</f>
        <v/>
      </c>
      <c r="AA370" s="62" t="str">
        <f aca="false">IF(ISBLANK($C370),"",IF($Z370&lt;&gt;Constants!$B$7,$Z370,Constants!$B$20))</f>
        <v/>
      </c>
      <c r="AB370" s="62" t="str">
        <f aca="false">IF($Z370=Constants!$B$7,IF(X370,Q370,Constants!$B$13),"")</f>
        <v/>
      </c>
      <c r="AC370" s="62" t="str">
        <f aca="false">IF($Z370=Constants!$B$7,IF(X370,P370*IF(R370, 1, Constants!$B$11)*IF(S370, 1, Constants!$B$12),Constants!$B$13),"")</f>
        <v/>
      </c>
      <c r="AD370" s="62" t="str">
        <f aca="false">IF($Z370=Constants!$B$7,AB370*AC370,"")</f>
        <v/>
      </c>
      <c r="AE370" s="62" t="str">
        <f aca="false">IF($Z370=Constants!$B$7,IF(Y370,T370,Constants!$B$13),"")</f>
        <v/>
      </c>
      <c r="AF370" s="62" t="str">
        <f aca="false">IF($Z370=Constants!$B$7,IF(Y370,P370*IF(U370, 1, Constants!$B$11)*IF(V370, 1, Constants!$B$12),Constants!$B$13),"")</f>
        <v/>
      </c>
      <c r="AG370" s="62" t="str">
        <f aca="false">IF($Z370=Constants!$B$7,AE370*AF370,"")</f>
        <v/>
      </c>
      <c r="AH370" s="62" t="str">
        <f aca="false">IF($Z370=Constants!$B$7,IF(AG370&gt;AD370,2,1),"")</f>
        <v/>
      </c>
      <c r="AI370" s="62" t="str">
        <f aca="false">IF($Z370=Constants!$B$7,IF(AH370=1,2,1),"")</f>
        <v/>
      </c>
      <c r="AJ370" s="62" t="str">
        <f aca="false">IF(ISBLANK($C370),"",IF($Z370&lt;&gt;Constants!$B$7,$Z370,IF(AH370=1,AD370,AG370)))</f>
        <v/>
      </c>
      <c r="AK370" s="62" t="str">
        <f aca="false">IF(ISBLANK($C370),"",IF($Z370=Constants!$B$7,IF(ISNUMBER(AJ370),RANK(AJ370,$AJ$8:$AJ$507),Constants!$B$14),$Z370))</f>
        <v/>
      </c>
      <c r="AL370" s="62" t="str">
        <f aca="false">IF(ISBLANK($C370),"",IF($Z370=Constants!$B$7,IF(AI370=1,AD370,AG370),""))</f>
        <v/>
      </c>
      <c r="AM370" s="62" t="str">
        <f aca="false">IF(ISBLANK($C370),"",IF($Z370=Constants!$B$7,RANK(AL370,$AL$8:$AL$507),$Z370))</f>
        <v/>
      </c>
      <c r="AN370" s="62" t="str">
        <f aca="false">IF(ISBLANK($C370),"",IF($Z370=Constants!$B$7,IF(ISNUMBER(AK370),COUNTIFS($AK$8:$AK$507,"&lt;"&amp;$AK370)+COUNTIFS($AK$8:$AK$507,$AK370,$AM$8:$AM$507,"&lt;"&amp;$AM370)+1,Constants!$B$14),$Z370))</f>
        <v/>
      </c>
      <c r="AO370" s="62" t="str">
        <f aca="false">IF(ISBLANK($C370),"",IF($Z370=Constants!$B$7,IF(ISNUMBER(AK370),AK370-AN370,Constants!$B$14),$Z370))</f>
        <v/>
      </c>
      <c r="AP370" s="64"/>
      <c r="AQ370" s="65" t="str">
        <f aca="false">IF(ISBLANK($C370),"",IF($Z370&lt;&gt;Constants!$B$7,"",AH370))</f>
        <v/>
      </c>
      <c r="AR370" s="80" t="str">
        <f aca="false">IF(ISBLANK($C370),"",IF($Z370&lt;&gt;Constants!$B$7,"",IF(AH370=1,AB370,AE370)))</f>
        <v/>
      </c>
      <c r="AS370" s="67" t="str">
        <f aca="false">IF(ISBLANK($C370),"",IF($Z370&lt;&gt;Constants!$B$7,"",IF(AH370=1,AC370,AF370)))</f>
        <v/>
      </c>
      <c r="AT370" s="68" t="str">
        <f aca="false">IF(ISBLANK($C370),"",IF($Z370&lt;&gt;Constants!$B$7,$Z370,AJ370))</f>
        <v/>
      </c>
      <c r="AU370" s="69" t="str">
        <f aca="false">IF(ISBLANK($C370),"",IF($Z370&lt;&gt;Constants!$B$7,$Z370,AA370))</f>
        <v/>
      </c>
      <c r="AV370" s="70" t="str">
        <f aca="false">IF(ISBLANK($C370),"",AO370)</f>
        <v/>
      </c>
      <c r="AW370" s="70" t="str">
        <f aca="false">IF(ISBLANK($C370),"",AN370)</f>
        <v/>
      </c>
      <c r="AX370" s="71" t="str">
        <f aca="false">IF(ISBLANK($C370),"",IFERROR(_xlfn.SWITCH(AW370,Constants!$B$4,COUNTA($C$8:$C$507)+2,Constants!$B$5,COUNTA($C$8:$C$507)+1,Constants!$B$6,COUNTA($C$8:$C$507)),AW370))</f>
        <v/>
      </c>
      <c r="AY370" s="5"/>
      <c r="AZ370" s="72" t="n">
        <f aca="false">IF(OR(ISNUMBER(AW370),AW370=Constants!$B$4,AW370=Constants!$B$6,AW370=Constants!$B$5),1,0)</f>
        <v>0</v>
      </c>
      <c r="BA370" s="72" t="n">
        <v>363</v>
      </c>
      <c r="BB370" s="72" t="str">
        <f aca="false">IF(ISBLANK($C370),"",IF(ISNUMBER(AX370),AX370+ROW($B370)/1000,""))</f>
        <v/>
      </c>
      <c r="BC370" s="72" t="str">
        <f aca="false">IF(ISNUMBER(BB370),RANK(BB370,$BB$8:$BB$507,1),"")</f>
        <v/>
      </c>
      <c r="BD370" s="72" t="str">
        <f aca="false">IF(ISBLANK($C370),"",$B370)</f>
        <v/>
      </c>
      <c r="BE370" s="72" t="str">
        <f aca="false">IF(ISBLANK($C370),"",$C370)</f>
        <v/>
      </c>
      <c r="BF370" s="72" t="str">
        <f aca="false">IF(ISBLANK($C370),"",$D370)</f>
        <v/>
      </c>
      <c r="BG370" s="73" t="str">
        <f aca="false">AU370</f>
        <v/>
      </c>
      <c r="BH370" s="74" t="str">
        <f aca="false">AT370</f>
        <v/>
      </c>
      <c r="BI370" s="72" t="str">
        <f aca="false">IF(ISBLANK($C370),"",AW370)</f>
        <v/>
      </c>
      <c r="BJ370" s="75" t="str">
        <f aca="false">IF($BA370&gt;$AZ$7,"",VLOOKUP($BA370,$BC$8:$BI$507,7,FALSE()))</f>
        <v/>
      </c>
      <c r="BK370" s="76" t="str">
        <f aca="false">IF($BA370&gt;$AZ$7,"",VLOOKUP($BA370,$BC$8:$BI$507,2,FALSE()))</f>
        <v/>
      </c>
      <c r="BL370" s="76" t="str">
        <f aca="false">IF($BA370&gt;$AZ$7,"",VLOOKUP($BA370,$BC$8:$BI$507,3,FALSE()))</f>
        <v/>
      </c>
      <c r="BM370" s="76" t="str">
        <f aca="false">IF($BA370&gt;$AZ$7,"",VLOOKUP($BA370,$BC$8:$BI$507,4,FALSE()))</f>
        <v/>
      </c>
      <c r="BN370" s="76" t="str">
        <f aca="false">IF($BA370&gt;$AZ$7,"",VLOOKUP($BA370,$BC$8:$BI$507,5,FALSE()))</f>
        <v/>
      </c>
      <c r="BO370" s="77" t="str">
        <f aca="false">IF($BA370&gt;$AZ$7,"",VLOOKUP($BA370,$BC$8:$BI$507,6,FALSE()))</f>
        <v/>
      </c>
      <c r="BP370" s="52"/>
    </row>
    <row r="371" customFormat="false" ht="15.75" hidden="false" customHeight="false" outlineLevel="0" collapsed="false">
      <c r="A371" s="5"/>
      <c r="B371" s="114"/>
      <c r="C371" s="115"/>
      <c r="D371" s="106"/>
      <c r="E371" s="117"/>
      <c r="F371" s="87"/>
      <c r="G371" s="88"/>
      <c r="H371" s="88"/>
      <c r="I371" s="87"/>
      <c r="J371" s="88"/>
      <c r="K371" s="88"/>
      <c r="L371" s="87"/>
      <c r="M371" s="117"/>
      <c r="N371" s="90"/>
      <c r="O371" s="91" t="str">
        <f aca="false">IF(ISBLANK($C371),"",IF(E371=Constants!$B$2, TRUE(), IF(E371=Constants!$B$3, FALSE(), TRUE())))</f>
        <v/>
      </c>
      <c r="P371" s="91" t="str">
        <f aca="false">IF(ISBLANK($C371),"",IF(F371=Constants!$B$16,Constants!$B$9,IF(F371=Constants!$B$17,Constants!$B$10,Constants!$B$8)))</f>
        <v/>
      </c>
      <c r="Q371" s="91" t="str">
        <f aca="false">IF(ISBLANK($C371),"",IF(ISNUMBER(G371),IF(G371&gt;=0,G371,""),""))</f>
        <v/>
      </c>
      <c r="R371" s="91" t="str">
        <f aca="false">IF(ISBLANK($C371),"",IF(H371=Constants!$B$2, TRUE(), IF(H371=Constants!$B$3, FALSE(), TRUE())))</f>
        <v/>
      </c>
      <c r="S371" s="91" t="str">
        <f aca="false">IF(ISBLANK($C371),"",IF(I371=Constants!$B$2, TRUE(), IF(I371=Constants!$B$3, FALSE(), TRUE())))</f>
        <v/>
      </c>
      <c r="T371" s="91" t="str">
        <f aca="false">IF(ISBLANK($C371),"",IF(ISNUMBER(J371),IF(J371&gt;=0,J371,""),""))</f>
        <v/>
      </c>
      <c r="U371" s="91" t="str">
        <f aca="false">IF(ISBLANK($C371),"",IF(K371=Constants!$B$2, TRUE(), IF(K371=Constants!$B$3, FALSE(), TRUE())))</f>
        <v/>
      </c>
      <c r="V371" s="91" t="str">
        <f aca="false">IF(ISBLANK($C371),"",IF(L371=Constants!$B$2, TRUE(), IF(L371=Constants!$B$3, FALSE(), TRUE())))</f>
        <v/>
      </c>
      <c r="W371" s="91" t="str">
        <f aca="false">IF(ISBLANK($C371),"",IF(M371=Constants!$B$2, TRUE(), IF(M371=Constants!$B$3, FALSE(), FALSE())))</f>
        <v/>
      </c>
      <c r="X371" s="91" t="str">
        <f aca="false">IF(ISBLANK($C371),"",AND(Q371&lt;&gt;"",O371))</f>
        <v/>
      </c>
      <c r="Y371" s="91" t="str">
        <f aca="false">IF(ISBLANK($C371),"",AND(T371&lt;&gt;"",O371))</f>
        <v/>
      </c>
      <c r="Z371" s="91" t="str">
        <f aca="false">IF(ISBLANK($C371),"",IF(W371,Constants!$B$4,IF(COUNTA(E371:L371)=0,Constants!$B$5,IF(NOT(O371),Constants!$B$6,IF(AND(NOT(X371),NOT(Y371)),Constants!$B$6,Constants!$B$7)))))</f>
        <v/>
      </c>
      <c r="AA371" s="91" t="str">
        <f aca="false">IF(ISBLANK($C371),"",IF($Z371&lt;&gt;Constants!$B$7,$Z371,Constants!$B$20))</f>
        <v/>
      </c>
      <c r="AB371" s="91" t="str">
        <f aca="false">IF($Z371=Constants!$B$7,IF(X371,Q371,Constants!$B$13),"")</f>
        <v/>
      </c>
      <c r="AC371" s="91" t="str">
        <f aca="false">IF($Z371=Constants!$B$7,IF(X371,P371*IF(R371, 1, Constants!$B$11)*IF(S371, 1, Constants!$B$12),Constants!$B$13),"")</f>
        <v/>
      </c>
      <c r="AD371" s="91" t="str">
        <f aca="false">IF($Z371=Constants!$B$7,AB371*AC371,"")</f>
        <v/>
      </c>
      <c r="AE371" s="91" t="str">
        <f aca="false">IF($Z371=Constants!$B$7,IF(Y371,T371,Constants!$B$13),"")</f>
        <v/>
      </c>
      <c r="AF371" s="91" t="str">
        <f aca="false">IF($Z371=Constants!$B$7,IF(Y371,P371*IF(U371, 1, Constants!$B$11)*IF(V371, 1, Constants!$B$12),Constants!$B$13),"")</f>
        <v/>
      </c>
      <c r="AG371" s="91" t="str">
        <f aca="false">IF($Z371=Constants!$B$7,AE371*AF371,"")</f>
        <v/>
      </c>
      <c r="AH371" s="91" t="str">
        <f aca="false">IF($Z371=Constants!$B$7,IF(AG371&gt;AD371,2,1),"")</f>
        <v/>
      </c>
      <c r="AI371" s="91" t="str">
        <f aca="false">IF($Z371=Constants!$B$7,IF(AH371=1,2,1),"")</f>
        <v/>
      </c>
      <c r="AJ371" s="91" t="str">
        <f aca="false">IF(ISBLANK($C371),"",IF($Z371&lt;&gt;Constants!$B$7,$Z371,IF(AH371=1,AD371,AG371)))</f>
        <v/>
      </c>
      <c r="AK371" s="91" t="str">
        <f aca="false">IF(ISBLANK($C371),"",IF($Z371=Constants!$B$7,IF(ISNUMBER(AJ371),RANK(AJ371,$AJ$8:$AJ$507),Constants!$B$14),$Z371))</f>
        <v/>
      </c>
      <c r="AL371" s="91" t="str">
        <f aca="false">IF(ISBLANK($C371),"",IF($Z371=Constants!$B$7,IF(AI371=1,AD371,AG371),""))</f>
        <v/>
      </c>
      <c r="AM371" s="91" t="str">
        <f aca="false">IF(ISBLANK($C371),"",IF($Z371=Constants!$B$7,RANK(AL371,$AL$8:$AL$507),$Z371))</f>
        <v/>
      </c>
      <c r="AN371" s="91" t="str">
        <f aca="false">IF(ISBLANK($C371),"",IF($Z371=Constants!$B$7,IF(ISNUMBER(AK371),COUNTIFS($AK$8:$AK$507,"&lt;"&amp;$AK371)+COUNTIFS($AK$8:$AK$507,$AK371,$AM$8:$AM$507,"&lt;"&amp;$AM371)+1,Constants!$B$14),$Z371))</f>
        <v/>
      </c>
      <c r="AO371" s="91" t="str">
        <f aca="false">IF(ISBLANK($C371),"",IF($Z371=Constants!$B$7,IF(ISNUMBER(AK371),AK371-AN371,Constants!$B$14),$Z371))</f>
        <v/>
      </c>
      <c r="AP371" s="92"/>
      <c r="AQ371" s="93" t="str">
        <f aca="false">IF(ISBLANK($C371),"",IF($Z371&lt;&gt;Constants!$B$7,"",AH371))</f>
        <v/>
      </c>
      <c r="AR371" s="94" t="str">
        <f aca="false">IF(ISBLANK($C371),"",IF($Z371&lt;&gt;Constants!$B$7,"",IF(AH371=1,AB371,AE371)))</f>
        <v/>
      </c>
      <c r="AS371" s="95" t="str">
        <f aca="false">IF(ISBLANK($C371),"",IF($Z371&lt;&gt;Constants!$B$7,"",IF(AH371=1,AC371,AF371)))</f>
        <v/>
      </c>
      <c r="AT371" s="96" t="str">
        <f aca="false">IF(ISBLANK($C371),"",IF($Z371&lt;&gt;Constants!$B$7,$Z371,AJ371))</f>
        <v/>
      </c>
      <c r="AU371" s="97" t="str">
        <f aca="false">IF(ISBLANK($C371),"",IF($Z371&lt;&gt;Constants!$B$7,$Z371,AA371))</f>
        <v/>
      </c>
      <c r="AV371" s="98" t="str">
        <f aca="false">IF(ISBLANK($C371),"",AO371)</f>
        <v/>
      </c>
      <c r="AW371" s="98" t="str">
        <f aca="false">IF(ISBLANK($C371),"",AN371)</f>
        <v/>
      </c>
      <c r="AX371" s="99" t="str">
        <f aca="false">IF(ISBLANK($C371),"",IFERROR(_xlfn.SWITCH(AW371,Constants!$B$4,COUNTA($C$8:$C$507)+2,Constants!$B$5,COUNTA($C$8:$C$507)+1,Constants!$B$6,COUNTA($C$8:$C$507)),AW371))</f>
        <v/>
      </c>
      <c r="AY371" s="5"/>
      <c r="AZ371" s="100" t="n">
        <f aca="false">IF(OR(ISNUMBER(AW371),AW371=Constants!$B$4,AW371=Constants!$B$6,AW371=Constants!$B$5),1,0)</f>
        <v>0</v>
      </c>
      <c r="BA371" s="100" t="n">
        <v>364</v>
      </c>
      <c r="BB371" s="100" t="str">
        <f aca="false">IF(ISBLANK($C371),"",IF(ISNUMBER(AX371),AX371+ROW($B371)/1000,""))</f>
        <v/>
      </c>
      <c r="BC371" s="100" t="str">
        <f aca="false">IF(ISNUMBER(BB371),RANK(BB371,$BB$8:$BB$507,1),"")</f>
        <v/>
      </c>
      <c r="BD371" s="100" t="str">
        <f aca="false">IF(ISBLANK($C371),"",$B371)</f>
        <v/>
      </c>
      <c r="BE371" s="100" t="str">
        <f aca="false">IF(ISBLANK($C371),"",$C371)</f>
        <v/>
      </c>
      <c r="BF371" s="100" t="str">
        <f aca="false">IF(ISBLANK($C371),"",$D371)</f>
        <v/>
      </c>
      <c r="BG371" s="101" t="str">
        <f aca="false">AU371</f>
        <v/>
      </c>
      <c r="BH371" s="102" t="str">
        <f aca="false">AT371</f>
        <v/>
      </c>
      <c r="BI371" s="100" t="str">
        <f aca="false">IF(ISBLANK($C371),"",AW371)</f>
        <v/>
      </c>
      <c r="BJ371" s="103" t="str">
        <f aca="false">IF($BA371&gt;$AZ$7,"",VLOOKUP($BA371,$BC$8:$BI$507,7,FALSE()))</f>
        <v/>
      </c>
      <c r="BK371" s="104" t="str">
        <f aca="false">IF($BA371&gt;$AZ$7,"",VLOOKUP($BA371,$BC$8:$BI$507,2,FALSE()))</f>
        <v/>
      </c>
      <c r="BL371" s="104" t="str">
        <f aca="false">IF($BA371&gt;$AZ$7,"",VLOOKUP($BA371,$BC$8:$BI$507,3,FALSE()))</f>
        <v/>
      </c>
      <c r="BM371" s="104" t="str">
        <f aca="false">IF($BA371&gt;$AZ$7,"",VLOOKUP($BA371,$BC$8:$BI$507,4,FALSE()))</f>
        <v/>
      </c>
      <c r="BN371" s="104" t="str">
        <f aca="false">IF($BA371&gt;$AZ$7,"",VLOOKUP($BA371,$BC$8:$BI$507,5,FALSE()))</f>
        <v/>
      </c>
      <c r="BO371" s="105" t="str">
        <f aca="false">IF($BA371&gt;$AZ$7,"",VLOOKUP($BA371,$BC$8:$BI$507,6,FALSE()))</f>
        <v/>
      </c>
      <c r="BP371" s="52"/>
    </row>
    <row r="372" customFormat="false" ht="15.75" hidden="false" customHeight="false" outlineLevel="0" collapsed="false">
      <c r="A372" s="5"/>
      <c r="B372" s="114"/>
      <c r="C372" s="115"/>
      <c r="D372" s="106"/>
      <c r="E372" s="117"/>
      <c r="F372" s="87"/>
      <c r="G372" s="88"/>
      <c r="H372" s="88"/>
      <c r="I372" s="87"/>
      <c r="J372" s="88"/>
      <c r="K372" s="88"/>
      <c r="L372" s="87"/>
      <c r="M372" s="117"/>
      <c r="N372" s="90"/>
      <c r="O372" s="91" t="str">
        <f aca="false">IF(ISBLANK($C372),"",IF(E372=Constants!$B$2, TRUE(), IF(E372=Constants!$B$3, FALSE(), TRUE())))</f>
        <v/>
      </c>
      <c r="P372" s="91" t="str">
        <f aca="false">IF(ISBLANK($C372),"",IF(F372=Constants!$B$16,Constants!$B$9,IF(F372=Constants!$B$17,Constants!$B$10,Constants!$B$8)))</f>
        <v/>
      </c>
      <c r="Q372" s="91" t="str">
        <f aca="false">IF(ISBLANK($C372),"",IF(ISNUMBER(G372),IF(G372&gt;=0,G372,""),""))</f>
        <v/>
      </c>
      <c r="R372" s="91" t="str">
        <f aca="false">IF(ISBLANK($C372),"",IF(H372=Constants!$B$2, TRUE(), IF(H372=Constants!$B$3, FALSE(), TRUE())))</f>
        <v/>
      </c>
      <c r="S372" s="91" t="str">
        <f aca="false">IF(ISBLANK($C372),"",IF(I372=Constants!$B$2, TRUE(), IF(I372=Constants!$B$3, FALSE(), TRUE())))</f>
        <v/>
      </c>
      <c r="T372" s="91" t="str">
        <f aca="false">IF(ISBLANK($C372),"",IF(ISNUMBER(J372),IF(J372&gt;=0,J372,""),""))</f>
        <v/>
      </c>
      <c r="U372" s="91" t="str">
        <f aca="false">IF(ISBLANK($C372),"",IF(K372=Constants!$B$2, TRUE(), IF(K372=Constants!$B$3, FALSE(), TRUE())))</f>
        <v/>
      </c>
      <c r="V372" s="91" t="str">
        <f aca="false">IF(ISBLANK($C372),"",IF(L372=Constants!$B$2, TRUE(), IF(L372=Constants!$B$3, FALSE(), TRUE())))</f>
        <v/>
      </c>
      <c r="W372" s="91" t="str">
        <f aca="false">IF(ISBLANK($C372),"",IF(M372=Constants!$B$2, TRUE(), IF(M372=Constants!$B$3, FALSE(), FALSE())))</f>
        <v/>
      </c>
      <c r="X372" s="91" t="str">
        <f aca="false">IF(ISBLANK($C372),"",AND(Q372&lt;&gt;"",O372))</f>
        <v/>
      </c>
      <c r="Y372" s="91" t="str">
        <f aca="false">IF(ISBLANK($C372),"",AND(T372&lt;&gt;"",O372))</f>
        <v/>
      </c>
      <c r="Z372" s="91" t="str">
        <f aca="false">IF(ISBLANK($C372),"",IF(W372,Constants!$B$4,IF(COUNTA(E372:L372)=0,Constants!$B$5,IF(NOT(O372),Constants!$B$6,IF(AND(NOT(X372),NOT(Y372)),Constants!$B$6,Constants!$B$7)))))</f>
        <v/>
      </c>
      <c r="AA372" s="91" t="str">
        <f aca="false">IF(ISBLANK($C372),"",IF($Z372&lt;&gt;Constants!$B$7,$Z372,Constants!$B$20))</f>
        <v/>
      </c>
      <c r="AB372" s="91" t="str">
        <f aca="false">IF($Z372=Constants!$B$7,IF(X372,Q372,Constants!$B$13),"")</f>
        <v/>
      </c>
      <c r="AC372" s="91" t="str">
        <f aca="false">IF($Z372=Constants!$B$7,IF(X372,P372*IF(R372, 1, Constants!$B$11)*IF(S372, 1, Constants!$B$12),Constants!$B$13),"")</f>
        <v/>
      </c>
      <c r="AD372" s="91" t="str">
        <f aca="false">IF($Z372=Constants!$B$7,AB372*AC372,"")</f>
        <v/>
      </c>
      <c r="AE372" s="91" t="str">
        <f aca="false">IF($Z372=Constants!$B$7,IF(Y372,T372,Constants!$B$13),"")</f>
        <v/>
      </c>
      <c r="AF372" s="91" t="str">
        <f aca="false">IF($Z372=Constants!$B$7,IF(Y372,P372*IF(U372, 1, Constants!$B$11)*IF(V372, 1, Constants!$B$12),Constants!$B$13),"")</f>
        <v/>
      </c>
      <c r="AG372" s="91" t="str">
        <f aca="false">IF($Z372=Constants!$B$7,AE372*AF372,"")</f>
        <v/>
      </c>
      <c r="AH372" s="91" t="str">
        <f aca="false">IF($Z372=Constants!$B$7,IF(AG372&gt;AD372,2,1),"")</f>
        <v/>
      </c>
      <c r="AI372" s="91" t="str">
        <f aca="false">IF($Z372=Constants!$B$7,IF(AH372=1,2,1),"")</f>
        <v/>
      </c>
      <c r="AJ372" s="91" t="str">
        <f aca="false">IF(ISBLANK($C372),"",IF($Z372&lt;&gt;Constants!$B$7,$Z372,IF(AH372=1,AD372,AG372)))</f>
        <v/>
      </c>
      <c r="AK372" s="91" t="str">
        <f aca="false">IF(ISBLANK($C372),"",IF($Z372=Constants!$B$7,IF(ISNUMBER(AJ372),RANK(AJ372,$AJ$8:$AJ$507),Constants!$B$14),$Z372))</f>
        <v/>
      </c>
      <c r="AL372" s="91" t="str">
        <f aca="false">IF(ISBLANK($C372),"",IF($Z372=Constants!$B$7,IF(AI372=1,AD372,AG372),""))</f>
        <v/>
      </c>
      <c r="AM372" s="91" t="str">
        <f aca="false">IF(ISBLANK($C372),"",IF($Z372=Constants!$B$7,RANK(AL372,$AL$8:$AL$507),$Z372))</f>
        <v/>
      </c>
      <c r="AN372" s="91" t="str">
        <f aca="false">IF(ISBLANK($C372),"",IF($Z372=Constants!$B$7,IF(ISNUMBER(AK372),COUNTIFS($AK$8:$AK$507,"&lt;"&amp;$AK372)+COUNTIFS($AK$8:$AK$507,$AK372,$AM$8:$AM$507,"&lt;"&amp;$AM372)+1,Constants!$B$14),$Z372))</f>
        <v/>
      </c>
      <c r="AO372" s="91" t="str">
        <f aca="false">IF(ISBLANK($C372),"",IF($Z372=Constants!$B$7,IF(ISNUMBER(AK372),AK372-AN372,Constants!$B$14),$Z372))</f>
        <v/>
      </c>
      <c r="AP372" s="92"/>
      <c r="AQ372" s="93" t="str">
        <f aca="false">IF(ISBLANK($C372),"",IF($Z372&lt;&gt;Constants!$B$7,"",AH372))</f>
        <v/>
      </c>
      <c r="AR372" s="94" t="str">
        <f aca="false">IF(ISBLANK($C372),"",IF($Z372&lt;&gt;Constants!$B$7,"",IF(AH372=1,AB372,AE372)))</f>
        <v/>
      </c>
      <c r="AS372" s="95" t="str">
        <f aca="false">IF(ISBLANK($C372),"",IF($Z372&lt;&gt;Constants!$B$7,"",IF(AH372=1,AC372,AF372)))</f>
        <v/>
      </c>
      <c r="AT372" s="96" t="str">
        <f aca="false">IF(ISBLANK($C372),"",IF($Z372&lt;&gt;Constants!$B$7,$Z372,AJ372))</f>
        <v/>
      </c>
      <c r="AU372" s="97" t="str">
        <f aca="false">IF(ISBLANK($C372),"",IF($Z372&lt;&gt;Constants!$B$7,$Z372,AA372))</f>
        <v/>
      </c>
      <c r="AV372" s="98" t="str">
        <f aca="false">IF(ISBLANK($C372),"",AO372)</f>
        <v/>
      </c>
      <c r="AW372" s="98" t="str">
        <f aca="false">IF(ISBLANK($C372),"",AN372)</f>
        <v/>
      </c>
      <c r="AX372" s="99" t="str">
        <f aca="false">IF(ISBLANK($C372),"",IFERROR(_xlfn.SWITCH(AW372,Constants!$B$4,COUNTA($C$8:$C$507)+2,Constants!$B$5,COUNTA($C$8:$C$507)+1,Constants!$B$6,COUNTA($C$8:$C$507)),AW372))</f>
        <v/>
      </c>
      <c r="AY372" s="5"/>
      <c r="AZ372" s="100" t="n">
        <f aca="false">IF(OR(ISNUMBER(AW372),AW372=Constants!$B$4,AW372=Constants!$B$6,AW372=Constants!$B$5),1,0)</f>
        <v>0</v>
      </c>
      <c r="BA372" s="100" t="n">
        <v>365</v>
      </c>
      <c r="BB372" s="100" t="str">
        <f aca="false">IF(ISBLANK($C372),"",IF(ISNUMBER(AX372),AX372+ROW($B372)/1000,""))</f>
        <v/>
      </c>
      <c r="BC372" s="100" t="str">
        <f aca="false">IF(ISNUMBER(BB372),RANK(BB372,$BB$8:$BB$507,1),"")</f>
        <v/>
      </c>
      <c r="BD372" s="100" t="str">
        <f aca="false">IF(ISBLANK($C372),"",$B372)</f>
        <v/>
      </c>
      <c r="BE372" s="100" t="str">
        <f aca="false">IF(ISBLANK($C372),"",$C372)</f>
        <v/>
      </c>
      <c r="BF372" s="100" t="str">
        <f aca="false">IF(ISBLANK($C372),"",$D372)</f>
        <v/>
      </c>
      <c r="BG372" s="101" t="str">
        <f aca="false">AU372</f>
        <v/>
      </c>
      <c r="BH372" s="102" t="str">
        <f aca="false">AT372</f>
        <v/>
      </c>
      <c r="BI372" s="100" t="str">
        <f aca="false">IF(ISBLANK($C372),"",AW372)</f>
        <v/>
      </c>
      <c r="BJ372" s="103" t="str">
        <f aca="false">IF($BA372&gt;$AZ$7,"",VLOOKUP($BA372,$BC$8:$BI$507,7,FALSE()))</f>
        <v/>
      </c>
      <c r="BK372" s="104" t="str">
        <f aca="false">IF($BA372&gt;$AZ$7,"",VLOOKUP($BA372,$BC$8:$BI$507,2,FALSE()))</f>
        <v/>
      </c>
      <c r="BL372" s="104" t="str">
        <f aca="false">IF($BA372&gt;$AZ$7,"",VLOOKUP($BA372,$BC$8:$BI$507,3,FALSE()))</f>
        <v/>
      </c>
      <c r="BM372" s="104" t="str">
        <f aca="false">IF($BA372&gt;$AZ$7,"",VLOOKUP($BA372,$BC$8:$BI$507,4,FALSE()))</f>
        <v/>
      </c>
      <c r="BN372" s="104" t="str">
        <f aca="false">IF($BA372&gt;$AZ$7,"",VLOOKUP($BA372,$BC$8:$BI$507,5,FALSE()))</f>
        <v/>
      </c>
      <c r="BO372" s="105" t="str">
        <f aca="false">IF($BA372&gt;$AZ$7,"",VLOOKUP($BA372,$BC$8:$BI$507,6,FALSE()))</f>
        <v/>
      </c>
      <c r="BP372" s="52"/>
    </row>
    <row r="373" customFormat="false" ht="15.75" hidden="false" customHeight="false" outlineLevel="0" collapsed="false">
      <c r="A373" s="5"/>
      <c r="B373" s="114"/>
      <c r="C373" s="115"/>
      <c r="D373" s="106"/>
      <c r="E373" s="117"/>
      <c r="F373" s="87"/>
      <c r="G373" s="88"/>
      <c r="H373" s="88"/>
      <c r="I373" s="87"/>
      <c r="J373" s="88"/>
      <c r="K373" s="88"/>
      <c r="L373" s="87"/>
      <c r="M373" s="117"/>
      <c r="N373" s="90"/>
      <c r="O373" s="91" t="str">
        <f aca="false">IF(ISBLANK($C373),"",IF(E373=Constants!$B$2, TRUE(), IF(E373=Constants!$B$3, FALSE(), TRUE())))</f>
        <v/>
      </c>
      <c r="P373" s="91" t="str">
        <f aca="false">IF(ISBLANK($C373),"",IF(F373=Constants!$B$16,Constants!$B$9,IF(F373=Constants!$B$17,Constants!$B$10,Constants!$B$8)))</f>
        <v/>
      </c>
      <c r="Q373" s="91" t="str">
        <f aca="false">IF(ISBLANK($C373),"",IF(ISNUMBER(G373),IF(G373&gt;=0,G373,""),""))</f>
        <v/>
      </c>
      <c r="R373" s="91" t="str">
        <f aca="false">IF(ISBLANK($C373),"",IF(H373=Constants!$B$2, TRUE(), IF(H373=Constants!$B$3, FALSE(), TRUE())))</f>
        <v/>
      </c>
      <c r="S373" s="91" t="str">
        <f aca="false">IF(ISBLANK($C373),"",IF(I373=Constants!$B$2, TRUE(), IF(I373=Constants!$B$3, FALSE(), TRUE())))</f>
        <v/>
      </c>
      <c r="T373" s="91" t="str">
        <f aca="false">IF(ISBLANK($C373),"",IF(ISNUMBER(J373),IF(J373&gt;=0,J373,""),""))</f>
        <v/>
      </c>
      <c r="U373" s="91" t="str">
        <f aca="false">IF(ISBLANK($C373),"",IF(K373=Constants!$B$2, TRUE(), IF(K373=Constants!$B$3, FALSE(), TRUE())))</f>
        <v/>
      </c>
      <c r="V373" s="91" t="str">
        <f aca="false">IF(ISBLANK($C373),"",IF(L373=Constants!$B$2, TRUE(), IF(L373=Constants!$B$3, FALSE(), TRUE())))</f>
        <v/>
      </c>
      <c r="W373" s="91" t="str">
        <f aca="false">IF(ISBLANK($C373),"",IF(M373=Constants!$B$2, TRUE(), IF(M373=Constants!$B$3, FALSE(), FALSE())))</f>
        <v/>
      </c>
      <c r="X373" s="91" t="str">
        <f aca="false">IF(ISBLANK($C373),"",AND(Q373&lt;&gt;"",O373))</f>
        <v/>
      </c>
      <c r="Y373" s="91" t="str">
        <f aca="false">IF(ISBLANK($C373),"",AND(T373&lt;&gt;"",O373))</f>
        <v/>
      </c>
      <c r="Z373" s="91" t="str">
        <f aca="false">IF(ISBLANK($C373),"",IF(W373,Constants!$B$4,IF(COUNTA(E373:L373)=0,Constants!$B$5,IF(NOT(O373),Constants!$B$6,IF(AND(NOT(X373),NOT(Y373)),Constants!$B$6,Constants!$B$7)))))</f>
        <v/>
      </c>
      <c r="AA373" s="91" t="str">
        <f aca="false">IF(ISBLANK($C373),"",IF($Z373&lt;&gt;Constants!$B$7,$Z373,Constants!$B$20))</f>
        <v/>
      </c>
      <c r="AB373" s="91" t="str">
        <f aca="false">IF($Z373=Constants!$B$7,IF(X373,Q373,Constants!$B$13),"")</f>
        <v/>
      </c>
      <c r="AC373" s="91" t="str">
        <f aca="false">IF($Z373=Constants!$B$7,IF(X373,P373*IF(R373, 1, Constants!$B$11)*IF(S373, 1, Constants!$B$12),Constants!$B$13),"")</f>
        <v/>
      </c>
      <c r="AD373" s="91" t="str">
        <f aca="false">IF($Z373=Constants!$B$7,AB373*AC373,"")</f>
        <v/>
      </c>
      <c r="AE373" s="91" t="str">
        <f aca="false">IF($Z373=Constants!$B$7,IF(Y373,T373,Constants!$B$13),"")</f>
        <v/>
      </c>
      <c r="AF373" s="91" t="str">
        <f aca="false">IF($Z373=Constants!$B$7,IF(Y373,P373*IF(U373, 1, Constants!$B$11)*IF(V373, 1, Constants!$B$12),Constants!$B$13),"")</f>
        <v/>
      </c>
      <c r="AG373" s="91" t="str">
        <f aca="false">IF($Z373=Constants!$B$7,AE373*AF373,"")</f>
        <v/>
      </c>
      <c r="AH373" s="91" t="str">
        <f aca="false">IF($Z373=Constants!$B$7,IF(AG373&gt;AD373,2,1),"")</f>
        <v/>
      </c>
      <c r="AI373" s="91" t="str">
        <f aca="false">IF($Z373=Constants!$B$7,IF(AH373=1,2,1),"")</f>
        <v/>
      </c>
      <c r="AJ373" s="91" t="str">
        <f aca="false">IF(ISBLANK($C373),"",IF($Z373&lt;&gt;Constants!$B$7,$Z373,IF(AH373=1,AD373,AG373)))</f>
        <v/>
      </c>
      <c r="AK373" s="91" t="str">
        <f aca="false">IF(ISBLANK($C373),"",IF($Z373=Constants!$B$7,IF(ISNUMBER(AJ373),RANK(AJ373,$AJ$8:$AJ$507),Constants!$B$14),$Z373))</f>
        <v/>
      </c>
      <c r="AL373" s="91" t="str">
        <f aca="false">IF(ISBLANK($C373),"",IF($Z373=Constants!$B$7,IF(AI373=1,AD373,AG373),""))</f>
        <v/>
      </c>
      <c r="AM373" s="91" t="str">
        <f aca="false">IF(ISBLANK($C373),"",IF($Z373=Constants!$B$7,RANK(AL373,$AL$8:$AL$507),$Z373))</f>
        <v/>
      </c>
      <c r="AN373" s="91" t="str">
        <f aca="false">IF(ISBLANK($C373),"",IF($Z373=Constants!$B$7,IF(ISNUMBER(AK373),COUNTIFS($AK$8:$AK$507,"&lt;"&amp;$AK373)+COUNTIFS($AK$8:$AK$507,$AK373,$AM$8:$AM$507,"&lt;"&amp;$AM373)+1,Constants!$B$14),$Z373))</f>
        <v/>
      </c>
      <c r="AO373" s="91" t="str">
        <f aca="false">IF(ISBLANK($C373),"",IF($Z373=Constants!$B$7,IF(ISNUMBER(AK373),AK373-AN373,Constants!$B$14),$Z373))</f>
        <v/>
      </c>
      <c r="AP373" s="92"/>
      <c r="AQ373" s="93" t="str">
        <f aca="false">IF(ISBLANK($C373),"",IF($Z373&lt;&gt;Constants!$B$7,"",AH373))</f>
        <v/>
      </c>
      <c r="AR373" s="94" t="str">
        <f aca="false">IF(ISBLANK($C373),"",IF($Z373&lt;&gt;Constants!$B$7,"",IF(AH373=1,AB373,AE373)))</f>
        <v/>
      </c>
      <c r="AS373" s="95" t="str">
        <f aca="false">IF(ISBLANK($C373),"",IF($Z373&lt;&gt;Constants!$B$7,"",IF(AH373=1,AC373,AF373)))</f>
        <v/>
      </c>
      <c r="AT373" s="96" t="str">
        <f aca="false">IF(ISBLANK($C373),"",IF($Z373&lt;&gt;Constants!$B$7,$Z373,AJ373))</f>
        <v/>
      </c>
      <c r="AU373" s="97" t="str">
        <f aca="false">IF(ISBLANK($C373),"",IF($Z373&lt;&gt;Constants!$B$7,$Z373,AA373))</f>
        <v/>
      </c>
      <c r="AV373" s="98" t="str">
        <f aca="false">IF(ISBLANK($C373),"",AO373)</f>
        <v/>
      </c>
      <c r="AW373" s="98" t="str">
        <f aca="false">IF(ISBLANK($C373),"",AN373)</f>
        <v/>
      </c>
      <c r="AX373" s="99" t="str">
        <f aca="false">IF(ISBLANK($C373),"",IFERROR(_xlfn.SWITCH(AW373,Constants!$B$4,COUNTA($C$8:$C$507)+2,Constants!$B$5,COUNTA($C$8:$C$507)+1,Constants!$B$6,COUNTA($C$8:$C$507)),AW373))</f>
        <v/>
      </c>
      <c r="AY373" s="5"/>
      <c r="AZ373" s="100" t="n">
        <f aca="false">IF(OR(ISNUMBER(AW373),AW373=Constants!$B$4,AW373=Constants!$B$6,AW373=Constants!$B$5),1,0)</f>
        <v>0</v>
      </c>
      <c r="BA373" s="100" t="n">
        <v>366</v>
      </c>
      <c r="BB373" s="100" t="str">
        <f aca="false">IF(ISBLANK($C373),"",IF(ISNUMBER(AX373),AX373+ROW($B373)/1000,""))</f>
        <v/>
      </c>
      <c r="BC373" s="100" t="str">
        <f aca="false">IF(ISNUMBER(BB373),RANK(BB373,$BB$8:$BB$507,1),"")</f>
        <v/>
      </c>
      <c r="BD373" s="100" t="str">
        <f aca="false">IF(ISBLANK($C373),"",$B373)</f>
        <v/>
      </c>
      <c r="BE373" s="100" t="str">
        <f aca="false">IF(ISBLANK($C373),"",$C373)</f>
        <v/>
      </c>
      <c r="BF373" s="100" t="str">
        <f aca="false">IF(ISBLANK($C373),"",$D373)</f>
        <v/>
      </c>
      <c r="BG373" s="101" t="str">
        <f aca="false">AU373</f>
        <v/>
      </c>
      <c r="BH373" s="102" t="str">
        <f aca="false">AT373</f>
        <v/>
      </c>
      <c r="BI373" s="100" t="str">
        <f aca="false">IF(ISBLANK($C373),"",AW373)</f>
        <v/>
      </c>
      <c r="BJ373" s="103" t="str">
        <f aca="false">IF($BA373&gt;$AZ$7,"",VLOOKUP($BA373,$BC$8:$BI$507,7,FALSE()))</f>
        <v/>
      </c>
      <c r="BK373" s="104" t="str">
        <f aca="false">IF($BA373&gt;$AZ$7,"",VLOOKUP($BA373,$BC$8:$BI$507,2,FALSE()))</f>
        <v/>
      </c>
      <c r="BL373" s="104" t="str">
        <f aca="false">IF($BA373&gt;$AZ$7,"",VLOOKUP($BA373,$BC$8:$BI$507,3,FALSE()))</f>
        <v/>
      </c>
      <c r="BM373" s="104" t="str">
        <f aca="false">IF($BA373&gt;$AZ$7,"",VLOOKUP($BA373,$BC$8:$BI$507,4,FALSE()))</f>
        <v/>
      </c>
      <c r="BN373" s="104" t="str">
        <f aca="false">IF($BA373&gt;$AZ$7,"",VLOOKUP($BA373,$BC$8:$BI$507,5,FALSE()))</f>
        <v/>
      </c>
      <c r="BO373" s="105" t="str">
        <f aca="false">IF($BA373&gt;$AZ$7,"",VLOOKUP($BA373,$BC$8:$BI$507,6,FALSE()))</f>
        <v/>
      </c>
      <c r="BP373" s="52"/>
    </row>
    <row r="374" customFormat="false" ht="15.75" hidden="false" customHeight="false" outlineLevel="0" collapsed="false">
      <c r="A374" s="5"/>
      <c r="B374" s="118"/>
      <c r="C374" s="54"/>
      <c r="D374" s="55"/>
      <c r="E374" s="79"/>
      <c r="F374" s="57"/>
      <c r="G374" s="58"/>
      <c r="H374" s="58"/>
      <c r="I374" s="57"/>
      <c r="J374" s="58"/>
      <c r="K374" s="58"/>
      <c r="L374" s="57"/>
      <c r="M374" s="79"/>
      <c r="N374" s="60"/>
      <c r="O374" s="62" t="str">
        <f aca="false">IF(ISBLANK($C374),"",IF(E374=Constants!$B$2, TRUE(), IF(E374=Constants!$B$3, FALSE(), TRUE())))</f>
        <v/>
      </c>
      <c r="P374" s="62" t="str">
        <f aca="false">IF(ISBLANK($C374),"",IF(F374=Constants!$B$16,Constants!$B$9,IF(F374=Constants!$B$17,Constants!$B$10,Constants!$B$8)))</f>
        <v/>
      </c>
      <c r="Q374" s="62" t="str">
        <f aca="false">IF(ISBLANK($C374),"",IF(ISNUMBER(G374),IF(G374&gt;=0,G374,""),""))</f>
        <v/>
      </c>
      <c r="R374" s="62" t="str">
        <f aca="false">IF(ISBLANK($C374),"",IF(H374=Constants!$B$2, TRUE(), IF(H374=Constants!$B$3, FALSE(), TRUE())))</f>
        <v/>
      </c>
      <c r="S374" s="62" t="str">
        <f aca="false">IF(ISBLANK($C374),"",IF(I374=Constants!$B$2, TRUE(), IF(I374=Constants!$B$3, FALSE(), TRUE())))</f>
        <v/>
      </c>
      <c r="T374" s="62" t="str">
        <f aca="false">IF(ISBLANK($C374),"",IF(ISNUMBER(J374),IF(J374&gt;=0,J374,""),""))</f>
        <v/>
      </c>
      <c r="U374" s="62" t="str">
        <f aca="false">IF(ISBLANK($C374),"",IF(K374=Constants!$B$2, TRUE(), IF(K374=Constants!$B$3, FALSE(), TRUE())))</f>
        <v/>
      </c>
      <c r="V374" s="62" t="str">
        <f aca="false">IF(ISBLANK($C374),"",IF(L374=Constants!$B$2, TRUE(), IF(L374=Constants!$B$3, FALSE(), TRUE())))</f>
        <v/>
      </c>
      <c r="W374" s="62" t="str">
        <f aca="false">IF(ISBLANK($C374),"",IF(M374=Constants!$B$2, TRUE(), IF(M374=Constants!$B$3, FALSE(), FALSE())))</f>
        <v/>
      </c>
      <c r="X374" s="62" t="str">
        <f aca="false">IF(ISBLANK($C374),"",AND(Q374&lt;&gt;"",O374))</f>
        <v/>
      </c>
      <c r="Y374" s="62" t="str">
        <f aca="false">IF(ISBLANK($C374),"",AND(T374&lt;&gt;"",O374))</f>
        <v/>
      </c>
      <c r="Z374" s="62" t="str">
        <f aca="false">IF(ISBLANK($C374),"",IF(W374,Constants!$B$4,IF(COUNTA(E374:L374)=0,Constants!$B$5,IF(NOT(O374),Constants!$B$6,IF(AND(NOT(X374),NOT(Y374)),Constants!$B$6,Constants!$B$7)))))</f>
        <v/>
      </c>
      <c r="AA374" s="62" t="str">
        <f aca="false">IF(ISBLANK($C374),"",IF($Z374&lt;&gt;Constants!$B$7,$Z374,Constants!$B$20))</f>
        <v/>
      </c>
      <c r="AB374" s="62" t="str">
        <f aca="false">IF($Z374=Constants!$B$7,IF(X374,Q374,Constants!$B$13),"")</f>
        <v/>
      </c>
      <c r="AC374" s="62" t="str">
        <f aca="false">IF($Z374=Constants!$B$7,IF(X374,P374*IF(R374, 1, Constants!$B$11)*IF(S374, 1, Constants!$B$12),Constants!$B$13),"")</f>
        <v/>
      </c>
      <c r="AD374" s="62" t="str">
        <f aca="false">IF($Z374=Constants!$B$7,AB374*AC374,"")</f>
        <v/>
      </c>
      <c r="AE374" s="62" t="str">
        <f aca="false">IF($Z374=Constants!$B$7,IF(Y374,T374,Constants!$B$13),"")</f>
        <v/>
      </c>
      <c r="AF374" s="62" t="str">
        <f aca="false">IF($Z374=Constants!$B$7,IF(Y374,P374*IF(U374, 1, Constants!$B$11)*IF(V374, 1, Constants!$B$12),Constants!$B$13),"")</f>
        <v/>
      </c>
      <c r="AG374" s="62" t="str">
        <f aca="false">IF($Z374=Constants!$B$7,AE374*AF374,"")</f>
        <v/>
      </c>
      <c r="AH374" s="62" t="str">
        <f aca="false">IF($Z374=Constants!$B$7,IF(AG374&gt;AD374,2,1),"")</f>
        <v/>
      </c>
      <c r="AI374" s="62" t="str">
        <f aca="false">IF($Z374=Constants!$B$7,IF(AH374=1,2,1),"")</f>
        <v/>
      </c>
      <c r="AJ374" s="62" t="str">
        <f aca="false">IF(ISBLANK($C374),"",IF($Z374&lt;&gt;Constants!$B$7,$Z374,IF(AH374=1,AD374,AG374)))</f>
        <v/>
      </c>
      <c r="AK374" s="62" t="str">
        <f aca="false">IF(ISBLANK($C374),"",IF($Z374=Constants!$B$7,IF(ISNUMBER(AJ374),RANK(AJ374,$AJ$8:$AJ$507),Constants!$B$14),$Z374))</f>
        <v/>
      </c>
      <c r="AL374" s="62" t="str">
        <f aca="false">IF(ISBLANK($C374),"",IF($Z374=Constants!$B$7,IF(AI374=1,AD374,AG374),""))</f>
        <v/>
      </c>
      <c r="AM374" s="62" t="str">
        <f aca="false">IF(ISBLANK($C374),"",IF($Z374=Constants!$B$7,RANK(AL374,$AL$8:$AL$507),$Z374))</f>
        <v/>
      </c>
      <c r="AN374" s="62" t="str">
        <f aca="false">IF(ISBLANK($C374),"",IF($Z374=Constants!$B$7,IF(ISNUMBER(AK374),COUNTIFS($AK$8:$AK$507,"&lt;"&amp;$AK374)+COUNTIFS($AK$8:$AK$507,$AK374,$AM$8:$AM$507,"&lt;"&amp;$AM374)+1,Constants!$B$14),$Z374))</f>
        <v/>
      </c>
      <c r="AO374" s="62" t="str">
        <f aca="false">IF(ISBLANK($C374),"",IF($Z374=Constants!$B$7,IF(ISNUMBER(AK374),AK374-AN374,Constants!$B$14),$Z374))</f>
        <v/>
      </c>
      <c r="AP374" s="64"/>
      <c r="AQ374" s="65" t="str">
        <f aca="false">IF(ISBLANK($C374),"",IF($Z374&lt;&gt;Constants!$B$7,"",AH374))</f>
        <v/>
      </c>
      <c r="AR374" s="80" t="str">
        <f aca="false">IF(ISBLANK($C374),"",IF($Z374&lt;&gt;Constants!$B$7,"",IF(AH374=1,AB374,AE374)))</f>
        <v/>
      </c>
      <c r="AS374" s="67" t="str">
        <f aca="false">IF(ISBLANK($C374),"",IF($Z374&lt;&gt;Constants!$B$7,"",IF(AH374=1,AC374,AF374)))</f>
        <v/>
      </c>
      <c r="AT374" s="68" t="str">
        <f aca="false">IF(ISBLANK($C374),"",IF($Z374&lt;&gt;Constants!$B$7,$Z374,AJ374))</f>
        <v/>
      </c>
      <c r="AU374" s="69" t="str">
        <f aca="false">IF(ISBLANK($C374),"",IF($Z374&lt;&gt;Constants!$B$7,$Z374,AA374))</f>
        <v/>
      </c>
      <c r="AV374" s="70" t="str">
        <f aca="false">IF(ISBLANK($C374),"",AO374)</f>
        <v/>
      </c>
      <c r="AW374" s="70" t="str">
        <f aca="false">IF(ISBLANK($C374),"",AN374)</f>
        <v/>
      </c>
      <c r="AX374" s="71" t="str">
        <f aca="false">IF(ISBLANK($C374),"",IFERROR(_xlfn.SWITCH(AW374,Constants!$B$4,COUNTA($C$8:$C$507)+2,Constants!$B$5,COUNTA($C$8:$C$507)+1,Constants!$B$6,COUNTA($C$8:$C$507)),AW374))</f>
        <v/>
      </c>
      <c r="AY374" s="5"/>
      <c r="AZ374" s="72" t="n">
        <f aca="false">IF(OR(ISNUMBER(AW374),AW374=Constants!$B$4,AW374=Constants!$B$6,AW374=Constants!$B$5),1,0)</f>
        <v>0</v>
      </c>
      <c r="BA374" s="72" t="n">
        <v>367</v>
      </c>
      <c r="BB374" s="72" t="str">
        <f aca="false">IF(ISBLANK($C374),"",IF(ISNUMBER(AX374),AX374+ROW($B374)/1000,""))</f>
        <v/>
      </c>
      <c r="BC374" s="72" t="str">
        <f aca="false">IF(ISNUMBER(BB374),RANK(BB374,$BB$8:$BB$507,1),"")</f>
        <v/>
      </c>
      <c r="BD374" s="72" t="str">
        <f aca="false">IF(ISBLANK($C374),"",$B374)</f>
        <v/>
      </c>
      <c r="BE374" s="72" t="str">
        <f aca="false">IF(ISBLANK($C374),"",$C374)</f>
        <v/>
      </c>
      <c r="BF374" s="72" t="str">
        <f aca="false">IF(ISBLANK($C374),"",$D374)</f>
        <v/>
      </c>
      <c r="BG374" s="73" t="str">
        <f aca="false">AU374</f>
        <v/>
      </c>
      <c r="BH374" s="74" t="str">
        <f aca="false">AT374</f>
        <v/>
      </c>
      <c r="BI374" s="72" t="str">
        <f aca="false">IF(ISBLANK($C374),"",AW374)</f>
        <v/>
      </c>
      <c r="BJ374" s="75" t="str">
        <f aca="false">IF($BA374&gt;$AZ$7,"",VLOOKUP($BA374,$BC$8:$BI$507,7,FALSE()))</f>
        <v/>
      </c>
      <c r="BK374" s="76" t="str">
        <f aca="false">IF($BA374&gt;$AZ$7,"",VLOOKUP($BA374,$BC$8:$BI$507,2,FALSE()))</f>
        <v/>
      </c>
      <c r="BL374" s="76" t="str">
        <f aca="false">IF($BA374&gt;$AZ$7,"",VLOOKUP($BA374,$BC$8:$BI$507,3,FALSE()))</f>
        <v/>
      </c>
      <c r="BM374" s="76" t="str">
        <f aca="false">IF($BA374&gt;$AZ$7,"",VLOOKUP($BA374,$BC$8:$BI$507,4,FALSE()))</f>
        <v/>
      </c>
      <c r="BN374" s="76" t="str">
        <f aca="false">IF($BA374&gt;$AZ$7,"",VLOOKUP($BA374,$BC$8:$BI$507,5,FALSE()))</f>
        <v/>
      </c>
      <c r="BO374" s="77" t="str">
        <f aca="false">IF($BA374&gt;$AZ$7,"",VLOOKUP($BA374,$BC$8:$BI$507,6,FALSE()))</f>
        <v/>
      </c>
      <c r="BP374" s="52"/>
    </row>
    <row r="375" customFormat="false" ht="15.75" hidden="false" customHeight="false" outlineLevel="0" collapsed="false">
      <c r="A375" s="5"/>
      <c r="B375" s="118"/>
      <c r="C375" s="54"/>
      <c r="D375" s="55"/>
      <c r="E375" s="79"/>
      <c r="F375" s="57"/>
      <c r="G375" s="58"/>
      <c r="H375" s="58"/>
      <c r="I375" s="57"/>
      <c r="J375" s="58"/>
      <c r="K375" s="58"/>
      <c r="L375" s="57"/>
      <c r="M375" s="79"/>
      <c r="N375" s="60"/>
      <c r="O375" s="62" t="str">
        <f aca="false">IF(ISBLANK($C375),"",IF(E375=Constants!$B$2, TRUE(), IF(E375=Constants!$B$3, FALSE(), TRUE())))</f>
        <v/>
      </c>
      <c r="P375" s="62" t="str">
        <f aca="false">IF(ISBLANK($C375),"",IF(F375=Constants!$B$16,Constants!$B$9,IF(F375=Constants!$B$17,Constants!$B$10,Constants!$B$8)))</f>
        <v/>
      </c>
      <c r="Q375" s="62" t="str">
        <f aca="false">IF(ISBLANK($C375),"",IF(ISNUMBER(G375),IF(G375&gt;=0,G375,""),""))</f>
        <v/>
      </c>
      <c r="R375" s="62" t="str">
        <f aca="false">IF(ISBLANK($C375),"",IF(H375=Constants!$B$2, TRUE(), IF(H375=Constants!$B$3, FALSE(), TRUE())))</f>
        <v/>
      </c>
      <c r="S375" s="62" t="str">
        <f aca="false">IF(ISBLANK($C375),"",IF(I375=Constants!$B$2, TRUE(), IF(I375=Constants!$B$3, FALSE(), TRUE())))</f>
        <v/>
      </c>
      <c r="T375" s="62" t="str">
        <f aca="false">IF(ISBLANK($C375),"",IF(ISNUMBER(J375),IF(J375&gt;=0,J375,""),""))</f>
        <v/>
      </c>
      <c r="U375" s="62" t="str">
        <f aca="false">IF(ISBLANK($C375),"",IF(K375=Constants!$B$2, TRUE(), IF(K375=Constants!$B$3, FALSE(), TRUE())))</f>
        <v/>
      </c>
      <c r="V375" s="62" t="str">
        <f aca="false">IF(ISBLANK($C375),"",IF(L375=Constants!$B$2, TRUE(), IF(L375=Constants!$B$3, FALSE(), TRUE())))</f>
        <v/>
      </c>
      <c r="W375" s="62" t="str">
        <f aca="false">IF(ISBLANK($C375),"",IF(M375=Constants!$B$2, TRUE(), IF(M375=Constants!$B$3, FALSE(), FALSE())))</f>
        <v/>
      </c>
      <c r="X375" s="62" t="str">
        <f aca="false">IF(ISBLANK($C375),"",AND(Q375&lt;&gt;"",O375))</f>
        <v/>
      </c>
      <c r="Y375" s="62" t="str">
        <f aca="false">IF(ISBLANK($C375),"",AND(T375&lt;&gt;"",O375))</f>
        <v/>
      </c>
      <c r="Z375" s="62" t="str">
        <f aca="false">IF(ISBLANK($C375),"",IF(W375,Constants!$B$4,IF(COUNTA(E375:L375)=0,Constants!$B$5,IF(NOT(O375),Constants!$B$6,IF(AND(NOT(X375),NOT(Y375)),Constants!$B$6,Constants!$B$7)))))</f>
        <v/>
      </c>
      <c r="AA375" s="62" t="str">
        <f aca="false">IF(ISBLANK($C375),"",IF($Z375&lt;&gt;Constants!$B$7,$Z375,Constants!$B$20))</f>
        <v/>
      </c>
      <c r="AB375" s="62" t="str">
        <f aca="false">IF($Z375=Constants!$B$7,IF(X375,Q375,Constants!$B$13),"")</f>
        <v/>
      </c>
      <c r="AC375" s="62" t="str">
        <f aca="false">IF($Z375=Constants!$B$7,IF(X375,P375*IF(R375, 1, Constants!$B$11)*IF(S375, 1, Constants!$B$12),Constants!$B$13),"")</f>
        <v/>
      </c>
      <c r="AD375" s="62" t="str">
        <f aca="false">IF($Z375=Constants!$B$7,AB375*AC375,"")</f>
        <v/>
      </c>
      <c r="AE375" s="62" t="str">
        <f aca="false">IF($Z375=Constants!$B$7,IF(Y375,T375,Constants!$B$13),"")</f>
        <v/>
      </c>
      <c r="AF375" s="62" t="str">
        <f aca="false">IF($Z375=Constants!$B$7,IF(Y375,P375*IF(U375, 1, Constants!$B$11)*IF(V375, 1, Constants!$B$12),Constants!$B$13),"")</f>
        <v/>
      </c>
      <c r="AG375" s="62" t="str">
        <f aca="false">IF($Z375=Constants!$B$7,AE375*AF375,"")</f>
        <v/>
      </c>
      <c r="AH375" s="62" t="str">
        <f aca="false">IF($Z375=Constants!$B$7,IF(AG375&gt;AD375,2,1),"")</f>
        <v/>
      </c>
      <c r="AI375" s="62" t="str">
        <f aca="false">IF($Z375=Constants!$B$7,IF(AH375=1,2,1),"")</f>
        <v/>
      </c>
      <c r="AJ375" s="62" t="str">
        <f aca="false">IF(ISBLANK($C375),"",IF($Z375&lt;&gt;Constants!$B$7,$Z375,IF(AH375=1,AD375,AG375)))</f>
        <v/>
      </c>
      <c r="AK375" s="62" t="str">
        <f aca="false">IF(ISBLANK($C375),"",IF($Z375=Constants!$B$7,IF(ISNUMBER(AJ375),RANK(AJ375,$AJ$8:$AJ$507),Constants!$B$14),$Z375))</f>
        <v/>
      </c>
      <c r="AL375" s="62" t="str">
        <f aca="false">IF(ISBLANK($C375),"",IF($Z375=Constants!$B$7,IF(AI375=1,AD375,AG375),""))</f>
        <v/>
      </c>
      <c r="AM375" s="62" t="str">
        <f aca="false">IF(ISBLANK($C375),"",IF($Z375=Constants!$B$7,RANK(AL375,$AL$8:$AL$507),$Z375))</f>
        <v/>
      </c>
      <c r="AN375" s="62" t="str">
        <f aca="false">IF(ISBLANK($C375),"",IF($Z375=Constants!$B$7,IF(ISNUMBER(AK375),COUNTIFS($AK$8:$AK$507,"&lt;"&amp;$AK375)+COUNTIFS($AK$8:$AK$507,$AK375,$AM$8:$AM$507,"&lt;"&amp;$AM375)+1,Constants!$B$14),$Z375))</f>
        <v/>
      </c>
      <c r="AO375" s="62" t="str">
        <f aca="false">IF(ISBLANK($C375),"",IF($Z375=Constants!$B$7,IF(ISNUMBER(AK375),AK375-AN375,Constants!$B$14),$Z375))</f>
        <v/>
      </c>
      <c r="AP375" s="64"/>
      <c r="AQ375" s="65" t="str">
        <f aca="false">IF(ISBLANK($C375),"",IF($Z375&lt;&gt;Constants!$B$7,"",AH375))</f>
        <v/>
      </c>
      <c r="AR375" s="80" t="str">
        <f aca="false">IF(ISBLANK($C375),"",IF($Z375&lt;&gt;Constants!$B$7,"",IF(AH375=1,AB375,AE375)))</f>
        <v/>
      </c>
      <c r="AS375" s="67" t="str">
        <f aca="false">IF(ISBLANK($C375),"",IF($Z375&lt;&gt;Constants!$B$7,"",IF(AH375=1,AC375,AF375)))</f>
        <v/>
      </c>
      <c r="AT375" s="68" t="str">
        <f aca="false">IF(ISBLANK($C375),"",IF($Z375&lt;&gt;Constants!$B$7,$Z375,AJ375))</f>
        <v/>
      </c>
      <c r="AU375" s="69" t="str">
        <f aca="false">IF(ISBLANK($C375),"",IF($Z375&lt;&gt;Constants!$B$7,$Z375,AA375))</f>
        <v/>
      </c>
      <c r="AV375" s="70" t="str">
        <f aca="false">IF(ISBLANK($C375),"",AO375)</f>
        <v/>
      </c>
      <c r="AW375" s="70" t="str">
        <f aca="false">IF(ISBLANK($C375),"",AN375)</f>
        <v/>
      </c>
      <c r="AX375" s="71" t="str">
        <f aca="false">IF(ISBLANK($C375),"",IFERROR(_xlfn.SWITCH(AW375,Constants!$B$4,COUNTA($C$8:$C$507)+2,Constants!$B$5,COUNTA($C$8:$C$507)+1,Constants!$B$6,COUNTA($C$8:$C$507)),AW375))</f>
        <v/>
      </c>
      <c r="AY375" s="5"/>
      <c r="AZ375" s="72" t="n">
        <f aca="false">IF(OR(ISNUMBER(AW375),AW375=Constants!$B$4,AW375=Constants!$B$6,AW375=Constants!$B$5),1,0)</f>
        <v>0</v>
      </c>
      <c r="BA375" s="72" t="n">
        <v>368</v>
      </c>
      <c r="BB375" s="72" t="str">
        <f aca="false">IF(ISBLANK($C375),"",IF(ISNUMBER(AX375),AX375+ROW($B375)/1000,""))</f>
        <v/>
      </c>
      <c r="BC375" s="72" t="str">
        <f aca="false">IF(ISNUMBER(BB375),RANK(BB375,$BB$8:$BB$507,1),"")</f>
        <v/>
      </c>
      <c r="BD375" s="72" t="str">
        <f aca="false">IF(ISBLANK($C375),"",$B375)</f>
        <v/>
      </c>
      <c r="BE375" s="72" t="str">
        <f aca="false">IF(ISBLANK($C375),"",$C375)</f>
        <v/>
      </c>
      <c r="BF375" s="72" t="str">
        <f aca="false">IF(ISBLANK($C375),"",$D375)</f>
        <v/>
      </c>
      <c r="BG375" s="73" t="str">
        <f aca="false">AU375</f>
        <v/>
      </c>
      <c r="BH375" s="74" t="str">
        <f aca="false">AT375</f>
        <v/>
      </c>
      <c r="BI375" s="72" t="str">
        <f aca="false">IF(ISBLANK($C375),"",AW375)</f>
        <v/>
      </c>
      <c r="BJ375" s="75" t="str">
        <f aca="false">IF($BA375&gt;$AZ$7,"",VLOOKUP($BA375,$BC$8:$BI$507,7,FALSE()))</f>
        <v/>
      </c>
      <c r="BK375" s="76" t="str">
        <f aca="false">IF($BA375&gt;$AZ$7,"",VLOOKUP($BA375,$BC$8:$BI$507,2,FALSE()))</f>
        <v/>
      </c>
      <c r="BL375" s="76" t="str">
        <f aca="false">IF($BA375&gt;$AZ$7,"",VLOOKUP($BA375,$BC$8:$BI$507,3,FALSE()))</f>
        <v/>
      </c>
      <c r="BM375" s="76" t="str">
        <f aca="false">IF($BA375&gt;$AZ$7,"",VLOOKUP($BA375,$BC$8:$BI$507,4,FALSE()))</f>
        <v/>
      </c>
      <c r="BN375" s="76" t="str">
        <f aca="false">IF($BA375&gt;$AZ$7,"",VLOOKUP($BA375,$BC$8:$BI$507,5,FALSE()))</f>
        <v/>
      </c>
      <c r="BO375" s="77" t="str">
        <f aca="false">IF($BA375&gt;$AZ$7,"",VLOOKUP($BA375,$BC$8:$BI$507,6,FALSE()))</f>
        <v/>
      </c>
      <c r="BP375" s="52"/>
    </row>
    <row r="376" customFormat="false" ht="15.75" hidden="false" customHeight="false" outlineLevel="0" collapsed="false">
      <c r="A376" s="5"/>
      <c r="B376" s="118"/>
      <c r="C376" s="54"/>
      <c r="D376" s="55"/>
      <c r="E376" s="79"/>
      <c r="F376" s="57"/>
      <c r="G376" s="58"/>
      <c r="H376" s="58"/>
      <c r="I376" s="57"/>
      <c r="J376" s="58"/>
      <c r="K376" s="58"/>
      <c r="L376" s="57"/>
      <c r="M376" s="79"/>
      <c r="N376" s="60"/>
      <c r="O376" s="62" t="str">
        <f aca="false">IF(ISBLANK($C376),"",IF(E376=Constants!$B$2, TRUE(), IF(E376=Constants!$B$3, FALSE(), TRUE())))</f>
        <v/>
      </c>
      <c r="P376" s="62" t="str">
        <f aca="false">IF(ISBLANK($C376),"",IF(F376=Constants!$B$16,Constants!$B$9,IF(F376=Constants!$B$17,Constants!$B$10,Constants!$B$8)))</f>
        <v/>
      </c>
      <c r="Q376" s="62" t="str">
        <f aca="false">IF(ISBLANK($C376),"",IF(ISNUMBER(G376),IF(G376&gt;=0,G376,""),""))</f>
        <v/>
      </c>
      <c r="R376" s="62" t="str">
        <f aca="false">IF(ISBLANK($C376),"",IF(H376=Constants!$B$2, TRUE(), IF(H376=Constants!$B$3, FALSE(), TRUE())))</f>
        <v/>
      </c>
      <c r="S376" s="62" t="str">
        <f aca="false">IF(ISBLANK($C376),"",IF(I376=Constants!$B$2, TRUE(), IF(I376=Constants!$B$3, FALSE(), TRUE())))</f>
        <v/>
      </c>
      <c r="T376" s="62" t="str">
        <f aca="false">IF(ISBLANK($C376),"",IF(ISNUMBER(J376),IF(J376&gt;=0,J376,""),""))</f>
        <v/>
      </c>
      <c r="U376" s="62" t="str">
        <f aca="false">IF(ISBLANK($C376),"",IF(K376=Constants!$B$2, TRUE(), IF(K376=Constants!$B$3, FALSE(), TRUE())))</f>
        <v/>
      </c>
      <c r="V376" s="62" t="str">
        <f aca="false">IF(ISBLANK($C376),"",IF(L376=Constants!$B$2, TRUE(), IF(L376=Constants!$B$3, FALSE(), TRUE())))</f>
        <v/>
      </c>
      <c r="W376" s="62" t="str">
        <f aca="false">IF(ISBLANK($C376),"",IF(M376=Constants!$B$2, TRUE(), IF(M376=Constants!$B$3, FALSE(), FALSE())))</f>
        <v/>
      </c>
      <c r="X376" s="62" t="str">
        <f aca="false">IF(ISBLANK($C376),"",AND(Q376&lt;&gt;"",O376))</f>
        <v/>
      </c>
      <c r="Y376" s="62" t="str">
        <f aca="false">IF(ISBLANK($C376),"",AND(T376&lt;&gt;"",O376))</f>
        <v/>
      </c>
      <c r="Z376" s="62" t="str">
        <f aca="false">IF(ISBLANK($C376),"",IF(W376,Constants!$B$4,IF(COUNTA(E376:L376)=0,Constants!$B$5,IF(NOT(O376),Constants!$B$6,IF(AND(NOT(X376),NOT(Y376)),Constants!$B$6,Constants!$B$7)))))</f>
        <v/>
      </c>
      <c r="AA376" s="62" t="str">
        <f aca="false">IF(ISBLANK($C376),"",IF($Z376&lt;&gt;Constants!$B$7,$Z376,Constants!$B$20))</f>
        <v/>
      </c>
      <c r="AB376" s="62" t="str">
        <f aca="false">IF($Z376=Constants!$B$7,IF(X376,Q376,Constants!$B$13),"")</f>
        <v/>
      </c>
      <c r="AC376" s="62" t="str">
        <f aca="false">IF($Z376=Constants!$B$7,IF(X376,P376*IF(R376, 1, Constants!$B$11)*IF(S376, 1, Constants!$B$12),Constants!$B$13),"")</f>
        <v/>
      </c>
      <c r="AD376" s="62" t="str">
        <f aca="false">IF($Z376=Constants!$B$7,AB376*AC376,"")</f>
        <v/>
      </c>
      <c r="AE376" s="62" t="str">
        <f aca="false">IF($Z376=Constants!$B$7,IF(Y376,T376,Constants!$B$13),"")</f>
        <v/>
      </c>
      <c r="AF376" s="62" t="str">
        <f aca="false">IF($Z376=Constants!$B$7,IF(Y376,P376*IF(U376, 1, Constants!$B$11)*IF(V376, 1, Constants!$B$12),Constants!$B$13),"")</f>
        <v/>
      </c>
      <c r="AG376" s="62" t="str">
        <f aca="false">IF($Z376=Constants!$B$7,AE376*AF376,"")</f>
        <v/>
      </c>
      <c r="AH376" s="62" t="str">
        <f aca="false">IF($Z376=Constants!$B$7,IF(AG376&gt;AD376,2,1),"")</f>
        <v/>
      </c>
      <c r="AI376" s="62" t="str">
        <f aca="false">IF($Z376=Constants!$B$7,IF(AH376=1,2,1),"")</f>
        <v/>
      </c>
      <c r="AJ376" s="62" t="str">
        <f aca="false">IF(ISBLANK($C376),"",IF($Z376&lt;&gt;Constants!$B$7,$Z376,IF(AH376=1,AD376,AG376)))</f>
        <v/>
      </c>
      <c r="AK376" s="62" t="str">
        <f aca="false">IF(ISBLANK($C376),"",IF($Z376=Constants!$B$7,IF(ISNUMBER(AJ376),RANK(AJ376,$AJ$8:$AJ$507),Constants!$B$14),$Z376))</f>
        <v/>
      </c>
      <c r="AL376" s="62" t="str">
        <f aca="false">IF(ISBLANK($C376),"",IF($Z376=Constants!$B$7,IF(AI376=1,AD376,AG376),""))</f>
        <v/>
      </c>
      <c r="AM376" s="62" t="str">
        <f aca="false">IF(ISBLANK($C376),"",IF($Z376=Constants!$B$7,RANK(AL376,$AL$8:$AL$507),$Z376))</f>
        <v/>
      </c>
      <c r="AN376" s="62" t="str">
        <f aca="false">IF(ISBLANK($C376),"",IF($Z376=Constants!$B$7,IF(ISNUMBER(AK376),COUNTIFS($AK$8:$AK$507,"&lt;"&amp;$AK376)+COUNTIFS($AK$8:$AK$507,$AK376,$AM$8:$AM$507,"&lt;"&amp;$AM376)+1,Constants!$B$14),$Z376))</f>
        <v/>
      </c>
      <c r="AO376" s="62" t="str">
        <f aca="false">IF(ISBLANK($C376),"",IF($Z376=Constants!$B$7,IF(ISNUMBER(AK376),AK376-AN376,Constants!$B$14),$Z376))</f>
        <v/>
      </c>
      <c r="AP376" s="64"/>
      <c r="AQ376" s="65" t="str">
        <f aca="false">IF(ISBLANK($C376),"",IF($Z376&lt;&gt;Constants!$B$7,"",AH376))</f>
        <v/>
      </c>
      <c r="AR376" s="80" t="str">
        <f aca="false">IF(ISBLANK($C376),"",IF($Z376&lt;&gt;Constants!$B$7,"",IF(AH376=1,AB376,AE376)))</f>
        <v/>
      </c>
      <c r="AS376" s="67" t="str">
        <f aca="false">IF(ISBLANK($C376),"",IF($Z376&lt;&gt;Constants!$B$7,"",IF(AH376=1,AC376,AF376)))</f>
        <v/>
      </c>
      <c r="AT376" s="68" t="str">
        <f aca="false">IF(ISBLANK($C376),"",IF($Z376&lt;&gt;Constants!$B$7,$Z376,AJ376))</f>
        <v/>
      </c>
      <c r="AU376" s="69" t="str">
        <f aca="false">IF(ISBLANK($C376),"",IF($Z376&lt;&gt;Constants!$B$7,$Z376,AA376))</f>
        <v/>
      </c>
      <c r="AV376" s="70" t="str">
        <f aca="false">IF(ISBLANK($C376),"",AO376)</f>
        <v/>
      </c>
      <c r="AW376" s="70" t="str">
        <f aca="false">IF(ISBLANK($C376),"",AN376)</f>
        <v/>
      </c>
      <c r="AX376" s="71" t="str">
        <f aca="false">IF(ISBLANK($C376),"",IFERROR(_xlfn.SWITCH(AW376,Constants!$B$4,COUNTA($C$8:$C$507)+2,Constants!$B$5,COUNTA($C$8:$C$507)+1,Constants!$B$6,COUNTA($C$8:$C$507)),AW376))</f>
        <v/>
      </c>
      <c r="AY376" s="5"/>
      <c r="AZ376" s="72" t="n">
        <f aca="false">IF(OR(ISNUMBER(AW376),AW376=Constants!$B$4,AW376=Constants!$B$6,AW376=Constants!$B$5),1,0)</f>
        <v>0</v>
      </c>
      <c r="BA376" s="72" t="n">
        <v>369</v>
      </c>
      <c r="BB376" s="72" t="str">
        <f aca="false">IF(ISBLANK($C376),"",IF(ISNUMBER(AX376),AX376+ROW($B376)/1000,""))</f>
        <v/>
      </c>
      <c r="BC376" s="72" t="str">
        <f aca="false">IF(ISNUMBER(BB376),RANK(BB376,$BB$8:$BB$507,1),"")</f>
        <v/>
      </c>
      <c r="BD376" s="72" t="str">
        <f aca="false">IF(ISBLANK($C376),"",$B376)</f>
        <v/>
      </c>
      <c r="BE376" s="72" t="str">
        <f aca="false">IF(ISBLANK($C376),"",$C376)</f>
        <v/>
      </c>
      <c r="BF376" s="72" t="str">
        <f aca="false">IF(ISBLANK($C376),"",$D376)</f>
        <v/>
      </c>
      <c r="BG376" s="73" t="str">
        <f aca="false">AU376</f>
        <v/>
      </c>
      <c r="BH376" s="74" t="str">
        <f aca="false">AT376</f>
        <v/>
      </c>
      <c r="BI376" s="72" t="str">
        <f aca="false">IF(ISBLANK($C376),"",AW376)</f>
        <v/>
      </c>
      <c r="BJ376" s="75" t="str">
        <f aca="false">IF($BA376&gt;$AZ$7,"",VLOOKUP($BA376,$BC$8:$BI$507,7,FALSE()))</f>
        <v/>
      </c>
      <c r="BK376" s="76" t="str">
        <f aca="false">IF($BA376&gt;$AZ$7,"",VLOOKUP($BA376,$BC$8:$BI$507,2,FALSE()))</f>
        <v/>
      </c>
      <c r="BL376" s="76" t="str">
        <f aca="false">IF($BA376&gt;$AZ$7,"",VLOOKUP($BA376,$BC$8:$BI$507,3,FALSE()))</f>
        <v/>
      </c>
      <c r="BM376" s="76" t="str">
        <f aca="false">IF($BA376&gt;$AZ$7,"",VLOOKUP($BA376,$BC$8:$BI$507,4,FALSE()))</f>
        <v/>
      </c>
      <c r="BN376" s="76" t="str">
        <f aca="false">IF($BA376&gt;$AZ$7,"",VLOOKUP($BA376,$BC$8:$BI$507,5,FALSE()))</f>
        <v/>
      </c>
      <c r="BO376" s="77" t="str">
        <f aca="false">IF($BA376&gt;$AZ$7,"",VLOOKUP($BA376,$BC$8:$BI$507,6,FALSE()))</f>
        <v/>
      </c>
      <c r="BP376" s="52"/>
    </row>
    <row r="377" customFormat="false" ht="15.75" hidden="false" customHeight="false" outlineLevel="0" collapsed="false">
      <c r="A377" s="5"/>
      <c r="B377" s="114"/>
      <c r="C377" s="115"/>
      <c r="D377" s="106"/>
      <c r="E377" s="117"/>
      <c r="F377" s="87"/>
      <c r="G377" s="88"/>
      <c r="H377" s="88"/>
      <c r="I377" s="87"/>
      <c r="J377" s="88"/>
      <c r="K377" s="88"/>
      <c r="L377" s="87"/>
      <c r="M377" s="117"/>
      <c r="N377" s="90"/>
      <c r="O377" s="91" t="str">
        <f aca="false">IF(ISBLANK($C377),"",IF(E377=Constants!$B$2, TRUE(), IF(E377=Constants!$B$3, FALSE(), TRUE())))</f>
        <v/>
      </c>
      <c r="P377" s="91" t="str">
        <f aca="false">IF(ISBLANK($C377),"",IF(F377=Constants!$B$16,Constants!$B$9,IF(F377=Constants!$B$17,Constants!$B$10,Constants!$B$8)))</f>
        <v/>
      </c>
      <c r="Q377" s="91" t="str">
        <f aca="false">IF(ISBLANK($C377),"",IF(ISNUMBER(G377),IF(G377&gt;=0,G377,""),""))</f>
        <v/>
      </c>
      <c r="R377" s="91" t="str">
        <f aca="false">IF(ISBLANK($C377),"",IF(H377=Constants!$B$2, TRUE(), IF(H377=Constants!$B$3, FALSE(), TRUE())))</f>
        <v/>
      </c>
      <c r="S377" s="91" t="str">
        <f aca="false">IF(ISBLANK($C377),"",IF(I377=Constants!$B$2, TRUE(), IF(I377=Constants!$B$3, FALSE(), TRUE())))</f>
        <v/>
      </c>
      <c r="T377" s="91" t="str">
        <f aca="false">IF(ISBLANK($C377),"",IF(ISNUMBER(J377),IF(J377&gt;=0,J377,""),""))</f>
        <v/>
      </c>
      <c r="U377" s="91" t="str">
        <f aca="false">IF(ISBLANK($C377),"",IF(K377=Constants!$B$2, TRUE(), IF(K377=Constants!$B$3, FALSE(), TRUE())))</f>
        <v/>
      </c>
      <c r="V377" s="91" t="str">
        <f aca="false">IF(ISBLANK($C377),"",IF(L377=Constants!$B$2, TRUE(), IF(L377=Constants!$B$3, FALSE(), TRUE())))</f>
        <v/>
      </c>
      <c r="W377" s="91" t="str">
        <f aca="false">IF(ISBLANK($C377),"",IF(M377=Constants!$B$2, TRUE(), IF(M377=Constants!$B$3, FALSE(), FALSE())))</f>
        <v/>
      </c>
      <c r="X377" s="91" t="str">
        <f aca="false">IF(ISBLANK($C377),"",AND(Q377&lt;&gt;"",O377))</f>
        <v/>
      </c>
      <c r="Y377" s="91" t="str">
        <f aca="false">IF(ISBLANK($C377),"",AND(T377&lt;&gt;"",O377))</f>
        <v/>
      </c>
      <c r="Z377" s="91" t="str">
        <f aca="false">IF(ISBLANK($C377),"",IF(W377,Constants!$B$4,IF(COUNTA(E377:L377)=0,Constants!$B$5,IF(NOT(O377),Constants!$B$6,IF(AND(NOT(X377),NOT(Y377)),Constants!$B$6,Constants!$B$7)))))</f>
        <v/>
      </c>
      <c r="AA377" s="91" t="str">
        <f aca="false">IF(ISBLANK($C377),"",IF($Z377&lt;&gt;Constants!$B$7,$Z377,Constants!$B$20))</f>
        <v/>
      </c>
      <c r="AB377" s="91" t="str">
        <f aca="false">IF($Z377=Constants!$B$7,IF(X377,Q377,Constants!$B$13),"")</f>
        <v/>
      </c>
      <c r="AC377" s="91" t="str">
        <f aca="false">IF($Z377=Constants!$B$7,IF(X377,P377*IF(R377, 1, Constants!$B$11)*IF(S377, 1, Constants!$B$12),Constants!$B$13),"")</f>
        <v/>
      </c>
      <c r="AD377" s="91" t="str">
        <f aca="false">IF($Z377=Constants!$B$7,AB377*AC377,"")</f>
        <v/>
      </c>
      <c r="AE377" s="91" t="str">
        <f aca="false">IF($Z377=Constants!$B$7,IF(Y377,T377,Constants!$B$13),"")</f>
        <v/>
      </c>
      <c r="AF377" s="91" t="str">
        <f aca="false">IF($Z377=Constants!$B$7,IF(Y377,P377*IF(U377, 1, Constants!$B$11)*IF(V377, 1, Constants!$B$12),Constants!$B$13),"")</f>
        <v/>
      </c>
      <c r="AG377" s="91" t="str">
        <f aca="false">IF($Z377=Constants!$B$7,AE377*AF377,"")</f>
        <v/>
      </c>
      <c r="AH377" s="91" t="str">
        <f aca="false">IF($Z377=Constants!$B$7,IF(AG377&gt;AD377,2,1),"")</f>
        <v/>
      </c>
      <c r="AI377" s="91" t="str">
        <f aca="false">IF($Z377=Constants!$B$7,IF(AH377=1,2,1),"")</f>
        <v/>
      </c>
      <c r="AJ377" s="91" t="str">
        <f aca="false">IF(ISBLANK($C377),"",IF($Z377&lt;&gt;Constants!$B$7,$Z377,IF(AH377=1,AD377,AG377)))</f>
        <v/>
      </c>
      <c r="AK377" s="91" t="str">
        <f aca="false">IF(ISBLANK($C377),"",IF($Z377=Constants!$B$7,IF(ISNUMBER(AJ377),RANK(AJ377,$AJ$8:$AJ$507),Constants!$B$14),$Z377))</f>
        <v/>
      </c>
      <c r="AL377" s="91" t="str">
        <f aca="false">IF(ISBLANK($C377),"",IF($Z377=Constants!$B$7,IF(AI377=1,AD377,AG377),""))</f>
        <v/>
      </c>
      <c r="AM377" s="91" t="str">
        <f aca="false">IF(ISBLANK($C377),"",IF($Z377=Constants!$B$7,RANK(AL377,$AL$8:$AL$507),$Z377))</f>
        <v/>
      </c>
      <c r="AN377" s="91" t="str">
        <f aca="false">IF(ISBLANK($C377),"",IF($Z377=Constants!$B$7,IF(ISNUMBER(AK377),COUNTIFS($AK$8:$AK$507,"&lt;"&amp;$AK377)+COUNTIFS($AK$8:$AK$507,$AK377,$AM$8:$AM$507,"&lt;"&amp;$AM377)+1,Constants!$B$14),$Z377))</f>
        <v/>
      </c>
      <c r="AO377" s="91" t="str">
        <f aca="false">IF(ISBLANK($C377),"",IF($Z377=Constants!$B$7,IF(ISNUMBER(AK377),AK377-AN377,Constants!$B$14),$Z377))</f>
        <v/>
      </c>
      <c r="AP377" s="92"/>
      <c r="AQ377" s="93" t="str">
        <f aca="false">IF(ISBLANK($C377),"",IF($Z377&lt;&gt;Constants!$B$7,"",AH377))</f>
        <v/>
      </c>
      <c r="AR377" s="94" t="str">
        <f aca="false">IF(ISBLANK($C377),"",IF($Z377&lt;&gt;Constants!$B$7,"",IF(AH377=1,AB377,AE377)))</f>
        <v/>
      </c>
      <c r="AS377" s="95" t="str">
        <f aca="false">IF(ISBLANK($C377),"",IF($Z377&lt;&gt;Constants!$B$7,"",IF(AH377=1,AC377,AF377)))</f>
        <v/>
      </c>
      <c r="AT377" s="96" t="str">
        <f aca="false">IF(ISBLANK($C377),"",IF($Z377&lt;&gt;Constants!$B$7,$Z377,AJ377))</f>
        <v/>
      </c>
      <c r="AU377" s="97" t="str">
        <f aca="false">IF(ISBLANK($C377),"",IF($Z377&lt;&gt;Constants!$B$7,$Z377,AA377))</f>
        <v/>
      </c>
      <c r="AV377" s="98" t="str">
        <f aca="false">IF(ISBLANK($C377),"",AO377)</f>
        <v/>
      </c>
      <c r="AW377" s="98" t="str">
        <f aca="false">IF(ISBLANK($C377),"",AN377)</f>
        <v/>
      </c>
      <c r="AX377" s="99" t="str">
        <f aca="false">IF(ISBLANK($C377),"",IFERROR(_xlfn.SWITCH(AW377,Constants!$B$4,COUNTA($C$8:$C$507)+2,Constants!$B$5,COUNTA($C$8:$C$507)+1,Constants!$B$6,COUNTA($C$8:$C$507)),AW377))</f>
        <v/>
      </c>
      <c r="AY377" s="5"/>
      <c r="AZ377" s="100" t="n">
        <f aca="false">IF(OR(ISNUMBER(AW377),AW377=Constants!$B$4,AW377=Constants!$B$6,AW377=Constants!$B$5),1,0)</f>
        <v>0</v>
      </c>
      <c r="BA377" s="100" t="n">
        <v>370</v>
      </c>
      <c r="BB377" s="100" t="str">
        <f aca="false">IF(ISBLANK($C377),"",IF(ISNUMBER(AX377),AX377+ROW($B377)/1000,""))</f>
        <v/>
      </c>
      <c r="BC377" s="100" t="str">
        <f aca="false">IF(ISNUMBER(BB377),RANK(BB377,$BB$8:$BB$507,1),"")</f>
        <v/>
      </c>
      <c r="BD377" s="100" t="str">
        <f aca="false">IF(ISBLANK($C377),"",$B377)</f>
        <v/>
      </c>
      <c r="BE377" s="100" t="str">
        <f aca="false">IF(ISBLANK($C377),"",$C377)</f>
        <v/>
      </c>
      <c r="BF377" s="100" t="str">
        <f aca="false">IF(ISBLANK($C377),"",$D377)</f>
        <v/>
      </c>
      <c r="BG377" s="101" t="str">
        <f aca="false">AU377</f>
        <v/>
      </c>
      <c r="BH377" s="102" t="str">
        <f aca="false">AT377</f>
        <v/>
      </c>
      <c r="BI377" s="100" t="str">
        <f aca="false">IF(ISBLANK($C377),"",AW377)</f>
        <v/>
      </c>
      <c r="BJ377" s="103" t="str">
        <f aca="false">IF($BA377&gt;$AZ$7,"",VLOOKUP($BA377,$BC$8:$BI$507,7,FALSE()))</f>
        <v/>
      </c>
      <c r="BK377" s="104" t="str">
        <f aca="false">IF($BA377&gt;$AZ$7,"",VLOOKUP($BA377,$BC$8:$BI$507,2,FALSE()))</f>
        <v/>
      </c>
      <c r="BL377" s="104" t="str">
        <f aca="false">IF($BA377&gt;$AZ$7,"",VLOOKUP($BA377,$BC$8:$BI$507,3,FALSE()))</f>
        <v/>
      </c>
      <c r="BM377" s="104" t="str">
        <f aca="false">IF($BA377&gt;$AZ$7,"",VLOOKUP($BA377,$BC$8:$BI$507,4,FALSE()))</f>
        <v/>
      </c>
      <c r="BN377" s="104" t="str">
        <f aca="false">IF($BA377&gt;$AZ$7,"",VLOOKUP($BA377,$BC$8:$BI$507,5,FALSE()))</f>
        <v/>
      </c>
      <c r="BO377" s="105" t="str">
        <f aca="false">IF($BA377&gt;$AZ$7,"",VLOOKUP($BA377,$BC$8:$BI$507,6,FALSE()))</f>
        <v/>
      </c>
      <c r="BP377" s="52"/>
    </row>
    <row r="378" customFormat="false" ht="15.75" hidden="false" customHeight="false" outlineLevel="0" collapsed="false">
      <c r="A378" s="5"/>
      <c r="B378" s="114"/>
      <c r="C378" s="115"/>
      <c r="D378" s="106"/>
      <c r="E378" s="117"/>
      <c r="F378" s="87"/>
      <c r="G378" s="88"/>
      <c r="H378" s="88"/>
      <c r="I378" s="87"/>
      <c r="J378" s="88"/>
      <c r="K378" s="88"/>
      <c r="L378" s="87"/>
      <c r="M378" s="117"/>
      <c r="N378" s="90"/>
      <c r="O378" s="91" t="str">
        <f aca="false">IF(ISBLANK($C378),"",IF(E378=Constants!$B$2, TRUE(), IF(E378=Constants!$B$3, FALSE(), TRUE())))</f>
        <v/>
      </c>
      <c r="P378" s="91" t="str">
        <f aca="false">IF(ISBLANK($C378),"",IF(F378=Constants!$B$16,Constants!$B$9,IF(F378=Constants!$B$17,Constants!$B$10,Constants!$B$8)))</f>
        <v/>
      </c>
      <c r="Q378" s="91" t="str">
        <f aca="false">IF(ISBLANK($C378),"",IF(ISNUMBER(G378),IF(G378&gt;=0,G378,""),""))</f>
        <v/>
      </c>
      <c r="R378" s="91" t="str">
        <f aca="false">IF(ISBLANK($C378),"",IF(H378=Constants!$B$2, TRUE(), IF(H378=Constants!$B$3, FALSE(), TRUE())))</f>
        <v/>
      </c>
      <c r="S378" s="91" t="str">
        <f aca="false">IF(ISBLANK($C378),"",IF(I378=Constants!$B$2, TRUE(), IF(I378=Constants!$B$3, FALSE(), TRUE())))</f>
        <v/>
      </c>
      <c r="T378" s="91" t="str">
        <f aca="false">IF(ISBLANK($C378),"",IF(ISNUMBER(J378),IF(J378&gt;=0,J378,""),""))</f>
        <v/>
      </c>
      <c r="U378" s="91" t="str">
        <f aca="false">IF(ISBLANK($C378),"",IF(K378=Constants!$B$2, TRUE(), IF(K378=Constants!$B$3, FALSE(), TRUE())))</f>
        <v/>
      </c>
      <c r="V378" s="91" t="str">
        <f aca="false">IF(ISBLANK($C378),"",IF(L378=Constants!$B$2, TRUE(), IF(L378=Constants!$B$3, FALSE(), TRUE())))</f>
        <v/>
      </c>
      <c r="W378" s="91" t="str">
        <f aca="false">IF(ISBLANK($C378),"",IF(M378=Constants!$B$2, TRUE(), IF(M378=Constants!$B$3, FALSE(), FALSE())))</f>
        <v/>
      </c>
      <c r="X378" s="91" t="str">
        <f aca="false">IF(ISBLANK($C378),"",AND(Q378&lt;&gt;"",O378))</f>
        <v/>
      </c>
      <c r="Y378" s="91" t="str">
        <f aca="false">IF(ISBLANK($C378),"",AND(T378&lt;&gt;"",O378))</f>
        <v/>
      </c>
      <c r="Z378" s="91" t="str">
        <f aca="false">IF(ISBLANK($C378),"",IF(W378,Constants!$B$4,IF(COUNTA(E378:L378)=0,Constants!$B$5,IF(NOT(O378),Constants!$B$6,IF(AND(NOT(X378),NOT(Y378)),Constants!$B$6,Constants!$B$7)))))</f>
        <v/>
      </c>
      <c r="AA378" s="91" t="str">
        <f aca="false">IF(ISBLANK($C378),"",IF($Z378&lt;&gt;Constants!$B$7,$Z378,Constants!$B$20))</f>
        <v/>
      </c>
      <c r="AB378" s="91" t="str">
        <f aca="false">IF($Z378=Constants!$B$7,IF(X378,Q378,Constants!$B$13),"")</f>
        <v/>
      </c>
      <c r="AC378" s="91" t="str">
        <f aca="false">IF($Z378=Constants!$B$7,IF(X378,P378*IF(R378, 1, Constants!$B$11)*IF(S378, 1, Constants!$B$12),Constants!$B$13),"")</f>
        <v/>
      </c>
      <c r="AD378" s="91" t="str">
        <f aca="false">IF($Z378=Constants!$B$7,AB378*AC378,"")</f>
        <v/>
      </c>
      <c r="AE378" s="91" t="str">
        <f aca="false">IF($Z378=Constants!$B$7,IF(Y378,T378,Constants!$B$13),"")</f>
        <v/>
      </c>
      <c r="AF378" s="91" t="str">
        <f aca="false">IF($Z378=Constants!$B$7,IF(Y378,P378*IF(U378, 1, Constants!$B$11)*IF(V378, 1, Constants!$B$12),Constants!$B$13),"")</f>
        <v/>
      </c>
      <c r="AG378" s="91" t="str">
        <f aca="false">IF($Z378=Constants!$B$7,AE378*AF378,"")</f>
        <v/>
      </c>
      <c r="AH378" s="91" t="str">
        <f aca="false">IF($Z378=Constants!$B$7,IF(AG378&gt;AD378,2,1),"")</f>
        <v/>
      </c>
      <c r="AI378" s="91" t="str">
        <f aca="false">IF($Z378=Constants!$B$7,IF(AH378=1,2,1),"")</f>
        <v/>
      </c>
      <c r="AJ378" s="91" t="str">
        <f aca="false">IF(ISBLANK($C378),"",IF($Z378&lt;&gt;Constants!$B$7,$Z378,IF(AH378=1,AD378,AG378)))</f>
        <v/>
      </c>
      <c r="AK378" s="91" t="str">
        <f aca="false">IF(ISBLANK($C378),"",IF($Z378=Constants!$B$7,IF(ISNUMBER(AJ378),RANK(AJ378,$AJ$8:$AJ$507),Constants!$B$14),$Z378))</f>
        <v/>
      </c>
      <c r="AL378" s="91" t="str">
        <f aca="false">IF(ISBLANK($C378),"",IF($Z378=Constants!$B$7,IF(AI378=1,AD378,AG378),""))</f>
        <v/>
      </c>
      <c r="AM378" s="91" t="str">
        <f aca="false">IF(ISBLANK($C378),"",IF($Z378=Constants!$B$7,RANK(AL378,$AL$8:$AL$507),$Z378))</f>
        <v/>
      </c>
      <c r="AN378" s="91" t="str">
        <f aca="false">IF(ISBLANK($C378),"",IF($Z378=Constants!$B$7,IF(ISNUMBER(AK378),COUNTIFS($AK$8:$AK$507,"&lt;"&amp;$AK378)+COUNTIFS($AK$8:$AK$507,$AK378,$AM$8:$AM$507,"&lt;"&amp;$AM378)+1,Constants!$B$14),$Z378))</f>
        <v/>
      </c>
      <c r="AO378" s="91" t="str">
        <f aca="false">IF(ISBLANK($C378),"",IF($Z378=Constants!$B$7,IF(ISNUMBER(AK378),AK378-AN378,Constants!$B$14),$Z378))</f>
        <v/>
      </c>
      <c r="AP378" s="92"/>
      <c r="AQ378" s="93" t="str">
        <f aca="false">IF(ISBLANK($C378),"",IF($Z378&lt;&gt;Constants!$B$7,"",AH378))</f>
        <v/>
      </c>
      <c r="AR378" s="94" t="str">
        <f aca="false">IF(ISBLANK($C378),"",IF($Z378&lt;&gt;Constants!$B$7,"",IF(AH378=1,AB378,AE378)))</f>
        <v/>
      </c>
      <c r="AS378" s="95" t="str">
        <f aca="false">IF(ISBLANK($C378),"",IF($Z378&lt;&gt;Constants!$B$7,"",IF(AH378=1,AC378,AF378)))</f>
        <v/>
      </c>
      <c r="AT378" s="96" t="str">
        <f aca="false">IF(ISBLANK($C378),"",IF($Z378&lt;&gt;Constants!$B$7,$Z378,AJ378))</f>
        <v/>
      </c>
      <c r="AU378" s="97" t="str">
        <f aca="false">IF(ISBLANK($C378),"",IF($Z378&lt;&gt;Constants!$B$7,$Z378,AA378))</f>
        <v/>
      </c>
      <c r="AV378" s="98" t="str">
        <f aca="false">IF(ISBLANK($C378),"",AO378)</f>
        <v/>
      </c>
      <c r="AW378" s="98" t="str">
        <f aca="false">IF(ISBLANK($C378),"",AN378)</f>
        <v/>
      </c>
      <c r="AX378" s="99" t="str">
        <f aca="false">IF(ISBLANK($C378),"",IFERROR(_xlfn.SWITCH(AW378,Constants!$B$4,COUNTA($C$8:$C$507)+2,Constants!$B$5,COUNTA($C$8:$C$507)+1,Constants!$B$6,COUNTA($C$8:$C$507)),AW378))</f>
        <v/>
      </c>
      <c r="AY378" s="5"/>
      <c r="AZ378" s="100" t="n">
        <f aca="false">IF(OR(ISNUMBER(AW378),AW378=Constants!$B$4,AW378=Constants!$B$6,AW378=Constants!$B$5),1,0)</f>
        <v>0</v>
      </c>
      <c r="BA378" s="100" t="n">
        <v>371</v>
      </c>
      <c r="BB378" s="100" t="str">
        <f aca="false">IF(ISBLANK($C378),"",IF(ISNUMBER(AX378),AX378+ROW($B378)/1000,""))</f>
        <v/>
      </c>
      <c r="BC378" s="100" t="str">
        <f aca="false">IF(ISNUMBER(BB378),RANK(BB378,$BB$8:$BB$507,1),"")</f>
        <v/>
      </c>
      <c r="BD378" s="100" t="str">
        <f aca="false">IF(ISBLANK($C378),"",$B378)</f>
        <v/>
      </c>
      <c r="BE378" s="100" t="str">
        <f aca="false">IF(ISBLANK($C378),"",$C378)</f>
        <v/>
      </c>
      <c r="BF378" s="100" t="str">
        <f aca="false">IF(ISBLANK($C378),"",$D378)</f>
        <v/>
      </c>
      <c r="BG378" s="101" t="str">
        <f aca="false">AU378</f>
        <v/>
      </c>
      <c r="BH378" s="102" t="str">
        <f aca="false">AT378</f>
        <v/>
      </c>
      <c r="BI378" s="100" t="str">
        <f aca="false">IF(ISBLANK($C378),"",AW378)</f>
        <v/>
      </c>
      <c r="BJ378" s="103" t="str">
        <f aca="false">IF($BA378&gt;$AZ$7,"",VLOOKUP($BA378,$BC$8:$BI$507,7,FALSE()))</f>
        <v/>
      </c>
      <c r="BK378" s="104" t="str">
        <f aca="false">IF($BA378&gt;$AZ$7,"",VLOOKUP($BA378,$BC$8:$BI$507,2,FALSE()))</f>
        <v/>
      </c>
      <c r="BL378" s="104" t="str">
        <f aca="false">IF($BA378&gt;$AZ$7,"",VLOOKUP($BA378,$BC$8:$BI$507,3,FALSE()))</f>
        <v/>
      </c>
      <c r="BM378" s="104" t="str">
        <f aca="false">IF($BA378&gt;$AZ$7,"",VLOOKUP($BA378,$BC$8:$BI$507,4,FALSE()))</f>
        <v/>
      </c>
      <c r="BN378" s="104" t="str">
        <f aca="false">IF($BA378&gt;$AZ$7,"",VLOOKUP($BA378,$BC$8:$BI$507,5,FALSE()))</f>
        <v/>
      </c>
      <c r="BO378" s="105" t="str">
        <f aca="false">IF($BA378&gt;$AZ$7,"",VLOOKUP($BA378,$BC$8:$BI$507,6,FALSE()))</f>
        <v/>
      </c>
      <c r="BP378" s="52"/>
    </row>
    <row r="379" customFormat="false" ht="15.75" hidden="false" customHeight="false" outlineLevel="0" collapsed="false">
      <c r="A379" s="5"/>
      <c r="B379" s="114"/>
      <c r="C379" s="115"/>
      <c r="D379" s="106"/>
      <c r="E379" s="117"/>
      <c r="F379" s="87"/>
      <c r="G379" s="88"/>
      <c r="H379" s="88"/>
      <c r="I379" s="87"/>
      <c r="J379" s="88"/>
      <c r="K379" s="88"/>
      <c r="L379" s="87"/>
      <c r="M379" s="117"/>
      <c r="N379" s="90"/>
      <c r="O379" s="91" t="str">
        <f aca="false">IF(ISBLANK($C379),"",IF(E379=Constants!$B$2, TRUE(), IF(E379=Constants!$B$3, FALSE(), TRUE())))</f>
        <v/>
      </c>
      <c r="P379" s="91" t="str">
        <f aca="false">IF(ISBLANK($C379),"",IF(F379=Constants!$B$16,Constants!$B$9,IF(F379=Constants!$B$17,Constants!$B$10,Constants!$B$8)))</f>
        <v/>
      </c>
      <c r="Q379" s="91" t="str">
        <f aca="false">IF(ISBLANK($C379),"",IF(ISNUMBER(G379),IF(G379&gt;=0,G379,""),""))</f>
        <v/>
      </c>
      <c r="R379" s="91" t="str">
        <f aca="false">IF(ISBLANK($C379),"",IF(H379=Constants!$B$2, TRUE(), IF(H379=Constants!$B$3, FALSE(), TRUE())))</f>
        <v/>
      </c>
      <c r="S379" s="91" t="str">
        <f aca="false">IF(ISBLANK($C379),"",IF(I379=Constants!$B$2, TRUE(), IF(I379=Constants!$B$3, FALSE(), TRUE())))</f>
        <v/>
      </c>
      <c r="T379" s="91" t="str">
        <f aca="false">IF(ISBLANK($C379),"",IF(ISNUMBER(J379),IF(J379&gt;=0,J379,""),""))</f>
        <v/>
      </c>
      <c r="U379" s="91" t="str">
        <f aca="false">IF(ISBLANK($C379),"",IF(K379=Constants!$B$2, TRUE(), IF(K379=Constants!$B$3, FALSE(), TRUE())))</f>
        <v/>
      </c>
      <c r="V379" s="91" t="str">
        <f aca="false">IF(ISBLANK($C379),"",IF(L379=Constants!$B$2, TRUE(), IF(L379=Constants!$B$3, FALSE(), TRUE())))</f>
        <v/>
      </c>
      <c r="W379" s="91" t="str">
        <f aca="false">IF(ISBLANK($C379),"",IF(M379=Constants!$B$2, TRUE(), IF(M379=Constants!$B$3, FALSE(), FALSE())))</f>
        <v/>
      </c>
      <c r="X379" s="91" t="str">
        <f aca="false">IF(ISBLANK($C379),"",AND(Q379&lt;&gt;"",O379))</f>
        <v/>
      </c>
      <c r="Y379" s="91" t="str">
        <f aca="false">IF(ISBLANK($C379),"",AND(T379&lt;&gt;"",O379))</f>
        <v/>
      </c>
      <c r="Z379" s="91" t="str">
        <f aca="false">IF(ISBLANK($C379),"",IF(W379,Constants!$B$4,IF(COUNTA(E379:L379)=0,Constants!$B$5,IF(NOT(O379),Constants!$B$6,IF(AND(NOT(X379),NOT(Y379)),Constants!$B$6,Constants!$B$7)))))</f>
        <v/>
      </c>
      <c r="AA379" s="91" t="str">
        <f aca="false">IF(ISBLANK($C379),"",IF($Z379&lt;&gt;Constants!$B$7,$Z379,Constants!$B$20))</f>
        <v/>
      </c>
      <c r="AB379" s="91" t="str">
        <f aca="false">IF($Z379=Constants!$B$7,IF(X379,Q379,Constants!$B$13),"")</f>
        <v/>
      </c>
      <c r="AC379" s="91" t="str">
        <f aca="false">IF($Z379=Constants!$B$7,IF(X379,P379*IF(R379, 1, Constants!$B$11)*IF(S379, 1, Constants!$B$12),Constants!$B$13),"")</f>
        <v/>
      </c>
      <c r="AD379" s="91" t="str">
        <f aca="false">IF($Z379=Constants!$B$7,AB379*AC379,"")</f>
        <v/>
      </c>
      <c r="AE379" s="91" t="str">
        <f aca="false">IF($Z379=Constants!$B$7,IF(Y379,T379,Constants!$B$13),"")</f>
        <v/>
      </c>
      <c r="AF379" s="91" t="str">
        <f aca="false">IF($Z379=Constants!$B$7,IF(Y379,P379*IF(U379, 1, Constants!$B$11)*IF(V379, 1, Constants!$B$12),Constants!$B$13),"")</f>
        <v/>
      </c>
      <c r="AG379" s="91" t="str">
        <f aca="false">IF($Z379=Constants!$B$7,AE379*AF379,"")</f>
        <v/>
      </c>
      <c r="AH379" s="91" t="str">
        <f aca="false">IF($Z379=Constants!$B$7,IF(AG379&gt;AD379,2,1),"")</f>
        <v/>
      </c>
      <c r="AI379" s="91" t="str">
        <f aca="false">IF($Z379=Constants!$B$7,IF(AH379=1,2,1),"")</f>
        <v/>
      </c>
      <c r="AJ379" s="91" t="str">
        <f aca="false">IF(ISBLANK($C379),"",IF($Z379&lt;&gt;Constants!$B$7,$Z379,IF(AH379=1,AD379,AG379)))</f>
        <v/>
      </c>
      <c r="AK379" s="91" t="str">
        <f aca="false">IF(ISBLANK($C379),"",IF($Z379=Constants!$B$7,IF(ISNUMBER(AJ379),RANK(AJ379,$AJ$8:$AJ$507),Constants!$B$14),$Z379))</f>
        <v/>
      </c>
      <c r="AL379" s="91" t="str">
        <f aca="false">IF(ISBLANK($C379),"",IF($Z379=Constants!$B$7,IF(AI379=1,AD379,AG379),""))</f>
        <v/>
      </c>
      <c r="AM379" s="91" t="str">
        <f aca="false">IF(ISBLANK($C379),"",IF($Z379=Constants!$B$7,RANK(AL379,$AL$8:$AL$507),$Z379))</f>
        <v/>
      </c>
      <c r="AN379" s="91" t="str">
        <f aca="false">IF(ISBLANK($C379),"",IF($Z379=Constants!$B$7,IF(ISNUMBER(AK379),COUNTIFS($AK$8:$AK$507,"&lt;"&amp;$AK379)+COUNTIFS($AK$8:$AK$507,$AK379,$AM$8:$AM$507,"&lt;"&amp;$AM379)+1,Constants!$B$14),$Z379))</f>
        <v/>
      </c>
      <c r="AO379" s="91" t="str">
        <f aca="false">IF(ISBLANK($C379),"",IF($Z379=Constants!$B$7,IF(ISNUMBER(AK379),AK379-AN379,Constants!$B$14),$Z379))</f>
        <v/>
      </c>
      <c r="AP379" s="92"/>
      <c r="AQ379" s="93" t="str">
        <f aca="false">IF(ISBLANK($C379),"",IF($Z379&lt;&gt;Constants!$B$7,"",AH379))</f>
        <v/>
      </c>
      <c r="AR379" s="94" t="str">
        <f aca="false">IF(ISBLANK($C379),"",IF($Z379&lt;&gt;Constants!$B$7,"",IF(AH379=1,AB379,AE379)))</f>
        <v/>
      </c>
      <c r="AS379" s="95" t="str">
        <f aca="false">IF(ISBLANK($C379),"",IF($Z379&lt;&gt;Constants!$B$7,"",IF(AH379=1,AC379,AF379)))</f>
        <v/>
      </c>
      <c r="AT379" s="96" t="str">
        <f aca="false">IF(ISBLANK($C379),"",IF($Z379&lt;&gt;Constants!$B$7,$Z379,AJ379))</f>
        <v/>
      </c>
      <c r="AU379" s="97" t="str">
        <f aca="false">IF(ISBLANK($C379),"",IF($Z379&lt;&gt;Constants!$B$7,$Z379,AA379))</f>
        <v/>
      </c>
      <c r="AV379" s="98" t="str">
        <f aca="false">IF(ISBLANK($C379),"",AO379)</f>
        <v/>
      </c>
      <c r="AW379" s="98" t="str">
        <f aca="false">IF(ISBLANK($C379),"",AN379)</f>
        <v/>
      </c>
      <c r="AX379" s="99" t="str">
        <f aca="false">IF(ISBLANK($C379),"",IFERROR(_xlfn.SWITCH(AW379,Constants!$B$4,COUNTA($C$8:$C$507)+2,Constants!$B$5,COUNTA($C$8:$C$507)+1,Constants!$B$6,COUNTA($C$8:$C$507)),AW379))</f>
        <v/>
      </c>
      <c r="AY379" s="5"/>
      <c r="AZ379" s="100" t="n">
        <f aca="false">IF(OR(ISNUMBER(AW379),AW379=Constants!$B$4,AW379=Constants!$B$6,AW379=Constants!$B$5),1,0)</f>
        <v>0</v>
      </c>
      <c r="BA379" s="100" t="n">
        <v>372</v>
      </c>
      <c r="BB379" s="100" t="str">
        <f aca="false">IF(ISBLANK($C379),"",IF(ISNUMBER(AX379),AX379+ROW($B379)/1000,""))</f>
        <v/>
      </c>
      <c r="BC379" s="100" t="str">
        <f aca="false">IF(ISNUMBER(BB379),RANK(BB379,$BB$8:$BB$507,1),"")</f>
        <v/>
      </c>
      <c r="BD379" s="100" t="str">
        <f aca="false">IF(ISBLANK($C379),"",$B379)</f>
        <v/>
      </c>
      <c r="BE379" s="100" t="str">
        <f aca="false">IF(ISBLANK($C379),"",$C379)</f>
        <v/>
      </c>
      <c r="BF379" s="100" t="str">
        <f aca="false">IF(ISBLANK($C379),"",$D379)</f>
        <v/>
      </c>
      <c r="BG379" s="101" t="str">
        <f aca="false">AU379</f>
        <v/>
      </c>
      <c r="BH379" s="102" t="str">
        <f aca="false">AT379</f>
        <v/>
      </c>
      <c r="BI379" s="100" t="str">
        <f aca="false">IF(ISBLANK($C379),"",AW379)</f>
        <v/>
      </c>
      <c r="BJ379" s="103" t="str">
        <f aca="false">IF($BA379&gt;$AZ$7,"",VLOOKUP($BA379,$BC$8:$BI$507,7,FALSE()))</f>
        <v/>
      </c>
      <c r="BK379" s="104" t="str">
        <f aca="false">IF($BA379&gt;$AZ$7,"",VLOOKUP($BA379,$BC$8:$BI$507,2,FALSE()))</f>
        <v/>
      </c>
      <c r="BL379" s="104" t="str">
        <f aca="false">IF($BA379&gt;$AZ$7,"",VLOOKUP($BA379,$BC$8:$BI$507,3,FALSE()))</f>
        <v/>
      </c>
      <c r="BM379" s="104" t="str">
        <f aca="false">IF($BA379&gt;$AZ$7,"",VLOOKUP($BA379,$BC$8:$BI$507,4,FALSE()))</f>
        <v/>
      </c>
      <c r="BN379" s="104" t="str">
        <f aca="false">IF($BA379&gt;$AZ$7,"",VLOOKUP($BA379,$BC$8:$BI$507,5,FALSE()))</f>
        <v/>
      </c>
      <c r="BO379" s="105" t="str">
        <f aca="false">IF($BA379&gt;$AZ$7,"",VLOOKUP($BA379,$BC$8:$BI$507,6,FALSE()))</f>
        <v/>
      </c>
      <c r="BP379" s="52"/>
    </row>
    <row r="380" customFormat="false" ht="15.75" hidden="false" customHeight="false" outlineLevel="0" collapsed="false">
      <c r="A380" s="5"/>
      <c r="B380" s="118"/>
      <c r="C380" s="54"/>
      <c r="D380" s="55"/>
      <c r="E380" s="79"/>
      <c r="F380" s="57"/>
      <c r="G380" s="58"/>
      <c r="H380" s="58"/>
      <c r="I380" s="57"/>
      <c r="J380" s="58"/>
      <c r="K380" s="58"/>
      <c r="L380" s="57"/>
      <c r="M380" s="79"/>
      <c r="N380" s="60"/>
      <c r="O380" s="62" t="str">
        <f aca="false">IF(ISBLANK($C380),"",IF(E380=Constants!$B$2, TRUE(), IF(E380=Constants!$B$3, FALSE(), TRUE())))</f>
        <v/>
      </c>
      <c r="P380" s="62" t="str">
        <f aca="false">IF(ISBLANK($C380),"",IF(F380=Constants!$B$16,Constants!$B$9,IF(F380=Constants!$B$17,Constants!$B$10,Constants!$B$8)))</f>
        <v/>
      </c>
      <c r="Q380" s="62" t="str">
        <f aca="false">IF(ISBLANK($C380),"",IF(ISNUMBER(G380),IF(G380&gt;=0,G380,""),""))</f>
        <v/>
      </c>
      <c r="R380" s="62" t="str">
        <f aca="false">IF(ISBLANK($C380),"",IF(H380=Constants!$B$2, TRUE(), IF(H380=Constants!$B$3, FALSE(), TRUE())))</f>
        <v/>
      </c>
      <c r="S380" s="62" t="str">
        <f aca="false">IF(ISBLANK($C380),"",IF(I380=Constants!$B$2, TRUE(), IF(I380=Constants!$B$3, FALSE(), TRUE())))</f>
        <v/>
      </c>
      <c r="T380" s="62" t="str">
        <f aca="false">IF(ISBLANK($C380),"",IF(ISNUMBER(J380),IF(J380&gt;=0,J380,""),""))</f>
        <v/>
      </c>
      <c r="U380" s="62" t="str">
        <f aca="false">IF(ISBLANK($C380),"",IF(K380=Constants!$B$2, TRUE(), IF(K380=Constants!$B$3, FALSE(), TRUE())))</f>
        <v/>
      </c>
      <c r="V380" s="62" t="str">
        <f aca="false">IF(ISBLANK($C380),"",IF(L380=Constants!$B$2, TRUE(), IF(L380=Constants!$B$3, FALSE(), TRUE())))</f>
        <v/>
      </c>
      <c r="W380" s="62" t="str">
        <f aca="false">IF(ISBLANK($C380),"",IF(M380=Constants!$B$2, TRUE(), IF(M380=Constants!$B$3, FALSE(), FALSE())))</f>
        <v/>
      </c>
      <c r="X380" s="62" t="str">
        <f aca="false">IF(ISBLANK($C380),"",AND(Q380&lt;&gt;"",O380))</f>
        <v/>
      </c>
      <c r="Y380" s="62" t="str">
        <f aca="false">IF(ISBLANK($C380),"",AND(T380&lt;&gt;"",O380))</f>
        <v/>
      </c>
      <c r="Z380" s="62" t="str">
        <f aca="false">IF(ISBLANK($C380),"",IF(W380,Constants!$B$4,IF(COUNTA(E380:L380)=0,Constants!$B$5,IF(NOT(O380),Constants!$B$6,IF(AND(NOT(X380),NOT(Y380)),Constants!$B$6,Constants!$B$7)))))</f>
        <v/>
      </c>
      <c r="AA380" s="62" t="str">
        <f aca="false">IF(ISBLANK($C380),"",IF($Z380&lt;&gt;Constants!$B$7,$Z380,Constants!$B$20))</f>
        <v/>
      </c>
      <c r="AB380" s="62" t="str">
        <f aca="false">IF($Z380=Constants!$B$7,IF(X380,Q380,Constants!$B$13),"")</f>
        <v/>
      </c>
      <c r="AC380" s="62" t="str">
        <f aca="false">IF($Z380=Constants!$B$7,IF(X380,P380*IF(R380, 1, Constants!$B$11)*IF(S380, 1, Constants!$B$12),Constants!$B$13),"")</f>
        <v/>
      </c>
      <c r="AD380" s="62" t="str">
        <f aca="false">IF($Z380=Constants!$B$7,AB380*AC380,"")</f>
        <v/>
      </c>
      <c r="AE380" s="62" t="str">
        <f aca="false">IF($Z380=Constants!$B$7,IF(Y380,T380,Constants!$B$13),"")</f>
        <v/>
      </c>
      <c r="AF380" s="62" t="str">
        <f aca="false">IF($Z380=Constants!$B$7,IF(Y380,P380*IF(U380, 1, Constants!$B$11)*IF(V380, 1, Constants!$B$12),Constants!$B$13),"")</f>
        <v/>
      </c>
      <c r="AG380" s="62" t="str">
        <f aca="false">IF($Z380=Constants!$B$7,AE380*AF380,"")</f>
        <v/>
      </c>
      <c r="AH380" s="62" t="str">
        <f aca="false">IF($Z380=Constants!$B$7,IF(AG380&gt;AD380,2,1),"")</f>
        <v/>
      </c>
      <c r="AI380" s="62" t="str">
        <f aca="false">IF($Z380=Constants!$B$7,IF(AH380=1,2,1),"")</f>
        <v/>
      </c>
      <c r="AJ380" s="62" t="str">
        <f aca="false">IF(ISBLANK($C380),"",IF($Z380&lt;&gt;Constants!$B$7,$Z380,IF(AH380=1,AD380,AG380)))</f>
        <v/>
      </c>
      <c r="AK380" s="62" t="str">
        <f aca="false">IF(ISBLANK($C380),"",IF($Z380=Constants!$B$7,IF(ISNUMBER(AJ380),RANK(AJ380,$AJ$8:$AJ$507),Constants!$B$14),$Z380))</f>
        <v/>
      </c>
      <c r="AL380" s="62" t="str">
        <f aca="false">IF(ISBLANK($C380),"",IF($Z380=Constants!$B$7,IF(AI380=1,AD380,AG380),""))</f>
        <v/>
      </c>
      <c r="AM380" s="62" t="str">
        <f aca="false">IF(ISBLANK($C380),"",IF($Z380=Constants!$B$7,RANK(AL380,$AL$8:$AL$507),$Z380))</f>
        <v/>
      </c>
      <c r="AN380" s="62" t="str">
        <f aca="false">IF(ISBLANK($C380),"",IF($Z380=Constants!$B$7,IF(ISNUMBER(AK380),COUNTIFS($AK$8:$AK$507,"&lt;"&amp;$AK380)+COUNTIFS($AK$8:$AK$507,$AK380,$AM$8:$AM$507,"&lt;"&amp;$AM380)+1,Constants!$B$14),$Z380))</f>
        <v/>
      </c>
      <c r="AO380" s="62" t="str">
        <f aca="false">IF(ISBLANK($C380),"",IF($Z380=Constants!$B$7,IF(ISNUMBER(AK380),AK380-AN380,Constants!$B$14),$Z380))</f>
        <v/>
      </c>
      <c r="AP380" s="64"/>
      <c r="AQ380" s="65" t="str">
        <f aca="false">IF(ISBLANK($C380),"",IF($Z380&lt;&gt;Constants!$B$7,"",AH380))</f>
        <v/>
      </c>
      <c r="AR380" s="80" t="str">
        <f aca="false">IF(ISBLANK($C380),"",IF($Z380&lt;&gt;Constants!$B$7,"",IF(AH380=1,AB380,AE380)))</f>
        <v/>
      </c>
      <c r="AS380" s="67" t="str">
        <f aca="false">IF(ISBLANK($C380),"",IF($Z380&lt;&gt;Constants!$B$7,"",IF(AH380=1,AC380,AF380)))</f>
        <v/>
      </c>
      <c r="AT380" s="68" t="str">
        <f aca="false">IF(ISBLANK($C380),"",IF($Z380&lt;&gt;Constants!$B$7,$Z380,AJ380))</f>
        <v/>
      </c>
      <c r="AU380" s="69" t="str">
        <f aca="false">IF(ISBLANK($C380),"",IF($Z380&lt;&gt;Constants!$B$7,$Z380,AA380))</f>
        <v/>
      </c>
      <c r="AV380" s="70" t="str">
        <f aca="false">IF(ISBLANK($C380),"",AO380)</f>
        <v/>
      </c>
      <c r="AW380" s="70" t="str">
        <f aca="false">IF(ISBLANK($C380),"",AN380)</f>
        <v/>
      </c>
      <c r="AX380" s="71" t="str">
        <f aca="false">IF(ISBLANK($C380),"",IFERROR(_xlfn.SWITCH(AW380,Constants!$B$4,COUNTA($C$8:$C$507)+2,Constants!$B$5,COUNTA($C$8:$C$507)+1,Constants!$B$6,COUNTA($C$8:$C$507)),AW380))</f>
        <v/>
      </c>
      <c r="AY380" s="5"/>
      <c r="AZ380" s="72" t="n">
        <f aca="false">IF(OR(ISNUMBER(AW380),AW380=Constants!$B$4,AW380=Constants!$B$6,AW380=Constants!$B$5),1,0)</f>
        <v>0</v>
      </c>
      <c r="BA380" s="72" t="n">
        <v>373</v>
      </c>
      <c r="BB380" s="72" t="str">
        <f aca="false">IF(ISBLANK($C380),"",IF(ISNUMBER(AX380),AX380+ROW($B380)/1000,""))</f>
        <v/>
      </c>
      <c r="BC380" s="72" t="str">
        <f aca="false">IF(ISNUMBER(BB380),RANK(BB380,$BB$8:$BB$507,1),"")</f>
        <v/>
      </c>
      <c r="BD380" s="72" t="str">
        <f aca="false">IF(ISBLANK($C380),"",$B380)</f>
        <v/>
      </c>
      <c r="BE380" s="72" t="str">
        <f aca="false">IF(ISBLANK($C380),"",$C380)</f>
        <v/>
      </c>
      <c r="BF380" s="72" t="str">
        <f aca="false">IF(ISBLANK($C380),"",$D380)</f>
        <v/>
      </c>
      <c r="BG380" s="73" t="str">
        <f aca="false">AU380</f>
        <v/>
      </c>
      <c r="BH380" s="74" t="str">
        <f aca="false">AT380</f>
        <v/>
      </c>
      <c r="BI380" s="72" t="str">
        <f aca="false">IF(ISBLANK($C380),"",AW380)</f>
        <v/>
      </c>
      <c r="BJ380" s="75" t="str">
        <f aca="false">IF($BA380&gt;$AZ$7,"",VLOOKUP($BA380,$BC$8:$BI$507,7,FALSE()))</f>
        <v/>
      </c>
      <c r="BK380" s="76" t="str">
        <f aca="false">IF($BA380&gt;$AZ$7,"",VLOOKUP($BA380,$BC$8:$BI$507,2,FALSE()))</f>
        <v/>
      </c>
      <c r="BL380" s="76" t="str">
        <f aca="false">IF($BA380&gt;$AZ$7,"",VLOOKUP($BA380,$BC$8:$BI$507,3,FALSE()))</f>
        <v/>
      </c>
      <c r="BM380" s="76" t="str">
        <f aca="false">IF($BA380&gt;$AZ$7,"",VLOOKUP($BA380,$BC$8:$BI$507,4,FALSE()))</f>
        <v/>
      </c>
      <c r="BN380" s="76" t="str">
        <f aca="false">IF($BA380&gt;$AZ$7,"",VLOOKUP($BA380,$BC$8:$BI$507,5,FALSE()))</f>
        <v/>
      </c>
      <c r="BO380" s="77" t="str">
        <f aca="false">IF($BA380&gt;$AZ$7,"",VLOOKUP($BA380,$BC$8:$BI$507,6,FALSE()))</f>
        <v/>
      </c>
      <c r="BP380" s="52"/>
    </row>
    <row r="381" customFormat="false" ht="15.75" hidden="false" customHeight="false" outlineLevel="0" collapsed="false">
      <c r="A381" s="5"/>
      <c r="B381" s="118"/>
      <c r="C381" s="54"/>
      <c r="D381" s="55"/>
      <c r="E381" s="79"/>
      <c r="F381" s="57"/>
      <c r="G381" s="58"/>
      <c r="H381" s="58"/>
      <c r="I381" s="57"/>
      <c r="J381" s="58"/>
      <c r="K381" s="58"/>
      <c r="L381" s="57"/>
      <c r="M381" s="79"/>
      <c r="N381" s="60"/>
      <c r="O381" s="62" t="str">
        <f aca="false">IF(ISBLANK($C381),"",IF(E381=Constants!$B$2, TRUE(), IF(E381=Constants!$B$3, FALSE(), TRUE())))</f>
        <v/>
      </c>
      <c r="P381" s="62" t="str">
        <f aca="false">IF(ISBLANK($C381),"",IF(F381=Constants!$B$16,Constants!$B$9,IF(F381=Constants!$B$17,Constants!$B$10,Constants!$B$8)))</f>
        <v/>
      </c>
      <c r="Q381" s="62" t="str">
        <f aca="false">IF(ISBLANK($C381),"",IF(ISNUMBER(G381),IF(G381&gt;=0,G381,""),""))</f>
        <v/>
      </c>
      <c r="R381" s="62" t="str">
        <f aca="false">IF(ISBLANK($C381),"",IF(H381=Constants!$B$2, TRUE(), IF(H381=Constants!$B$3, FALSE(), TRUE())))</f>
        <v/>
      </c>
      <c r="S381" s="62" t="str">
        <f aca="false">IF(ISBLANK($C381),"",IF(I381=Constants!$B$2, TRUE(), IF(I381=Constants!$B$3, FALSE(), TRUE())))</f>
        <v/>
      </c>
      <c r="T381" s="62" t="str">
        <f aca="false">IF(ISBLANK($C381),"",IF(ISNUMBER(J381),IF(J381&gt;=0,J381,""),""))</f>
        <v/>
      </c>
      <c r="U381" s="62" t="str">
        <f aca="false">IF(ISBLANK($C381),"",IF(K381=Constants!$B$2, TRUE(), IF(K381=Constants!$B$3, FALSE(), TRUE())))</f>
        <v/>
      </c>
      <c r="V381" s="62" t="str">
        <f aca="false">IF(ISBLANK($C381),"",IF(L381=Constants!$B$2, TRUE(), IF(L381=Constants!$B$3, FALSE(), TRUE())))</f>
        <v/>
      </c>
      <c r="W381" s="62" t="str">
        <f aca="false">IF(ISBLANK($C381),"",IF(M381=Constants!$B$2, TRUE(), IF(M381=Constants!$B$3, FALSE(), FALSE())))</f>
        <v/>
      </c>
      <c r="X381" s="62" t="str">
        <f aca="false">IF(ISBLANK($C381),"",AND(Q381&lt;&gt;"",O381))</f>
        <v/>
      </c>
      <c r="Y381" s="62" t="str">
        <f aca="false">IF(ISBLANK($C381),"",AND(T381&lt;&gt;"",O381))</f>
        <v/>
      </c>
      <c r="Z381" s="62" t="str">
        <f aca="false">IF(ISBLANK($C381),"",IF(W381,Constants!$B$4,IF(COUNTA(E381:L381)=0,Constants!$B$5,IF(NOT(O381),Constants!$B$6,IF(AND(NOT(X381),NOT(Y381)),Constants!$B$6,Constants!$B$7)))))</f>
        <v/>
      </c>
      <c r="AA381" s="62" t="str">
        <f aca="false">IF(ISBLANK($C381),"",IF($Z381&lt;&gt;Constants!$B$7,$Z381,Constants!$B$20))</f>
        <v/>
      </c>
      <c r="AB381" s="62" t="str">
        <f aca="false">IF($Z381=Constants!$B$7,IF(X381,Q381,Constants!$B$13),"")</f>
        <v/>
      </c>
      <c r="AC381" s="62" t="str">
        <f aca="false">IF($Z381=Constants!$B$7,IF(X381,P381*IF(R381, 1, Constants!$B$11)*IF(S381, 1, Constants!$B$12),Constants!$B$13),"")</f>
        <v/>
      </c>
      <c r="AD381" s="62" t="str">
        <f aca="false">IF($Z381=Constants!$B$7,AB381*AC381,"")</f>
        <v/>
      </c>
      <c r="AE381" s="62" t="str">
        <f aca="false">IF($Z381=Constants!$B$7,IF(Y381,T381,Constants!$B$13),"")</f>
        <v/>
      </c>
      <c r="AF381" s="62" t="str">
        <f aca="false">IF($Z381=Constants!$B$7,IF(Y381,P381*IF(U381, 1, Constants!$B$11)*IF(V381, 1, Constants!$B$12),Constants!$B$13),"")</f>
        <v/>
      </c>
      <c r="AG381" s="62" t="str">
        <f aca="false">IF($Z381=Constants!$B$7,AE381*AF381,"")</f>
        <v/>
      </c>
      <c r="AH381" s="62" t="str">
        <f aca="false">IF($Z381=Constants!$B$7,IF(AG381&gt;AD381,2,1),"")</f>
        <v/>
      </c>
      <c r="AI381" s="62" t="str">
        <f aca="false">IF($Z381=Constants!$B$7,IF(AH381=1,2,1),"")</f>
        <v/>
      </c>
      <c r="AJ381" s="62" t="str">
        <f aca="false">IF(ISBLANK($C381),"",IF($Z381&lt;&gt;Constants!$B$7,$Z381,IF(AH381=1,AD381,AG381)))</f>
        <v/>
      </c>
      <c r="AK381" s="62" t="str">
        <f aca="false">IF(ISBLANK($C381),"",IF($Z381=Constants!$B$7,IF(ISNUMBER(AJ381),RANK(AJ381,$AJ$8:$AJ$507),Constants!$B$14),$Z381))</f>
        <v/>
      </c>
      <c r="AL381" s="62" t="str">
        <f aca="false">IF(ISBLANK($C381),"",IF($Z381=Constants!$B$7,IF(AI381=1,AD381,AG381),""))</f>
        <v/>
      </c>
      <c r="AM381" s="62" t="str">
        <f aca="false">IF(ISBLANK($C381),"",IF($Z381=Constants!$B$7,RANK(AL381,$AL$8:$AL$507),$Z381))</f>
        <v/>
      </c>
      <c r="AN381" s="62" t="str">
        <f aca="false">IF(ISBLANK($C381),"",IF($Z381=Constants!$B$7,IF(ISNUMBER(AK381),COUNTIFS($AK$8:$AK$507,"&lt;"&amp;$AK381)+COUNTIFS($AK$8:$AK$507,$AK381,$AM$8:$AM$507,"&lt;"&amp;$AM381)+1,Constants!$B$14),$Z381))</f>
        <v/>
      </c>
      <c r="AO381" s="62" t="str">
        <f aca="false">IF(ISBLANK($C381),"",IF($Z381=Constants!$B$7,IF(ISNUMBER(AK381),AK381-AN381,Constants!$B$14),$Z381))</f>
        <v/>
      </c>
      <c r="AP381" s="64"/>
      <c r="AQ381" s="65" t="str">
        <f aca="false">IF(ISBLANK($C381),"",IF($Z381&lt;&gt;Constants!$B$7,"",AH381))</f>
        <v/>
      </c>
      <c r="AR381" s="80" t="str">
        <f aca="false">IF(ISBLANK($C381),"",IF($Z381&lt;&gt;Constants!$B$7,"",IF(AH381=1,AB381,AE381)))</f>
        <v/>
      </c>
      <c r="AS381" s="67" t="str">
        <f aca="false">IF(ISBLANK($C381),"",IF($Z381&lt;&gt;Constants!$B$7,"",IF(AH381=1,AC381,AF381)))</f>
        <v/>
      </c>
      <c r="AT381" s="68" t="str">
        <f aca="false">IF(ISBLANK($C381),"",IF($Z381&lt;&gt;Constants!$B$7,$Z381,AJ381))</f>
        <v/>
      </c>
      <c r="AU381" s="69" t="str">
        <f aca="false">IF(ISBLANK($C381),"",IF($Z381&lt;&gt;Constants!$B$7,$Z381,AA381))</f>
        <v/>
      </c>
      <c r="AV381" s="70" t="str">
        <f aca="false">IF(ISBLANK($C381),"",AO381)</f>
        <v/>
      </c>
      <c r="AW381" s="70" t="str">
        <f aca="false">IF(ISBLANK($C381),"",AN381)</f>
        <v/>
      </c>
      <c r="AX381" s="71" t="str">
        <f aca="false">IF(ISBLANK($C381),"",IFERROR(_xlfn.SWITCH(AW381,Constants!$B$4,COUNTA($C$8:$C$507)+2,Constants!$B$5,COUNTA($C$8:$C$507)+1,Constants!$B$6,COUNTA($C$8:$C$507)),AW381))</f>
        <v/>
      </c>
      <c r="AY381" s="5"/>
      <c r="AZ381" s="72" t="n">
        <f aca="false">IF(OR(ISNUMBER(AW381),AW381=Constants!$B$4,AW381=Constants!$B$6,AW381=Constants!$B$5),1,0)</f>
        <v>0</v>
      </c>
      <c r="BA381" s="72" t="n">
        <v>374</v>
      </c>
      <c r="BB381" s="72" t="str">
        <f aca="false">IF(ISBLANK($C381),"",IF(ISNUMBER(AX381),AX381+ROW($B381)/1000,""))</f>
        <v/>
      </c>
      <c r="BC381" s="72" t="str">
        <f aca="false">IF(ISNUMBER(BB381),RANK(BB381,$BB$8:$BB$507,1),"")</f>
        <v/>
      </c>
      <c r="BD381" s="72" t="str">
        <f aca="false">IF(ISBLANK($C381),"",$B381)</f>
        <v/>
      </c>
      <c r="BE381" s="72" t="str">
        <f aca="false">IF(ISBLANK($C381),"",$C381)</f>
        <v/>
      </c>
      <c r="BF381" s="72" t="str">
        <f aca="false">IF(ISBLANK($C381),"",$D381)</f>
        <v/>
      </c>
      <c r="BG381" s="73" t="str">
        <f aca="false">AU381</f>
        <v/>
      </c>
      <c r="BH381" s="74" t="str">
        <f aca="false">AT381</f>
        <v/>
      </c>
      <c r="BI381" s="72" t="str">
        <f aca="false">IF(ISBLANK($C381),"",AW381)</f>
        <v/>
      </c>
      <c r="BJ381" s="75" t="str">
        <f aca="false">IF($BA381&gt;$AZ$7,"",VLOOKUP($BA381,$BC$8:$BI$507,7,FALSE()))</f>
        <v/>
      </c>
      <c r="BK381" s="76" t="str">
        <f aca="false">IF($BA381&gt;$AZ$7,"",VLOOKUP($BA381,$BC$8:$BI$507,2,FALSE()))</f>
        <v/>
      </c>
      <c r="BL381" s="76" t="str">
        <f aca="false">IF($BA381&gt;$AZ$7,"",VLOOKUP($BA381,$BC$8:$BI$507,3,FALSE()))</f>
        <v/>
      </c>
      <c r="BM381" s="76" t="str">
        <f aca="false">IF($BA381&gt;$AZ$7,"",VLOOKUP($BA381,$BC$8:$BI$507,4,FALSE()))</f>
        <v/>
      </c>
      <c r="BN381" s="76" t="str">
        <f aca="false">IF($BA381&gt;$AZ$7,"",VLOOKUP($BA381,$BC$8:$BI$507,5,FALSE()))</f>
        <v/>
      </c>
      <c r="BO381" s="77" t="str">
        <f aca="false">IF($BA381&gt;$AZ$7,"",VLOOKUP($BA381,$BC$8:$BI$507,6,FALSE()))</f>
        <v/>
      </c>
      <c r="BP381" s="52"/>
    </row>
    <row r="382" customFormat="false" ht="15.75" hidden="false" customHeight="false" outlineLevel="0" collapsed="false">
      <c r="A382" s="5"/>
      <c r="B382" s="118"/>
      <c r="C382" s="54"/>
      <c r="D382" s="55"/>
      <c r="E382" s="79"/>
      <c r="F382" s="57"/>
      <c r="G382" s="58"/>
      <c r="H382" s="58"/>
      <c r="I382" s="57"/>
      <c r="J382" s="58"/>
      <c r="K382" s="58"/>
      <c r="L382" s="57"/>
      <c r="M382" s="79"/>
      <c r="N382" s="60"/>
      <c r="O382" s="62" t="str">
        <f aca="false">IF(ISBLANK($C382),"",IF(E382=Constants!$B$2, TRUE(), IF(E382=Constants!$B$3, FALSE(), TRUE())))</f>
        <v/>
      </c>
      <c r="P382" s="62" t="str">
        <f aca="false">IF(ISBLANK($C382),"",IF(F382=Constants!$B$16,Constants!$B$9,IF(F382=Constants!$B$17,Constants!$B$10,Constants!$B$8)))</f>
        <v/>
      </c>
      <c r="Q382" s="62" t="str">
        <f aca="false">IF(ISBLANK($C382),"",IF(ISNUMBER(G382),IF(G382&gt;=0,G382,""),""))</f>
        <v/>
      </c>
      <c r="R382" s="62" t="str">
        <f aca="false">IF(ISBLANK($C382),"",IF(H382=Constants!$B$2, TRUE(), IF(H382=Constants!$B$3, FALSE(), TRUE())))</f>
        <v/>
      </c>
      <c r="S382" s="62" t="str">
        <f aca="false">IF(ISBLANK($C382),"",IF(I382=Constants!$B$2, TRUE(), IF(I382=Constants!$B$3, FALSE(), TRUE())))</f>
        <v/>
      </c>
      <c r="T382" s="62" t="str">
        <f aca="false">IF(ISBLANK($C382),"",IF(ISNUMBER(J382),IF(J382&gt;=0,J382,""),""))</f>
        <v/>
      </c>
      <c r="U382" s="62" t="str">
        <f aca="false">IF(ISBLANK($C382),"",IF(K382=Constants!$B$2, TRUE(), IF(K382=Constants!$B$3, FALSE(), TRUE())))</f>
        <v/>
      </c>
      <c r="V382" s="62" t="str">
        <f aca="false">IF(ISBLANK($C382),"",IF(L382=Constants!$B$2, TRUE(), IF(L382=Constants!$B$3, FALSE(), TRUE())))</f>
        <v/>
      </c>
      <c r="W382" s="62" t="str">
        <f aca="false">IF(ISBLANK($C382),"",IF(M382=Constants!$B$2, TRUE(), IF(M382=Constants!$B$3, FALSE(), FALSE())))</f>
        <v/>
      </c>
      <c r="X382" s="62" t="str">
        <f aca="false">IF(ISBLANK($C382),"",AND(Q382&lt;&gt;"",O382))</f>
        <v/>
      </c>
      <c r="Y382" s="62" t="str">
        <f aca="false">IF(ISBLANK($C382),"",AND(T382&lt;&gt;"",O382))</f>
        <v/>
      </c>
      <c r="Z382" s="62" t="str">
        <f aca="false">IF(ISBLANK($C382),"",IF(W382,Constants!$B$4,IF(COUNTA(E382:L382)=0,Constants!$B$5,IF(NOT(O382),Constants!$B$6,IF(AND(NOT(X382),NOT(Y382)),Constants!$B$6,Constants!$B$7)))))</f>
        <v/>
      </c>
      <c r="AA382" s="62" t="str">
        <f aca="false">IF(ISBLANK($C382),"",IF($Z382&lt;&gt;Constants!$B$7,$Z382,Constants!$B$20))</f>
        <v/>
      </c>
      <c r="AB382" s="62" t="str">
        <f aca="false">IF($Z382=Constants!$B$7,IF(X382,Q382,Constants!$B$13),"")</f>
        <v/>
      </c>
      <c r="AC382" s="62" t="str">
        <f aca="false">IF($Z382=Constants!$B$7,IF(X382,P382*IF(R382, 1, Constants!$B$11)*IF(S382, 1, Constants!$B$12),Constants!$B$13),"")</f>
        <v/>
      </c>
      <c r="AD382" s="62" t="str">
        <f aca="false">IF($Z382=Constants!$B$7,AB382*AC382,"")</f>
        <v/>
      </c>
      <c r="AE382" s="62" t="str">
        <f aca="false">IF($Z382=Constants!$B$7,IF(Y382,T382,Constants!$B$13),"")</f>
        <v/>
      </c>
      <c r="AF382" s="62" t="str">
        <f aca="false">IF($Z382=Constants!$B$7,IF(Y382,P382*IF(U382, 1, Constants!$B$11)*IF(V382, 1, Constants!$B$12),Constants!$B$13),"")</f>
        <v/>
      </c>
      <c r="AG382" s="62" t="str">
        <f aca="false">IF($Z382=Constants!$B$7,AE382*AF382,"")</f>
        <v/>
      </c>
      <c r="AH382" s="62" t="str">
        <f aca="false">IF($Z382=Constants!$B$7,IF(AG382&gt;AD382,2,1),"")</f>
        <v/>
      </c>
      <c r="AI382" s="62" t="str">
        <f aca="false">IF($Z382=Constants!$B$7,IF(AH382=1,2,1),"")</f>
        <v/>
      </c>
      <c r="AJ382" s="62" t="str">
        <f aca="false">IF(ISBLANK($C382),"",IF($Z382&lt;&gt;Constants!$B$7,$Z382,IF(AH382=1,AD382,AG382)))</f>
        <v/>
      </c>
      <c r="AK382" s="62" t="str">
        <f aca="false">IF(ISBLANK($C382),"",IF($Z382=Constants!$B$7,IF(ISNUMBER(AJ382),RANK(AJ382,$AJ$8:$AJ$507),Constants!$B$14),$Z382))</f>
        <v/>
      </c>
      <c r="AL382" s="62" t="str">
        <f aca="false">IF(ISBLANK($C382),"",IF($Z382=Constants!$B$7,IF(AI382=1,AD382,AG382),""))</f>
        <v/>
      </c>
      <c r="AM382" s="62" t="str">
        <f aca="false">IF(ISBLANK($C382),"",IF($Z382=Constants!$B$7,RANK(AL382,$AL$8:$AL$507),$Z382))</f>
        <v/>
      </c>
      <c r="AN382" s="62" t="str">
        <f aca="false">IF(ISBLANK($C382),"",IF($Z382=Constants!$B$7,IF(ISNUMBER(AK382),COUNTIFS($AK$8:$AK$507,"&lt;"&amp;$AK382)+COUNTIFS($AK$8:$AK$507,$AK382,$AM$8:$AM$507,"&lt;"&amp;$AM382)+1,Constants!$B$14),$Z382))</f>
        <v/>
      </c>
      <c r="AO382" s="62" t="str">
        <f aca="false">IF(ISBLANK($C382),"",IF($Z382=Constants!$B$7,IF(ISNUMBER(AK382),AK382-AN382,Constants!$B$14),$Z382))</f>
        <v/>
      </c>
      <c r="AP382" s="64"/>
      <c r="AQ382" s="65" t="str">
        <f aca="false">IF(ISBLANK($C382),"",IF($Z382&lt;&gt;Constants!$B$7,"",AH382))</f>
        <v/>
      </c>
      <c r="AR382" s="80" t="str">
        <f aca="false">IF(ISBLANK($C382),"",IF($Z382&lt;&gt;Constants!$B$7,"",IF(AH382=1,AB382,AE382)))</f>
        <v/>
      </c>
      <c r="AS382" s="67" t="str">
        <f aca="false">IF(ISBLANK($C382),"",IF($Z382&lt;&gt;Constants!$B$7,"",IF(AH382=1,AC382,AF382)))</f>
        <v/>
      </c>
      <c r="AT382" s="68" t="str">
        <f aca="false">IF(ISBLANK($C382),"",IF($Z382&lt;&gt;Constants!$B$7,$Z382,AJ382))</f>
        <v/>
      </c>
      <c r="AU382" s="69" t="str">
        <f aca="false">IF(ISBLANK($C382),"",IF($Z382&lt;&gt;Constants!$B$7,$Z382,AA382))</f>
        <v/>
      </c>
      <c r="AV382" s="70" t="str">
        <f aca="false">IF(ISBLANK($C382),"",AO382)</f>
        <v/>
      </c>
      <c r="AW382" s="70" t="str">
        <f aca="false">IF(ISBLANK($C382),"",AN382)</f>
        <v/>
      </c>
      <c r="AX382" s="71" t="str">
        <f aca="false">IF(ISBLANK($C382),"",IFERROR(_xlfn.SWITCH(AW382,Constants!$B$4,COUNTA($C$8:$C$507)+2,Constants!$B$5,COUNTA($C$8:$C$507)+1,Constants!$B$6,COUNTA($C$8:$C$507)),AW382))</f>
        <v/>
      </c>
      <c r="AY382" s="5"/>
      <c r="AZ382" s="72" t="n">
        <f aca="false">IF(OR(ISNUMBER(AW382),AW382=Constants!$B$4,AW382=Constants!$B$6,AW382=Constants!$B$5),1,0)</f>
        <v>0</v>
      </c>
      <c r="BA382" s="72" t="n">
        <v>375</v>
      </c>
      <c r="BB382" s="72" t="str">
        <f aca="false">IF(ISBLANK($C382),"",IF(ISNUMBER(AX382),AX382+ROW($B382)/1000,""))</f>
        <v/>
      </c>
      <c r="BC382" s="72" t="str">
        <f aca="false">IF(ISNUMBER(BB382),RANK(BB382,$BB$8:$BB$507,1),"")</f>
        <v/>
      </c>
      <c r="BD382" s="72" t="str">
        <f aca="false">IF(ISBLANK($C382),"",$B382)</f>
        <v/>
      </c>
      <c r="BE382" s="72" t="str">
        <f aca="false">IF(ISBLANK($C382),"",$C382)</f>
        <v/>
      </c>
      <c r="BF382" s="72" t="str">
        <f aca="false">IF(ISBLANK($C382),"",$D382)</f>
        <v/>
      </c>
      <c r="BG382" s="73" t="str">
        <f aca="false">AU382</f>
        <v/>
      </c>
      <c r="BH382" s="74" t="str">
        <f aca="false">AT382</f>
        <v/>
      </c>
      <c r="BI382" s="72" t="str">
        <f aca="false">IF(ISBLANK($C382),"",AW382)</f>
        <v/>
      </c>
      <c r="BJ382" s="75" t="str">
        <f aca="false">IF($BA382&gt;$AZ$7,"",VLOOKUP($BA382,$BC$8:$BI$507,7,FALSE()))</f>
        <v/>
      </c>
      <c r="BK382" s="76" t="str">
        <f aca="false">IF($BA382&gt;$AZ$7,"",VLOOKUP($BA382,$BC$8:$BI$507,2,FALSE()))</f>
        <v/>
      </c>
      <c r="BL382" s="76" t="str">
        <f aca="false">IF($BA382&gt;$AZ$7,"",VLOOKUP($BA382,$BC$8:$BI$507,3,FALSE()))</f>
        <v/>
      </c>
      <c r="BM382" s="76" t="str">
        <f aca="false">IF($BA382&gt;$AZ$7,"",VLOOKUP($BA382,$BC$8:$BI$507,4,FALSE()))</f>
        <v/>
      </c>
      <c r="BN382" s="76" t="str">
        <f aca="false">IF($BA382&gt;$AZ$7,"",VLOOKUP($BA382,$BC$8:$BI$507,5,FALSE()))</f>
        <v/>
      </c>
      <c r="BO382" s="77" t="str">
        <f aca="false">IF($BA382&gt;$AZ$7,"",VLOOKUP($BA382,$BC$8:$BI$507,6,FALSE()))</f>
        <v/>
      </c>
      <c r="BP382" s="52"/>
    </row>
    <row r="383" customFormat="false" ht="15.75" hidden="false" customHeight="false" outlineLevel="0" collapsed="false">
      <c r="A383" s="5"/>
      <c r="B383" s="114"/>
      <c r="C383" s="115"/>
      <c r="D383" s="106"/>
      <c r="E383" s="117"/>
      <c r="F383" s="87"/>
      <c r="G383" s="88"/>
      <c r="H383" s="88"/>
      <c r="I383" s="87"/>
      <c r="J383" s="88"/>
      <c r="K383" s="88"/>
      <c r="L383" s="87"/>
      <c r="M383" s="117"/>
      <c r="N383" s="90"/>
      <c r="O383" s="91" t="str">
        <f aca="false">IF(ISBLANK($C383),"",IF(E383=Constants!$B$2, TRUE(), IF(E383=Constants!$B$3, FALSE(), TRUE())))</f>
        <v/>
      </c>
      <c r="P383" s="91" t="str">
        <f aca="false">IF(ISBLANK($C383),"",IF(F383=Constants!$B$16,Constants!$B$9,IF(F383=Constants!$B$17,Constants!$B$10,Constants!$B$8)))</f>
        <v/>
      </c>
      <c r="Q383" s="91" t="str">
        <f aca="false">IF(ISBLANK($C383),"",IF(ISNUMBER(G383),IF(G383&gt;=0,G383,""),""))</f>
        <v/>
      </c>
      <c r="R383" s="91" t="str">
        <f aca="false">IF(ISBLANK($C383),"",IF(H383=Constants!$B$2, TRUE(), IF(H383=Constants!$B$3, FALSE(), TRUE())))</f>
        <v/>
      </c>
      <c r="S383" s="91" t="str">
        <f aca="false">IF(ISBLANK($C383),"",IF(I383=Constants!$B$2, TRUE(), IF(I383=Constants!$B$3, FALSE(), TRUE())))</f>
        <v/>
      </c>
      <c r="T383" s="91" t="str">
        <f aca="false">IF(ISBLANK($C383),"",IF(ISNUMBER(J383),IF(J383&gt;=0,J383,""),""))</f>
        <v/>
      </c>
      <c r="U383" s="91" t="str">
        <f aca="false">IF(ISBLANK($C383),"",IF(K383=Constants!$B$2, TRUE(), IF(K383=Constants!$B$3, FALSE(), TRUE())))</f>
        <v/>
      </c>
      <c r="V383" s="91" t="str">
        <f aca="false">IF(ISBLANK($C383),"",IF(L383=Constants!$B$2, TRUE(), IF(L383=Constants!$B$3, FALSE(), TRUE())))</f>
        <v/>
      </c>
      <c r="W383" s="91" t="str">
        <f aca="false">IF(ISBLANK($C383),"",IF(M383=Constants!$B$2, TRUE(), IF(M383=Constants!$B$3, FALSE(), FALSE())))</f>
        <v/>
      </c>
      <c r="X383" s="91" t="str">
        <f aca="false">IF(ISBLANK($C383),"",AND(Q383&lt;&gt;"",O383))</f>
        <v/>
      </c>
      <c r="Y383" s="91" t="str">
        <f aca="false">IF(ISBLANK($C383),"",AND(T383&lt;&gt;"",O383))</f>
        <v/>
      </c>
      <c r="Z383" s="91" t="str">
        <f aca="false">IF(ISBLANK($C383),"",IF(W383,Constants!$B$4,IF(COUNTA(E383:L383)=0,Constants!$B$5,IF(NOT(O383),Constants!$B$6,IF(AND(NOT(X383),NOT(Y383)),Constants!$B$6,Constants!$B$7)))))</f>
        <v/>
      </c>
      <c r="AA383" s="91" t="str">
        <f aca="false">IF(ISBLANK($C383),"",IF($Z383&lt;&gt;Constants!$B$7,$Z383,Constants!$B$20))</f>
        <v/>
      </c>
      <c r="AB383" s="91" t="str">
        <f aca="false">IF($Z383=Constants!$B$7,IF(X383,Q383,Constants!$B$13),"")</f>
        <v/>
      </c>
      <c r="AC383" s="91" t="str">
        <f aca="false">IF($Z383=Constants!$B$7,IF(X383,P383*IF(R383, 1, Constants!$B$11)*IF(S383, 1, Constants!$B$12),Constants!$B$13),"")</f>
        <v/>
      </c>
      <c r="AD383" s="91" t="str">
        <f aca="false">IF($Z383=Constants!$B$7,AB383*AC383,"")</f>
        <v/>
      </c>
      <c r="AE383" s="91" t="str">
        <f aca="false">IF($Z383=Constants!$B$7,IF(Y383,T383,Constants!$B$13),"")</f>
        <v/>
      </c>
      <c r="AF383" s="91" t="str">
        <f aca="false">IF($Z383=Constants!$B$7,IF(Y383,P383*IF(U383, 1, Constants!$B$11)*IF(V383, 1, Constants!$B$12),Constants!$B$13),"")</f>
        <v/>
      </c>
      <c r="AG383" s="91" t="str">
        <f aca="false">IF($Z383=Constants!$B$7,AE383*AF383,"")</f>
        <v/>
      </c>
      <c r="AH383" s="91" t="str">
        <f aca="false">IF($Z383=Constants!$B$7,IF(AG383&gt;AD383,2,1),"")</f>
        <v/>
      </c>
      <c r="AI383" s="91" t="str">
        <f aca="false">IF($Z383=Constants!$B$7,IF(AH383=1,2,1),"")</f>
        <v/>
      </c>
      <c r="AJ383" s="91" t="str">
        <f aca="false">IF(ISBLANK($C383),"",IF($Z383&lt;&gt;Constants!$B$7,$Z383,IF(AH383=1,AD383,AG383)))</f>
        <v/>
      </c>
      <c r="AK383" s="91" t="str">
        <f aca="false">IF(ISBLANK($C383),"",IF($Z383=Constants!$B$7,IF(ISNUMBER(AJ383),RANK(AJ383,$AJ$8:$AJ$507),Constants!$B$14),$Z383))</f>
        <v/>
      </c>
      <c r="AL383" s="91" t="str">
        <f aca="false">IF(ISBLANK($C383),"",IF($Z383=Constants!$B$7,IF(AI383=1,AD383,AG383),""))</f>
        <v/>
      </c>
      <c r="AM383" s="91" t="str">
        <f aca="false">IF(ISBLANK($C383),"",IF($Z383=Constants!$B$7,RANK(AL383,$AL$8:$AL$507),$Z383))</f>
        <v/>
      </c>
      <c r="AN383" s="91" t="str">
        <f aca="false">IF(ISBLANK($C383),"",IF($Z383=Constants!$B$7,IF(ISNUMBER(AK383),COUNTIFS($AK$8:$AK$507,"&lt;"&amp;$AK383)+COUNTIFS($AK$8:$AK$507,$AK383,$AM$8:$AM$507,"&lt;"&amp;$AM383)+1,Constants!$B$14),$Z383))</f>
        <v/>
      </c>
      <c r="AO383" s="91" t="str">
        <f aca="false">IF(ISBLANK($C383),"",IF($Z383=Constants!$B$7,IF(ISNUMBER(AK383),AK383-AN383,Constants!$B$14),$Z383))</f>
        <v/>
      </c>
      <c r="AP383" s="92"/>
      <c r="AQ383" s="93" t="str">
        <f aca="false">IF(ISBLANK($C383),"",IF($Z383&lt;&gt;Constants!$B$7,"",AH383))</f>
        <v/>
      </c>
      <c r="AR383" s="94" t="str">
        <f aca="false">IF(ISBLANK($C383),"",IF($Z383&lt;&gt;Constants!$B$7,"",IF(AH383=1,AB383,AE383)))</f>
        <v/>
      </c>
      <c r="AS383" s="95" t="str">
        <f aca="false">IF(ISBLANK($C383),"",IF($Z383&lt;&gt;Constants!$B$7,"",IF(AH383=1,AC383,AF383)))</f>
        <v/>
      </c>
      <c r="AT383" s="96" t="str">
        <f aca="false">IF(ISBLANK($C383),"",IF($Z383&lt;&gt;Constants!$B$7,$Z383,AJ383))</f>
        <v/>
      </c>
      <c r="AU383" s="97" t="str">
        <f aca="false">IF(ISBLANK($C383),"",IF($Z383&lt;&gt;Constants!$B$7,$Z383,AA383))</f>
        <v/>
      </c>
      <c r="AV383" s="98" t="str">
        <f aca="false">IF(ISBLANK($C383),"",AO383)</f>
        <v/>
      </c>
      <c r="AW383" s="98" t="str">
        <f aca="false">IF(ISBLANK($C383),"",AN383)</f>
        <v/>
      </c>
      <c r="AX383" s="99" t="str">
        <f aca="false">IF(ISBLANK($C383),"",IFERROR(_xlfn.SWITCH(AW383,Constants!$B$4,COUNTA($C$8:$C$507)+2,Constants!$B$5,COUNTA($C$8:$C$507)+1,Constants!$B$6,COUNTA($C$8:$C$507)),AW383))</f>
        <v/>
      </c>
      <c r="AY383" s="5"/>
      <c r="AZ383" s="100" t="n">
        <f aca="false">IF(OR(ISNUMBER(AW383),AW383=Constants!$B$4,AW383=Constants!$B$6,AW383=Constants!$B$5),1,0)</f>
        <v>0</v>
      </c>
      <c r="BA383" s="100" t="n">
        <v>376</v>
      </c>
      <c r="BB383" s="100" t="str">
        <f aca="false">IF(ISBLANK($C383),"",IF(ISNUMBER(AX383),AX383+ROW($B383)/1000,""))</f>
        <v/>
      </c>
      <c r="BC383" s="100" t="str">
        <f aca="false">IF(ISNUMBER(BB383),RANK(BB383,$BB$8:$BB$507,1),"")</f>
        <v/>
      </c>
      <c r="BD383" s="100" t="str">
        <f aca="false">IF(ISBLANK($C383),"",$B383)</f>
        <v/>
      </c>
      <c r="BE383" s="100" t="str">
        <f aca="false">IF(ISBLANK($C383),"",$C383)</f>
        <v/>
      </c>
      <c r="BF383" s="100" t="str">
        <f aca="false">IF(ISBLANK($C383),"",$D383)</f>
        <v/>
      </c>
      <c r="BG383" s="101" t="str">
        <f aca="false">AU383</f>
        <v/>
      </c>
      <c r="BH383" s="102" t="str">
        <f aca="false">AT383</f>
        <v/>
      </c>
      <c r="BI383" s="100" t="str">
        <f aca="false">IF(ISBLANK($C383),"",AW383)</f>
        <v/>
      </c>
      <c r="BJ383" s="103" t="str">
        <f aca="false">IF($BA383&gt;$AZ$7,"",VLOOKUP($BA383,$BC$8:$BI$507,7,FALSE()))</f>
        <v/>
      </c>
      <c r="BK383" s="104" t="str">
        <f aca="false">IF($BA383&gt;$AZ$7,"",VLOOKUP($BA383,$BC$8:$BI$507,2,FALSE()))</f>
        <v/>
      </c>
      <c r="BL383" s="104" t="str">
        <f aca="false">IF($BA383&gt;$AZ$7,"",VLOOKUP($BA383,$BC$8:$BI$507,3,FALSE()))</f>
        <v/>
      </c>
      <c r="BM383" s="104" t="str">
        <f aca="false">IF($BA383&gt;$AZ$7,"",VLOOKUP($BA383,$BC$8:$BI$507,4,FALSE()))</f>
        <v/>
      </c>
      <c r="BN383" s="104" t="str">
        <f aca="false">IF($BA383&gt;$AZ$7,"",VLOOKUP($BA383,$BC$8:$BI$507,5,FALSE()))</f>
        <v/>
      </c>
      <c r="BO383" s="105" t="str">
        <f aca="false">IF($BA383&gt;$AZ$7,"",VLOOKUP($BA383,$BC$8:$BI$507,6,FALSE()))</f>
        <v/>
      </c>
      <c r="BP383" s="52"/>
    </row>
    <row r="384" customFormat="false" ht="15.75" hidden="false" customHeight="false" outlineLevel="0" collapsed="false">
      <c r="A384" s="5"/>
      <c r="B384" s="114"/>
      <c r="C384" s="115"/>
      <c r="D384" s="106"/>
      <c r="E384" s="117"/>
      <c r="F384" s="87"/>
      <c r="G384" s="88"/>
      <c r="H384" s="88"/>
      <c r="I384" s="87"/>
      <c r="J384" s="88"/>
      <c r="K384" s="88"/>
      <c r="L384" s="87"/>
      <c r="M384" s="117"/>
      <c r="N384" s="90"/>
      <c r="O384" s="91" t="str">
        <f aca="false">IF(ISBLANK($C384),"",IF(E384=Constants!$B$2, TRUE(), IF(E384=Constants!$B$3, FALSE(), TRUE())))</f>
        <v/>
      </c>
      <c r="P384" s="91" t="str">
        <f aca="false">IF(ISBLANK($C384),"",IF(F384=Constants!$B$16,Constants!$B$9,IF(F384=Constants!$B$17,Constants!$B$10,Constants!$B$8)))</f>
        <v/>
      </c>
      <c r="Q384" s="91" t="str">
        <f aca="false">IF(ISBLANK($C384),"",IF(ISNUMBER(G384),IF(G384&gt;=0,G384,""),""))</f>
        <v/>
      </c>
      <c r="R384" s="91" t="str">
        <f aca="false">IF(ISBLANK($C384),"",IF(H384=Constants!$B$2, TRUE(), IF(H384=Constants!$B$3, FALSE(), TRUE())))</f>
        <v/>
      </c>
      <c r="S384" s="91" t="str">
        <f aca="false">IF(ISBLANK($C384),"",IF(I384=Constants!$B$2, TRUE(), IF(I384=Constants!$B$3, FALSE(), TRUE())))</f>
        <v/>
      </c>
      <c r="T384" s="91" t="str">
        <f aca="false">IF(ISBLANK($C384),"",IF(ISNUMBER(J384),IF(J384&gt;=0,J384,""),""))</f>
        <v/>
      </c>
      <c r="U384" s="91" t="str">
        <f aca="false">IF(ISBLANK($C384),"",IF(K384=Constants!$B$2, TRUE(), IF(K384=Constants!$B$3, FALSE(), TRUE())))</f>
        <v/>
      </c>
      <c r="V384" s="91" t="str">
        <f aca="false">IF(ISBLANK($C384),"",IF(L384=Constants!$B$2, TRUE(), IF(L384=Constants!$B$3, FALSE(), TRUE())))</f>
        <v/>
      </c>
      <c r="W384" s="91" t="str">
        <f aca="false">IF(ISBLANK($C384),"",IF(M384=Constants!$B$2, TRUE(), IF(M384=Constants!$B$3, FALSE(), FALSE())))</f>
        <v/>
      </c>
      <c r="X384" s="91" t="str">
        <f aca="false">IF(ISBLANK($C384),"",AND(Q384&lt;&gt;"",O384))</f>
        <v/>
      </c>
      <c r="Y384" s="91" t="str">
        <f aca="false">IF(ISBLANK($C384),"",AND(T384&lt;&gt;"",O384))</f>
        <v/>
      </c>
      <c r="Z384" s="91" t="str">
        <f aca="false">IF(ISBLANK($C384),"",IF(W384,Constants!$B$4,IF(COUNTA(E384:L384)=0,Constants!$B$5,IF(NOT(O384),Constants!$B$6,IF(AND(NOT(X384),NOT(Y384)),Constants!$B$6,Constants!$B$7)))))</f>
        <v/>
      </c>
      <c r="AA384" s="91" t="str">
        <f aca="false">IF(ISBLANK($C384),"",IF($Z384&lt;&gt;Constants!$B$7,$Z384,Constants!$B$20))</f>
        <v/>
      </c>
      <c r="AB384" s="91" t="str">
        <f aca="false">IF($Z384=Constants!$B$7,IF(X384,Q384,Constants!$B$13),"")</f>
        <v/>
      </c>
      <c r="AC384" s="91" t="str">
        <f aca="false">IF($Z384=Constants!$B$7,IF(X384,P384*IF(R384, 1, Constants!$B$11)*IF(S384, 1, Constants!$B$12),Constants!$B$13),"")</f>
        <v/>
      </c>
      <c r="AD384" s="91" t="str">
        <f aca="false">IF($Z384=Constants!$B$7,AB384*AC384,"")</f>
        <v/>
      </c>
      <c r="AE384" s="91" t="str">
        <f aca="false">IF($Z384=Constants!$B$7,IF(Y384,T384,Constants!$B$13),"")</f>
        <v/>
      </c>
      <c r="AF384" s="91" t="str">
        <f aca="false">IF($Z384=Constants!$B$7,IF(Y384,P384*IF(U384, 1, Constants!$B$11)*IF(V384, 1, Constants!$B$12),Constants!$B$13),"")</f>
        <v/>
      </c>
      <c r="AG384" s="91" t="str">
        <f aca="false">IF($Z384=Constants!$B$7,AE384*AF384,"")</f>
        <v/>
      </c>
      <c r="AH384" s="91" t="str">
        <f aca="false">IF($Z384=Constants!$B$7,IF(AG384&gt;AD384,2,1),"")</f>
        <v/>
      </c>
      <c r="AI384" s="91" t="str">
        <f aca="false">IF($Z384=Constants!$B$7,IF(AH384=1,2,1),"")</f>
        <v/>
      </c>
      <c r="AJ384" s="91" t="str">
        <f aca="false">IF(ISBLANK($C384),"",IF($Z384&lt;&gt;Constants!$B$7,$Z384,IF(AH384=1,AD384,AG384)))</f>
        <v/>
      </c>
      <c r="AK384" s="91" t="str">
        <f aca="false">IF(ISBLANK($C384),"",IF($Z384=Constants!$B$7,IF(ISNUMBER(AJ384),RANK(AJ384,$AJ$8:$AJ$507),Constants!$B$14),$Z384))</f>
        <v/>
      </c>
      <c r="AL384" s="91" t="str">
        <f aca="false">IF(ISBLANK($C384),"",IF($Z384=Constants!$B$7,IF(AI384=1,AD384,AG384),""))</f>
        <v/>
      </c>
      <c r="AM384" s="91" t="str">
        <f aca="false">IF(ISBLANK($C384),"",IF($Z384=Constants!$B$7,RANK(AL384,$AL$8:$AL$507),$Z384))</f>
        <v/>
      </c>
      <c r="AN384" s="91" t="str">
        <f aca="false">IF(ISBLANK($C384),"",IF($Z384=Constants!$B$7,IF(ISNUMBER(AK384),COUNTIFS($AK$8:$AK$507,"&lt;"&amp;$AK384)+COUNTIFS($AK$8:$AK$507,$AK384,$AM$8:$AM$507,"&lt;"&amp;$AM384)+1,Constants!$B$14),$Z384))</f>
        <v/>
      </c>
      <c r="AO384" s="91" t="str">
        <f aca="false">IF(ISBLANK($C384),"",IF($Z384=Constants!$B$7,IF(ISNUMBER(AK384),AK384-AN384,Constants!$B$14),$Z384))</f>
        <v/>
      </c>
      <c r="AP384" s="92"/>
      <c r="AQ384" s="93" t="str">
        <f aca="false">IF(ISBLANK($C384),"",IF($Z384&lt;&gt;Constants!$B$7,"",AH384))</f>
        <v/>
      </c>
      <c r="AR384" s="94" t="str">
        <f aca="false">IF(ISBLANK($C384),"",IF($Z384&lt;&gt;Constants!$B$7,"",IF(AH384=1,AB384,AE384)))</f>
        <v/>
      </c>
      <c r="AS384" s="95" t="str">
        <f aca="false">IF(ISBLANK($C384),"",IF($Z384&lt;&gt;Constants!$B$7,"",IF(AH384=1,AC384,AF384)))</f>
        <v/>
      </c>
      <c r="AT384" s="96" t="str">
        <f aca="false">IF(ISBLANK($C384),"",IF($Z384&lt;&gt;Constants!$B$7,$Z384,AJ384))</f>
        <v/>
      </c>
      <c r="AU384" s="97" t="str">
        <f aca="false">IF(ISBLANK($C384),"",IF($Z384&lt;&gt;Constants!$B$7,$Z384,AA384))</f>
        <v/>
      </c>
      <c r="AV384" s="98" t="str">
        <f aca="false">IF(ISBLANK($C384),"",AO384)</f>
        <v/>
      </c>
      <c r="AW384" s="98" t="str">
        <f aca="false">IF(ISBLANK($C384),"",AN384)</f>
        <v/>
      </c>
      <c r="AX384" s="99" t="str">
        <f aca="false">IF(ISBLANK($C384),"",IFERROR(_xlfn.SWITCH(AW384,Constants!$B$4,COUNTA($C$8:$C$507)+2,Constants!$B$5,COUNTA($C$8:$C$507)+1,Constants!$B$6,COUNTA($C$8:$C$507)),AW384))</f>
        <v/>
      </c>
      <c r="AY384" s="5"/>
      <c r="AZ384" s="100" t="n">
        <f aca="false">IF(OR(ISNUMBER(AW384),AW384=Constants!$B$4,AW384=Constants!$B$6,AW384=Constants!$B$5),1,0)</f>
        <v>0</v>
      </c>
      <c r="BA384" s="100" t="n">
        <v>377</v>
      </c>
      <c r="BB384" s="100" t="str">
        <f aca="false">IF(ISBLANK($C384),"",IF(ISNUMBER(AX384),AX384+ROW($B384)/1000,""))</f>
        <v/>
      </c>
      <c r="BC384" s="100" t="str">
        <f aca="false">IF(ISNUMBER(BB384),RANK(BB384,$BB$8:$BB$507,1),"")</f>
        <v/>
      </c>
      <c r="BD384" s="100" t="str">
        <f aca="false">IF(ISBLANK($C384),"",$B384)</f>
        <v/>
      </c>
      <c r="BE384" s="100" t="str">
        <f aca="false">IF(ISBLANK($C384),"",$C384)</f>
        <v/>
      </c>
      <c r="BF384" s="100" t="str">
        <f aca="false">IF(ISBLANK($C384),"",$D384)</f>
        <v/>
      </c>
      <c r="BG384" s="101" t="str">
        <f aca="false">AU384</f>
        <v/>
      </c>
      <c r="BH384" s="102" t="str">
        <f aca="false">AT384</f>
        <v/>
      </c>
      <c r="BI384" s="100" t="str">
        <f aca="false">IF(ISBLANK($C384),"",AW384)</f>
        <v/>
      </c>
      <c r="BJ384" s="103" t="str">
        <f aca="false">IF($BA384&gt;$AZ$7,"",VLOOKUP($BA384,$BC$8:$BI$507,7,FALSE()))</f>
        <v/>
      </c>
      <c r="BK384" s="104" t="str">
        <f aca="false">IF($BA384&gt;$AZ$7,"",VLOOKUP($BA384,$BC$8:$BI$507,2,FALSE()))</f>
        <v/>
      </c>
      <c r="BL384" s="104" t="str">
        <f aca="false">IF($BA384&gt;$AZ$7,"",VLOOKUP($BA384,$BC$8:$BI$507,3,FALSE()))</f>
        <v/>
      </c>
      <c r="BM384" s="104" t="str">
        <f aca="false">IF($BA384&gt;$AZ$7,"",VLOOKUP($BA384,$BC$8:$BI$507,4,FALSE()))</f>
        <v/>
      </c>
      <c r="BN384" s="104" t="str">
        <f aca="false">IF($BA384&gt;$AZ$7,"",VLOOKUP($BA384,$BC$8:$BI$507,5,FALSE()))</f>
        <v/>
      </c>
      <c r="BO384" s="105" t="str">
        <f aca="false">IF($BA384&gt;$AZ$7,"",VLOOKUP($BA384,$BC$8:$BI$507,6,FALSE()))</f>
        <v/>
      </c>
      <c r="BP384" s="52"/>
    </row>
    <row r="385" customFormat="false" ht="15.75" hidden="false" customHeight="false" outlineLevel="0" collapsed="false">
      <c r="A385" s="5"/>
      <c r="B385" s="114"/>
      <c r="C385" s="115"/>
      <c r="D385" s="106"/>
      <c r="E385" s="117"/>
      <c r="F385" s="87"/>
      <c r="G385" s="88"/>
      <c r="H385" s="88"/>
      <c r="I385" s="87"/>
      <c r="J385" s="88"/>
      <c r="K385" s="88"/>
      <c r="L385" s="87"/>
      <c r="M385" s="117"/>
      <c r="N385" s="90"/>
      <c r="O385" s="91" t="str">
        <f aca="false">IF(ISBLANK($C385),"",IF(E385=Constants!$B$2, TRUE(), IF(E385=Constants!$B$3, FALSE(), TRUE())))</f>
        <v/>
      </c>
      <c r="P385" s="91" t="str">
        <f aca="false">IF(ISBLANK($C385),"",IF(F385=Constants!$B$16,Constants!$B$9,IF(F385=Constants!$B$17,Constants!$B$10,Constants!$B$8)))</f>
        <v/>
      </c>
      <c r="Q385" s="91" t="str">
        <f aca="false">IF(ISBLANK($C385),"",IF(ISNUMBER(G385),IF(G385&gt;=0,G385,""),""))</f>
        <v/>
      </c>
      <c r="R385" s="91" t="str">
        <f aca="false">IF(ISBLANK($C385),"",IF(H385=Constants!$B$2, TRUE(), IF(H385=Constants!$B$3, FALSE(), TRUE())))</f>
        <v/>
      </c>
      <c r="S385" s="91" t="str">
        <f aca="false">IF(ISBLANK($C385),"",IF(I385=Constants!$B$2, TRUE(), IF(I385=Constants!$B$3, FALSE(), TRUE())))</f>
        <v/>
      </c>
      <c r="T385" s="91" t="str">
        <f aca="false">IF(ISBLANK($C385),"",IF(ISNUMBER(J385),IF(J385&gt;=0,J385,""),""))</f>
        <v/>
      </c>
      <c r="U385" s="91" t="str">
        <f aca="false">IF(ISBLANK($C385),"",IF(K385=Constants!$B$2, TRUE(), IF(K385=Constants!$B$3, FALSE(), TRUE())))</f>
        <v/>
      </c>
      <c r="V385" s="91" t="str">
        <f aca="false">IF(ISBLANK($C385),"",IF(L385=Constants!$B$2, TRUE(), IF(L385=Constants!$B$3, FALSE(), TRUE())))</f>
        <v/>
      </c>
      <c r="W385" s="91" t="str">
        <f aca="false">IF(ISBLANK($C385),"",IF(M385=Constants!$B$2, TRUE(), IF(M385=Constants!$B$3, FALSE(), FALSE())))</f>
        <v/>
      </c>
      <c r="X385" s="91" t="str">
        <f aca="false">IF(ISBLANK($C385),"",AND(Q385&lt;&gt;"",O385))</f>
        <v/>
      </c>
      <c r="Y385" s="91" t="str">
        <f aca="false">IF(ISBLANK($C385),"",AND(T385&lt;&gt;"",O385))</f>
        <v/>
      </c>
      <c r="Z385" s="91" t="str">
        <f aca="false">IF(ISBLANK($C385),"",IF(W385,Constants!$B$4,IF(COUNTA(E385:L385)=0,Constants!$B$5,IF(NOT(O385),Constants!$B$6,IF(AND(NOT(X385),NOT(Y385)),Constants!$B$6,Constants!$B$7)))))</f>
        <v/>
      </c>
      <c r="AA385" s="91" t="str">
        <f aca="false">IF(ISBLANK($C385),"",IF($Z385&lt;&gt;Constants!$B$7,$Z385,Constants!$B$20))</f>
        <v/>
      </c>
      <c r="AB385" s="91" t="str">
        <f aca="false">IF($Z385=Constants!$B$7,IF(X385,Q385,Constants!$B$13),"")</f>
        <v/>
      </c>
      <c r="AC385" s="91" t="str">
        <f aca="false">IF($Z385=Constants!$B$7,IF(X385,P385*IF(R385, 1, Constants!$B$11)*IF(S385, 1, Constants!$B$12),Constants!$B$13),"")</f>
        <v/>
      </c>
      <c r="AD385" s="91" t="str">
        <f aca="false">IF($Z385=Constants!$B$7,AB385*AC385,"")</f>
        <v/>
      </c>
      <c r="AE385" s="91" t="str">
        <f aca="false">IF($Z385=Constants!$B$7,IF(Y385,T385,Constants!$B$13),"")</f>
        <v/>
      </c>
      <c r="AF385" s="91" t="str">
        <f aca="false">IF($Z385=Constants!$B$7,IF(Y385,P385*IF(U385, 1, Constants!$B$11)*IF(V385, 1, Constants!$B$12),Constants!$B$13),"")</f>
        <v/>
      </c>
      <c r="AG385" s="91" t="str">
        <f aca="false">IF($Z385=Constants!$B$7,AE385*AF385,"")</f>
        <v/>
      </c>
      <c r="AH385" s="91" t="str">
        <f aca="false">IF($Z385=Constants!$B$7,IF(AG385&gt;AD385,2,1),"")</f>
        <v/>
      </c>
      <c r="AI385" s="91" t="str">
        <f aca="false">IF($Z385=Constants!$B$7,IF(AH385=1,2,1),"")</f>
        <v/>
      </c>
      <c r="AJ385" s="91" t="str">
        <f aca="false">IF(ISBLANK($C385),"",IF($Z385&lt;&gt;Constants!$B$7,$Z385,IF(AH385=1,AD385,AG385)))</f>
        <v/>
      </c>
      <c r="AK385" s="91" t="str">
        <f aca="false">IF(ISBLANK($C385),"",IF($Z385=Constants!$B$7,IF(ISNUMBER(AJ385),RANK(AJ385,$AJ$8:$AJ$507),Constants!$B$14),$Z385))</f>
        <v/>
      </c>
      <c r="AL385" s="91" t="str">
        <f aca="false">IF(ISBLANK($C385),"",IF($Z385=Constants!$B$7,IF(AI385=1,AD385,AG385),""))</f>
        <v/>
      </c>
      <c r="AM385" s="91" t="str">
        <f aca="false">IF(ISBLANK($C385),"",IF($Z385=Constants!$B$7,RANK(AL385,$AL$8:$AL$507),$Z385))</f>
        <v/>
      </c>
      <c r="AN385" s="91" t="str">
        <f aca="false">IF(ISBLANK($C385),"",IF($Z385=Constants!$B$7,IF(ISNUMBER(AK385),COUNTIFS($AK$8:$AK$507,"&lt;"&amp;$AK385)+COUNTIFS($AK$8:$AK$507,$AK385,$AM$8:$AM$507,"&lt;"&amp;$AM385)+1,Constants!$B$14),$Z385))</f>
        <v/>
      </c>
      <c r="AO385" s="91" t="str">
        <f aca="false">IF(ISBLANK($C385),"",IF($Z385=Constants!$B$7,IF(ISNUMBER(AK385),AK385-AN385,Constants!$B$14),$Z385))</f>
        <v/>
      </c>
      <c r="AP385" s="92"/>
      <c r="AQ385" s="93" t="str">
        <f aca="false">IF(ISBLANK($C385),"",IF($Z385&lt;&gt;Constants!$B$7,"",AH385))</f>
        <v/>
      </c>
      <c r="AR385" s="94" t="str">
        <f aca="false">IF(ISBLANK($C385),"",IF($Z385&lt;&gt;Constants!$B$7,"",IF(AH385=1,AB385,AE385)))</f>
        <v/>
      </c>
      <c r="AS385" s="95" t="str">
        <f aca="false">IF(ISBLANK($C385),"",IF($Z385&lt;&gt;Constants!$B$7,"",IF(AH385=1,AC385,AF385)))</f>
        <v/>
      </c>
      <c r="AT385" s="96" t="str">
        <f aca="false">IF(ISBLANK($C385),"",IF($Z385&lt;&gt;Constants!$B$7,$Z385,AJ385))</f>
        <v/>
      </c>
      <c r="AU385" s="97" t="str">
        <f aca="false">IF(ISBLANK($C385),"",IF($Z385&lt;&gt;Constants!$B$7,$Z385,AA385))</f>
        <v/>
      </c>
      <c r="AV385" s="98" t="str">
        <f aca="false">IF(ISBLANK($C385),"",AO385)</f>
        <v/>
      </c>
      <c r="AW385" s="98" t="str">
        <f aca="false">IF(ISBLANK($C385),"",AN385)</f>
        <v/>
      </c>
      <c r="AX385" s="99" t="str">
        <f aca="false">IF(ISBLANK($C385),"",IFERROR(_xlfn.SWITCH(AW385,Constants!$B$4,COUNTA($C$8:$C$507)+2,Constants!$B$5,COUNTA($C$8:$C$507)+1,Constants!$B$6,COUNTA($C$8:$C$507)),AW385))</f>
        <v/>
      </c>
      <c r="AY385" s="5"/>
      <c r="AZ385" s="100" t="n">
        <f aca="false">IF(OR(ISNUMBER(AW385),AW385=Constants!$B$4,AW385=Constants!$B$6,AW385=Constants!$B$5),1,0)</f>
        <v>0</v>
      </c>
      <c r="BA385" s="100" t="n">
        <v>378</v>
      </c>
      <c r="BB385" s="100" t="str">
        <f aca="false">IF(ISBLANK($C385),"",IF(ISNUMBER(AX385),AX385+ROW($B385)/1000,""))</f>
        <v/>
      </c>
      <c r="BC385" s="100" t="str">
        <f aca="false">IF(ISNUMBER(BB385),RANK(BB385,$BB$8:$BB$507,1),"")</f>
        <v/>
      </c>
      <c r="BD385" s="100" t="str">
        <f aca="false">IF(ISBLANK($C385),"",$B385)</f>
        <v/>
      </c>
      <c r="BE385" s="100" t="str">
        <f aca="false">IF(ISBLANK($C385),"",$C385)</f>
        <v/>
      </c>
      <c r="BF385" s="100" t="str">
        <f aca="false">IF(ISBLANK($C385),"",$D385)</f>
        <v/>
      </c>
      <c r="BG385" s="101" t="str">
        <f aca="false">AU385</f>
        <v/>
      </c>
      <c r="BH385" s="102" t="str">
        <f aca="false">AT385</f>
        <v/>
      </c>
      <c r="BI385" s="100" t="str">
        <f aca="false">IF(ISBLANK($C385),"",AW385)</f>
        <v/>
      </c>
      <c r="BJ385" s="103" t="str">
        <f aca="false">IF($BA385&gt;$AZ$7,"",VLOOKUP($BA385,$BC$8:$BI$507,7,FALSE()))</f>
        <v/>
      </c>
      <c r="BK385" s="104" t="str">
        <f aca="false">IF($BA385&gt;$AZ$7,"",VLOOKUP($BA385,$BC$8:$BI$507,2,FALSE()))</f>
        <v/>
      </c>
      <c r="BL385" s="104" t="str">
        <f aca="false">IF($BA385&gt;$AZ$7,"",VLOOKUP($BA385,$BC$8:$BI$507,3,FALSE()))</f>
        <v/>
      </c>
      <c r="BM385" s="104" t="str">
        <f aca="false">IF($BA385&gt;$AZ$7,"",VLOOKUP($BA385,$BC$8:$BI$507,4,FALSE()))</f>
        <v/>
      </c>
      <c r="BN385" s="104" t="str">
        <f aca="false">IF($BA385&gt;$AZ$7,"",VLOOKUP($BA385,$BC$8:$BI$507,5,FALSE()))</f>
        <v/>
      </c>
      <c r="BO385" s="105" t="str">
        <f aca="false">IF($BA385&gt;$AZ$7,"",VLOOKUP($BA385,$BC$8:$BI$507,6,FALSE()))</f>
        <v/>
      </c>
      <c r="BP385" s="52"/>
    </row>
    <row r="386" customFormat="false" ht="15.75" hidden="false" customHeight="false" outlineLevel="0" collapsed="false">
      <c r="A386" s="5"/>
      <c r="B386" s="118"/>
      <c r="C386" s="54"/>
      <c r="D386" s="55"/>
      <c r="E386" s="79"/>
      <c r="F386" s="57"/>
      <c r="G386" s="58"/>
      <c r="H386" s="58"/>
      <c r="I386" s="57"/>
      <c r="J386" s="58"/>
      <c r="K386" s="58"/>
      <c r="L386" s="57"/>
      <c r="M386" s="79"/>
      <c r="N386" s="60"/>
      <c r="O386" s="62" t="str">
        <f aca="false">IF(ISBLANK($C386),"",IF(E386=Constants!$B$2, TRUE(), IF(E386=Constants!$B$3, FALSE(), TRUE())))</f>
        <v/>
      </c>
      <c r="P386" s="62" t="str">
        <f aca="false">IF(ISBLANK($C386),"",IF(F386=Constants!$B$16,Constants!$B$9,IF(F386=Constants!$B$17,Constants!$B$10,Constants!$B$8)))</f>
        <v/>
      </c>
      <c r="Q386" s="62" t="str">
        <f aca="false">IF(ISBLANK($C386),"",IF(ISNUMBER(G386),IF(G386&gt;=0,G386,""),""))</f>
        <v/>
      </c>
      <c r="R386" s="62" t="str">
        <f aca="false">IF(ISBLANK($C386),"",IF(H386=Constants!$B$2, TRUE(), IF(H386=Constants!$B$3, FALSE(), TRUE())))</f>
        <v/>
      </c>
      <c r="S386" s="62" t="str">
        <f aca="false">IF(ISBLANK($C386),"",IF(I386=Constants!$B$2, TRUE(), IF(I386=Constants!$B$3, FALSE(), TRUE())))</f>
        <v/>
      </c>
      <c r="T386" s="62" t="str">
        <f aca="false">IF(ISBLANK($C386),"",IF(ISNUMBER(J386),IF(J386&gt;=0,J386,""),""))</f>
        <v/>
      </c>
      <c r="U386" s="62" t="str">
        <f aca="false">IF(ISBLANK($C386),"",IF(K386=Constants!$B$2, TRUE(), IF(K386=Constants!$B$3, FALSE(), TRUE())))</f>
        <v/>
      </c>
      <c r="V386" s="62" t="str">
        <f aca="false">IF(ISBLANK($C386),"",IF(L386=Constants!$B$2, TRUE(), IF(L386=Constants!$B$3, FALSE(), TRUE())))</f>
        <v/>
      </c>
      <c r="W386" s="62" t="str">
        <f aca="false">IF(ISBLANK($C386),"",IF(M386=Constants!$B$2, TRUE(), IF(M386=Constants!$B$3, FALSE(), FALSE())))</f>
        <v/>
      </c>
      <c r="X386" s="62" t="str">
        <f aca="false">IF(ISBLANK($C386),"",AND(Q386&lt;&gt;"",O386))</f>
        <v/>
      </c>
      <c r="Y386" s="62" t="str">
        <f aca="false">IF(ISBLANK($C386),"",AND(T386&lt;&gt;"",O386))</f>
        <v/>
      </c>
      <c r="Z386" s="62" t="str">
        <f aca="false">IF(ISBLANK($C386),"",IF(W386,Constants!$B$4,IF(COUNTA(E386:L386)=0,Constants!$B$5,IF(NOT(O386),Constants!$B$6,IF(AND(NOT(X386),NOT(Y386)),Constants!$B$6,Constants!$B$7)))))</f>
        <v/>
      </c>
      <c r="AA386" s="62" t="str">
        <f aca="false">IF(ISBLANK($C386),"",IF($Z386&lt;&gt;Constants!$B$7,$Z386,Constants!$B$20))</f>
        <v/>
      </c>
      <c r="AB386" s="62" t="str">
        <f aca="false">IF($Z386=Constants!$B$7,IF(X386,Q386,Constants!$B$13),"")</f>
        <v/>
      </c>
      <c r="AC386" s="62" t="str">
        <f aca="false">IF($Z386=Constants!$B$7,IF(X386,P386*IF(R386, 1, Constants!$B$11)*IF(S386, 1, Constants!$B$12),Constants!$B$13),"")</f>
        <v/>
      </c>
      <c r="AD386" s="62" t="str">
        <f aca="false">IF($Z386=Constants!$B$7,AB386*AC386,"")</f>
        <v/>
      </c>
      <c r="AE386" s="62" t="str">
        <f aca="false">IF($Z386=Constants!$B$7,IF(Y386,T386,Constants!$B$13),"")</f>
        <v/>
      </c>
      <c r="AF386" s="62" t="str">
        <f aca="false">IF($Z386=Constants!$B$7,IF(Y386,P386*IF(U386, 1, Constants!$B$11)*IF(V386, 1, Constants!$B$12),Constants!$B$13),"")</f>
        <v/>
      </c>
      <c r="AG386" s="62" t="str">
        <f aca="false">IF($Z386=Constants!$B$7,AE386*AF386,"")</f>
        <v/>
      </c>
      <c r="AH386" s="62" t="str">
        <f aca="false">IF($Z386=Constants!$B$7,IF(AG386&gt;AD386,2,1),"")</f>
        <v/>
      </c>
      <c r="AI386" s="62" t="str">
        <f aca="false">IF($Z386=Constants!$B$7,IF(AH386=1,2,1),"")</f>
        <v/>
      </c>
      <c r="AJ386" s="62" t="str">
        <f aca="false">IF(ISBLANK($C386),"",IF($Z386&lt;&gt;Constants!$B$7,$Z386,IF(AH386=1,AD386,AG386)))</f>
        <v/>
      </c>
      <c r="AK386" s="62" t="str">
        <f aca="false">IF(ISBLANK($C386),"",IF($Z386=Constants!$B$7,IF(ISNUMBER(AJ386),RANK(AJ386,$AJ$8:$AJ$507),Constants!$B$14),$Z386))</f>
        <v/>
      </c>
      <c r="AL386" s="62" t="str">
        <f aca="false">IF(ISBLANK($C386),"",IF($Z386=Constants!$B$7,IF(AI386=1,AD386,AG386),""))</f>
        <v/>
      </c>
      <c r="AM386" s="62" t="str">
        <f aca="false">IF(ISBLANK($C386),"",IF($Z386=Constants!$B$7,RANK(AL386,$AL$8:$AL$507),$Z386))</f>
        <v/>
      </c>
      <c r="AN386" s="62" t="str">
        <f aca="false">IF(ISBLANK($C386),"",IF($Z386=Constants!$B$7,IF(ISNUMBER(AK386),COUNTIFS($AK$8:$AK$507,"&lt;"&amp;$AK386)+COUNTIFS($AK$8:$AK$507,$AK386,$AM$8:$AM$507,"&lt;"&amp;$AM386)+1,Constants!$B$14),$Z386))</f>
        <v/>
      </c>
      <c r="AO386" s="62" t="str">
        <f aca="false">IF(ISBLANK($C386),"",IF($Z386=Constants!$B$7,IF(ISNUMBER(AK386),AK386-AN386,Constants!$B$14),$Z386))</f>
        <v/>
      </c>
      <c r="AP386" s="64"/>
      <c r="AQ386" s="65" t="str">
        <f aca="false">IF(ISBLANK($C386),"",IF($Z386&lt;&gt;Constants!$B$7,"",AH386))</f>
        <v/>
      </c>
      <c r="AR386" s="80" t="str">
        <f aca="false">IF(ISBLANK($C386),"",IF($Z386&lt;&gt;Constants!$B$7,"",IF(AH386=1,AB386,AE386)))</f>
        <v/>
      </c>
      <c r="AS386" s="67" t="str">
        <f aca="false">IF(ISBLANK($C386),"",IF($Z386&lt;&gt;Constants!$B$7,"",IF(AH386=1,AC386,AF386)))</f>
        <v/>
      </c>
      <c r="AT386" s="68" t="str">
        <f aca="false">IF(ISBLANK($C386),"",IF($Z386&lt;&gt;Constants!$B$7,$Z386,AJ386))</f>
        <v/>
      </c>
      <c r="AU386" s="69" t="str">
        <f aca="false">IF(ISBLANK($C386),"",IF($Z386&lt;&gt;Constants!$B$7,$Z386,AA386))</f>
        <v/>
      </c>
      <c r="AV386" s="70" t="str">
        <f aca="false">IF(ISBLANK($C386),"",AO386)</f>
        <v/>
      </c>
      <c r="AW386" s="70" t="str">
        <f aca="false">IF(ISBLANK($C386),"",AN386)</f>
        <v/>
      </c>
      <c r="AX386" s="71" t="str">
        <f aca="false">IF(ISBLANK($C386),"",IFERROR(_xlfn.SWITCH(AW386,Constants!$B$4,COUNTA($C$8:$C$507)+2,Constants!$B$5,COUNTA($C$8:$C$507)+1,Constants!$B$6,COUNTA($C$8:$C$507)),AW386))</f>
        <v/>
      </c>
      <c r="AY386" s="5"/>
      <c r="AZ386" s="72" t="n">
        <f aca="false">IF(OR(ISNUMBER(AW386),AW386=Constants!$B$4,AW386=Constants!$B$6,AW386=Constants!$B$5),1,0)</f>
        <v>0</v>
      </c>
      <c r="BA386" s="72" t="n">
        <v>379</v>
      </c>
      <c r="BB386" s="72" t="str">
        <f aca="false">IF(ISBLANK($C386),"",IF(ISNUMBER(AX386),AX386+ROW($B386)/1000,""))</f>
        <v/>
      </c>
      <c r="BC386" s="72" t="str">
        <f aca="false">IF(ISNUMBER(BB386),RANK(BB386,$BB$8:$BB$507,1),"")</f>
        <v/>
      </c>
      <c r="BD386" s="72" t="str">
        <f aca="false">IF(ISBLANK($C386),"",$B386)</f>
        <v/>
      </c>
      <c r="BE386" s="72" t="str">
        <f aca="false">IF(ISBLANK($C386),"",$C386)</f>
        <v/>
      </c>
      <c r="BF386" s="72" t="str">
        <f aca="false">IF(ISBLANK($C386),"",$D386)</f>
        <v/>
      </c>
      <c r="BG386" s="73" t="str">
        <f aca="false">AU386</f>
        <v/>
      </c>
      <c r="BH386" s="74" t="str">
        <f aca="false">AT386</f>
        <v/>
      </c>
      <c r="BI386" s="72" t="str">
        <f aca="false">IF(ISBLANK($C386),"",AW386)</f>
        <v/>
      </c>
      <c r="BJ386" s="75" t="str">
        <f aca="false">IF($BA386&gt;$AZ$7,"",VLOOKUP($BA386,$BC$8:$BI$507,7,FALSE()))</f>
        <v/>
      </c>
      <c r="BK386" s="76" t="str">
        <f aca="false">IF($BA386&gt;$AZ$7,"",VLOOKUP($BA386,$BC$8:$BI$507,2,FALSE()))</f>
        <v/>
      </c>
      <c r="BL386" s="76" t="str">
        <f aca="false">IF($BA386&gt;$AZ$7,"",VLOOKUP($BA386,$BC$8:$BI$507,3,FALSE()))</f>
        <v/>
      </c>
      <c r="BM386" s="76" t="str">
        <f aca="false">IF($BA386&gt;$AZ$7,"",VLOOKUP($BA386,$BC$8:$BI$507,4,FALSE()))</f>
        <v/>
      </c>
      <c r="BN386" s="76" t="str">
        <f aca="false">IF($BA386&gt;$AZ$7,"",VLOOKUP($BA386,$BC$8:$BI$507,5,FALSE()))</f>
        <v/>
      </c>
      <c r="BO386" s="77" t="str">
        <f aca="false">IF($BA386&gt;$AZ$7,"",VLOOKUP($BA386,$BC$8:$BI$507,6,FALSE()))</f>
        <v/>
      </c>
      <c r="BP386" s="52"/>
    </row>
    <row r="387" customFormat="false" ht="15.75" hidden="false" customHeight="false" outlineLevel="0" collapsed="false">
      <c r="A387" s="5"/>
      <c r="B387" s="118"/>
      <c r="C387" s="54"/>
      <c r="D387" s="55"/>
      <c r="E387" s="79"/>
      <c r="F387" s="57"/>
      <c r="G387" s="58"/>
      <c r="H387" s="58"/>
      <c r="I387" s="57"/>
      <c r="J387" s="58"/>
      <c r="K387" s="58"/>
      <c r="L387" s="57"/>
      <c r="M387" s="79"/>
      <c r="N387" s="60"/>
      <c r="O387" s="62" t="str">
        <f aca="false">IF(ISBLANK($C387),"",IF(E387=Constants!$B$2, TRUE(), IF(E387=Constants!$B$3, FALSE(), TRUE())))</f>
        <v/>
      </c>
      <c r="P387" s="62" t="str">
        <f aca="false">IF(ISBLANK($C387),"",IF(F387=Constants!$B$16,Constants!$B$9,IF(F387=Constants!$B$17,Constants!$B$10,Constants!$B$8)))</f>
        <v/>
      </c>
      <c r="Q387" s="62" t="str">
        <f aca="false">IF(ISBLANK($C387),"",IF(ISNUMBER(G387),IF(G387&gt;=0,G387,""),""))</f>
        <v/>
      </c>
      <c r="R387" s="62" t="str">
        <f aca="false">IF(ISBLANK($C387),"",IF(H387=Constants!$B$2, TRUE(), IF(H387=Constants!$B$3, FALSE(), TRUE())))</f>
        <v/>
      </c>
      <c r="S387" s="62" t="str">
        <f aca="false">IF(ISBLANK($C387),"",IF(I387=Constants!$B$2, TRUE(), IF(I387=Constants!$B$3, FALSE(), TRUE())))</f>
        <v/>
      </c>
      <c r="T387" s="62" t="str">
        <f aca="false">IF(ISBLANK($C387),"",IF(ISNUMBER(J387),IF(J387&gt;=0,J387,""),""))</f>
        <v/>
      </c>
      <c r="U387" s="62" t="str">
        <f aca="false">IF(ISBLANK($C387),"",IF(K387=Constants!$B$2, TRUE(), IF(K387=Constants!$B$3, FALSE(), TRUE())))</f>
        <v/>
      </c>
      <c r="V387" s="62" t="str">
        <f aca="false">IF(ISBLANK($C387),"",IF(L387=Constants!$B$2, TRUE(), IF(L387=Constants!$B$3, FALSE(), TRUE())))</f>
        <v/>
      </c>
      <c r="W387" s="62" t="str">
        <f aca="false">IF(ISBLANK($C387),"",IF(M387=Constants!$B$2, TRUE(), IF(M387=Constants!$B$3, FALSE(), FALSE())))</f>
        <v/>
      </c>
      <c r="X387" s="62" t="str">
        <f aca="false">IF(ISBLANK($C387),"",AND(Q387&lt;&gt;"",O387))</f>
        <v/>
      </c>
      <c r="Y387" s="62" t="str">
        <f aca="false">IF(ISBLANK($C387),"",AND(T387&lt;&gt;"",O387))</f>
        <v/>
      </c>
      <c r="Z387" s="62" t="str">
        <f aca="false">IF(ISBLANK($C387),"",IF(W387,Constants!$B$4,IF(COUNTA(E387:L387)=0,Constants!$B$5,IF(NOT(O387),Constants!$B$6,IF(AND(NOT(X387),NOT(Y387)),Constants!$B$6,Constants!$B$7)))))</f>
        <v/>
      </c>
      <c r="AA387" s="62" t="str">
        <f aca="false">IF(ISBLANK($C387),"",IF($Z387&lt;&gt;Constants!$B$7,$Z387,Constants!$B$20))</f>
        <v/>
      </c>
      <c r="AB387" s="62" t="str">
        <f aca="false">IF($Z387=Constants!$B$7,IF(X387,Q387,Constants!$B$13),"")</f>
        <v/>
      </c>
      <c r="AC387" s="62" t="str">
        <f aca="false">IF($Z387=Constants!$B$7,IF(X387,P387*IF(R387, 1, Constants!$B$11)*IF(S387, 1, Constants!$B$12),Constants!$B$13),"")</f>
        <v/>
      </c>
      <c r="AD387" s="62" t="str">
        <f aca="false">IF($Z387=Constants!$B$7,AB387*AC387,"")</f>
        <v/>
      </c>
      <c r="AE387" s="62" t="str">
        <f aca="false">IF($Z387=Constants!$B$7,IF(Y387,T387,Constants!$B$13),"")</f>
        <v/>
      </c>
      <c r="AF387" s="62" t="str">
        <f aca="false">IF($Z387=Constants!$B$7,IF(Y387,P387*IF(U387, 1, Constants!$B$11)*IF(V387, 1, Constants!$B$12),Constants!$B$13),"")</f>
        <v/>
      </c>
      <c r="AG387" s="62" t="str">
        <f aca="false">IF($Z387=Constants!$B$7,AE387*AF387,"")</f>
        <v/>
      </c>
      <c r="AH387" s="62" t="str">
        <f aca="false">IF($Z387=Constants!$B$7,IF(AG387&gt;AD387,2,1),"")</f>
        <v/>
      </c>
      <c r="AI387" s="62" t="str">
        <f aca="false">IF($Z387=Constants!$B$7,IF(AH387=1,2,1),"")</f>
        <v/>
      </c>
      <c r="AJ387" s="62" t="str">
        <f aca="false">IF(ISBLANK($C387),"",IF($Z387&lt;&gt;Constants!$B$7,$Z387,IF(AH387=1,AD387,AG387)))</f>
        <v/>
      </c>
      <c r="AK387" s="62" t="str">
        <f aca="false">IF(ISBLANK($C387),"",IF($Z387=Constants!$B$7,IF(ISNUMBER(AJ387),RANK(AJ387,$AJ$8:$AJ$507),Constants!$B$14),$Z387))</f>
        <v/>
      </c>
      <c r="AL387" s="62" t="str">
        <f aca="false">IF(ISBLANK($C387),"",IF($Z387=Constants!$B$7,IF(AI387=1,AD387,AG387),""))</f>
        <v/>
      </c>
      <c r="AM387" s="62" t="str">
        <f aca="false">IF(ISBLANK($C387),"",IF($Z387=Constants!$B$7,RANK(AL387,$AL$8:$AL$507),$Z387))</f>
        <v/>
      </c>
      <c r="AN387" s="62" t="str">
        <f aca="false">IF(ISBLANK($C387),"",IF($Z387=Constants!$B$7,IF(ISNUMBER(AK387),COUNTIFS($AK$8:$AK$507,"&lt;"&amp;$AK387)+COUNTIFS($AK$8:$AK$507,$AK387,$AM$8:$AM$507,"&lt;"&amp;$AM387)+1,Constants!$B$14),$Z387))</f>
        <v/>
      </c>
      <c r="AO387" s="62" t="str">
        <f aca="false">IF(ISBLANK($C387),"",IF($Z387=Constants!$B$7,IF(ISNUMBER(AK387),AK387-AN387,Constants!$B$14),$Z387))</f>
        <v/>
      </c>
      <c r="AP387" s="64"/>
      <c r="AQ387" s="65" t="str">
        <f aca="false">IF(ISBLANK($C387),"",IF($Z387&lt;&gt;Constants!$B$7,"",AH387))</f>
        <v/>
      </c>
      <c r="AR387" s="80" t="str">
        <f aca="false">IF(ISBLANK($C387),"",IF($Z387&lt;&gt;Constants!$B$7,"",IF(AH387=1,AB387,AE387)))</f>
        <v/>
      </c>
      <c r="AS387" s="67" t="str">
        <f aca="false">IF(ISBLANK($C387),"",IF($Z387&lt;&gt;Constants!$B$7,"",IF(AH387=1,AC387,AF387)))</f>
        <v/>
      </c>
      <c r="AT387" s="68" t="str">
        <f aca="false">IF(ISBLANK($C387),"",IF($Z387&lt;&gt;Constants!$B$7,$Z387,AJ387))</f>
        <v/>
      </c>
      <c r="AU387" s="69" t="str">
        <f aca="false">IF(ISBLANK($C387),"",IF($Z387&lt;&gt;Constants!$B$7,$Z387,AA387))</f>
        <v/>
      </c>
      <c r="AV387" s="70" t="str">
        <f aca="false">IF(ISBLANK($C387),"",AO387)</f>
        <v/>
      </c>
      <c r="AW387" s="70" t="str">
        <f aca="false">IF(ISBLANK($C387),"",AN387)</f>
        <v/>
      </c>
      <c r="AX387" s="71" t="str">
        <f aca="false">IF(ISBLANK($C387),"",IFERROR(_xlfn.SWITCH(AW387,Constants!$B$4,COUNTA($C$8:$C$507)+2,Constants!$B$5,COUNTA($C$8:$C$507)+1,Constants!$B$6,COUNTA($C$8:$C$507)),AW387))</f>
        <v/>
      </c>
      <c r="AY387" s="5"/>
      <c r="AZ387" s="72" t="n">
        <f aca="false">IF(OR(ISNUMBER(AW387),AW387=Constants!$B$4,AW387=Constants!$B$6,AW387=Constants!$B$5),1,0)</f>
        <v>0</v>
      </c>
      <c r="BA387" s="72" t="n">
        <v>380</v>
      </c>
      <c r="BB387" s="72" t="str">
        <f aca="false">IF(ISBLANK($C387),"",IF(ISNUMBER(AX387),AX387+ROW($B387)/1000,""))</f>
        <v/>
      </c>
      <c r="BC387" s="72" t="str">
        <f aca="false">IF(ISNUMBER(BB387),RANK(BB387,$BB$8:$BB$507,1),"")</f>
        <v/>
      </c>
      <c r="BD387" s="72" t="str">
        <f aca="false">IF(ISBLANK($C387),"",$B387)</f>
        <v/>
      </c>
      <c r="BE387" s="72" t="str">
        <f aca="false">IF(ISBLANK($C387),"",$C387)</f>
        <v/>
      </c>
      <c r="BF387" s="72" t="str">
        <f aca="false">IF(ISBLANK($C387),"",$D387)</f>
        <v/>
      </c>
      <c r="BG387" s="73" t="str">
        <f aca="false">AU387</f>
        <v/>
      </c>
      <c r="BH387" s="74" t="str">
        <f aca="false">AT387</f>
        <v/>
      </c>
      <c r="BI387" s="72" t="str">
        <f aca="false">IF(ISBLANK($C387),"",AW387)</f>
        <v/>
      </c>
      <c r="BJ387" s="75" t="str">
        <f aca="false">IF($BA387&gt;$AZ$7,"",VLOOKUP($BA387,$BC$8:$BI$507,7,FALSE()))</f>
        <v/>
      </c>
      <c r="BK387" s="76" t="str">
        <f aca="false">IF($BA387&gt;$AZ$7,"",VLOOKUP($BA387,$BC$8:$BI$507,2,FALSE()))</f>
        <v/>
      </c>
      <c r="BL387" s="76" t="str">
        <f aca="false">IF($BA387&gt;$AZ$7,"",VLOOKUP($BA387,$BC$8:$BI$507,3,FALSE()))</f>
        <v/>
      </c>
      <c r="BM387" s="76" t="str">
        <f aca="false">IF($BA387&gt;$AZ$7,"",VLOOKUP($BA387,$BC$8:$BI$507,4,FALSE()))</f>
        <v/>
      </c>
      <c r="BN387" s="76" t="str">
        <f aca="false">IF($BA387&gt;$AZ$7,"",VLOOKUP($BA387,$BC$8:$BI$507,5,FALSE()))</f>
        <v/>
      </c>
      <c r="BO387" s="77" t="str">
        <f aca="false">IF($BA387&gt;$AZ$7,"",VLOOKUP($BA387,$BC$8:$BI$507,6,FALSE()))</f>
        <v/>
      </c>
      <c r="BP387" s="52"/>
    </row>
    <row r="388" customFormat="false" ht="15.75" hidden="false" customHeight="false" outlineLevel="0" collapsed="false">
      <c r="A388" s="5"/>
      <c r="B388" s="118"/>
      <c r="C388" s="54"/>
      <c r="D388" s="55"/>
      <c r="E388" s="79"/>
      <c r="F388" s="57"/>
      <c r="G388" s="58"/>
      <c r="H388" s="58"/>
      <c r="I388" s="57"/>
      <c r="J388" s="58"/>
      <c r="K388" s="58"/>
      <c r="L388" s="57"/>
      <c r="M388" s="79"/>
      <c r="N388" s="60"/>
      <c r="O388" s="62" t="str">
        <f aca="false">IF(ISBLANK($C388),"",IF(E388=Constants!$B$2, TRUE(), IF(E388=Constants!$B$3, FALSE(), TRUE())))</f>
        <v/>
      </c>
      <c r="P388" s="62" t="str">
        <f aca="false">IF(ISBLANK($C388),"",IF(F388=Constants!$B$16,Constants!$B$9,IF(F388=Constants!$B$17,Constants!$B$10,Constants!$B$8)))</f>
        <v/>
      </c>
      <c r="Q388" s="62" t="str">
        <f aca="false">IF(ISBLANK($C388),"",IF(ISNUMBER(G388),IF(G388&gt;=0,G388,""),""))</f>
        <v/>
      </c>
      <c r="R388" s="62" t="str">
        <f aca="false">IF(ISBLANK($C388),"",IF(H388=Constants!$B$2, TRUE(), IF(H388=Constants!$B$3, FALSE(), TRUE())))</f>
        <v/>
      </c>
      <c r="S388" s="62" t="str">
        <f aca="false">IF(ISBLANK($C388),"",IF(I388=Constants!$B$2, TRUE(), IF(I388=Constants!$B$3, FALSE(), TRUE())))</f>
        <v/>
      </c>
      <c r="T388" s="62" t="str">
        <f aca="false">IF(ISBLANK($C388),"",IF(ISNUMBER(J388),IF(J388&gt;=0,J388,""),""))</f>
        <v/>
      </c>
      <c r="U388" s="62" t="str">
        <f aca="false">IF(ISBLANK($C388),"",IF(K388=Constants!$B$2, TRUE(), IF(K388=Constants!$B$3, FALSE(), TRUE())))</f>
        <v/>
      </c>
      <c r="V388" s="62" t="str">
        <f aca="false">IF(ISBLANK($C388),"",IF(L388=Constants!$B$2, TRUE(), IF(L388=Constants!$B$3, FALSE(), TRUE())))</f>
        <v/>
      </c>
      <c r="W388" s="62" t="str">
        <f aca="false">IF(ISBLANK($C388),"",IF(M388=Constants!$B$2, TRUE(), IF(M388=Constants!$B$3, FALSE(), FALSE())))</f>
        <v/>
      </c>
      <c r="X388" s="62" t="str">
        <f aca="false">IF(ISBLANK($C388),"",AND(Q388&lt;&gt;"",O388))</f>
        <v/>
      </c>
      <c r="Y388" s="62" t="str">
        <f aca="false">IF(ISBLANK($C388),"",AND(T388&lt;&gt;"",O388))</f>
        <v/>
      </c>
      <c r="Z388" s="62" t="str">
        <f aca="false">IF(ISBLANK($C388),"",IF(W388,Constants!$B$4,IF(COUNTA(E388:L388)=0,Constants!$B$5,IF(NOT(O388),Constants!$B$6,IF(AND(NOT(X388),NOT(Y388)),Constants!$B$6,Constants!$B$7)))))</f>
        <v/>
      </c>
      <c r="AA388" s="62" t="str">
        <f aca="false">IF(ISBLANK($C388),"",IF($Z388&lt;&gt;Constants!$B$7,$Z388,Constants!$B$20))</f>
        <v/>
      </c>
      <c r="AB388" s="62" t="str">
        <f aca="false">IF($Z388=Constants!$B$7,IF(X388,Q388,Constants!$B$13),"")</f>
        <v/>
      </c>
      <c r="AC388" s="62" t="str">
        <f aca="false">IF($Z388=Constants!$B$7,IF(X388,P388*IF(R388, 1, Constants!$B$11)*IF(S388, 1, Constants!$B$12),Constants!$B$13),"")</f>
        <v/>
      </c>
      <c r="AD388" s="62" t="str">
        <f aca="false">IF($Z388=Constants!$B$7,AB388*AC388,"")</f>
        <v/>
      </c>
      <c r="AE388" s="62" t="str">
        <f aca="false">IF($Z388=Constants!$B$7,IF(Y388,T388,Constants!$B$13),"")</f>
        <v/>
      </c>
      <c r="AF388" s="62" t="str">
        <f aca="false">IF($Z388=Constants!$B$7,IF(Y388,P388*IF(U388, 1, Constants!$B$11)*IF(V388, 1, Constants!$B$12),Constants!$B$13),"")</f>
        <v/>
      </c>
      <c r="AG388" s="62" t="str">
        <f aca="false">IF($Z388=Constants!$B$7,AE388*AF388,"")</f>
        <v/>
      </c>
      <c r="AH388" s="62" t="str">
        <f aca="false">IF($Z388=Constants!$B$7,IF(AG388&gt;AD388,2,1),"")</f>
        <v/>
      </c>
      <c r="AI388" s="62" t="str">
        <f aca="false">IF($Z388=Constants!$B$7,IF(AH388=1,2,1),"")</f>
        <v/>
      </c>
      <c r="AJ388" s="62" t="str">
        <f aca="false">IF(ISBLANK($C388),"",IF($Z388&lt;&gt;Constants!$B$7,$Z388,IF(AH388=1,AD388,AG388)))</f>
        <v/>
      </c>
      <c r="AK388" s="62" t="str">
        <f aca="false">IF(ISBLANK($C388),"",IF($Z388=Constants!$B$7,IF(ISNUMBER(AJ388),RANK(AJ388,$AJ$8:$AJ$507),Constants!$B$14),$Z388))</f>
        <v/>
      </c>
      <c r="AL388" s="62" t="str">
        <f aca="false">IF(ISBLANK($C388),"",IF($Z388=Constants!$B$7,IF(AI388=1,AD388,AG388),""))</f>
        <v/>
      </c>
      <c r="AM388" s="62" t="str">
        <f aca="false">IF(ISBLANK($C388),"",IF($Z388=Constants!$B$7,RANK(AL388,$AL$8:$AL$507),$Z388))</f>
        <v/>
      </c>
      <c r="AN388" s="62" t="str">
        <f aca="false">IF(ISBLANK($C388),"",IF($Z388=Constants!$B$7,IF(ISNUMBER(AK388),COUNTIFS($AK$8:$AK$507,"&lt;"&amp;$AK388)+COUNTIFS($AK$8:$AK$507,$AK388,$AM$8:$AM$507,"&lt;"&amp;$AM388)+1,Constants!$B$14),$Z388))</f>
        <v/>
      </c>
      <c r="AO388" s="62" t="str">
        <f aca="false">IF(ISBLANK($C388),"",IF($Z388=Constants!$B$7,IF(ISNUMBER(AK388),AK388-AN388,Constants!$B$14),$Z388))</f>
        <v/>
      </c>
      <c r="AP388" s="64"/>
      <c r="AQ388" s="65" t="str">
        <f aca="false">IF(ISBLANK($C388),"",IF($Z388&lt;&gt;Constants!$B$7,"",AH388))</f>
        <v/>
      </c>
      <c r="AR388" s="80" t="str">
        <f aca="false">IF(ISBLANK($C388),"",IF($Z388&lt;&gt;Constants!$B$7,"",IF(AH388=1,AB388,AE388)))</f>
        <v/>
      </c>
      <c r="AS388" s="67" t="str">
        <f aca="false">IF(ISBLANK($C388),"",IF($Z388&lt;&gt;Constants!$B$7,"",IF(AH388=1,AC388,AF388)))</f>
        <v/>
      </c>
      <c r="AT388" s="68" t="str">
        <f aca="false">IF(ISBLANK($C388),"",IF($Z388&lt;&gt;Constants!$B$7,$Z388,AJ388))</f>
        <v/>
      </c>
      <c r="AU388" s="69" t="str">
        <f aca="false">IF(ISBLANK($C388),"",IF($Z388&lt;&gt;Constants!$B$7,$Z388,AA388))</f>
        <v/>
      </c>
      <c r="AV388" s="70" t="str">
        <f aca="false">IF(ISBLANK($C388),"",AO388)</f>
        <v/>
      </c>
      <c r="AW388" s="70" t="str">
        <f aca="false">IF(ISBLANK($C388),"",AN388)</f>
        <v/>
      </c>
      <c r="AX388" s="71" t="str">
        <f aca="false">IF(ISBLANK($C388),"",IFERROR(_xlfn.SWITCH(AW388,Constants!$B$4,COUNTA($C$8:$C$507)+2,Constants!$B$5,COUNTA($C$8:$C$507)+1,Constants!$B$6,COUNTA($C$8:$C$507)),AW388))</f>
        <v/>
      </c>
      <c r="AY388" s="5"/>
      <c r="AZ388" s="72" t="n">
        <f aca="false">IF(OR(ISNUMBER(AW388),AW388=Constants!$B$4,AW388=Constants!$B$6,AW388=Constants!$B$5),1,0)</f>
        <v>0</v>
      </c>
      <c r="BA388" s="72" t="n">
        <v>381</v>
      </c>
      <c r="BB388" s="72" t="str">
        <f aca="false">IF(ISBLANK($C388),"",IF(ISNUMBER(AX388),AX388+ROW($B388)/1000,""))</f>
        <v/>
      </c>
      <c r="BC388" s="72" t="str">
        <f aca="false">IF(ISNUMBER(BB388),RANK(BB388,$BB$8:$BB$507,1),"")</f>
        <v/>
      </c>
      <c r="BD388" s="72" t="str">
        <f aca="false">IF(ISBLANK($C388),"",$B388)</f>
        <v/>
      </c>
      <c r="BE388" s="72" t="str">
        <f aca="false">IF(ISBLANK($C388),"",$C388)</f>
        <v/>
      </c>
      <c r="BF388" s="72" t="str">
        <f aca="false">IF(ISBLANK($C388),"",$D388)</f>
        <v/>
      </c>
      <c r="BG388" s="73" t="str">
        <f aca="false">AU388</f>
        <v/>
      </c>
      <c r="BH388" s="74" t="str">
        <f aca="false">AT388</f>
        <v/>
      </c>
      <c r="BI388" s="72" t="str">
        <f aca="false">IF(ISBLANK($C388),"",AW388)</f>
        <v/>
      </c>
      <c r="BJ388" s="75" t="str">
        <f aca="false">IF($BA388&gt;$AZ$7,"",VLOOKUP($BA388,$BC$8:$BI$507,7,FALSE()))</f>
        <v/>
      </c>
      <c r="BK388" s="76" t="str">
        <f aca="false">IF($BA388&gt;$AZ$7,"",VLOOKUP($BA388,$BC$8:$BI$507,2,FALSE()))</f>
        <v/>
      </c>
      <c r="BL388" s="76" t="str">
        <f aca="false">IF($BA388&gt;$AZ$7,"",VLOOKUP($BA388,$BC$8:$BI$507,3,FALSE()))</f>
        <v/>
      </c>
      <c r="BM388" s="76" t="str">
        <f aca="false">IF($BA388&gt;$AZ$7,"",VLOOKUP($BA388,$BC$8:$BI$507,4,FALSE()))</f>
        <v/>
      </c>
      <c r="BN388" s="76" t="str">
        <f aca="false">IF($BA388&gt;$AZ$7,"",VLOOKUP($BA388,$BC$8:$BI$507,5,FALSE()))</f>
        <v/>
      </c>
      <c r="BO388" s="77" t="str">
        <f aca="false">IF($BA388&gt;$AZ$7,"",VLOOKUP($BA388,$BC$8:$BI$507,6,FALSE()))</f>
        <v/>
      </c>
      <c r="BP388" s="52"/>
    </row>
    <row r="389" customFormat="false" ht="15.75" hidden="false" customHeight="false" outlineLevel="0" collapsed="false">
      <c r="A389" s="5"/>
      <c r="B389" s="114"/>
      <c r="C389" s="115"/>
      <c r="D389" s="106"/>
      <c r="E389" s="117"/>
      <c r="F389" s="87"/>
      <c r="G389" s="88"/>
      <c r="H389" s="88"/>
      <c r="I389" s="87"/>
      <c r="J389" s="88"/>
      <c r="K389" s="88"/>
      <c r="L389" s="87"/>
      <c r="M389" s="117"/>
      <c r="N389" s="90"/>
      <c r="O389" s="91" t="str">
        <f aca="false">IF(ISBLANK($C389),"",IF(E389=Constants!$B$2, TRUE(), IF(E389=Constants!$B$3, FALSE(), TRUE())))</f>
        <v/>
      </c>
      <c r="P389" s="91" t="str">
        <f aca="false">IF(ISBLANK($C389),"",IF(F389=Constants!$B$16,Constants!$B$9,IF(F389=Constants!$B$17,Constants!$B$10,Constants!$B$8)))</f>
        <v/>
      </c>
      <c r="Q389" s="91" t="str">
        <f aca="false">IF(ISBLANK($C389),"",IF(ISNUMBER(G389),IF(G389&gt;=0,G389,""),""))</f>
        <v/>
      </c>
      <c r="R389" s="91" t="str">
        <f aca="false">IF(ISBLANK($C389),"",IF(H389=Constants!$B$2, TRUE(), IF(H389=Constants!$B$3, FALSE(), TRUE())))</f>
        <v/>
      </c>
      <c r="S389" s="91" t="str">
        <f aca="false">IF(ISBLANK($C389),"",IF(I389=Constants!$B$2, TRUE(), IF(I389=Constants!$B$3, FALSE(), TRUE())))</f>
        <v/>
      </c>
      <c r="T389" s="91" t="str">
        <f aca="false">IF(ISBLANK($C389),"",IF(ISNUMBER(J389),IF(J389&gt;=0,J389,""),""))</f>
        <v/>
      </c>
      <c r="U389" s="91" t="str">
        <f aca="false">IF(ISBLANK($C389),"",IF(K389=Constants!$B$2, TRUE(), IF(K389=Constants!$B$3, FALSE(), TRUE())))</f>
        <v/>
      </c>
      <c r="V389" s="91" t="str">
        <f aca="false">IF(ISBLANK($C389),"",IF(L389=Constants!$B$2, TRUE(), IF(L389=Constants!$B$3, FALSE(), TRUE())))</f>
        <v/>
      </c>
      <c r="W389" s="91" t="str">
        <f aca="false">IF(ISBLANK($C389),"",IF(M389=Constants!$B$2, TRUE(), IF(M389=Constants!$B$3, FALSE(), FALSE())))</f>
        <v/>
      </c>
      <c r="X389" s="91" t="str">
        <f aca="false">IF(ISBLANK($C389),"",AND(Q389&lt;&gt;"",O389))</f>
        <v/>
      </c>
      <c r="Y389" s="91" t="str">
        <f aca="false">IF(ISBLANK($C389),"",AND(T389&lt;&gt;"",O389))</f>
        <v/>
      </c>
      <c r="Z389" s="91" t="str">
        <f aca="false">IF(ISBLANK($C389),"",IF(W389,Constants!$B$4,IF(COUNTA(E389:L389)=0,Constants!$B$5,IF(NOT(O389),Constants!$B$6,IF(AND(NOT(X389),NOT(Y389)),Constants!$B$6,Constants!$B$7)))))</f>
        <v/>
      </c>
      <c r="AA389" s="91" t="str">
        <f aca="false">IF(ISBLANK($C389),"",IF($Z389&lt;&gt;Constants!$B$7,$Z389,Constants!$B$20))</f>
        <v/>
      </c>
      <c r="AB389" s="91" t="str">
        <f aca="false">IF($Z389=Constants!$B$7,IF(X389,Q389,Constants!$B$13),"")</f>
        <v/>
      </c>
      <c r="AC389" s="91" t="str">
        <f aca="false">IF($Z389=Constants!$B$7,IF(X389,P389*IF(R389, 1, Constants!$B$11)*IF(S389, 1, Constants!$B$12),Constants!$B$13),"")</f>
        <v/>
      </c>
      <c r="AD389" s="91" t="str">
        <f aca="false">IF($Z389=Constants!$B$7,AB389*AC389,"")</f>
        <v/>
      </c>
      <c r="AE389" s="91" t="str">
        <f aca="false">IF($Z389=Constants!$B$7,IF(Y389,T389,Constants!$B$13),"")</f>
        <v/>
      </c>
      <c r="AF389" s="91" t="str">
        <f aca="false">IF($Z389=Constants!$B$7,IF(Y389,P389*IF(U389, 1, Constants!$B$11)*IF(V389, 1, Constants!$B$12),Constants!$B$13),"")</f>
        <v/>
      </c>
      <c r="AG389" s="91" t="str">
        <f aca="false">IF($Z389=Constants!$B$7,AE389*AF389,"")</f>
        <v/>
      </c>
      <c r="AH389" s="91" t="str">
        <f aca="false">IF($Z389=Constants!$B$7,IF(AG389&gt;AD389,2,1),"")</f>
        <v/>
      </c>
      <c r="AI389" s="91" t="str">
        <f aca="false">IF($Z389=Constants!$B$7,IF(AH389=1,2,1),"")</f>
        <v/>
      </c>
      <c r="AJ389" s="91" t="str">
        <f aca="false">IF(ISBLANK($C389),"",IF($Z389&lt;&gt;Constants!$B$7,$Z389,IF(AH389=1,AD389,AG389)))</f>
        <v/>
      </c>
      <c r="AK389" s="91" t="str">
        <f aca="false">IF(ISBLANK($C389),"",IF($Z389=Constants!$B$7,IF(ISNUMBER(AJ389),RANK(AJ389,$AJ$8:$AJ$507),Constants!$B$14),$Z389))</f>
        <v/>
      </c>
      <c r="AL389" s="91" t="str">
        <f aca="false">IF(ISBLANK($C389),"",IF($Z389=Constants!$B$7,IF(AI389=1,AD389,AG389),""))</f>
        <v/>
      </c>
      <c r="AM389" s="91" t="str">
        <f aca="false">IF(ISBLANK($C389),"",IF($Z389=Constants!$B$7,RANK(AL389,$AL$8:$AL$507),$Z389))</f>
        <v/>
      </c>
      <c r="AN389" s="91" t="str">
        <f aca="false">IF(ISBLANK($C389),"",IF($Z389=Constants!$B$7,IF(ISNUMBER(AK389),COUNTIFS($AK$8:$AK$507,"&lt;"&amp;$AK389)+COUNTIFS($AK$8:$AK$507,$AK389,$AM$8:$AM$507,"&lt;"&amp;$AM389)+1,Constants!$B$14),$Z389))</f>
        <v/>
      </c>
      <c r="AO389" s="91" t="str">
        <f aca="false">IF(ISBLANK($C389),"",IF($Z389=Constants!$B$7,IF(ISNUMBER(AK389),AK389-AN389,Constants!$B$14),$Z389))</f>
        <v/>
      </c>
      <c r="AP389" s="92"/>
      <c r="AQ389" s="93" t="str">
        <f aca="false">IF(ISBLANK($C389),"",IF($Z389&lt;&gt;Constants!$B$7,"",AH389))</f>
        <v/>
      </c>
      <c r="AR389" s="94" t="str">
        <f aca="false">IF(ISBLANK($C389),"",IF($Z389&lt;&gt;Constants!$B$7,"",IF(AH389=1,AB389,AE389)))</f>
        <v/>
      </c>
      <c r="AS389" s="95" t="str">
        <f aca="false">IF(ISBLANK($C389),"",IF($Z389&lt;&gt;Constants!$B$7,"",IF(AH389=1,AC389,AF389)))</f>
        <v/>
      </c>
      <c r="AT389" s="96" t="str">
        <f aca="false">IF(ISBLANK($C389),"",IF($Z389&lt;&gt;Constants!$B$7,$Z389,AJ389))</f>
        <v/>
      </c>
      <c r="AU389" s="97" t="str">
        <f aca="false">IF(ISBLANK($C389),"",IF($Z389&lt;&gt;Constants!$B$7,$Z389,AA389))</f>
        <v/>
      </c>
      <c r="AV389" s="98" t="str">
        <f aca="false">IF(ISBLANK($C389),"",AO389)</f>
        <v/>
      </c>
      <c r="AW389" s="98" t="str">
        <f aca="false">IF(ISBLANK($C389),"",AN389)</f>
        <v/>
      </c>
      <c r="AX389" s="99" t="str">
        <f aca="false">IF(ISBLANK($C389),"",IFERROR(_xlfn.SWITCH(AW389,Constants!$B$4,COUNTA($C$8:$C$507)+2,Constants!$B$5,COUNTA($C$8:$C$507)+1,Constants!$B$6,COUNTA($C$8:$C$507)),AW389))</f>
        <v/>
      </c>
      <c r="AY389" s="5"/>
      <c r="AZ389" s="100" t="n">
        <f aca="false">IF(OR(ISNUMBER(AW389),AW389=Constants!$B$4,AW389=Constants!$B$6,AW389=Constants!$B$5),1,0)</f>
        <v>0</v>
      </c>
      <c r="BA389" s="100" t="n">
        <v>382</v>
      </c>
      <c r="BB389" s="100" t="str">
        <f aca="false">IF(ISBLANK($C389),"",IF(ISNUMBER(AX389),AX389+ROW($B389)/1000,""))</f>
        <v/>
      </c>
      <c r="BC389" s="100" t="str">
        <f aca="false">IF(ISNUMBER(BB389),RANK(BB389,$BB$8:$BB$507,1),"")</f>
        <v/>
      </c>
      <c r="BD389" s="100" t="str">
        <f aca="false">IF(ISBLANK($C389),"",$B389)</f>
        <v/>
      </c>
      <c r="BE389" s="100" t="str">
        <f aca="false">IF(ISBLANK($C389),"",$C389)</f>
        <v/>
      </c>
      <c r="BF389" s="100" t="str">
        <f aca="false">IF(ISBLANK($C389),"",$D389)</f>
        <v/>
      </c>
      <c r="BG389" s="101" t="str">
        <f aca="false">AU389</f>
        <v/>
      </c>
      <c r="BH389" s="102" t="str">
        <f aca="false">AT389</f>
        <v/>
      </c>
      <c r="BI389" s="100" t="str">
        <f aca="false">IF(ISBLANK($C389),"",AW389)</f>
        <v/>
      </c>
      <c r="BJ389" s="103" t="str">
        <f aca="false">IF($BA389&gt;$AZ$7,"",VLOOKUP($BA389,$BC$8:$BI$507,7,FALSE()))</f>
        <v/>
      </c>
      <c r="BK389" s="104" t="str">
        <f aca="false">IF($BA389&gt;$AZ$7,"",VLOOKUP($BA389,$BC$8:$BI$507,2,FALSE()))</f>
        <v/>
      </c>
      <c r="BL389" s="104" t="str">
        <f aca="false">IF($BA389&gt;$AZ$7,"",VLOOKUP($BA389,$BC$8:$BI$507,3,FALSE()))</f>
        <v/>
      </c>
      <c r="BM389" s="104" t="str">
        <f aca="false">IF($BA389&gt;$AZ$7,"",VLOOKUP($BA389,$BC$8:$BI$507,4,FALSE()))</f>
        <v/>
      </c>
      <c r="BN389" s="104" t="str">
        <f aca="false">IF($BA389&gt;$AZ$7,"",VLOOKUP($BA389,$BC$8:$BI$507,5,FALSE()))</f>
        <v/>
      </c>
      <c r="BO389" s="105" t="str">
        <f aca="false">IF($BA389&gt;$AZ$7,"",VLOOKUP($BA389,$BC$8:$BI$507,6,FALSE()))</f>
        <v/>
      </c>
      <c r="BP389" s="52"/>
    </row>
    <row r="390" customFormat="false" ht="15.75" hidden="false" customHeight="false" outlineLevel="0" collapsed="false">
      <c r="A390" s="5"/>
      <c r="B390" s="114"/>
      <c r="C390" s="115"/>
      <c r="D390" s="106"/>
      <c r="E390" s="117"/>
      <c r="F390" s="87"/>
      <c r="G390" s="88"/>
      <c r="H390" s="88"/>
      <c r="I390" s="87"/>
      <c r="J390" s="88"/>
      <c r="K390" s="88"/>
      <c r="L390" s="87"/>
      <c r="M390" s="117"/>
      <c r="N390" s="90"/>
      <c r="O390" s="91" t="str">
        <f aca="false">IF(ISBLANK($C390),"",IF(E390=Constants!$B$2, TRUE(), IF(E390=Constants!$B$3, FALSE(), TRUE())))</f>
        <v/>
      </c>
      <c r="P390" s="91" t="str">
        <f aca="false">IF(ISBLANK($C390),"",IF(F390=Constants!$B$16,Constants!$B$9,IF(F390=Constants!$B$17,Constants!$B$10,Constants!$B$8)))</f>
        <v/>
      </c>
      <c r="Q390" s="91" t="str">
        <f aca="false">IF(ISBLANK($C390),"",IF(ISNUMBER(G390),IF(G390&gt;=0,G390,""),""))</f>
        <v/>
      </c>
      <c r="R390" s="91" t="str">
        <f aca="false">IF(ISBLANK($C390),"",IF(H390=Constants!$B$2, TRUE(), IF(H390=Constants!$B$3, FALSE(), TRUE())))</f>
        <v/>
      </c>
      <c r="S390" s="91" t="str">
        <f aca="false">IF(ISBLANK($C390),"",IF(I390=Constants!$B$2, TRUE(), IF(I390=Constants!$B$3, FALSE(), TRUE())))</f>
        <v/>
      </c>
      <c r="T390" s="91" t="str">
        <f aca="false">IF(ISBLANK($C390),"",IF(ISNUMBER(J390),IF(J390&gt;=0,J390,""),""))</f>
        <v/>
      </c>
      <c r="U390" s="91" t="str">
        <f aca="false">IF(ISBLANK($C390),"",IF(K390=Constants!$B$2, TRUE(), IF(K390=Constants!$B$3, FALSE(), TRUE())))</f>
        <v/>
      </c>
      <c r="V390" s="91" t="str">
        <f aca="false">IF(ISBLANK($C390),"",IF(L390=Constants!$B$2, TRUE(), IF(L390=Constants!$B$3, FALSE(), TRUE())))</f>
        <v/>
      </c>
      <c r="W390" s="91" t="str">
        <f aca="false">IF(ISBLANK($C390),"",IF(M390=Constants!$B$2, TRUE(), IF(M390=Constants!$B$3, FALSE(), FALSE())))</f>
        <v/>
      </c>
      <c r="X390" s="91" t="str">
        <f aca="false">IF(ISBLANK($C390),"",AND(Q390&lt;&gt;"",O390))</f>
        <v/>
      </c>
      <c r="Y390" s="91" t="str">
        <f aca="false">IF(ISBLANK($C390),"",AND(T390&lt;&gt;"",O390))</f>
        <v/>
      </c>
      <c r="Z390" s="91" t="str">
        <f aca="false">IF(ISBLANK($C390),"",IF(W390,Constants!$B$4,IF(COUNTA(E390:L390)=0,Constants!$B$5,IF(NOT(O390),Constants!$B$6,IF(AND(NOT(X390),NOT(Y390)),Constants!$B$6,Constants!$B$7)))))</f>
        <v/>
      </c>
      <c r="AA390" s="91" t="str">
        <f aca="false">IF(ISBLANK($C390),"",IF($Z390&lt;&gt;Constants!$B$7,$Z390,Constants!$B$20))</f>
        <v/>
      </c>
      <c r="AB390" s="91" t="str">
        <f aca="false">IF($Z390=Constants!$B$7,IF(X390,Q390,Constants!$B$13),"")</f>
        <v/>
      </c>
      <c r="AC390" s="91" t="str">
        <f aca="false">IF($Z390=Constants!$B$7,IF(X390,P390*IF(R390, 1, Constants!$B$11)*IF(S390, 1, Constants!$B$12),Constants!$B$13),"")</f>
        <v/>
      </c>
      <c r="AD390" s="91" t="str">
        <f aca="false">IF($Z390=Constants!$B$7,AB390*AC390,"")</f>
        <v/>
      </c>
      <c r="AE390" s="91" t="str">
        <f aca="false">IF($Z390=Constants!$B$7,IF(Y390,T390,Constants!$B$13),"")</f>
        <v/>
      </c>
      <c r="AF390" s="91" t="str">
        <f aca="false">IF($Z390=Constants!$B$7,IF(Y390,P390*IF(U390, 1, Constants!$B$11)*IF(V390, 1, Constants!$B$12),Constants!$B$13),"")</f>
        <v/>
      </c>
      <c r="AG390" s="91" t="str">
        <f aca="false">IF($Z390=Constants!$B$7,AE390*AF390,"")</f>
        <v/>
      </c>
      <c r="AH390" s="91" t="str">
        <f aca="false">IF($Z390=Constants!$B$7,IF(AG390&gt;AD390,2,1),"")</f>
        <v/>
      </c>
      <c r="AI390" s="91" t="str">
        <f aca="false">IF($Z390=Constants!$B$7,IF(AH390=1,2,1),"")</f>
        <v/>
      </c>
      <c r="AJ390" s="91" t="str">
        <f aca="false">IF(ISBLANK($C390),"",IF($Z390&lt;&gt;Constants!$B$7,$Z390,IF(AH390=1,AD390,AG390)))</f>
        <v/>
      </c>
      <c r="AK390" s="91" t="str">
        <f aca="false">IF(ISBLANK($C390),"",IF($Z390=Constants!$B$7,IF(ISNUMBER(AJ390),RANK(AJ390,$AJ$8:$AJ$507),Constants!$B$14),$Z390))</f>
        <v/>
      </c>
      <c r="AL390" s="91" t="str">
        <f aca="false">IF(ISBLANK($C390),"",IF($Z390=Constants!$B$7,IF(AI390=1,AD390,AG390),""))</f>
        <v/>
      </c>
      <c r="AM390" s="91" t="str">
        <f aca="false">IF(ISBLANK($C390),"",IF($Z390=Constants!$B$7,RANK(AL390,$AL$8:$AL$507),$Z390))</f>
        <v/>
      </c>
      <c r="AN390" s="91" t="str">
        <f aca="false">IF(ISBLANK($C390),"",IF($Z390=Constants!$B$7,IF(ISNUMBER(AK390),COUNTIFS($AK$8:$AK$507,"&lt;"&amp;$AK390)+COUNTIFS($AK$8:$AK$507,$AK390,$AM$8:$AM$507,"&lt;"&amp;$AM390)+1,Constants!$B$14),$Z390))</f>
        <v/>
      </c>
      <c r="AO390" s="91" t="str">
        <f aca="false">IF(ISBLANK($C390),"",IF($Z390=Constants!$B$7,IF(ISNUMBER(AK390),AK390-AN390,Constants!$B$14),$Z390))</f>
        <v/>
      </c>
      <c r="AP390" s="92"/>
      <c r="AQ390" s="93" t="str">
        <f aca="false">IF(ISBLANK($C390),"",IF($Z390&lt;&gt;Constants!$B$7,"",AH390))</f>
        <v/>
      </c>
      <c r="AR390" s="94" t="str">
        <f aca="false">IF(ISBLANK($C390),"",IF($Z390&lt;&gt;Constants!$B$7,"",IF(AH390=1,AB390,AE390)))</f>
        <v/>
      </c>
      <c r="AS390" s="95" t="str">
        <f aca="false">IF(ISBLANK($C390),"",IF($Z390&lt;&gt;Constants!$B$7,"",IF(AH390=1,AC390,AF390)))</f>
        <v/>
      </c>
      <c r="AT390" s="96" t="str">
        <f aca="false">IF(ISBLANK($C390),"",IF($Z390&lt;&gt;Constants!$B$7,$Z390,AJ390))</f>
        <v/>
      </c>
      <c r="AU390" s="97" t="str">
        <f aca="false">IF(ISBLANK($C390),"",IF($Z390&lt;&gt;Constants!$B$7,$Z390,AA390))</f>
        <v/>
      </c>
      <c r="AV390" s="98" t="str">
        <f aca="false">IF(ISBLANK($C390),"",AO390)</f>
        <v/>
      </c>
      <c r="AW390" s="98" t="str">
        <f aca="false">IF(ISBLANK($C390),"",AN390)</f>
        <v/>
      </c>
      <c r="AX390" s="99" t="str">
        <f aca="false">IF(ISBLANK($C390),"",IFERROR(_xlfn.SWITCH(AW390,Constants!$B$4,COUNTA($C$8:$C$507)+2,Constants!$B$5,COUNTA($C$8:$C$507)+1,Constants!$B$6,COUNTA($C$8:$C$507)),AW390))</f>
        <v/>
      </c>
      <c r="AY390" s="5"/>
      <c r="AZ390" s="100" t="n">
        <f aca="false">IF(OR(ISNUMBER(AW390),AW390=Constants!$B$4,AW390=Constants!$B$6,AW390=Constants!$B$5),1,0)</f>
        <v>0</v>
      </c>
      <c r="BA390" s="100" t="n">
        <v>383</v>
      </c>
      <c r="BB390" s="100" t="str">
        <f aca="false">IF(ISBLANK($C390),"",IF(ISNUMBER(AX390),AX390+ROW($B390)/1000,""))</f>
        <v/>
      </c>
      <c r="BC390" s="100" t="str">
        <f aca="false">IF(ISNUMBER(BB390),RANK(BB390,$BB$8:$BB$507,1),"")</f>
        <v/>
      </c>
      <c r="BD390" s="100" t="str">
        <f aca="false">IF(ISBLANK($C390),"",$B390)</f>
        <v/>
      </c>
      <c r="BE390" s="100" t="str">
        <f aca="false">IF(ISBLANK($C390),"",$C390)</f>
        <v/>
      </c>
      <c r="BF390" s="100" t="str">
        <f aca="false">IF(ISBLANK($C390),"",$D390)</f>
        <v/>
      </c>
      <c r="BG390" s="101" t="str">
        <f aca="false">AU390</f>
        <v/>
      </c>
      <c r="BH390" s="102" t="str">
        <f aca="false">AT390</f>
        <v/>
      </c>
      <c r="BI390" s="100" t="str">
        <f aca="false">IF(ISBLANK($C390),"",AW390)</f>
        <v/>
      </c>
      <c r="BJ390" s="103" t="str">
        <f aca="false">IF($BA390&gt;$AZ$7,"",VLOOKUP($BA390,$BC$8:$BI$507,7,FALSE()))</f>
        <v/>
      </c>
      <c r="BK390" s="104" t="str">
        <f aca="false">IF($BA390&gt;$AZ$7,"",VLOOKUP($BA390,$BC$8:$BI$507,2,FALSE()))</f>
        <v/>
      </c>
      <c r="BL390" s="104" t="str">
        <f aca="false">IF($BA390&gt;$AZ$7,"",VLOOKUP($BA390,$BC$8:$BI$507,3,FALSE()))</f>
        <v/>
      </c>
      <c r="BM390" s="104" t="str">
        <f aca="false">IF($BA390&gt;$AZ$7,"",VLOOKUP($BA390,$BC$8:$BI$507,4,FALSE()))</f>
        <v/>
      </c>
      <c r="BN390" s="104" t="str">
        <f aca="false">IF($BA390&gt;$AZ$7,"",VLOOKUP($BA390,$BC$8:$BI$507,5,FALSE()))</f>
        <v/>
      </c>
      <c r="BO390" s="105" t="str">
        <f aca="false">IF($BA390&gt;$AZ$7,"",VLOOKUP($BA390,$BC$8:$BI$507,6,FALSE()))</f>
        <v/>
      </c>
      <c r="BP390" s="52"/>
    </row>
    <row r="391" customFormat="false" ht="15.75" hidden="false" customHeight="false" outlineLevel="0" collapsed="false">
      <c r="A391" s="5"/>
      <c r="B391" s="114"/>
      <c r="C391" s="115"/>
      <c r="D391" s="106"/>
      <c r="E391" s="117"/>
      <c r="F391" s="87"/>
      <c r="G391" s="88"/>
      <c r="H391" s="88"/>
      <c r="I391" s="87"/>
      <c r="J391" s="88"/>
      <c r="K391" s="88"/>
      <c r="L391" s="87"/>
      <c r="M391" s="117"/>
      <c r="N391" s="90"/>
      <c r="O391" s="91" t="str">
        <f aca="false">IF(ISBLANK($C391),"",IF(E391=Constants!$B$2, TRUE(), IF(E391=Constants!$B$3, FALSE(), TRUE())))</f>
        <v/>
      </c>
      <c r="P391" s="91" t="str">
        <f aca="false">IF(ISBLANK($C391),"",IF(F391=Constants!$B$16,Constants!$B$9,IF(F391=Constants!$B$17,Constants!$B$10,Constants!$B$8)))</f>
        <v/>
      </c>
      <c r="Q391" s="91" t="str">
        <f aca="false">IF(ISBLANK($C391),"",IF(ISNUMBER(G391),IF(G391&gt;=0,G391,""),""))</f>
        <v/>
      </c>
      <c r="R391" s="91" t="str">
        <f aca="false">IF(ISBLANK($C391),"",IF(H391=Constants!$B$2, TRUE(), IF(H391=Constants!$B$3, FALSE(), TRUE())))</f>
        <v/>
      </c>
      <c r="S391" s="91" t="str">
        <f aca="false">IF(ISBLANK($C391),"",IF(I391=Constants!$B$2, TRUE(), IF(I391=Constants!$B$3, FALSE(), TRUE())))</f>
        <v/>
      </c>
      <c r="T391" s="91" t="str">
        <f aca="false">IF(ISBLANK($C391),"",IF(ISNUMBER(J391),IF(J391&gt;=0,J391,""),""))</f>
        <v/>
      </c>
      <c r="U391" s="91" t="str">
        <f aca="false">IF(ISBLANK($C391),"",IF(K391=Constants!$B$2, TRUE(), IF(K391=Constants!$B$3, FALSE(), TRUE())))</f>
        <v/>
      </c>
      <c r="V391" s="91" t="str">
        <f aca="false">IF(ISBLANK($C391),"",IF(L391=Constants!$B$2, TRUE(), IF(L391=Constants!$B$3, FALSE(), TRUE())))</f>
        <v/>
      </c>
      <c r="W391" s="91" t="str">
        <f aca="false">IF(ISBLANK($C391),"",IF(M391=Constants!$B$2, TRUE(), IF(M391=Constants!$B$3, FALSE(), FALSE())))</f>
        <v/>
      </c>
      <c r="X391" s="91" t="str">
        <f aca="false">IF(ISBLANK($C391),"",AND(Q391&lt;&gt;"",O391))</f>
        <v/>
      </c>
      <c r="Y391" s="91" t="str">
        <f aca="false">IF(ISBLANK($C391),"",AND(T391&lt;&gt;"",O391))</f>
        <v/>
      </c>
      <c r="Z391" s="91" t="str">
        <f aca="false">IF(ISBLANK($C391),"",IF(W391,Constants!$B$4,IF(COUNTA(E391:L391)=0,Constants!$B$5,IF(NOT(O391),Constants!$B$6,IF(AND(NOT(X391),NOT(Y391)),Constants!$B$6,Constants!$B$7)))))</f>
        <v/>
      </c>
      <c r="AA391" s="91" t="str">
        <f aca="false">IF(ISBLANK($C391),"",IF($Z391&lt;&gt;Constants!$B$7,$Z391,Constants!$B$20))</f>
        <v/>
      </c>
      <c r="AB391" s="91" t="str">
        <f aca="false">IF($Z391=Constants!$B$7,IF(X391,Q391,Constants!$B$13),"")</f>
        <v/>
      </c>
      <c r="AC391" s="91" t="str">
        <f aca="false">IF($Z391=Constants!$B$7,IF(X391,P391*IF(R391, 1, Constants!$B$11)*IF(S391, 1, Constants!$B$12),Constants!$B$13),"")</f>
        <v/>
      </c>
      <c r="AD391" s="91" t="str">
        <f aca="false">IF($Z391=Constants!$B$7,AB391*AC391,"")</f>
        <v/>
      </c>
      <c r="AE391" s="91" t="str">
        <f aca="false">IF($Z391=Constants!$B$7,IF(Y391,T391,Constants!$B$13),"")</f>
        <v/>
      </c>
      <c r="AF391" s="91" t="str">
        <f aca="false">IF($Z391=Constants!$B$7,IF(Y391,P391*IF(U391, 1, Constants!$B$11)*IF(V391, 1, Constants!$B$12),Constants!$B$13),"")</f>
        <v/>
      </c>
      <c r="AG391" s="91" t="str">
        <f aca="false">IF($Z391=Constants!$B$7,AE391*AF391,"")</f>
        <v/>
      </c>
      <c r="AH391" s="91" t="str">
        <f aca="false">IF($Z391=Constants!$B$7,IF(AG391&gt;AD391,2,1),"")</f>
        <v/>
      </c>
      <c r="AI391" s="91" t="str">
        <f aca="false">IF($Z391=Constants!$B$7,IF(AH391=1,2,1),"")</f>
        <v/>
      </c>
      <c r="AJ391" s="91" t="str">
        <f aca="false">IF(ISBLANK($C391),"",IF($Z391&lt;&gt;Constants!$B$7,$Z391,IF(AH391=1,AD391,AG391)))</f>
        <v/>
      </c>
      <c r="AK391" s="91" t="str">
        <f aca="false">IF(ISBLANK($C391),"",IF($Z391=Constants!$B$7,IF(ISNUMBER(AJ391),RANK(AJ391,$AJ$8:$AJ$507),Constants!$B$14),$Z391))</f>
        <v/>
      </c>
      <c r="AL391" s="91" t="str">
        <f aca="false">IF(ISBLANK($C391),"",IF($Z391=Constants!$B$7,IF(AI391=1,AD391,AG391),""))</f>
        <v/>
      </c>
      <c r="AM391" s="91" t="str">
        <f aca="false">IF(ISBLANK($C391),"",IF($Z391=Constants!$B$7,RANK(AL391,$AL$8:$AL$507),$Z391))</f>
        <v/>
      </c>
      <c r="AN391" s="91" t="str">
        <f aca="false">IF(ISBLANK($C391),"",IF($Z391=Constants!$B$7,IF(ISNUMBER(AK391),COUNTIFS($AK$8:$AK$507,"&lt;"&amp;$AK391)+COUNTIFS($AK$8:$AK$507,$AK391,$AM$8:$AM$507,"&lt;"&amp;$AM391)+1,Constants!$B$14),$Z391))</f>
        <v/>
      </c>
      <c r="AO391" s="91" t="str">
        <f aca="false">IF(ISBLANK($C391),"",IF($Z391=Constants!$B$7,IF(ISNUMBER(AK391),AK391-AN391,Constants!$B$14),$Z391))</f>
        <v/>
      </c>
      <c r="AP391" s="92"/>
      <c r="AQ391" s="93" t="str">
        <f aca="false">IF(ISBLANK($C391),"",IF($Z391&lt;&gt;Constants!$B$7,"",AH391))</f>
        <v/>
      </c>
      <c r="AR391" s="94" t="str">
        <f aca="false">IF(ISBLANK($C391),"",IF($Z391&lt;&gt;Constants!$B$7,"",IF(AH391=1,AB391,AE391)))</f>
        <v/>
      </c>
      <c r="AS391" s="95" t="str">
        <f aca="false">IF(ISBLANK($C391),"",IF($Z391&lt;&gt;Constants!$B$7,"",IF(AH391=1,AC391,AF391)))</f>
        <v/>
      </c>
      <c r="AT391" s="96" t="str">
        <f aca="false">IF(ISBLANK($C391),"",IF($Z391&lt;&gt;Constants!$B$7,$Z391,AJ391))</f>
        <v/>
      </c>
      <c r="AU391" s="97" t="str">
        <f aca="false">IF(ISBLANK($C391),"",IF($Z391&lt;&gt;Constants!$B$7,$Z391,AA391))</f>
        <v/>
      </c>
      <c r="AV391" s="98" t="str">
        <f aca="false">IF(ISBLANK($C391),"",AO391)</f>
        <v/>
      </c>
      <c r="AW391" s="98" t="str">
        <f aca="false">IF(ISBLANK($C391),"",AN391)</f>
        <v/>
      </c>
      <c r="AX391" s="99" t="str">
        <f aca="false">IF(ISBLANK($C391),"",IFERROR(_xlfn.SWITCH(AW391,Constants!$B$4,COUNTA($C$8:$C$507)+2,Constants!$B$5,COUNTA($C$8:$C$507)+1,Constants!$B$6,COUNTA($C$8:$C$507)),AW391))</f>
        <v/>
      </c>
      <c r="AY391" s="5"/>
      <c r="AZ391" s="100" t="n">
        <f aca="false">IF(OR(ISNUMBER(AW391),AW391=Constants!$B$4,AW391=Constants!$B$6,AW391=Constants!$B$5),1,0)</f>
        <v>0</v>
      </c>
      <c r="BA391" s="100" t="n">
        <v>384</v>
      </c>
      <c r="BB391" s="100" t="str">
        <f aca="false">IF(ISBLANK($C391),"",IF(ISNUMBER(AX391),AX391+ROW($B391)/1000,""))</f>
        <v/>
      </c>
      <c r="BC391" s="100" t="str">
        <f aca="false">IF(ISNUMBER(BB391),RANK(BB391,$BB$8:$BB$507,1),"")</f>
        <v/>
      </c>
      <c r="BD391" s="100" t="str">
        <f aca="false">IF(ISBLANK($C391),"",$B391)</f>
        <v/>
      </c>
      <c r="BE391" s="100" t="str">
        <f aca="false">IF(ISBLANK($C391),"",$C391)</f>
        <v/>
      </c>
      <c r="BF391" s="100" t="str">
        <f aca="false">IF(ISBLANK($C391),"",$D391)</f>
        <v/>
      </c>
      <c r="BG391" s="101" t="str">
        <f aca="false">AU391</f>
        <v/>
      </c>
      <c r="BH391" s="102" t="str">
        <f aca="false">AT391</f>
        <v/>
      </c>
      <c r="BI391" s="100" t="str">
        <f aca="false">IF(ISBLANK($C391),"",AW391)</f>
        <v/>
      </c>
      <c r="BJ391" s="103" t="str">
        <f aca="false">IF($BA391&gt;$AZ$7,"",VLOOKUP($BA391,$BC$8:$BI$507,7,FALSE()))</f>
        <v/>
      </c>
      <c r="BK391" s="104" t="str">
        <f aca="false">IF($BA391&gt;$AZ$7,"",VLOOKUP($BA391,$BC$8:$BI$507,2,FALSE()))</f>
        <v/>
      </c>
      <c r="BL391" s="104" t="str">
        <f aca="false">IF($BA391&gt;$AZ$7,"",VLOOKUP($BA391,$BC$8:$BI$507,3,FALSE()))</f>
        <v/>
      </c>
      <c r="BM391" s="104" t="str">
        <f aca="false">IF($BA391&gt;$AZ$7,"",VLOOKUP($BA391,$BC$8:$BI$507,4,FALSE()))</f>
        <v/>
      </c>
      <c r="BN391" s="104" t="str">
        <f aca="false">IF($BA391&gt;$AZ$7,"",VLOOKUP($BA391,$BC$8:$BI$507,5,FALSE()))</f>
        <v/>
      </c>
      <c r="BO391" s="105" t="str">
        <f aca="false">IF($BA391&gt;$AZ$7,"",VLOOKUP($BA391,$BC$8:$BI$507,6,FALSE()))</f>
        <v/>
      </c>
      <c r="BP391" s="52"/>
    </row>
    <row r="392" customFormat="false" ht="15.75" hidden="false" customHeight="false" outlineLevel="0" collapsed="false">
      <c r="A392" s="5"/>
      <c r="B392" s="118"/>
      <c r="C392" s="54"/>
      <c r="D392" s="55"/>
      <c r="E392" s="79"/>
      <c r="F392" s="57"/>
      <c r="G392" s="58"/>
      <c r="H392" s="58"/>
      <c r="I392" s="57"/>
      <c r="J392" s="58"/>
      <c r="K392" s="58"/>
      <c r="L392" s="57"/>
      <c r="M392" s="79"/>
      <c r="N392" s="60"/>
      <c r="O392" s="62" t="str">
        <f aca="false">IF(ISBLANK($C392),"",IF(E392=Constants!$B$2, TRUE(), IF(E392=Constants!$B$3, FALSE(), TRUE())))</f>
        <v/>
      </c>
      <c r="P392" s="62" t="str">
        <f aca="false">IF(ISBLANK($C392),"",IF(F392=Constants!$B$16,Constants!$B$9,IF(F392=Constants!$B$17,Constants!$B$10,Constants!$B$8)))</f>
        <v/>
      </c>
      <c r="Q392" s="62" t="str">
        <f aca="false">IF(ISBLANK($C392),"",IF(ISNUMBER(G392),IF(G392&gt;=0,G392,""),""))</f>
        <v/>
      </c>
      <c r="R392" s="62" t="str">
        <f aca="false">IF(ISBLANK($C392),"",IF(H392=Constants!$B$2, TRUE(), IF(H392=Constants!$B$3, FALSE(), TRUE())))</f>
        <v/>
      </c>
      <c r="S392" s="62" t="str">
        <f aca="false">IF(ISBLANK($C392),"",IF(I392=Constants!$B$2, TRUE(), IF(I392=Constants!$B$3, FALSE(), TRUE())))</f>
        <v/>
      </c>
      <c r="T392" s="62" t="str">
        <f aca="false">IF(ISBLANK($C392),"",IF(ISNUMBER(J392),IF(J392&gt;=0,J392,""),""))</f>
        <v/>
      </c>
      <c r="U392" s="62" t="str">
        <f aca="false">IF(ISBLANK($C392),"",IF(K392=Constants!$B$2, TRUE(), IF(K392=Constants!$B$3, FALSE(), TRUE())))</f>
        <v/>
      </c>
      <c r="V392" s="62" t="str">
        <f aca="false">IF(ISBLANK($C392),"",IF(L392=Constants!$B$2, TRUE(), IF(L392=Constants!$B$3, FALSE(), TRUE())))</f>
        <v/>
      </c>
      <c r="W392" s="62" t="str">
        <f aca="false">IF(ISBLANK($C392),"",IF(M392=Constants!$B$2, TRUE(), IF(M392=Constants!$B$3, FALSE(), FALSE())))</f>
        <v/>
      </c>
      <c r="X392" s="62" t="str">
        <f aca="false">IF(ISBLANK($C392),"",AND(Q392&lt;&gt;"",O392))</f>
        <v/>
      </c>
      <c r="Y392" s="62" t="str">
        <f aca="false">IF(ISBLANK($C392),"",AND(T392&lt;&gt;"",O392))</f>
        <v/>
      </c>
      <c r="Z392" s="62" t="str">
        <f aca="false">IF(ISBLANK($C392),"",IF(W392,Constants!$B$4,IF(COUNTA(E392:L392)=0,Constants!$B$5,IF(NOT(O392),Constants!$B$6,IF(AND(NOT(X392),NOT(Y392)),Constants!$B$6,Constants!$B$7)))))</f>
        <v/>
      </c>
      <c r="AA392" s="62" t="str">
        <f aca="false">IF(ISBLANK($C392),"",IF($Z392&lt;&gt;Constants!$B$7,$Z392,Constants!$B$20))</f>
        <v/>
      </c>
      <c r="AB392" s="62" t="str">
        <f aca="false">IF($Z392=Constants!$B$7,IF(X392,Q392,Constants!$B$13),"")</f>
        <v/>
      </c>
      <c r="AC392" s="62" t="str">
        <f aca="false">IF($Z392=Constants!$B$7,IF(X392,P392*IF(R392, 1, Constants!$B$11)*IF(S392, 1, Constants!$B$12),Constants!$B$13),"")</f>
        <v/>
      </c>
      <c r="AD392" s="62" t="str">
        <f aca="false">IF($Z392=Constants!$B$7,AB392*AC392,"")</f>
        <v/>
      </c>
      <c r="AE392" s="62" t="str">
        <f aca="false">IF($Z392=Constants!$B$7,IF(Y392,T392,Constants!$B$13),"")</f>
        <v/>
      </c>
      <c r="AF392" s="62" t="str">
        <f aca="false">IF($Z392=Constants!$B$7,IF(Y392,P392*IF(U392, 1, Constants!$B$11)*IF(V392, 1, Constants!$B$12),Constants!$B$13),"")</f>
        <v/>
      </c>
      <c r="AG392" s="62" t="str">
        <f aca="false">IF($Z392=Constants!$B$7,AE392*AF392,"")</f>
        <v/>
      </c>
      <c r="AH392" s="62" t="str">
        <f aca="false">IF($Z392=Constants!$B$7,IF(AG392&gt;AD392,2,1),"")</f>
        <v/>
      </c>
      <c r="AI392" s="62" t="str">
        <f aca="false">IF($Z392=Constants!$B$7,IF(AH392=1,2,1),"")</f>
        <v/>
      </c>
      <c r="AJ392" s="62" t="str">
        <f aca="false">IF(ISBLANK($C392),"",IF($Z392&lt;&gt;Constants!$B$7,$Z392,IF(AH392=1,AD392,AG392)))</f>
        <v/>
      </c>
      <c r="AK392" s="62" t="str">
        <f aca="false">IF(ISBLANK($C392),"",IF($Z392=Constants!$B$7,IF(ISNUMBER(AJ392),RANK(AJ392,$AJ$8:$AJ$507),Constants!$B$14),$Z392))</f>
        <v/>
      </c>
      <c r="AL392" s="62" t="str">
        <f aca="false">IF(ISBLANK($C392),"",IF($Z392=Constants!$B$7,IF(AI392=1,AD392,AG392),""))</f>
        <v/>
      </c>
      <c r="AM392" s="62" t="str">
        <f aca="false">IF(ISBLANK($C392),"",IF($Z392=Constants!$B$7,RANK(AL392,$AL$8:$AL$507),$Z392))</f>
        <v/>
      </c>
      <c r="AN392" s="62" t="str">
        <f aca="false">IF(ISBLANK($C392),"",IF($Z392=Constants!$B$7,IF(ISNUMBER(AK392),COUNTIFS($AK$8:$AK$507,"&lt;"&amp;$AK392)+COUNTIFS($AK$8:$AK$507,$AK392,$AM$8:$AM$507,"&lt;"&amp;$AM392)+1,Constants!$B$14),$Z392))</f>
        <v/>
      </c>
      <c r="AO392" s="62" t="str">
        <f aca="false">IF(ISBLANK($C392),"",IF($Z392=Constants!$B$7,IF(ISNUMBER(AK392),AK392-AN392,Constants!$B$14),$Z392))</f>
        <v/>
      </c>
      <c r="AP392" s="64"/>
      <c r="AQ392" s="65" t="str">
        <f aca="false">IF(ISBLANK($C392),"",IF($Z392&lt;&gt;Constants!$B$7,"",AH392))</f>
        <v/>
      </c>
      <c r="AR392" s="80" t="str">
        <f aca="false">IF(ISBLANK($C392),"",IF($Z392&lt;&gt;Constants!$B$7,"",IF(AH392=1,AB392,AE392)))</f>
        <v/>
      </c>
      <c r="AS392" s="67" t="str">
        <f aca="false">IF(ISBLANK($C392),"",IF($Z392&lt;&gt;Constants!$B$7,"",IF(AH392=1,AC392,AF392)))</f>
        <v/>
      </c>
      <c r="AT392" s="68" t="str">
        <f aca="false">IF(ISBLANK($C392),"",IF($Z392&lt;&gt;Constants!$B$7,$Z392,AJ392))</f>
        <v/>
      </c>
      <c r="AU392" s="69" t="str">
        <f aca="false">IF(ISBLANK($C392),"",IF($Z392&lt;&gt;Constants!$B$7,$Z392,AA392))</f>
        <v/>
      </c>
      <c r="AV392" s="70" t="str">
        <f aca="false">IF(ISBLANK($C392),"",AO392)</f>
        <v/>
      </c>
      <c r="AW392" s="70" t="str">
        <f aca="false">IF(ISBLANK($C392),"",AN392)</f>
        <v/>
      </c>
      <c r="AX392" s="71" t="str">
        <f aca="false">IF(ISBLANK($C392),"",IFERROR(_xlfn.SWITCH(AW392,Constants!$B$4,COUNTA($C$8:$C$507)+2,Constants!$B$5,COUNTA($C$8:$C$507)+1,Constants!$B$6,COUNTA($C$8:$C$507)),AW392))</f>
        <v/>
      </c>
      <c r="AY392" s="5"/>
      <c r="AZ392" s="72" t="n">
        <f aca="false">IF(OR(ISNUMBER(AW392),AW392=Constants!$B$4,AW392=Constants!$B$6,AW392=Constants!$B$5),1,0)</f>
        <v>0</v>
      </c>
      <c r="BA392" s="72" t="n">
        <v>385</v>
      </c>
      <c r="BB392" s="72" t="str">
        <f aca="false">IF(ISBLANK($C392),"",IF(ISNUMBER(AX392),AX392+ROW($B392)/1000,""))</f>
        <v/>
      </c>
      <c r="BC392" s="72" t="str">
        <f aca="false">IF(ISNUMBER(BB392),RANK(BB392,$BB$8:$BB$507,1),"")</f>
        <v/>
      </c>
      <c r="BD392" s="72" t="str">
        <f aca="false">IF(ISBLANK($C392),"",$B392)</f>
        <v/>
      </c>
      <c r="BE392" s="72" t="str">
        <f aca="false">IF(ISBLANK($C392),"",$C392)</f>
        <v/>
      </c>
      <c r="BF392" s="72" t="str">
        <f aca="false">IF(ISBLANK($C392),"",$D392)</f>
        <v/>
      </c>
      <c r="BG392" s="73" t="str">
        <f aca="false">AU392</f>
        <v/>
      </c>
      <c r="BH392" s="74" t="str">
        <f aca="false">AT392</f>
        <v/>
      </c>
      <c r="BI392" s="72" t="str">
        <f aca="false">IF(ISBLANK($C392),"",AW392)</f>
        <v/>
      </c>
      <c r="BJ392" s="75" t="str">
        <f aca="false">IF($BA392&gt;$AZ$7,"",VLOOKUP($BA392,$BC$8:$BI$507,7,FALSE()))</f>
        <v/>
      </c>
      <c r="BK392" s="76" t="str">
        <f aca="false">IF($BA392&gt;$AZ$7,"",VLOOKUP($BA392,$BC$8:$BI$507,2,FALSE()))</f>
        <v/>
      </c>
      <c r="BL392" s="76" t="str">
        <f aca="false">IF($BA392&gt;$AZ$7,"",VLOOKUP($BA392,$BC$8:$BI$507,3,FALSE()))</f>
        <v/>
      </c>
      <c r="BM392" s="76" t="str">
        <f aca="false">IF($BA392&gt;$AZ$7,"",VLOOKUP($BA392,$BC$8:$BI$507,4,FALSE()))</f>
        <v/>
      </c>
      <c r="BN392" s="76" t="str">
        <f aca="false">IF($BA392&gt;$AZ$7,"",VLOOKUP($BA392,$BC$8:$BI$507,5,FALSE()))</f>
        <v/>
      </c>
      <c r="BO392" s="77" t="str">
        <f aca="false">IF($BA392&gt;$AZ$7,"",VLOOKUP($BA392,$BC$8:$BI$507,6,FALSE()))</f>
        <v/>
      </c>
      <c r="BP392" s="52"/>
    </row>
    <row r="393" customFormat="false" ht="15.75" hidden="false" customHeight="false" outlineLevel="0" collapsed="false">
      <c r="A393" s="5"/>
      <c r="B393" s="118"/>
      <c r="C393" s="54"/>
      <c r="D393" s="55"/>
      <c r="E393" s="79"/>
      <c r="F393" s="57"/>
      <c r="G393" s="58"/>
      <c r="H393" s="58"/>
      <c r="I393" s="57"/>
      <c r="J393" s="58"/>
      <c r="K393" s="58"/>
      <c r="L393" s="57"/>
      <c r="M393" s="79"/>
      <c r="N393" s="60"/>
      <c r="O393" s="62" t="str">
        <f aca="false">IF(ISBLANK($C393),"",IF(E393=Constants!$B$2, TRUE(), IF(E393=Constants!$B$3, FALSE(), TRUE())))</f>
        <v/>
      </c>
      <c r="P393" s="62" t="str">
        <f aca="false">IF(ISBLANK($C393),"",IF(F393=Constants!$B$16,Constants!$B$9,IF(F393=Constants!$B$17,Constants!$B$10,Constants!$B$8)))</f>
        <v/>
      </c>
      <c r="Q393" s="62" t="str">
        <f aca="false">IF(ISBLANK($C393),"",IF(ISNUMBER(G393),IF(G393&gt;=0,G393,""),""))</f>
        <v/>
      </c>
      <c r="R393" s="62" t="str">
        <f aca="false">IF(ISBLANK($C393),"",IF(H393=Constants!$B$2, TRUE(), IF(H393=Constants!$B$3, FALSE(), TRUE())))</f>
        <v/>
      </c>
      <c r="S393" s="62" t="str">
        <f aca="false">IF(ISBLANK($C393),"",IF(I393=Constants!$B$2, TRUE(), IF(I393=Constants!$B$3, FALSE(), TRUE())))</f>
        <v/>
      </c>
      <c r="T393" s="62" t="str">
        <f aca="false">IF(ISBLANK($C393),"",IF(ISNUMBER(J393),IF(J393&gt;=0,J393,""),""))</f>
        <v/>
      </c>
      <c r="U393" s="62" t="str">
        <f aca="false">IF(ISBLANK($C393),"",IF(K393=Constants!$B$2, TRUE(), IF(K393=Constants!$B$3, FALSE(), TRUE())))</f>
        <v/>
      </c>
      <c r="V393" s="62" t="str">
        <f aca="false">IF(ISBLANK($C393),"",IF(L393=Constants!$B$2, TRUE(), IF(L393=Constants!$B$3, FALSE(), TRUE())))</f>
        <v/>
      </c>
      <c r="W393" s="62" t="str">
        <f aca="false">IF(ISBLANK($C393),"",IF(M393=Constants!$B$2, TRUE(), IF(M393=Constants!$B$3, FALSE(), FALSE())))</f>
        <v/>
      </c>
      <c r="X393" s="62" t="str">
        <f aca="false">IF(ISBLANK($C393),"",AND(Q393&lt;&gt;"",O393))</f>
        <v/>
      </c>
      <c r="Y393" s="62" t="str">
        <f aca="false">IF(ISBLANK($C393),"",AND(T393&lt;&gt;"",O393))</f>
        <v/>
      </c>
      <c r="Z393" s="62" t="str">
        <f aca="false">IF(ISBLANK($C393),"",IF(W393,Constants!$B$4,IF(COUNTA(E393:L393)=0,Constants!$B$5,IF(NOT(O393),Constants!$B$6,IF(AND(NOT(X393),NOT(Y393)),Constants!$B$6,Constants!$B$7)))))</f>
        <v/>
      </c>
      <c r="AA393" s="62" t="str">
        <f aca="false">IF(ISBLANK($C393),"",IF($Z393&lt;&gt;Constants!$B$7,$Z393,Constants!$B$20))</f>
        <v/>
      </c>
      <c r="AB393" s="62" t="str">
        <f aca="false">IF($Z393=Constants!$B$7,IF(X393,Q393,Constants!$B$13),"")</f>
        <v/>
      </c>
      <c r="AC393" s="62" t="str">
        <f aca="false">IF($Z393=Constants!$B$7,IF(X393,P393*IF(R393, 1, Constants!$B$11)*IF(S393, 1, Constants!$B$12),Constants!$B$13),"")</f>
        <v/>
      </c>
      <c r="AD393" s="62" t="str">
        <f aca="false">IF($Z393=Constants!$B$7,AB393*AC393,"")</f>
        <v/>
      </c>
      <c r="AE393" s="62" t="str">
        <f aca="false">IF($Z393=Constants!$B$7,IF(Y393,T393,Constants!$B$13),"")</f>
        <v/>
      </c>
      <c r="AF393" s="62" t="str">
        <f aca="false">IF($Z393=Constants!$B$7,IF(Y393,P393*IF(U393, 1, Constants!$B$11)*IF(V393, 1, Constants!$B$12),Constants!$B$13),"")</f>
        <v/>
      </c>
      <c r="AG393" s="62" t="str">
        <f aca="false">IF($Z393=Constants!$B$7,AE393*AF393,"")</f>
        <v/>
      </c>
      <c r="AH393" s="62" t="str">
        <f aca="false">IF($Z393=Constants!$B$7,IF(AG393&gt;AD393,2,1),"")</f>
        <v/>
      </c>
      <c r="AI393" s="62" t="str">
        <f aca="false">IF($Z393=Constants!$B$7,IF(AH393=1,2,1),"")</f>
        <v/>
      </c>
      <c r="AJ393" s="62" t="str">
        <f aca="false">IF(ISBLANK($C393),"",IF($Z393&lt;&gt;Constants!$B$7,$Z393,IF(AH393=1,AD393,AG393)))</f>
        <v/>
      </c>
      <c r="AK393" s="62" t="str">
        <f aca="false">IF(ISBLANK($C393),"",IF($Z393=Constants!$B$7,IF(ISNUMBER(AJ393),RANK(AJ393,$AJ$8:$AJ$507),Constants!$B$14),$Z393))</f>
        <v/>
      </c>
      <c r="AL393" s="62" t="str">
        <f aca="false">IF(ISBLANK($C393),"",IF($Z393=Constants!$B$7,IF(AI393=1,AD393,AG393),""))</f>
        <v/>
      </c>
      <c r="AM393" s="62" t="str">
        <f aca="false">IF(ISBLANK($C393),"",IF($Z393=Constants!$B$7,RANK(AL393,$AL$8:$AL$507),$Z393))</f>
        <v/>
      </c>
      <c r="AN393" s="62" t="str">
        <f aca="false">IF(ISBLANK($C393),"",IF($Z393=Constants!$B$7,IF(ISNUMBER(AK393),COUNTIFS($AK$8:$AK$507,"&lt;"&amp;$AK393)+COUNTIFS($AK$8:$AK$507,$AK393,$AM$8:$AM$507,"&lt;"&amp;$AM393)+1,Constants!$B$14),$Z393))</f>
        <v/>
      </c>
      <c r="AO393" s="62" t="str">
        <f aca="false">IF(ISBLANK($C393),"",IF($Z393=Constants!$B$7,IF(ISNUMBER(AK393),AK393-AN393,Constants!$B$14),$Z393))</f>
        <v/>
      </c>
      <c r="AP393" s="64"/>
      <c r="AQ393" s="65" t="str">
        <f aca="false">IF(ISBLANK($C393),"",IF($Z393&lt;&gt;Constants!$B$7,"",AH393))</f>
        <v/>
      </c>
      <c r="AR393" s="80" t="str">
        <f aca="false">IF(ISBLANK($C393),"",IF($Z393&lt;&gt;Constants!$B$7,"",IF(AH393=1,AB393,AE393)))</f>
        <v/>
      </c>
      <c r="AS393" s="67" t="str">
        <f aca="false">IF(ISBLANK($C393),"",IF($Z393&lt;&gt;Constants!$B$7,"",IF(AH393=1,AC393,AF393)))</f>
        <v/>
      </c>
      <c r="AT393" s="68" t="str">
        <f aca="false">IF(ISBLANK($C393),"",IF($Z393&lt;&gt;Constants!$B$7,$Z393,AJ393))</f>
        <v/>
      </c>
      <c r="AU393" s="69" t="str">
        <f aca="false">IF(ISBLANK($C393),"",IF($Z393&lt;&gt;Constants!$B$7,$Z393,AA393))</f>
        <v/>
      </c>
      <c r="AV393" s="70" t="str">
        <f aca="false">IF(ISBLANK($C393),"",AO393)</f>
        <v/>
      </c>
      <c r="AW393" s="70" t="str">
        <f aca="false">IF(ISBLANK($C393),"",AN393)</f>
        <v/>
      </c>
      <c r="AX393" s="71" t="str">
        <f aca="false">IF(ISBLANK($C393),"",IFERROR(_xlfn.SWITCH(AW393,Constants!$B$4,COUNTA($C$8:$C$507)+2,Constants!$B$5,COUNTA($C$8:$C$507)+1,Constants!$B$6,COUNTA($C$8:$C$507)),AW393))</f>
        <v/>
      </c>
      <c r="AY393" s="5"/>
      <c r="AZ393" s="72" t="n">
        <f aca="false">IF(OR(ISNUMBER(AW393),AW393=Constants!$B$4,AW393=Constants!$B$6,AW393=Constants!$B$5),1,0)</f>
        <v>0</v>
      </c>
      <c r="BA393" s="72" t="n">
        <v>386</v>
      </c>
      <c r="BB393" s="72" t="str">
        <f aca="false">IF(ISBLANK($C393),"",IF(ISNUMBER(AX393),AX393+ROW($B393)/1000,""))</f>
        <v/>
      </c>
      <c r="BC393" s="72" t="str">
        <f aca="false">IF(ISNUMBER(BB393),RANK(BB393,$BB$8:$BB$507,1),"")</f>
        <v/>
      </c>
      <c r="BD393" s="72" t="str">
        <f aca="false">IF(ISBLANK($C393),"",$B393)</f>
        <v/>
      </c>
      <c r="BE393" s="72" t="str">
        <f aca="false">IF(ISBLANK($C393),"",$C393)</f>
        <v/>
      </c>
      <c r="BF393" s="72" t="str">
        <f aca="false">IF(ISBLANK($C393),"",$D393)</f>
        <v/>
      </c>
      <c r="BG393" s="73" t="str">
        <f aca="false">AU393</f>
        <v/>
      </c>
      <c r="BH393" s="74" t="str">
        <f aca="false">AT393</f>
        <v/>
      </c>
      <c r="BI393" s="72" t="str">
        <f aca="false">IF(ISBLANK($C393),"",AW393)</f>
        <v/>
      </c>
      <c r="BJ393" s="75" t="str">
        <f aca="false">IF($BA393&gt;$AZ$7,"",VLOOKUP($BA393,$BC$8:$BI$507,7,FALSE()))</f>
        <v/>
      </c>
      <c r="BK393" s="76" t="str">
        <f aca="false">IF($BA393&gt;$AZ$7,"",VLOOKUP($BA393,$BC$8:$BI$507,2,FALSE()))</f>
        <v/>
      </c>
      <c r="BL393" s="76" t="str">
        <f aca="false">IF($BA393&gt;$AZ$7,"",VLOOKUP($BA393,$BC$8:$BI$507,3,FALSE()))</f>
        <v/>
      </c>
      <c r="BM393" s="76" t="str">
        <f aca="false">IF($BA393&gt;$AZ$7,"",VLOOKUP($BA393,$BC$8:$BI$507,4,FALSE()))</f>
        <v/>
      </c>
      <c r="BN393" s="76" t="str">
        <f aca="false">IF($BA393&gt;$AZ$7,"",VLOOKUP($BA393,$BC$8:$BI$507,5,FALSE()))</f>
        <v/>
      </c>
      <c r="BO393" s="77" t="str">
        <f aca="false">IF($BA393&gt;$AZ$7,"",VLOOKUP($BA393,$BC$8:$BI$507,6,FALSE()))</f>
        <v/>
      </c>
      <c r="BP393" s="52"/>
    </row>
    <row r="394" customFormat="false" ht="15.75" hidden="false" customHeight="false" outlineLevel="0" collapsed="false">
      <c r="A394" s="5"/>
      <c r="B394" s="118"/>
      <c r="C394" s="54"/>
      <c r="D394" s="55"/>
      <c r="E394" s="79"/>
      <c r="F394" s="57"/>
      <c r="G394" s="58"/>
      <c r="H394" s="58"/>
      <c r="I394" s="57"/>
      <c r="J394" s="58"/>
      <c r="K394" s="58"/>
      <c r="L394" s="57"/>
      <c r="M394" s="79"/>
      <c r="N394" s="60"/>
      <c r="O394" s="62" t="str">
        <f aca="false">IF(ISBLANK($C394),"",IF(E394=Constants!$B$2, TRUE(), IF(E394=Constants!$B$3, FALSE(), TRUE())))</f>
        <v/>
      </c>
      <c r="P394" s="62" t="str">
        <f aca="false">IF(ISBLANK($C394),"",IF(F394=Constants!$B$16,Constants!$B$9,IF(F394=Constants!$B$17,Constants!$B$10,Constants!$B$8)))</f>
        <v/>
      </c>
      <c r="Q394" s="62" t="str">
        <f aca="false">IF(ISBLANK($C394),"",IF(ISNUMBER(G394),IF(G394&gt;=0,G394,""),""))</f>
        <v/>
      </c>
      <c r="R394" s="62" t="str">
        <f aca="false">IF(ISBLANK($C394),"",IF(H394=Constants!$B$2, TRUE(), IF(H394=Constants!$B$3, FALSE(), TRUE())))</f>
        <v/>
      </c>
      <c r="S394" s="62" t="str">
        <f aca="false">IF(ISBLANK($C394),"",IF(I394=Constants!$B$2, TRUE(), IF(I394=Constants!$B$3, FALSE(), TRUE())))</f>
        <v/>
      </c>
      <c r="T394" s="62" t="str">
        <f aca="false">IF(ISBLANK($C394),"",IF(ISNUMBER(J394),IF(J394&gt;=0,J394,""),""))</f>
        <v/>
      </c>
      <c r="U394" s="62" t="str">
        <f aca="false">IF(ISBLANK($C394),"",IF(K394=Constants!$B$2, TRUE(), IF(K394=Constants!$B$3, FALSE(), TRUE())))</f>
        <v/>
      </c>
      <c r="V394" s="62" t="str">
        <f aca="false">IF(ISBLANK($C394),"",IF(L394=Constants!$B$2, TRUE(), IF(L394=Constants!$B$3, FALSE(), TRUE())))</f>
        <v/>
      </c>
      <c r="W394" s="62" t="str">
        <f aca="false">IF(ISBLANK($C394),"",IF(M394=Constants!$B$2, TRUE(), IF(M394=Constants!$B$3, FALSE(), FALSE())))</f>
        <v/>
      </c>
      <c r="X394" s="62" t="str">
        <f aca="false">IF(ISBLANK($C394),"",AND(Q394&lt;&gt;"",O394))</f>
        <v/>
      </c>
      <c r="Y394" s="62" t="str">
        <f aca="false">IF(ISBLANK($C394),"",AND(T394&lt;&gt;"",O394))</f>
        <v/>
      </c>
      <c r="Z394" s="62" t="str">
        <f aca="false">IF(ISBLANK($C394),"",IF(W394,Constants!$B$4,IF(COUNTA(E394:L394)=0,Constants!$B$5,IF(NOT(O394),Constants!$B$6,IF(AND(NOT(X394),NOT(Y394)),Constants!$B$6,Constants!$B$7)))))</f>
        <v/>
      </c>
      <c r="AA394" s="62" t="str">
        <f aca="false">IF(ISBLANK($C394),"",IF($Z394&lt;&gt;Constants!$B$7,$Z394,Constants!$B$20))</f>
        <v/>
      </c>
      <c r="AB394" s="62" t="str">
        <f aca="false">IF($Z394=Constants!$B$7,IF(X394,Q394,Constants!$B$13),"")</f>
        <v/>
      </c>
      <c r="AC394" s="62" t="str">
        <f aca="false">IF($Z394=Constants!$B$7,IF(X394,P394*IF(R394, 1, Constants!$B$11)*IF(S394, 1, Constants!$B$12),Constants!$B$13),"")</f>
        <v/>
      </c>
      <c r="AD394" s="62" t="str">
        <f aca="false">IF($Z394=Constants!$B$7,AB394*AC394,"")</f>
        <v/>
      </c>
      <c r="AE394" s="62" t="str">
        <f aca="false">IF($Z394=Constants!$B$7,IF(Y394,T394,Constants!$B$13),"")</f>
        <v/>
      </c>
      <c r="AF394" s="62" t="str">
        <f aca="false">IF($Z394=Constants!$B$7,IF(Y394,P394*IF(U394, 1, Constants!$B$11)*IF(V394, 1, Constants!$B$12),Constants!$B$13),"")</f>
        <v/>
      </c>
      <c r="AG394" s="62" t="str">
        <f aca="false">IF($Z394=Constants!$B$7,AE394*AF394,"")</f>
        <v/>
      </c>
      <c r="AH394" s="62" t="str">
        <f aca="false">IF($Z394=Constants!$B$7,IF(AG394&gt;AD394,2,1),"")</f>
        <v/>
      </c>
      <c r="AI394" s="62" t="str">
        <f aca="false">IF($Z394=Constants!$B$7,IF(AH394=1,2,1),"")</f>
        <v/>
      </c>
      <c r="AJ394" s="62" t="str">
        <f aca="false">IF(ISBLANK($C394),"",IF($Z394&lt;&gt;Constants!$B$7,$Z394,IF(AH394=1,AD394,AG394)))</f>
        <v/>
      </c>
      <c r="AK394" s="62" t="str">
        <f aca="false">IF(ISBLANK($C394),"",IF($Z394=Constants!$B$7,IF(ISNUMBER(AJ394),RANK(AJ394,$AJ$8:$AJ$507),Constants!$B$14),$Z394))</f>
        <v/>
      </c>
      <c r="AL394" s="62" t="str">
        <f aca="false">IF(ISBLANK($C394),"",IF($Z394=Constants!$B$7,IF(AI394=1,AD394,AG394),""))</f>
        <v/>
      </c>
      <c r="AM394" s="62" t="str">
        <f aca="false">IF(ISBLANK($C394),"",IF($Z394=Constants!$B$7,RANK(AL394,$AL$8:$AL$507),$Z394))</f>
        <v/>
      </c>
      <c r="AN394" s="62" t="str">
        <f aca="false">IF(ISBLANK($C394),"",IF($Z394=Constants!$B$7,IF(ISNUMBER(AK394),COUNTIFS($AK$8:$AK$507,"&lt;"&amp;$AK394)+COUNTIFS($AK$8:$AK$507,$AK394,$AM$8:$AM$507,"&lt;"&amp;$AM394)+1,Constants!$B$14),$Z394))</f>
        <v/>
      </c>
      <c r="AO394" s="62" t="str">
        <f aca="false">IF(ISBLANK($C394),"",IF($Z394=Constants!$B$7,IF(ISNUMBER(AK394),AK394-AN394,Constants!$B$14),$Z394))</f>
        <v/>
      </c>
      <c r="AP394" s="64"/>
      <c r="AQ394" s="65" t="str">
        <f aca="false">IF(ISBLANK($C394),"",IF($Z394&lt;&gt;Constants!$B$7,"",AH394))</f>
        <v/>
      </c>
      <c r="AR394" s="80" t="str">
        <f aca="false">IF(ISBLANK($C394),"",IF($Z394&lt;&gt;Constants!$B$7,"",IF(AH394=1,AB394,AE394)))</f>
        <v/>
      </c>
      <c r="AS394" s="67" t="str">
        <f aca="false">IF(ISBLANK($C394),"",IF($Z394&lt;&gt;Constants!$B$7,"",IF(AH394=1,AC394,AF394)))</f>
        <v/>
      </c>
      <c r="AT394" s="68" t="str">
        <f aca="false">IF(ISBLANK($C394),"",IF($Z394&lt;&gt;Constants!$B$7,$Z394,AJ394))</f>
        <v/>
      </c>
      <c r="AU394" s="69" t="str">
        <f aca="false">IF(ISBLANK($C394),"",IF($Z394&lt;&gt;Constants!$B$7,$Z394,AA394))</f>
        <v/>
      </c>
      <c r="AV394" s="70" t="str">
        <f aca="false">IF(ISBLANK($C394),"",AO394)</f>
        <v/>
      </c>
      <c r="AW394" s="70" t="str">
        <f aca="false">IF(ISBLANK($C394),"",AN394)</f>
        <v/>
      </c>
      <c r="AX394" s="71" t="str">
        <f aca="false">IF(ISBLANK($C394),"",IFERROR(_xlfn.SWITCH(AW394,Constants!$B$4,COUNTA($C$8:$C$507)+2,Constants!$B$5,COUNTA($C$8:$C$507)+1,Constants!$B$6,COUNTA($C$8:$C$507)),AW394))</f>
        <v/>
      </c>
      <c r="AY394" s="5"/>
      <c r="AZ394" s="72" t="n">
        <f aca="false">IF(OR(ISNUMBER(AW394),AW394=Constants!$B$4,AW394=Constants!$B$6,AW394=Constants!$B$5),1,0)</f>
        <v>0</v>
      </c>
      <c r="BA394" s="72" t="n">
        <v>387</v>
      </c>
      <c r="BB394" s="72" t="str">
        <f aca="false">IF(ISBLANK($C394),"",IF(ISNUMBER(AX394),AX394+ROW($B394)/1000,""))</f>
        <v/>
      </c>
      <c r="BC394" s="72" t="str">
        <f aca="false">IF(ISNUMBER(BB394),RANK(BB394,$BB$8:$BB$507,1),"")</f>
        <v/>
      </c>
      <c r="BD394" s="72" t="str">
        <f aca="false">IF(ISBLANK($C394),"",$B394)</f>
        <v/>
      </c>
      <c r="BE394" s="72" t="str">
        <f aca="false">IF(ISBLANK($C394),"",$C394)</f>
        <v/>
      </c>
      <c r="BF394" s="72" t="str">
        <f aca="false">IF(ISBLANK($C394),"",$D394)</f>
        <v/>
      </c>
      <c r="BG394" s="73" t="str">
        <f aca="false">AU394</f>
        <v/>
      </c>
      <c r="BH394" s="74" t="str">
        <f aca="false">AT394</f>
        <v/>
      </c>
      <c r="BI394" s="72" t="str">
        <f aca="false">IF(ISBLANK($C394),"",AW394)</f>
        <v/>
      </c>
      <c r="BJ394" s="75" t="str">
        <f aca="false">IF($BA394&gt;$AZ$7,"",VLOOKUP($BA394,$BC$8:$BI$507,7,FALSE()))</f>
        <v/>
      </c>
      <c r="BK394" s="76" t="str">
        <f aca="false">IF($BA394&gt;$AZ$7,"",VLOOKUP($BA394,$BC$8:$BI$507,2,FALSE()))</f>
        <v/>
      </c>
      <c r="BL394" s="76" t="str">
        <f aca="false">IF($BA394&gt;$AZ$7,"",VLOOKUP($BA394,$BC$8:$BI$507,3,FALSE()))</f>
        <v/>
      </c>
      <c r="BM394" s="76" t="str">
        <f aca="false">IF($BA394&gt;$AZ$7,"",VLOOKUP($BA394,$BC$8:$BI$507,4,FALSE()))</f>
        <v/>
      </c>
      <c r="BN394" s="76" t="str">
        <f aca="false">IF($BA394&gt;$AZ$7,"",VLOOKUP($BA394,$BC$8:$BI$507,5,FALSE()))</f>
        <v/>
      </c>
      <c r="BO394" s="77" t="str">
        <f aca="false">IF($BA394&gt;$AZ$7,"",VLOOKUP($BA394,$BC$8:$BI$507,6,FALSE()))</f>
        <v/>
      </c>
      <c r="BP394" s="52"/>
    </row>
    <row r="395" customFormat="false" ht="15.75" hidden="false" customHeight="false" outlineLevel="0" collapsed="false">
      <c r="A395" s="5"/>
      <c r="B395" s="114"/>
      <c r="C395" s="115"/>
      <c r="D395" s="106"/>
      <c r="E395" s="117"/>
      <c r="F395" s="87"/>
      <c r="G395" s="88"/>
      <c r="H395" s="88"/>
      <c r="I395" s="87"/>
      <c r="J395" s="88"/>
      <c r="K395" s="88"/>
      <c r="L395" s="87"/>
      <c r="M395" s="117"/>
      <c r="N395" s="90"/>
      <c r="O395" s="91" t="str">
        <f aca="false">IF(ISBLANK($C395),"",IF(E395=Constants!$B$2, TRUE(), IF(E395=Constants!$B$3, FALSE(), TRUE())))</f>
        <v/>
      </c>
      <c r="P395" s="91" t="str">
        <f aca="false">IF(ISBLANK($C395),"",IF(F395=Constants!$B$16,Constants!$B$9,IF(F395=Constants!$B$17,Constants!$B$10,Constants!$B$8)))</f>
        <v/>
      </c>
      <c r="Q395" s="91" t="str">
        <f aca="false">IF(ISBLANK($C395),"",IF(ISNUMBER(G395),IF(G395&gt;=0,G395,""),""))</f>
        <v/>
      </c>
      <c r="R395" s="91" t="str">
        <f aca="false">IF(ISBLANK($C395),"",IF(H395=Constants!$B$2, TRUE(), IF(H395=Constants!$B$3, FALSE(), TRUE())))</f>
        <v/>
      </c>
      <c r="S395" s="91" t="str">
        <f aca="false">IF(ISBLANK($C395),"",IF(I395=Constants!$B$2, TRUE(), IF(I395=Constants!$B$3, FALSE(), TRUE())))</f>
        <v/>
      </c>
      <c r="T395" s="91" t="str">
        <f aca="false">IF(ISBLANK($C395),"",IF(ISNUMBER(J395),IF(J395&gt;=0,J395,""),""))</f>
        <v/>
      </c>
      <c r="U395" s="91" t="str">
        <f aca="false">IF(ISBLANK($C395),"",IF(K395=Constants!$B$2, TRUE(), IF(K395=Constants!$B$3, FALSE(), TRUE())))</f>
        <v/>
      </c>
      <c r="V395" s="91" t="str">
        <f aca="false">IF(ISBLANK($C395),"",IF(L395=Constants!$B$2, TRUE(), IF(L395=Constants!$B$3, FALSE(), TRUE())))</f>
        <v/>
      </c>
      <c r="W395" s="91" t="str">
        <f aca="false">IF(ISBLANK($C395),"",IF(M395=Constants!$B$2, TRUE(), IF(M395=Constants!$B$3, FALSE(), FALSE())))</f>
        <v/>
      </c>
      <c r="X395" s="91" t="str">
        <f aca="false">IF(ISBLANK($C395),"",AND(Q395&lt;&gt;"",O395))</f>
        <v/>
      </c>
      <c r="Y395" s="91" t="str">
        <f aca="false">IF(ISBLANK($C395),"",AND(T395&lt;&gt;"",O395))</f>
        <v/>
      </c>
      <c r="Z395" s="91" t="str">
        <f aca="false">IF(ISBLANK($C395),"",IF(W395,Constants!$B$4,IF(COUNTA(E395:L395)=0,Constants!$B$5,IF(NOT(O395),Constants!$B$6,IF(AND(NOT(X395),NOT(Y395)),Constants!$B$6,Constants!$B$7)))))</f>
        <v/>
      </c>
      <c r="AA395" s="91" t="str">
        <f aca="false">IF(ISBLANK($C395),"",IF($Z395&lt;&gt;Constants!$B$7,$Z395,Constants!$B$20))</f>
        <v/>
      </c>
      <c r="AB395" s="91" t="str">
        <f aca="false">IF($Z395=Constants!$B$7,IF(X395,Q395,Constants!$B$13),"")</f>
        <v/>
      </c>
      <c r="AC395" s="91" t="str">
        <f aca="false">IF($Z395=Constants!$B$7,IF(X395,P395*IF(R395, 1, Constants!$B$11)*IF(S395, 1, Constants!$B$12),Constants!$B$13),"")</f>
        <v/>
      </c>
      <c r="AD395" s="91" t="str">
        <f aca="false">IF($Z395=Constants!$B$7,AB395*AC395,"")</f>
        <v/>
      </c>
      <c r="AE395" s="91" t="str">
        <f aca="false">IF($Z395=Constants!$B$7,IF(Y395,T395,Constants!$B$13),"")</f>
        <v/>
      </c>
      <c r="AF395" s="91" t="str">
        <f aca="false">IF($Z395=Constants!$B$7,IF(Y395,P395*IF(U395, 1, Constants!$B$11)*IF(V395, 1, Constants!$B$12),Constants!$B$13),"")</f>
        <v/>
      </c>
      <c r="AG395" s="91" t="str">
        <f aca="false">IF($Z395=Constants!$B$7,AE395*AF395,"")</f>
        <v/>
      </c>
      <c r="AH395" s="91" t="str">
        <f aca="false">IF($Z395=Constants!$B$7,IF(AG395&gt;AD395,2,1),"")</f>
        <v/>
      </c>
      <c r="AI395" s="91" t="str">
        <f aca="false">IF($Z395=Constants!$B$7,IF(AH395=1,2,1),"")</f>
        <v/>
      </c>
      <c r="AJ395" s="91" t="str">
        <f aca="false">IF(ISBLANK($C395),"",IF($Z395&lt;&gt;Constants!$B$7,$Z395,IF(AH395=1,AD395,AG395)))</f>
        <v/>
      </c>
      <c r="AK395" s="91" t="str">
        <f aca="false">IF(ISBLANK($C395),"",IF($Z395=Constants!$B$7,IF(ISNUMBER(AJ395),RANK(AJ395,$AJ$8:$AJ$507),Constants!$B$14),$Z395))</f>
        <v/>
      </c>
      <c r="AL395" s="91" t="str">
        <f aca="false">IF(ISBLANK($C395),"",IF($Z395=Constants!$B$7,IF(AI395=1,AD395,AG395),""))</f>
        <v/>
      </c>
      <c r="AM395" s="91" t="str">
        <f aca="false">IF(ISBLANK($C395),"",IF($Z395=Constants!$B$7,RANK(AL395,$AL$8:$AL$507),$Z395))</f>
        <v/>
      </c>
      <c r="AN395" s="91" t="str">
        <f aca="false">IF(ISBLANK($C395),"",IF($Z395=Constants!$B$7,IF(ISNUMBER(AK395),COUNTIFS($AK$8:$AK$507,"&lt;"&amp;$AK395)+COUNTIFS($AK$8:$AK$507,$AK395,$AM$8:$AM$507,"&lt;"&amp;$AM395)+1,Constants!$B$14),$Z395))</f>
        <v/>
      </c>
      <c r="AO395" s="91" t="str">
        <f aca="false">IF(ISBLANK($C395),"",IF($Z395=Constants!$B$7,IF(ISNUMBER(AK395),AK395-AN395,Constants!$B$14),$Z395))</f>
        <v/>
      </c>
      <c r="AP395" s="92"/>
      <c r="AQ395" s="93" t="str">
        <f aca="false">IF(ISBLANK($C395),"",IF($Z395&lt;&gt;Constants!$B$7,"",AH395))</f>
        <v/>
      </c>
      <c r="AR395" s="94" t="str">
        <f aca="false">IF(ISBLANK($C395),"",IF($Z395&lt;&gt;Constants!$B$7,"",IF(AH395=1,AB395,AE395)))</f>
        <v/>
      </c>
      <c r="AS395" s="95" t="str">
        <f aca="false">IF(ISBLANK($C395),"",IF($Z395&lt;&gt;Constants!$B$7,"",IF(AH395=1,AC395,AF395)))</f>
        <v/>
      </c>
      <c r="AT395" s="96" t="str">
        <f aca="false">IF(ISBLANK($C395),"",IF($Z395&lt;&gt;Constants!$B$7,$Z395,AJ395))</f>
        <v/>
      </c>
      <c r="AU395" s="97" t="str">
        <f aca="false">IF(ISBLANK($C395),"",IF($Z395&lt;&gt;Constants!$B$7,$Z395,AA395))</f>
        <v/>
      </c>
      <c r="AV395" s="98" t="str">
        <f aca="false">IF(ISBLANK($C395),"",AO395)</f>
        <v/>
      </c>
      <c r="AW395" s="98" t="str">
        <f aca="false">IF(ISBLANK($C395),"",AN395)</f>
        <v/>
      </c>
      <c r="AX395" s="99" t="str">
        <f aca="false">IF(ISBLANK($C395),"",IFERROR(_xlfn.SWITCH(AW395,Constants!$B$4,COUNTA($C$8:$C$507)+2,Constants!$B$5,COUNTA($C$8:$C$507)+1,Constants!$B$6,COUNTA($C$8:$C$507)),AW395))</f>
        <v/>
      </c>
      <c r="AY395" s="5"/>
      <c r="AZ395" s="100" t="n">
        <f aca="false">IF(OR(ISNUMBER(AW395),AW395=Constants!$B$4,AW395=Constants!$B$6,AW395=Constants!$B$5),1,0)</f>
        <v>0</v>
      </c>
      <c r="BA395" s="100" t="n">
        <v>388</v>
      </c>
      <c r="BB395" s="100" t="str">
        <f aca="false">IF(ISBLANK($C395),"",IF(ISNUMBER(AX395),AX395+ROW($B395)/1000,""))</f>
        <v/>
      </c>
      <c r="BC395" s="100" t="str">
        <f aca="false">IF(ISNUMBER(BB395),RANK(BB395,$BB$8:$BB$507,1),"")</f>
        <v/>
      </c>
      <c r="BD395" s="100" t="str">
        <f aca="false">IF(ISBLANK($C395),"",$B395)</f>
        <v/>
      </c>
      <c r="BE395" s="100" t="str">
        <f aca="false">IF(ISBLANK($C395),"",$C395)</f>
        <v/>
      </c>
      <c r="BF395" s="100" t="str">
        <f aca="false">IF(ISBLANK($C395),"",$D395)</f>
        <v/>
      </c>
      <c r="BG395" s="101" t="str">
        <f aca="false">AU395</f>
        <v/>
      </c>
      <c r="BH395" s="102" t="str">
        <f aca="false">AT395</f>
        <v/>
      </c>
      <c r="BI395" s="100" t="str">
        <f aca="false">IF(ISBLANK($C395),"",AW395)</f>
        <v/>
      </c>
      <c r="BJ395" s="103" t="str">
        <f aca="false">IF($BA395&gt;$AZ$7,"",VLOOKUP($BA395,$BC$8:$BI$507,7,FALSE()))</f>
        <v/>
      </c>
      <c r="BK395" s="104" t="str">
        <f aca="false">IF($BA395&gt;$AZ$7,"",VLOOKUP($BA395,$BC$8:$BI$507,2,FALSE()))</f>
        <v/>
      </c>
      <c r="BL395" s="104" t="str">
        <f aca="false">IF($BA395&gt;$AZ$7,"",VLOOKUP($BA395,$BC$8:$BI$507,3,FALSE()))</f>
        <v/>
      </c>
      <c r="BM395" s="104" t="str">
        <f aca="false">IF($BA395&gt;$AZ$7,"",VLOOKUP($BA395,$BC$8:$BI$507,4,FALSE()))</f>
        <v/>
      </c>
      <c r="BN395" s="104" t="str">
        <f aca="false">IF($BA395&gt;$AZ$7,"",VLOOKUP($BA395,$BC$8:$BI$507,5,FALSE()))</f>
        <v/>
      </c>
      <c r="BO395" s="105" t="str">
        <f aca="false">IF($BA395&gt;$AZ$7,"",VLOOKUP($BA395,$BC$8:$BI$507,6,FALSE()))</f>
        <v/>
      </c>
      <c r="BP395" s="52"/>
    </row>
    <row r="396" customFormat="false" ht="15.75" hidden="false" customHeight="false" outlineLevel="0" collapsed="false">
      <c r="A396" s="5"/>
      <c r="B396" s="114"/>
      <c r="C396" s="115"/>
      <c r="D396" s="106"/>
      <c r="E396" s="117"/>
      <c r="F396" s="87"/>
      <c r="G396" s="88"/>
      <c r="H396" s="88"/>
      <c r="I396" s="87"/>
      <c r="J396" s="88"/>
      <c r="K396" s="88"/>
      <c r="L396" s="87"/>
      <c r="M396" s="117"/>
      <c r="N396" s="90"/>
      <c r="O396" s="91" t="str">
        <f aca="false">IF(ISBLANK($C396),"",IF(E396=Constants!$B$2, TRUE(), IF(E396=Constants!$B$3, FALSE(), TRUE())))</f>
        <v/>
      </c>
      <c r="P396" s="91" t="str">
        <f aca="false">IF(ISBLANK($C396),"",IF(F396=Constants!$B$16,Constants!$B$9,IF(F396=Constants!$B$17,Constants!$B$10,Constants!$B$8)))</f>
        <v/>
      </c>
      <c r="Q396" s="91" t="str">
        <f aca="false">IF(ISBLANK($C396),"",IF(ISNUMBER(G396),IF(G396&gt;=0,G396,""),""))</f>
        <v/>
      </c>
      <c r="R396" s="91" t="str">
        <f aca="false">IF(ISBLANK($C396),"",IF(H396=Constants!$B$2, TRUE(), IF(H396=Constants!$B$3, FALSE(), TRUE())))</f>
        <v/>
      </c>
      <c r="S396" s="91" t="str">
        <f aca="false">IF(ISBLANK($C396),"",IF(I396=Constants!$B$2, TRUE(), IF(I396=Constants!$B$3, FALSE(), TRUE())))</f>
        <v/>
      </c>
      <c r="T396" s="91" t="str">
        <f aca="false">IF(ISBLANK($C396),"",IF(ISNUMBER(J396),IF(J396&gt;=0,J396,""),""))</f>
        <v/>
      </c>
      <c r="U396" s="91" t="str">
        <f aca="false">IF(ISBLANK($C396),"",IF(K396=Constants!$B$2, TRUE(), IF(K396=Constants!$B$3, FALSE(), TRUE())))</f>
        <v/>
      </c>
      <c r="V396" s="91" t="str">
        <f aca="false">IF(ISBLANK($C396),"",IF(L396=Constants!$B$2, TRUE(), IF(L396=Constants!$B$3, FALSE(), TRUE())))</f>
        <v/>
      </c>
      <c r="W396" s="91" t="str">
        <f aca="false">IF(ISBLANK($C396),"",IF(M396=Constants!$B$2, TRUE(), IF(M396=Constants!$B$3, FALSE(), FALSE())))</f>
        <v/>
      </c>
      <c r="X396" s="91" t="str">
        <f aca="false">IF(ISBLANK($C396),"",AND(Q396&lt;&gt;"",O396))</f>
        <v/>
      </c>
      <c r="Y396" s="91" t="str">
        <f aca="false">IF(ISBLANK($C396),"",AND(T396&lt;&gt;"",O396))</f>
        <v/>
      </c>
      <c r="Z396" s="91" t="str">
        <f aca="false">IF(ISBLANK($C396),"",IF(W396,Constants!$B$4,IF(COUNTA(E396:L396)=0,Constants!$B$5,IF(NOT(O396),Constants!$B$6,IF(AND(NOT(X396),NOT(Y396)),Constants!$B$6,Constants!$B$7)))))</f>
        <v/>
      </c>
      <c r="AA396" s="91" t="str">
        <f aca="false">IF(ISBLANK($C396),"",IF($Z396&lt;&gt;Constants!$B$7,$Z396,Constants!$B$20))</f>
        <v/>
      </c>
      <c r="AB396" s="91" t="str">
        <f aca="false">IF($Z396=Constants!$B$7,IF(X396,Q396,Constants!$B$13),"")</f>
        <v/>
      </c>
      <c r="AC396" s="91" t="str">
        <f aca="false">IF($Z396=Constants!$B$7,IF(X396,P396*IF(R396, 1, Constants!$B$11)*IF(S396, 1, Constants!$B$12),Constants!$B$13),"")</f>
        <v/>
      </c>
      <c r="AD396" s="91" t="str">
        <f aca="false">IF($Z396=Constants!$B$7,AB396*AC396,"")</f>
        <v/>
      </c>
      <c r="AE396" s="91" t="str">
        <f aca="false">IF($Z396=Constants!$B$7,IF(Y396,T396,Constants!$B$13),"")</f>
        <v/>
      </c>
      <c r="AF396" s="91" t="str">
        <f aca="false">IF($Z396=Constants!$B$7,IF(Y396,P396*IF(U396, 1, Constants!$B$11)*IF(V396, 1, Constants!$B$12),Constants!$B$13),"")</f>
        <v/>
      </c>
      <c r="AG396" s="91" t="str">
        <f aca="false">IF($Z396=Constants!$B$7,AE396*AF396,"")</f>
        <v/>
      </c>
      <c r="AH396" s="91" t="str">
        <f aca="false">IF($Z396=Constants!$B$7,IF(AG396&gt;AD396,2,1),"")</f>
        <v/>
      </c>
      <c r="AI396" s="91" t="str">
        <f aca="false">IF($Z396=Constants!$B$7,IF(AH396=1,2,1),"")</f>
        <v/>
      </c>
      <c r="AJ396" s="91" t="str">
        <f aca="false">IF(ISBLANK($C396),"",IF($Z396&lt;&gt;Constants!$B$7,$Z396,IF(AH396=1,AD396,AG396)))</f>
        <v/>
      </c>
      <c r="AK396" s="91" t="str">
        <f aca="false">IF(ISBLANK($C396),"",IF($Z396=Constants!$B$7,IF(ISNUMBER(AJ396),RANK(AJ396,$AJ$8:$AJ$507),Constants!$B$14),$Z396))</f>
        <v/>
      </c>
      <c r="AL396" s="91" t="str">
        <f aca="false">IF(ISBLANK($C396),"",IF($Z396=Constants!$B$7,IF(AI396=1,AD396,AG396),""))</f>
        <v/>
      </c>
      <c r="AM396" s="91" t="str">
        <f aca="false">IF(ISBLANK($C396),"",IF($Z396=Constants!$B$7,RANK(AL396,$AL$8:$AL$507),$Z396))</f>
        <v/>
      </c>
      <c r="AN396" s="91" t="str">
        <f aca="false">IF(ISBLANK($C396),"",IF($Z396=Constants!$B$7,IF(ISNUMBER(AK396),COUNTIFS($AK$8:$AK$507,"&lt;"&amp;$AK396)+COUNTIFS($AK$8:$AK$507,$AK396,$AM$8:$AM$507,"&lt;"&amp;$AM396)+1,Constants!$B$14),$Z396))</f>
        <v/>
      </c>
      <c r="AO396" s="91" t="str">
        <f aca="false">IF(ISBLANK($C396),"",IF($Z396=Constants!$B$7,IF(ISNUMBER(AK396),AK396-AN396,Constants!$B$14),$Z396))</f>
        <v/>
      </c>
      <c r="AP396" s="92"/>
      <c r="AQ396" s="93" t="str">
        <f aca="false">IF(ISBLANK($C396),"",IF($Z396&lt;&gt;Constants!$B$7,"",AH396))</f>
        <v/>
      </c>
      <c r="AR396" s="94" t="str">
        <f aca="false">IF(ISBLANK($C396),"",IF($Z396&lt;&gt;Constants!$B$7,"",IF(AH396=1,AB396,AE396)))</f>
        <v/>
      </c>
      <c r="AS396" s="95" t="str">
        <f aca="false">IF(ISBLANK($C396),"",IF($Z396&lt;&gt;Constants!$B$7,"",IF(AH396=1,AC396,AF396)))</f>
        <v/>
      </c>
      <c r="AT396" s="96" t="str">
        <f aca="false">IF(ISBLANK($C396),"",IF($Z396&lt;&gt;Constants!$B$7,$Z396,AJ396))</f>
        <v/>
      </c>
      <c r="AU396" s="97" t="str">
        <f aca="false">IF(ISBLANK($C396),"",IF($Z396&lt;&gt;Constants!$B$7,$Z396,AA396))</f>
        <v/>
      </c>
      <c r="AV396" s="98" t="str">
        <f aca="false">IF(ISBLANK($C396),"",AO396)</f>
        <v/>
      </c>
      <c r="AW396" s="98" t="str">
        <f aca="false">IF(ISBLANK($C396),"",AN396)</f>
        <v/>
      </c>
      <c r="AX396" s="99" t="str">
        <f aca="false">IF(ISBLANK($C396),"",IFERROR(_xlfn.SWITCH(AW396,Constants!$B$4,COUNTA($C$8:$C$507)+2,Constants!$B$5,COUNTA($C$8:$C$507)+1,Constants!$B$6,COUNTA($C$8:$C$507)),AW396))</f>
        <v/>
      </c>
      <c r="AY396" s="5"/>
      <c r="AZ396" s="100" t="n">
        <f aca="false">IF(OR(ISNUMBER(AW396),AW396=Constants!$B$4,AW396=Constants!$B$6,AW396=Constants!$B$5),1,0)</f>
        <v>0</v>
      </c>
      <c r="BA396" s="100" t="n">
        <v>389</v>
      </c>
      <c r="BB396" s="100" t="str">
        <f aca="false">IF(ISBLANK($C396),"",IF(ISNUMBER(AX396),AX396+ROW($B396)/1000,""))</f>
        <v/>
      </c>
      <c r="BC396" s="100" t="str">
        <f aca="false">IF(ISNUMBER(BB396),RANK(BB396,$BB$8:$BB$507,1),"")</f>
        <v/>
      </c>
      <c r="BD396" s="100" t="str">
        <f aca="false">IF(ISBLANK($C396),"",$B396)</f>
        <v/>
      </c>
      <c r="BE396" s="100" t="str">
        <f aca="false">IF(ISBLANK($C396),"",$C396)</f>
        <v/>
      </c>
      <c r="BF396" s="100" t="str">
        <f aca="false">IF(ISBLANK($C396),"",$D396)</f>
        <v/>
      </c>
      <c r="BG396" s="101" t="str">
        <f aca="false">AU396</f>
        <v/>
      </c>
      <c r="BH396" s="102" t="str">
        <f aca="false">AT396</f>
        <v/>
      </c>
      <c r="BI396" s="100" t="str">
        <f aca="false">IF(ISBLANK($C396),"",AW396)</f>
        <v/>
      </c>
      <c r="BJ396" s="103" t="str">
        <f aca="false">IF($BA396&gt;$AZ$7,"",VLOOKUP($BA396,$BC$8:$BI$507,7,FALSE()))</f>
        <v/>
      </c>
      <c r="BK396" s="104" t="str">
        <f aca="false">IF($BA396&gt;$AZ$7,"",VLOOKUP($BA396,$BC$8:$BI$507,2,FALSE()))</f>
        <v/>
      </c>
      <c r="BL396" s="104" t="str">
        <f aca="false">IF($BA396&gt;$AZ$7,"",VLOOKUP($BA396,$BC$8:$BI$507,3,FALSE()))</f>
        <v/>
      </c>
      <c r="BM396" s="104" t="str">
        <f aca="false">IF($BA396&gt;$AZ$7,"",VLOOKUP($BA396,$BC$8:$BI$507,4,FALSE()))</f>
        <v/>
      </c>
      <c r="BN396" s="104" t="str">
        <f aca="false">IF($BA396&gt;$AZ$7,"",VLOOKUP($BA396,$BC$8:$BI$507,5,FALSE()))</f>
        <v/>
      </c>
      <c r="BO396" s="105" t="str">
        <f aca="false">IF($BA396&gt;$AZ$7,"",VLOOKUP($BA396,$BC$8:$BI$507,6,FALSE()))</f>
        <v/>
      </c>
      <c r="BP396" s="52"/>
    </row>
    <row r="397" customFormat="false" ht="15.75" hidden="false" customHeight="false" outlineLevel="0" collapsed="false">
      <c r="A397" s="5"/>
      <c r="B397" s="114"/>
      <c r="C397" s="115"/>
      <c r="D397" s="106"/>
      <c r="E397" s="117"/>
      <c r="F397" s="87"/>
      <c r="G397" s="88"/>
      <c r="H397" s="88"/>
      <c r="I397" s="87"/>
      <c r="J397" s="88"/>
      <c r="K397" s="88"/>
      <c r="L397" s="87"/>
      <c r="M397" s="117"/>
      <c r="N397" s="90"/>
      <c r="O397" s="91" t="str">
        <f aca="false">IF(ISBLANK($C397),"",IF(E397=Constants!$B$2, TRUE(), IF(E397=Constants!$B$3, FALSE(), TRUE())))</f>
        <v/>
      </c>
      <c r="P397" s="91" t="str">
        <f aca="false">IF(ISBLANK($C397),"",IF(F397=Constants!$B$16,Constants!$B$9,IF(F397=Constants!$B$17,Constants!$B$10,Constants!$B$8)))</f>
        <v/>
      </c>
      <c r="Q397" s="91" t="str">
        <f aca="false">IF(ISBLANK($C397),"",IF(ISNUMBER(G397),IF(G397&gt;=0,G397,""),""))</f>
        <v/>
      </c>
      <c r="R397" s="91" t="str">
        <f aca="false">IF(ISBLANK($C397),"",IF(H397=Constants!$B$2, TRUE(), IF(H397=Constants!$B$3, FALSE(), TRUE())))</f>
        <v/>
      </c>
      <c r="S397" s="91" t="str">
        <f aca="false">IF(ISBLANK($C397),"",IF(I397=Constants!$B$2, TRUE(), IF(I397=Constants!$B$3, FALSE(), TRUE())))</f>
        <v/>
      </c>
      <c r="T397" s="91" t="str">
        <f aca="false">IF(ISBLANK($C397),"",IF(ISNUMBER(J397),IF(J397&gt;=0,J397,""),""))</f>
        <v/>
      </c>
      <c r="U397" s="91" t="str">
        <f aca="false">IF(ISBLANK($C397),"",IF(K397=Constants!$B$2, TRUE(), IF(K397=Constants!$B$3, FALSE(), TRUE())))</f>
        <v/>
      </c>
      <c r="V397" s="91" t="str">
        <f aca="false">IF(ISBLANK($C397),"",IF(L397=Constants!$B$2, TRUE(), IF(L397=Constants!$B$3, FALSE(), TRUE())))</f>
        <v/>
      </c>
      <c r="W397" s="91" t="str">
        <f aca="false">IF(ISBLANK($C397),"",IF(M397=Constants!$B$2, TRUE(), IF(M397=Constants!$B$3, FALSE(), FALSE())))</f>
        <v/>
      </c>
      <c r="X397" s="91" t="str">
        <f aca="false">IF(ISBLANK($C397),"",AND(Q397&lt;&gt;"",O397))</f>
        <v/>
      </c>
      <c r="Y397" s="91" t="str">
        <f aca="false">IF(ISBLANK($C397),"",AND(T397&lt;&gt;"",O397))</f>
        <v/>
      </c>
      <c r="Z397" s="91" t="str">
        <f aca="false">IF(ISBLANK($C397),"",IF(W397,Constants!$B$4,IF(COUNTA(E397:L397)=0,Constants!$B$5,IF(NOT(O397),Constants!$B$6,IF(AND(NOT(X397),NOT(Y397)),Constants!$B$6,Constants!$B$7)))))</f>
        <v/>
      </c>
      <c r="AA397" s="91" t="str">
        <f aca="false">IF(ISBLANK($C397),"",IF($Z397&lt;&gt;Constants!$B$7,$Z397,Constants!$B$20))</f>
        <v/>
      </c>
      <c r="AB397" s="91" t="str">
        <f aca="false">IF($Z397=Constants!$B$7,IF(X397,Q397,Constants!$B$13),"")</f>
        <v/>
      </c>
      <c r="AC397" s="91" t="str">
        <f aca="false">IF($Z397=Constants!$B$7,IF(X397,P397*IF(R397, 1, Constants!$B$11)*IF(S397, 1, Constants!$B$12),Constants!$B$13),"")</f>
        <v/>
      </c>
      <c r="AD397" s="91" t="str">
        <f aca="false">IF($Z397=Constants!$B$7,AB397*AC397,"")</f>
        <v/>
      </c>
      <c r="AE397" s="91" t="str">
        <f aca="false">IF($Z397=Constants!$B$7,IF(Y397,T397,Constants!$B$13),"")</f>
        <v/>
      </c>
      <c r="AF397" s="91" t="str">
        <f aca="false">IF($Z397=Constants!$B$7,IF(Y397,P397*IF(U397, 1, Constants!$B$11)*IF(V397, 1, Constants!$B$12),Constants!$B$13),"")</f>
        <v/>
      </c>
      <c r="AG397" s="91" t="str">
        <f aca="false">IF($Z397=Constants!$B$7,AE397*AF397,"")</f>
        <v/>
      </c>
      <c r="AH397" s="91" t="str">
        <f aca="false">IF($Z397=Constants!$B$7,IF(AG397&gt;AD397,2,1),"")</f>
        <v/>
      </c>
      <c r="AI397" s="91" t="str">
        <f aca="false">IF($Z397=Constants!$B$7,IF(AH397=1,2,1),"")</f>
        <v/>
      </c>
      <c r="AJ397" s="91" t="str">
        <f aca="false">IF(ISBLANK($C397),"",IF($Z397&lt;&gt;Constants!$B$7,$Z397,IF(AH397=1,AD397,AG397)))</f>
        <v/>
      </c>
      <c r="AK397" s="91" t="str">
        <f aca="false">IF(ISBLANK($C397),"",IF($Z397=Constants!$B$7,IF(ISNUMBER(AJ397),RANK(AJ397,$AJ$8:$AJ$507),Constants!$B$14),$Z397))</f>
        <v/>
      </c>
      <c r="AL397" s="91" t="str">
        <f aca="false">IF(ISBLANK($C397),"",IF($Z397=Constants!$B$7,IF(AI397=1,AD397,AG397),""))</f>
        <v/>
      </c>
      <c r="AM397" s="91" t="str">
        <f aca="false">IF(ISBLANK($C397),"",IF($Z397=Constants!$B$7,RANK(AL397,$AL$8:$AL$507),$Z397))</f>
        <v/>
      </c>
      <c r="AN397" s="91" t="str">
        <f aca="false">IF(ISBLANK($C397),"",IF($Z397=Constants!$B$7,IF(ISNUMBER(AK397),COUNTIFS($AK$8:$AK$507,"&lt;"&amp;$AK397)+COUNTIFS($AK$8:$AK$507,$AK397,$AM$8:$AM$507,"&lt;"&amp;$AM397)+1,Constants!$B$14),$Z397))</f>
        <v/>
      </c>
      <c r="AO397" s="91" t="str">
        <f aca="false">IF(ISBLANK($C397),"",IF($Z397=Constants!$B$7,IF(ISNUMBER(AK397),AK397-AN397,Constants!$B$14),$Z397))</f>
        <v/>
      </c>
      <c r="AP397" s="92"/>
      <c r="AQ397" s="93" t="str">
        <f aca="false">IF(ISBLANK($C397),"",IF($Z397&lt;&gt;Constants!$B$7,"",AH397))</f>
        <v/>
      </c>
      <c r="AR397" s="94" t="str">
        <f aca="false">IF(ISBLANK($C397),"",IF($Z397&lt;&gt;Constants!$B$7,"",IF(AH397=1,AB397,AE397)))</f>
        <v/>
      </c>
      <c r="AS397" s="95" t="str">
        <f aca="false">IF(ISBLANK($C397),"",IF($Z397&lt;&gt;Constants!$B$7,"",IF(AH397=1,AC397,AF397)))</f>
        <v/>
      </c>
      <c r="AT397" s="96" t="str">
        <f aca="false">IF(ISBLANK($C397),"",IF($Z397&lt;&gt;Constants!$B$7,$Z397,AJ397))</f>
        <v/>
      </c>
      <c r="AU397" s="97" t="str">
        <f aca="false">IF(ISBLANK($C397),"",IF($Z397&lt;&gt;Constants!$B$7,$Z397,AA397))</f>
        <v/>
      </c>
      <c r="AV397" s="98" t="str">
        <f aca="false">IF(ISBLANK($C397),"",AO397)</f>
        <v/>
      </c>
      <c r="AW397" s="98" t="str">
        <f aca="false">IF(ISBLANK($C397),"",AN397)</f>
        <v/>
      </c>
      <c r="AX397" s="99" t="str">
        <f aca="false">IF(ISBLANK($C397),"",IFERROR(_xlfn.SWITCH(AW397,Constants!$B$4,COUNTA($C$8:$C$507)+2,Constants!$B$5,COUNTA($C$8:$C$507)+1,Constants!$B$6,COUNTA($C$8:$C$507)),AW397))</f>
        <v/>
      </c>
      <c r="AY397" s="5"/>
      <c r="AZ397" s="100" t="n">
        <f aca="false">IF(OR(ISNUMBER(AW397),AW397=Constants!$B$4,AW397=Constants!$B$6,AW397=Constants!$B$5),1,0)</f>
        <v>0</v>
      </c>
      <c r="BA397" s="100" t="n">
        <v>390</v>
      </c>
      <c r="BB397" s="100" t="str">
        <f aca="false">IF(ISBLANK($C397),"",IF(ISNUMBER(AX397),AX397+ROW($B397)/1000,""))</f>
        <v/>
      </c>
      <c r="BC397" s="100" t="str">
        <f aca="false">IF(ISNUMBER(BB397),RANK(BB397,$BB$8:$BB$507,1),"")</f>
        <v/>
      </c>
      <c r="BD397" s="100" t="str">
        <f aca="false">IF(ISBLANK($C397),"",$B397)</f>
        <v/>
      </c>
      <c r="BE397" s="100" t="str">
        <f aca="false">IF(ISBLANK($C397),"",$C397)</f>
        <v/>
      </c>
      <c r="BF397" s="100" t="str">
        <f aca="false">IF(ISBLANK($C397),"",$D397)</f>
        <v/>
      </c>
      <c r="BG397" s="101" t="str">
        <f aca="false">AU397</f>
        <v/>
      </c>
      <c r="BH397" s="102" t="str">
        <f aca="false">AT397</f>
        <v/>
      </c>
      <c r="BI397" s="100" t="str">
        <f aca="false">IF(ISBLANK($C397),"",AW397)</f>
        <v/>
      </c>
      <c r="BJ397" s="103" t="str">
        <f aca="false">IF($BA397&gt;$AZ$7,"",VLOOKUP($BA397,$BC$8:$BI$507,7,FALSE()))</f>
        <v/>
      </c>
      <c r="BK397" s="104" t="str">
        <f aca="false">IF($BA397&gt;$AZ$7,"",VLOOKUP($BA397,$BC$8:$BI$507,2,FALSE()))</f>
        <v/>
      </c>
      <c r="BL397" s="104" t="str">
        <f aca="false">IF($BA397&gt;$AZ$7,"",VLOOKUP($BA397,$BC$8:$BI$507,3,FALSE()))</f>
        <v/>
      </c>
      <c r="BM397" s="104" t="str">
        <f aca="false">IF($BA397&gt;$AZ$7,"",VLOOKUP($BA397,$BC$8:$BI$507,4,FALSE()))</f>
        <v/>
      </c>
      <c r="BN397" s="104" t="str">
        <f aca="false">IF($BA397&gt;$AZ$7,"",VLOOKUP($BA397,$BC$8:$BI$507,5,FALSE()))</f>
        <v/>
      </c>
      <c r="BO397" s="105" t="str">
        <f aca="false">IF($BA397&gt;$AZ$7,"",VLOOKUP($BA397,$BC$8:$BI$507,6,FALSE()))</f>
        <v/>
      </c>
      <c r="BP397" s="52"/>
    </row>
    <row r="398" customFormat="false" ht="15.75" hidden="false" customHeight="false" outlineLevel="0" collapsed="false">
      <c r="A398" s="5"/>
      <c r="B398" s="118"/>
      <c r="C398" s="54"/>
      <c r="D398" s="55"/>
      <c r="E398" s="79"/>
      <c r="F398" s="57"/>
      <c r="G398" s="58"/>
      <c r="H398" s="58"/>
      <c r="I398" s="57"/>
      <c r="J398" s="58"/>
      <c r="K398" s="58"/>
      <c r="L398" s="57"/>
      <c r="M398" s="79"/>
      <c r="N398" s="60"/>
      <c r="O398" s="62" t="str">
        <f aca="false">IF(ISBLANK($C398),"",IF(E398=Constants!$B$2, TRUE(), IF(E398=Constants!$B$3, FALSE(), TRUE())))</f>
        <v/>
      </c>
      <c r="P398" s="62" t="str">
        <f aca="false">IF(ISBLANK($C398),"",IF(F398=Constants!$B$16,Constants!$B$9,IF(F398=Constants!$B$17,Constants!$B$10,Constants!$B$8)))</f>
        <v/>
      </c>
      <c r="Q398" s="62" t="str">
        <f aca="false">IF(ISBLANK($C398),"",IF(ISNUMBER(G398),IF(G398&gt;=0,G398,""),""))</f>
        <v/>
      </c>
      <c r="R398" s="62" t="str">
        <f aca="false">IF(ISBLANK($C398),"",IF(H398=Constants!$B$2, TRUE(), IF(H398=Constants!$B$3, FALSE(), TRUE())))</f>
        <v/>
      </c>
      <c r="S398" s="62" t="str">
        <f aca="false">IF(ISBLANK($C398),"",IF(I398=Constants!$B$2, TRUE(), IF(I398=Constants!$B$3, FALSE(), TRUE())))</f>
        <v/>
      </c>
      <c r="T398" s="62" t="str">
        <f aca="false">IF(ISBLANK($C398),"",IF(ISNUMBER(J398),IF(J398&gt;=0,J398,""),""))</f>
        <v/>
      </c>
      <c r="U398" s="62" t="str">
        <f aca="false">IF(ISBLANK($C398),"",IF(K398=Constants!$B$2, TRUE(), IF(K398=Constants!$B$3, FALSE(), TRUE())))</f>
        <v/>
      </c>
      <c r="V398" s="62" t="str">
        <f aca="false">IF(ISBLANK($C398),"",IF(L398=Constants!$B$2, TRUE(), IF(L398=Constants!$B$3, FALSE(), TRUE())))</f>
        <v/>
      </c>
      <c r="W398" s="62" t="str">
        <f aca="false">IF(ISBLANK($C398),"",IF(M398=Constants!$B$2, TRUE(), IF(M398=Constants!$B$3, FALSE(), FALSE())))</f>
        <v/>
      </c>
      <c r="X398" s="62" t="str">
        <f aca="false">IF(ISBLANK($C398),"",AND(Q398&lt;&gt;"",O398))</f>
        <v/>
      </c>
      <c r="Y398" s="62" t="str">
        <f aca="false">IF(ISBLANK($C398),"",AND(T398&lt;&gt;"",O398))</f>
        <v/>
      </c>
      <c r="Z398" s="62" t="str">
        <f aca="false">IF(ISBLANK($C398),"",IF(W398,Constants!$B$4,IF(COUNTA(E398:L398)=0,Constants!$B$5,IF(NOT(O398),Constants!$B$6,IF(AND(NOT(X398),NOT(Y398)),Constants!$B$6,Constants!$B$7)))))</f>
        <v/>
      </c>
      <c r="AA398" s="62" t="str">
        <f aca="false">IF(ISBLANK($C398),"",IF($Z398&lt;&gt;Constants!$B$7,$Z398,Constants!$B$20))</f>
        <v/>
      </c>
      <c r="AB398" s="62" t="str">
        <f aca="false">IF($Z398=Constants!$B$7,IF(X398,Q398,Constants!$B$13),"")</f>
        <v/>
      </c>
      <c r="AC398" s="62" t="str">
        <f aca="false">IF($Z398=Constants!$B$7,IF(X398,P398*IF(R398, 1, Constants!$B$11)*IF(S398, 1, Constants!$B$12),Constants!$B$13),"")</f>
        <v/>
      </c>
      <c r="AD398" s="62" t="str">
        <f aca="false">IF($Z398=Constants!$B$7,AB398*AC398,"")</f>
        <v/>
      </c>
      <c r="AE398" s="62" t="str">
        <f aca="false">IF($Z398=Constants!$B$7,IF(Y398,T398,Constants!$B$13),"")</f>
        <v/>
      </c>
      <c r="AF398" s="62" t="str">
        <f aca="false">IF($Z398=Constants!$B$7,IF(Y398,P398*IF(U398, 1, Constants!$B$11)*IF(V398, 1, Constants!$B$12),Constants!$B$13),"")</f>
        <v/>
      </c>
      <c r="AG398" s="62" t="str">
        <f aca="false">IF($Z398=Constants!$B$7,AE398*AF398,"")</f>
        <v/>
      </c>
      <c r="AH398" s="62" t="str">
        <f aca="false">IF($Z398=Constants!$B$7,IF(AG398&gt;AD398,2,1),"")</f>
        <v/>
      </c>
      <c r="AI398" s="62" t="str">
        <f aca="false">IF($Z398=Constants!$B$7,IF(AH398=1,2,1),"")</f>
        <v/>
      </c>
      <c r="AJ398" s="62" t="str">
        <f aca="false">IF(ISBLANK($C398),"",IF($Z398&lt;&gt;Constants!$B$7,$Z398,IF(AH398=1,AD398,AG398)))</f>
        <v/>
      </c>
      <c r="AK398" s="62" t="str">
        <f aca="false">IF(ISBLANK($C398),"",IF($Z398=Constants!$B$7,IF(ISNUMBER(AJ398),RANK(AJ398,$AJ$8:$AJ$507),Constants!$B$14),$Z398))</f>
        <v/>
      </c>
      <c r="AL398" s="62" t="str">
        <f aca="false">IF(ISBLANK($C398),"",IF($Z398=Constants!$B$7,IF(AI398=1,AD398,AG398),""))</f>
        <v/>
      </c>
      <c r="AM398" s="62" t="str">
        <f aca="false">IF(ISBLANK($C398),"",IF($Z398=Constants!$B$7,RANK(AL398,$AL$8:$AL$507),$Z398))</f>
        <v/>
      </c>
      <c r="AN398" s="62" t="str">
        <f aca="false">IF(ISBLANK($C398),"",IF($Z398=Constants!$B$7,IF(ISNUMBER(AK398),COUNTIFS($AK$8:$AK$507,"&lt;"&amp;$AK398)+COUNTIFS($AK$8:$AK$507,$AK398,$AM$8:$AM$507,"&lt;"&amp;$AM398)+1,Constants!$B$14),$Z398))</f>
        <v/>
      </c>
      <c r="AO398" s="62" t="str">
        <f aca="false">IF(ISBLANK($C398),"",IF($Z398=Constants!$B$7,IF(ISNUMBER(AK398),AK398-AN398,Constants!$B$14),$Z398))</f>
        <v/>
      </c>
      <c r="AP398" s="64"/>
      <c r="AQ398" s="65" t="str">
        <f aca="false">IF(ISBLANK($C398),"",IF($Z398&lt;&gt;Constants!$B$7,"",AH398))</f>
        <v/>
      </c>
      <c r="AR398" s="80" t="str">
        <f aca="false">IF(ISBLANK($C398),"",IF($Z398&lt;&gt;Constants!$B$7,"",IF(AH398=1,AB398,AE398)))</f>
        <v/>
      </c>
      <c r="AS398" s="67" t="str">
        <f aca="false">IF(ISBLANK($C398),"",IF($Z398&lt;&gt;Constants!$B$7,"",IF(AH398=1,AC398,AF398)))</f>
        <v/>
      </c>
      <c r="AT398" s="68" t="str">
        <f aca="false">IF(ISBLANK($C398),"",IF($Z398&lt;&gt;Constants!$B$7,$Z398,AJ398))</f>
        <v/>
      </c>
      <c r="AU398" s="69" t="str">
        <f aca="false">IF(ISBLANK($C398),"",IF($Z398&lt;&gt;Constants!$B$7,$Z398,AA398))</f>
        <v/>
      </c>
      <c r="AV398" s="70" t="str">
        <f aca="false">IF(ISBLANK($C398),"",AO398)</f>
        <v/>
      </c>
      <c r="AW398" s="70" t="str">
        <f aca="false">IF(ISBLANK($C398),"",AN398)</f>
        <v/>
      </c>
      <c r="AX398" s="71" t="str">
        <f aca="false">IF(ISBLANK($C398),"",IFERROR(_xlfn.SWITCH(AW398,Constants!$B$4,COUNTA($C$8:$C$507)+2,Constants!$B$5,COUNTA($C$8:$C$507)+1,Constants!$B$6,COUNTA($C$8:$C$507)),AW398))</f>
        <v/>
      </c>
      <c r="AY398" s="5"/>
      <c r="AZ398" s="72" t="n">
        <f aca="false">IF(OR(ISNUMBER(AW398),AW398=Constants!$B$4,AW398=Constants!$B$6,AW398=Constants!$B$5),1,0)</f>
        <v>0</v>
      </c>
      <c r="BA398" s="72" t="n">
        <v>391</v>
      </c>
      <c r="BB398" s="72" t="str">
        <f aca="false">IF(ISBLANK($C398),"",IF(ISNUMBER(AX398),AX398+ROW($B398)/1000,""))</f>
        <v/>
      </c>
      <c r="BC398" s="72" t="str">
        <f aca="false">IF(ISNUMBER(BB398),RANK(BB398,$BB$8:$BB$507,1),"")</f>
        <v/>
      </c>
      <c r="BD398" s="72" t="str">
        <f aca="false">IF(ISBLANK($C398),"",$B398)</f>
        <v/>
      </c>
      <c r="BE398" s="72" t="str">
        <f aca="false">IF(ISBLANK($C398),"",$C398)</f>
        <v/>
      </c>
      <c r="BF398" s="72" t="str">
        <f aca="false">IF(ISBLANK($C398),"",$D398)</f>
        <v/>
      </c>
      <c r="BG398" s="73" t="str">
        <f aca="false">AU398</f>
        <v/>
      </c>
      <c r="BH398" s="74" t="str">
        <f aca="false">AT398</f>
        <v/>
      </c>
      <c r="BI398" s="72" t="str">
        <f aca="false">IF(ISBLANK($C398),"",AW398)</f>
        <v/>
      </c>
      <c r="BJ398" s="75" t="str">
        <f aca="false">IF($BA398&gt;$AZ$7,"",VLOOKUP($BA398,$BC$8:$BI$507,7,FALSE()))</f>
        <v/>
      </c>
      <c r="BK398" s="76" t="str">
        <f aca="false">IF($BA398&gt;$AZ$7,"",VLOOKUP($BA398,$BC$8:$BI$507,2,FALSE()))</f>
        <v/>
      </c>
      <c r="BL398" s="76" t="str">
        <f aca="false">IF($BA398&gt;$AZ$7,"",VLOOKUP($BA398,$BC$8:$BI$507,3,FALSE()))</f>
        <v/>
      </c>
      <c r="BM398" s="76" t="str">
        <f aca="false">IF($BA398&gt;$AZ$7,"",VLOOKUP($BA398,$BC$8:$BI$507,4,FALSE()))</f>
        <v/>
      </c>
      <c r="BN398" s="76" t="str">
        <f aca="false">IF($BA398&gt;$AZ$7,"",VLOOKUP($BA398,$BC$8:$BI$507,5,FALSE()))</f>
        <v/>
      </c>
      <c r="BO398" s="77" t="str">
        <f aca="false">IF($BA398&gt;$AZ$7,"",VLOOKUP($BA398,$BC$8:$BI$507,6,FALSE()))</f>
        <v/>
      </c>
      <c r="BP398" s="52"/>
    </row>
    <row r="399" customFormat="false" ht="15.75" hidden="false" customHeight="false" outlineLevel="0" collapsed="false">
      <c r="A399" s="5"/>
      <c r="B399" s="118"/>
      <c r="C399" s="54"/>
      <c r="D399" s="55"/>
      <c r="E399" s="79"/>
      <c r="F399" s="57"/>
      <c r="G399" s="58"/>
      <c r="H399" s="58"/>
      <c r="I399" s="57"/>
      <c r="J399" s="58"/>
      <c r="K399" s="58"/>
      <c r="L399" s="57"/>
      <c r="M399" s="79"/>
      <c r="N399" s="60"/>
      <c r="O399" s="62" t="str">
        <f aca="false">IF(ISBLANK($C399),"",IF(E399=Constants!$B$2, TRUE(), IF(E399=Constants!$B$3, FALSE(), TRUE())))</f>
        <v/>
      </c>
      <c r="P399" s="62" t="str">
        <f aca="false">IF(ISBLANK($C399),"",IF(F399=Constants!$B$16,Constants!$B$9,IF(F399=Constants!$B$17,Constants!$B$10,Constants!$B$8)))</f>
        <v/>
      </c>
      <c r="Q399" s="62" t="str">
        <f aca="false">IF(ISBLANK($C399),"",IF(ISNUMBER(G399),IF(G399&gt;=0,G399,""),""))</f>
        <v/>
      </c>
      <c r="R399" s="62" t="str">
        <f aca="false">IF(ISBLANK($C399),"",IF(H399=Constants!$B$2, TRUE(), IF(H399=Constants!$B$3, FALSE(), TRUE())))</f>
        <v/>
      </c>
      <c r="S399" s="62" t="str">
        <f aca="false">IF(ISBLANK($C399),"",IF(I399=Constants!$B$2, TRUE(), IF(I399=Constants!$B$3, FALSE(), TRUE())))</f>
        <v/>
      </c>
      <c r="T399" s="62" t="str">
        <f aca="false">IF(ISBLANK($C399),"",IF(ISNUMBER(J399),IF(J399&gt;=0,J399,""),""))</f>
        <v/>
      </c>
      <c r="U399" s="62" t="str">
        <f aca="false">IF(ISBLANK($C399),"",IF(K399=Constants!$B$2, TRUE(), IF(K399=Constants!$B$3, FALSE(), TRUE())))</f>
        <v/>
      </c>
      <c r="V399" s="62" t="str">
        <f aca="false">IF(ISBLANK($C399),"",IF(L399=Constants!$B$2, TRUE(), IF(L399=Constants!$B$3, FALSE(), TRUE())))</f>
        <v/>
      </c>
      <c r="W399" s="62" t="str">
        <f aca="false">IF(ISBLANK($C399),"",IF(M399=Constants!$B$2, TRUE(), IF(M399=Constants!$B$3, FALSE(), FALSE())))</f>
        <v/>
      </c>
      <c r="X399" s="62" t="str">
        <f aca="false">IF(ISBLANK($C399),"",AND(Q399&lt;&gt;"",O399))</f>
        <v/>
      </c>
      <c r="Y399" s="62" t="str">
        <f aca="false">IF(ISBLANK($C399),"",AND(T399&lt;&gt;"",O399))</f>
        <v/>
      </c>
      <c r="Z399" s="62" t="str">
        <f aca="false">IF(ISBLANK($C399),"",IF(W399,Constants!$B$4,IF(COUNTA(E399:L399)=0,Constants!$B$5,IF(NOT(O399),Constants!$B$6,IF(AND(NOT(X399),NOT(Y399)),Constants!$B$6,Constants!$B$7)))))</f>
        <v/>
      </c>
      <c r="AA399" s="62" t="str">
        <f aca="false">IF(ISBLANK($C399),"",IF($Z399&lt;&gt;Constants!$B$7,$Z399,Constants!$B$20))</f>
        <v/>
      </c>
      <c r="AB399" s="62" t="str">
        <f aca="false">IF($Z399=Constants!$B$7,IF(X399,Q399,Constants!$B$13),"")</f>
        <v/>
      </c>
      <c r="AC399" s="62" t="str">
        <f aca="false">IF($Z399=Constants!$B$7,IF(X399,P399*IF(R399, 1, Constants!$B$11)*IF(S399, 1, Constants!$B$12),Constants!$B$13),"")</f>
        <v/>
      </c>
      <c r="AD399" s="62" t="str">
        <f aca="false">IF($Z399=Constants!$B$7,AB399*AC399,"")</f>
        <v/>
      </c>
      <c r="AE399" s="62" t="str">
        <f aca="false">IF($Z399=Constants!$B$7,IF(Y399,T399,Constants!$B$13),"")</f>
        <v/>
      </c>
      <c r="AF399" s="62" t="str">
        <f aca="false">IF($Z399=Constants!$B$7,IF(Y399,P399*IF(U399, 1, Constants!$B$11)*IF(V399, 1, Constants!$B$12),Constants!$B$13),"")</f>
        <v/>
      </c>
      <c r="AG399" s="62" t="str">
        <f aca="false">IF($Z399=Constants!$B$7,AE399*AF399,"")</f>
        <v/>
      </c>
      <c r="AH399" s="62" t="str">
        <f aca="false">IF($Z399=Constants!$B$7,IF(AG399&gt;AD399,2,1),"")</f>
        <v/>
      </c>
      <c r="AI399" s="62" t="str">
        <f aca="false">IF($Z399=Constants!$B$7,IF(AH399=1,2,1),"")</f>
        <v/>
      </c>
      <c r="AJ399" s="62" t="str">
        <f aca="false">IF(ISBLANK($C399),"",IF($Z399&lt;&gt;Constants!$B$7,$Z399,IF(AH399=1,AD399,AG399)))</f>
        <v/>
      </c>
      <c r="AK399" s="62" t="str">
        <f aca="false">IF(ISBLANK($C399),"",IF($Z399=Constants!$B$7,IF(ISNUMBER(AJ399),RANK(AJ399,$AJ$8:$AJ$507),Constants!$B$14),$Z399))</f>
        <v/>
      </c>
      <c r="AL399" s="62" t="str">
        <f aca="false">IF(ISBLANK($C399),"",IF($Z399=Constants!$B$7,IF(AI399=1,AD399,AG399),""))</f>
        <v/>
      </c>
      <c r="AM399" s="62" t="str">
        <f aca="false">IF(ISBLANK($C399),"",IF($Z399=Constants!$B$7,RANK(AL399,$AL$8:$AL$507),$Z399))</f>
        <v/>
      </c>
      <c r="AN399" s="62" t="str">
        <f aca="false">IF(ISBLANK($C399),"",IF($Z399=Constants!$B$7,IF(ISNUMBER(AK399),COUNTIFS($AK$8:$AK$507,"&lt;"&amp;$AK399)+COUNTIFS($AK$8:$AK$507,$AK399,$AM$8:$AM$507,"&lt;"&amp;$AM399)+1,Constants!$B$14),$Z399))</f>
        <v/>
      </c>
      <c r="AO399" s="62" t="str">
        <f aca="false">IF(ISBLANK($C399),"",IF($Z399=Constants!$B$7,IF(ISNUMBER(AK399),AK399-AN399,Constants!$B$14),$Z399))</f>
        <v/>
      </c>
      <c r="AP399" s="64"/>
      <c r="AQ399" s="65" t="str">
        <f aca="false">IF(ISBLANK($C399),"",IF($Z399&lt;&gt;Constants!$B$7,"",AH399))</f>
        <v/>
      </c>
      <c r="AR399" s="80" t="str">
        <f aca="false">IF(ISBLANK($C399),"",IF($Z399&lt;&gt;Constants!$B$7,"",IF(AH399=1,AB399,AE399)))</f>
        <v/>
      </c>
      <c r="AS399" s="67" t="str">
        <f aca="false">IF(ISBLANK($C399),"",IF($Z399&lt;&gt;Constants!$B$7,"",IF(AH399=1,AC399,AF399)))</f>
        <v/>
      </c>
      <c r="AT399" s="68" t="str">
        <f aca="false">IF(ISBLANK($C399),"",IF($Z399&lt;&gt;Constants!$B$7,$Z399,AJ399))</f>
        <v/>
      </c>
      <c r="AU399" s="69" t="str">
        <f aca="false">IF(ISBLANK($C399),"",IF($Z399&lt;&gt;Constants!$B$7,$Z399,AA399))</f>
        <v/>
      </c>
      <c r="AV399" s="70" t="str">
        <f aca="false">IF(ISBLANK($C399),"",AO399)</f>
        <v/>
      </c>
      <c r="AW399" s="70" t="str">
        <f aca="false">IF(ISBLANK($C399),"",AN399)</f>
        <v/>
      </c>
      <c r="AX399" s="71" t="str">
        <f aca="false">IF(ISBLANK($C399),"",IFERROR(_xlfn.SWITCH(AW399,Constants!$B$4,COUNTA($C$8:$C$507)+2,Constants!$B$5,COUNTA($C$8:$C$507)+1,Constants!$B$6,COUNTA($C$8:$C$507)),AW399))</f>
        <v/>
      </c>
      <c r="AY399" s="5"/>
      <c r="AZ399" s="72" t="n">
        <f aca="false">IF(OR(ISNUMBER(AW399),AW399=Constants!$B$4,AW399=Constants!$B$6,AW399=Constants!$B$5),1,0)</f>
        <v>0</v>
      </c>
      <c r="BA399" s="72" t="n">
        <v>392</v>
      </c>
      <c r="BB399" s="72" t="str">
        <f aca="false">IF(ISBLANK($C399),"",IF(ISNUMBER(AX399),AX399+ROW($B399)/1000,""))</f>
        <v/>
      </c>
      <c r="BC399" s="72" t="str">
        <f aca="false">IF(ISNUMBER(BB399),RANK(BB399,$BB$8:$BB$507,1),"")</f>
        <v/>
      </c>
      <c r="BD399" s="72" t="str">
        <f aca="false">IF(ISBLANK($C399),"",$B399)</f>
        <v/>
      </c>
      <c r="BE399" s="72" t="str">
        <f aca="false">IF(ISBLANK($C399),"",$C399)</f>
        <v/>
      </c>
      <c r="BF399" s="72" t="str">
        <f aca="false">IF(ISBLANK($C399),"",$D399)</f>
        <v/>
      </c>
      <c r="BG399" s="73" t="str">
        <f aca="false">AU399</f>
        <v/>
      </c>
      <c r="BH399" s="74" t="str">
        <f aca="false">AT399</f>
        <v/>
      </c>
      <c r="BI399" s="72" t="str">
        <f aca="false">IF(ISBLANK($C399),"",AW399)</f>
        <v/>
      </c>
      <c r="BJ399" s="75" t="str">
        <f aca="false">IF($BA399&gt;$AZ$7,"",VLOOKUP($BA399,$BC$8:$BI$507,7,FALSE()))</f>
        <v/>
      </c>
      <c r="BK399" s="76" t="str">
        <f aca="false">IF($BA399&gt;$AZ$7,"",VLOOKUP($BA399,$BC$8:$BI$507,2,FALSE()))</f>
        <v/>
      </c>
      <c r="BL399" s="76" t="str">
        <f aca="false">IF($BA399&gt;$AZ$7,"",VLOOKUP($BA399,$BC$8:$BI$507,3,FALSE()))</f>
        <v/>
      </c>
      <c r="BM399" s="76" t="str">
        <f aca="false">IF($BA399&gt;$AZ$7,"",VLOOKUP($BA399,$BC$8:$BI$507,4,FALSE()))</f>
        <v/>
      </c>
      <c r="BN399" s="76" t="str">
        <f aca="false">IF($BA399&gt;$AZ$7,"",VLOOKUP($BA399,$BC$8:$BI$507,5,FALSE()))</f>
        <v/>
      </c>
      <c r="BO399" s="77" t="str">
        <f aca="false">IF($BA399&gt;$AZ$7,"",VLOOKUP($BA399,$BC$8:$BI$507,6,FALSE()))</f>
        <v/>
      </c>
      <c r="BP399" s="52"/>
    </row>
    <row r="400" customFormat="false" ht="15.75" hidden="false" customHeight="false" outlineLevel="0" collapsed="false">
      <c r="A400" s="5"/>
      <c r="B400" s="118"/>
      <c r="C400" s="54"/>
      <c r="D400" s="55"/>
      <c r="E400" s="79"/>
      <c r="F400" s="57"/>
      <c r="G400" s="58"/>
      <c r="H400" s="58"/>
      <c r="I400" s="57"/>
      <c r="J400" s="58"/>
      <c r="K400" s="58"/>
      <c r="L400" s="57"/>
      <c r="M400" s="79"/>
      <c r="N400" s="60"/>
      <c r="O400" s="62" t="str">
        <f aca="false">IF(ISBLANK($C400),"",IF(E400=Constants!$B$2, TRUE(), IF(E400=Constants!$B$3, FALSE(), TRUE())))</f>
        <v/>
      </c>
      <c r="P400" s="62" t="str">
        <f aca="false">IF(ISBLANK($C400),"",IF(F400=Constants!$B$16,Constants!$B$9,IF(F400=Constants!$B$17,Constants!$B$10,Constants!$B$8)))</f>
        <v/>
      </c>
      <c r="Q400" s="62" t="str">
        <f aca="false">IF(ISBLANK($C400),"",IF(ISNUMBER(G400),IF(G400&gt;=0,G400,""),""))</f>
        <v/>
      </c>
      <c r="R400" s="62" t="str">
        <f aca="false">IF(ISBLANK($C400),"",IF(H400=Constants!$B$2, TRUE(), IF(H400=Constants!$B$3, FALSE(), TRUE())))</f>
        <v/>
      </c>
      <c r="S400" s="62" t="str">
        <f aca="false">IF(ISBLANK($C400),"",IF(I400=Constants!$B$2, TRUE(), IF(I400=Constants!$B$3, FALSE(), TRUE())))</f>
        <v/>
      </c>
      <c r="T400" s="62" t="str">
        <f aca="false">IF(ISBLANK($C400),"",IF(ISNUMBER(J400),IF(J400&gt;=0,J400,""),""))</f>
        <v/>
      </c>
      <c r="U400" s="62" t="str">
        <f aca="false">IF(ISBLANK($C400),"",IF(K400=Constants!$B$2, TRUE(), IF(K400=Constants!$B$3, FALSE(), TRUE())))</f>
        <v/>
      </c>
      <c r="V400" s="62" t="str">
        <f aca="false">IF(ISBLANK($C400),"",IF(L400=Constants!$B$2, TRUE(), IF(L400=Constants!$B$3, FALSE(), TRUE())))</f>
        <v/>
      </c>
      <c r="W400" s="62" t="str">
        <f aca="false">IF(ISBLANK($C400),"",IF(M400=Constants!$B$2, TRUE(), IF(M400=Constants!$B$3, FALSE(), FALSE())))</f>
        <v/>
      </c>
      <c r="X400" s="62" t="str">
        <f aca="false">IF(ISBLANK($C400),"",AND(Q400&lt;&gt;"",O400))</f>
        <v/>
      </c>
      <c r="Y400" s="62" t="str">
        <f aca="false">IF(ISBLANK($C400),"",AND(T400&lt;&gt;"",O400))</f>
        <v/>
      </c>
      <c r="Z400" s="62" t="str">
        <f aca="false">IF(ISBLANK($C400),"",IF(W400,Constants!$B$4,IF(COUNTA(E400:L400)=0,Constants!$B$5,IF(NOT(O400),Constants!$B$6,IF(AND(NOT(X400),NOT(Y400)),Constants!$B$6,Constants!$B$7)))))</f>
        <v/>
      </c>
      <c r="AA400" s="62" t="str">
        <f aca="false">IF(ISBLANK($C400),"",IF($Z400&lt;&gt;Constants!$B$7,$Z400,Constants!$B$20))</f>
        <v/>
      </c>
      <c r="AB400" s="62" t="str">
        <f aca="false">IF($Z400=Constants!$B$7,IF(X400,Q400,Constants!$B$13),"")</f>
        <v/>
      </c>
      <c r="AC400" s="62" t="str">
        <f aca="false">IF($Z400=Constants!$B$7,IF(X400,P400*IF(R400, 1, Constants!$B$11)*IF(S400, 1, Constants!$B$12),Constants!$B$13),"")</f>
        <v/>
      </c>
      <c r="AD400" s="62" t="str">
        <f aca="false">IF($Z400=Constants!$B$7,AB400*AC400,"")</f>
        <v/>
      </c>
      <c r="AE400" s="62" t="str">
        <f aca="false">IF($Z400=Constants!$B$7,IF(Y400,T400,Constants!$B$13),"")</f>
        <v/>
      </c>
      <c r="AF400" s="62" t="str">
        <f aca="false">IF($Z400=Constants!$B$7,IF(Y400,P400*IF(U400, 1, Constants!$B$11)*IF(V400, 1, Constants!$B$12),Constants!$B$13),"")</f>
        <v/>
      </c>
      <c r="AG400" s="62" t="str">
        <f aca="false">IF($Z400=Constants!$B$7,AE400*AF400,"")</f>
        <v/>
      </c>
      <c r="AH400" s="62" t="str">
        <f aca="false">IF($Z400=Constants!$B$7,IF(AG400&gt;AD400,2,1),"")</f>
        <v/>
      </c>
      <c r="AI400" s="62" t="str">
        <f aca="false">IF($Z400=Constants!$B$7,IF(AH400=1,2,1),"")</f>
        <v/>
      </c>
      <c r="AJ400" s="62" t="str">
        <f aca="false">IF(ISBLANK($C400),"",IF($Z400&lt;&gt;Constants!$B$7,$Z400,IF(AH400=1,AD400,AG400)))</f>
        <v/>
      </c>
      <c r="AK400" s="62" t="str">
        <f aca="false">IF(ISBLANK($C400),"",IF($Z400=Constants!$B$7,IF(ISNUMBER(AJ400),RANK(AJ400,$AJ$8:$AJ$507),Constants!$B$14),$Z400))</f>
        <v/>
      </c>
      <c r="AL400" s="62" t="str">
        <f aca="false">IF(ISBLANK($C400),"",IF($Z400=Constants!$B$7,IF(AI400=1,AD400,AG400),""))</f>
        <v/>
      </c>
      <c r="AM400" s="62" t="str">
        <f aca="false">IF(ISBLANK($C400),"",IF($Z400=Constants!$B$7,RANK(AL400,$AL$8:$AL$507),$Z400))</f>
        <v/>
      </c>
      <c r="AN400" s="62" t="str">
        <f aca="false">IF(ISBLANK($C400),"",IF($Z400=Constants!$B$7,IF(ISNUMBER(AK400),COUNTIFS($AK$8:$AK$507,"&lt;"&amp;$AK400)+COUNTIFS($AK$8:$AK$507,$AK400,$AM$8:$AM$507,"&lt;"&amp;$AM400)+1,Constants!$B$14),$Z400))</f>
        <v/>
      </c>
      <c r="AO400" s="62" t="str">
        <f aca="false">IF(ISBLANK($C400),"",IF($Z400=Constants!$B$7,IF(ISNUMBER(AK400),AK400-AN400,Constants!$B$14),$Z400))</f>
        <v/>
      </c>
      <c r="AP400" s="64"/>
      <c r="AQ400" s="65" t="str">
        <f aca="false">IF(ISBLANK($C400),"",IF($Z400&lt;&gt;Constants!$B$7,"",AH400))</f>
        <v/>
      </c>
      <c r="AR400" s="80" t="str">
        <f aca="false">IF(ISBLANK($C400),"",IF($Z400&lt;&gt;Constants!$B$7,"",IF(AH400=1,AB400,AE400)))</f>
        <v/>
      </c>
      <c r="AS400" s="67" t="str">
        <f aca="false">IF(ISBLANK($C400),"",IF($Z400&lt;&gt;Constants!$B$7,"",IF(AH400=1,AC400,AF400)))</f>
        <v/>
      </c>
      <c r="AT400" s="68" t="str">
        <f aca="false">IF(ISBLANK($C400),"",IF($Z400&lt;&gt;Constants!$B$7,$Z400,AJ400))</f>
        <v/>
      </c>
      <c r="AU400" s="69" t="str">
        <f aca="false">IF(ISBLANK($C400),"",IF($Z400&lt;&gt;Constants!$B$7,$Z400,AA400))</f>
        <v/>
      </c>
      <c r="AV400" s="70" t="str">
        <f aca="false">IF(ISBLANK($C400),"",AO400)</f>
        <v/>
      </c>
      <c r="AW400" s="70" t="str">
        <f aca="false">IF(ISBLANK($C400),"",AN400)</f>
        <v/>
      </c>
      <c r="AX400" s="71" t="str">
        <f aca="false">IF(ISBLANK($C400),"",IFERROR(_xlfn.SWITCH(AW400,Constants!$B$4,COUNTA($C$8:$C$507)+2,Constants!$B$5,COUNTA($C$8:$C$507)+1,Constants!$B$6,COUNTA($C$8:$C$507)),AW400))</f>
        <v/>
      </c>
      <c r="AY400" s="5"/>
      <c r="AZ400" s="72" t="n">
        <f aca="false">IF(OR(ISNUMBER(AW400),AW400=Constants!$B$4,AW400=Constants!$B$6,AW400=Constants!$B$5),1,0)</f>
        <v>0</v>
      </c>
      <c r="BA400" s="72" t="n">
        <v>393</v>
      </c>
      <c r="BB400" s="72" t="str">
        <f aca="false">IF(ISBLANK($C400),"",IF(ISNUMBER(AX400),AX400+ROW($B400)/1000,""))</f>
        <v/>
      </c>
      <c r="BC400" s="72" t="str">
        <f aca="false">IF(ISNUMBER(BB400),RANK(BB400,$BB$8:$BB$507,1),"")</f>
        <v/>
      </c>
      <c r="BD400" s="72" t="str">
        <f aca="false">IF(ISBLANK($C400),"",$B400)</f>
        <v/>
      </c>
      <c r="BE400" s="72" t="str">
        <f aca="false">IF(ISBLANK($C400),"",$C400)</f>
        <v/>
      </c>
      <c r="BF400" s="72" t="str">
        <f aca="false">IF(ISBLANK($C400),"",$D400)</f>
        <v/>
      </c>
      <c r="BG400" s="73" t="str">
        <f aca="false">AU400</f>
        <v/>
      </c>
      <c r="BH400" s="74" t="str">
        <f aca="false">AT400</f>
        <v/>
      </c>
      <c r="BI400" s="72" t="str">
        <f aca="false">IF(ISBLANK($C400),"",AW400)</f>
        <v/>
      </c>
      <c r="BJ400" s="75" t="str">
        <f aca="false">IF($BA400&gt;$AZ$7,"",VLOOKUP($BA400,$BC$8:$BI$507,7,FALSE()))</f>
        <v/>
      </c>
      <c r="BK400" s="76" t="str">
        <f aca="false">IF($BA400&gt;$AZ$7,"",VLOOKUP($BA400,$BC$8:$BI$507,2,FALSE()))</f>
        <v/>
      </c>
      <c r="BL400" s="76" t="str">
        <f aca="false">IF($BA400&gt;$AZ$7,"",VLOOKUP($BA400,$BC$8:$BI$507,3,FALSE()))</f>
        <v/>
      </c>
      <c r="BM400" s="76" t="str">
        <f aca="false">IF($BA400&gt;$AZ$7,"",VLOOKUP($BA400,$BC$8:$BI$507,4,FALSE()))</f>
        <v/>
      </c>
      <c r="BN400" s="76" t="str">
        <f aca="false">IF($BA400&gt;$AZ$7,"",VLOOKUP($BA400,$BC$8:$BI$507,5,FALSE()))</f>
        <v/>
      </c>
      <c r="BO400" s="77" t="str">
        <f aca="false">IF($BA400&gt;$AZ$7,"",VLOOKUP($BA400,$BC$8:$BI$507,6,FALSE()))</f>
        <v/>
      </c>
      <c r="BP400" s="52"/>
    </row>
    <row r="401" customFormat="false" ht="15.75" hidden="false" customHeight="false" outlineLevel="0" collapsed="false">
      <c r="A401" s="5"/>
      <c r="B401" s="114"/>
      <c r="C401" s="115"/>
      <c r="D401" s="106"/>
      <c r="E401" s="117"/>
      <c r="F401" s="87"/>
      <c r="G401" s="88"/>
      <c r="H401" s="88"/>
      <c r="I401" s="87"/>
      <c r="J401" s="88"/>
      <c r="K401" s="88"/>
      <c r="L401" s="87"/>
      <c r="M401" s="117"/>
      <c r="N401" s="90"/>
      <c r="O401" s="91" t="str">
        <f aca="false">IF(ISBLANK($C401),"",IF(E401=Constants!$B$2, TRUE(), IF(E401=Constants!$B$3, FALSE(), TRUE())))</f>
        <v/>
      </c>
      <c r="P401" s="91" t="str">
        <f aca="false">IF(ISBLANK($C401),"",IF(F401=Constants!$B$16,Constants!$B$9,IF(F401=Constants!$B$17,Constants!$B$10,Constants!$B$8)))</f>
        <v/>
      </c>
      <c r="Q401" s="91" t="str">
        <f aca="false">IF(ISBLANK($C401),"",IF(ISNUMBER(G401),IF(G401&gt;=0,G401,""),""))</f>
        <v/>
      </c>
      <c r="R401" s="91" t="str">
        <f aca="false">IF(ISBLANK($C401),"",IF(H401=Constants!$B$2, TRUE(), IF(H401=Constants!$B$3, FALSE(), TRUE())))</f>
        <v/>
      </c>
      <c r="S401" s="91" t="str">
        <f aca="false">IF(ISBLANK($C401),"",IF(I401=Constants!$B$2, TRUE(), IF(I401=Constants!$B$3, FALSE(), TRUE())))</f>
        <v/>
      </c>
      <c r="T401" s="91" t="str">
        <f aca="false">IF(ISBLANK($C401),"",IF(ISNUMBER(J401),IF(J401&gt;=0,J401,""),""))</f>
        <v/>
      </c>
      <c r="U401" s="91" t="str">
        <f aca="false">IF(ISBLANK($C401),"",IF(K401=Constants!$B$2, TRUE(), IF(K401=Constants!$B$3, FALSE(), TRUE())))</f>
        <v/>
      </c>
      <c r="V401" s="91" t="str">
        <f aca="false">IF(ISBLANK($C401),"",IF(L401=Constants!$B$2, TRUE(), IF(L401=Constants!$B$3, FALSE(), TRUE())))</f>
        <v/>
      </c>
      <c r="W401" s="91" t="str">
        <f aca="false">IF(ISBLANK($C401),"",IF(M401=Constants!$B$2, TRUE(), IF(M401=Constants!$B$3, FALSE(), FALSE())))</f>
        <v/>
      </c>
      <c r="X401" s="91" t="str">
        <f aca="false">IF(ISBLANK($C401),"",AND(Q401&lt;&gt;"",O401))</f>
        <v/>
      </c>
      <c r="Y401" s="91" t="str">
        <f aca="false">IF(ISBLANK($C401),"",AND(T401&lt;&gt;"",O401))</f>
        <v/>
      </c>
      <c r="Z401" s="91" t="str">
        <f aca="false">IF(ISBLANK($C401),"",IF(W401,Constants!$B$4,IF(COUNTA(E401:L401)=0,Constants!$B$5,IF(NOT(O401),Constants!$B$6,IF(AND(NOT(X401),NOT(Y401)),Constants!$B$6,Constants!$B$7)))))</f>
        <v/>
      </c>
      <c r="AA401" s="91" t="str">
        <f aca="false">IF(ISBLANK($C401),"",IF($Z401&lt;&gt;Constants!$B$7,$Z401,Constants!$B$20))</f>
        <v/>
      </c>
      <c r="AB401" s="91" t="str">
        <f aca="false">IF($Z401=Constants!$B$7,IF(X401,Q401,Constants!$B$13),"")</f>
        <v/>
      </c>
      <c r="AC401" s="91" t="str">
        <f aca="false">IF($Z401=Constants!$B$7,IF(X401,P401*IF(R401, 1, Constants!$B$11)*IF(S401, 1, Constants!$B$12),Constants!$B$13),"")</f>
        <v/>
      </c>
      <c r="AD401" s="91" t="str">
        <f aca="false">IF($Z401=Constants!$B$7,AB401*AC401,"")</f>
        <v/>
      </c>
      <c r="AE401" s="91" t="str">
        <f aca="false">IF($Z401=Constants!$B$7,IF(Y401,T401,Constants!$B$13),"")</f>
        <v/>
      </c>
      <c r="AF401" s="91" t="str">
        <f aca="false">IF($Z401=Constants!$B$7,IF(Y401,P401*IF(U401, 1, Constants!$B$11)*IF(V401, 1, Constants!$B$12),Constants!$B$13),"")</f>
        <v/>
      </c>
      <c r="AG401" s="91" t="str">
        <f aca="false">IF($Z401=Constants!$B$7,AE401*AF401,"")</f>
        <v/>
      </c>
      <c r="AH401" s="91" t="str">
        <f aca="false">IF($Z401=Constants!$B$7,IF(AG401&gt;AD401,2,1),"")</f>
        <v/>
      </c>
      <c r="AI401" s="91" t="str">
        <f aca="false">IF($Z401=Constants!$B$7,IF(AH401=1,2,1),"")</f>
        <v/>
      </c>
      <c r="AJ401" s="91" t="str">
        <f aca="false">IF(ISBLANK($C401),"",IF($Z401&lt;&gt;Constants!$B$7,$Z401,IF(AH401=1,AD401,AG401)))</f>
        <v/>
      </c>
      <c r="AK401" s="91" t="str">
        <f aca="false">IF(ISBLANK($C401),"",IF($Z401=Constants!$B$7,IF(ISNUMBER(AJ401),RANK(AJ401,$AJ$8:$AJ$507),Constants!$B$14),$Z401))</f>
        <v/>
      </c>
      <c r="AL401" s="91" t="str">
        <f aca="false">IF(ISBLANK($C401),"",IF($Z401=Constants!$B$7,IF(AI401=1,AD401,AG401),""))</f>
        <v/>
      </c>
      <c r="AM401" s="91" t="str">
        <f aca="false">IF(ISBLANK($C401),"",IF($Z401=Constants!$B$7,RANK(AL401,$AL$8:$AL$507),$Z401))</f>
        <v/>
      </c>
      <c r="AN401" s="91" t="str">
        <f aca="false">IF(ISBLANK($C401),"",IF($Z401=Constants!$B$7,IF(ISNUMBER(AK401),COUNTIFS($AK$8:$AK$507,"&lt;"&amp;$AK401)+COUNTIFS($AK$8:$AK$507,$AK401,$AM$8:$AM$507,"&lt;"&amp;$AM401)+1,Constants!$B$14),$Z401))</f>
        <v/>
      </c>
      <c r="AO401" s="91" t="str">
        <f aca="false">IF(ISBLANK($C401),"",IF($Z401=Constants!$B$7,IF(ISNUMBER(AK401),AK401-AN401,Constants!$B$14),$Z401))</f>
        <v/>
      </c>
      <c r="AP401" s="92"/>
      <c r="AQ401" s="93" t="str">
        <f aca="false">IF(ISBLANK($C401),"",IF($Z401&lt;&gt;Constants!$B$7,"",AH401))</f>
        <v/>
      </c>
      <c r="AR401" s="94" t="str">
        <f aca="false">IF(ISBLANK($C401),"",IF($Z401&lt;&gt;Constants!$B$7,"",IF(AH401=1,AB401,AE401)))</f>
        <v/>
      </c>
      <c r="AS401" s="95" t="str">
        <f aca="false">IF(ISBLANK($C401),"",IF($Z401&lt;&gt;Constants!$B$7,"",IF(AH401=1,AC401,AF401)))</f>
        <v/>
      </c>
      <c r="AT401" s="96" t="str">
        <f aca="false">IF(ISBLANK($C401),"",IF($Z401&lt;&gt;Constants!$B$7,$Z401,AJ401))</f>
        <v/>
      </c>
      <c r="AU401" s="97" t="str">
        <f aca="false">IF(ISBLANK($C401),"",IF($Z401&lt;&gt;Constants!$B$7,$Z401,AA401))</f>
        <v/>
      </c>
      <c r="AV401" s="98" t="str">
        <f aca="false">IF(ISBLANK($C401),"",AO401)</f>
        <v/>
      </c>
      <c r="AW401" s="98" t="str">
        <f aca="false">IF(ISBLANK($C401),"",AN401)</f>
        <v/>
      </c>
      <c r="AX401" s="99" t="str">
        <f aca="false">IF(ISBLANK($C401),"",IFERROR(_xlfn.SWITCH(AW401,Constants!$B$4,COUNTA($C$8:$C$507)+2,Constants!$B$5,COUNTA($C$8:$C$507)+1,Constants!$B$6,COUNTA($C$8:$C$507)),AW401))</f>
        <v/>
      </c>
      <c r="AY401" s="5"/>
      <c r="AZ401" s="100" t="n">
        <f aca="false">IF(OR(ISNUMBER(AW401),AW401=Constants!$B$4,AW401=Constants!$B$6,AW401=Constants!$B$5),1,0)</f>
        <v>0</v>
      </c>
      <c r="BA401" s="100" t="n">
        <v>394</v>
      </c>
      <c r="BB401" s="100" t="str">
        <f aca="false">IF(ISBLANK($C401),"",IF(ISNUMBER(AX401),AX401+ROW($B401)/1000,""))</f>
        <v/>
      </c>
      <c r="BC401" s="100" t="str">
        <f aca="false">IF(ISNUMBER(BB401),RANK(BB401,$BB$8:$BB$507,1),"")</f>
        <v/>
      </c>
      <c r="BD401" s="100" t="str">
        <f aca="false">IF(ISBLANK($C401),"",$B401)</f>
        <v/>
      </c>
      <c r="BE401" s="100" t="str">
        <f aca="false">IF(ISBLANK($C401),"",$C401)</f>
        <v/>
      </c>
      <c r="BF401" s="100" t="str">
        <f aca="false">IF(ISBLANK($C401),"",$D401)</f>
        <v/>
      </c>
      <c r="BG401" s="101" t="str">
        <f aca="false">AU401</f>
        <v/>
      </c>
      <c r="BH401" s="102" t="str">
        <f aca="false">AT401</f>
        <v/>
      </c>
      <c r="BI401" s="100" t="str">
        <f aca="false">IF(ISBLANK($C401),"",AW401)</f>
        <v/>
      </c>
      <c r="BJ401" s="103" t="str">
        <f aca="false">IF($BA401&gt;$AZ$7,"",VLOOKUP($BA401,$BC$8:$BI$507,7,FALSE()))</f>
        <v/>
      </c>
      <c r="BK401" s="104" t="str">
        <f aca="false">IF($BA401&gt;$AZ$7,"",VLOOKUP($BA401,$BC$8:$BI$507,2,FALSE()))</f>
        <v/>
      </c>
      <c r="BL401" s="104" t="str">
        <f aca="false">IF($BA401&gt;$AZ$7,"",VLOOKUP($BA401,$BC$8:$BI$507,3,FALSE()))</f>
        <v/>
      </c>
      <c r="BM401" s="104" t="str">
        <f aca="false">IF($BA401&gt;$AZ$7,"",VLOOKUP($BA401,$BC$8:$BI$507,4,FALSE()))</f>
        <v/>
      </c>
      <c r="BN401" s="104" t="str">
        <f aca="false">IF($BA401&gt;$AZ$7,"",VLOOKUP($BA401,$BC$8:$BI$507,5,FALSE()))</f>
        <v/>
      </c>
      <c r="BO401" s="105" t="str">
        <f aca="false">IF($BA401&gt;$AZ$7,"",VLOOKUP($BA401,$BC$8:$BI$507,6,FALSE()))</f>
        <v/>
      </c>
      <c r="BP401" s="52"/>
    </row>
    <row r="402" customFormat="false" ht="15.75" hidden="false" customHeight="false" outlineLevel="0" collapsed="false">
      <c r="A402" s="5"/>
      <c r="B402" s="114"/>
      <c r="C402" s="115"/>
      <c r="D402" s="106"/>
      <c r="E402" s="117"/>
      <c r="F402" s="87"/>
      <c r="G402" s="88"/>
      <c r="H402" s="88"/>
      <c r="I402" s="87"/>
      <c r="J402" s="88"/>
      <c r="K402" s="88"/>
      <c r="L402" s="87"/>
      <c r="M402" s="117"/>
      <c r="N402" s="90"/>
      <c r="O402" s="91" t="str">
        <f aca="false">IF(ISBLANK($C402),"",IF(E402=Constants!$B$2, TRUE(), IF(E402=Constants!$B$3, FALSE(), TRUE())))</f>
        <v/>
      </c>
      <c r="P402" s="91" t="str">
        <f aca="false">IF(ISBLANK($C402),"",IF(F402=Constants!$B$16,Constants!$B$9,IF(F402=Constants!$B$17,Constants!$B$10,Constants!$B$8)))</f>
        <v/>
      </c>
      <c r="Q402" s="91" t="str">
        <f aca="false">IF(ISBLANK($C402),"",IF(ISNUMBER(G402),IF(G402&gt;=0,G402,""),""))</f>
        <v/>
      </c>
      <c r="R402" s="91" t="str">
        <f aca="false">IF(ISBLANK($C402),"",IF(H402=Constants!$B$2, TRUE(), IF(H402=Constants!$B$3, FALSE(), TRUE())))</f>
        <v/>
      </c>
      <c r="S402" s="91" t="str">
        <f aca="false">IF(ISBLANK($C402),"",IF(I402=Constants!$B$2, TRUE(), IF(I402=Constants!$B$3, FALSE(), TRUE())))</f>
        <v/>
      </c>
      <c r="T402" s="91" t="str">
        <f aca="false">IF(ISBLANK($C402),"",IF(ISNUMBER(J402),IF(J402&gt;=0,J402,""),""))</f>
        <v/>
      </c>
      <c r="U402" s="91" t="str">
        <f aca="false">IF(ISBLANK($C402),"",IF(K402=Constants!$B$2, TRUE(), IF(K402=Constants!$B$3, FALSE(), TRUE())))</f>
        <v/>
      </c>
      <c r="V402" s="91" t="str">
        <f aca="false">IF(ISBLANK($C402),"",IF(L402=Constants!$B$2, TRUE(), IF(L402=Constants!$B$3, FALSE(), TRUE())))</f>
        <v/>
      </c>
      <c r="W402" s="91" t="str">
        <f aca="false">IF(ISBLANK($C402),"",IF(M402=Constants!$B$2, TRUE(), IF(M402=Constants!$B$3, FALSE(), FALSE())))</f>
        <v/>
      </c>
      <c r="X402" s="91" t="str">
        <f aca="false">IF(ISBLANK($C402),"",AND(Q402&lt;&gt;"",O402))</f>
        <v/>
      </c>
      <c r="Y402" s="91" t="str">
        <f aca="false">IF(ISBLANK($C402),"",AND(T402&lt;&gt;"",O402))</f>
        <v/>
      </c>
      <c r="Z402" s="91" t="str">
        <f aca="false">IF(ISBLANK($C402),"",IF(W402,Constants!$B$4,IF(COUNTA(E402:L402)=0,Constants!$B$5,IF(NOT(O402),Constants!$B$6,IF(AND(NOT(X402),NOT(Y402)),Constants!$B$6,Constants!$B$7)))))</f>
        <v/>
      </c>
      <c r="AA402" s="91" t="str">
        <f aca="false">IF(ISBLANK($C402),"",IF($Z402&lt;&gt;Constants!$B$7,$Z402,Constants!$B$20))</f>
        <v/>
      </c>
      <c r="AB402" s="91" t="str">
        <f aca="false">IF($Z402=Constants!$B$7,IF(X402,Q402,Constants!$B$13),"")</f>
        <v/>
      </c>
      <c r="AC402" s="91" t="str">
        <f aca="false">IF($Z402=Constants!$B$7,IF(X402,P402*IF(R402, 1, Constants!$B$11)*IF(S402, 1, Constants!$B$12),Constants!$B$13),"")</f>
        <v/>
      </c>
      <c r="AD402" s="91" t="str">
        <f aca="false">IF($Z402=Constants!$B$7,AB402*AC402,"")</f>
        <v/>
      </c>
      <c r="AE402" s="91" t="str">
        <f aca="false">IF($Z402=Constants!$B$7,IF(Y402,T402,Constants!$B$13),"")</f>
        <v/>
      </c>
      <c r="AF402" s="91" t="str">
        <f aca="false">IF($Z402=Constants!$B$7,IF(Y402,P402*IF(U402, 1, Constants!$B$11)*IF(V402, 1, Constants!$B$12),Constants!$B$13),"")</f>
        <v/>
      </c>
      <c r="AG402" s="91" t="str">
        <f aca="false">IF($Z402=Constants!$B$7,AE402*AF402,"")</f>
        <v/>
      </c>
      <c r="AH402" s="91" t="str">
        <f aca="false">IF($Z402=Constants!$B$7,IF(AG402&gt;AD402,2,1),"")</f>
        <v/>
      </c>
      <c r="AI402" s="91" t="str">
        <f aca="false">IF($Z402=Constants!$B$7,IF(AH402=1,2,1),"")</f>
        <v/>
      </c>
      <c r="AJ402" s="91" t="str">
        <f aca="false">IF(ISBLANK($C402),"",IF($Z402&lt;&gt;Constants!$B$7,$Z402,IF(AH402=1,AD402,AG402)))</f>
        <v/>
      </c>
      <c r="AK402" s="91" t="str">
        <f aca="false">IF(ISBLANK($C402),"",IF($Z402=Constants!$B$7,IF(ISNUMBER(AJ402),RANK(AJ402,$AJ$8:$AJ$507),Constants!$B$14),$Z402))</f>
        <v/>
      </c>
      <c r="AL402" s="91" t="str">
        <f aca="false">IF(ISBLANK($C402),"",IF($Z402=Constants!$B$7,IF(AI402=1,AD402,AG402),""))</f>
        <v/>
      </c>
      <c r="AM402" s="91" t="str">
        <f aca="false">IF(ISBLANK($C402),"",IF($Z402=Constants!$B$7,RANK(AL402,$AL$8:$AL$507),$Z402))</f>
        <v/>
      </c>
      <c r="AN402" s="91" t="str">
        <f aca="false">IF(ISBLANK($C402),"",IF($Z402=Constants!$B$7,IF(ISNUMBER(AK402),COUNTIFS($AK$8:$AK$507,"&lt;"&amp;$AK402)+COUNTIFS($AK$8:$AK$507,$AK402,$AM$8:$AM$507,"&lt;"&amp;$AM402)+1,Constants!$B$14),$Z402))</f>
        <v/>
      </c>
      <c r="AO402" s="91" t="str">
        <f aca="false">IF(ISBLANK($C402),"",IF($Z402=Constants!$B$7,IF(ISNUMBER(AK402),AK402-AN402,Constants!$B$14),$Z402))</f>
        <v/>
      </c>
      <c r="AP402" s="92"/>
      <c r="AQ402" s="93" t="str">
        <f aca="false">IF(ISBLANK($C402),"",IF($Z402&lt;&gt;Constants!$B$7,"",AH402))</f>
        <v/>
      </c>
      <c r="AR402" s="94" t="str">
        <f aca="false">IF(ISBLANK($C402),"",IF($Z402&lt;&gt;Constants!$B$7,"",IF(AH402=1,AB402,AE402)))</f>
        <v/>
      </c>
      <c r="AS402" s="95" t="str">
        <f aca="false">IF(ISBLANK($C402),"",IF($Z402&lt;&gt;Constants!$B$7,"",IF(AH402=1,AC402,AF402)))</f>
        <v/>
      </c>
      <c r="AT402" s="96" t="str">
        <f aca="false">IF(ISBLANK($C402),"",IF($Z402&lt;&gt;Constants!$B$7,$Z402,AJ402))</f>
        <v/>
      </c>
      <c r="AU402" s="97" t="str">
        <f aca="false">IF(ISBLANK($C402),"",IF($Z402&lt;&gt;Constants!$B$7,$Z402,AA402))</f>
        <v/>
      </c>
      <c r="AV402" s="98" t="str">
        <f aca="false">IF(ISBLANK($C402),"",AO402)</f>
        <v/>
      </c>
      <c r="AW402" s="98" t="str">
        <f aca="false">IF(ISBLANK($C402),"",AN402)</f>
        <v/>
      </c>
      <c r="AX402" s="99" t="str">
        <f aca="false">IF(ISBLANK($C402),"",IFERROR(_xlfn.SWITCH(AW402,Constants!$B$4,COUNTA($C$8:$C$507)+2,Constants!$B$5,COUNTA($C$8:$C$507)+1,Constants!$B$6,COUNTA($C$8:$C$507)),AW402))</f>
        <v/>
      </c>
      <c r="AY402" s="5"/>
      <c r="AZ402" s="100" t="n">
        <f aca="false">IF(OR(ISNUMBER(AW402),AW402=Constants!$B$4,AW402=Constants!$B$6,AW402=Constants!$B$5),1,0)</f>
        <v>0</v>
      </c>
      <c r="BA402" s="100" t="n">
        <v>395</v>
      </c>
      <c r="BB402" s="100" t="str">
        <f aca="false">IF(ISBLANK($C402),"",IF(ISNUMBER(AX402),AX402+ROW($B402)/1000,""))</f>
        <v/>
      </c>
      <c r="BC402" s="100" t="str">
        <f aca="false">IF(ISNUMBER(BB402),RANK(BB402,$BB$8:$BB$507,1),"")</f>
        <v/>
      </c>
      <c r="BD402" s="100" t="str">
        <f aca="false">IF(ISBLANK($C402),"",$B402)</f>
        <v/>
      </c>
      <c r="BE402" s="100" t="str">
        <f aca="false">IF(ISBLANK($C402),"",$C402)</f>
        <v/>
      </c>
      <c r="BF402" s="100" t="str">
        <f aca="false">IF(ISBLANK($C402),"",$D402)</f>
        <v/>
      </c>
      <c r="BG402" s="101" t="str">
        <f aca="false">AU402</f>
        <v/>
      </c>
      <c r="BH402" s="102" t="str">
        <f aca="false">AT402</f>
        <v/>
      </c>
      <c r="BI402" s="100" t="str">
        <f aca="false">IF(ISBLANK($C402),"",AW402)</f>
        <v/>
      </c>
      <c r="BJ402" s="103" t="str">
        <f aca="false">IF($BA402&gt;$AZ$7,"",VLOOKUP($BA402,$BC$8:$BI$507,7,FALSE()))</f>
        <v/>
      </c>
      <c r="BK402" s="104" t="str">
        <f aca="false">IF($BA402&gt;$AZ$7,"",VLOOKUP($BA402,$BC$8:$BI$507,2,FALSE()))</f>
        <v/>
      </c>
      <c r="BL402" s="104" t="str">
        <f aca="false">IF($BA402&gt;$AZ$7,"",VLOOKUP($BA402,$BC$8:$BI$507,3,FALSE()))</f>
        <v/>
      </c>
      <c r="BM402" s="104" t="str">
        <f aca="false">IF($BA402&gt;$AZ$7,"",VLOOKUP($BA402,$BC$8:$BI$507,4,FALSE()))</f>
        <v/>
      </c>
      <c r="BN402" s="104" t="str">
        <f aca="false">IF($BA402&gt;$AZ$7,"",VLOOKUP($BA402,$BC$8:$BI$507,5,FALSE()))</f>
        <v/>
      </c>
      <c r="BO402" s="105" t="str">
        <f aca="false">IF($BA402&gt;$AZ$7,"",VLOOKUP($BA402,$BC$8:$BI$507,6,FALSE()))</f>
        <v/>
      </c>
      <c r="BP402" s="52"/>
    </row>
    <row r="403" customFormat="false" ht="15.75" hidden="false" customHeight="false" outlineLevel="0" collapsed="false">
      <c r="A403" s="5"/>
      <c r="B403" s="114"/>
      <c r="C403" s="115"/>
      <c r="D403" s="106"/>
      <c r="E403" s="117"/>
      <c r="F403" s="87"/>
      <c r="G403" s="88"/>
      <c r="H403" s="88"/>
      <c r="I403" s="87"/>
      <c r="J403" s="88"/>
      <c r="K403" s="88"/>
      <c r="L403" s="87"/>
      <c r="M403" s="117"/>
      <c r="N403" s="90"/>
      <c r="O403" s="91" t="str">
        <f aca="false">IF(ISBLANK($C403),"",IF(E403=Constants!$B$2, TRUE(), IF(E403=Constants!$B$3, FALSE(), TRUE())))</f>
        <v/>
      </c>
      <c r="P403" s="91" t="str">
        <f aca="false">IF(ISBLANK($C403),"",IF(F403=Constants!$B$16,Constants!$B$9,IF(F403=Constants!$B$17,Constants!$B$10,Constants!$B$8)))</f>
        <v/>
      </c>
      <c r="Q403" s="91" t="str">
        <f aca="false">IF(ISBLANK($C403),"",IF(ISNUMBER(G403),IF(G403&gt;=0,G403,""),""))</f>
        <v/>
      </c>
      <c r="R403" s="91" t="str">
        <f aca="false">IF(ISBLANK($C403),"",IF(H403=Constants!$B$2, TRUE(), IF(H403=Constants!$B$3, FALSE(), TRUE())))</f>
        <v/>
      </c>
      <c r="S403" s="91" t="str">
        <f aca="false">IF(ISBLANK($C403),"",IF(I403=Constants!$B$2, TRUE(), IF(I403=Constants!$B$3, FALSE(), TRUE())))</f>
        <v/>
      </c>
      <c r="T403" s="91" t="str">
        <f aca="false">IF(ISBLANK($C403),"",IF(ISNUMBER(J403),IF(J403&gt;=0,J403,""),""))</f>
        <v/>
      </c>
      <c r="U403" s="91" t="str">
        <f aca="false">IF(ISBLANK($C403),"",IF(K403=Constants!$B$2, TRUE(), IF(K403=Constants!$B$3, FALSE(), TRUE())))</f>
        <v/>
      </c>
      <c r="V403" s="91" t="str">
        <f aca="false">IF(ISBLANK($C403),"",IF(L403=Constants!$B$2, TRUE(), IF(L403=Constants!$B$3, FALSE(), TRUE())))</f>
        <v/>
      </c>
      <c r="W403" s="91" t="str">
        <f aca="false">IF(ISBLANK($C403),"",IF(M403=Constants!$B$2, TRUE(), IF(M403=Constants!$B$3, FALSE(), FALSE())))</f>
        <v/>
      </c>
      <c r="X403" s="91" t="str">
        <f aca="false">IF(ISBLANK($C403),"",AND(Q403&lt;&gt;"",O403))</f>
        <v/>
      </c>
      <c r="Y403" s="91" t="str">
        <f aca="false">IF(ISBLANK($C403),"",AND(T403&lt;&gt;"",O403))</f>
        <v/>
      </c>
      <c r="Z403" s="91" t="str">
        <f aca="false">IF(ISBLANK($C403),"",IF(W403,Constants!$B$4,IF(COUNTA(E403:L403)=0,Constants!$B$5,IF(NOT(O403),Constants!$B$6,IF(AND(NOT(X403),NOT(Y403)),Constants!$B$6,Constants!$B$7)))))</f>
        <v/>
      </c>
      <c r="AA403" s="91" t="str">
        <f aca="false">IF(ISBLANK($C403),"",IF($Z403&lt;&gt;Constants!$B$7,$Z403,Constants!$B$20))</f>
        <v/>
      </c>
      <c r="AB403" s="91" t="str">
        <f aca="false">IF($Z403=Constants!$B$7,IF(X403,Q403,Constants!$B$13),"")</f>
        <v/>
      </c>
      <c r="AC403" s="91" t="str">
        <f aca="false">IF($Z403=Constants!$B$7,IF(X403,P403*IF(R403, 1, Constants!$B$11)*IF(S403, 1, Constants!$B$12),Constants!$B$13),"")</f>
        <v/>
      </c>
      <c r="AD403" s="91" t="str">
        <f aca="false">IF($Z403=Constants!$B$7,AB403*AC403,"")</f>
        <v/>
      </c>
      <c r="AE403" s="91" t="str">
        <f aca="false">IF($Z403=Constants!$B$7,IF(Y403,T403,Constants!$B$13),"")</f>
        <v/>
      </c>
      <c r="AF403" s="91" t="str">
        <f aca="false">IF($Z403=Constants!$B$7,IF(Y403,P403*IF(U403, 1, Constants!$B$11)*IF(V403, 1, Constants!$B$12),Constants!$B$13),"")</f>
        <v/>
      </c>
      <c r="AG403" s="91" t="str">
        <f aca="false">IF($Z403=Constants!$B$7,AE403*AF403,"")</f>
        <v/>
      </c>
      <c r="AH403" s="91" t="str">
        <f aca="false">IF($Z403=Constants!$B$7,IF(AG403&gt;AD403,2,1),"")</f>
        <v/>
      </c>
      <c r="AI403" s="91" t="str">
        <f aca="false">IF($Z403=Constants!$B$7,IF(AH403=1,2,1),"")</f>
        <v/>
      </c>
      <c r="AJ403" s="91" t="str">
        <f aca="false">IF(ISBLANK($C403),"",IF($Z403&lt;&gt;Constants!$B$7,$Z403,IF(AH403=1,AD403,AG403)))</f>
        <v/>
      </c>
      <c r="AK403" s="91" t="str">
        <f aca="false">IF(ISBLANK($C403),"",IF($Z403=Constants!$B$7,IF(ISNUMBER(AJ403),RANK(AJ403,$AJ$8:$AJ$507),Constants!$B$14),$Z403))</f>
        <v/>
      </c>
      <c r="AL403" s="91" t="str">
        <f aca="false">IF(ISBLANK($C403),"",IF($Z403=Constants!$B$7,IF(AI403=1,AD403,AG403),""))</f>
        <v/>
      </c>
      <c r="AM403" s="91" t="str">
        <f aca="false">IF(ISBLANK($C403),"",IF($Z403=Constants!$B$7,RANK(AL403,$AL$8:$AL$507),$Z403))</f>
        <v/>
      </c>
      <c r="AN403" s="91" t="str">
        <f aca="false">IF(ISBLANK($C403),"",IF($Z403=Constants!$B$7,IF(ISNUMBER(AK403),COUNTIFS($AK$8:$AK$507,"&lt;"&amp;$AK403)+COUNTIFS($AK$8:$AK$507,$AK403,$AM$8:$AM$507,"&lt;"&amp;$AM403)+1,Constants!$B$14),$Z403))</f>
        <v/>
      </c>
      <c r="AO403" s="91" t="str">
        <f aca="false">IF(ISBLANK($C403),"",IF($Z403=Constants!$B$7,IF(ISNUMBER(AK403),AK403-AN403,Constants!$B$14),$Z403))</f>
        <v/>
      </c>
      <c r="AP403" s="92"/>
      <c r="AQ403" s="93" t="str">
        <f aca="false">IF(ISBLANK($C403),"",IF($Z403&lt;&gt;Constants!$B$7,"",AH403))</f>
        <v/>
      </c>
      <c r="AR403" s="94" t="str">
        <f aca="false">IF(ISBLANK($C403),"",IF($Z403&lt;&gt;Constants!$B$7,"",IF(AH403=1,AB403,AE403)))</f>
        <v/>
      </c>
      <c r="AS403" s="95" t="str">
        <f aca="false">IF(ISBLANK($C403),"",IF($Z403&lt;&gt;Constants!$B$7,"",IF(AH403=1,AC403,AF403)))</f>
        <v/>
      </c>
      <c r="AT403" s="96" t="str">
        <f aca="false">IF(ISBLANK($C403),"",IF($Z403&lt;&gt;Constants!$B$7,$Z403,AJ403))</f>
        <v/>
      </c>
      <c r="AU403" s="97" t="str">
        <f aca="false">IF(ISBLANK($C403),"",IF($Z403&lt;&gt;Constants!$B$7,$Z403,AA403))</f>
        <v/>
      </c>
      <c r="AV403" s="98" t="str">
        <f aca="false">IF(ISBLANK($C403),"",AO403)</f>
        <v/>
      </c>
      <c r="AW403" s="98" t="str">
        <f aca="false">IF(ISBLANK($C403),"",AN403)</f>
        <v/>
      </c>
      <c r="AX403" s="99" t="str">
        <f aca="false">IF(ISBLANK($C403),"",IFERROR(_xlfn.SWITCH(AW403,Constants!$B$4,COUNTA($C$8:$C$507)+2,Constants!$B$5,COUNTA($C$8:$C$507)+1,Constants!$B$6,COUNTA($C$8:$C$507)),AW403))</f>
        <v/>
      </c>
      <c r="AY403" s="5"/>
      <c r="AZ403" s="100" t="n">
        <f aca="false">IF(OR(ISNUMBER(AW403),AW403=Constants!$B$4,AW403=Constants!$B$6,AW403=Constants!$B$5),1,0)</f>
        <v>0</v>
      </c>
      <c r="BA403" s="100" t="n">
        <v>396</v>
      </c>
      <c r="BB403" s="100" t="str">
        <f aca="false">IF(ISBLANK($C403),"",IF(ISNUMBER(AX403),AX403+ROW($B403)/1000,""))</f>
        <v/>
      </c>
      <c r="BC403" s="100" t="str">
        <f aca="false">IF(ISNUMBER(BB403),RANK(BB403,$BB$8:$BB$507,1),"")</f>
        <v/>
      </c>
      <c r="BD403" s="100" t="str">
        <f aca="false">IF(ISBLANK($C403),"",$B403)</f>
        <v/>
      </c>
      <c r="BE403" s="100" t="str">
        <f aca="false">IF(ISBLANK($C403),"",$C403)</f>
        <v/>
      </c>
      <c r="BF403" s="100" t="str">
        <f aca="false">IF(ISBLANK($C403),"",$D403)</f>
        <v/>
      </c>
      <c r="BG403" s="101" t="str">
        <f aca="false">AU403</f>
        <v/>
      </c>
      <c r="BH403" s="102" t="str">
        <f aca="false">AT403</f>
        <v/>
      </c>
      <c r="BI403" s="100" t="str">
        <f aca="false">IF(ISBLANK($C403),"",AW403)</f>
        <v/>
      </c>
      <c r="BJ403" s="103" t="str">
        <f aca="false">IF($BA403&gt;$AZ$7,"",VLOOKUP($BA403,$BC$8:$BI$507,7,FALSE()))</f>
        <v/>
      </c>
      <c r="BK403" s="104" t="str">
        <f aca="false">IF($BA403&gt;$AZ$7,"",VLOOKUP($BA403,$BC$8:$BI$507,2,FALSE()))</f>
        <v/>
      </c>
      <c r="BL403" s="104" t="str">
        <f aca="false">IF($BA403&gt;$AZ$7,"",VLOOKUP($BA403,$BC$8:$BI$507,3,FALSE()))</f>
        <v/>
      </c>
      <c r="BM403" s="104" t="str">
        <f aca="false">IF($BA403&gt;$AZ$7,"",VLOOKUP($BA403,$BC$8:$BI$507,4,FALSE()))</f>
        <v/>
      </c>
      <c r="BN403" s="104" t="str">
        <f aca="false">IF($BA403&gt;$AZ$7,"",VLOOKUP($BA403,$BC$8:$BI$507,5,FALSE()))</f>
        <v/>
      </c>
      <c r="BO403" s="105" t="str">
        <f aca="false">IF($BA403&gt;$AZ$7,"",VLOOKUP($BA403,$BC$8:$BI$507,6,FALSE()))</f>
        <v/>
      </c>
      <c r="BP403" s="52"/>
    </row>
    <row r="404" customFormat="false" ht="15.75" hidden="false" customHeight="false" outlineLevel="0" collapsed="false">
      <c r="A404" s="5"/>
      <c r="B404" s="118"/>
      <c r="C404" s="54"/>
      <c r="D404" s="55"/>
      <c r="E404" s="79"/>
      <c r="F404" s="57"/>
      <c r="G404" s="58"/>
      <c r="H404" s="58"/>
      <c r="I404" s="57"/>
      <c r="J404" s="58"/>
      <c r="K404" s="58"/>
      <c r="L404" s="57"/>
      <c r="M404" s="79"/>
      <c r="N404" s="60"/>
      <c r="O404" s="62" t="str">
        <f aca="false">IF(ISBLANK($C404),"",IF(E404=Constants!$B$2, TRUE(), IF(E404=Constants!$B$3, FALSE(), TRUE())))</f>
        <v/>
      </c>
      <c r="P404" s="62" t="str">
        <f aca="false">IF(ISBLANK($C404),"",IF(F404=Constants!$B$16,Constants!$B$9,IF(F404=Constants!$B$17,Constants!$B$10,Constants!$B$8)))</f>
        <v/>
      </c>
      <c r="Q404" s="62" t="str">
        <f aca="false">IF(ISBLANK($C404),"",IF(ISNUMBER(G404),IF(G404&gt;=0,G404,""),""))</f>
        <v/>
      </c>
      <c r="R404" s="62" t="str">
        <f aca="false">IF(ISBLANK($C404),"",IF(H404=Constants!$B$2, TRUE(), IF(H404=Constants!$B$3, FALSE(), TRUE())))</f>
        <v/>
      </c>
      <c r="S404" s="62" t="str">
        <f aca="false">IF(ISBLANK($C404),"",IF(I404=Constants!$B$2, TRUE(), IF(I404=Constants!$B$3, FALSE(), TRUE())))</f>
        <v/>
      </c>
      <c r="T404" s="62" t="str">
        <f aca="false">IF(ISBLANK($C404),"",IF(ISNUMBER(J404),IF(J404&gt;=0,J404,""),""))</f>
        <v/>
      </c>
      <c r="U404" s="62" t="str">
        <f aca="false">IF(ISBLANK($C404),"",IF(K404=Constants!$B$2, TRUE(), IF(K404=Constants!$B$3, FALSE(), TRUE())))</f>
        <v/>
      </c>
      <c r="V404" s="62" t="str">
        <f aca="false">IF(ISBLANK($C404),"",IF(L404=Constants!$B$2, TRUE(), IF(L404=Constants!$B$3, FALSE(), TRUE())))</f>
        <v/>
      </c>
      <c r="W404" s="62" t="str">
        <f aca="false">IF(ISBLANK($C404),"",IF(M404=Constants!$B$2, TRUE(), IF(M404=Constants!$B$3, FALSE(), FALSE())))</f>
        <v/>
      </c>
      <c r="X404" s="62" t="str">
        <f aca="false">IF(ISBLANK($C404),"",AND(Q404&lt;&gt;"",O404))</f>
        <v/>
      </c>
      <c r="Y404" s="62" t="str">
        <f aca="false">IF(ISBLANK($C404),"",AND(T404&lt;&gt;"",O404))</f>
        <v/>
      </c>
      <c r="Z404" s="62" t="str">
        <f aca="false">IF(ISBLANK($C404),"",IF(W404,Constants!$B$4,IF(COUNTA(E404:L404)=0,Constants!$B$5,IF(NOT(O404),Constants!$B$6,IF(AND(NOT(X404),NOT(Y404)),Constants!$B$6,Constants!$B$7)))))</f>
        <v/>
      </c>
      <c r="AA404" s="62" t="str">
        <f aca="false">IF(ISBLANK($C404),"",IF($Z404&lt;&gt;Constants!$B$7,$Z404,Constants!$B$20))</f>
        <v/>
      </c>
      <c r="AB404" s="62" t="str">
        <f aca="false">IF($Z404=Constants!$B$7,IF(X404,Q404,Constants!$B$13),"")</f>
        <v/>
      </c>
      <c r="AC404" s="62" t="str">
        <f aca="false">IF($Z404=Constants!$B$7,IF(X404,P404*IF(R404, 1, Constants!$B$11)*IF(S404, 1, Constants!$B$12),Constants!$B$13),"")</f>
        <v/>
      </c>
      <c r="AD404" s="62" t="str">
        <f aca="false">IF($Z404=Constants!$B$7,AB404*AC404,"")</f>
        <v/>
      </c>
      <c r="AE404" s="62" t="str">
        <f aca="false">IF($Z404=Constants!$B$7,IF(Y404,T404,Constants!$B$13),"")</f>
        <v/>
      </c>
      <c r="AF404" s="62" t="str">
        <f aca="false">IF($Z404=Constants!$B$7,IF(Y404,P404*IF(U404, 1, Constants!$B$11)*IF(V404, 1, Constants!$B$12),Constants!$B$13),"")</f>
        <v/>
      </c>
      <c r="AG404" s="62" t="str">
        <f aca="false">IF($Z404=Constants!$B$7,AE404*AF404,"")</f>
        <v/>
      </c>
      <c r="AH404" s="62" t="str">
        <f aca="false">IF($Z404=Constants!$B$7,IF(AG404&gt;AD404,2,1),"")</f>
        <v/>
      </c>
      <c r="AI404" s="62" t="str">
        <f aca="false">IF($Z404=Constants!$B$7,IF(AH404=1,2,1),"")</f>
        <v/>
      </c>
      <c r="AJ404" s="62" t="str">
        <f aca="false">IF(ISBLANK($C404),"",IF($Z404&lt;&gt;Constants!$B$7,$Z404,IF(AH404=1,AD404,AG404)))</f>
        <v/>
      </c>
      <c r="AK404" s="62" t="str">
        <f aca="false">IF(ISBLANK($C404),"",IF($Z404=Constants!$B$7,IF(ISNUMBER(AJ404),RANK(AJ404,$AJ$8:$AJ$507),Constants!$B$14),$Z404))</f>
        <v/>
      </c>
      <c r="AL404" s="62" t="str">
        <f aca="false">IF(ISBLANK($C404),"",IF($Z404=Constants!$B$7,IF(AI404=1,AD404,AG404),""))</f>
        <v/>
      </c>
      <c r="AM404" s="62" t="str">
        <f aca="false">IF(ISBLANK($C404),"",IF($Z404=Constants!$B$7,RANK(AL404,$AL$8:$AL$507),$Z404))</f>
        <v/>
      </c>
      <c r="AN404" s="62" t="str">
        <f aca="false">IF(ISBLANK($C404),"",IF($Z404=Constants!$B$7,IF(ISNUMBER(AK404),COUNTIFS($AK$8:$AK$507,"&lt;"&amp;$AK404)+COUNTIFS($AK$8:$AK$507,$AK404,$AM$8:$AM$507,"&lt;"&amp;$AM404)+1,Constants!$B$14),$Z404))</f>
        <v/>
      </c>
      <c r="AO404" s="62" t="str">
        <f aca="false">IF(ISBLANK($C404),"",IF($Z404=Constants!$B$7,IF(ISNUMBER(AK404),AK404-AN404,Constants!$B$14),$Z404))</f>
        <v/>
      </c>
      <c r="AP404" s="64"/>
      <c r="AQ404" s="65" t="str">
        <f aca="false">IF(ISBLANK($C404),"",IF($Z404&lt;&gt;Constants!$B$7,"",AH404))</f>
        <v/>
      </c>
      <c r="AR404" s="80" t="str">
        <f aca="false">IF(ISBLANK($C404),"",IF($Z404&lt;&gt;Constants!$B$7,"",IF(AH404=1,AB404,AE404)))</f>
        <v/>
      </c>
      <c r="AS404" s="67" t="str">
        <f aca="false">IF(ISBLANK($C404),"",IF($Z404&lt;&gt;Constants!$B$7,"",IF(AH404=1,AC404,AF404)))</f>
        <v/>
      </c>
      <c r="AT404" s="68" t="str">
        <f aca="false">IF(ISBLANK($C404),"",IF($Z404&lt;&gt;Constants!$B$7,$Z404,AJ404))</f>
        <v/>
      </c>
      <c r="AU404" s="69" t="str">
        <f aca="false">IF(ISBLANK($C404),"",IF($Z404&lt;&gt;Constants!$B$7,$Z404,AA404))</f>
        <v/>
      </c>
      <c r="AV404" s="70" t="str">
        <f aca="false">IF(ISBLANK($C404),"",AO404)</f>
        <v/>
      </c>
      <c r="AW404" s="70" t="str">
        <f aca="false">IF(ISBLANK($C404),"",AN404)</f>
        <v/>
      </c>
      <c r="AX404" s="71" t="str">
        <f aca="false">IF(ISBLANK($C404),"",IFERROR(_xlfn.SWITCH(AW404,Constants!$B$4,COUNTA($C$8:$C$507)+2,Constants!$B$5,COUNTA($C$8:$C$507)+1,Constants!$B$6,COUNTA($C$8:$C$507)),AW404))</f>
        <v/>
      </c>
      <c r="AY404" s="5"/>
      <c r="AZ404" s="72" t="n">
        <f aca="false">IF(OR(ISNUMBER(AW404),AW404=Constants!$B$4,AW404=Constants!$B$6,AW404=Constants!$B$5),1,0)</f>
        <v>0</v>
      </c>
      <c r="BA404" s="72" t="n">
        <v>397</v>
      </c>
      <c r="BB404" s="72" t="str">
        <f aca="false">IF(ISBLANK($C404),"",IF(ISNUMBER(AX404),AX404+ROW($B404)/1000,""))</f>
        <v/>
      </c>
      <c r="BC404" s="72" t="str">
        <f aca="false">IF(ISNUMBER(BB404),RANK(BB404,$BB$8:$BB$507,1),"")</f>
        <v/>
      </c>
      <c r="BD404" s="72" t="str">
        <f aca="false">IF(ISBLANK($C404),"",$B404)</f>
        <v/>
      </c>
      <c r="BE404" s="72" t="str">
        <f aca="false">IF(ISBLANK($C404),"",$C404)</f>
        <v/>
      </c>
      <c r="BF404" s="72" t="str">
        <f aca="false">IF(ISBLANK($C404),"",$D404)</f>
        <v/>
      </c>
      <c r="BG404" s="73" t="str">
        <f aca="false">AU404</f>
        <v/>
      </c>
      <c r="BH404" s="74" t="str">
        <f aca="false">AT404</f>
        <v/>
      </c>
      <c r="BI404" s="72" t="str">
        <f aca="false">IF(ISBLANK($C404),"",AW404)</f>
        <v/>
      </c>
      <c r="BJ404" s="75" t="str">
        <f aca="false">IF($BA404&gt;$AZ$7,"",VLOOKUP($BA404,$BC$8:$BI$507,7,FALSE()))</f>
        <v/>
      </c>
      <c r="BK404" s="76" t="str">
        <f aca="false">IF($BA404&gt;$AZ$7,"",VLOOKUP($BA404,$BC$8:$BI$507,2,FALSE()))</f>
        <v/>
      </c>
      <c r="BL404" s="76" t="str">
        <f aca="false">IF($BA404&gt;$AZ$7,"",VLOOKUP($BA404,$BC$8:$BI$507,3,FALSE()))</f>
        <v/>
      </c>
      <c r="BM404" s="76" t="str">
        <f aca="false">IF($BA404&gt;$AZ$7,"",VLOOKUP($BA404,$BC$8:$BI$507,4,FALSE()))</f>
        <v/>
      </c>
      <c r="BN404" s="76" t="str">
        <f aca="false">IF($BA404&gt;$AZ$7,"",VLOOKUP($BA404,$BC$8:$BI$507,5,FALSE()))</f>
        <v/>
      </c>
      <c r="BO404" s="77" t="str">
        <f aca="false">IF($BA404&gt;$AZ$7,"",VLOOKUP($BA404,$BC$8:$BI$507,6,FALSE()))</f>
        <v/>
      </c>
      <c r="BP404" s="52"/>
    </row>
    <row r="405" customFormat="false" ht="15.75" hidden="false" customHeight="false" outlineLevel="0" collapsed="false">
      <c r="A405" s="5"/>
      <c r="B405" s="118"/>
      <c r="C405" s="54"/>
      <c r="D405" s="55"/>
      <c r="E405" s="79"/>
      <c r="F405" s="57"/>
      <c r="G405" s="58"/>
      <c r="H405" s="58"/>
      <c r="I405" s="57"/>
      <c r="J405" s="58"/>
      <c r="K405" s="58"/>
      <c r="L405" s="57"/>
      <c r="M405" s="79"/>
      <c r="N405" s="60"/>
      <c r="O405" s="62" t="str">
        <f aca="false">IF(ISBLANK($C405),"",IF(E405=Constants!$B$2, TRUE(), IF(E405=Constants!$B$3, FALSE(), TRUE())))</f>
        <v/>
      </c>
      <c r="P405" s="62" t="str">
        <f aca="false">IF(ISBLANK($C405),"",IF(F405=Constants!$B$16,Constants!$B$9,IF(F405=Constants!$B$17,Constants!$B$10,Constants!$B$8)))</f>
        <v/>
      </c>
      <c r="Q405" s="62" t="str">
        <f aca="false">IF(ISBLANK($C405),"",IF(ISNUMBER(G405),IF(G405&gt;=0,G405,""),""))</f>
        <v/>
      </c>
      <c r="R405" s="62" t="str">
        <f aca="false">IF(ISBLANK($C405),"",IF(H405=Constants!$B$2, TRUE(), IF(H405=Constants!$B$3, FALSE(), TRUE())))</f>
        <v/>
      </c>
      <c r="S405" s="62" t="str">
        <f aca="false">IF(ISBLANK($C405),"",IF(I405=Constants!$B$2, TRUE(), IF(I405=Constants!$B$3, FALSE(), TRUE())))</f>
        <v/>
      </c>
      <c r="T405" s="62" t="str">
        <f aca="false">IF(ISBLANK($C405),"",IF(ISNUMBER(J405),IF(J405&gt;=0,J405,""),""))</f>
        <v/>
      </c>
      <c r="U405" s="62" t="str">
        <f aca="false">IF(ISBLANK($C405),"",IF(K405=Constants!$B$2, TRUE(), IF(K405=Constants!$B$3, FALSE(), TRUE())))</f>
        <v/>
      </c>
      <c r="V405" s="62" t="str">
        <f aca="false">IF(ISBLANK($C405),"",IF(L405=Constants!$B$2, TRUE(), IF(L405=Constants!$B$3, FALSE(), TRUE())))</f>
        <v/>
      </c>
      <c r="W405" s="62" t="str">
        <f aca="false">IF(ISBLANK($C405),"",IF(M405=Constants!$B$2, TRUE(), IF(M405=Constants!$B$3, FALSE(), FALSE())))</f>
        <v/>
      </c>
      <c r="X405" s="62" t="str">
        <f aca="false">IF(ISBLANK($C405),"",AND(Q405&lt;&gt;"",O405))</f>
        <v/>
      </c>
      <c r="Y405" s="62" t="str">
        <f aca="false">IF(ISBLANK($C405),"",AND(T405&lt;&gt;"",O405))</f>
        <v/>
      </c>
      <c r="Z405" s="62" t="str">
        <f aca="false">IF(ISBLANK($C405),"",IF(W405,Constants!$B$4,IF(COUNTA(E405:L405)=0,Constants!$B$5,IF(NOT(O405),Constants!$B$6,IF(AND(NOT(X405),NOT(Y405)),Constants!$B$6,Constants!$B$7)))))</f>
        <v/>
      </c>
      <c r="AA405" s="62" t="str">
        <f aca="false">IF(ISBLANK($C405),"",IF($Z405&lt;&gt;Constants!$B$7,$Z405,Constants!$B$20))</f>
        <v/>
      </c>
      <c r="AB405" s="62" t="str">
        <f aca="false">IF($Z405=Constants!$B$7,IF(X405,Q405,Constants!$B$13),"")</f>
        <v/>
      </c>
      <c r="AC405" s="62" t="str">
        <f aca="false">IF($Z405=Constants!$B$7,IF(X405,P405*IF(R405, 1, Constants!$B$11)*IF(S405, 1, Constants!$B$12),Constants!$B$13),"")</f>
        <v/>
      </c>
      <c r="AD405" s="62" t="str">
        <f aca="false">IF($Z405=Constants!$B$7,AB405*AC405,"")</f>
        <v/>
      </c>
      <c r="AE405" s="62" t="str">
        <f aca="false">IF($Z405=Constants!$B$7,IF(Y405,T405,Constants!$B$13),"")</f>
        <v/>
      </c>
      <c r="AF405" s="62" t="str">
        <f aca="false">IF($Z405=Constants!$B$7,IF(Y405,P405*IF(U405, 1, Constants!$B$11)*IF(V405, 1, Constants!$B$12),Constants!$B$13),"")</f>
        <v/>
      </c>
      <c r="AG405" s="62" t="str">
        <f aca="false">IF($Z405=Constants!$B$7,AE405*AF405,"")</f>
        <v/>
      </c>
      <c r="AH405" s="62" t="str">
        <f aca="false">IF($Z405=Constants!$B$7,IF(AG405&gt;AD405,2,1),"")</f>
        <v/>
      </c>
      <c r="AI405" s="62" t="str">
        <f aca="false">IF($Z405=Constants!$B$7,IF(AH405=1,2,1),"")</f>
        <v/>
      </c>
      <c r="AJ405" s="62" t="str">
        <f aca="false">IF(ISBLANK($C405),"",IF($Z405&lt;&gt;Constants!$B$7,$Z405,IF(AH405=1,AD405,AG405)))</f>
        <v/>
      </c>
      <c r="AK405" s="62" t="str">
        <f aca="false">IF(ISBLANK($C405),"",IF($Z405=Constants!$B$7,IF(ISNUMBER(AJ405),RANK(AJ405,$AJ$8:$AJ$507),Constants!$B$14),$Z405))</f>
        <v/>
      </c>
      <c r="AL405" s="62" t="str">
        <f aca="false">IF(ISBLANK($C405),"",IF($Z405=Constants!$B$7,IF(AI405=1,AD405,AG405),""))</f>
        <v/>
      </c>
      <c r="AM405" s="62" t="str">
        <f aca="false">IF(ISBLANK($C405),"",IF($Z405=Constants!$B$7,RANK(AL405,$AL$8:$AL$507),$Z405))</f>
        <v/>
      </c>
      <c r="AN405" s="62" t="str">
        <f aca="false">IF(ISBLANK($C405),"",IF($Z405=Constants!$B$7,IF(ISNUMBER(AK405),COUNTIFS($AK$8:$AK$507,"&lt;"&amp;$AK405)+COUNTIFS($AK$8:$AK$507,$AK405,$AM$8:$AM$507,"&lt;"&amp;$AM405)+1,Constants!$B$14),$Z405))</f>
        <v/>
      </c>
      <c r="AO405" s="62" t="str">
        <f aca="false">IF(ISBLANK($C405),"",IF($Z405=Constants!$B$7,IF(ISNUMBER(AK405),AK405-AN405,Constants!$B$14),$Z405))</f>
        <v/>
      </c>
      <c r="AP405" s="64"/>
      <c r="AQ405" s="65" t="str">
        <f aca="false">IF(ISBLANK($C405),"",IF($Z405&lt;&gt;Constants!$B$7,"",AH405))</f>
        <v/>
      </c>
      <c r="AR405" s="80" t="str">
        <f aca="false">IF(ISBLANK($C405),"",IF($Z405&lt;&gt;Constants!$B$7,"",IF(AH405=1,AB405,AE405)))</f>
        <v/>
      </c>
      <c r="AS405" s="67" t="str">
        <f aca="false">IF(ISBLANK($C405),"",IF($Z405&lt;&gt;Constants!$B$7,"",IF(AH405=1,AC405,AF405)))</f>
        <v/>
      </c>
      <c r="AT405" s="68" t="str">
        <f aca="false">IF(ISBLANK($C405),"",IF($Z405&lt;&gt;Constants!$B$7,$Z405,AJ405))</f>
        <v/>
      </c>
      <c r="AU405" s="69" t="str">
        <f aca="false">IF(ISBLANK($C405),"",IF($Z405&lt;&gt;Constants!$B$7,$Z405,AA405))</f>
        <v/>
      </c>
      <c r="AV405" s="70" t="str">
        <f aca="false">IF(ISBLANK($C405),"",AO405)</f>
        <v/>
      </c>
      <c r="AW405" s="70" t="str">
        <f aca="false">IF(ISBLANK($C405),"",AN405)</f>
        <v/>
      </c>
      <c r="AX405" s="71" t="str">
        <f aca="false">IF(ISBLANK($C405),"",IFERROR(_xlfn.SWITCH(AW405,Constants!$B$4,COUNTA($C$8:$C$507)+2,Constants!$B$5,COUNTA($C$8:$C$507)+1,Constants!$B$6,COUNTA($C$8:$C$507)),AW405))</f>
        <v/>
      </c>
      <c r="AY405" s="5"/>
      <c r="AZ405" s="72" t="n">
        <f aca="false">IF(OR(ISNUMBER(AW405),AW405=Constants!$B$4,AW405=Constants!$B$6,AW405=Constants!$B$5),1,0)</f>
        <v>0</v>
      </c>
      <c r="BA405" s="72" t="n">
        <v>398</v>
      </c>
      <c r="BB405" s="72" t="str">
        <f aca="false">IF(ISBLANK($C405),"",IF(ISNUMBER(AX405),AX405+ROW($B405)/1000,""))</f>
        <v/>
      </c>
      <c r="BC405" s="72" t="str">
        <f aca="false">IF(ISNUMBER(BB405),RANK(BB405,$BB$8:$BB$507,1),"")</f>
        <v/>
      </c>
      <c r="BD405" s="72" t="str">
        <f aca="false">IF(ISBLANK($C405),"",$B405)</f>
        <v/>
      </c>
      <c r="BE405" s="72" t="str">
        <f aca="false">IF(ISBLANK($C405),"",$C405)</f>
        <v/>
      </c>
      <c r="BF405" s="72" t="str">
        <f aca="false">IF(ISBLANK($C405),"",$D405)</f>
        <v/>
      </c>
      <c r="BG405" s="73" t="str">
        <f aca="false">AU405</f>
        <v/>
      </c>
      <c r="BH405" s="74" t="str">
        <f aca="false">AT405</f>
        <v/>
      </c>
      <c r="BI405" s="72" t="str">
        <f aca="false">IF(ISBLANK($C405),"",AW405)</f>
        <v/>
      </c>
      <c r="BJ405" s="75" t="str">
        <f aca="false">IF($BA405&gt;$AZ$7,"",VLOOKUP($BA405,$BC$8:$BI$507,7,FALSE()))</f>
        <v/>
      </c>
      <c r="BK405" s="76" t="str">
        <f aca="false">IF($BA405&gt;$AZ$7,"",VLOOKUP($BA405,$BC$8:$BI$507,2,FALSE()))</f>
        <v/>
      </c>
      <c r="BL405" s="76" t="str">
        <f aca="false">IF($BA405&gt;$AZ$7,"",VLOOKUP($BA405,$BC$8:$BI$507,3,FALSE()))</f>
        <v/>
      </c>
      <c r="BM405" s="76" t="str">
        <f aca="false">IF($BA405&gt;$AZ$7,"",VLOOKUP($BA405,$BC$8:$BI$507,4,FALSE()))</f>
        <v/>
      </c>
      <c r="BN405" s="76" t="str">
        <f aca="false">IF($BA405&gt;$AZ$7,"",VLOOKUP($BA405,$BC$8:$BI$507,5,FALSE()))</f>
        <v/>
      </c>
      <c r="BO405" s="77" t="str">
        <f aca="false">IF($BA405&gt;$AZ$7,"",VLOOKUP($BA405,$BC$8:$BI$507,6,FALSE()))</f>
        <v/>
      </c>
      <c r="BP405" s="52"/>
    </row>
    <row r="406" customFormat="false" ht="15.75" hidden="false" customHeight="false" outlineLevel="0" collapsed="false">
      <c r="A406" s="5"/>
      <c r="B406" s="118"/>
      <c r="C406" s="54"/>
      <c r="D406" s="55"/>
      <c r="E406" s="79"/>
      <c r="F406" s="57"/>
      <c r="G406" s="58"/>
      <c r="H406" s="58"/>
      <c r="I406" s="57"/>
      <c r="J406" s="58"/>
      <c r="K406" s="58"/>
      <c r="L406" s="57"/>
      <c r="M406" s="79"/>
      <c r="N406" s="60"/>
      <c r="O406" s="62" t="str">
        <f aca="false">IF(ISBLANK($C406),"",IF(E406=Constants!$B$2, TRUE(), IF(E406=Constants!$B$3, FALSE(), TRUE())))</f>
        <v/>
      </c>
      <c r="P406" s="62" t="str">
        <f aca="false">IF(ISBLANK($C406),"",IF(F406=Constants!$B$16,Constants!$B$9,IF(F406=Constants!$B$17,Constants!$B$10,Constants!$B$8)))</f>
        <v/>
      </c>
      <c r="Q406" s="62" t="str">
        <f aca="false">IF(ISBLANK($C406),"",IF(ISNUMBER(G406),IF(G406&gt;=0,G406,""),""))</f>
        <v/>
      </c>
      <c r="R406" s="62" t="str">
        <f aca="false">IF(ISBLANK($C406),"",IF(H406=Constants!$B$2, TRUE(), IF(H406=Constants!$B$3, FALSE(), TRUE())))</f>
        <v/>
      </c>
      <c r="S406" s="62" t="str">
        <f aca="false">IF(ISBLANK($C406),"",IF(I406=Constants!$B$2, TRUE(), IF(I406=Constants!$B$3, FALSE(), TRUE())))</f>
        <v/>
      </c>
      <c r="T406" s="62" t="str">
        <f aca="false">IF(ISBLANK($C406),"",IF(ISNUMBER(J406),IF(J406&gt;=0,J406,""),""))</f>
        <v/>
      </c>
      <c r="U406" s="62" t="str">
        <f aca="false">IF(ISBLANK($C406),"",IF(K406=Constants!$B$2, TRUE(), IF(K406=Constants!$B$3, FALSE(), TRUE())))</f>
        <v/>
      </c>
      <c r="V406" s="62" t="str">
        <f aca="false">IF(ISBLANK($C406),"",IF(L406=Constants!$B$2, TRUE(), IF(L406=Constants!$B$3, FALSE(), TRUE())))</f>
        <v/>
      </c>
      <c r="W406" s="62" t="str">
        <f aca="false">IF(ISBLANK($C406),"",IF(M406=Constants!$B$2, TRUE(), IF(M406=Constants!$B$3, FALSE(), FALSE())))</f>
        <v/>
      </c>
      <c r="X406" s="62" t="str">
        <f aca="false">IF(ISBLANK($C406),"",AND(Q406&lt;&gt;"",O406))</f>
        <v/>
      </c>
      <c r="Y406" s="62" t="str">
        <f aca="false">IF(ISBLANK($C406),"",AND(T406&lt;&gt;"",O406))</f>
        <v/>
      </c>
      <c r="Z406" s="62" t="str">
        <f aca="false">IF(ISBLANK($C406),"",IF(W406,Constants!$B$4,IF(COUNTA(E406:L406)=0,Constants!$B$5,IF(NOT(O406),Constants!$B$6,IF(AND(NOT(X406),NOT(Y406)),Constants!$B$6,Constants!$B$7)))))</f>
        <v/>
      </c>
      <c r="AA406" s="62" t="str">
        <f aca="false">IF(ISBLANK($C406),"",IF($Z406&lt;&gt;Constants!$B$7,$Z406,Constants!$B$20))</f>
        <v/>
      </c>
      <c r="AB406" s="62" t="str">
        <f aca="false">IF($Z406=Constants!$B$7,IF(X406,Q406,Constants!$B$13),"")</f>
        <v/>
      </c>
      <c r="AC406" s="62" t="str">
        <f aca="false">IF($Z406=Constants!$B$7,IF(X406,P406*IF(R406, 1, Constants!$B$11)*IF(S406, 1, Constants!$B$12),Constants!$B$13),"")</f>
        <v/>
      </c>
      <c r="AD406" s="62" t="str">
        <f aca="false">IF($Z406=Constants!$B$7,AB406*AC406,"")</f>
        <v/>
      </c>
      <c r="AE406" s="62" t="str">
        <f aca="false">IF($Z406=Constants!$B$7,IF(Y406,T406,Constants!$B$13),"")</f>
        <v/>
      </c>
      <c r="AF406" s="62" t="str">
        <f aca="false">IF($Z406=Constants!$B$7,IF(Y406,P406*IF(U406, 1, Constants!$B$11)*IF(V406, 1, Constants!$B$12),Constants!$B$13),"")</f>
        <v/>
      </c>
      <c r="AG406" s="62" t="str">
        <f aca="false">IF($Z406=Constants!$B$7,AE406*AF406,"")</f>
        <v/>
      </c>
      <c r="AH406" s="62" t="str">
        <f aca="false">IF($Z406=Constants!$B$7,IF(AG406&gt;AD406,2,1),"")</f>
        <v/>
      </c>
      <c r="AI406" s="62" t="str">
        <f aca="false">IF($Z406=Constants!$B$7,IF(AH406=1,2,1),"")</f>
        <v/>
      </c>
      <c r="AJ406" s="62" t="str">
        <f aca="false">IF(ISBLANK($C406),"",IF($Z406&lt;&gt;Constants!$B$7,$Z406,IF(AH406=1,AD406,AG406)))</f>
        <v/>
      </c>
      <c r="AK406" s="62" t="str">
        <f aca="false">IF(ISBLANK($C406),"",IF($Z406=Constants!$B$7,IF(ISNUMBER(AJ406),RANK(AJ406,$AJ$8:$AJ$507),Constants!$B$14),$Z406))</f>
        <v/>
      </c>
      <c r="AL406" s="62" t="str">
        <f aca="false">IF(ISBLANK($C406),"",IF($Z406=Constants!$B$7,IF(AI406=1,AD406,AG406),""))</f>
        <v/>
      </c>
      <c r="AM406" s="62" t="str">
        <f aca="false">IF(ISBLANK($C406),"",IF($Z406=Constants!$B$7,RANK(AL406,$AL$8:$AL$507),$Z406))</f>
        <v/>
      </c>
      <c r="AN406" s="62" t="str">
        <f aca="false">IF(ISBLANK($C406),"",IF($Z406=Constants!$B$7,IF(ISNUMBER(AK406),COUNTIFS($AK$8:$AK$507,"&lt;"&amp;$AK406)+COUNTIFS($AK$8:$AK$507,$AK406,$AM$8:$AM$507,"&lt;"&amp;$AM406)+1,Constants!$B$14),$Z406))</f>
        <v/>
      </c>
      <c r="AO406" s="62" t="str">
        <f aca="false">IF(ISBLANK($C406),"",IF($Z406=Constants!$B$7,IF(ISNUMBER(AK406),AK406-AN406,Constants!$B$14),$Z406))</f>
        <v/>
      </c>
      <c r="AP406" s="64"/>
      <c r="AQ406" s="65" t="str">
        <f aca="false">IF(ISBLANK($C406),"",IF($Z406&lt;&gt;Constants!$B$7,"",AH406))</f>
        <v/>
      </c>
      <c r="AR406" s="80" t="str">
        <f aca="false">IF(ISBLANK($C406),"",IF($Z406&lt;&gt;Constants!$B$7,"",IF(AH406=1,AB406,AE406)))</f>
        <v/>
      </c>
      <c r="AS406" s="67" t="str">
        <f aca="false">IF(ISBLANK($C406),"",IF($Z406&lt;&gt;Constants!$B$7,"",IF(AH406=1,AC406,AF406)))</f>
        <v/>
      </c>
      <c r="AT406" s="68" t="str">
        <f aca="false">IF(ISBLANK($C406),"",IF($Z406&lt;&gt;Constants!$B$7,$Z406,AJ406))</f>
        <v/>
      </c>
      <c r="AU406" s="69" t="str">
        <f aca="false">IF(ISBLANK($C406),"",IF($Z406&lt;&gt;Constants!$B$7,$Z406,AA406))</f>
        <v/>
      </c>
      <c r="AV406" s="70" t="str">
        <f aca="false">IF(ISBLANK($C406),"",AO406)</f>
        <v/>
      </c>
      <c r="AW406" s="70" t="str">
        <f aca="false">IF(ISBLANK($C406),"",AN406)</f>
        <v/>
      </c>
      <c r="AX406" s="71" t="str">
        <f aca="false">IF(ISBLANK($C406),"",IFERROR(_xlfn.SWITCH(AW406,Constants!$B$4,COUNTA($C$8:$C$507)+2,Constants!$B$5,COUNTA($C$8:$C$507)+1,Constants!$B$6,COUNTA($C$8:$C$507)),AW406))</f>
        <v/>
      </c>
      <c r="AY406" s="5"/>
      <c r="AZ406" s="72" t="n">
        <f aca="false">IF(OR(ISNUMBER(AW406),AW406=Constants!$B$4,AW406=Constants!$B$6,AW406=Constants!$B$5),1,0)</f>
        <v>0</v>
      </c>
      <c r="BA406" s="72" t="n">
        <v>399</v>
      </c>
      <c r="BB406" s="72" t="str">
        <f aca="false">IF(ISBLANK($C406),"",IF(ISNUMBER(AX406),AX406+ROW($B406)/1000,""))</f>
        <v/>
      </c>
      <c r="BC406" s="72" t="str">
        <f aca="false">IF(ISNUMBER(BB406),RANK(BB406,$BB$8:$BB$507,1),"")</f>
        <v/>
      </c>
      <c r="BD406" s="72" t="str">
        <f aca="false">IF(ISBLANK($C406),"",$B406)</f>
        <v/>
      </c>
      <c r="BE406" s="72" t="str">
        <f aca="false">IF(ISBLANK($C406),"",$C406)</f>
        <v/>
      </c>
      <c r="BF406" s="72" t="str">
        <f aca="false">IF(ISBLANK($C406),"",$D406)</f>
        <v/>
      </c>
      <c r="BG406" s="73" t="str">
        <f aca="false">AU406</f>
        <v/>
      </c>
      <c r="BH406" s="74" t="str">
        <f aca="false">AT406</f>
        <v/>
      </c>
      <c r="BI406" s="72" t="str">
        <f aca="false">IF(ISBLANK($C406),"",AW406)</f>
        <v/>
      </c>
      <c r="BJ406" s="75" t="str">
        <f aca="false">IF($BA406&gt;$AZ$7,"",VLOOKUP($BA406,$BC$8:$BI$507,7,FALSE()))</f>
        <v/>
      </c>
      <c r="BK406" s="76" t="str">
        <f aca="false">IF($BA406&gt;$AZ$7,"",VLOOKUP($BA406,$BC$8:$BI$507,2,FALSE()))</f>
        <v/>
      </c>
      <c r="BL406" s="76" t="str">
        <f aca="false">IF($BA406&gt;$AZ$7,"",VLOOKUP($BA406,$BC$8:$BI$507,3,FALSE()))</f>
        <v/>
      </c>
      <c r="BM406" s="76" t="str">
        <f aca="false">IF($BA406&gt;$AZ$7,"",VLOOKUP($BA406,$BC$8:$BI$507,4,FALSE()))</f>
        <v/>
      </c>
      <c r="BN406" s="76" t="str">
        <f aca="false">IF($BA406&gt;$AZ$7,"",VLOOKUP($BA406,$BC$8:$BI$507,5,FALSE()))</f>
        <v/>
      </c>
      <c r="BO406" s="77" t="str">
        <f aca="false">IF($BA406&gt;$AZ$7,"",VLOOKUP($BA406,$BC$8:$BI$507,6,FALSE()))</f>
        <v/>
      </c>
      <c r="BP406" s="52"/>
    </row>
    <row r="407" customFormat="false" ht="15.75" hidden="false" customHeight="false" outlineLevel="0" collapsed="false">
      <c r="A407" s="5"/>
      <c r="B407" s="114"/>
      <c r="C407" s="115"/>
      <c r="D407" s="106"/>
      <c r="E407" s="117"/>
      <c r="F407" s="87"/>
      <c r="G407" s="88"/>
      <c r="H407" s="88"/>
      <c r="I407" s="87"/>
      <c r="J407" s="88"/>
      <c r="K407" s="88"/>
      <c r="L407" s="87"/>
      <c r="M407" s="117"/>
      <c r="N407" s="90"/>
      <c r="O407" s="91" t="str">
        <f aca="false">IF(ISBLANK($C407),"",IF(E407=Constants!$B$2, TRUE(), IF(E407=Constants!$B$3, FALSE(), TRUE())))</f>
        <v/>
      </c>
      <c r="P407" s="91" t="str">
        <f aca="false">IF(ISBLANK($C407),"",IF(F407=Constants!$B$16,Constants!$B$9,IF(F407=Constants!$B$17,Constants!$B$10,Constants!$B$8)))</f>
        <v/>
      </c>
      <c r="Q407" s="91" t="str">
        <f aca="false">IF(ISBLANK($C407),"",IF(ISNUMBER(G407),IF(G407&gt;=0,G407,""),""))</f>
        <v/>
      </c>
      <c r="R407" s="91" t="str">
        <f aca="false">IF(ISBLANK($C407),"",IF(H407=Constants!$B$2, TRUE(), IF(H407=Constants!$B$3, FALSE(), TRUE())))</f>
        <v/>
      </c>
      <c r="S407" s="91" t="str">
        <f aca="false">IF(ISBLANK($C407),"",IF(I407=Constants!$B$2, TRUE(), IF(I407=Constants!$B$3, FALSE(), TRUE())))</f>
        <v/>
      </c>
      <c r="T407" s="91" t="str">
        <f aca="false">IF(ISBLANK($C407),"",IF(ISNUMBER(J407),IF(J407&gt;=0,J407,""),""))</f>
        <v/>
      </c>
      <c r="U407" s="91" t="str">
        <f aca="false">IF(ISBLANK($C407),"",IF(K407=Constants!$B$2, TRUE(), IF(K407=Constants!$B$3, FALSE(), TRUE())))</f>
        <v/>
      </c>
      <c r="V407" s="91" t="str">
        <f aca="false">IF(ISBLANK($C407),"",IF(L407=Constants!$B$2, TRUE(), IF(L407=Constants!$B$3, FALSE(), TRUE())))</f>
        <v/>
      </c>
      <c r="W407" s="91" t="str">
        <f aca="false">IF(ISBLANK($C407),"",IF(M407=Constants!$B$2, TRUE(), IF(M407=Constants!$B$3, FALSE(), FALSE())))</f>
        <v/>
      </c>
      <c r="X407" s="91" t="str">
        <f aca="false">IF(ISBLANK($C407),"",AND(Q407&lt;&gt;"",O407))</f>
        <v/>
      </c>
      <c r="Y407" s="91" t="str">
        <f aca="false">IF(ISBLANK($C407),"",AND(T407&lt;&gt;"",O407))</f>
        <v/>
      </c>
      <c r="Z407" s="91" t="str">
        <f aca="false">IF(ISBLANK($C407),"",IF(W407,Constants!$B$4,IF(COUNTA(E407:L407)=0,Constants!$B$5,IF(NOT(O407),Constants!$B$6,IF(AND(NOT(X407),NOT(Y407)),Constants!$B$6,Constants!$B$7)))))</f>
        <v/>
      </c>
      <c r="AA407" s="91" t="str">
        <f aca="false">IF(ISBLANK($C407),"",IF($Z407&lt;&gt;Constants!$B$7,$Z407,Constants!$B$20))</f>
        <v/>
      </c>
      <c r="AB407" s="91" t="str">
        <f aca="false">IF($Z407=Constants!$B$7,IF(X407,Q407,Constants!$B$13),"")</f>
        <v/>
      </c>
      <c r="AC407" s="91" t="str">
        <f aca="false">IF($Z407=Constants!$B$7,IF(X407,P407*IF(R407, 1, Constants!$B$11)*IF(S407, 1, Constants!$B$12),Constants!$B$13),"")</f>
        <v/>
      </c>
      <c r="AD407" s="91" t="str">
        <f aca="false">IF($Z407=Constants!$B$7,AB407*AC407,"")</f>
        <v/>
      </c>
      <c r="AE407" s="91" t="str">
        <f aca="false">IF($Z407=Constants!$B$7,IF(Y407,T407,Constants!$B$13),"")</f>
        <v/>
      </c>
      <c r="AF407" s="91" t="str">
        <f aca="false">IF($Z407=Constants!$B$7,IF(Y407,P407*IF(U407, 1, Constants!$B$11)*IF(V407, 1, Constants!$B$12),Constants!$B$13),"")</f>
        <v/>
      </c>
      <c r="AG407" s="91" t="str">
        <f aca="false">IF($Z407=Constants!$B$7,AE407*AF407,"")</f>
        <v/>
      </c>
      <c r="AH407" s="91" t="str">
        <f aca="false">IF($Z407=Constants!$B$7,IF(AG407&gt;AD407,2,1),"")</f>
        <v/>
      </c>
      <c r="AI407" s="91" t="str">
        <f aca="false">IF($Z407=Constants!$B$7,IF(AH407=1,2,1),"")</f>
        <v/>
      </c>
      <c r="AJ407" s="91" t="str">
        <f aca="false">IF(ISBLANK($C407),"",IF($Z407&lt;&gt;Constants!$B$7,$Z407,IF(AH407=1,AD407,AG407)))</f>
        <v/>
      </c>
      <c r="AK407" s="91" t="str">
        <f aca="false">IF(ISBLANK($C407),"",IF($Z407=Constants!$B$7,IF(ISNUMBER(AJ407),RANK(AJ407,$AJ$8:$AJ$507),Constants!$B$14),$Z407))</f>
        <v/>
      </c>
      <c r="AL407" s="91" t="str">
        <f aca="false">IF(ISBLANK($C407),"",IF($Z407=Constants!$B$7,IF(AI407=1,AD407,AG407),""))</f>
        <v/>
      </c>
      <c r="AM407" s="91" t="str">
        <f aca="false">IF(ISBLANK($C407),"",IF($Z407=Constants!$B$7,RANK(AL407,$AL$8:$AL$507),$Z407))</f>
        <v/>
      </c>
      <c r="AN407" s="91" t="str">
        <f aca="false">IF(ISBLANK($C407),"",IF($Z407=Constants!$B$7,IF(ISNUMBER(AK407),COUNTIFS($AK$8:$AK$507,"&lt;"&amp;$AK407)+COUNTIFS($AK$8:$AK$507,$AK407,$AM$8:$AM$507,"&lt;"&amp;$AM407)+1,Constants!$B$14),$Z407))</f>
        <v/>
      </c>
      <c r="AO407" s="91" t="str">
        <f aca="false">IF(ISBLANK($C407),"",IF($Z407=Constants!$B$7,IF(ISNUMBER(AK407),AK407-AN407,Constants!$B$14),$Z407))</f>
        <v/>
      </c>
      <c r="AP407" s="92"/>
      <c r="AQ407" s="93" t="str">
        <f aca="false">IF(ISBLANK($C407),"",IF($Z407&lt;&gt;Constants!$B$7,"",AH407))</f>
        <v/>
      </c>
      <c r="AR407" s="94" t="str">
        <f aca="false">IF(ISBLANK($C407),"",IF($Z407&lt;&gt;Constants!$B$7,"",IF(AH407=1,AB407,AE407)))</f>
        <v/>
      </c>
      <c r="AS407" s="95" t="str">
        <f aca="false">IF(ISBLANK($C407),"",IF($Z407&lt;&gt;Constants!$B$7,"",IF(AH407=1,AC407,AF407)))</f>
        <v/>
      </c>
      <c r="AT407" s="96" t="str">
        <f aca="false">IF(ISBLANK($C407),"",IF($Z407&lt;&gt;Constants!$B$7,$Z407,AJ407))</f>
        <v/>
      </c>
      <c r="AU407" s="97" t="str">
        <f aca="false">IF(ISBLANK($C407),"",IF($Z407&lt;&gt;Constants!$B$7,$Z407,AA407))</f>
        <v/>
      </c>
      <c r="AV407" s="98" t="str">
        <f aca="false">IF(ISBLANK($C407),"",AO407)</f>
        <v/>
      </c>
      <c r="AW407" s="98" t="str">
        <f aca="false">IF(ISBLANK($C407),"",AN407)</f>
        <v/>
      </c>
      <c r="AX407" s="99" t="str">
        <f aca="false">IF(ISBLANK($C407),"",IFERROR(_xlfn.SWITCH(AW407,Constants!$B$4,COUNTA($C$8:$C$507)+2,Constants!$B$5,COUNTA($C$8:$C$507)+1,Constants!$B$6,COUNTA($C$8:$C$507)),AW407))</f>
        <v/>
      </c>
      <c r="AY407" s="5"/>
      <c r="AZ407" s="100" t="n">
        <f aca="false">IF(OR(ISNUMBER(AW407),AW407=Constants!$B$4,AW407=Constants!$B$6,AW407=Constants!$B$5),1,0)</f>
        <v>0</v>
      </c>
      <c r="BA407" s="100" t="n">
        <v>400</v>
      </c>
      <c r="BB407" s="100" t="str">
        <f aca="false">IF(ISBLANK($C407),"",IF(ISNUMBER(AX407),AX407+ROW($B407)/1000,""))</f>
        <v/>
      </c>
      <c r="BC407" s="100" t="str">
        <f aca="false">IF(ISNUMBER(BB407),RANK(BB407,$BB$8:$BB$507,1),"")</f>
        <v/>
      </c>
      <c r="BD407" s="100" t="str">
        <f aca="false">IF(ISBLANK($C407),"",$B407)</f>
        <v/>
      </c>
      <c r="BE407" s="100" t="str">
        <f aca="false">IF(ISBLANK($C407),"",$C407)</f>
        <v/>
      </c>
      <c r="BF407" s="100" t="str">
        <f aca="false">IF(ISBLANK($C407),"",$D407)</f>
        <v/>
      </c>
      <c r="BG407" s="101" t="str">
        <f aca="false">AU407</f>
        <v/>
      </c>
      <c r="BH407" s="102" t="str">
        <f aca="false">AT407</f>
        <v/>
      </c>
      <c r="BI407" s="100" t="str">
        <f aca="false">IF(ISBLANK($C407),"",AW407)</f>
        <v/>
      </c>
      <c r="BJ407" s="103" t="str">
        <f aca="false">IF($BA407&gt;$AZ$7,"",VLOOKUP($BA407,$BC$8:$BI$507,7,FALSE()))</f>
        <v/>
      </c>
      <c r="BK407" s="104" t="str">
        <f aca="false">IF($BA407&gt;$AZ$7,"",VLOOKUP($BA407,$BC$8:$BI$507,2,FALSE()))</f>
        <v/>
      </c>
      <c r="BL407" s="104" t="str">
        <f aca="false">IF($BA407&gt;$AZ$7,"",VLOOKUP($BA407,$BC$8:$BI$507,3,FALSE()))</f>
        <v/>
      </c>
      <c r="BM407" s="104" t="str">
        <f aca="false">IF($BA407&gt;$AZ$7,"",VLOOKUP($BA407,$BC$8:$BI$507,4,FALSE()))</f>
        <v/>
      </c>
      <c r="BN407" s="104" t="str">
        <f aca="false">IF($BA407&gt;$AZ$7,"",VLOOKUP($BA407,$BC$8:$BI$507,5,FALSE()))</f>
        <v/>
      </c>
      <c r="BO407" s="105" t="str">
        <f aca="false">IF($BA407&gt;$AZ$7,"",VLOOKUP($BA407,$BC$8:$BI$507,6,FALSE()))</f>
        <v/>
      </c>
      <c r="BP407" s="52"/>
    </row>
    <row r="408" customFormat="false" ht="15.75" hidden="false" customHeight="false" outlineLevel="0" collapsed="false">
      <c r="A408" s="5"/>
      <c r="B408" s="114"/>
      <c r="C408" s="115"/>
      <c r="D408" s="106"/>
      <c r="E408" s="117"/>
      <c r="F408" s="87"/>
      <c r="G408" s="88"/>
      <c r="H408" s="88"/>
      <c r="I408" s="87"/>
      <c r="J408" s="88"/>
      <c r="K408" s="88"/>
      <c r="L408" s="87"/>
      <c r="M408" s="117"/>
      <c r="N408" s="90"/>
      <c r="O408" s="91" t="str">
        <f aca="false">IF(ISBLANK($C408),"",IF(E408=Constants!$B$2, TRUE(), IF(E408=Constants!$B$3, FALSE(), TRUE())))</f>
        <v/>
      </c>
      <c r="P408" s="91" t="str">
        <f aca="false">IF(ISBLANK($C408),"",IF(F408=Constants!$B$16,Constants!$B$9,IF(F408=Constants!$B$17,Constants!$B$10,Constants!$B$8)))</f>
        <v/>
      </c>
      <c r="Q408" s="91" t="str">
        <f aca="false">IF(ISBLANK($C408),"",IF(ISNUMBER(G408),IF(G408&gt;=0,G408,""),""))</f>
        <v/>
      </c>
      <c r="R408" s="91" t="str">
        <f aca="false">IF(ISBLANK($C408),"",IF(H408=Constants!$B$2, TRUE(), IF(H408=Constants!$B$3, FALSE(), TRUE())))</f>
        <v/>
      </c>
      <c r="S408" s="91" t="str">
        <f aca="false">IF(ISBLANK($C408),"",IF(I408=Constants!$B$2, TRUE(), IF(I408=Constants!$B$3, FALSE(), TRUE())))</f>
        <v/>
      </c>
      <c r="T408" s="91" t="str">
        <f aca="false">IF(ISBLANK($C408),"",IF(ISNUMBER(J408),IF(J408&gt;=0,J408,""),""))</f>
        <v/>
      </c>
      <c r="U408" s="91" t="str">
        <f aca="false">IF(ISBLANK($C408),"",IF(K408=Constants!$B$2, TRUE(), IF(K408=Constants!$B$3, FALSE(), TRUE())))</f>
        <v/>
      </c>
      <c r="V408" s="91" t="str">
        <f aca="false">IF(ISBLANK($C408),"",IF(L408=Constants!$B$2, TRUE(), IF(L408=Constants!$B$3, FALSE(), TRUE())))</f>
        <v/>
      </c>
      <c r="W408" s="91" t="str">
        <f aca="false">IF(ISBLANK($C408),"",IF(M408=Constants!$B$2, TRUE(), IF(M408=Constants!$B$3, FALSE(), FALSE())))</f>
        <v/>
      </c>
      <c r="X408" s="91" t="str">
        <f aca="false">IF(ISBLANK($C408),"",AND(Q408&lt;&gt;"",O408))</f>
        <v/>
      </c>
      <c r="Y408" s="91" t="str">
        <f aca="false">IF(ISBLANK($C408),"",AND(T408&lt;&gt;"",O408))</f>
        <v/>
      </c>
      <c r="Z408" s="91" t="str">
        <f aca="false">IF(ISBLANK($C408),"",IF(W408,Constants!$B$4,IF(COUNTA(E408:L408)=0,Constants!$B$5,IF(NOT(O408),Constants!$B$6,IF(AND(NOT(X408),NOT(Y408)),Constants!$B$6,Constants!$B$7)))))</f>
        <v/>
      </c>
      <c r="AA408" s="91" t="str">
        <f aca="false">IF(ISBLANK($C408),"",IF($Z408&lt;&gt;Constants!$B$7,$Z408,Constants!$B$20))</f>
        <v/>
      </c>
      <c r="AB408" s="91" t="str">
        <f aca="false">IF($Z408=Constants!$B$7,IF(X408,Q408,Constants!$B$13),"")</f>
        <v/>
      </c>
      <c r="AC408" s="91" t="str">
        <f aca="false">IF($Z408=Constants!$B$7,IF(X408,P408*IF(R408, 1, Constants!$B$11)*IF(S408, 1, Constants!$B$12),Constants!$B$13),"")</f>
        <v/>
      </c>
      <c r="AD408" s="91" t="str">
        <f aca="false">IF($Z408=Constants!$B$7,AB408*AC408,"")</f>
        <v/>
      </c>
      <c r="AE408" s="91" t="str">
        <f aca="false">IF($Z408=Constants!$B$7,IF(Y408,T408,Constants!$B$13),"")</f>
        <v/>
      </c>
      <c r="AF408" s="91" t="str">
        <f aca="false">IF($Z408=Constants!$B$7,IF(Y408,P408*IF(U408, 1, Constants!$B$11)*IF(V408, 1, Constants!$B$12),Constants!$B$13),"")</f>
        <v/>
      </c>
      <c r="AG408" s="91" t="str">
        <f aca="false">IF($Z408=Constants!$B$7,AE408*AF408,"")</f>
        <v/>
      </c>
      <c r="AH408" s="91" t="str">
        <f aca="false">IF($Z408=Constants!$B$7,IF(AG408&gt;AD408,2,1),"")</f>
        <v/>
      </c>
      <c r="AI408" s="91" t="str">
        <f aca="false">IF($Z408=Constants!$B$7,IF(AH408=1,2,1),"")</f>
        <v/>
      </c>
      <c r="AJ408" s="91" t="str">
        <f aca="false">IF(ISBLANK($C408),"",IF($Z408&lt;&gt;Constants!$B$7,$Z408,IF(AH408=1,AD408,AG408)))</f>
        <v/>
      </c>
      <c r="AK408" s="91" t="str">
        <f aca="false">IF(ISBLANK($C408),"",IF($Z408=Constants!$B$7,IF(ISNUMBER(AJ408),RANK(AJ408,$AJ$8:$AJ$507),Constants!$B$14),$Z408))</f>
        <v/>
      </c>
      <c r="AL408" s="91" t="str">
        <f aca="false">IF(ISBLANK($C408),"",IF($Z408=Constants!$B$7,IF(AI408=1,AD408,AG408),""))</f>
        <v/>
      </c>
      <c r="AM408" s="91" t="str">
        <f aca="false">IF(ISBLANK($C408),"",IF($Z408=Constants!$B$7,RANK(AL408,$AL$8:$AL$507),$Z408))</f>
        <v/>
      </c>
      <c r="AN408" s="91" t="str">
        <f aca="false">IF(ISBLANK($C408),"",IF($Z408=Constants!$B$7,IF(ISNUMBER(AK408),COUNTIFS($AK$8:$AK$507,"&lt;"&amp;$AK408)+COUNTIFS($AK$8:$AK$507,$AK408,$AM$8:$AM$507,"&lt;"&amp;$AM408)+1,Constants!$B$14),$Z408))</f>
        <v/>
      </c>
      <c r="AO408" s="91" t="str">
        <f aca="false">IF(ISBLANK($C408),"",IF($Z408=Constants!$B$7,IF(ISNUMBER(AK408),AK408-AN408,Constants!$B$14),$Z408))</f>
        <v/>
      </c>
      <c r="AP408" s="92"/>
      <c r="AQ408" s="93" t="str">
        <f aca="false">IF(ISBLANK($C408),"",IF($Z408&lt;&gt;Constants!$B$7,"",AH408))</f>
        <v/>
      </c>
      <c r="AR408" s="94" t="str">
        <f aca="false">IF(ISBLANK($C408),"",IF($Z408&lt;&gt;Constants!$B$7,"",IF(AH408=1,AB408,AE408)))</f>
        <v/>
      </c>
      <c r="AS408" s="95" t="str">
        <f aca="false">IF(ISBLANK($C408),"",IF($Z408&lt;&gt;Constants!$B$7,"",IF(AH408=1,AC408,AF408)))</f>
        <v/>
      </c>
      <c r="AT408" s="96" t="str">
        <f aca="false">IF(ISBLANK($C408),"",IF($Z408&lt;&gt;Constants!$B$7,$Z408,AJ408))</f>
        <v/>
      </c>
      <c r="AU408" s="97" t="str">
        <f aca="false">IF(ISBLANK($C408),"",IF($Z408&lt;&gt;Constants!$B$7,$Z408,AA408))</f>
        <v/>
      </c>
      <c r="AV408" s="98" t="str">
        <f aca="false">IF(ISBLANK($C408),"",AO408)</f>
        <v/>
      </c>
      <c r="AW408" s="98" t="str">
        <f aca="false">IF(ISBLANK($C408),"",AN408)</f>
        <v/>
      </c>
      <c r="AX408" s="99" t="str">
        <f aca="false">IF(ISBLANK($C408),"",IFERROR(_xlfn.SWITCH(AW408,Constants!$B$4,COUNTA($C$8:$C$507)+2,Constants!$B$5,COUNTA($C$8:$C$507)+1,Constants!$B$6,COUNTA($C$8:$C$507)),AW408))</f>
        <v/>
      </c>
      <c r="AY408" s="5"/>
      <c r="AZ408" s="100" t="n">
        <f aca="false">IF(OR(ISNUMBER(AW408),AW408=Constants!$B$4,AW408=Constants!$B$6,AW408=Constants!$B$5),1,0)</f>
        <v>0</v>
      </c>
      <c r="BA408" s="100" t="n">
        <v>401</v>
      </c>
      <c r="BB408" s="100" t="str">
        <f aca="false">IF(ISBLANK($C408),"",IF(ISNUMBER(AX408),AX408+ROW($B408)/1000,""))</f>
        <v/>
      </c>
      <c r="BC408" s="100" t="str">
        <f aca="false">IF(ISNUMBER(BB408),RANK(BB408,$BB$8:$BB$507,1),"")</f>
        <v/>
      </c>
      <c r="BD408" s="100" t="str">
        <f aca="false">IF(ISBLANK($C408),"",$B408)</f>
        <v/>
      </c>
      <c r="BE408" s="100" t="str">
        <f aca="false">IF(ISBLANK($C408),"",$C408)</f>
        <v/>
      </c>
      <c r="BF408" s="100" t="str">
        <f aca="false">IF(ISBLANK($C408),"",$D408)</f>
        <v/>
      </c>
      <c r="BG408" s="101" t="str">
        <f aca="false">AU408</f>
        <v/>
      </c>
      <c r="BH408" s="102" t="str">
        <f aca="false">AT408</f>
        <v/>
      </c>
      <c r="BI408" s="100" t="str">
        <f aca="false">IF(ISBLANK($C408),"",AW408)</f>
        <v/>
      </c>
      <c r="BJ408" s="103" t="str">
        <f aca="false">IF($BA408&gt;$AZ$7,"",VLOOKUP($BA408,$BC$8:$BI$507,7,FALSE()))</f>
        <v/>
      </c>
      <c r="BK408" s="104" t="str">
        <f aca="false">IF($BA408&gt;$AZ$7,"",VLOOKUP($BA408,$BC$8:$BI$507,2,FALSE()))</f>
        <v/>
      </c>
      <c r="BL408" s="104" t="str">
        <f aca="false">IF($BA408&gt;$AZ$7,"",VLOOKUP($BA408,$BC$8:$BI$507,3,FALSE()))</f>
        <v/>
      </c>
      <c r="BM408" s="104" t="str">
        <f aca="false">IF($BA408&gt;$AZ$7,"",VLOOKUP($BA408,$BC$8:$BI$507,4,FALSE()))</f>
        <v/>
      </c>
      <c r="BN408" s="104" t="str">
        <f aca="false">IF($BA408&gt;$AZ$7,"",VLOOKUP($BA408,$BC$8:$BI$507,5,FALSE()))</f>
        <v/>
      </c>
      <c r="BO408" s="105" t="str">
        <f aca="false">IF($BA408&gt;$AZ$7,"",VLOOKUP($BA408,$BC$8:$BI$507,6,FALSE()))</f>
        <v/>
      </c>
      <c r="BP408" s="52"/>
    </row>
    <row r="409" customFormat="false" ht="15.75" hidden="false" customHeight="false" outlineLevel="0" collapsed="false">
      <c r="A409" s="5"/>
      <c r="B409" s="114"/>
      <c r="C409" s="115"/>
      <c r="D409" s="106"/>
      <c r="E409" s="117"/>
      <c r="F409" s="87"/>
      <c r="G409" s="88"/>
      <c r="H409" s="88"/>
      <c r="I409" s="87"/>
      <c r="J409" s="88"/>
      <c r="K409" s="88"/>
      <c r="L409" s="87"/>
      <c r="M409" s="117"/>
      <c r="N409" s="90"/>
      <c r="O409" s="91" t="str">
        <f aca="false">IF(ISBLANK($C409),"",IF(E409=Constants!$B$2, TRUE(), IF(E409=Constants!$B$3, FALSE(), TRUE())))</f>
        <v/>
      </c>
      <c r="P409" s="91" t="str">
        <f aca="false">IF(ISBLANK($C409),"",IF(F409=Constants!$B$16,Constants!$B$9,IF(F409=Constants!$B$17,Constants!$B$10,Constants!$B$8)))</f>
        <v/>
      </c>
      <c r="Q409" s="91" t="str">
        <f aca="false">IF(ISBLANK($C409),"",IF(ISNUMBER(G409),IF(G409&gt;=0,G409,""),""))</f>
        <v/>
      </c>
      <c r="R409" s="91" t="str">
        <f aca="false">IF(ISBLANK($C409),"",IF(H409=Constants!$B$2, TRUE(), IF(H409=Constants!$B$3, FALSE(), TRUE())))</f>
        <v/>
      </c>
      <c r="S409" s="91" t="str">
        <f aca="false">IF(ISBLANK($C409),"",IF(I409=Constants!$B$2, TRUE(), IF(I409=Constants!$B$3, FALSE(), TRUE())))</f>
        <v/>
      </c>
      <c r="T409" s="91" t="str">
        <f aca="false">IF(ISBLANK($C409),"",IF(ISNUMBER(J409),IF(J409&gt;=0,J409,""),""))</f>
        <v/>
      </c>
      <c r="U409" s="91" t="str">
        <f aca="false">IF(ISBLANK($C409),"",IF(K409=Constants!$B$2, TRUE(), IF(K409=Constants!$B$3, FALSE(), TRUE())))</f>
        <v/>
      </c>
      <c r="V409" s="91" t="str">
        <f aca="false">IF(ISBLANK($C409),"",IF(L409=Constants!$B$2, TRUE(), IF(L409=Constants!$B$3, FALSE(), TRUE())))</f>
        <v/>
      </c>
      <c r="W409" s="91" t="str">
        <f aca="false">IF(ISBLANK($C409),"",IF(M409=Constants!$B$2, TRUE(), IF(M409=Constants!$B$3, FALSE(), FALSE())))</f>
        <v/>
      </c>
      <c r="X409" s="91" t="str">
        <f aca="false">IF(ISBLANK($C409),"",AND(Q409&lt;&gt;"",O409))</f>
        <v/>
      </c>
      <c r="Y409" s="91" t="str">
        <f aca="false">IF(ISBLANK($C409),"",AND(T409&lt;&gt;"",O409))</f>
        <v/>
      </c>
      <c r="Z409" s="91" t="str">
        <f aca="false">IF(ISBLANK($C409),"",IF(W409,Constants!$B$4,IF(COUNTA(E409:L409)=0,Constants!$B$5,IF(NOT(O409),Constants!$B$6,IF(AND(NOT(X409),NOT(Y409)),Constants!$B$6,Constants!$B$7)))))</f>
        <v/>
      </c>
      <c r="AA409" s="91" t="str">
        <f aca="false">IF(ISBLANK($C409),"",IF($Z409&lt;&gt;Constants!$B$7,$Z409,Constants!$B$20))</f>
        <v/>
      </c>
      <c r="AB409" s="91" t="str">
        <f aca="false">IF($Z409=Constants!$B$7,IF(X409,Q409,Constants!$B$13),"")</f>
        <v/>
      </c>
      <c r="AC409" s="91" t="str">
        <f aca="false">IF($Z409=Constants!$B$7,IF(X409,P409*IF(R409, 1, Constants!$B$11)*IF(S409, 1, Constants!$B$12),Constants!$B$13),"")</f>
        <v/>
      </c>
      <c r="AD409" s="91" t="str">
        <f aca="false">IF($Z409=Constants!$B$7,AB409*AC409,"")</f>
        <v/>
      </c>
      <c r="AE409" s="91" t="str">
        <f aca="false">IF($Z409=Constants!$B$7,IF(Y409,T409,Constants!$B$13),"")</f>
        <v/>
      </c>
      <c r="AF409" s="91" t="str">
        <f aca="false">IF($Z409=Constants!$B$7,IF(Y409,P409*IF(U409, 1, Constants!$B$11)*IF(V409, 1, Constants!$B$12),Constants!$B$13),"")</f>
        <v/>
      </c>
      <c r="AG409" s="91" t="str">
        <f aca="false">IF($Z409=Constants!$B$7,AE409*AF409,"")</f>
        <v/>
      </c>
      <c r="AH409" s="91" t="str">
        <f aca="false">IF($Z409=Constants!$B$7,IF(AG409&gt;AD409,2,1),"")</f>
        <v/>
      </c>
      <c r="AI409" s="91" t="str">
        <f aca="false">IF($Z409=Constants!$B$7,IF(AH409=1,2,1),"")</f>
        <v/>
      </c>
      <c r="AJ409" s="91" t="str">
        <f aca="false">IF(ISBLANK($C409),"",IF($Z409&lt;&gt;Constants!$B$7,$Z409,IF(AH409=1,AD409,AG409)))</f>
        <v/>
      </c>
      <c r="AK409" s="91" t="str">
        <f aca="false">IF(ISBLANK($C409),"",IF($Z409=Constants!$B$7,IF(ISNUMBER(AJ409),RANK(AJ409,$AJ$8:$AJ$507),Constants!$B$14),$Z409))</f>
        <v/>
      </c>
      <c r="AL409" s="91" t="str">
        <f aca="false">IF(ISBLANK($C409),"",IF($Z409=Constants!$B$7,IF(AI409=1,AD409,AG409),""))</f>
        <v/>
      </c>
      <c r="AM409" s="91" t="str">
        <f aca="false">IF(ISBLANK($C409),"",IF($Z409=Constants!$B$7,RANK(AL409,$AL$8:$AL$507),$Z409))</f>
        <v/>
      </c>
      <c r="AN409" s="91" t="str">
        <f aca="false">IF(ISBLANK($C409),"",IF($Z409=Constants!$B$7,IF(ISNUMBER(AK409),COUNTIFS($AK$8:$AK$507,"&lt;"&amp;$AK409)+COUNTIFS($AK$8:$AK$507,$AK409,$AM$8:$AM$507,"&lt;"&amp;$AM409)+1,Constants!$B$14),$Z409))</f>
        <v/>
      </c>
      <c r="AO409" s="91" t="str">
        <f aca="false">IF(ISBLANK($C409),"",IF($Z409=Constants!$B$7,IF(ISNUMBER(AK409),AK409-AN409,Constants!$B$14),$Z409))</f>
        <v/>
      </c>
      <c r="AP409" s="92"/>
      <c r="AQ409" s="93" t="str">
        <f aca="false">IF(ISBLANK($C409),"",IF($Z409&lt;&gt;Constants!$B$7,"",AH409))</f>
        <v/>
      </c>
      <c r="AR409" s="94" t="str">
        <f aca="false">IF(ISBLANK($C409),"",IF($Z409&lt;&gt;Constants!$B$7,"",IF(AH409=1,AB409,AE409)))</f>
        <v/>
      </c>
      <c r="AS409" s="95" t="str">
        <f aca="false">IF(ISBLANK($C409),"",IF($Z409&lt;&gt;Constants!$B$7,"",IF(AH409=1,AC409,AF409)))</f>
        <v/>
      </c>
      <c r="AT409" s="96" t="str">
        <f aca="false">IF(ISBLANK($C409),"",IF($Z409&lt;&gt;Constants!$B$7,$Z409,AJ409))</f>
        <v/>
      </c>
      <c r="AU409" s="97" t="str">
        <f aca="false">IF(ISBLANK($C409),"",IF($Z409&lt;&gt;Constants!$B$7,$Z409,AA409))</f>
        <v/>
      </c>
      <c r="AV409" s="98" t="str">
        <f aca="false">IF(ISBLANK($C409),"",AO409)</f>
        <v/>
      </c>
      <c r="AW409" s="98" t="str">
        <f aca="false">IF(ISBLANK($C409),"",AN409)</f>
        <v/>
      </c>
      <c r="AX409" s="99" t="str">
        <f aca="false">IF(ISBLANK($C409),"",IFERROR(_xlfn.SWITCH(AW409,Constants!$B$4,COUNTA($C$8:$C$507)+2,Constants!$B$5,COUNTA($C$8:$C$507)+1,Constants!$B$6,COUNTA($C$8:$C$507)),AW409))</f>
        <v/>
      </c>
      <c r="AY409" s="5"/>
      <c r="AZ409" s="100" t="n">
        <f aca="false">IF(OR(ISNUMBER(AW409),AW409=Constants!$B$4,AW409=Constants!$B$6,AW409=Constants!$B$5),1,0)</f>
        <v>0</v>
      </c>
      <c r="BA409" s="100" t="n">
        <v>402</v>
      </c>
      <c r="BB409" s="100" t="str">
        <f aca="false">IF(ISBLANK($C409),"",IF(ISNUMBER(AX409),AX409+ROW($B409)/1000,""))</f>
        <v/>
      </c>
      <c r="BC409" s="100" t="str">
        <f aca="false">IF(ISNUMBER(BB409),RANK(BB409,$BB$8:$BB$507,1),"")</f>
        <v/>
      </c>
      <c r="BD409" s="100" t="str">
        <f aca="false">IF(ISBLANK($C409),"",$B409)</f>
        <v/>
      </c>
      <c r="BE409" s="100" t="str">
        <f aca="false">IF(ISBLANK($C409),"",$C409)</f>
        <v/>
      </c>
      <c r="BF409" s="100" t="str">
        <f aca="false">IF(ISBLANK($C409),"",$D409)</f>
        <v/>
      </c>
      <c r="BG409" s="101" t="str">
        <f aca="false">AU409</f>
        <v/>
      </c>
      <c r="BH409" s="102" t="str">
        <f aca="false">AT409</f>
        <v/>
      </c>
      <c r="BI409" s="100" t="str">
        <f aca="false">IF(ISBLANK($C409),"",AW409)</f>
        <v/>
      </c>
      <c r="BJ409" s="103" t="str">
        <f aca="false">IF($BA409&gt;$AZ$7,"",VLOOKUP($BA409,$BC$8:$BI$507,7,FALSE()))</f>
        <v/>
      </c>
      <c r="BK409" s="104" t="str">
        <f aca="false">IF($BA409&gt;$AZ$7,"",VLOOKUP($BA409,$BC$8:$BI$507,2,FALSE()))</f>
        <v/>
      </c>
      <c r="BL409" s="104" t="str">
        <f aca="false">IF($BA409&gt;$AZ$7,"",VLOOKUP($BA409,$BC$8:$BI$507,3,FALSE()))</f>
        <v/>
      </c>
      <c r="BM409" s="104" t="str">
        <f aca="false">IF($BA409&gt;$AZ$7,"",VLOOKUP($BA409,$BC$8:$BI$507,4,FALSE()))</f>
        <v/>
      </c>
      <c r="BN409" s="104" t="str">
        <f aca="false">IF($BA409&gt;$AZ$7,"",VLOOKUP($BA409,$BC$8:$BI$507,5,FALSE()))</f>
        <v/>
      </c>
      <c r="BO409" s="105" t="str">
        <f aca="false">IF($BA409&gt;$AZ$7,"",VLOOKUP($BA409,$BC$8:$BI$507,6,FALSE()))</f>
        <v/>
      </c>
      <c r="BP409" s="52"/>
    </row>
    <row r="410" customFormat="false" ht="15.75" hidden="false" customHeight="false" outlineLevel="0" collapsed="false">
      <c r="A410" s="5"/>
      <c r="B410" s="118"/>
      <c r="C410" s="54"/>
      <c r="D410" s="55"/>
      <c r="E410" s="79"/>
      <c r="F410" s="57"/>
      <c r="G410" s="58"/>
      <c r="H410" s="58"/>
      <c r="I410" s="57"/>
      <c r="J410" s="58"/>
      <c r="K410" s="58"/>
      <c r="L410" s="57"/>
      <c r="M410" s="79"/>
      <c r="N410" s="60"/>
      <c r="O410" s="62" t="str">
        <f aca="false">IF(ISBLANK($C410),"",IF(E410=Constants!$B$2, TRUE(), IF(E410=Constants!$B$3, FALSE(), TRUE())))</f>
        <v/>
      </c>
      <c r="P410" s="62" t="str">
        <f aca="false">IF(ISBLANK($C410),"",IF(F410=Constants!$B$16,Constants!$B$9,IF(F410=Constants!$B$17,Constants!$B$10,Constants!$B$8)))</f>
        <v/>
      </c>
      <c r="Q410" s="62" t="str">
        <f aca="false">IF(ISBLANK($C410),"",IF(ISNUMBER(G410),IF(G410&gt;=0,G410,""),""))</f>
        <v/>
      </c>
      <c r="R410" s="62" t="str">
        <f aca="false">IF(ISBLANK($C410),"",IF(H410=Constants!$B$2, TRUE(), IF(H410=Constants!$B$3, FALSE(), TRUE())))</f>
        <v/>
      </c>
      <c r="S410" s="62" t="str">
        <f aca="false">IF(ISBLANK($C410),"",IF(I410=Constants!$B$2, TRUE(), IF(I410=Constants!$B$3, FALSE(), TRUE())))</f>
        <v/>
      </c>
      <c r="T410" s="62" t="str">
        <f aca="false">IF(ISBLANK($C410),"",IF(ISNUMBER(J410),IF(J410&gt;=0,J410,""),""))</f>
        <v/>
      </c>
      <c r="U410" s="62" t="str">
        <f aca="false">IF(ISBLANK($C410),"",IF(K410=Constants!$B$2, TRUE(), IF(K410=Constants!$B$3, FALSE(), TRUE())))</f>
        <v/>
      </c>
      <c r="V410" s="62" t="str">
        <f aca="false">IF(ISBLANK($C410),"",IF(L410=Constants!$B$2, TRUE(), IF(L410=Constants!$B$3, FALSE(), TRUE())))</f>
        <v/>
      </c>
      <c r="W410" s="62" t="str">
        <f aca="false">IF(ISBLANK($C410),"",IF(M410=Constants!$B$2, TRUE(), IF(M410=Constants!$B$3, FALSE(), FALSE())))</f>
        <v/>
      </c>
      <c r="X410" s="62" t="str">
        <f aca="false">IF(ISBLANK($C410),"",AND(Q410&lt;&gt;"",O410))</f>
        <v/>
      </c>
      <c r="Y410" s="62" t="str">
        <f aca="false">IF(ISBLANK($C410),"",AND(T410&lt;&gt;"",O410))</f>
        <v/>
      </c>
      <c r="Z410" s="62" t="str">
        <f aca="false">IF(ISBLANK($C410),"",IF(W410,Constants!$B$4,IF(COUNTA(E410:L410)=0,Constants!$B$5,IF(NOT(O410),Constants!$B$6,IF(AND(NOT(X410),NOT(Y410)),Constants!$B$6,Constants!$B$7)))))</f>
        <v/>
      </c>
      <c r="AA410" s="62" t="str">
        <f aca="false">IF(ISBLANK($C410),"",IF($Z410&lt;&gt;Constants!$B$7,$Z410,Constants!$B$20))</f>
        <v/>
      </c>
      <c r="AB410" s="62" t="str">
        <f aca="false">IF($Z410=Constants!$B$7,IF(X410,Q410,Constants!$B$13),"")</f>
        <v/>
      </c>
      <c r="AC410" s="62" t="str">
        <f aca="false">IF($Z410=Constants!$B$7,IF(X410,P410*IF(R410, 1, Constants!$B$11)*IF(S410, 1, Constants!$B$12),Constants!$B$13),"")</f>
        <v/>
      </c>
      <c r="AD410" s="62" t="str">
        <f aca="false">IF($Z410=Constants!$B$7,AB410*AC410,"")</f>
        <v/>
      </c>
      <c r="AE410" s="62" t="str">
        <f aca="false">IF($Z410=Constants!$B$7,IF(Y410,T410,Constants!$B$13),"")</f>
        <v/>
      </c>
      <c r="AF410" s="62" t="str">
        <f aca="false">IF($Z410=Constants!$B$7,IF(Y410,P410*IF(U410, 1, Constants!$B$11)*IF(V410, 1, Constants!$B$12),Constants!$B$13),"")</f>
        <v/>
      </c>
      <c r="AG410" s="62" t="str">
        <f aca="false">IF($Z410=Constants!$B$7,AE410*AF410,"")</f>
        <v/>
      </c>
      <c r="AH410" s="62" t="str">
        <f aca="false">IF($Z410=Constants!$B$7,IF(AG410&gt;AD410,2,1),"")</f>
        <v/>
      </c>
      <c r="AI410" s="62" t="str">
        <f aca="false">IF($Z410=Constants!$B$7,IF(AH410=1,2,1),"")</f>
        <v/>
      </c>
      <c r="AJ410" s="62" t="str">
        <f aca="false">IF(ISBLANK($C410),"",IF($Z410&lt;&gt;Constants!$B$7,$Z410,IF(AH410=1,AD410,AG410)))</f>
        <v/>
      </c>
      <c r="AK410" s="62" t="str">
        <f aca="false">IF(ISBLANK($C410),"",IF($Z410=Constants!$B$7,IF(ISNUMBER(AJ410),RANK(AJ410,$AJ$8:$AJ$507),Constants!$B$14),$Z410))</f>
        <v/>
      </c>
      <c r="AL410" s="62" t="str">
        <f aca="false">IF(ISBLANK($C410),"",IF($Z410=Constants!$B$7,IF(AI410=1,AD410,AG410),""))</f>
        <v/>
      </c>
      <c r="AM410" s="62" t="str">
        <f aca="false">IF(ISBLANK($C410),"",IF($Z410=Constants!$B$7,RANK(AL410,$AL$8:$AL$507),$Z410))</f>
        <v/>
      </c>
      <c r="AN410" s="62" t="str">
        <f aca="false">IF(ISBLANK($C410),"",IF($Z410=Constants!$B$7,IF(ISNUMBER(AK410),COUNTIFS($AK$8:$AK$507,"&lt;"&amp;$AK410)+COUNTIFS($AK$8:$AK$507,$AK410,$AM$8:$AM$507,"&lt;"&amp;$AM410)+1,Constants!$B$14),$Z410))</f>
        <v/>
      </c>
      <c r="AO410" s="62" t="str">
        <f aca="false">IF(ISBLANK($C410),"",IF($Z410=Constants!$B$7,IF(ISNUMBER(AK410),AK410-AN410,Constants!$B$14),$Z410))</f>
        <v/>
      </c>
      <c r="AP410" s="64"/>
      <c r="AQ410" s="65" t="str">
        <f aca="false">IF(ISBLANK($C410),"",IF($Z410&lt;&gt;Constants!$B$7,"",AH410))</f>
        <v/>
      </c>
      <c r="AR410" s="80" t="str">
        <f aca="false">IF(ISBLANK($C410),"",IF($Z410&lt;&gt;Constants!$B$7,"",IF(AH410=1,AB410,AE410)))</f>
        <v/>
      </c>
      <c r="AS410" s="67" t="str">
        <f aca="false">IF(ISBLANK($C410),"",IF($Z410&lt;&gt;Constants!$B$7,"",IF(AH410=1,AC410,AF410)))</f>
        <v/>
      </c>
      <c r="AT410" s="68" t="str">
        <f aca="false">IF(ISBLANK($C410),"",IF($Z410&lt;&gt;Constants!$B$7,$Z410,AJ410))</f>
        <v/>
      </c>
      <c r="AU410" s="69" t="str">
        <f aca="false">IF(ISBLANK($C410),"",IF($Z410&lt;&gt;Constants!$B$7,$Z410,AA410))</f>
        <v/>
      </c>
      <c r="AV410" s="70" t="str">
        <f aca="false">IF(ISBLANK($C410),"",AO410)</f>
        <v/>
      </c>
      <c r="AW410" s="70" t="str">
        <f aca="false">IF(ISBLANK($C410),"",AN410)</f>
        <v/>
      </c>
      <c r="AX410" s="71" t="str">
        <f aca="false">IF(ISBLANK($C410),"",IFERROR(_xlfn.SWITCH(AW410,Constants!$B$4,COUNTA($C$8:$C$507)+2,Constants!$B$5,COUNTA($C$8:$C$507)+1,Constants!$B$6,COUNTA($C$8:$C$507)),AW410))</f>
        <v/>
      </c>
      <c r="AY410" s="5"/>
      <c r="AZ410" s="72" t="n">
        <f aca="false">IF(OR(ISNUMBER(AW410),AW410=Constants!$B$4,AW410=Constants!$B$6,AW410=Constants!$B$5),1,0)</f>
        <v>0</v>
      </c>
      <c r="BA410" s="72" t="n">
        <v>403</v>
      </c>
      <c r="BB410" s="72" t="str">
        <f aca="false">IF(ISBLANK($C410),"",IF(ISNUMBER(AX410),AX410+ROW($B410)/1000,""))</f>
        <v/>
      </c>
      <c r="BC410" s="72" t="str">
        <f aca="false">IF(ISNUMBER(BB410),RANK(BB410,$BB$8:$BB$507,1),"")</f>
        <v/>
      </c>
      <c r="BD410" s="72" t="str">
        <f aca="false">IF(ISBLANK($C410),"",$B410)</f>
        <v/>
      </c>
      <c r="BE410" s="72" t="str">
        <f aca="false">IF(ISBLANK($C410),"",$C410)</f>
        <v/>
      </c>
      <c r="BF410" s="72" t="str">
        <f aca="false">IF(ISBLANK($C410),"",$D410)</f>
        <v/>
      </c>
      <c r="BG410" s="73" t="str">
        <f aca="false">AU410</f>
        <v/>
      </c>
      <c r="BH410" s="74" t="str">
        <f aca="false">AT410</f>
        <v/>
      </c>
      <c r="BI410" s="72" t="str">
        <f aca="false">IF(ISBLANK($C410),"",AW410)</f>
        <v/>
      </c>
      <c r="BJ410" s="75" t="str">
        <f aca="false">IF($BA410&gt;$AZ$7,"",VLOOKUP($BA410,$BC$8:$BI$507,7,FALSE()))</f>
        <v/>
      </c>
      <c r="BK410" s="76" t="str">
        <f aca="false">IF($BA410&gt;$AZ$7,"",VLOOKUP($BA410,$BC$8:$BI$507,2,FALSE()))</f>
        <v/>
      </c>
      <c r="BL410" s="76" t="str">
        <f aca="false">IF($BA410&gt;$AZ$7,"",VLOOKUP($BA410,$BC$8:$BI$507,3,FALSE()))</f>
        <v/>
      </c>
      <c r="BM410" s="76" t="str">
        <f aca="false">IF($BA410&gt;$AZ$7,"",VLOOKUP($BA410,$BC$8:$BI$507,4,FALSE()))</f>
        <v/>
      </c>
      <c r="BN410" s="76" t="str">
        <f aca="false">IF($BA410&gt;$AZ$7,"",VLOOKUP($BA410,$BC$8:$BI$507,5,FALSE()))</f>
        <v/>
      </c>
      <c r="BO410" s="77" t="str">
        <f aca="false">IF($BA410&gt;$AZ$7,"",VLOOKUP($BA410,$BC$8:$BI$507,6,FALSE()))</f>
        <v/>
      </c>
      <c r="BP410" s="52"/>
    </row>
    <row r="411" customFormat="false" ht="15.75" hidden="false" customHeight="false" outlineLevel="0" collapsed="false">
      <c r="A411" s="5"/>
      <c r="B411" s="118"/>
      <c r="C411" s="54"/>
      <c r="D411" s="55"/>
      <c r="E411" s="79"/>
      <c r="F411" s="57"/>
      <c r="G411" s="58"/>
      <c r="H411" s="58"/>
      <c r="I411" s="57"/>
      <c r="J411" s="58"/>
      <c r="K411" s="58"/>
      <c r="L411" s="57"/>
      <c r="M411" s="79"/>
      <c r="N411" s="60"/>
      <c r="O411" s="62" t="str">
        <f aca="false">IF(ISBLANK($C411),"",IF(E411=Constants!$B$2, TRUE(), IF(E411=Constants!$B$3, FALSE(), TRUE())))</f>
        <v/>
      </c>
      <c r="P411" s="62" t="str">
        <f aca="false">IF(ISBLANK($C411),"",IF(F411=Constants!$B$16,Constants!$B$9,IF(F411=Constants!$B$17,Constants!$B$10,Constants!$B$8)))</f>
        <v/>
      </c>
      <c r="Q411" s="62" t="str">
        <f aca="false">IF(ISBLANK($C411),"",IF(ISNUMBER(G411),IF(G411&gt;=0,G411,""),""))</f>
        <v/>
      </c>
      <c r="R411" s="62" t="str">
        <f aca="false">IF(ISBLANK($C411),"",IF(H411=Constants!$B$2, TRUE(), IF(H411=Constants!$B$3, FALSE(), TRUE())))</f>
        <v/>
      </c>
      <c r="S411" s="62" t="str">
        <f aca="false">IF(ISBLANK($C411),"",IF(I411=Constants!$B$2, TRUE(), IF(I411=Constants!$B$3, FALSE(), TRUE())))</f>
        <v/>
      </c>
      <c r="T411" s="62" t="str">
        <f aca="false">IF(ISBLANK($C411),"",IF(ISNUMBER(J411),IF(J411&gt;=0,J411,""),""))</f>
        <v/>
      </c>
      <c r="U411" s="62" t="str">
        <f aca="false">IF(ISBLANK($C411),"",IF(K411=Constants!$B$2, TRUE(), IF(K411=Constants!$B$3, FALSE(), TRUE())))</f>
        <v/>
      </c>
      <c r="V411" s="62" t="str">
        <f aca="false">IF(ISBLANK($C411),"",IF(L411=Constants!$B$2, TRUE(), IF(L411=Constants!$B$3, FALSE(), TRUE())))</f>
        <v/>
      </c>
      <c r="W411" s="62" t="str">
        <f aca="false">IF(ISBLANK($C411),"",IF(M411=Constants!$B$2, TRUE(), IF(M411=Constants!$B$3, FALSE(), FALSE())))</f>
        <v/>
      </c>
      <c r="X411" s="62" t="str">
        <f aca="false">IF(ISBLANK($C411),"",AND(Q411&lt;&gt;"",O411))</f>
        <v/>
      </c>
      <c r="Y411" s="62" t="str">
        <f aca="false">IF(ISBLANK($C411),"",AND(T411&lt;&gt;"",O411))</f>
        <v/>
      </c>
      <c r="Z411" s="62" t="str">
        <f aca="false">IF(ISBLANK($C411),"",IF(W411,Constants!$B$4,IF(COUNTA(E411:L411)=0,Constants!$B$5,IF(NOT(O411),Constants!$B$6,IF(AND(NOT(X411),NOT(Y411)),Constants!$B$6,Constants!$B$7)))))</f>
        <v/>
      </c>
      <c r="AA411" s="62" t="str">
        <f aca="false">IF(ISBLANK($C411),"",IF($Z411&lt;&gt;Constants!$B$7,$Z411,Constants!$B$20))</f>
        <v/>
      </c>
      <c r="AB411" s="62" t="str">
        <f aca="false">IF($Z411=Constants!$B$7,IF(X411,Q411,Constants!$B$13),"")</f>
        <v/>
      </c>
      <c r="AC411" s="62" t="str">
        <f aca="false">IF($Z411=Constants!$B$7,IF(X411,P411*IF(R411, 1, Constants!$B$11)*IF(S411, 1, Constants!$B$12),Constants!$B$13),"")</f>
        <v/>
      </c>
      <c r="AD411" s="62" t="str">
        <f aca="false">IF($Z411=Constants!$B$7,AB411*AC411,"")</f>
        <v/>
      </c>
      <c r="AE411" s="62" t="str">
        <f aca="false">IF($Z411=Constants!$B$7,IF(Y411,T411,Constants!$B$13),"")</f>
        <v/>
      </c>
      <c r="AF411" s="62" t="str">
        <f aca="false">IF($Z411=Constants!$B$7,IF(Y411,P411*IF(U411, 1, Constants!$B$11)*IF(V411, 1, Constants!$B$12),Constants!$B$13),"")</f>
        <v/>
      </c>
      <c r="AG411" s="62" t="str">
        <f aca="false">IF($Z411=Constants!$B$7,AE411*AF411,"")</f>
        <v/>
      </c>
      <c r="AH411" s="62" t="str">
        <f aca="false">IF($Z411=Constants!$B$7,IF(AG411&gt;AD411,2,1),"")</f>
        <v/>
      </c>
      <c r="AI411" s="62" t="str">
        <f aca="false">IF($Z411=Constants!$B$7,IF(AH411=1,2,1),"")</f>
        <v/>
      </c>
      <c r="AJ411" s="62" t="str">
        <f aca="false">IF(ISBLANK($C411),"",IF($Z411&lt;&gt;Constants!$B$7,$Z411,IF(AH411=1,AD411,AG411)))</f>
        <v/>
      </c>
      <c r="AK411" s="62" t="str">
        <f aca="false">IF(ISBLANK($C411),"",IF($Z411=Constants!$B$7,IF(ISNUMBER(AJ411),RANK(AJ411,$AJ$8:$AJ$507),Constants!$B$14),$Z411))</f>
        <v/>
      </c>
      <c r="AL411" s="62" t="str">
        <f aca="false">IF(ISBLANK($C411),"",IF($Z411=Constants!$B$7,IF(AI411=1,AD411,AG411),""))</f>
        <v/>
      </c>
      <c r="AM411" s="62" t="str">
        <f aca="false">IF(ISBLANK($C411),"",IF($Z411=Constants!$B$7,RANK(AL411,$AL$8:$AL$507),$Z411))</f>
        <v/>
      </c>
      <c r="AN411" s="62" t="str">
        <f aca="false">IF(ISBLANK($C411),"",IF($Z411=Constants!$B$7,IF(ISNUMBER(AK411),COUNTIFS($AK$8:$AK$507,"&lt;"&amp;$AK411)+COUNTIFS($AK$8:$AK$507,$AK411,$AM$8:$AM$507,"&lt;"&amp;$AM411)+1,Constants!$B$14),$Z411))</f>
        <v/>
      </c>
      <c r="AO411" s="62" t="str">
        <f aca="false">IF(ISBLANK($C411),"",IF($Z411=Constants!$B$7,IF(ISNUMBER(AK411),AK411-AN411,Constants!$B$14),$Z411))</f>
        <v/>
      </c>
      <c r="AP411" s="64"/>
      <c r="AQ411" s="65" t="str">
        <f aca="false">IF(ISBLANK($C411),"",IF($Z411&lt;&gt;Constants!$B$7,"",AH411))</f>
        <v/>
      </c>
      <c r="AR411" s="80" t="str">
        <f aca="false">IF(ISBLANK($C411),"",IF($Z411&lt;&gt;Constants!$B$7,"",IF(AH411=1,AB411,AE411)))</f>
        <v/>
      </c>
      <c r="AS411" s="67" t="str">
        <f aca="false">IF(ISBLANK($C411),"",IF($Z411&lt;&gt;Constants!$B$7,"",IF(AH411=1,AC411,AF411)))</f>
        <v/>
      </c>
      <c r="AT411" s="68" t="str">
        <f aca="false">IF(ISBLANK($C411),"",IF($Z411&lt;&gt;Constants!$B$7,$Z411,AJ411))</f>
        <v/>
      </c>
      <c r="AU411" s="69" t="str">
        <f aca="false">IF(ISBLANK($C411),"",IF($Z411&lt;&gt;Constants!$B$7,$Z411,AA411))</f>
        <v/>
      </c>
      <c r="AV411" s="70" t="str">
        <f aca="false">IF(ISBLANK($C411),"",AO411)</f>
        <v/>
      </c>
      <c r="AW411" s="70" t="str">
        <f aca="false">IF(ISBLANK($C411),"",AN411)</f>
        <v/>
      </c>
      <c r="AX411" s="71" t="str">
        <f aca="false">IF(ISBLANK($C411),"",IFERROR(_xlfn.SWITCH(AW411,Constants!$B$4,COUNTA($C$8:$C$507)+2,Constants!$B$5,COUNTA($C$8:$C$507)+1,Constants!$B$6,COUNTA($C$8:$C$507)),AW411))</f>
        <v/>
      </c>
      <c r="AY411" s="5"/>
      <c r="AZ411" s="72" t="n">
        <f aca="false">IF(OR(ISNUMBER(AW411),AW411=Constants!$B$4,AW411=Constants!$B$6,AW411=Constants!$B$5),1,0)</f>
        <v>0</v>
      </c>
      <c r="BA411" s="72" t="n">
        <v>404</v>
      </c>
      <c r="BB411" s="72" t="str">
        <f aca="false">IF(ISBLANK($C411),"",IF(ISNUMBER(AX411),AX411+ROW($B411)/1000,""))</f>
        <v/>
      </c>
      <c r="BC411" s="72" t="str">
        <f aca="false">IF(ISNUMBER(BB411),RANK(BB411,$BB$8:$BB$507,1),"")</f>
        <v/>
      </c>
      <c r="BD411" s="72" t="str">
        <f aca="false">IF(ISBLANK($C411),"",$B411)</f>
        <v/>
      </c>
      <c r="BE411" s="72" t="str">
        <f aca="false">IF(ISBLANK($C411),"",$C411)</f>
        <v/>
      </c>
      <c r="BF411" s="72" t="str">
        <f aca="false">IF(ISBLANK($C411),"",$D411)</f>
        <v/>
      </c>
      <c r="BG411" s="73" t="str">
        <f aca="false">AU411</f>
        <v/>
      </c>
      <c r="BH411" s="74" t="str">
        <f aca="false">AT411</f>
        <v/>
      </c>
      <c r="BI411" s="72" t="str">
        <f aca="false">IF(ISBLANK($C411),"",AW411)</f>
        <v/>
      </c>
      <c r="BJ411" s="75" t="str">
        <f aca="false">IF($BA411&gt;$AZ$7,"",VLOOKUP($BA411,$BC$8:$BI$507,7,FALSE()))</f>
        <v/>
      </c>
      <c r="BK411" s="76" t="str">
        <f aca="false">IF($BA411&gt;$AZ$7,"",VLOOKUP($BA411,$BC$8:$BI$507,2,FALSE()))</f>
        <v/>
      </c>
      <c r="BL411" s="76" t="str">
        <f aca="false">IF($BA411&gt;$AZ$7,"",VLOOKUP($BA411,$BC$8:$BI$507,3,FALSE()))</f>
        <v/>
      </c>
      <c r="BM411" s="76" t="str">
        <f aca="false">IF($BA411&gt;$AZ$7,"",VLOOKUP($BA411,$BC$8:$BI$507,4,FALSE()))</f>
        <v/>
      </c>
      <c r="BN411" s="76" t="str">
        <f aca="false">IF($BA411&gt;$AZ$7,"",VLOOKUP($BA411,$BC$8:$BI$507,5,FALSE()))</f>
        <v/>
      </c>
      <c r="BO411" s="77" t="str">
        <f aca="false">IF($BA411&gt;$AZ$7,"",VLOOKUP($BA411,$BC$8:$BI$507,6,FALSE()))</f>
        <v/>
      </c>
      <c r="BP411" s="52"/>
    </row>
    <row r="412" customFormat="false" ht="15.75" hidden="false" customHeight="false" outlineLevel="0" collapsed="false">
      <c r="A412" s="5"/>
      <c r="B412" s="118"/>
      <c r="C412" s="54"/>
      <c r="D412" s="55"/>
      <c r="E412" s="79"/>
      <c r="F412" s="57"/>
      <c r="G412" s="58"/>
      <c r="H412" s="58"/>
      <c r="I412" s="57"/>
      <c r="J412" s="58"/>
      <c r="K412" s="58"/>
      <c r="L412" s="57"/>
      <c r="M412" s="79"/>
      <c r="N412" s="60"/>
      <c r="O412" s="62" t="str">
        <f aca="false">IF(ISBLANK($C412),"",IF(E412=Constants!$B$2, TRUE(), IF(E412=Constants!$B$3, FALSE(), TRUE())))</f>
        <v/>
      </c>
      <c r="P412" s="62" t="str">
        <f aca="false">IF(ISBLANK($C412),"",IF(F412=Constants!$B$16,Constants!$B$9,IF(F412=Constants!$B$17,Constants!$B$10,Constants!$B$8)))</f>
        <v/>
      </c>
      <c r="Q412" s="62" t="str">
        <f aca="false">IF(ISBLANK($C412),"",IF(ISNUMBER(G412),IF(G412&gt;=0,G412,""),""))</f>
        <v/>
      </c>
      <c r="R412" s="62" t="str">
        <f aca="false">IF(ISBLANK($C412),"",IF(H412=Constants!$B$2, TRUE(), IF(H412=Constants!$B$3, FALSE(), TRUE())))</f>
        <v/>
      </c>
      <c r="S412" s="62" t="str">
        <f aca="false">IF(ISBLANK($C412),"",IF(I412=Constants!$B$2, TRUE(), IF(I412=Constants!$B$3, FALSE(), TRUE())))</f>
        <v/>
      </c>
      <c r="T412" s="62" t="str">
        <f aca="false">IF(ISBLANK($C412),"",IF(ISNUMBER(J412),IF(J412&gt;=0,J412,""),""))</f>
        <v/>
      </c>
      <c r="U412" s="62" t="str">
        <f aca="false">IF(ISBLANK($C412),"",IF(K412=Constants!$B$2, TRUE(), IF(K412=Constants!$B$3, FALSE(), TRUE())))</f>
        <v/>
      </c>
      <c r="V412" s="62" t="str">
        <f aca="false">IF(ISBLANK($C412),"",IF(L412=Constants!$B$2, TRUE(), IF(L412=Constants!$B$3, FALSE(), TRUE())))</f>
        <v/>
      </c>
      <c r="W412" s="62" t="str">
        <f aca="false">IF(ISBLANK($C412),"",IF(M412=Constants!$B$2, TRUE(), IF(M412=Constants!$B$3, FALSE(), FALSE())))</f>
        <v/>
      </c>
      <c r="X412" s="62" t="str">
        <f aca="false">IF(ISBLANK($C412),"",AND(Q412&lt;&gt;"",O412))</f>
        <v/>
      </c>
      <c r="Y412" s="62" t="str">
        <f aca="false">IF(ISBLANK($C412),"",AND(T412&lt;&gt;"",O412))</f>
        <v/>
      </c>
      <c r="Z412" s="62" t="str">
        <f aca="false">IF(ISBLANK($C412),"",IF(W412,Constants!$B$4,IF(COUNTA(E412:L412)=0,Constants!$B$5,IF(NOT(O412),Constants!$B$6,IF(AND(NOT(X412),NOT(Y412)),Constants!$B$6,Constants!$B$7)))))</f>
        <v/>
      </c>
      <c r="AA412" s="62" t="str">
        <f aca="false">IF(ISBLANK($C412),"",IF($Z412&lt;&gt;Constants!$B$7,$Z412,Constants!$B$20))</f>
        <v/>
      </c>
      <c r="AB412" s="62" t="str">
        <f aca="false">IF($Z412=Constants!$B$7,IF(X412,Q412,Constants!$B$13),"")</f>
        <v/>
      </c>
      <c r="AC412" s="62" t="str">
        <f aca="false">IF($Z412=Constants!$B$7,IF(X412,P412*IF(R412, 1, Constants!$B$11)*IF(S412, 1, Constants!$B$12),Constants!$B$13),"")</f>
        <v/>
      </c>
      <c r="AD412" s="62" t="str">
        <f aca="false">IF($Z412=Constants!$B$7,AB412*AC412,"")</f>
        <v/>
      </c>
      <c r="AE412" s="62" t="str">
        <f aca="false">IF($Z412=Constants!$B$7,IF(Y412,T412,Constants!$B$13),"")</f>
        <v/>
      </c>
      <c r="AF412" s="62" t="str">
        <f aca="false">IF($Z412=Constants!$B$7,IF(Y412,P412*IF(U412, 1, Constants!$B$11)*IF(V412, 1, Constants!$B$12),Constants!$B$13),"")</f>
        <v/>
      </c>
      <c r="AG412" s="62" t="str">
        <f aca="false">IF($Z412=Constants!$B$7,AE412*AF412,"")</f>
        <v/>
      </c>
      <c r="AH412" s="62" t="str">
        <f aca="false">IF($Z412=Constants!$B$7,IF(AG412&gt;AD412,2,1),"")</f>
        <v/>
      </c>
      <c r="AI412" s="62" t="str">
        <f aca="false">IF($Z412=Constants!$B$7,IF(AH412=1,2,1),"")</f>
        <v/>
      </c>
      <c r="AJ412" s="62" t="str">
        <f aca="false">IF(ISBLANK($C412),"",IF($Z412&lt;&gt;Constants!$B$7,$Z412,IF(AH412=1,AD412,AG412)))</f>
        <v/>
      </c>
      <c r="AK412" s="62" t="str">
        <f aca="false">IF(ISBLANK($C412),"",IF($Z412=Constants!$B$7,IF(ISNUMBER(AJ412),RANK(AJ412,$AJ$8:$AJ$507),Constants!$B$14),$Z412))</f>
        <v/>
      </c>
      <c r="AL412" s="62" t="str">
        <f aca="false">IF(ISBLANK($C412),"",IF($Z412=Constants!$B$7,IF(AI412=1,AD412,AG412),""))</f>
        <v/>
      </c>
      <c r="AM412" s="62" t="str">
        <f aca="false">IF(ISBLANK($C412),"",IF($Z412=Constants!$B$7,RANK(AL412,$AL$8:$AL$507),$Z412))</f>
        <v/>
      </c>
      <c r="AN412" s="62" t="str">
        <f aca="false">IF(ISBLANK($C412),"",IF($Z412=Constants!$B$7,IF(ISNUMBER(AK412),COUNTIFS($AK$8:$AK$507,"&lt;"&amp;$AK412)+COUNTIFS($AK$8:$AK$507,$AK412,$AM$8:$AM$507,"&lt;"&amp;$AM412)+1,Constants!$B$14),$Z412))</f>
        <v/>
      </c>
      <c r="AO412" s="62" t="str">
        <f aca="false">IF(ISBLANK($C412),"",IF($Z412=Constants!$B$7,IF(ISNUMBER(AK412),AK412-AN412,Constants!$B$14),$Z412))</f>
        <v/>
      </c>
      <c r="AP412" s="64"/>
      <c r="AQ412" s="65" t="str">
        <f aca="false">IF(ISBLANK($C412),"",IF($Z412&lt;&gt;Constants!$B$7,"",AH412))</f>
        <v/>
      </c>
      <c r="AR412" s="80" t="str">
        <f aca="false">IF(ISBLANK($C412),"",IF($Z412&lt;&gt;Constants!$B$7,"",IF(AH412=1,AB412,AE412)))</f>
        <v/>
      </c>
      <c r="AS412" s="67" t="str">
        <f aca="false">IF(ISBLANK($C412),"",IF($Z412&lt;&gt;Constants!$B$7,"",IF(AH412=1,AC412,AF412)))</f>
        <v/>
      </c>
      <c r="AT412" s="68" t="str">
        <f aca="false">IF(ISBLANK($C412),"",IF($Z412&lt;&gt;Constants!$B$7,$Z412,AJ412))</f>
        <v/>
      </c>
      <c r="AU412" s="69" t="str">
        <f aca="false">IF(ISBLANK($C412),"",IF($Z412&lt;&gt;Constants!$B$7,$Z412,AA412))</f>
        <v/>
      </c>
      <c r="AV412" s="70" t="str">
        <f aca="false">IF(ISBLANK($C412),"",AO412)</f>
        <v/>
      </c>
      <c r="AW412" s="70" t="str">
        <f aca="false">IF(ISBLANK($C412),"",AN412)</f>
        <v/>
      </c>
      <c r="AX412" s="71" t="str">
        <f aca="false">IF(ISBLANK($C412),"",IFERROR(_xlfn.SWITCH(AW412,Constants!$B$4,COUNTA($C$8:$C$507)+2,Constants!$B$5,COUNTA($C$8:$C$507)+1,Constants!$B$6,COUNTA($C$8:$C$507)),AW412))</f>
        <v/>
      </c>
      <c r="AY412" s="5"/>
      <c r="AZ412" s="72" t="n">
        <f aca="false">IF(OR(ISNUMBER(AW412),AW412=Constants!$B$4,AW412=Constants!$B$6,AW412=Constants!$B$5),1,0)</f>
        <v>0</v>
      </c>
      <c r="BA412" s="72" t="n">
        <v>405</v>
      </c>
      <c r="BB412" s="72" t="str">
        <f aca="false">IF(ISBLANK($C412),"",IF(ISNUMBER(AX412),AX412+ROW($B412)/1000,""))</f>
        <v/>
      </c>
      <c r="BC412" s="72" t="str">
        <f aca="false">IF(ISNUMBER(BB412),RANK(BB412,$BB$8:$BB$507,1),"")</f>
        <v/>
      </c>
      <c r="BD412" s="72" t="str">
        <f aca="false">IF(ISBLANK($C412),"",$B412)</f>
        <v/>
      </c>
      <c r="BE412" s="72" t="str">
        <f aca="false">IF(ISBLANK($C412),"",$C412)</f>
        <v/>
      </c>
      <c r="BF412" s="72" t="str">
        <f aca="false">IF(ISBLANK($C412),"",$D412)</f>
        <v/>
      </c>
      <c r="BG412" s="73" t="str">
        <f aca="false">AU412</f>
        <v/>
      </c>
      <c r="BH412" s="74" t="str">
        <f aca="false">AT412</f>
        <v/>
      </c>
      <c r="BI412" s="72" t="str">
        <f aca="false">IF(ISBLANK($C412),"",AW412)</f>
        <v/>
      </c>
      <c r="BJ412" s="75" t="str">
        <f aca="false">IF($BA412&gt;$AZ$7,"",VLOOKUP($BA412,$BC$8:$BI$507,7,FALSE()))</f>
        <v/>
      </c>
      <c r="BK412" s="76" t="str">
        <f aca="false">IF($BA412&gt;$AZ$7,"",VLOOKUP($BA412,$BC$8:$BI$507,2,FALSE()))</f>
        <v/>
      </c>
      <c r="BL412" s="76" t="str">
        <f aca="false">IF($BA412&gt;$AZ$7,"",VLOOKUP($BA412,$BC$8:$BI$507,3,FALSE()))</f>
        <v/>
      </c>
      <c r="BM412" s="76" t="str">
        <f aca="false">IF($BA412&gt;$AZ$7,"",VLOOKUP($BA412,$BC$8:$BI$507,4,FALSE()))</f>
        <v/>
      </c>
      <c r="BN412" s="76" t="str">
        <f aca="false">IF($BA412&gt;$AZ$7,"",VLOOKUP($BA412,$BC$8:$BI$507,5,FALSE()))</f>
        <v/>
      </c>
      <c r="BO412" s="77" t="str">
        <f aca="false">IF($BA412&gt;$AZ$7,"",VLOOKUP($BA412,$BC$8:$BI$507,6,FALSE()))</f>
        <v/>
      </c>
      <c r="BP412" s="52"/>
    </row>
    <row r="413" customFormat="false" ht="15.75" hidden="false" customHeight="false" outlineLevel="0" collapsed="false">
      <c r="A413" s="5"/>
      <c r="B413" s="114"/>
      <c r="C413" s="115"/>
      <c r="D413" s="106"/>
      <c r="E413" s="117"/>
      <c r="F413" s="87"/>
      <c r="G413" s="88"/>
      <c r="H413" s="88"/>
      <c r="I413" s="87"/>
      <c r="J413" s="88"/>
      <c r="K413" s="88"/>
      <c r="L413" s="87"/>
      <c r="M413" s="117"/>
      <c r="N413" s="90"/>
      <c r="O413" s="91" t="str">
        <f aca="false">IF(ISBLANK($C413),"",IF(E413=Constants!$B$2, TRUE(), IF(E413=Constants!$B$3, FALSE(), TRUE())))</f>
        <v/>
      </c>
      <c r="P413" s="91" t="str">
        <f aca="false">IF(ISBLANK($C413),"",IF(F413=Constants!$B$16,Constants!$B$9,IF(F413=Constants!$B$17,Constants!$B$10,Constants!$B$8)))</f>
        <v/>
      </c>
      <c r="Q413" s="91" t="str">
        <f aca="false">IF(ISBLANK($C413),"",IF(ISNUMBER(G413),IF(G413&gt;=0,G413,""),""))</f>
        <v/>
      </c>
      <c r="R413" s="91" t="str">
        <f aca="false">IF(ISBLANK($C413),"",IF(H413=Constants!$B$2, TRUE(), IF(H413=Constants!$B$3, FALSE(), TRUE())))</f>
        <v/>
      </c>
      <c r="S413" s="91" t="str">
        <f aca="false">IF(ISBLANK($C413),"",IF(I413=Constants!$B$2, TRUE(), IF(I413=Constants!$B$3, FALSE(), TRUE())))</f>
        <v/>
      </c>
      <c r="T413" s="91" t="str">
        <f aca="false">IF(ISBLANK($C413),"",IF(ISNUMBER(J413),IF(J413&gt;=0,J413,""),""))</f>
        <v/>
      </c>
      <c r="U413" s="91" t="str">
        <f aca="false">IF(ISBLANK($C413),"",IF(K413=Constants!$B$2, TRUE(), IF(K413=Constants!$B$3, FALSE(), TRUE())))</f>
        <v/>
      </c>
      <c r="V413" s="91" t="str">
        <f aca="false">IF(ISBLANK($C413),"",IF(L413=Constants!$B$2, TRUE(), IF(L413=Constants!$B$3, FALSE(), TRUE())))</f>
        <v/>
      </c>
      <c r="W413" s="91" t="str">
        <f aca="false">IF(ISBLANK($C413),"",IF(M413=Constants!$B$2, TRUE(), IF(M413=Constants!$B$3, FALSE(), FALSE())))</f>
        <v/>
      </c>
      <c r="X413" s="91" t="str">
        <f aca="false">IF(ISBLANK($C413),"",AND(Q413&lt;&gt;"",O413))</f>
        <v/>
      </c>
      <c r="Y413" s="91" t="str">
        <f aca="false">IF(ISBLANK($C413),"",AND(T413&lt;&gt;"",O413))</f>
        <v/>
      </c>
      <c r="Z413" s="91" t="str">
        <f aca="false">IF(ISBLANK($C413),"",IF(W413,Constants!$B$4,IF(COUNTA(E413:L413)=0,Constants!$B$5,IF(NOT(O413),Constants!$B$6,IF(AND(NOT(X413),NOT(Y413)),Constants!$B$6,Constants!$B$7)))))</f>
        <v/>
      </c>
      <c r="AA413" s="91" t="str">
        <f aca="false">IF(ISBLANK($C413),"",IF($Z413&lt;&gt;Constants!$B$7,$Z413,Constants!$B$20))</f>
        <v/>
      </c>
      <c r="AB413" s="91" t="str">
        <f aca="false">IF($Z413=Constants!$B$7,IF(X413,Q413,Constants!$B$13),"")</f>
        <v/>
      </c>
      <c r="AC413" s="91" t="str">
        <f aca="false">IF($Z413=Constants!$B$7,IF(X413,P413*IF(R413, 1, Constants!$B$11)*IF(S413, 1, Constants!$B$12),Constants!$B$13),"")</f>
        <v/>
      </c>
      <c r="AD413" s="91" t="str">
        <f aca="false">IF($Z413=Constants!$B$7,AB413*AC413,"")</f>
        <v/>
      </c>
      <c r="AE413" s="91" t="str">
        <f aca="false">IF($Z413=Constants!$B$7,IF(Y413,T413,Constants!$B$13),"")</f>
        <v/>
      </c>
      <c r="AF413" s="91" t="str">
        <f aca="false">IF($Z413=Constants!$B$7,IF(Y413,P413*IF(U413, 1, Constants!$B$11)*IF(V413, 1, Constants!$B$12),Constants!$B$13),"")</f>
        <v/>
      </c>
      <c r="AG413" s="91" t="str">
        <f aca="false">IF($Z413=Constants!$B$7,AE413*AF413,"")</f>
        <v/>
      </c>
      <c r="AH413" s="91" t="str">
        <f aca="false">IF($Z413=Constants!$B$7,IF(AG413&gt;AD413,2,1),"")</f>
        <v/>
      </c>
      <c r="AI413" s="91" t="str">
        <f aca="false">IF($Z413=Constants!$B$7,IF(AH413=1,2,1),"")</f>
        <v/>
      </c>
      <c r="AJ413" s="91" t="str">
        <f aca="false">IF(ISBLANK($C413),"",IF($Z413&lt;&gt;Constants!$B$7,$Z413,IF(AH413=1,AD413,AG413)))</f>
        <v/>
      </c>
      <c r="AK413" s="91" t="str">
        <f aca="false">IF(ISBLANK($C413),"",IF($Z413=Constants!$B$7,IF(ISNUMBER(AJ413),RANK(AJ413,$AJ$8:$AJ$507),Constants!$B$14),$Z413))</f>
        <v/>
      </c>
      <c r="AL413" s="91" t="str">
        <f aca="false">IF(ISBLANK($C413),"",IF($Z413=Constants!$B$7,IF(AI413=1,AD413,AG413),""))</f>
        <v/>
      </c>
      <c r="AM413" s="91" t="str">
        <f aca="false">IF(ISBLANK($C413),"",IF($Z413=Constants!$B$7,RANK(AL413,$AL$8:$AL$507),$Z413))</f>
        <v/>
      </c>
      <c r="AN413" s="91" t="str">
        <f aca="false">IF(ISBLANK($C413),"",IF($Z413=Constants!$B$7,IF(ISNUMBER(AK413),COUNTIFS($AK$8:$AK$507,"&lt;"&amp;$AK413)+COUNTIFS($AK$8:$AK$507,$AK413,$AM$8:$AM$507,"&lt;"&amp;$AM413)+1,Constants!$B$14),$Z413))</f>
        <v/>
      </c>
      <c r="AO413" s="91" t="str">
        <f aca="false">IF(ISBLANK($C413),"",IF($Z413=Constants!$B$7,IF(ISNUMBER(AK413),AK413-AN413,Constants!$B$14),$Z413))</f>
        <v/>
      </c>
      <c r="AP413" s="92"/>
      <c r="AQ413" s="93" t="str">
        <f aca="false">IF(ISBLANK($C413),"",IF($Z413&lt;&gt;Constants!$B$7,"",AH413))</f>
        <v/>
      </c>
      <c r="AR413" s="94" t="str">
        <f aca="false">IF(ISBLANK($C413),"",IF($Z413&lt;&gt;Constants!$B$7,"",IF(AH413=1,AB413,AE413)))</f>
        <v/>
      </c>
      <c r="AS413" s="95" t="str">
        <f aca="false">IF(ISBLANK($C413),"",IF($Z413&lt;&gt;Constants!$B$7,"",IF(AH413=1,AC413,AF413)))</f>
        <v/>
      </c>
      <c r="AT413" s="96" t="str">
        <f aca="false">IF(ISBLANK($C413),"",IF($Z413&lt;&gt;Constants!$B$7,$Z413,AJ413))</f>
        <v/>
      </c>
      <c r="AU413" s="97" t="str">
        <f aca="false">IF(ISBLANK($C413),"",IF($Z413&lt;&gt;Constants!$B$7,$Z413,AA413))</f>
        <v/>
      </c>
      <c r="AV413" s="98" t="str">
        <f aca="false">IF(ISBLANK($C413),"",AO413)</f>
        <v/>
      </c>
      <c r="AW413" s="98" t="str">
        <f aca="false">IF(ISBLANK($C413),"",AN413)</f>
        <v/>
      </c>
      <c r="AX413" s="99" t="str">
        <f aca="false">IF(ISBLANK($C413),"",IFERROR(_xlfn.SWITCH(AW413,Constants!$B$4,COUNTA($C$8:$C$507)+2,Constants!$B$5,COUNTA($C$8:$C$507)+1,Constants!$B$6,COUNTA($C$8:$C$507)),AW413))</f>
        <v/>
      </c>
      <c r="AY413" s="5"/>
      <c r="AZ413" s="100" t="n">
        <f aca="false">IF(OR(ISNUMBER(AW413),AW413=Constants!$B$4,AW413=Constants!$B$6,AW413=Constants!$B$5),1,0)</f>
        <v>0</v>
      </c>
      <c r="BA413" s="100" t="n">
        <v>406</v>
      </c>
      <c r="BB413" s="100" t="str">
        <f aca="false">IF(ISBLANK($C413),"",IF(ISNUMBER(AX413),AX413+ROW($B413)/1000,""))</f>
        <v/>
      </c>
      <c r="BC413" s="100" t="str">
        <f aca="false">IF(ISNUMBER(BB413),RANK(BB413,$BB$8:$BB$507,1),"")</f>
        <v/>
      </c>
      <c r="BD413" s="100" t="str">
        <f aca="false">IF(ISBLANK($C413),"",$B413)</f>
        <v/>
      </c>
      <c r="BE413" s="100" t="str">
        <f aca="false">IF(ISBLANK($C413),"",$C413)</f>
        <v/>
      </c>
      <c r="BF413" s="100" t="str">
        <f aca="false">IF(ISBLANK($C413),"",$D413)</f>
        <v/>
      </c>
      <c r="BG413" s="101" t="str">
        <f aca="false">AU413</f>
        <v/>
      </c>
      <c r="BH413" s="102" t="str">
        <f aca="false">AT413</f>
        <v/>
      </c>
      <c r="BI413" s="100" t="str">
        <f aca="false">IF(ISBLANK($C413),"",AW413)</f>
        <v/>
      </c>
      <c r="BJ413" s="103" t="str">
        <f aca="false">IF($BA413&gt;$AZ$7,"",VLOOKUP($BA413,$BC$8:$BI$507,7,FALSE()))</f>
        <v/>
      </c>
      <c r="BK413" s="104" t="str">
        <f aca="false">IF($BA413&gt;$AZ$7,"",VLOOKUP($BA413,$BC$8:$BI$507,2,FALSE()))</f>
        <v/>
      </c>
      <c r="BL413" s="104" t="str">
        <f aca="false">IF($BA413&gt;$AZ$7,"",VLOOKUP($BA413,$BC$8:$BI$507,3,FALSE()))</f>
        <v/>
      </c>
      <c r="BM413" s="104" t="str">
        <f aca="false">IF($BA413&gt;$AZ$7,"",VLOOKUP($BA413,$BC$8:$BI$507,4,FALSE()))</f>
        <v/>
      </c>
      <c r="BN413" s="104" t="str">
        <f aca="false">IF($BA413&gt;$AZ$7,"",VLOOKUP($BA413,$BC$8:$BI$507,5,FALSE()))</f>
        <v/>
      </c>
      <c r="BO413" s="105" t="str">
        <f aca="false">IF($BA413&gt;$AZ$7,"",VLOOKUP($BA413,$BC$8:$BI$507,6,FALSE()))</f>
        <v/>
      </c>
      <c r="BP413" s="52"/>
    </row>
    <row r="414" customFormat="false" ht="15.75" hidden="false" customHeight="false" outlineLevel="0" collapsed="false">
      <c r="A414" s="5"/>
      <c r="B414" s="114"/>
      <c r="C414" s="115"/>
      <c r="D414" s="106"/>
      <c r="E414" s="117"/>
      <c r="F414" s="87"/>
      <c r="G414" s="88"/>
      <c r="H414" s="88"/>
      <c r="I414" s="87"/>
      <c r="J414" s="88"/>
      <c r="K414" s="88"/>
      <c r="L414" s="87"/>
      <c r="M414" s="117"/>
      <c r="N414" s="90"/>
      <c r="O414" s="91" t="str">
        <f aca="false">IF(ISBLANK($C414),"",IF(E414=Constants!$B$2, TRUE(), IF(E414=Constants!$B$3, FALSE(), TRUE())))</f>
        <v/>
      </c>
      <c r="P414" s="91" t="str">
        <f aca="false">IF(ISBLANK($C414),"",IF(F414=Constants!$B$16,Constants!$B$9,IF(F414=Constants!$B$17,Constants!$B$10,Constants!$B$8)))</f>
        <v/>
      </c>
      <c r="Q414" s="91" t="str">
        <f aca="false">IF(ISBLANK($C414),"",IF(ISNUMBER(G414),IF(G414&gt;=0,G414,""),""))</f>
        <v/>
      </c>
      <c r="R414" s="91" t="str">
        <f aca="false">IF(ISBLANK($C414),"",IF(H414=Constants!$B$2, TRUE(), IF(H414=Constants!$B$3, FALSE(), TRUE())))</f>
        <v/>
      </c>
      <c r="S414" s="91" t="str">
        <f aca="false">IF(ISBLANK($C414),"",IF(I414=Constants!$B$2, TRUE(), IF(I414=Constants!$B$3, FALSE(), TRUE())))</f>
        <v/>
      </c>
      <c r="T414" s="91" t="str">
        <f aca="false">IF(ISBLANK($C414),"",IF(ISNUMBER(J414),IF(J414&gt;=0,J414,""),""))</f>
        <v/>
      </c>
      <c r="U414" s="91" t="str">
        <f aca="false">IF(ISBLANK($C414),"",IF(K414=Constants!$B$2, TRUE(), IF(K414=Constants!$B$3, FALSE(), TRUE())))</f>
        <v/>
      </c>
      <c r="V414" s="91" t="str">
        <f aca="false">IF(ISBLANK($C414),"",IF(L414=Constants!$B$2, TRUE(), IF(L414=Constants!$B$3, FALSE(), TRUE())))</f>
        <v/>
      </c>
      <c r="W414" s="91" t="str">
        <f aca="false">IF(ISBLANK($C414),"",IF(M414=Constants!$B$2, TRUE(), IF(M414=Constants!$B$3, FALSE(), FALSE())))</f>
        <v/>
      </c>
      <c r="X414" s="91" t="str">
        <f aca="false">IF(ISBLANK($C414),"",AND(Q414&lt;&gt;"",O414))</f>
        <v/>
      </c>
      <c r="Y414" s="91" t="str">
        <f aca="false">IF(ISBLANK($C414),"",AND(T414&lt;&gt;"",O414))</f>
        <v/>
      </c>
      <c r="Z414" s="91" t="str">
        <f aca="false">IF(ISBLANK($C414),"",IF(W414,Constants!$B$4,IF(COUNTA(E414:L414)=0,Constants!$B$5,IF(NOT(O414),Constants!$B$6,IF(AND(NOT(X414),NOT(Y414)),Constants!$B$6,Constants!$B$7)))))</f>
        <v/>
      </c>
      <c r="AA414" s="91" t="str">
        <f aca="false">IF(ISBLANK($C414),"",IF($Z414&lt;&gt;Constants!$B$7,$Z414,Constants!$B$20))</f>
        <v/>
      </c>
      <c r="AB414" s="91" t="str">
        <f aca="false">IF($Z414=Constants!$B$7,IF(X414,Q414,Constants!$B$13),"")</f>
        <v/>
      </c>
      <c r="AC414" s="91" t="str">
        <f aca="false">IF($Z414=Constants!$B$7,IF(X414,P414*IF(R414, 1, Constants!$B$11)*IF(S414, 1, Constants!$B$12),Constants!$B$13),"")</f>
        <v/>
      </c>
      <c r="AD414" s="91" t="str">
        <f aca="false">IF($Z414=Constants!$B$7,AB414*AC414,"")</f>
        <v/>
      </c>
      <c r="AE414" s="91" t="str">
        <f aca="false">IF($Z414=Constants!$B$7,IF(Y414,T414,Constants!$B$13),"")</f>
        <v/>
      </c>
      <c r="AF414" s="91" t="str">
        <f aca="false">IF($Z414=Constants!$B$7,IF(Y414,P414*IF(U414, 1, Constants!$B$11)*IF(V414, 1, Constants!$B$12),Constants!$B$13),"")</f>
        <v/>
      </c>
      <c r="AG414" s="91" t="str">
        <f aca="false">IF($Z414=Constants!$B$7,AE414*AF414,"")</f>
        <v/>
      </c>
      <c r="AH414" s="91" t="str">
        <f aca="false">IF($Z414=Constants!$B$7,IF(AG414&gt;AD414,2,1),"")</f>
        <v/>
      </c>
      <c r="AI414" s="91" t="str">
        <f aca="false">IF($Z414=Constants!$B$7,IF(AH414=1,2,1),"")</f>
        <v/>
      </c>
      <c r="AJ414" s="91" t="str">
        <f aca="false">IF(ISBLANK($C414),"",IF($Z414&lt;&gt;Constants!$B$7,$Z414,IF(AH414=1,AD414,AG414)))</f>
        <v/>
      </c>
      <c r="AK414" s="91" t="str">
        <f aca="false">IF(ISBLANK($C414),"",IF($Z414=Constants!$B$7,IF(ISNUMBER(AJ414),RANK(AJ414,$AJ$8:$AJ$507),Constants!$B$14),$Z414))</f>
        <v/>
      </c>
      <c r="AL414" s="91" t="str">
        <f aca="false">IF(ISBLANK($C414),"",IF($Z414=Constants!$B$7,IF(AI414=1,AD414,AG414),""))</f>
        <v/>
      </c>
      <c r="AM414" s="91" t="str">
        <f aca="false">IF(ISBLANK($C414),"",IF($Z414=Constants!$B$7,RANK(AL414,$AL$8:$AL$507),$Z414))</f>
        <v/>
      </c>
      <c r="AN414" s="91" t="str">
        <f aca="false">IF(ISBLANK($C414),"",IF($Z414=Constants!$B$7,IF(ISNUMBER(AK414),COUNTIFS($AK$8:$AK$507,"&lt;"&amp;$AK414)+COUNTIFS($AK$8:$AK$507,$AK414,$AM$8:$AM$507,"&lt;"&amp;$AM414)+1,Constants!$B$14),$Z414))</f>
        <v/>
      </c>
      <c r="AO414" s="91" t="str">
        <f aca="false">IF(ISBLANK($C414),"",IF($Z414=Constants!$B$7,IF(ISNUMBER(AK414),AK414-AN414,Constants!$B$14),$Z414))</f>
        <v/>
      </c>
      <c r="AP414" s="92"/>
      <c r="AQ414" s="93" t="str">
        <f aca="false">IF(ISBLANK($C414),"",IF($Z414&lt;&gt;Constants!$B$7,"",AH414))</f>
        <v/>
      </c>
      <c r="AR414" s="94" t="str">
        <f aca="false">IF(ISBLANK($C414),"",IF($Z414&lt;&gt;Constants!$B$7,"",IF(AH414=1,AB414,AE414)))</f>
        <v/>
      </c>
      <c r="AS414" s="95" t="str">
        <f aca="false">IF(ISBLANK($C414),"",IF($Z414&lt;&gt;Constants!$B$7,"",IF(AH414=1,AC414,AF414)))</f>
        <v/>
      </c>
      <c r="AT414" s="96" t="str">
        <f aca="false">IF(ISBLANK($C414),"",IF($Z414&lt;&gt;Constants!$B$7,$Z414,AJ414))</f>
        <v/>
      </c>
      <c r="AU414" s="97" t="str">
        <f aca="false">IF(ISBLANK($C414),"",IF($Z414&lt;&gt;Constants!$B$7,$Z414,AA414))</f>
        <v/>
      </c>
      <c r="AV414" s="98" t="str">
        <f aca="false">IF(ISBLANK($C414),"",AO414)</f>
        <v/>
      </c>
      <c r="AW414" s="98" t="str">
        <f aca="false">IF(ISBLANK($C414),"",AN414)</f>
        <v/>
      </c>
      <c r="AX414" s="99" t="str">
        <f aca="false">IF(ISBLANK($C414),"",IFERROR(_xlfn.SWITCH(AW414,Constants!$B$4,COUNTA($C$8:$C$507)+2,Constants!$B$5,COUNTA($C$8:$C$507)+1,Constants!$B$6,COUNTA($C$8:$C$507)),AW414))</f>
        <v/>
      </c>
      <c r="AY414" s="5"/>
      <c r="AZ414" s="100" t="n">
        <f aca="false">IF(OR(ISNUMBER(AW414),AW414=Constants!$B$4,AW414=Constants!$B$6,AW414=Constants!$B$5),1,0)</f>
        <v>0</v>
      </c>
      <c r="BA414" s="100" t="n">
        <v>407</v>
      </c>
      <c r="BB414" s="100" t="str">
        <f aca="false">IF(ISBLANK($C414),"",IF(ISNUMBER(AX414),AX414+ROW($B414)/1000,""))</f>
        <v/>
      </c>
      <c r="BC414" s="100" t="str">
        <f aca="false">IF(ISNUMBER(BB414),RANK(BB414,$BB$8:$BB$507,1),"")</f>
        <v/>
      </c>
      <c r="BD414" s="100" t="str">
        <f aca="false">IF(ISBLANK($C414),"",$B414)</f>
        <v/>
      </c>
      <c r="BE414" s="100" t="str">
        <f aca="false">IF(ISBLANK($C414),"",$C414)</f>
        <v/>
      </c>
      <c r="BF414" s="100" t="str">
        <f aca="false">IF(ISBLANK($C414),"",$D414)</f>
        <v/>
      </c>
      <c r="BG414" s="101" t="str">
        <f aca="false">AU414</f>
        <v/>
      </c>
      <c r="BH414" s="102" t="str">
        <f aca="false">AT414</f>
        <v/>
      </c>
      <c r="BI414" s="100" t="str">
        <f aca="false">IF(ISBLANK($C414),"",AW414)</f>
        <v/>
      </c>
      <c r="BJ414" s="103" t="str">
        <f aca="false">IF($BA414&gt;$AZ$7,"",VLOOKUP($BA414,$BC$8:$BI$507,7,FALSE()))</f>
        <v/>
      </c>
      <c r="BK414" s="104" t="str">
        <f aca="false">IF($BA414&gt;$AZ$7,"",VLOOKUP($BA414,$BC$8:$BI$507,2,FALSE()))</f>
        <v/>
      </c>
      <c r="BL414" s="104" t="str">
        <f aca="false">IF($BA414&gt;$AZ$7,"",VLOOKUP($BA414,$BC$8:$BI$507,3,FALSE()))</f>
        <v/>
      </c>
      <c r="BM414" s="104" t="str">
        <f aca="false">IF($BA414&gt;$AZ$7,"",VLOOKUP($BA414,$BC$8:$BI$507,4,FALSE()))</f>
        <v/>
      </c>
      <c r="BN414" s="104" t="str">
        <f aca="false">IF($BA414&gt;$AZ$7,"",VLOOKUP($BA414,$BC$8:$BI$507,5,FALSE()))</f>
        <v/>
      </c>
      <c r="BO414" s="105" t="str">
        <f aca="false">IF($BA414&gt;$AZ$7,"",VLOOKUP($BA414,$BC$8:$BI$507,6,FALSE()))</f>
        <v/>
      </c>
      <c r="BP414" s="52"/>
    </row>
    <row r="415" customFormat="false" ht="15.75" hidden="false" customHeight="false" outlineLevel="0" collapsed="false">
      <c r="A415" s="5"/>
      <c r="B415" s="114"/>
      <c r="C415" s="115"/>
      <c r="D415" s="106"/>
      <c r="E415" s="117"/>
      <c r="F415" s="87"/>
      <c r="G415" s="88"/>
      <c r="H415" s="88"/>
      <c r="I415" s="87"/>
      <c r="J415" s="88"/>
      <c r="K415" s="88"/>
      <c r="L415" s="87"/>
      <c r="M415" s="117"/>
      <c r="N415" s="90"/>
      <c r="O415" s="91" t="str">
        <f aca="false">IF(ISBLANK($C415),"",IF(E415=Constants!$B$2, TRUE(), IF(E415=Constants!$B$3, FALSE(), TRUE())))</f>
        <v/>
      </c>
      <c r="P415" s="91" t="str">
        <f aca="false">IF(ISBLANK($C415),"",IF(F415=Constants!$B$16,Constants!$B$9,IF(F415=Constants!$B$17,Constants!$B$10,Constants!$B$8)))</f>
        <v/>
      </c>
      <c r="Q415" s="91" t="str">
        <f aca="false">IF(ISBLANK($C415),"",IF(ISNUMBER(G415),IF(G415&gt;=0,G415,""),""))</f>
        <v/>
      </c>
      <c r="R415" s="91" t="str">
        <f aca="false">IF(ISBLANK($C415),"",IF(H415=Constants!$B$2, TRUE(), IF(H415=Constants!$B$3, FALSE(), TRUE())))</f>
        <v/>
      </c>
      <c r="S415" s="91" t="str">
        <f aca="false">IF(ISBLANK($C415),"",IF(I415=Constants!$B$2, TRUE(), IF(I415=Constants!$B$3, FALSE(), TRUE())))</f>
        <v/>
      </c>
      <c r="T415" s="91" t="str">
        <f aca="false">IF(ISBLANK($C415),"",IF(ISNUMBER(J415),IF(J415&gt;=0,J415,""),""))</f>
        <v/>
      </c>
      <c r="U415" s="91" t="str">
        <f aca="false">IF(ISBLANK($C415),"",IF(K415=Constants!$B$2, TRUE(), IF(K415=Constants!$B$3, FALSE(), TRUE())))</f>
        <v/>
      </c>
      <c r="V415" s="91" t="str">
        <f aca="false">IF(ISBLANK($C415),"",IF(L415=Constants!$B$2, TRUE(), IF(L415=Constants!$B$3, FALSE(), TRUE())))</f>
        <v/>
      </c>
      <c r="W415" s="91" t="str">
        <f aca="false">IF(ISBLANK($C415),"",IF(M415=Constants!$B$2, TRUE(), IF(M415=Constants!$B$3, FALSE(), FALSE())))</f>
        <v/>
      </c>
      <c r="X415" s="91" t="str">
        <f aca="false">IF(ISBLANK($C415),"",AND(Q415&lt;&gt;"",O415))</f>
        <v/>
      </c>
      <c r="Y415" s="91" t="str">
        <f aca="false">IF(ISBLANK($C415),"",AND(T415&lt;&gt;"",O415))</f>
        <v/>
      </c>
      <c r="Z415" s="91" t="str">
        <f aca="false">IF(ISBLANK($C415),"",IF(W415,Constants!$B$4,IF(COUNTA(E415:L415)=0,Constants!$B$5,IF(NOT(O415),Constants!$B$6,IF(AND(NOT(X415),NOT(Y415)),Constants!$B$6,Constants!$B$7)))))</f>
        <v/>
      </c>
      <c r="AA415" s="91" t="str">
        <f aca="false">IF(ISBLANK($C415),"",IF($Z415&lt;&gt;Constants!$B$7,$Z415,Constants!$B$20))</f>
        <v/>
      </c>
      <c r="AB415" s="91" t="str">
        <f aca="false">IF($Z415=Constants!$B$7,IF(X415,Q415,Constants!$B$13),"")</f>
        <v/>
      </c>
      <c r="AC415" s="91" t="str">
        <f aca="false">IF($Z415=Constants!$B$7,IF(X415,P415*IF(R415, 1, Constants!$B$11)*IF(S415, 1, Constants!$B$12),Constants!$B$13),"")</f>
        <v/>
      </c>
      <c r="AD415" s="91" t="str">
        <f aca="false">IF($Z415=Constants!$B$7,AB415*AC415,"")</f>
        <v/>
      </c>
      <c r="AE415" s="91" t="str">
        <f aca="false">IF($Z415=Constants!$B$7,IF(Y415,T415,Constants!$B$13),"")</f>
        <v/>
      </c>
      <c r="AF415" s="91" t="str">
        <f aca="false">IF($Z415=Constants!$B$7,IF(Y415,P415*IF(U415, 1, Constants!$B$11)*IF(V415, 1, Constants!$B$12),Constants!$B$13),"")</f>
        <v/>
      </c>
      <c r="AG415" s="91" t="str">
        <f aca="false">IF($Z415=Constants!$B$7,AE415*AF415,"")</f>
        <v/>
      </c>
      <c r="AH415" s="91" t="str">
        <f aca="false">IF($Z415=Constants!$B$7,IF(AG415&gt;AD415,2,1),"")</f>
        <v/>
      </c>
      <c r="AI415" s="91" t="str">
        <f aca="false">IF($Z415=Constants!$B$7,IF(AH415=1,2,1),"")</f>
        <v/>
      </c>
      <c r="AJ415" s="91" t="str">
        <f aca="false">IF(ISBLANK($C415),"",IF($Z415&lt;&gt;Constants!$B$7,$Z415,IF(AH415=1,AD415,AG415)))</f>
        <v/>
      </c>
      <c r="AK415" s="91" t="str">
        <f aca="false">IF(ISBLANK($C415),"",IF($Z415=Constants!$B$7,IF(ISNUMBER(AJ415),RANK(AJ415,$AJ$8:$AJ$507),Constants!$B$14),$Z415))</f>
        <v/>
      </c>
      <c r="AL415" s="91" t="str">
        <f aca="false">IF(ISBLANK($C415),"",IF($Z415=Constants!$B$7,IF(AI415=1,AD415,AG415),""))</f>
        <v/>
      </c>
      <c r="AM415" s="91" t="str">
        <f aca="false">IF(ISBLANK($C415),"",IF($Z415=Constants!$B$7,RANK(AL415,$AL$8:$AL$507),$Z415))</f>
        <v/>
      </c>
      <c r="AN415" s="91" t="str">
        <f aca="false">IF(ISBLANK($C415),"",IF($Z415=Constants!$B$7,IF(ISNUMBER(AK415),COUNTIFS($AK$8:$AK$507,"&lt;"&amp;$AK415)+COUNTIFS($AK$8:$AK$507,$AK415,$AM$8:$AM$507,"&lt;"&amp;$AM415)+1,Constants!$B$14),$Z415))</f>
        <v/>
      </c>
      <c r="AO415" s="91" t="str">
        <f aca="false">IF(ISBLANK($C415),"",IF($Z415=Constants!$B$7,IF(ISNUMBER(AK415),AK415-AN415,Constants!$B$14),$Z415))</f>
        <v/>
      </c>
      <c r="AP415" s="92"/>
      <c r="AQ415" s="93" t="str">
        <f aca="false">IF(ISBLANK($C415),"",IF($Z415&lt;&gt;Constants!$B$7,"",AH415))</f>
        <v/>
      </c>
      <c r="AR415" s="94" t="str">
        <f aca="false">IF(ISBLANK($C415),"",IF($Z415&lt;&gt;Constants!$B$7,"",IF(AH415=1,AB415,AE415)))</f>
        <v/>
      </c>
      <c r="AS415" s="95" t="str">
        <f aca="false">IF(ISBLANK($C415),"",IF($Z415&lt;&gt;Constants!$B$7,"",IF(AH415=1,AC415,AF415)))</f>
        <v/>
      </c>
      <c r="AT415" s="96" t="str">
        <f aca="false">IF(ISBLANK($C415),"",IF($Z415&lt;&gt;Constants!$B$7,$Z415,AJ415))</f>
        <v/>
      </c>
      <c r="AU415" s="97" t="str">
        <f aca="false">IF(ISBLANK($C415),"",IF($Z415&lt;&gt;Constants!$B$7,$Z415,AA415))</f>
        <v/>
      </c>
      <c r="AV415" s="98" t="str">
        <f aca="false">IF(ISBLANK($C415),"",AO415)</f>
        <v/>
      </c>
      <c r="AW415" s="98" t="str">
        <f aca="false">IF(ISBLANK($C415),"",AN415)</f>
        <v/>
      </c>
      <c r="AX415" s="99" t="str">
        <f aca="false">IF(ISBLANK($C415),"",IFERROR(_xlfn.SWITCH(AW415,Constants!$B$4,COUNTA($C$8:$C$507)+2,Constants!$B$5,COUNTA($C$8:$C$507)+1,Constants!$B$6,COUNTA($C$8:$C$507)),AW415))</f>
        <v/>
      </c>
      <c r="AY415" s="5"/>
      <c r="AZ415" s="100" t="n">
        <f aca="false">IF(OR(ISNUMBER(AW415),AW415=Constants!$B$4,AW415=Constants!$B$6,AW415=Constants!$B$5),1,0)</f>
        <v>0</v>
      </c>
      <c r="BA415" s="100" t="n">
        <v>408</v>
      </c>
      <c r="BB415" s="100" t="str">
        <f aca="false">IF(ISBLANK($C415),"",IF(ISNUMBER(AX415),AX415+ROW($B415)/1000,""))</f>
        <v/>
      </c>
      <c r="BC415" s="100" t="str">
        <f aca="false">IF(ISNUMBER(BB415),RANK(BB415,$BB$8:$BB$507,1),"")</f>
        <v/>
      </c>
      <c r="BD415" s="100" t="str">
        <f aca="false">IF(ISBLANK($C415),"",$B415)</f>
        <v/>
      </c>
      <c r="BE415" s="100" t="str">
        <f aca="false">IF(ISBLANK($C415),"",$C415)</f>
        <v/>
      </c>
      <c r="BF415" s="100" t="str">
        <f aca="false">IF(ISBLANK($C415),"",$D415)</f>
        <v/>
      </c>
      <c r="BG415" s="101" t="str">
        <f aca="false">AU415</f>
        <v/>
      </c>
      <c r="BH415" s="102" t="str">
        <f aca="false">AT415</f>
        <v/>
      </c>
      <c r="BI415" s="100" t="str">
        <f aca="false">IF(ISBLANK($C415),"",AW415)</f>
        <v/>
      </c>
      <c r="BJ415" s="103" t="str">
        <f aca="false">IF($BA415&gt;$AZ$7,"",VLOOKUP($BA415,$BC$8:$BI$507,7,FALSE()))</f>
        <v/>
      </c>
      <c r="BK415" s="104" t="str">
        <f aca="false">IF($BA415&gt;$AZ$7,"",VLOOKUP($BA415,$BC$8:$BI$507,2,FALSE()))</f>
        <v/>
      </c>
      <c r="BL415" s="104" t="str">
        <f aca="false">IF($BA415&gt;$AZ$7,"",VLOOKUP($BA415,$BC$8:$BI$507,3,FALSE()))</f>
        <v/>
      </c>
      <c r="BM415" s="104" t="str">
        <f aca="false">IF($BA415&gt;$AZ$7,"",VLOOKUP($BA415,$BC$8:$BI$507,4,FALSE()))</f>
        <v/>
      </c>
      <c r="BN415" s="104" t="str">
        <f aca="false">IF($BA415&gt;$AZ$7,"",VLOOKUP($BA415,$BC$8:$BI$507,5,FALSE()))</f>
        <v/>
      </c>
      <c r="BO415" s="105" t="str">
        <f aca="false">IF($BA415&gt;$AZ$7,"",VLOOKUP($BA415,$BC$8:$BI$507,6,FALSE()))</f>
        <v/>
      </c>
      <c r="BP415" s="52"/>
    </row>
    <row r="416" customFormat="false" ht="15.75" hidden="false" customHeight="false" outlineLevel="0" collapsed="false">
      <c r="A416" s="5"/>
      <c r="B416" s="118"/>
      <c r="C416" s="54"/>
      <c r="D416" s="55"/>
      <c r="E416" s="79"/>
      <c r="F416" s="57"/>
      <c r="G416" s="58"/>
      <c r="H416" s="58"/>
      <c r="I416" s="57"/>
      <c r="J416" s="58"/>
      <c r="K416" s="58"/>
      <c r="L416" s="57"/>
      <c r="M416" s="79"/>
      <c r="N416" s="60"/>
      <c r="O416" s="62" t="str">
        <f aca="false">IF(ISBLANK($C416),"",IF(E416=Constants!$B$2, TRUE(), IF(E416=Constants!$B$3, FALSE(), TRUE())))</f>
        <v/>
      </c>
      <c r="P416" s="62" t="str">
        <f aca="false">IF(ISBLANK($C416),"",IF(F416=Constants!$B$16,Constants!$B$9,IF(F416=Constants!$B$17,Constants!$B$10,Constants!$B$8)))</f>
        <v/>
      </c>
      <c r="Q416" s="62" t="str">
        <f aca="false">IF(ISBLANK($C416),"",IF(ISNUMBER(G416),IF(G416&gt;=0,G416,""),""))</f>
        <v/>
      </c>
      <c r="R416" s="62" t="str">
        <f aca="false">IF(ISBLANK($C416),"",IF(H416=Constants!$B$2, TRUE(), IF(H416=Constants!$B$3, FALSE(), TRUE())))</f>
        <v/>
      </c>
      <c r="S416" s="62" t="str">
        <f aca="false">IF(ISBLANK($C416),"",IF(I416=Constants!$B$2, TRUE(), IF(I416=Constants!$B$3, FALSE(), TRUE())))</f>
        <v/>
      </c>
      <c r="T416" s="62" t="str">
        <f aca="false">IF(ISBLANK($C416),"",IF(ISNUMBER(J416),IF(J416&gt;=0,J416,""),""))</f>
        <v/>
      </c>
      <c r="U416" s="62" t="str">
        <f aca="false">IF(ISBLANK($C416),"",IF(K416=Constants!$B$2, TRUE(), IF(K416=Constants!$B$3, FALSE(), TRUE())))</f>
        <v/>
      </c>
      <c r="V416" s="62" t="str">
        <f aca="false">IF(ISBLANK($C416),"",IF(L416=Constants!$B$2, TRUE(), IF(L416=Constants!$B$3, FALSE(), TRUE())))</f>
        <v/>
      </c>
      <c r="W416" s="62" t="str">
        <f aca="false">IF(ISBLANK($C416),"",IF(M416=Constants!$B$2, TRUE(), IF(M416=Constants!$B$3, FALSE(), FALSE())))</f>
        <v/>
      </c>
      <c r="X416" s="62" t="str">
        <f aca="false">IF(ISBLANK($C416),"",AND(Q416&lt;&gt;"",O416))</f>
        <v/>
      </c>
      <c r="Y416" s="62" t="str">
        <f aca="false">IF(ISBLANK($C416),"",AND(T416&lt;&gt;"",O416))</f>
        <v/>
      </c>
      <c r="Z416" s="62" t="str">
        <f aca="false">IF(ISBLANK($C416),"",IF(W416,Constants!$B$4,IF(COUNTA(E416:L416)=0,Constants!$B$5,IF(NOT(O416),Constants!$B$6,IF(AND(NOT(X416),NOT(Y416)),Constants!$B$6,Constants!$B$7)))))</f>
        <v/>
      </c>
      <c r="AA416" s="62" t="str">
        <f aca="false">IF(ISBLANK($C416),"",IF($Z416&lt;&gt;Constants!$B$7,$Z416,Constants!$B$20))</f>
        <v/>
      </c>
      <c r="AB416" s="62" t="str">
        <f aca="false">IF($Z416=Constants!$B$7,IF(X416,Q416,Constants!$B$13),"")</f>
        <v/>
      </c>
      <c r="AC416" s="62" t="str">
        <f aca="false">IF($Z416=Constants!$B$7,IF(X416,P416*IF(R416, 1, Constants!$B$11)*IF(S416, 1, Constants!$B$12),Constants!$B$13),"")</f>
        <v/>
      </c>
      <c r="AD416" s="62" t="str">
        <f aca="false">IF($Z416=Constants!$B$7,AB416*AC416,"")</f>
        <v/>
      </c>
      <c r="AE416" s="62" t="str">
        <f aca="false">IF($Z416=Constants!$B$7,IF(Y416,T416,Constants!$B$13),"")</f>
        <v/>
      </c>
      <c r="AF416" s="62" t="str">
        <f aca="false">IF($Z416=Constants!$B$7,IF(Y416,P416*IF(U416, 1, Constants!$B$11)*IF(V416, 1, Constants!$B$12),Constants!$B$13),"")</f>
        <v/>
      </c>
      <c r="AG416" s="62" t="str">
        <f aca="false">IF($Z416=Constants!$B$7,AE416*AF416,"")</f>
        <v/>
      </c>
      <c r="AH416" s="62" t="str">
        <f aca="false">IF($Z416=Constants!$B$7,IF(AG416&gt;AD416,2,1),"")</f>
        <v/>
      </c>
      <c r="AI416" s="62" t="str">
        <f aca="false">IF($Z416=Constants!$B$7,IF(AH416=1,2,1),"")</f>
        <v/>
      </c>
      <c r="AJ416" s="62" t="str">
        <f aca="false">IF(ISBLANK($C416),"",IF($Z416&lt;&gt;Constants!$B$7,$Z416,IF(AH416=1,AD416,AG416)))</f>
        <v/>
      </c>
      <c r="AK416" s="62" t="str">
        <f aca="false">IF(ISBLANK($C416),"",IF($Z416=Constants!$B$7,IF(ISNUMBER(AJ416),RANK(AJ416,$AJ$8:$AJ$507),Constants!$B$14),$Z416))</f>
        <v/>
      </c>
      <c r="AL416" s="62" t="str">
        <f aca="false">IF(ISBLANK($C416),"",IF($Z416=Constants!$B$7,IF(AI416=1,AD416,AG416),""))</f>
        <v/>
      </c>
      <c r="AM416" s="62" t="str">
        <f aca="false">IF(ISBLANK($C416),"",IF($Z416=Constants!$B$7,RANK(AL416,$AL$8:$AL$507),$Z416))</f>
        <v/>
      </c>
      <c r="AN416" s="62" t="str">
        <f aca="false">IF(ISBLANK($C416),"",IF($Z416=Constants!$B$7,IF(ISNUMBER(AK416),COUNTIFS($AK$8:$AK$507,"&lt;"&amp;$AK416)+COUNTIFS($AK$8:$AK$507,$AK416,$AM$8:$AM$507,"&lt;"&amp;$AM416)+1,Constants!$B$14),$Z416))</f>
        <v/>
      </c>
      <c r="AO416" s="62" t="str">
        <f aca="false">IF(ISBLANK($C416),"",IF($Z416=Constants!$B$7,IF(ISNUMBER(AK416),AK416-AN416,Constants!$B$14),$Z416))</f>
        <v/>
      </c>
      <c r="AP416" s="64"/>
      <c r="AQ416" s="65" t="str">
        <f aca="false">IF(ISBLANK($C416),"",IF($Z416&lt;&gt;Constants!$B$7,"",AH416))</f>
        <v/>
      </c>
      <c r="AR416" s="80" t="str">
        <f aca="false">IF(ISBLANK($C416),"",IF($Z416&lt;&gt;Constants!$B$7,"",IF(AH416=1,AB416,AE416)))</f>
        <v/>
      </c>
      <c r="AS416" s="67" t="str">
        <f aca="false">IF(ISBLANK($C416),"",IF($Z416&lt;&gt;Constants!$B$7,"",IF(AH416=1,AC416,AF416)))</f>
        <v/>
      </c>
      <c r="AT416" s="68" t="str">
        <f aca="false">IF(ISBLANK($C416),"",IF($Z416&lt;&gt;Constants!$B$7,$Z416,AJ416))</f>
        <v/>
      </c>
      <c r="AU416" s="69" t="str">
        <f aca="false">IF(ISBLANK($C416),"",IF($Z416&lt;&gt;Constants!$B$7,$Z416,AA416))</f>
        <v/>
      </c>
      <c r="AV416" s="70" t="str">
        <f aca="false">IF(ISBLANK($C416),"",AO416)</f>
        <v/>
      </c>
      <c r="AW416" s="70" t="str">
        <f aca="false">IF(ISBLANK($C416),"",AN416)</f>
        <v/>
      </c>
      <c r="AX416" s="71" t="str">
        <f aca="false">IF(ISBLANK($C416),"",IFERROR(_xlfn.SWITCH(AW416,Constants!$B$4,COUNTA($C$8:$C$507)+2,Constants!$B$5,COUNTA($C$8:$C$507)+1,Constants!$B$6,COUNTA($C$8:$C$507)),AW416))</f>
        <v/>
      </c>
      <c r="AY416" s="5"/>
      <c r="AZ416" s="72" t="n">
        <f aca="false">IF(OR(ISNUMBER(AW416),AW416=Constants!$B$4,AW416=Constants!$B$6,AW416=Constants!$B$5),1,0)</f>
        <v>0</v>
      </c>
      <c r="BA416" s="72" t="n">
        <v>409</v>
      </c>
      <c r="BB416" s="72" t="str">
        <f aca="false">IF(ISBLANK($C416),"",IF(ISNUMBER(AX416),AX416+ROW($B416)/1000,""))</f>
        <v/>
      </c>
      <c r="BC416" s="72" t="str">
        <f aca="false">IF(ISNUMBER(BB416),RANK(BB416,$BB$8:$BB$507,1),"")</f>
        <v/>
      </c>
      <c r="BD416" s="72" t="str">
        <f aca="false">IF(ISBLANK($C416),"",$B416)</f>
        <v/>
      </c>
      <c r="BE416" s="72" t="str">
        <f aca="false">IF(ISBLANK($C416),"",$C416)</f>
        <v/>
      </c>
      <c r="BF416" s="72" t="str">
        <f aca="false">IF(ISBLANK($C416),"",$D416)</f>
        <v/>
      </c>
      <c r="BG416" s="73" t="str">
        <f aca="false">AU416</f>
        <v/>
      </c>
      <c r="BH416" s="74" t="str">
        <f aca="false">AT416</f>
        <v/>
      </c>
      <c r="BI416" s="72" t="str">
        <f aca="false">IF(ISBLANK($C416),"",AW416)</f>
        <v/>
      </c>
      <c r="BJ416" s="75" t="str">
        <f aca="false">IF($BA416&gt;$AZ$7,"",VLOOKUP($BA416,$BC$8:$BI$507,7,FALSE()))</f>
        <v/>
      </c>
      <c r="BK416" s="76" t="str">
        <f aca="false">IF($BA416&gt;$AZ$7,"",VLOOKUP($BA416,$BC$8:$BI$507,2,FALSE()))</f>
        <v/>
      </c>
      <c r="BL416" s="76" t="str">
        <f aca="false">IF($BA416&gt;$AZ$7,"",VLOOKUP($BA416,$BC$8:$BI$507,3,FALSE()))</f>
        <v/>
      </c>
      <c r="BM416" s="76" t="str">
        <f aca="false">IF($BA416&gt;$AZ$7,"",VLOOKUP($BA416,$BC$8:$BI$507,4,FALSE()))</f>
        <v/>
      </c>
      <c r="BN416" s="76" t="str">
        <f aca="false">IF($BA416&gt;$AZ$7,"",VLOOKUP($BA416,$BC$8:$BI$507,5,FALSE()))</f>
        <v/>
      </c>
      <c r="BO416" s="77" t="str">
        <f aca="false">IF($BA416&gt;$AZ$7,"",VLOOKUP($BA416,$BC$8:$BI$507,6,FALSE()))</f>
        <v/>
      </c>
      <c r="BP416" s="52"/>
    </row>
    <row r="417" customFormat="false" ht="15.75" hidden="false" customHeight="false" outlineLevel="0" collapsed="false">
      <c r="A417" s="5"/>
      <c r="B417" s="118"/>
      <c r="C417" s="54"/>
      <c r="D417" s="55"/>
      <c r="E417" s="79"/>
      <c r="F417" s="57"/>
      <c r="G417" s="58"/>
      <c r="H417" s="58"/>
      <c r="I417" s="57"/>
      <c r="J417" s="58"/>
      <c r="K417" s="58"/>
      <c r="L417" s="57"/>
      <c r="M417" s="79"/>
      <c r="N417" s="60"/>
      <c r="O417" s="62" t="str">
        <f aca="false">IF(ISBLANK($C417),"",IF(E417=Constants!$B$2, TRUE(), IF(E417=Constants!$B$3, FALSE(), TRUE())))</f>
        <v/>
      </c>
      <c r="P417" s="62" t="str">
        <f aca="false">IF(ISBLANK($C417),"",IF(F417=Constants!$B$16,Constants!$B$9,IF(F417=Constants!$B$17,Constants!$B$10,Constants!$B$8)))</f>
        <v/>
      </c>
      <c r="Q417" s="62" t="str">
        <f aca="false">IF(ISBLANK($C417),"",IF(ISNUMBER(G417),IF(G417&gt;=0,G417,""),""))</f>
        <v/>
      </c>
      <c r="R417" s="62" t="str">
        <f aca="false">IF(ISBLANK($C417),"",IF(H417=Constants!$B$2, TRUE(), IF(H417=Constants!$B$3, FALSE(), TRUE())))</f>
        <v/>
      </c>
      <c r="S417" s="62" t="str">
        <f aca="false">IF(ISBLANK($C417),"",IF(I417=Constants!$B$2, TRUE(), IF(I417=Constants!$B$3, FALSE(), TRUE())))</f>
        <v/>
      </c>
      <c r="T417" s="62" t="str">
        <f aca="false">IF(ISBLANK($C417),"",IF(ISNUMBER(J417),IF(J417&gt;=0,J417,""),""))</f>
        <v/>
      </c>
      <c r="U417" s="62" t="str">
        <f aca="false">IF(ISBLANK($C417),"",IF(K417=Constants!$B$2, TRUE(), IF(K417=Constants!$B$3, FALSE(), TRUE())))</f>
        <v/>
      </c>
      <c r="V417" s="62" t="str">
        <f aca="false">IF(ISBLANK($C417),"",IF(L417=Constants!$B$2, TRUE(), IF(L417=Constants!$B$3, FALSE(), TRUE())))</f>
        <v/>
      </c>
      <c r="W417" s="62" t="str">
        <f aca="false">IF(ISBLANK($C417),"",IF(M417=Constants!$B$2, TRUE(), IF(M417=Constants!$B$3, FALSE(), FALSE())))</f>
        <v/>
      </c>
      <c r="X417" s="62" t="str">
        <f aca="false">IF(ISBLANK($C417),"",AND(Q417&lt;&gt;"",O417))</f>
        <v/>
      </c>
      <c r="Y417" s="62" t="str">
        <f aca="false">IF(ISBLANK($C417),"",AND(T417&lt;&gt;"",O417))</f>
        <v/>
      </c>
      <c r="Z417" s="62" t="str">
        <f aca="false">IF(ISBLANK($C417),"",IF(W417,Constants!$B$4,IF(COUNTA(E417:L417)=0,Constants!$B$5,IF(NOT(O417),Constants!$B$6,IF(AND(NOT(X417),NOT(Y417)),Constants!$B$6,Constants!$B$7)))))</f>
        <v/>
      </c>
      <c r="AA417" s="62" t="str">
        <f aca="false">IF(ISBLANK($C417),"",IF($Z417&lt;&gt;Constants!$B$7,$Z417,Constants!$B$20))</f>
        <v/>
      </c>
      <c r="AB417" s="62" t="str">
        <f aca="false">IF($Z417=Constants!$B$7,IF(X417,Q417,Constants!$B$13),"")</f>
        <v/>
      </c>
      <c r="AC417" s="62" t="str">
        <f aca="false">IF($Z417=Constants!$B$7,IF(X417,P417*IF(R417, 1, Constants!$B$11)*IF(S417, 1, Constants!$B$12),Constants!$B$13),"")</f>
        <v/>
      </c>
      <c r="AD417" s="62" t="str">
        <f aca="false">IF($Z417=Constants!$B$7,AB417*AC417,"")</f>
        <v/>
      </c>
      <c r="AE417" s="62" t="str">
        <f aca="false">IF($Z417=Constants!$B$7,IF(Y417,T417,Constants!$B$13),"")</f>
        <v/>
      </c>
      <c r="AF417" s="62" t="str">
        <f aca="false">IF($Z417=Constants!$B$7,IF(Y417,P417*IF(U417, 1, Constants!$B$11)*IF(V417, 1, Constants!$B$12),Constants!$B$13),"")</f>
        <v/>
      </c>
      <c r="AG417" s="62" t="str">
        <f aca="false">IF($Z417=Constants!$B$7,AE417*AF417,"")</f>
        <v/>
      </c>
      <c r="AH417" s="62" t="str">
        <f aca="false">IF($Z417=Constants!$B$7,IF(AG417&gt;AD417,2,1),"")</f>
        <v/>
      </c>
      <c r="AI417" s="62" t="str">
        <f aca="false">IF($Z417=Constants!$B$7,IF(AH417=1,2,1),"")</f>
        <v/>
      </c>
      <c r="AJ417" s="62" t="str">
        <f aca="false">IF(ISBLANK($C417),"",IF($Z417&lt;&gt;Constants!$B$7,$Z417,IF(AH417=1,AD417,AG417)))</f>
        <v/>
      </c>
      <c r="AK417" s="62" t="str">
        <f aca="false">IF(ISBLANK($C417),"",IF($Z417=Constants!$B$7,IF(ISNUMBER(AJ417),RANK(AJ417,$AJ$8:$AJ$507),Constants!$B$14),$Z417))</f>
        <v/>
      </c>
      <c r="AL417" s="62" t="str">
        <f aca="false">IF(ISBLANK($C417),"",IF($Z417=Constants!$B$7,IF(AI417=1,AD417,AG417),""))</f>
        <v/>
      </c>
      <c r="AM417" s="62" t="str">
        <f aca="false">IF(ISBLANK($C417),"",IF($Z417=Constants!$B$7,RANK(AL417,$AL$8:$AL$507),$Z417))</f>
        <v/>
      </c>
      <c r="AN417" s="62" t="str">
        <f aca="false">IF(ISBLANK($C417),"",IF($Z417=Constants!$B$7,IF(ISNUMBER(AK417),COUNTIFS($AK$8:$AK$507,"&lt;"&amp;$AK417)+COUNTIFS($AK$8:$AK$507,$AK417,$AM$8:$AM$507,"&lt;"&amp;$AM417)+1,Constants!$B$14),$Z417))</f>
        <v/>
      </c>
      <c r="AO417" s="62" t="str">
        <f aca="false">IF(ISBLANK($C417),"",IF($Z417=Constants!$B$7,IF(ISNUMBER(AK417),AK417-AN417,Constants!$B$14),$Z417))</f>
        <v/>
      </c>
      <c r="AP417" s="64"/>
      <c r="AQ417" s="65" t="str">
        <f aca="false">IF(ISBLANK($C417),"",IF($Z417&lt;&gt;Constants!$B$7,"",AH417))</f>
        <v/>
      </c>
      <c r="AR417" s="80" t="str">
        <f aca="false">IF(ISBLANK($C417),"",IF($Z417&lt;&gt;Constants!$B$7,"",IF(AH417=1,AB417,AE417)))</f>
        <v/>
      </c>
      <c r="AS417" s="67" t="str">
        <f aca="false">IF(ISBLANK($C417),"",IF($Z417&lt;&gt;Constants!$B$7,"",IF(AH417=1,AC417,AF417)))</f>
        <v/>
      </c>
      <c r="AT417" s="68" t="str">
        <f aca="false">IF(ISBLANK($C417),"",IF($Z417&lt;&gt;Constants!$B$7,$Z417,AJ417))</f>
        <v/>
      </c>
      <c r="AU417" s="69" t="str">
        <f aca="false">IF(ISBLANK($C417),"",IF($Z417&lt;&gt;Constants!$B$7,$Z417,AA417))</f>
        <v/>
      </c>
      <c r="AV417" s="70" t="str">
        <f aca="false">IF(ISBLANK($C417),"",AO417)</f>
        <v/>
      </c>
      <c r="AW417" s="70" t="str">
        <f aca="false">IF(ISBLANK($C417),"",AN417)</f>
        <v/>
      </c>
      <c r="AX417" s="71" t="str">
        <f aca="false">IF(ISBLANK($C417),"",IFERROR(_xlfn.SWITCH(AW417,Constants!$B$4,COUNTA($C$8:$C$507)+2,Constants!$B$5,COUNTA($C$8:$C$507)+1,Constants!$B$6,COUNTA($C$8:$C$507)),AW417))</f>
        <v/>
      </c>
      <c r="AY417" s="5"/>
      <c r="AZ417" s="72" t="n">
        <f aca="false">IF(OR(ISNUMBER(AW417),AW417=Constants!$B$4,AW417=Constants!$B$6,AW417=Constants!$B$5),1,0)</f>
        <v>0</v>
      </c>
      <c r="BA417" s="72" t="n">
        <v>410</v>
      </c>
      <c r="BB417" s="72" t="str">
        <f aca="false">IF(ISBLANK($C417),"",IF(ISNUMBER(AX417),AX417+ROW($B417)/1000,""))</f>
        <v/>
      </c>
      <c r="BC417" s="72" t="str">
        <f aca="false">IF(ISNUMBER(BB417),RANK(BB417,$BB$8:$BB$507,1),"")</f>
        <v/>
      </c>
      <c r="BD417" s="72" t="str">
        <f aca="false">IF(ISBLANK($C417),"",$B417)</f>
        <v/>
      </c>
      <c r="BE417" s="72" t="str">
        <f aca="false">IF(ISBLANK($C417),"",$C417)</f>
        <v/>
      </c>
      <c r="BF417" s="72" t="str">
        <f aca="false">IF(ISBLANK($C417),"",$D417)</f>
        <v/>
      </c>
      <c r="BG417" s="73" t="str">
        <f aca="false">AU417</f>
        <v/>
      </c>
      <c r="BH417" s="74" t="str">
        <f aca="false">AT417</f>
        <v/>
      </c>
      <c r="BI417" s="72" t="str">
        <f aca="false">IF(ISBLANK($C417),"",AW417)</f>
        <v/>
      </c>
      <c r="BJ417" s="75" t="str">
        <f aca="false">IF($BA417&gt;$AZ$7,"",VLOOKUP($BA417,$BC$8:$BI$507,7,FALSE()))</f>
        <v/>
      </c>
      <c r="BK417" s="76" t="str">
        <f aca="false">IF($BA417&gt;$AZ$7,"",VLOOKUP($BA417,$BC$8:$BI$507,2,FALSE()))</f>
        <v/>
      </c>
      <c r="BL417" s="76" t="str">
        <f aca="false">IF($BA417&gt;$AZ$7,"",VLOOKUP($BA417,$BC$8:$BI$507,3,FALSE()))</f>
        <v/>
      </c>
      <c r="BM417" s="76" t="str">
        <f aca="false">IF($BA417&gt;$AZ$7,"",VLOOKUP($BA417,$BC$8:$BI$507,4,FALSE()))</f>
        <v/>
      </c>
      <c r="BN417" s="76" t="str">
        <f aca="false">IF($BA417&gt;$AZ$7,"",VLOOKUP($BA417,$BC$8:$BI$507,5,FALSE()))</f>
        <v/>
      </c>
      <c r="BO417" s="77" t="str">
        <f aca="false">IF($BA417&gt;$AZ$7,"",VLOOKUP($BA417,$BC$8:$BI$507,6,FALSE()))</f>
        <v/>
      </c>
      <c r="BP417" s="52"/>
    </row>
    <row r="418" customFormat="false" ht="15.75" hidden="false" customHeight="false" outlineLevel="0" collapsed="false">
      <c r="A418" s="5"/>
      <c r="B418" s="118"/>
      <c r="C418" s="54"/>
      <c r="D418" s="55"/>
      <c r="E418" s="79"/>
      <c r="F418" s="57"/>
      <c r="G418" s="58"/>
      <c r="H418" s="58"/>
      <c r="I418" s="57"/>
      <c r="J418" s="58"/>
      <c r="K418" s="58"/>
      <c r="L418" s="57"/>
      <c r="M418" s="79"/>
      <c r="N418" s="60"/>
      <c r="O418" s="62" t="str">
        <f aca="false">IF(ISBLANK($C418),"",IF(E418=Constants!$B$2, TRUE(), IF(E418=Constants!$B$3, FALSE(), TRUE())))</f>
        <v/>
      </c>
      <c r="P418" s="62" t="str">
        <f aca="false">IF(ISBLANK($C418),"",IF(F418=Constants!$B$16,Constants!$B$9,IF(F418=Constants!$B$17,Constants!$B$10,Constants!$B$8)))</f>
        <v/>
      </c>
      <c r="Q418" s="62" t="str">
        <f aca="false">IF(ISBLANK($C418),"",IF(ISNUMBER(G418),IF(G418&gt;=0,G418,""),""))</f>
        <v/>
      </c>
      <c r="R418" s="62" t="str">
        <f aca="false">IF(ISBLANK($C418),"",IF(H418=Constants!$B$2, TRUE(), IF(H418=Constants!$B$3, FALSE(), TRUE())))</f>
        <v/>
      </c>
      <c r="S418" s="62" t="str">
        <f aca="false">IF(ISBLANK($C418),"",IF(I418=Constants!$B$2, TRUE(), IF(I418=Constants!$B$3, FALSE(), TRUE())))</f>
        <v/>
      </c>
      <c r="T418" s="62" t="str">
        <f aca="false">IF(ISBLANK($C418),"",IF(ISNUMBER(J418),IF(J418&gt;=0,J418,""),""))</f>
        <v/>
      </c>
      <c r="U418" s="62" t="str">
        <f aca="false">IF(ISBLANK($C418),"",IF(K418=Constants!$B$2, TRUE(), IF(K418=Constants!$B$3, FALSE(), TRUE())))</f>
        <v/>
      </c>
      <c r="V418" s="62" t="str">
        <f aca="false">IF(ISBLANK($C418),"",IF(L418=Constants!$B$2, TRUE(), IF(L418=Constants!$B$3, FALSE(), TRUE())))</f>
        <v/>
      </c>
      <c r="W418" s="62" t="str">
        <f aca="false">IF(ISBLANK($C418),"",IF(M418=Constants!$B$2, TRUE(), IF(M418=Constants!$B$3, FALSE(), FALSE())))</f>
        <v/>
      </c>
      <c r="X418" s="62" t="str">
        <f aca="false">IF(ISBLANK($C418),"",AND(Q418&lt;&gt;"",O418))</f>
        <v/>
      </c>
      <c r="Y418" s="62" t="str">
        <f aca="false">IF(ISBLANK($C418),"",AND(T418&lt;&gt;"",O418))</f>
        <v/>
      </c>
      <c r="Z418" s="62" t="str">
        <f aca="false">IF(ISBLANK($C418),"",IF(W418,Constants!$B$4,IF(COUNTA(E418:L418)=0,Constants!$B$5,IF(NOT(O418),Constants!$B$6,IF(AND(NOT(X418),NOT(Y418)),Constants!$B$6,Constants!$B$7)))))</f>
        <v/>
      </c>
      <c r="AA418" s="62" t="str">
        <f aca="false">IF(ISBLANK($C418),"",IF($Z418&lt;&gt;Constants!$B$7,$Z418,Constants!$B$20))</f>
        <v/>
      </c>
      <c r="AB418" s="62" t="str">
        <f aca="false">IF($Z418=Constants!$B$7,IF(X418,Q418,Constants!$B$13),"")</f>
        <v/>
      </c>
      <c r="AC418" s="62" t="str">
        <f aca="false">IF($Z418=Constants!$B$7,IF(X418,P418*IF(R418, 1, Constants!$B$11)*IF(S418, 1, Constants!$B$12),Constants!$B$13),"")</f>
        <v/>
      </c>
      <c r="AD418" s="62" t="str">
        <f aca="false">IF($Z418=Constants!$B$7,AB418*AC418,"")</f>
        <v/>
      </c>
      <c r="AE418" s="62" t="str">
        <f aca="false">IF($Z418=Constants!$B$7,IF(Y418,T418,Constants!$B$13),"")</f>
        <v/>
      </c>
      <c r="AF418" s="62" t="str">
        <f aca="false">IF($Z418=Constants!$B$7,IF(Y418,P418*IF(U418, 1, Constants!$B$11)*IF(V418, 1, Constants!$B$12),Constants!$B$13),"")</f>
        <v/>
      </c>
      <c r="AG418" s="62" t="str">
        <f aca="false">IF($Z418=Constants!$B$7,AE418*AF418,"")</f>
        <v/>
      </c>
      <c r="AH418" s="62" t="str">
        <f aca="false">IF($Z418=Constants!$B$7,IF(AG418&gt;AD418,2,1),"")</f>
        <v/>
      </c>
      <c r="AI418" s="62" t="str">
        <f aca="false">IF($Z418=Constants!$B$7,IF(AH418=1,2,1),"")</f>
        <v/>
      </c>
      <c r="AJ418" s="62" t="str">
        <f aca="false">IF(ISBLANK($C418),"",IF($Z418&lt;&gt;Constants!$B$7,$Z418,IF(AH418=1,AD418,AG418)))</f>
        <v/>
      </c>
      <c r="AK418" s="62" t="str">
        <f aca="false">IF(ISBLANK($C418),"",IF($Z418=Constants!$B$7,IF(ISNUMBER(AJ418),RANK(AJ418,$AJ$8:$AJ$507),Constants!$B$14),$Z418))</f>
        <v/>
      </c>
      <c r="AL418" s="62" t="str">
        <f aca="false">IF(ISBLANK($C418),"",IF($Z418=Constants!$B$7,IF(AI418=1,AD418,AG418),""))</f>
        <v/>
      </c>
      <c r="AM418" s="62" t="str">
        <f aca="false">IF(ISBLANK($C418),"",IF($Z418=Constants!$B$7,RANK(AL418,$AL$8:$AL$507),$Z418))</f>
        <v/>
      </c>
      <c r="AN418" s="62" t="str">
        <f aca="false">IF(ISBLANK($C418),"",IF($Z418=Constants!$B$7,IF(ISNUMBER(AK418),COUNTIFS($AK$8:$AK$507,"&lt;"&amp;$AK418)+COUNTIFS($AK$8:$AK$507,$AK418,$AM$8:$AM$507,"&lt;"&amp;$AM418)+1,Constants!$B$14),$Z418))</f>
        <v/>
      </c>
      <c r="AO418" s="62" t="str">
        <f aca="false">IF(ISBLANK($C418),"",IF($Z418=Constants!$B$7,IF(ISNUMBER(AK418),AK418-AN418,Constants!$B$14),$Z418))</f>
        <v/>
      </c>
      <c r="AP418" s="64"/>
      <c r="AQ418" s="65" t="str">
        <f aca="false">IF(ISBLANK($C418),"",IF($Z418&lt;&gt;Constants!$B$7,"",AH418))</f>
        <v/>
      </c>
      <c r="AR418" s="80" t="str">
        <f aca="false">IF(ISBLANK($C418),"",IF($Z418&lt;&gt;Constants!$B$7,"",IF(AH418=1,AB418,AE418)))</f>
        <v/>
      </c>
      <c r="AS418" s="67" t="str">
        <f aca="false">IF(ISBLANK($C418),"",IF($Z418&lt;&gt;Constants!$B$7,"",IF(AH418=1,AC418,AF418)))</f>
        <v/>
      </c>
      <c r="AT418" s="68" t="str">
        <f aca="false">IF(ISBLANK($C418),"",IF($Z418&lt;&gt;Constants!$B$7,$Z418,AJ418))</f>
        <v/>
      </c>
      <c r="AU418" s="69" t="str">
        <f aca="false">IF(ISBLANK($C418),"",IF($Z418&lt;&gt;Constants!$B$7,$Z418,AA418))</f>
        <v/>
      </c>
      <c r="AV418" s="70" t="str">
        <f aca="false">IF(ISBLANK($C418),"",AO418)</f>
        <v/>
      </c>
      <c r="AW418" s="70" t="str">
        <f aca="false">IF(ISBLANK($C418),"",AN418)</f>
        <v/>
      </c>
      <c r="AX418" s="71" t="str">
        <f aca="false">IF(ISBLANK($C418),"",IFERROR(_xlfn.SWITCH(AW418,Constants!$B$4,COUNTA($C$8:$C$507)+2,Constants!$B$5,COUNTA($C$8:$C$507)+1,Constants!$B$6,COUNTA($C$8:$C$507)),AW418))</f>
        <v/>
      </c>
      <c r="AY418" s="5"/>
      <c r="AZ418" s="72" t="n">
        <f aca="false">IF(OR(ISNUMBER(AW418),AW418=Constants!$B$4,AW418=Constants!$B$6,AW418=Constants!$B$5),1,0)</f>
        <v>0</v>
      </c>
      <c r="BA418" s="72" t="n">
        <v>411</v>
      </c>
      <c r="BB418" s="72" t="str">
        <f aca="false">IF(ISBLANK($C418),"",IF(ISNUMBER(AX418),AX418+ROW($B418)/1000,""))</f>
        <v/>
      </c>
      <c r="BC418" s="72" t="str">
        <f aca="false">IF(ISNUMBER(BB418),RANK(BB418,$BB$8:$BB$507,1),"")</f>
        <v/>
      </c>
      <c r="BD418" s="72" t="str">
        <f aca="false">IF(ISBLANK($C418),"",$B418)</f>
        <v/>
      </c>
      <c r="BE418" s="72" t="str">
        <f aca="false">IF(ISBLANK($C418),"",$C418)</f>
        <v/>
      </c>
      <c r="BF418" s="72" t="str">
        <f aca="false">IF(ISBLANK($C418),"",$D418)</f>
        <v/>
      </c>
      <c r="BG418" s="73" t="str">
        <f aca="false">AU418</f>
        <v/>
      </c>
      <c r="BH418" s="74" t="str">
        <f aca="false">AT418</f>
        <v/>
      </c>
      <c r="BI418" s="72" t="str">
        <f aca="false">IF(ISBLANK($C418),"",AW418)</f>
        <v/>
      </c>
      <c r="BJ418" s="75" t="str">
        <f aca="false">IF($BA418&gt;$AZ$7,"",VLOOKUP($BA418,$BC$8:$BI$507,7,FALSE()))</f>
        <v/>
      </c>
      <c r="BK418" s="76" t="str">
        <f aca="false">IF($BA418&gt;$AZ$7,"",VLOOKUP($BA418,$BC$8:$BI$507,2,FALSE()))</f>
        <v/>
      </c>
      <c r="BL418" s="76" t="str">
        <f aca="false">IF($BA418&gt;$AZ$7,"",VLOOKUP($BA418,$BC$8:$BI$507,3,FALSE()))</f>
        <v/>
      </c>
      <c r="BM418" s="76" t="str">
        <f aca="false">IF($BA418&gt;$AZ$7,"",VLOOKUP($BA418,$BC$8:$BI$507,4,FALSE()))</f>
        <v/>
      </c>
      <c r="BN418" s="76" t="str">
        <f aca="false">IF($BA418&gt;$AZ$7,"",VLOOKUP($BA418,$BC$8:$BI$507,5,FALSE()))</f>
        <v/>
      </c>
      <c r="BO418" s="77" t="str">
        <f aca="false">IF($BA418&gt;$AZ$7,"",VLOOKUP($BA418,$BC$8:$BI$507,6,FALSE()))</f>
        <v/>
      </c>
      <c r="BP418" s="52"/>
    </row>
    <row r="419" customFormat="false" ht="15.75" hidden="false" customHeight="false" outlineLevel="0" collapsed="false">
      <c r="A419" s="5"/>
      <c r="B419" s="114"/>
      <c r="C419" s="115"/>
      <c r="D419" s="106"/>
      <c r="E419" s="117"/>
      <c r="F419" s="87"/>
      <c r="G419" s="88"/>
      <c r="H419" s="88"/>
      <c r="I419" s="87"/>
      <c r="J419" s="88"/>
      <c r="K419" s="88"/>
      <c r="L419" s="87"/>
      <c r="M419" s="117"/>
      <c r="N419" s="90"/>
      <c r="O419" s="91" t="str">
        <f aca="false">IF(ISBLANK($C419),"",IF(E419=Constants!$B$2, TRUE(), IF(E419=Constants!$B$3, FALSE(), TRUE())))</f>
        <v/>
      </c>
      <c r="P419" s="91" t="str">
        <f aca="false">IF(ISBLANK($C419),"",IF(F419=Constants!$B$16,Constants!$B$9,IF(F419=Constants!$B$17,Constants!$B$10,Constants!$B$8)))</f>
        <v/>
      </c>
      <c r="Q419" s="91" t="str">
        <f aca="false">IF(ISBLANK($C419),"",IF(ISNUMBER(G419),IF(G419&gt;=0,G419,""),""))</f>
        <v/>
      </c>
      <c r="R419" s="91" t="str">
        <f aca="false">IF(ISBLANK($C419),"",IF(H419=Constants!$B$2, TRUE(), IF(H419=Constants!$B$3, FALSE(), TRUE())))</f>
        <v/>
      </c>
      <c r="S419" s="91" t="str">
        <f aca="false">IF(ISBLANK($C419),"",IF(I419=Constants!$B$2, TRUE(), IF(I419=Constants!$B$3, FALSE(), TRUE())))</f>
        <v/>
      </c>
      <c r="T419" s="91" t="str">
        <f aca="false">IF(ISBLANK($C419),"",IF(ISNUMBER(J419),IF(J419&gt;=0,J419,""),""))</f>
        <v/>
      </c>
      <c r="U419" s="91" t="str">
        <f aca="false">IF(ISBLANK($C419),"",IF(K419=Constants!$B$2, TRUE(), IF(K419=Constants!$B$3, FALSE(), TRUE())))</f>
        <v/>
      </c>
      <c r="V419" s="91" t="str">
        <f aca="false">IF(ISBLANK($C419),"",IF(L419=Constants!$B$2, TRUE(), IF(L419=Constants!$B$3, FALSE(), TRUE())))</f>
        <v/>
      </c>
      <c r="W419" s="91" t="str">
        <f aca="false">IF(ISBLANK($C419),"",IF(M419=Constants!$B$2, TRUE(), IF(M419=Constants!$B$3, FALSE(), FALSE())))</f>
        <v/>
      </c>
      <c r="X419" s="91" t="str">
        <f aca="false">IF(ISBLANK($C419),"",AND(Q419&lt;&gt;"",O419))</f>
        <v/>
      </c>
      <c r="Y419" s="91" t="str">
        <f aca="false">IF(ISBLANK($C419),"",AND(T419&lt;&gt;"",O419))</f>
        <v/>
      </c>
      <c r="Z419" s="91" t="str">
        <f aca="false">IF(ISBLANK($C419),"",IF(W419,Constants!$B$4,IF(COUNTA(E419:L419)=0,Constants!$B$5,IF(NOT(O419),Constants!$B$6,IF(AND(NOT(X419),NOT(Y419)),Constants!$B$6,Constants!$B$7)))))</f>
        <v/>
      </c>
      <c r="AA419" s="91" t="str">
        <f aca="false">IF(ISBLANK($C419),"",IF($Z419&lt;&gt;Constants!$B$7,$Z419,Constants!$B$20))</f>
        <v/>
      </c>
      <c r="AB419" s="91" t="str">
        <f aca="false">IF($Z419=Constants!$B$7,IF(X419,Q419,Constants!$B$13),"")</f>
        <v/>
      </c>
      <c r="AC419" s="91" t="str">
        <f aca="false">IF($Z419=Constants!$B$7,IF(X419,P419*IF(R419, 1, Constants!$B$11)*IF(S419, 1, Constants!$B$12),Constants!$B$13),"")</f>
        <v/>
      </c>
      <c r="AD419" s="91" t="str">
        <f aca="false">IF($Z419=Constants!$B$7,AB419*AC419,"")</f>
        <v/>
      </c>
      <c r="AE419" s="91" t="str">
        <f aca="false">IF($Z419=Constants!$B$7,IF(Y419,T419,Constants!$B$13),"")</f>
        <v/>
      </c>
      <c r="AF419" s="91" t="str">
        <f aca="false">IF($Z419=Constants!$B$7,IF(Y419,P419*IF(U419, 1, Constants!$B$11)*IF(V419, 1, Constants!$B$12),Constants!$B$13),"")</f>
        <v/>
      </c>
      <c r="AG419" s="91" t="str">
        <f aca="false">IF($Z419=Constants!$B$7,AE419*AF419,"")</f>
        <v/>
      </c>
      <c r="AH419" s="91" t="str">
        <f aca="false">IF($Z419=Constants!$B$7,IF(AG419&gt;AD419,2,1),"")</f>
        <v/>
      </c>
      <c r="AI419" s="91" t="str">
        <f aca="false">IF($Z419=Constants!$B$7,IF(AH419=1,2,1),"")</f>
        <v/>
      </c>
      <c r="AJ419" s="91" t="str">
        <f aca="false">IF(ISBLANK($C419),"",IF($Z419&lt;&gt;Constants!$B$7,$Z419,IF(AH419=1,AD419,AG419)))</f>
        <v/>
      </c>
      <c r="AK419" s="91" t="str">
        <f aca="false">IF(ISBLANK($C419),"",IF($Z419=Constants!$B$7,IF(ISNUMBER(AJ419),RANK(AJ419,$AJ$8:$AJ$507),Constants!$B$14),$Z419))</f>
        <v/>
      </c>
      <c r="AL419" s="91" t="str">
        <f aca="false">IF(ISBLANK($C419),"",IF($Z419=Constants!$B$7,IF(AI419=1,AD419,AG419),""))</f>
        <v/>
      </c>
      <c r="AM419" s="91" t="str">
        <f aca="false">IF(ISBLANK($C419),"",IF($Z419=Constants!$B$7,RANK(AL419,$AL$8:$AL$507),$Z419))</f>
        <v/>
      </c>
      <c r="AN419" s="91" t="str">
        <f aca="false">IF(ISBLANK($C419),"",IF($Z419=Constants!$B$7,IF(ISNUMBER(AK419),COUNTIFS($AK$8:$AK$507,"&lt;"&amp;$AK419)+COUNTIFS($AK$8:$AK$507,$AK419,$AM$8:$AM$507,"&lt;"&amp;$AM419)+1,Constants!$B$14),$Z419))</f>
        <v/>
      </c>
      <c r="AO419" s="91" t="str">
        <f aca="false">IF(ISBLANK($C419),"",IF($Z419=Constants!$B$7,IF(ISNUMBER(AK419),AK419-AN419,Constants!$B$14),$Z419))</f>
        <v/>
      </c>
      <c r="AP419" s="92"/>
      <c r="AQ419" s="93" t="str">
        <f aca="false">IF(ISBLANK($C419),"",IF($Z419&lt;&gt;Constants!$B$7,"",AH419))</f>
        <v/>
      </c>
      <c r="AR419" s="94" t="str">
        <f aca="false">IF(ISBLANK($C419),"",IF($Z419&lt;&gt;Constants!$B$7,"",IF(AH419=1,AB419,AE419)))</f>
        <v/>
      </c>
      <c r="AS419" s="95" t="str">
        <f aca="false">IF(ISBLANK($C419),"",IF($Z419&lt;&gt;Constants!$B$7,"",IF(AH419=1,AC419,AF419)))</f>
        <v/>
      </c>
      <c r="AT419" s="96" t="str">
        <f aca="false">IF(ISBLANK($C419),"",IF($Z419&lt;&gt;Constants!$B$7,$Z419,AJ419))</f>
        <v/>
      </c>
      <c r="AU419" s="97" t="str">
        <f aca="false">IF(ISBLANK($C419),"",IF($Z419&lt;&gt;Constants!$B$7,$Z419,AA419))</f>
        <v/>
      </c>
      <c r="AV419" s="98" t="str">
        <f aca="false">IF(ISBLANK($C419),"",AO419)</f>
        <v/>
      </c>
      <c r="AW419" s="98" t="str">
        <f aca="false">IF(ISBLANK($C419),"",AN419)</f>
        <v/>
      </c>
      <c r="AX419" s="99" t="str">
        <f aca="false">IF(ISBLANK($C419),"",IFERROR(_xlfn.SWITCH(AW419,Constants!$B$4,COUNTA($C$8:$C$507)+2,Constants!$B$5,COUNTA($C$8:$C$507)+1,Constants!$B$6,COUNTA($C$8:$C$507)),AW419))</f>
        <v/>
      </c>
      <c r="AY419" s="5"/>
      <c r="AZ419" s="100" t="n">
        <f aca="false">IF(OR(ISNUMBER(AW419),AW419=Constants!$B$4,AW419=Constants!$B$6,AW419=Constants!$B$5),1,0)</f>
        <v>0</v>
      </c>
      <c r="BA419" s="100" t="n">
        <v>412</v>
      </c>
      <c r="BB419" s="100" t="str">
        <f aca="false">IF(ISBLANK($C419),"",IF(ISNUMBER(AX419),AX419+ROW($B419)/1000,""))</f>
        <v/>
      </c>
      <c r="BC419" s="100" t="str">
        <f aca="false">IF(ISNUMBER(BB419),RANK(BB419,$BB$8:$BB$507,1),"")</f>
        <v/>
      </c>
      <c r="BD419" s="100" t="str">
        <f aca="false">IF(ISBLANK($C419),"",$B419)</f>
        <v/>
      </c>
      <c r="BE419" s="100" t="str">
        <f aca="false">IF(ISBLANK($C419),"",$C419)</f>
        <v/>
      </c>
      <c r="BF419" s="100" t="str">
        <f aca="false">IF(ISBLANK($C419),"",$D419)</f>
        <v/>
      </c>
      <c r="BG419" s="101" t="str">
        <f aca="false">AU419</f>
        <v/>
      </c>
      <c r="BH419" s="102" t="str">
        <f aca="false">AT419</f>
        <v/>
      </c>
      <c r="BI419" s="100" t="str">
        <f aca="false">IF(ISBLANK($C419),"",AW419)</f>
        <v/>
      </c>
      <c r="BJ419" s="103" t="str">
        <f aca="false">IF($BA419&gt;$AZ$7,"",VLOOKUP($BA419,$BC$8:$BI$507,7,FALSE()))</f>
        <v/>
      </c>
      <c r="BK419" s="104" t="str">
        <f aca="false">IF($BA419&gt;$AZ$7,"",VLOOKUP($BA419,$BC$8:$BI$507,2,FALSE()))</f>
        <v/>
      </c>
      <c r="BL419" s="104" t="str">
        <f aca="false">IF($BA419&gt;$AZ$7,"",VLOOKUP($BA419,$BC$8:$BI$507,3,FALSE()))</f>
        <v/>
      </c>
      <c r="BM419" s="104" t="str">
        <f aca="false">IF($BA419&gt;$AZ$7,"",VLOOKUP($BA419,$BC$8:$BI$507,4,FALSE()))</f>
        <v/>
      </c>
      <c r="BN419" s="104" t="str">
        <f aca="false">IF($BA419&gt;$AZ$7,"",VLOOKUP($BA419,$BC$8:$BI$507,5,FALSE()))</f>
        <v/>
      </c>
      <c r="BO419" s="105" t="str">
        <f aca="false">IF($BA419&gt;$AZ$7,"",VLOOKUP($BA419,$BC$8:$BI$507,6,FALSE()))</f>
        <v/>
      </c>
      <c r="BP419" s="52"/>
    </row>
    <row r="420" customFormat="false" ht="15.75" hidden="false" customHeight="false" outlineLevel="0" collapsed="false">
      <c r="A420" s="5"/>
      <c r="B420" s="114"/>
      <c r="C420" s="115"/>
      <c r="D420" s="106"/>
      <c r="E420" s="117"/>
      <c r="F420" s="87"/>
      <c r="G420" s="88"/>
      <c r="H420" s="88"/>
      <c r="I420" s="87"/>
      <c r="J420" s="88"/>
      <c r="K420" s="88"/>
      <c r="L420" s="87"/>
      <c r="M420" s="117"/>
      <c r="N420" s="90"/>
      <c r="O420" s="91" t="str">
        <f aca="false">IF(ISBLANK($C420),"",IF(E420=Constants!$B$2, TRUE(), IF(E420=Constants!$B$3, FALSE(), TRUE())))</f>
        <v/>
      </c>
      <c r="P420" s="91" t="str">
        <f aca="false">IF(ISBLANK($C420),"",IF(F420=Constants!$B$16,Constants!$B$9,IF(F420=Constants!$B$17,Constants!$B$10,Constants!$B$8)))</f>
        <v/>
      </c>
      <c r="Q420" s="91" t="str">
        <f aca="false">IF(ISBLANK($C420),"",IF(ISNUMBER(G420),IF(G420&gt;=0,G420,""),""))</f>
        <v/>
      </c>
      <c r="R420" s="91" t="str">
        <f aca="false">IF(ISBLANK($C420),"",IF(H420=Constants!$B$2, TRUE(), IF(H420=Constants!$B$3, FALSE(), TRUE())))</f>
        <v/>
      </c>
      <c r="S420" s="91" t="str">
        <f aca="false">IF(ISBLANK($C420),"",IF(I420=Constants!$B$2, TRUE(), IF(I420=Constants!$B$3, FALSE(), TRUE())))</f>
        <v/>
      </c>
      <c r="T420" s="91" t="str">
        <f aca="false">IF(ISBLANK($C420),"",IF(ISNUMBER(J420),IF(J420&gt;=0,J420,""),""))</f>
        <v/>
      </c>
      <c r="U420" s="91" t="str">
        <f aca="false">IF(ISBLANK($C420),"",IF(K420=Constants!$B$2, TRUE(), IF(K420=Constants!$B$3, FALSE(), TRUE())))</f>
        <v/>
      </c>
      <c r="V420" s="91" t="str">
        <f aca="false">IF(ISBLANK($C420),"",IF(L420=Constants!$B$2, TRUE(), IF(L420=Constants!$B$3, FALSE(), TRUE())))</f>
        <v/>
      </c>
      <c r="W420" s="91" t="str">
        <f aca="false">IF(ISBLANK($C420),"",IF(M420=Constants!$B$2, TRUE(), IF(M420=Constants!$B$3, FALSE(), FALSE())))</f>
        <v/>
      </c>
      <c r="X420" s="91" t="str">
        <f aca="false">IF(ISBLANK($C420),"",AND(Q420&lt;&gt;"",O420))</f>
        <v/>
      </c>
      <c r="Y420" s="91" t="str">
        <f aca="false">IF(ISBLANK($C420),"",AND(T420&lt;&gt;"",O420))</f>
        <v/>
      </c>
      <c r="Z420" s="91" t="str">
        <f aca="false">IF(ISBLANK($C420),"",IF(W420,Constants!$B$4,IF(COUNTA(E420:L420)=0,Constants!$B$5,IF(NOT(O420),Constants!$B$6,IF(AND(NOT(X420),NOT(Y420)),Constants!$B$6,Constants!$B$7)))))</f>
        <v/>
      </c>
      <c r="AA420" s="91" t="str">
        <f aca="false">IF(ISBLANK($C420),"",IF($Z420&lt;&gt;Constants!$B$7,$Z420,Constants!$B$20))</f>
        <v/>
      </c>
      <c r="AB420" s="91" t="str">
        <f aca="false">IF($Z420=Constants!$B$7,IF(X420,Q420,Constants!$B$13),"")</f>
        <v/>
      </c>
      <c r="AC420" s="91" t="str">
        <f aca="false">IF($Z420=Constants!$B$7,IF(X420,P420*IF(R420, 1, Constants!$B$11)*IF(S420, 1, Constants!$B$12),Constants!$B$13),"")</f>
        <v/>
      </c>
      <c r="AD420" s="91" t="str">
        <f aca="false">IF($Z420=Constants!$B$7,AB420*AC420,"")</f>
        <v/>
      </c>
      <c r="AE420" s="91" t="str">
        <f aca="false">IF($Z420=Constants!$B$7,IF(Y420,T420,Constants!$B$13),"")</f>
        <v/>
      </c>
      <c r="AF420" s="91" t="str">
        <f aca="false">IF($Z420=Constants!$B$7,IF(Y420,P420*IF(U420, 1, Constants!$B$11)*IF(V420, 1, Constants!$B$12),Constants!$B$13),"")</f>
        <v/>
      </c>
      <c r="AG420" s="91" t="str">
        <f aca="false">IF($Z420=Constants!$B$7,AE420*AF420,"")</f>
        <v/>
      </c>
      <c r="AH420" s="91" t="str">
        <f aca="false">IF($Z420=Constants!$B$7,IF(AG420&gt;AD420,2,1),"")</f>
        <v/>
      </c>
      <c r="AI420" s="91" t="str">
        <f aca="false">IF($Z420=Constants!$B$7,IF(AH420=1,2,1),"")</f>
        <v/>
      </c>
      <c r="AJ420" s="91" t="str">
        <f aca="false">IF(ISBLANK($C420),"",IF($Z420&lt;&gt;Constants!$B$7,$Z420,IF(AH420=1,AD420,AG420)))</f>
        <v/>
      </c>
      <c r="AK420" s="91" t="str">
        <f aca="false">IF(ISBLANK($C420),"",IF($Z420=Constants!$B$7,IF(ISNUMBER(AJ420),RANK(AJ420,$AJ$8:$AJ$507),Constants!$B$14),$Z420))</f>
        <v/>
      </c>
      <c r="AL420" s="91" t="str">
        <f aca="false">IF(ISBLANK($C420),"",IF($Z420=Constants!$B$7,IF(AI420=1,AD420,AG420),""))</f>
        <v/>
      </c>
      <c r="AM420" s="91" t="str">
        <f aca="false">IF(ISBLANK($C420),"",IF($Z420=Constants!$B$7,RANK(AL420,$AL$8:$AL$507),$Z420))</f>
        <v/>
      </c>
      <c r="AN420" s="91" t="str">
        <f aca="false">IF(ISBLANK($C420),"",IF($Z420=Constants!$B$7,IF(ISNUMBER(AK420),COUNTIFS($AK$8:$AK$507,"&lt;"&amp;$AK420)+COUNTIFS($AK$8:$AK$507,$AK420,$AM$8:$AM$507,"&lt;"&amp;$AM420)+1,Constants!$B$14),$Z420))</f>
        <v/>
      </c>
      <c r="AO420" s="91" t="str">
        <f aca="false">IF(ISBLANK($C420),"",IF($Z420=Constants!$B$7,IF(ISNUMBER(AK420),AK420-AN420,Constants!$B$14),$Z420))</f>
        <v/>
      </c>
      <c r="AP420" s="92"/>
      <c r="AQ420" s="93" t="str">
        <f aca="false">IF(ISBLANK($C420),"",IF($Z420&lt;&gt;Constants!$B$7,"",AH420))</f>
        <v/>
      </c>
      <c r="AR420" s="94" t="str">
        <f aca="false">IF(ISBLANK($C420),"",IF($Z420&lt;&gt;Constants!$B$7,"",IF(AH420=1,AB420,AE420)))</f>
        <v/>
      </c>
      <c r="AS420" s="95" t="str">
        <f aca="false">IF(ISBLANK($C420),"",IF($Z420&lt;&gt;Constants!$B$7,"",IF(AH420=1,AC420,AF420)))</f>
        <v/>
      </c>
      <c r="AT420" s="96" t="str">
        <f aca="false">IF(ISBLANK($C420),"",IF($Z420&lt;&gt;Constants!$B$7,$Z420,AJ420))</f>
        <v/>
      </c>
      <c r="AU420" s="97" t="str">
        <f aca="false">IF(ISBLANK($C420),"",IF($Z420&lt;&gt;Constants!$B$7,$Z420,AA420))</f>
        <v/>
      </c>
      <c r="AV420" s="98" t="str">
        <f aca="false">IF(ISBLANK($C420),"",AO420)</f>
        <v/>
      </c>
      <c r="AW420" s="98" t="str">
        <f aca="false">IF(ISBLANK($C420),"",AN420)</f>
        <v/>
      </c>
      <c r="AX420" s="99" t="str">
        <f aca="false">IF(ISBLANK($C420),"",IFERROR(_xlfn.SWITCH(AW420,Constants!$B$4,COUNTA($C$8:$C$507)+2,Constants!$B$5,COUNTA($C$8:$C$507)+1,Constants!$B$6,COUNTA($C$8:$C$507)),AW420))</f>
        <v/>
      </c>
      <c r="AY420" s="5"/>
      <c r="AZ420" s="100" t="n">
        <f aca="false">IF(OR(ISNUMBER(AW420),AW420=Constants!$B$4,AW420=Constants!$B$6,AW420=Constants!$B$5),1,0)</f>
        <v>0</v>
      </c>
      <c r="BA420" s="100" t="n">
        <v>413</v>
      </c>
      <c r="BB420" s="100" t="str">
        <f aca="false">IF(ISBLANK($C420),"",IF(ISNUMBER(AX420),AX420+ROW($B420)/1000,""))</f>
        <v/>
      </c>
      <c r="BC420" s="100" t="str">
        <f aca="false">IF(ISNUMBER(BB420),RANK(BB420,$BB$8:$BB$507,1),"")</f>
        <v/>
      </c>
      <c r="BD420" s="100" t="str">
        <f aca="false">IF(ISBLANK($C420),"",$B420)</f>
        <v/>
      </c>
      <c r="BE420" s="100" t="str">
        <f aca="false">IF(ISBLANK($C420),"",$C420)</f>
        <v/>
      </c>
      <c r="BF420" s="100" t="str">
        <f aca="false">IF(ISBLANK($C420),"",$D420)</f>
        <v/>
      </c>
      <c r="BG420" s="101" t="str">
        <f aca="false">AU420</f>
        <v/>
      </c>
      <c r="BH420" s="102" t="str">
        <f aca="false">AT420</f>
        <v/>
      </c>
      <c r="BI420" s="100" t="str">
        <f aca="false">IF(ISBLANK($C420),"",AW420)</f>
        <v/>
      </c>
      <c r="BJ420" s="103" t="str">
        <f aca="false">IF($BA420&gt;$AZ$7,"",VLOOKUP($BA420,$BC$8:$BI$507,7,FALSE()))</f>
        <v/>
      </c>
      <c r="BK420" s="104" t="str">
        <f aca="false">IF($BA420&gt;$AZ$7,"",VLOOKUP($BA420,$BC$8:$BI$507,2,FALSE()))</f>
        <v/>
      </c>
      <c r="BL420" s="104" t="str">
        <f aca="false">IF($BA420&gt;$AZ$7,"",VLOOKUP($BA420,$BC$8:$BI$507,3,FALSE()))</f>
        <v/>
      </c>
      <c r="BM420" s="104" t="str">
        <f aca="false">IF($BA420&gt;$AZ$7,"",VLOOKUP($BA420,$BC$8:$BI$507,4,FALSE()))</f>
        <v/>
      </c>
      <c r="BN420" s="104" t="str">
        <f aca="false">IF($BA420&gt;$AZ$7,"",VLOOKUP($BA420,$BC$8:$BI$507,5,FALSE()))</f>
        <v/>
      </c>
      <c r="BO420" s="105" t="str">
        <f aca="false">IF($BA420&gt;$AZ$7,"",VLOOKUP($BA420,$BC$8:$BI$507,6,FALSE()))</f>
        <v/>
      </c>
      <c r="BP420" s="52"/>
    </row>
    <row r="421" customFormat="false" ht="15.75" hidden="false" customHeight="false" outlineLevel="0" collapsed="false">
      <c r="A421" s="5"/>
      <c r="B421" s="114"/>
      <c r="C421" s="115"/>
      <c r="D421" s="106"/>
      <c r="E421" s="117"/>
      <c r="F421" s="87"/>
      <c r="G421" s="88"/>
      <c r="H421" s="88"/>
      <c r="I421" s="87"/>
      <c r="J421" s="88"/>
      <c r="K421" s="88"/>
      <c r="L421" s="87"/>
      <c r="M421" s="117"/>
      <c r="N421" s="90"/>
      <c r="O421" s="91" t="str">
        <f aca="false">IF(ISBLANK($C421),"",IF(E421=Constants!$B$2, TRUE(), IF(E421=Constants!$B$3, FALSE(), TRUE())))</f>
        <v/>
      </c>
      <c r="P421" s="91" t="str">
        <f aca="false">IF(ISBLANK($C421),"",IF(F421=Constants!$B$16,Constants!$B$9,IF(F421=Constants!$B$17,Constants!$B$10,Constants!$B$8)))</f>
        <v/>
      </c>
      <c r="Q421" s="91" t="str">
        <f aca="false">IF(ISBLANK($C421),"",IF(ISNUMBER(G421),IF(G421&gt;=0,G421,""),""))</f>
        <v/>
      </c>
      <c r="R421" s="91" t="str">
        <f aca="false">IF(ISBLANK($C421),"",IF(H421=Constants!$B$2, TRUE(), IF(H421=Constants!$B$3, FALSE(), TRUE())))</f>
        <v/>
      </c>
      <c r="S421" s="91" t="str">
        <f aca="false">IF(ISBLANK($C421),"",IF(I421=Constants!$B$2, TRUE(), IF(I421=Constants!$B$3, FALSE(), TRUE())))</f>
        <v/>
      </c>
      <c r="T421" s="91" t="str">
        <f aca="false">IF(ISBLANK($C421),"",IF(ISNUMBER(J421),IF(J421&gt;=0,J421,""),""))</f>
        <v/>
      </c>
      <c r="U421" s="91" t="str">
        <f aca="false">IF(ISBLANK($C421),"",IF(K421=Constants!$B$2, TRUE(), IF(K421=Constants!$B$3, FALSE(), TRUE())))</f>
        <v/>
      </c>
      <c r="V421" s="91" t="str">
        <f aca="false">IF(ISBLANK($C421),"",IF(L421=Constants!$B$2, TRUE(), IF(L421=Constants!$B$3, FALSE(), TRUE())))</f>
        <v/>
      </c>
      <c r="W421" s="91" t="str">
        <f aca="false">IF(ISBLANK($C421),"",IF(M421=Constants!$B$2, TRUE(), IF(M421=Constants!$B$3, FALSE(), FALSE())))</f>
        <v/>
      </c>
      <c r="X421" s="91" t="str">
        <f aca="false">IF(ISBLANK($C421),"",AND(Q421&lt;&gt;"",O421))</f>
        <v/>
      </c>
      <c r="Y421" s="91" t="str">
        <f aca="false">IF(ISBLANK($C421),"",AND(T421&lt;&gt;"",O421))</f>
        <v/>
      </c>
      <c r="Z421" s="91" t="str">
        <f aca="false">IF(ISBLANK($C421),"",IF(W421,Constants!$B$4,IF(COUNTA(E421:L421)=0,Constants!$B$5,IF(NOT(O421),Constants!$B$6,IF(AND(NOT(X421),NOT(Y421)),Constants!$B$6,Constants!$B$7)))))</f>
        <v/>
      </c>
      <c r="AA421" s="91" t="str">
        <f aca="false">IF(ISBLANK($C421),"",IF($Z421&lt;&gt;Constants!$B$7,$Z421,Constants!$B$20))</f>
        <v/>
      </c>
      <c r="AB421" s="91" t="str">
        <f aca="false">IF($Z421=Constants!$B$7,IF(X421,Q421,Constants!$B$13),"")</f>
        <v/>
      </c>
      <c r="AC421" s="91" t="str">
        <f aca="false">IF($Z421=Constants!$B$7,IF(X421,P421*IF(R421, 1, Constants!$B$11)*IF(S421, 1, Constants!$B$12),Constants!$B$13),"")</f>
        <v/>
      </c>
      <c r="AD421" s="91" t="str">
        <f aca="false">IF($Z421=Constants!$B$7,AB421*AC421,"")</f>
        <v/>
      </c>
      <c r="AE421" s="91" t="str">
        <f aca="false">IF($Z421=Constants!$B$7,IF(Y421,T421,Constants!$B$13),"")</f>
        <v/>
      </c>
      <c r="AF421" s="91" t="str">
        <f aca="false">IF($Z421=Constants!$B$7,IF(Y421,P421*IF(U421, 1, Constants!$B$11)*IF(V421, 1, Constants!$B$12),Constants!$B$13),"")</f>
        <v/>
      </c>
      <c r="AG421" s="91" t="str">
        <f aca="false">IF($Z421=Constants!$B$7,AE421*AF421,"")</f>
        <v/>
      </c>
      <c r="AH421" s="91" t="str">
        <f aca="false">IF($Z421=Constants!$B$7,IF(AG421&gt;AD421,2,1),"")</f>
        <v/>
      </c>
      <c r="AI421" s="91" t="str">
        <f aca="false">IF($Z421=Constants!$B$7,IF(AH421=1,2,1),"")</f>
        <v/>
      </c>
      <c r="AJ421" s="91" t="str">
        <f aca="false">IF(ISBLANK($C421),"",IF($Z421&lt;&gt;Constants!$B$7,$Z421,IF(AH421=1,AD421,AG421)))</f>
        <v/>
      </c>
      <c r="AK421" s="91" t="str">
        <f aca="false">IF(ISBLANK($C421),"",IF($Z421=Constants!$B$7,IF(ISNUMBER(AJ421),RANK(AJ421,$AJ$8:$AJ$507),Constants!$B$14),$Z421))</f>
        <v/>
      </c>
      <c r="AL421" s="91" t="str">
        <f aca="false">IF(ISBLANK($C421),"",IF($Z421=Constants!$B$7,IF(AI421=1,AD421,AG421),""))</f>
        <v/>
      </c>
      <c r="AM421" s="91" t="str">
        <f aca="false">IF(ISBLANK($C421),"",IF($Z421=Constants!$B$7,RANK(AL421,$AL$8:$AL$507),$Z421))</f>
        <v/>
      </c>
      <c r="AN421" s="91" t="str">
        <f aca="false">IF(ISBLANK($C421),"",IF($Z421=Constants!$B$7,IF(ISNUMBER(AK421),COUNTIFS($AK$8:$AK$507,"&lt;"&amp;$AK421)+COUNTIFS($AK$8:$AK$507,$AK421,$AM$8:$AM$507,"&lt;"&amp;$AM421)+1,Constants!$B$14),$Z421))</f>
        <v/>
      </c>
      <c r="AO421" s="91" t="str">
        <f aca="false">IF(ISBLANK($C421),"",IF($Z421=Constants!$B$7,IF(ISNUMBER(AK421),AK421-AN421,Constants!$B$14),$Z421))</f>
        <v/>
      </c>
      <c r="AP421" s="92"/>
      <c r="AQ421" s="93" t="str">
        <f aca="false">IF(ISBLANK($C421),"",IF($Z421&lt;&gt;Constants!$B$7,"",AH421))</f>
        <v/>
      </c>
      <c r="AR421" s="94" t="str">
        <f aca="false">IF(ISBLANK($C421),"",IF($Z421&lt;&gt;Constants!$B$7,"",IF(AH421=1,AB421,AE421)))</f>
        <v/>
      </c>
      <c r="AS421" s="95" t="str">
        <f aca="false">IF(ISBLANK($C421),"",IF($Z421&lt;&gt;Constants!$B$7,"",IF(AH421=1,AC421,AF421)))</f>
        <v/>
      </c>
      <c r="AT421" s="96" t="str">
        <f aca="false">IF(ISBLANK($C421),"",IF($Z421&lt;&gt;Constants!$B$7,$Z421,AJ421))</f>
        <v/>
      </c>
      <c r="AU421" s="97" t="str">
        <f aca="false">IF(ISBLANK($C421),"",IF($Z421&lt;&gt;Constants!$B$7,$Z421,AA421))</f>
        <v/>
      </c>
      <c r="AV421" s="98" t="str">
        <f aca="false">IF(ISBLANK($C421),"",AO421)</f>
        <v/>
      </c>
      <c r="AW421" s="98" t="str">
        <f aca="false">IF(ISBLANK($C421),"",AN421)</f>
        <v/>
      </c>
      <c r="AX421" s="99" t="str">
        <f aca="false">IF(ISBLANK($C421),"",IFERROR(_xlfn.SWITCH(AW421,Constants!$B$4,COUNTA($C$8:$C$507)+2,Constants!$B$5,COUNTA($C$8:$C$507)+1,Constants!$B$6,COUNTA($C$8:$C$507)),AW421))</f>
        <v/>
      </c>
      <c r="AY421" s="5"/>
      <c r="AZ421" s="100" t="n">
        <f aca="false">IF(OR(ISNUMBER(AW421),AW421=Constants!$B$4,AW421=Constants!$B$6,AW421=Constants!$B$5),1,0)</f>
        <v>0</v>
      </c>
      <c r="BA421" s="100" t="n">
        <v>414</v>
      </c>
      <c r="BB421" s="100" t="str">
        <f aca="false">IF(ISBLANK($C421),"",IF(ISNUMBER(AX421),AX421+ROW($B421)/1000,""))</f>
        <v/>
      </c>
      <c r="BC421" s="100" t="str">
        <f aca="false">IF(ISNUMBER(BB421),RANK(BB421,$BB$8:$BB$507,1),"")</f>
        <v/>
      </c>
      <c r="BD421" s="100" t="str">
        <f aca="false">IF(ISBLANK($C421),"",$B421)</f>
        <v/>
      </c>
      <c r="BE421" s="100" t="str">
        <f aca="false">IF(ISBLANK($C421),"",$C421)</f>
        <v/>
      </c>
      <c r="BF421" s="100" t="str">
        <f aca="false">IF(ISBLANK($C421),"",$D421)</f>
        <v/>
      </c>
      <c r="BG421" s="101" t="str">
        <f aca="false">AU421</f>
        <v/>
      </c>
      <c r="BH421" s="102" t="str">
        <f aca="false">AT421</f>
        <v/>
      </c>
      <c r="BI421" s="100" t="str">
        <f aca="false">IF(ISBLANK($C421),"",AW421)</f>
        <v/>
      </c>
      <c r="BJ421" s="103" t="str">
        <f aca="false">IF($BA421&gt;$AZ$7,"",VLOOKUP($BA421,$BC$8:$BI$507,7,FALSE()))</f>
        <v/>
      </c>
      <c r="BK421" s="104" t="str">
        <f aca="false">IF($BA421&gt;$AZ$7,"",VLOOKUP($BA421,$BC$8:$BI$507,2,FALSE()))</f>
        <v/>
      </c>
      <c r="BL421" s="104" t="str">
        <f aca="false">IF($BA421&gt;$AZ$7,"",VLOOKUP($BA421,$BC$8:$BI$507,3,FALSE()))</f>
        <v/>
      </c>
      <c r="BM421" s="104" t="str">
        <f aca="false">IF($BA421&gt;$AZ$7,"",VLOOKUP($BA421,$BC$8:$BI$507,4,FALSE()))</f>
        <v/>
      </c>
      <c r="BN421" s="104" t="str">
        <f aca="false">IF($BA421&gt;$AZ$7,"",VLOOKUP($BA421,$BC$8:$BI$507,5,FALSE()))</f>
        <v/>
      </c>
      <c r="BO421" s="105" t="str">
        <f aca="false">IF($BA421&gt;$AZ$7,"",VLOOKUP($BA421,$BC$8:$BI$507,6,FALSE()))</f>
        <v/>
      </c>
      <c r="BP421" s="52"/>
    </row>
    <row r="422" customFormat="false" ht="15.75" hidden="false" customHeight="false" outlineLevel="0" collapsed="false">
      <c r="A422" s="5"/>
      <c r="B422" s="118"/>
      <c r="C422" s="54"/>
      <c r="D422" s="55"/>
      <c r="E422" s="79"/>
      <c r="F422" s="57"/>
      <c r="G422" s="58"/>
      <c r="H422" s="58"/>
      <c r="I422" s="57"/>
      <c r="J422" s="58"/>
      <c r="K422" s="58"/>
      <c r="L422" s="57"/>
      <c r="M422" s="79"/>
      <c r="N422" s="60"/>
      <c r="O422" s="62" t="str">
        <f aca="false">IF(ISBLANK($C422),"",IF(E422=Constants!$B$2, TRUE(), IF(E422=Constants!$B$3, FALSE(), TRUE())))</f>
        <v/>
      </c>
      <c r="P422" s="62" t="str">
        <f aca="false">IF(ISBLANK($C422),"",IF(F422=Constants!$B$16,Constants!$B$9,IF(F422=Constants!$B$17,Constants!$B$10,Constants!$B$8)))</f>
        <v/>
      </c>
      <c r="Q422" s="62" t="str">
        <f aca="false">IF(ISBLANK($C422),"",IF(ISNUMBER(G422),IF(G422&gt;=0,G422,""),""))</f>
        <v/>
      </c>
      <c r="R422" s="62" t="str">
        <f aca="false">IF(ISBLANK($C422),"",IF(H422=Constants!$B$2, TRUE(), IF(H422=Constants!$B$3, FALSE(), TRUE())))</f>
        <v/>
      </c>
      <c r="S422" s="62" t="str">
        <f aca="false">IF(ISBLANK($C422),"",IF(I422=Constants!$B$2, TRUE(), IF(I422=Constants!$B$3, FALSE(), TRUE())))</f>
        <v/>
      </c>
      <c r="T422" s="62" t="str">
        <f aca="false">IF(ISBLANK($C422),"",IF(ISNUMBER(J422),IF(J422&gt;=0,J422,""),""))</f>
        <v/>
      </c>
      <c r="U422" s="62" t="str">
        <f aca="false">IF(ISBLANK($C422),"",IF(K422=Constants!$B$2, TRUE(), IF(K422=Constants!$B$3, FALSE(), TRUE())))</f>
        <v/>
      </c>
      <c r="V422" s="62" t="str">
        <f aca="false">IF(ISBLANK($C422),"",IF(L422=Constants!$B$2, TRUE(), IF(L422=Constants!$B$3, FALSE(), TRUE())))</f>
        <v/>
      </c>
      <c r="W422" s="62" t="str">
        <f aca="false">IF(ISBLANK($C422),"",IF(M422=Constants!$B$2, TRUE(), IF(M422=Constants!$B$3, FALSE(), FALSE())))</f>
        <v/>
      </c>
      <c r="X422" s="62" t="str">
        <f aca="false">IF(ISBLANK($C422),"",AND(Q422&lt;&gt;"",O422))</f>
        <v/>
      </c>
      <c r="Y422" s="62" t="str">
        <f aca="false">IF(ISBLANK($C422),"",AND(T422&lt;&gt;"",O422))</f>
        <v/>
      </c>
      <c r="Z422" s="62" t="str">
        <f aca="false">IF(ISBLANK($C422),"",IF(W422,Constants!$B$4,IF(COUNTA(E422:L422)=0,Constants!$B$5,IF(NOT(O422),Constants!$B$6,IF(AND(NOT(X422),NOT(Y422)),Constants!$B$6,Constants!$B$7)))))</f>
        <v/>
      </c>
      <c r="AA422" s="62" t="str">
        <f aca="false">IF(ISBLANK($C422),"",IF($Z422&lt;&gt;Constants!$B$7,$Z422,Constants!$B$20))</f>
        <v/>
      </c>
      <c r="AB422" s="62" t="str">
        <f aca="false">IF($Z422=Constants!$B$7,IF(X422,Q422,Constants!$B$13),"")</f>
        <v/>
      </c>
      <c r="AC422" s="62" t="str">
        <f aca="false">IF($Z422=Constants!$B$7,IF(X422,P422*IF(R422, 1, Constants!$B$11)*IF(S422, 1, Constants!$B$12),Constants!$B$13),"")</f>
        <v/>
      </c>
      <c r="AD422" s="62" t="str">
        <f aca="false">IF($Z422=Constants!$B$7,AB422*AC422,"")</f>
        <v/>
      </c>
      <c r="AE422" s="62" t="str">
        <f aca="false">IF($Z422=Constants!$B$7,IF(Y422,T422,Constants!$B$13),"")</f>
        <v/>
      </c>
      <c r="AF422" s="62" t="str">
        <f aca="false">IF($Z422=Constants!$B$7,IF(Y422,P422*IF(U422, 1, Constants!$B$11)*IF(V422, 1, Constants!$B$12),Constants!$B$13),"")</f>
        <v/>
      </c>
      <c r="AG422" s="62" t="str">
        <f aca="false">IF($Z422=Constants!$B$7,AE422*AF422,"")</f>
        <v/>
      </c>
      <c r="AH422" s="62" t="str">
        <f aca="false">IF($Z422=Constants!$B$7,IF(AG422&gt;AD422,2,1),"")</f>
        <v/>
      </c>
      <c r="AI422" s="62" t="str">
        <f aca="false">IF($Z422=Constants!$B$7,IF(AH422=1,2,1),"")</f>
        <v/>
      </c>
      <c r="AJ422" s="62" t="str">
        <f aca="false">IF(ISBLANK($C422),"",IF($Z422&lt;&gt;Constants!$B$7,$Z422,IF(AH422=1,AD422,AG422)))</f>
        <v/>
      </c>
      <c r="AK422" s="62" t="str">
        <f aca="false">IF(ISBLANK($C422),"",IF($Z422=Constants!$B$7,IF(ISNUMBER(AJ422),RANK(AJ422,$AJ$8:$AJ$507),Constants!$B$14),$Z422))</f>
        <v/>
      </c>
      <c r="AL422" s="62" t="str">
        <f aca="false">IF(ISBLANK($C422),"",IF($Z422=Constants!$B$7,IF(AI422=1,AD422,AG422),""))</f>
        <v/>
      </c>
      <c r="AM422" s="62" t="str">
        <f aca="false">IF(ISBLANK($C422),"",IF($Z422=Constants!$B$7,RANK(AL422,$AL$8:$AL$507),$Z422))</f>
        <v/>
      </c>
      <c r="AN422" s="62" t="str">
        <f aca="false">IF(ISBLANK($C422),"",IF($Z422=Constants!$B$7,IF(ISNUMBER(AK422),COUNTIFS($AK$8:$AK$507,"&lt;"&amp;$AK422)+COUNTIFS($AK$8:$AK$507,$AK422,$AM$8:$AM$507,"&lt;"&amp;$AM422)+1,Constants!$B$14),$Z422))</f>
        <v/>
      </c>
      <c r="AO422" s="62" t="str">
        <f aca="false">IF(ISBLANK($C422),"",IF($Z422=Constants!$B$7,IF(ISNUMBER(AK422),AK422-AN422,Constants!$B$14),$Z422))</f>
        <v/>
      </c>
      <c r="AP422" s="64"/>
      <c r="AQ422" s="65" t="str">
        <f aca="false">IF(ISBLANK($C422),"",IF($Z422&lt;&gt;Constants!$B$7,"",AH422))</f>
        <v/>
      </c>
      <c r="AR422" s="80" t="str">
        <f aca="false">IF(ISBLANK($C422),"",IF($Z422&lt;&gt;Constants!$B$7,"",IF(AH422=1,AB422,AE422)))</f>
        <v/>
      </c>
      <c r="AS422" s="67" t="str">
        <f aca="false">IF(ISBLANK($C422),"",IF($Z422&lt;&gt;Constants!$B$7,"",IF(AH422=1,AC422,AF422)))</f>
        <v/>
      </c>
      <c r="AT422" s="68" t="str">
        <f aca="false">IF(ISBLANK($C422),"",IF($Z422&lt;&gt;Constants!$B$7,$Z422,AJ422))</f>
        <v/>
      </c>
      <c r="AU422" s="69" t="str">
        <f aca="false">IF(ISBLANK($C422),"",IF($Z422&lt;&gt;Constants!$B$7,$Z422,AA422))</f>
        <v/>
      </c>
      <c r="AV422" s="70" t="str">
        <f aca="false">IF(ISBLANK($C422),"",AO422)</f>
        <v/>
      </c>
      <c r="AW422" s="70" t="str">
        <f aca="false">IF(ISBLANK($C422),"",AN422)</f>
        <v/>
      </c>
      <c r="AX422" s="71" t="str">
        <f aca="false">IF(ISBLANK($C422),"",IFERROR(_xlfn.SWITCH(AW422,Constants!$B$4,COUNTA($C$8:$C$507)+2,Constants!$B$5,COUNTA($C$8:$C$507)+1,Constants!$B$6,COUNTA($C$8:$C$507)),AW422))</f>
        <v/>
      </c>
      <c r="AY422" s="5"/>
      <c r="AZ422" s="72" t="n">
        <f aca="false">IF(OR(ISNUMBER(AW422),AW422=Constants!$B$4,AW422=Constants!$B$6,AW422=Constants!$B$5),1,0)</f>
        <v>0</v>
      </c>
      <c r="BA422" s="72" t="n">
        <v>415</v>
      </c>
      <c r="BB422" s="72" t="str">
        <f aca="false">IF(ISBLANK($C422),"",IF(ISNUMBER(AX422),AX422+ROW($B422)/1000,""))</f>
        <v/>
      </c>
      <c r="BC422" s="72" t="str">
        <f aca="false">IF(ISNUMBER(BB422),RANK(BB422,$BB$8:$BB$507,1),"")</f>
        <v/>
      </c>
      <c r="BD422" s="72" t="str">
        <f aca="false">IF(ISBLANK($C422),"",$B422)</f>
        <v/>
      </c>
      <c r="BE422" s="72" t="str">
        <f aca="false">IF(ISBLANK($C422),"",$C422)</f>
        <v/>
      </c>
      <c r="BF422" s="72" t="str">
        <f aca="false">IF(ISBLANK($C422),"",$D422)</f>
        <v/>
      </c>
      <c r="BG422" s="73" t="str">
        <f aca="false">AU422</f>
        <v/>
      </c>
      <c r="BH422" s="74" t="str">
        <f aca="false">AT422</f>
        <v/>
      </c>
      <c r="BI422" s="72" t="str">
        <f aca="false">IF(ISBLANK($C422),"",AW422)</f>
        <v/>
      </c>
      <c r="BJ422" s="75" t="str">
        <f aca="false">IF($BA422&gt;$AZ$7,"",VLOOKUP($BA422,$BC$8:$BI$507,7,FALSE()))</f>
        <v/>
      </c>
      <c r="BK422" s="76" t="str">
        <f aca="false">IF($BA422&gt;$AZ$7,"",VLOOKUP($BA422,$BC$8:$BI$507,2,FALSE()))</f>
        <v/>
      </c>
      <c r="BL422" s="76" t="str">
        <f aca="false">IF($BA422&gt;$AZ$7,"",VLOOKUP($BA422,$BC$8:$BI$507,3,FALSE()))</f>
        <v/>
      </c>
      <c r="BM422" s="76" t="str">
        <f aca="false">IF($BA422&gt;$AZ$7,"",VLOOKUP($BA422,$BC$8:$BI$507,4,FALSE()))</f>
        <v/>
      </c>
      <c r="BN422" s="76" t="str">
        <f aca="false">IF($BA422&gt;$AZ$7,"",VLOOKUP($BA422,$BC$8:$BI$507,5,FALSE()))</f>
        <v/>
      </c>
      <c r="BO422" s="77" t="str">
        <f aca="false">IF($BA422&gt;$AZ$7,"",VLOOKUP($BA422,$BC$8:$BI$507,6,FALSE()))</f>
        <v/>
      </c>
      <c r="BP422" s="52"/>
    </row>
    <row r="423" customFormat="false" ht="15.75" hidden="false" customHeight="false" outlineLevel="0" collapsed="false">
      <c r="A423" s="5"/>
      <c r="B423" s="118"/>
      <c r="C423" s="54"/>
      <c r="D423" s="55"/>
      <c r="E423" s="79"/>
      <c r="F423" s="57"/>
      <c r="G423" s="58"/>
      <c r="H423" s="58"/>
      <c r="I423" s="57"/>
      <c r="J423" s="58"/>
      <c r="K423" s="58"/>
      <c r="L423" s="57"/>
      <c r="M423" s="79"/>
      <c r="N423" s="60"/>
      <c r="O423" s="62" t="str">
        <f aca="false">IF(ISBLANK($C423),"",IF(E423=Constants!$B$2, TRUE(), IF(E423=Constants!$B$3, FALSE(), TRUE())))</f>
        <v/>
      </c>
      <c r="P423" s="62" t="str">
        <f aca="false">IF(ISBLANK($C423),"",IF(F423=Constants!$B$16,Constants!$B$9,IF(F423=Constants!$B$17,Constants!$B$10,Constants!$B$8)))</f>
        <v/>
      </c>
      <c r="Q423" s="62" t="str">
        <f aca="false">IF(ISBLANK($C423),"",IF(ISNUMBER(G423),IF(G423&gt;=0,G423,""),""))</f>
        <v/>
      </c>
      <c r="R423" s="62" t="str">
        <f aca="false">IF(ISBLANK($C423),"",IF(H423=Constants!$B$2, TRUE(), IF(H423=Constants!$B$3, FALSE(), TRUE())))</f>
        <v/>
      </c>
      <c r="S423" s="62" t="str">
        <f aca="false">IF(ISBLANK($C423),"",IF(I423=Constants!$B$2, TRUE(), IF(I423=Constants!$B$3, FALSE(), TRUE())))</f>
        <v/>
      </c>
      <c r="T423" s="62" t="str">
        <f aca="false">IF(ISBLANK($C423),"",IF(ISNUMBER(J423),IF(J423&gt;=0,J423,""),""))</f>
        <v/>
      </c>
      <c r="U423" s="62" t="str">
        <f aca="false">IF(ISBLANK($C423),"",IF(K423=Constants!$B$2, TRUE(), IF(K423=Constants!$B$3, FALSE(), TRUE())))</f>
        <v/>
      </c>
      <c r="V423" s="62" t="str">
        <f aca="false">IF(ISBLANK($C423),"",IF(L423=Constants!$B$2, TRUE(), IF(L423=Constants!$B$3, FALSE(), TRUE())))</f>
        <v/>
      </c>
      <c r="W423" s="62" t="str">
        <f aca="false">IF(ISBLANK($C423),"",IF(M423=Constants!$B$2, TRUE(), IF(M423=Constants!$B$3, FALSE(), FALSE())))</f>
        <v/>
      </c>
      <c r="X423" s="62" t="str">
        <f aca="false">IF(ISBLANK($C423),"",AND(Q423&lt;&gt;"",O423))</f>
        <v/>
      </c>
      <c r="Y423" s="62" t="str">
        <f aca="false">IF(ISBLANK($C423),"",AND(T423&lt;&gt;"",O423))</f>
        <v/>
      </c>
      <c r="Z423" s="62" t="str">
        <f aca="false">IF(ISBLANK($C423),"",IF(W423,Constants!$B$4,IF(COUNTA(E423:L423)=0,Constants!$B$5,IF(NOT(O423),Constants!$B$6,IF(AND(NOT(X423),NOT(Y423)),Constants!$B$6,Constants!$B$7)))))</f>
        <v/>
      </c>
      <c r="AA423" s="62" t="str">
        <f aca="false">IF(ISBLANK($C423),"",IF($Z423&lt;&gt;Constants!$B$7,$Z423,Constants!$B$20))</f>
        <v/>
      </c>
      <c r="AB423" s="62" t="str">
        <f aca="false">IF($Z423=Constants!$B$7,IF(X423,Q423,Constants!$B$13),"")</f>
        <v/>
      </c>
      <c r="AC423" s="62" t="str">
        <f aca="false">IF($Z423=Constants!$B$7,IF(X423,P423*IF(R423, 1, Constants!$B$11)*IF(S423, 1, Constants!$B$12),Constants!$B$13),"")</f>
        <v/>
      </c>
      <c r="AD423" s="62" t="str">
        <f aca="false">IF($Z423=Constants!$B$7,AB423*AC423,"")</f>
        <v/>
      </c>
      <c r="AE423" s="62" t="str">
        <f aca="false">IF($Z423=Constants!$B$7,IF(Y423,T423,Constants!$B$13),"")</f>
        <v/>
      </c>
      <c r="AF423" s="62" t="str">
        <f aca="false">IF($Z423=Constants!$B$7,IF(Y423,P423*IF(U423, 1, Constants!$B$11)*IF(V423, 1, Constants!$B$12),Constants!$B$13),"")</f>
        <v/>
      </c>
      <c r="AG423" s="62" t="str">
        <f aca="false">IF($Z423=Constants!$B$7,AE423*AF423,"")</f>
        <v/>
      </c>
      <c r="AH423" s="62" t="str">
        <f aca="false">IF($Z423=Constants!$B$7,IF(AG423&gt;AD423,2,1),"")</f>
        <v/>
      </c>
      <c r="AI423" s="62" t="str">
        <f aca="false">IF($Z423=Constants!$B$7,IF(AH423=1,2,1),"")</f>
        <v/>
      </c>
      <c r="AJ423" s="62" t="str">
        <f aca="false">IF(ISBLANK($C423),"",IF($Z423&lt;&gt;Constants!$B$7,$Z423,IF(AH423=1,AD423,AG423)))</f>
        <v/>
      </c>
      <c r="AK423" s="62" t="str">
        <f aca="false">IF(ISBLANK($C423),"",IF($Z423=Constants!$B$7,IF(ISNUMBER(AJ423),RANK(AJ423,$AJ$8:$AJ$507),Constants!$B$14),$Z423))</f>
        <v/>
      </c>
      <c r="AL423" s="62" t="str">
        <f aca="false">IF(ISBLANK($C423),"",IF($Z423=Constants!$B$7,IF(AI423=1,AD423,AG423),""))</f>
        <v/>
      </c>
      <c r="AM423" s="62" t="str">
        <f aca="false">IF(ISBLANK($C423),"",IF($Z423=Constants!$B$7,RANK(AL423,$AL$8:$AL$507),$Z423))</f>
        <v/>
      </c>
      <c r="AN423" s="62" t="str">
        <f aca="false">IF(ISBLANK($C423),"",IF($Z423=Constants!$B$7,IF(ISNUMBER(AK423),COUNTIFS($AK$8:$AK$507,"&lt;"&amp;$AK423)+COUNTIFS($AK$8:$AK$507,$AK423,$AM$8:$AM$507,"&lt;"&amp;$AM423)+1,Constants!$B$14),$Z423))</f>
        <v/>
      </c>
      <c r="AO423" s="62" t="str">
        <f aca="false">IF(ISBLANK($C423),"",IF($Z423=Constants!$B$7,IF(ISNUMBER(AK423),AK423-AN423,Constants!$B$14),$Z423))</f>
        <v/>
      </c>
      <c r="AP423" s="64"/>
      <c r="AQ423" s="65" t="str">
        <f aca="false">IF(ISBLANK($C423),"",IF($Z423&lt;&gt;Constants!$B$7,"",AH423))</f>
        <v/>
      </c>
      <c r="AR423" s="80" t="str">
        <f aca="false">IF(ISBLANK($C423),"",IF($Z423&lt;&gt;Constants!$B$7,"",IF(AH423=1,AB423,AE423)))</f>
        <v/>
      </c>
      <c r="AS423" s="67" t="str">
        <f aca="false">IF(ISBLANK($C423),"",IF($Z423&lt;&gt;Constants!$B$7,"",IF(AH423=1,AC423,AF423)))</f>
        <v/>
      </c>
      <c r="AT423" s="68" t="str">
        <f aca="false">IF(ISBLANK($C423),"",IF($Z423&lt;&gt;Constants!$B$7,$Z423,AJ423))</f>
        <v/>
      </c>
      <c r="AU423" s="69" t="str">
        <f aca="false">IF(ISBLANK($C423),"",IF($Z423&lt;&gt;Constants!$B$7,$Z423,AA423))</f>
        <v/>
      </c>
      <c r="AV423" s="70" t="str">
        <f aca="false">IF(ISBLANK($C423),"",AO423)</f>
        <v/>
      </c>
      <c r="AW423" s="70" t="str">
        <f aca="false">IF(ISBLANK($C423),"",AN423)</f>
        <v/>
      </c>
      <c r="AX423" s="71" t="str">
        <f aca="false">IF(ISBLANK($C423),"",IFERROR(_xlfn.SWITCH(AW423,Constants!$B$4,COUNTA($C$8:$C$507)+2,Constants!$B$5,COUNTA($C$8:$C$507)+1,Constants!$B$6,COUNTA($C$8:$C$507)),AW423))</f>
        <v/>
      </c>
      <c r="AY423" s="5"/>
      <c r="AZ423" s="72" t="n">
        <f aca="false">IF(OR(ISNUMBER(AW423),AW423=Constants!$B$4,AW423=Constants!$B$6,AW423=Constants!$B$5),1,0)</f>
        <v>0</v>
      </c>
      <c r="BA423" s="72" t="n">
        <v>416</v>
      </c>
      <c r="BB423" s="72" t="str">
        <f aca="false">IF(ISBLANK($C423),"",IF(ISNUMBER(AX423),AX423+ROW($B423)/1000,""))</f>
        <v/>
      </c>
      <c r="BC423" s="72" t="str">
        <f aca="false">IF(ISNUMBER(BB423),RANK(BB423,$BB$8:$BB$507,1),"")</f>
        <v/>
      </c>
      <c r="BD423" s="72" t="str">
        <f aca="false">IF(ISBLANK($C423),"",$B423)</f>
        <v/>
      </c>
      <c r="BE423" s="72" t="str">
        <f aca="false">IF(ISBLANK($C423),"",$C423)</f>
        <v/>
      </c>
      <c r="BF423" s="72" t="str">
        <f aca="false">IF(ISBLANK($C423),"",$D423)</f>
        <v/>
      </c>
      <c r="BG423" s="73" t="str">
        <f aca="false">AU423</f>
        <v/>
      </c>
      <c r="BH423" s="74" t="str">
        <f aca="false">AT423</f>
        <v/>
      </c>
      <c r="BI423" s="72" t="str">
        <f aca="false">IF(ISBLANK($C423),"",AW423)</f>
        <v/>
      </c>
      <c r="BJ423" s="75" t="str">
        <f aca="false">IF($BA423&gt;$AZ$7,"",VLOOKUP($BA423,$BC$8:$BI$507,7,FALSE()))</f>
        <v/>
      </c>
      <c r="BK423" s="76" t="str">
        <f aca="false">IF($BA423&gt;$AZ$7,"",VLOOKUP($BA423,$BC$8:$BI$507,2,FALSE()))</f>
        <v/>
      </c>
      <c r="BL423" s="76" t="str">
        <f aca="false">IF($BA423&gt;$AZ$7,"",VLOOKUP($BA423,$BC$8:$BI$507,3,FALSE()))</f>
        <v/>
      </c>
      <c r="BM423" s="76" t="str">
        <f aca="false">IF($BA423&gt;$AZ$7,"",VLOOKUP($BA423,$BC$8:$BI$507,4,FALSE()))</f>
        <v/>
      </c>
      <c r="BN423" s="76" t="str">
        <f aca="false">IF($BA423&gt;$AZ$7,"",VLOOKUP($BA423,$BC$8:$BI$507,5,FALSE()))</f>
        <v/>
      </c>
      <c r="BO423" s="77" t="str">
        <f aca="false">IF($BA423&gt;$AZ$7,"",VLOOKUP($BA423,$BC$8:$BI$507,6,FALSE()))</f>
        <v/>
      </c>
      <c r="BP423" s="52"/>
    </row>
    <row r="424" customFormat="false" ht="15.75" hidden="false" customHeight="false" outlineLevel="0" collapsed="false">
      <c r="A424" s="5"/>
      <c r="B424" s="118"/>
      <c r="C424" s="54"/>
      <c r="D424" s="55"/>
      <c r="E424" s="79"/>
      <c r="F424" s="57"/>
      <c r="G424" s="58"/>
      <c r="H424" s="58"/>
      <c r="I424" s="57"/>
      <c r="J424" s="58"/>
      <c r="K424" s="58"/>
      <c r="L424" s="57"/>
      <c r="M424" s="79"/>
      <c r="N424" s="60"/>
      <c r="O424" s="62" t="str">
        <f aca="false">IF(ISBLANK($C424),"",IF(E424=Constants!$B$2, TRUE(), IF(E424=Constants!$B$3, FALSE(), TRUE())))</f>
        <v/>
      </c>
      <c r="P424" s="62" t="str">
        <f aca="false">IF(ISBLANK($C424),"",IF(F424=Constants!$B$16,Constants!$B$9,IF(F424=Constants!$B$17,Constants!$B$10,Constants!$B$8)))</f>
        <v/>
      </c>
      <c r="Q424" s="62" t="str">
        <f aca="false">IF(ISBLANK($C424),"",IF(ISNUMBER(G424),IF(G424&gt;=0,G424,""),""))</f>
        <v/>
      </c>
      <c r="R424" s="62" t="str">
        <f aca="false">IF(ISBLANK($C424),"",IF(H424=Constants!$B$2, TRUE(), IF(H424=Constants!$B$3, FALSE(), TRUE())))</f>
        <v/>
      </c>
      <c r="S424" s="62" t="str">
        <f aca="false">IF(ISBLANK($C424),"",IF(I424=Constants!$B$2, TRUE(), IF(I424=Constants!$B$3, FALSE(), TRUE())))</f>
        <v/>
      </c>
      <c r="T424" s="62" t="str">
        <f aca="false">IF(ISBLANK($C424),"",IF(ISNUMBER(J424),IF(J424&gt;=0,J424,""),""))</f>
        <v/>
      </c>
      <c r="U424" s="62" t="str">
        <f aca="false">IF(ISBLANK($C424),"",IF(K424=Constants!$B$2, TRUE(), IF(K424=Constants!$B$3, FALSE(), TRUE())))</f>
        <v/>
      </c>
      <c r="V424" s="62" t="str">
        <f aca="false">IF(ISBLANK($C424),"",IF(L424=Constants!$B$2, TRUE(), IF(L424=Constants!$B$3, FALSE(), TRUE())))</f>
        <v/>
      </c>
      <c r="W424" s="62" t="str">
        <f aca="false">IF(ISBLANK($C424),"",IF(M424=Constants!$B$2, TRUE(), IF(M424=Constants!$B$3, FALSE(), FALSE())))</f>
        <v/>
      </c>
      <c r="X424" s="62" t="str">
        <f aca="false">IF(ISBLANK($C424),"",AND(Q424&lt;&gt;"",O424))</f>
        <v/>
      </c>
      <c r="Y424" s="62" t="str">
        <f aca="false">IF(ISBLANK($C424),"",AND(T424&lt;&gt;"",O424))</f>
        <v/>
      </c>
      <c r="Z424" s="62" t="str">
        <f aca="false">IF(ISBLANK($C424),"",IF(W424,Constants!$B$4,IF(COUNTA(E424:L424)=0,Constants!$B$5,IF(NOT(O424),Constants!$B$6,IF(AND(NOT(X424),NOT(Y424)),Constants!$B$6,Constants!$B$7)))))</f>
        <v/>
      </c>
      <c r="AA424" s="62" t="str">
        <f aca="false">IF(ISBLANK($C424),"",IF($Z424&lt;&gt;Constants!$B$7,$Z424,Constants!$B$20))</f>
        <v/>
      </c>
      <c r="AB424" s="62" t="str">
        <f aca="false">IF($Z424=Constants!$B$7,IF(X424,Q424,Constants!$B$13),"")</f>
        <v/>
      </c>
      <c r="AC424" s="62" t="str">
        <f aca="false">IF($Z424=Constants!$B$7,IF(X424,P424*IF(R424, 1, Constants!$B$11)*IF(S424, 1, Constants!$B$12),Constants!$B$13),"")</f>
        <v/>
      </c>
      <c r="AD424" s="62" t="str">
        <f aca="false">IF($Z424=Constants!$B$7,AB424*AC424,"")</f>
        <v/>
      </c>
      <c r="AE424" s="62" t="str">
        <f aca="false">IF($Z424=Constants!$B$7,IF(Y424,T424,Constants!$B$13),"")</f>
        <v/>
      </c>
      <c r="AF424" s="62" t="str">
        <f aca="false">IF($Z424=Constants!$B$7,IF(Y424,P424*IF(U424, 1, Constants!$B$11)*IF(V424, 1, Constants!$B$12),Constants!$B$13),"")</f>
        <v/>
      </c>
      <c r="AG424" s="62" t="str">
        <f aca="false">IF($Z424=Constants!$B$7,AE424*AF424,"")</f>
        <v/>
      </c>
      <c r="AH424" s="62" t="str">
        <f aca="false">IF($Z424=Constants!$B$7,IF(AG424&gt;AD424,2,1),"")</f>
        <v/>
      </c>
      <c r="AI424" s="62" t="str">
        <f aca="false">IF($Z424=Constants!$B$7,IF(AH424=1,2,1),"")</f>
        <v/>
      </c>
      <c r="AJ424" s="62" t="str">
        <f aca="false">IF(ISBLANK($C424),"",IF($Z424&lt;&gt;Constants!$B$7,$Z424,IF(AH424=1,AD424,AG424)))</f>
        <v/>
      </c>
      <c r="AK424" s="62" t="str">
        <f aca="false">IF(ISBLANK($C424),"",IF($Z424=Constants!$B$7,IF(ISNUMBER(AJ424),RANK(AJ424,$AJ$8:$AJ$507),Constants!$B$14),$Z424))</f>
        <v/>
      </c>
      <c r="AL424" s="62" t="str">
        <f aca="false">IF(ISBLANK($C424),"",IF($Z424=Constants!$B$7,IF(AI424=1,AD424,AG424),""))</f>
        <v/>
      </c>
      <c r="AM424" s="62" t="str">
        <f aca="false">IF(ISBLANK($C424),"",IF($Z424=Constants!$B$7,RANK(AL424,$AL$8:$AL$507),$Z424))</f>
        <v/>
      </c>
      <c r="AN424" s="62" t="str">
        <f aca="false">IF(ISBLANK($C424),"",IF($Z424=Constants!$B$7,IF(ISNUMBER(AK424),COUNTIFS($AK$8:$AK$507,"&lt;"&amp;$AK424)+COUNTIFS($AK$8:$AK$507,$AK424,$AM$8:$AM$507,"&lt;"&amp;$AM424)+1,Constants!$B$14),$Z424))</f>
        <v/>
      </c>
      <c r="AO424" s="62" t="str">
        <f aca="false">IF(ISBLANK($C424),"",IF($Z424=Constants!$B$7,IF(ISNUMBER(AK424),AK424-AN424,Constants!$B$14),$Z424))</f>
        <v/>
      </c>
      <c r="AP424" s="64"/>
      <c r="AQ424" s="65" t="str">
        <f aca="false">IF(ISBLANK($C424),"",IF($Z424&lt;&gt;Constants!$B$7,"",AH424))</f>
        <v/>
      </c>
      <c r="AR424" s="80" t="str">
        <f aca="false">IF(ISBLANK($C424),"",IF($Z424&lt;&gt;Constants!$B$7,"",IF(AH424=1,AB424,AE424)))</f>
        <v/>
      </c>
      <c r="AS424" s="67" t="str">
        <f aca="false">IF(ISBLANK($C424),"",IF($Z424&lt;&gt;Constants!$B$7,"",IF(AH424=1,AC424,AF424)))</f>
        <v/>
      </c>
      <c r="AT424" s="68" t="str">
        <f aca="false">IF(ISBLANK($C424),"",IF($Z424&lt;&gt;Constants!$B$7,$Z424,AJ424))</f>
        <v/>
      </c>
      <c r="AU424" s="69" t="str">
        <f aca="false">IF(ISBLANK($C424),"",IF($Z424&lt;&gt;Constants!$B$7,$Z424,AA424))</f>
        <v/>
      </c>
      <c r="AV424" s="70" t="str">
        <f aca="false">IF(ISBLANK($C424),"",AO424)</f>
        <v/>
      </c>
      <c r="AW424" s="70" t="str">
        <f aca="false">IF(ISBLANK($C424),"",AN424)</f>
        <v/>
      </c>
      <c r="AX424" s="71" t="str">
        <f aca="false">IF(ISBLANK($C424),"",IFERROR(_xlfn.SWITCH(AW424,Constants!$B$4,COUNTA($C$8:$C$507)+2,Constants!$B$5,COUNTA($C$8:$C$507)+1,Constants!$B$6,COUNTA($C$8:$C$507)),AW424))</f>
        <v/>
      </c>
      <c r="AY424" s="5"/>
      <c r="AZ424" s="72" t="n">
        <f aca="false">IF(OR(ISNUMBER(AW424),AW424=Constants!$B$4,AW424=Constants!$B$6,AW424=Constants!$B$5),1,0)</f>
        <v>0</v>
      </c>
      <c r="BA424" s="72" t="n">
        <v>417</v>
      </c>
      <c r="BB424" s="72" t="str">
        <f aca="false">IF(ISBLANK($C424),"",IF(ISNUMBER(AX424),AX424+ROW($B424)/1000,""))</f>
        <v/>
      </c>
      <c r="BC424" s="72" t="str">
        <f aca="false">IF(ISNUMBER(BB424),RANK(BB424,$BB$8:$BB$507,1),"")</f>
        <v/>
      </c>
      <c r="BD424" s="72" t="str">
        <f aca="false">IF(ISBLANK($C424),"",$B424)</f>
        <v/>
      </c>
      <c r="BE424" s="72" t="str">
        <f aca="false">IF(ISBLANK($C424),"",$C424)</f>
        <v/>
      </c>
      <c r="BF424" s="72" t="str">
        <f aca="false">IF(ISBLANK($C424),"",$D424)</f>
        <v/>
      </c>
      <c r="BG424" s="73" t="str">
        <f aca="false">AU424</f>
        <v/>
      </c>
      <c r="BH424" s="74" t="str">
        <f aca="false">AT424</f>
        <v/>
      </c>
      <c r="BI424" s="72" t="str">
        <f aca="false">IF(ISBLANK($C424),"",AW424)</f>
        <v/>
      </c>
      <c r="BJ424" s="75" t="str">
        <f aca="false">IF($BA424&gt;$AZ$7,"",VLOOKUP($BA424,$BC$8:$BI$507,7,FALSE()))</f>
        <v/>
      </c>
      <c r="BK424" s="76" t="str">
        <f aca="false">IF($BA424&gt;$AZ$7,"",VLOOKUP($BA424,$BC$8:$BI$507,2,FALSE()))</f>
        <v/>
      </c>
      <c r="BL424" s="76" t="str">
        <f aca="false">IF($BA424&gt;$AZ$7,"",VLOOKUP($BA424,$BC$8:$BI$507,3,FALSE()))</f>
        <v/>
      </c>
      <c r="BM424" s="76" t="str">
        <f aca="false">IF($BA424&gt;$AZ$7,"",VLOOKUP($BA424,$BC$8:$BI$507,4,FALSE()))</f>
        <v/>
      </c>
      <c r="BN424" s="76" t="str">
        <f aca="false">IF($BA424&gt;$AZ$7,"",VLOOKUP($BA424,$BC$8:$BI$507,5,FALSE()))</f>
        <v/>
      </c>
      <c r="BO424" s="77" t="str">
        <f aca="false">IF($BA424&gt;$AZ$7,"",VLOOKUP($BA424,$BC$8:$BI$507,6,FALSE()))</f>
        <v/>
      </c>
      <c r="BP424" s="52"/>
    </row>
    <row r="425" customFormat="false" ht="15.75" hidden="false" customHeight="false" outlineLevel="0" collapsed="false">
      <c r="A425" s="5"/>
      <c r="B425" s="114"/>
      <c r="C425" s="115"/>
      <c r="D425" s="106"/>
      <c r="E425" s="117"/>
      <c r="F425" s="87"/>
      <c r="G425" s="88"/>
      <c r="H425" s="88"/>
      <c r="I425" s="87"/>
      <c r="J425" s="88"/>
      <c r="K425" s="88"/>
      <c r="L425" s="87"/>
      <c r="M425" s="117"/>
      <c r="N425" s="90"/>
      <c r="O425" s="91" t="str">
        <f aca="false">IF(ISBLANK($C425),"",IF(E425=Constants!$B$2, TRUE(), IF(E425=Constants!$B$3, FALSE(), TRUE())))</f>
        <v/>
      </c>
      <c r="P425" s="91" t="str">
        <f aca="false">IF(ISBLANK($C425),"",IF(F425=Constants!$B$16,Constants!$B$9,IF(F425=Constants!$B$17,Constants!$B$10,Constants!$B$8)))</f>
        <v/>
      </c>
      <c r="Q425" s="91" t="str">
        <f aca="false">IF(ISBLANK($C425),"",IF(ISNUMBER(G425),IF(G425&gt;=0,G425,""),""))</f>
        <v/>
      </c>
      <c r="R425" s="91" t="str">
        <f aca="false">IF(ISBLANK($C425),"",IF(H425=Constants!$B$2, TRUE(), IF(H425=Constants!$B$3, FALSE(), TRUE())))</f>
        <v/>
      </c>
      <c r="S425" s="91" t="str">
        <f aca="false">IF(ISBLANK($C425),"",IF(I425=Constants!$B$2, TRUE(), IF(I425=Constants!$B$3, FALSE(), TRUE())))</f>
        <v/>
      </c>
      <c r="T425" s="91" t="str">
        <f aca="false">IF(ISBLANK($C425),"",IF(ISNUMBER(J425),IF(J425&gt;=0,J425,""),""))</f>
        <v/>
      </c>
      <c r="U425" s="91" t="str">
        <f aca="false">IF(ISBLANK($C425),"",IF(K425=Constants!$B$2, TRUE(), IF(K425=Constants!$B$3, FALSE(), TRUE())))</f>
        <v/>
      </c>
      <c r="V425" s="91" t="str">
        <f aca="false">IF(ISBLANK($C425),"",IF(L425=Constants!$B$2, TRUE(), IF(L425=Constants!$B$3, FALSE(), TRUE())))</f>
        <v/>
      </c>
      <c r="W425" s="91" t="str">
        <f aca="false">IF(ISBLANK($C425),"",IF(M425=Constants!$B$2, TRUE(), IF(M425=Constants!$B$3, FALSE(), FALSE())))</f>
        <v/>
      </c>
      <c r="X425" s="91" t="str">
        <f aca="false">IF(ISBLANK($C425),"",AND(Q425&lt;&gt;"",O425))</f>
        <v/>
      </c>
      <c r="Y425" s="91" t="str">
        <f aca="false">IF(ISBLANK($C425),"",AND(T425&lt;&gt;"",O425))</f>
        <v/>
      </c>
      <c r="Z425" s="91" t="str">
        <f aca="false">IF(ISBLANK($C425),"",IF(W425,Constants!$B$4,IF(COUNTA(E425:L425)=0,Constants!$B$5,IF(NOT(O425),Constants!$B$6,IF(AND(NOT(X425),NOT(Y425)),Constants!$B$6,Constants!$B$7)))))</f>
        <v/>
      </c>
      <c r="AA425" s="91" t="str">
        <f aca="false">IF(ISBLANK($C425),"",IF($Z425&lt;&gt;Constants!$B$7,$Z425,Constants!$B$20))</f>
        <v/>
      </c>
      <c r="AB425" s="91" t="str">
        <f aca="false">IF($Z425=Constants!$B$7,IF(X425,Q425,Constants!$B$13),"")</f>
        <v/>
      </c>
      <c r="AC425" s="91" t="str">
        <f aca="false">IF($Z425=Constants!$B$7,IF(X425,P425*IF(R425, 1, Constants!$B$11)*IF(S425, 1, Constants!$B$12),Constants!$B$13),"")</f>
        <v/>
      </c>
      <c r="AD425" s="91" t="str">
        <f aca="false">IF($Z425=Constants!$B$7,AB425*AC425,"")</f>
        <v/>
      </c>
      <c r="AE425" s="91" t="str">
        <f aca="false">IF($Z425=Constants!$B$7,IF(Y425,T425,Constants!$B$13),"")</f>
        <v/>
      </c>
      <c r="AF425" s="91" t="str">
        <f aca="false">IF($Z425=Constants!$B$7,IF(Y425,P425*IF(U425, 1, Constants!$B$11)*IF(V425, 1, Constants!$B$12),Constants!$B$13),"")</f>
        <v/>
      </c>
      <c r="AG425" s="91" t="str">
        <f aca="false">IF($Z425=Constants!$B$7,AE425*AF425,"")</f>
        <v/>
      </c>
      <c r="AH425" s="91" t="str">
        <f aca="false">IF($Z425=Constants!$B$7,IF(AG425&gt;AD425,2,1),"")</f>
        <v/>
      </c>
      <c r="AI425" s="91" t="str">
        <f aca="false">IF($Z425=Constants!$B$7,IF(AH425=1,2,1),"")</f>
        <v/>
      </c>
      <c r="AJ425" s="91" t="str">
        <f aca="false">IF(ISBLANK($C425),"",IF($Z425&lt;&gt;Constants!$B$7,$Z425,IF(AH425=1,AD425,AG425)))</f>
        <v/>
      </c>
      <c r="AK425" s="91" t="str">
        <f aca="false">IF(ISBLANK($C425),"",IF($Z425=Constants!$B$7,IF(ISNUMBER(AJ425),RANK(AJ425,$AJ$8:$AJ$507),Constants!$B$14),$Z425))</f>
        <v/>
      </c>
      <c r="AL425" s="91" t="str">
        <f aca="false">IF(ISBLANK($C425),"",IF($Z425=Constants!$B$7,IF(AI425=1,AD425,AG425),""))</f>
        <v/>
      </c>
      <c r="AM425" s="91" t="str">
        <f aca="false">IF(ISBLANK($C425),"",IF($Z425=Constants!$B$7,RANK(AL425,$AL$8:$AL$507),$Z425))</f>
        <v/>
      </c>
      <c r="AN425" s="91" t="str">
        <f aca="false">IF(ISBLANK($C425),"",IF($Z425=Constants!$B$7,IF(ISNUMBER(AK425),COUNTIFS($AK$8:$AK$507,"&lt;"&amp;$AK425)+COUNTIFS($AK$8:$AK$507,$AK425,$AM$8:$AM$507,"&lt;"&amp;$AM425)+1,Constants!$B$14),$Z425))</f>
        <v/>
      </c>
      <c r="AO425" s="91" t="str">
        <f aca="false">IF(ISBLANK($C425),"",IF($Z425=Constants!$B$7,IF(ISNUMBER(AK425),AK425-AN425,Constants!$B$14),$Z425))</f>
        <v/>
      </c>
      <c r="AP425" s="92"/>
      <c r="AQ425" s="93" t="str">
        <f aca="false">IF(ISBLANK($C425),"",IF($Z425&lt;&gt;Constants!$B$7,"",AH425))</f>
        <v/>
      </c>
      <c r="AR425" s="94" t="str">
        <f aca="false">IF(ISBLANK($C425),"",IF($Z425&lt;&gt;Constants!$B$7,"",IF(AH425=1,AB425,AE425)))</f>
        <v/>
      </c>
      <c r="AS425" s="95" t="str">
        <f aca="false">IF(ISBLANK($C425),"",IF($Z425&lt;&gt;Constants!$B$7,"",IF(AH425=1,AC425,AF425)))</f>
        <v/>
      </c>
      <c r="AT425" s="96" t="str">
        <f aca="false">IF(ISBLANK($C425),"",IF($Z425&lt;&gt;Constants!$B$7,$Z425,AJ425))</f>
        <v/>
      </c>
      <c r="AU425" s="97" t="str">
        <f aca="false">IF(ISBLANK($C425),"",IF($Z425&lt;&gt;Constants!$B$7,$Z425,AA425))</f>
        <v/>
      </c>
      <c r="AV425" s="98" t="str">
        <f aca="false">IF(ISBLANK($C425),"",AO425)</f>
        <v/>
      </c>
      <c r="AW425" s="98" t="str">
        <f aca="false">IF(ISBLANK($C425),"",AN425)</f>
        <v/>
      </c>
      <c r="AX425" s="99" t="str">
        <f aca="false">IF(ISBLANK($C425),"",IFERROR(_xlfn.SWITCH(AW425,Constants!$B$4,COUNTA($C$8:$C$507)+2,Constants!$B$5,COUNTA($C$8:$C$507)+1,Constants!$B$6,COUNTA($C$8:$C$507)),AW425))</f>
        <v/>
      </c>
      <c r="AY425" s="5"/>
      <c r="AZ425" s="100" t="n">
        <f aca="false">IF(OR(ISNUMBER(AW425),AW425=Constants!$B$4,AW425=Constants!$B$6,AW425=Constants!$B$5),1,0)</f>
        <v>0</v>
      </c>
      <c r="BA425" s="100" t="n">
        <v>418</v>
      </c>
      <c r="BB425" s="100" t="str">
        <f aca="false">IF(ISBLANK($C425),"",IF(ISNUMBER(AX425),AX425+ROW($B425)/1000,""))</f>
        <v/>
      </c>
      <c r="BC425" s="100" t="str">
        <f aca="false">IF(ISNUMBER(BB425),RANK(BB425,$BB$8:$BB$507,1),"")</f>
        <v/>
      </c>
      <c r="BD425" s="100" t="str">
        <f aca="false">IF(ISBLANK($C425),"",$B425)</f>
        <v/>
      </c>
      <c r="BE425" s="100" t="str">
        <f aca="false">IF(ISBLANK($C425),"",$C425)</f>
        <v/>
      </c>
      <c r="BF425" s="100" t="str">
        <f aca="false">IF(ISBLANK($C425),"",$D425)</f>
        <v/>
      </c>
      <c r="BG425" s="101" t="str">
        <f aca="false">AU425</f>
        <v/>
      </c>
      <c r="BH425" s="102" t="str">
        <f aca="false">AT425</f>
        <v/>
      </c>
      <c r="BI425" s="100" t="str">
        <f aca="false">IF(ISBLANK($C425),"",AW425)</f>
        <v/>
      </c>
      <c r="BJ425" s="103" t="str">
        <f aca="false">IF($BA425&gt;$AZ$7,"",VLOOKUP($BA425,$BC$8:$BI$507,7,FALSE()))</f>
        <v/>
      </c>
      <c r="BK425" s="104" t="str">
        <f aca="false">IF($BA425&gt;$AZ$7,"",VLOOKUP($BA425,$BC$8:$BI$507,2,FALSE()))</f>
        <v/>
      </c>
      <c r="BL425" s="104" t="str">
        <f aca="false">IF($BA425&gt;$AZ$7,"",VLOOKUP($BA425,$BC$8:$BI$507,3,FALSE()))</f>
        <v/>
      </c>
      <c r="BM425" s="104" t="str">
        <f aca="false">IF($BA425&gt;$AZ$7,"",VLOOKUP($BA425,$BC$8:$BI$507,4,FALSE()))</f>
        <v/>
      </c>
      <c r="BN425" s="104" t="str">
        <f aca="false">IF($BA425&gt;$AZ$7,"",VLOOKUP($BA425,$BC$8:$BI$507,5,FALSE()))</f>
        <v/>
      </c>
      <c r="BO425" s="105" t="str">
        <f aca="false">IF($BA425&gt;$AZ$7,"",VLOOKUP($BA425,$BC$8:$BI$507,6,FALSE()))</f>
        <v/>
      </c>
      <c r="BP425" s="52"/>
    </row>
    <row r="426" customFormat="false" ht="15.75" hidden="false" customHeight="false" outlineLevel="0" collapsed="false">
      <c r="A426" s="5"/>
      <c r="B426" s="114"/>
      <c r="C426" s="115"/>
      <c r="D426" s="106"/>
      <c r="E426" s="117"/>
      <c r="F426" s="87"/>
      <c r="G426" s="88"/>
      <c r="H426" s="88"/>
      <c r="I426" s="87"/>
      <c r="J426" s="88"/>
      <c r="K426" s="88"/>
      <c r="L426" s="87"/>
      <c r="M426" s="117"/>
      <c r="N426" s="90"/>
      <c r="O426" s="91" t="str">
        <f aca="false">IF(ISBLANK($C426),"",IF(E426=Constants!$B$2, TRUE(), IF(E426=Constants!$B$3, FALSE(), TRUE())))</f>
        <v/>
      </c>
      <c r="P426" s="91" t="str">
        <f aca="false">IF(ISBLANK($C426),"",IF(F426=Constants!$B$16,Constants!$B$9,IF(F426=Constants!$B$17,Constants!$B$10,Constants!$B$8)))</f>
        <v/>
      </c>
      <c r="Q426" s="91" t="str">
        <f aca="false">IF(ISBLANK($C426),"",IF(ISNUMBER(G426),IF(G426&gt;=0,G426,""),""))</f>
        <v/>
      </c>
      <c r="R426" s="91" t="str">
        <f aca="false">IF(ISBLANK($C426),"",IF(H426=Constants!$B$2, TRUE(), IF(H426=Constants!$B$3, FALSE(), TRUE())))</f>
        <v/>
      </c>
      <c r="S426" s="91" t="str">
        <f aca="false">IF(ISBLANK($C426),"",IF(I426=Constants!$B$2, TRUE(), IF(I426=Constants!$B$3, FALSE(), TRUE())))</f>
        <v/>
      </c>
      <c r="T426" s="91" t="str">
        <f aca="false">IF(ISBLANK($C426),"",IF(ISNUMBER(J426),IF(J426&gt;=0,J426,""),""))</f>
        <v/>
      </c>
      <c r="U426" s="91" t="str">
        <f aca="false">IF(ISBLANK($C426),"",IF(K426=Constants!$B$2, TRUE(), IF(K426=Constants!$B$3, FALSE(), TRUE())))</f>
        <v/>
      </c>
      <c r="V426" s="91" t="str">
        <f aca="false">IF(ISBLANK($C426),"",IF(L426=Constants!$B$2, TRUE(), IF(L426=Constants!$B$3, FALSE(), TRUE())))</f>
        <v/>
      </c>
      <c r="W426" s="91" t="str">
        <f aca="false">IF(ISBLANK($C426),"",IF(M426=Constants!$B$2, TRUE(), IF(M426=Constants!$B$3, FALSE(), FALSE())))</f>
        <v/>
      </c>
      <c r="X426" s="91" t="str">
        <f aca="false">IF(ISBLANK($C426),"",AND(Q426&lt;&gt;"",O426))</f>
        <v/>
      </c>
      <c r="Y426" s="91" t="str">
        <f aca="false">IF(ISBLANK($C426),"",AND(T426&lt;&gt;"",O426))</f>
        <v/>
      </c>
      <c r="Z426" s="91" t="str">
        <f aca="false">IF(ISBLANK($C426),"",IF(W426,Constants!$B$4,IF(COUNTA(E426:L426)=0,Constants!$B$5,IF(NOT(O426),Constants!$B$6,IF(AND(NOT(X426),NOT(Y426)),Constants!$B$6,Constants!$B$7)))))</f>
        <v/>
      </c>
      <c r="AA426" s="91" t="str">
        <f aca="false">IF(ISBLANK($C426),"",IF($Z426&lt;&gt;Constants!$B$7,$Z426,Constants!$B$20))</f>
        <v/>
      </c>
      <c r="AB426" s="91" t="str">
        <f aca="false">IF($Z426=Constants!$B$7,IF(X426,Q426,Constants!$B$13),"")</f>
        <v/>
      </c>
      <c r="AC426" s="91" t="str">
        <f aca="false">IF($Z426=Constants!$B$7,IF(X426,P426*IF(R426, 1, Constants!$B$11)*IF(S426, 1, Constants!$B$12),Constants!$B$13),"")</f>
        <v/>
      </c>
      <c r="AD426" s="91" t="str">
        <f aca="false">IF($Z426=Constants!$B$7,AB426*AC426,"")</f>
        <v/>
      </c>
      <c r="AE426" s="91" t="str">
        <f aca="false">IF($Z426=Constants!$B$7,IF(Y426,T426,Constants!$B$13),"")</f>
        <v/>
      </c>
      <c r="AF426" s="91" t="str">
        <f aca="false">IF($Z426=Constants!$B$7,IF(Y426,P426*IF(U426, 1, Constants!$B$11)*IF(V426, 1, Constants!$B$12),Constants!$B$13),"")</f>
        <v/>
      </c>
      <c r="AG426" s="91" t="str">
        <f aca="false">IF($Z426=Constants!$B$7,AE426*AF426,"")</f>
        <v/>
      </c>
      <c r="AH426" s="91" t="str">
        <f aca="false">IF($Z426=Constants!$B$7,IF(AG426&gt;AD426,2,1),"")</f>
        <v/>
      </c>
      <c r="AI426" s="91" t="str">
        <f aca="false">IF($Z426=Constants!$B$7,IF(AH426=1,2,1),"")</f>
        <v/>
      </c>
      <c r="AJ426" s="91" t="str">
        <f aca="false">IF(ISBLANK($C426),"",IF($Z426&lt;&gt;Constants!$B$7,$Z426,IF(AH426=1,AD426,AG426)))</f>
        <v/>
      </c>
      <c r="AK426" s="91" t="str">
        <f aca="false">IF(ISBLANK($C426),"",IF($Z426=Constants!$B$7,IF(ISNUMBER(AJ426),RANK(AJ426,$AJ$8:$AJ$507),Constants!$B$14),$Z426))</f>
        <v/>
      </c>
      <c r="AL426" s="91" t="str">
        <f aca="false">IF(ISBLANK($C426),"",IF($Z426=Constants!$B$7,IF(AI426=1,AD426,AG426),""))</f>
        <v/>
      </c>
      <c r="AM426" s="91" t="str">
        <f aca="false">IF(ISBLANK($C426),"",IF($Z426=Constants!$B$7,RANK(AL426,$AL$8:$AL$507),$Z426))</f>
        <v/>
      </c>
      <c r="AN426" s="91" t="str">
        <f aca="false">IF(ISBLANK($C426),"",IF($Z426=Constants!$B$7,IF(ISNUMBER(AK426),COUNTIFS($AK$8:$AK$507,"&lt;"&amp;$AK426)+COUNTIFS($AK$8:$AK$507,$AK426,$AM$8:$AM$507,"&lt;"&amp;$AM426)+1,Constants!$B$14),$Z426))</f>
        <v/>
      </c>
      <c r="AO426" s="91" t="str">
        <f aca="false">IF(ISBLANK($C426),"",IF($Z426=Constants!$B$7,IF(ISNUMBER(AK426),AK426-AN426,Constants!$B$14),$Z426))</f>
        <v/>
      </c>
      <c r="AP426" s="92"/>
      <c r="AQ426" s="93" t="str">
        <f aca="false">IF(ISBLANK($C426),"",IF($Z426&lt;&gt;Constants!$B$7,"",AH426))</f>
        <v/>
      </c>
      <c r="AR426" s="94" t="str">
        <f aca="false">IF(ISBLANK($C426),"",IF($Z426&lt;&gt;Constants!$B$7,"",IF(AH426=1,AB426,AE426)))</f>
        <v/>
      </c>
      <c r="AS426" s="95" t="str">
        <f aca="false">IF(ISBLANK($C426),"",IF($Z426&lt;&gt;Constants!$B$7,"",IF(AH426=1,AC426,AF426)))</f>
        <v/>
      </c>
      <c r="AT426" s="96" t="str">
        <f aca="false">IF(ISBLANK($C426),"",IF($Z426&lt;&gt;Constants!$B$7,$Z426,AJ426))</f>
        <v/>
      </c>
      <c r="AU426" s="97" t="str">
        <f aca="false">IF(ISBLANK($C426),"",IF($Z426&lt;&gt;Constants!$B$7,$Z426,AA426))</f>
        <v/>
      </c>
      <c r="AV426" s="98" t="str">
        <f aca="false">IF(ISBLANK($C426),"",AO426)</f>
        <v/>
      </c>
      <c r="AW426" s="98" t="str">
        <f aca="false">IF(ISBLANK($C426),"",AN426)</f>
        <v/>
      </c>
      <c r="AX426" s="99" t="str">
        <f aca="false">IF(ISBLANK($C426),"",IFERROR(_xlfn.SWITCH(AW426,Constants!$B$4,COUNTA($C$8:$C$507)+2,Constants!$B$5,COUNTA($C$8:$C$507)+1,Constants!$B$6,COUNTA($C$8:$C$507)),AW426))</f>
        <v/>
      </c>
      <c r="AY426" s="5"/>
      <c r="AZ426" s="100" t="n">
        <f aca="false">IF(OR(ISNUMBER(AW426),AW426=Constants!$B$4,AW426=Constants!$B$6,AW426=Constants!$B$5),1,0)</f>
        <v>0</v>
      </c>
      <c r="BA426" s="100" t="n">
        <v>419</v>
      </c>
      <c r="BB426" s="100" t="str">
        <f aca="false">IF(ISBLANK($C426),"",IF(ISNUMBER(AX426),AX426+ROW($B426)/1000,""))</f>
        <v/>
      </c>
      <c r="BC426" s="100" t="str">
        <f aca="false">IF(ISNUMBER(BB426),RANK(BB426,$BB$8:$BB$507,1),"")</f>
        <v/>
      </c>
      <c r="BD426" s="100" t="str">
        <f aca="false">IF(ISBLANK($C426),"",$B426)</f>
        <v/>
      </c>
      <c r="BE426" s="100" t="str">
        <f aca="false">IF(ISBLANK($C426),"",$C426)</f>
        <v/>
      </c>
      <c r="BF426" s="100" t="str">
        <f aca="false">IF(ISBLANK($C426),"",$D426)</f>
        <v/>
      </c>
      <c r="BG426" s="101" t="str">
        <f aca="false">AU426</f>
        <v/>
      </c>
      <c r="BH426" s="102" t="str">
        <f aca="false">AT426</f>
        <v/>
      </c>
      <c r="BI426" s="100" t="str">
        <f aca="false">IF(ISBLANK($C426),"",AW426)</f>
        <v/>
      </c>
      <c r="BJ426" s="103" t="str">
        <f aca="false">IF($BA426&gt;$AZ$7,"",VLOOKUP($BA426,$BC$8:$BI$507,7,FALSE()))</f>
        <v/>
      </c>
      <c r="BK426" s="104" t="str">
        <f aca="false">IF($BA426&gt;$AZ$7,"",VLOOKUP($BA426,$BC$8:$BI$507,2,FALSE()))</f>
        <v/>
      </c>
      <c r="BL426" s="104" t="str">
        <f aca="false">IF($BA426&gt;$AZ$7,"",VLOOKUP($BA426,$BC$8:$BI$507,3,FALSE()))</f>
        <v/>
      </c>
      <c r="BM426" s="104" t="str">
        <f aca="false">IF($BA426&gt;$AZ$7,"",VLOOKUP($BA426,$BC$8:$BI$507,4,FALSE()))</f>
        <v/>
      </c>
      <c r="BN426" s="104" t="str">
        <f aca="false">IF($BA426&gt;$AZ$7,"",VLOOKUP($BA426,$BC$8:$BI$507,5,FALSE()))</f>
        <v/>
      </c>
      <c r="BO426" s="105" t="str">
        <f aca="false">IF($BA426&gt;$AZ$7,"",VLOOKUP($BA426,$BC$8:$BI$507,6,FALSE()))</f>
        <v/>
      </c>
      <c r="BP426" s="52"/>
    </row>
    <row r="427" customFormat="false" ht="15.75" hidden="false" customHeight="false" outlineLevel="0" collapsed="false">
      <c r="A427" s="5"/>
      <c r="B427" s="114"/>
      <c r="C427" s="115"/>
      <c r="D427" s="106"/>
      <c r="E427" s="117"/>
      <c r="F427" s="87"/>
      <c r="G427" s="88"/>
      <c r="H427" s="88"/>
      <c r="I427" s="87"/>
      <c r="J427" s="88"/>
      <c r="K427" s="88"/>
      <c r="L427" s="87"/>
      <c r="M427" s="117"/>
      <c r="N427" s="90"/>
      <c r="O427" s="91" t="str">
        <f aca="false">IF(ISBLANK($C427),"",IF(E427=Constants!$B$2, TRUE(), IF(E427=Constants!$B$3, FALSE(), TRUE())))</f>
        <v/>
      </c>
      <c r="P427" s="91" t="str">
        <f aca="false">IF(ISBLANK($C427),"",IF(F427=Constants!$B$16,Constants!$B$9,IF(F427=Constants!$B$17,Constants!$B$10,Constants!$B$8)))</f>
        <v/>
      </c>
      <c r="Q427" s="91" t="str">
        <f aca="false">IF(ISBLANK($C427),"",IF(ISNUMBER(G427),IF(G427&gt;=0,G427,""),""))</f>
        <v/>
      </c>
      <c r="R427" s="91" t="str">
        <f aca="false">IF(ISBLANK($C427),"",IF(H427=Constants!$B$2, TRUE(), IF(H427=Constants!$B$3, FALSE(), TRUE())))</f>
        <v/>
      </c>
      <c r="S427" s="91" t="str">
        <f aca="false">IF(ISBLANK($C427),"",IF(I427=Constants!$B$2, TRUE(), IF(I427=Constants!$B$3, FALSE(), TRUE())))</f>
        <v/>
      </c>
      <c r="T427" s="91" t="str">
        <f aca="false">IF(ISBLANK($C427),"",IF(ISNUMBER(J427),IF(J427&gt;=0,J427,""),""))</f>
        <v/>
      </c>
      <c r="U427" s="91" t="str">
        <f aca="false">IF(ISBLANK($C427),"",IF(K427=Constants!$B$2, TRUE(), IF(K427=Constants!$B$3, FALSE(), TRUE())))</f>
        <v/>
      </c>
      <c r="V427" s="91" t="str">
        <f aca="false">IF(ISBLANK($C427),"",IF(L427=Constants!$B$2, TRUE(), IF(L427=Constants!$B$3, FALSE(), TRUE())))</f>
        <v/>
      </c>
      <c r="W427" s="91" t="str">
        <f aca="false">IF(ISBLANK($C427),"",IF(M427=Constants!$B$2, TRUE(), IF(M427=Constants!$B$3, FALSE(), FALSE())))</f>
        <v/>
      </c>
      <c r="X427" s="91" t="str">
        <f aca="false">IF(ISBLANK($C427),"",AND(Q427&lt;&gt;"",O427))</f>
        <v/>
      </c>
      <c r="Y427" s="91" t="str">
        <f aca="false">IF(ISBLANK($C427),"",AND(T427&lt;&gt;"",O427))</f>
        <v/>
      </c>
      <c r="Z427" s="91" t="str">
        <f aca="false">IF(ISBLANK($C427),"",IF(W427,Constants!$B$4,IF(COUNTA(E427:L427)=0,Constants!$B$5,IF(NOT(O427),Constants!$B$6,IF(AND(NOT(X427),NOT(Y427)),Constants!$B$6,Constants!$B$7)))))</f>
        <v/>
      </c>
      <c r="AA427" s="91" t="str">
        <f aca="false">IF(ISBLANK($C427),"",IF($Z427&lt;&gt;Constants!$B$7,$Z427,Constants!$B$20))</f>
        <v/>
      </c>
      <c r="AB427" s="91" t="str">
        <f aca="false">IF($Z427=Constants!$B$7,IF(X427,Q427,Constants!$B$13),"")</f>
        <v/>
      </c>
      <c r="AC427" s="91" t="str">
        <f aca="false">IF($Z427=Constants!$B$7,IF(X427,P427*IF(R427, 1, Constants!$B$11)*IF(S427, 1, Constants!$B$12),Constants!$B$13),"")</f>
        <v/>
      </c>
      <c r="AD427" s="91" t="str">
        <f aca="false">IF($Z427=Constants!$B$7,AB427*AC427,"")</f>
        <v/>
      </c>
      <c r="AE427" s="91" t="str">
        <f aca="false">IF($Z427=Constants!$B$7,IF(Y427,T427,Constants!$B$13),"")</f>
        <v/>
      </c>
      <c r="AF427" s="91" t="str">
        <f aca="false">IF($Z427=Constants!$B$7,IF(Y427,P427*IF(U427, 1, Constants!$B$11)*IF(V427, 1, Constants!$B$12),Constants!$B$13),"")</f>
        <v/>
      </c>
      <c r="AG427" s="91" t="str">
        <f aca="false">IF($Z427=Constants!$B$7,AE427*AF427,"")</f>
        <v/>
      </c>
      <c r="AH427" s="91" t="str">
        <f aca="false">IF($Z427=Constants!$B$7,IF(AG427&gt;AD427,2,1),"")</f>
        <v/>
      </c>
      <c r="AI427" s="91" t="str">
        <f aca="false">IF($Z427=Constants!$B$7,IF(AH427=1,2,1),"")</f>
        <v/>
      </c>
      <c r="AJ427" s="91" t="str">
        <f aca="false">IF(ISBLANK($C427),"",IF($Z427&lt;&gt;Constants!$B$7,$Z427,IF(AH427=1,AD427,AG427)))</f>
        <v/>
      </c>
      <c r="AK427" s="91" t="str">
        <f aca="false">IF(ISBLANK($C427),"",IF($Z427=Constants!$B$7,IF(ISNUMBER(AJ427),RANK(AJ427,$AJ$8:$AJ$507),Constants!$B$14),$Z427))</f>
        <v/>
      </c>
      <c r="AL427" s="91" t="str">
        <f aca="false">IF(ISBLANK($C427),"",IF($Z427=Constants!$B$7,IF(AI427=1,AD427,AG427),""))</f>
        <v/>
      </c>
      <c r="AM427" s="91" t="str">
        <f aca="false">IF(ISBLANK($C427),"",IF($Z427=Constants!$B$7,RANK(AL427,$AL$8:$AL$507),$Z427))</f>
        <v/>
      </c>
      <c r="AN427" s="91" t="str">
        <f aca="false">IF(ISBLANK($C427),"",IF($Z427=Constants!$B$7,IF(ISNUMBER(AK427),COUNTIFS($AK$8:$AK$507,"&lt;"&amp;$AK427)+COUNTIFS($AK$8:$AK$507,$AK427,$AM$8:$AM$507,"&lt;"&amp;$AM427)+1,Constants!$B$14),$Z427))</f>
        <v/>
      </c>
      <c r="AO427" s="91" t="str">
        <f aca="false">IF(ISBLANK($C427),"",IF($Z427=Constants!$B$7,IF(ISNUMBER(AK427),AK427-AN427,Constants!$B$14),$Z427))</f>
        <v/>
      </c>
      <c r="AP427" s="92"/>
      <c r="AQ427" s="93" t="str">
        <f aca="false">IF(ISBLANK($C427),"",IF($Z427&lt;&gt;Constants!$B$7,"",AH427))</f>
        <v/>
      </c>
      <c r="AR427" s="94" t="str">
        <f aca="false">IF(ISBLANK($C427),"",IF($Z427&lt;&gt;Constants!$B$7,"",IF(AH427=1,AB427,AE427)))</f>
        <v/>
      </c>
      <c r="AS427" s="95" t="str">
        <f aca="false">IF(ISBLANK($C427),"",IF($Z427&lt;&gt;Constants!$B$7,"",IF(AH427=1,AC427,AF427)))</f>
        <v/>
      </c>
      <c r="AT427" s="96" t="str">
        <f aca="false">IF(ISBLANK($C427),"",IF($Z427&lt;&gt;Constants!$B$7,$Z427,AJ427))</f>
        <v/>
      </c>
      <c r="AU427" s="97" t="str">
        <f aca="false">IF(ISBLANK($C427),"",IF($Z427&lt;&gt;Constants!$B$7,$Z427,AA427))</f>
        <v/>
      </c>
      <c r="AV427" s="98" t="str">
        <f aca="false">IF(ISBLANK($C427),"",AO427)</f>
        <v/>
      </c>
      <c r="AW427" s="98" t="str">
        <f aca="false">IF(ISBLANK($C427),"",AN427)</f>
        <v/>
      </c>
      <c r="AX427" s="99" t="str">
        <f aca="false">IF(ISBLANK($C427),"",IFERROR(_xlfn.SWITCH(AW427,Constants!$B$4,COUNTA($C$8:$C$507)+2,Constants!$B$5,COUNTA($C$8:$C$507)+1,Constants!$B$6,COUNTA($C$8:$C$507)),AW427))</f>
        <v/>
      </c>
      <c r="AY427" s="5"/>
      <c r="AZ427" s="100" t="n">
        <f aca="false">IF(OR(ISNUMBER(AW427),AW427=Constants!$B$4,AW427=Constants!$B$6,AW427=Constants!$B$5),1,0)</f>
        <v>0</v>
      </c>
      <c r="BA427" s="100" t="n">
        <v>420</v>
      </c>
      <c r="BB427" s="100" t="str">
        <f aca="false">IF(ISBLANK($C427),"",IF(ISNUMBER(AX427),AX427+ROW($B427)/1000,""))</f>
        <v/>
      </c>
      <c r="BC427" s="100" t="str">
        <f aca="false">IF(ISNUMBER(BB427),RANK(BB427,$BB$8:$BB$507,1),"")</f>
        <v/>
      </c>
      <c r="BD427" s="100" t="str">
        <f aca="false">IF(ISBLANK($C427),"",$B427)</f>
        <v/>
      </c>
      <c r="BE427" s="100" t="str">
        <f aca="false">IF(ISBLANK($C427),"",$C427)</f>
        <v/>
      </c>
      <c r="BF427" s="100" t="str">
        <f aca="false">IF(ISBLANK($C427),"",$D427)</f>
        <v/>
      </c>
      <c r="BG427" s="101" t="str">
        <f aca="false">AU427</f>
        <v/>
      </c>
      <c r="BH427" s="102" t="str">
        <f aca="false">AT427</f>
        <v/>
      </c>
      <c r="BI427" s="100" t="str">
        <f aca="false">IF(ISBLANK($C427),"",AW427)</f>
        <v/>
      </c>
      <c r="BJ427" s="103" t="str">
        <f aca="false">IF($BA427&gt;$AZ$7,"",VLOOKUP($BA427,$BC$8:$BI$507,7,FALSE()))</f>
        <v/>
      </c>
      <c r="BK427" s="104" t="str">
        <f aca="false">IF($BA427&gt;$AZ$7,"",VLOOKUP($BA427,$BC$8:$BI$507,2,FALSE()))</f>
        <v/>
      </c>
      <c r="BL427" s="104" t="str">
        <f aca="false">IF($BA427&gt;$AZ$7,"",VLOOKUP($BA427,$BC$8:$BI$507,3,FALSE()))</f>
        <v/>
      </c>
      <c r="BM427" s="104" t="str">
        <f aca="false">IF($BA427&gt;$AZ$7,"",VLOOKUP($BA427,$BC$8:$BI$507,4,FALSE()))</f>
        <v/>
      </c>
      <c r="BN427" s="104" t="str">
        <f aca="false">IF($BA427&gt;$AZ$7,"",VLOOKUP($BA427,$BC$8:$BI$507,5,FALSE()))</f>
        <v/>
      </c>
      <c r="BO427" s="105" t="str">
        <f aca="false">IF($BA427&gt;$AZ$7,"",VLOOKUP($BA427,$BC$8:$BI$507,6,FALSE()))</f>
        <v/>
      </c>
      <c r="BP427" s="52"/>
    </row>
    <row r="428" customFormat="false" ht="15.75" hidden="false" customHeight="false" outlineLevel="0" collapsed="false">
      <c r="A428" s="5"/>
      <c r="B428" s="118"/>
      <c r="C428" s="54"/>
      <c r="D428" s="55"/>
      <c r="E428" s="79"/>
      <c r="F428" s="57"/>
      <c r="G428" s="58"/>
      <c r="H428" s="58"/>
      <c r="I428" s="57"/>
      <c r="J428" s="58"/>
      <c r="K428" s="58"/>
      <c r="L428" s="57"/>
      <c r="M428" s="79"/>
      <c r="N428" s="60"/>
      <c r="O428" s="62" t="str">
        <f aca="false">IF(ISBLANK($C428),"",IF(E428=Constants!$B$2, TRUE(), IF(E428=Constants!$B$3, FALSE(), TRUE())))</f>
        <v/>
      </c>
      <c r="P428" s="62" t="str">
        <f aca="false">IF(ISBLANK($C428),"",IF(F428=Constants!$B$16,Constants!$B$9,IF(F428=Constants!$B$17,Constants!$B$10,Constants!$B$8)))</f>
        <v/>
      </c>
      <c r="Q428" s="62" t="str">
        <f aca="false">IF(ISBLANK($C428),"",IF(ISNUMBER(G428),IF(G428&gt;=0,G428,""),""))</f>
        <v/>
      </c>
      <c r="R428" s="62" t="str">
        <f aca="false">IF(ISBLANK($C428),"",IF(H428=Constants!$B$2, TRUE(), IF(H428=Constants!$B$3, FALSE(), TRUE())))</f>
        <v/>
      </c>
      <c r="S428" s="62" t="str">
        <f aca="false">IF(ISBLANK($C428),"",IF(I428=Constants!$B$2, TRUE(), IF(I428=Constants!$B$3, FALSE(), TRUE())))</f>
        <v/>
      </c>
      <c r="T428" s="62" t="str">
        <f aca="false">IF(ISBLANK($C428),"",IF(ISNUMBER(J428),IF(J428&gt;=0,J428,""),""))</f>
        <v/>
      </c>
      <c r="U428" s="62" t="str">
        <f aca="false">IF(ISBLANK($C428),"",IF(K428=Constants!$B$2, TRUE(), IF(K428=Constants!$B$3, FALSE(), TRUE())))</f>
        <v/>
      </c>
      <c r="V428" s="62" t="str">
        <f aca="false">IF(ISBLANK($C428),"",IF(L428=Constants!$B$2, TRUE(), IF(L428=Constants!$B$3, FALSE(), TRUE())))</f>
        <v/>
      </c>
      <c r="W428" s="62" t="str">
        <f aca="false">IF(ISBLANK($C428),"",IF(M428=Constants!$B$2, TRUE(), IF(M428=Constants!$B$3, FALSE(), FALSE())))</f>
        <v/>
      </c>
      <c r="X428" s="62" t="str">
        <f aca="false">IF(ISBLANK($C428),"",AND(Q428&lt;&gt;"",O428))</f>
        <v/>
      </c>
      <c r="Y428" s="62" t="str">
        <f aca="false">IF(ISBLANK($C428),"",AND(T428&lt;&gt;"",O428))</f>
        <v/>
      </c>
      <c r="Z428" s="62" t="str">
        <f aca="false">IF(ISBLANK($C428),"",IF(W428,Constants!$B$4,IF(COUNTA(E428:L428)=0,Constants!$B$5,IF(NOT(O428),Constants!$B$6,IF(AND(NOT(X428),NOT(Y428)),Constants!$B$6,Constants!$B$7)))))</f>
        <v/>
      </c>
      <c r="AA428" s="62" t="str">
        <f aca="false">IF(ISBLANK($C428),"",IF($Z428&lt;&gt;Constants!$B$7,$Z428,Constants!$B$20))</f>
        <v/>
      </c>
      <c r="AB428" s="62" t="str">
        <f aca="false">IF($Z428=Constants!$B$7,IF(X428,Q428,Constants!$B$13),"")</f>
        <v/>
      </c>
      <c r="AC428" s="62" t="str">
        <f aca="false">IF($Z428=Constants!$B$7,IF(X428,P428*IF(R428, 1, Constants!$B$11)*IF(S428, 1, Constants!$B$12),Constants!$B$13),"")</f>
        <v/>
      </c>
      <c r="AD428" s="62" t="str">
        <f aca="false">IF($Z428=Constants!$B$7,AB428*AC428,"")</f>
        <v/>
      </c>
      <c r="AE428" s="62" t="str">
        <f aca="false">IF($Z428=Constants!$B$7,IF(Y428,T428,Constants!$B$13),"")</f>
        <v/>
      </c>
      <c r="AF428" s="62" t="str">
        <f aca="false">IF($Z428=Constants!$B$7,IF(Y428,P428*IF(U428, 1, Constants!$B$11)*IF(V428, 1, Constants!$B$12),Constants!$B$13),"")</f>
        <v/>
      </c>
      <c r="AG428" s="62" t="str">
        <f aca="false">IF($Z428=Constants!$B$7,AE428*AF428,"")</f>
        <v/>
      </c>
      <c r="AH428" s="62" t="str">
        <f aca="false">IF($Z428=Constants!$B$7,IF(AG428&gt;AD428,2,1),"")</f>
        <v/>
      </c>
      <c r="AI428" s="62" t="str">
        <f aca="false">IF($Z428=Constants!$B$7,IF(AH428=1,2,1),"")</f>
        <v/>
      </c>
      <c r="AJ428" s="62" t="str">
        <f aca="false">IF(ISBLANK($C428),"",IF($Z428&lt;&gt;Constants!$B$7,$Z428,IF(AH428=1,AD428,AG428)))</f>
        <v/>
      </c>
      <c r="AK428" s="62" t="str">
        <f aca="false">IF(ISBLANK($C428),"",IF($Z428=Constants!$B$7,IF(ISNUMBER(AJ428),RANK(AJ428,$AJ$8:$AJ$507),Constants!$B$14),$Z428))</f>
        <v/>
      </c>
      <c r="AL428" s="62" t="str">
        <f aca="false">IF(ISBLANK($C428),"",IF($Z428=Constants!$B$7,IF(AI428=1,AD428,AG428),""))</f>
        <v/>
      </c>
      <c r="AM428" s="62" t="str">
        <f aca="false">IF(ISBLANK($C428),"",IF($Z428=Constants!$B$7,RANK(AL428,$AL$8:$AL$507),$Z428))</f>
        <v/>
      </c>
      <c r="AN428" s="62" t="str">
        <f aca="false">IF(ISBLANK($C428),"",IF($Z428=Constants!$B$7,IF(ISNUMBER(AK428),COUNTIFS($AK$8:$AK$507,"&lt;"&amp;$AK428)+COUNTIFS($AK$8:$AK$507,$AK428,$AM$8:$AM$507,"&lt;"&amp;$AM428)+1,Constants!$B$14),$Z428))</f>
        <v/>
      </c>
      <c r="AO428" s="62" t="str">
        <f aca="false">IF(ISBLANK($C428),"",IF($Z428=Constants!$B$7,IF(ISNUMBER(AK428),AK428-AN428,Constants!$B$14),$Z428))</f>
        <v/>
      </c>
      <c r="AP428" s="64"/>
      <c r="AQ428" s="65" t="str">
        <f aca="false">IF(ISBLANK($C428),"",IF($Z428&lt;&gt;Constants!$B$7,"",AH428))</f>
        <v/>
      </c>
      <c r="AR428" s="80" t="str">
        <f aca="false">IF(ISBLANK($C428),"",IF($Z428&lt;&gt;Constants!$B$7,"",IF(AH428=1,AB428,AE428)))</f>
        <v/>
      </c>
      <c r="AS428" s="67" t="str">
        <f aca="false">IF(ISBLANK($C428),"",IF($Z428&lt;&gt;Constants!$B$7,"",IF(AH428=1,AC428,AF428)))</f>
        <v/>
      </c>
      <c r="AT428" s="68" t="str">
        <f aca="false">IF(ISBLANK($C428),"",IF($Z428&lt;&gt;Constants!$B$7,$Z428,AJ428))</f>
        <v/>
      </c>
      <c r="AU428" s="69" t="str">
        <f aca="false">IF(ISBLANK($C428),"",IF($Z428&lt;&gt;Constants!$B$7,$Z428,AA428))</f>
        <v/>
      </c>
      <c r="AV428" s="70" t="str">
        <f aca="false">IF(ISBLANK($C428),"",AO428)</f>
        <v/>
      </c>
      <c r="AW428" s="70" t="str">
        <f aca="false">IF(ISBLANK($C428),"",AN428)</f>
        <v/>
      </c>
      <c r="AX428" s="71" t="str">
        <f aca="false">IF(ISBLANK($C428),"",IFERROR(_xlfn.SWITCH(AW428,Constants!$B$4,COUNTA($C$8:$C$507)+2,Constants!$B$5,COUNTA($C$8:$C$507)+1,Constants!$B$6,COUNTA($C$8:$C$507)),AW428))</f>
        <v/>
      </c>
      <c r="AY428" s="5"/>
      <c r="AZ428" s="72" t="n">
        <f aca="false">IF(OR(ISNUMBER(AW428),AW428=Constants!$B$4,AW428=Constants!$B$6,AW428=Constants!$B$5),1,0)</f>
        <v>0</v>
      </c>
      <c r="BA428" s="72" t="n">
        <v>421</v>
      </c>
      <c r="BB428" s="72" t="str">
        <f aca="false">IF(ISBLANK($C428),"",IF(ISNUMBER(AX428),AX428+ROW($B428)/1000,""))</f>
        <v/>
      </c>
      <c r="BC428" s="72" t="str">
        <f aca="false">IF(ISNUMBER(BB428),RANK(BB428,$BB$8:$BB$507,1),"")</f>
        <v/>
      </c>
      <c r="BD428" s="72" t="str">
        <f aca="false">IF(ISBLANK($C428),"",$B428)</f>
        <v/>
      </c>
      <c r="BE428" s="72" t="str">
        <f aca="false">IF(ISBLANK($C428),"",$C428)</f>
        <v/>
      </c>
      <c r="BF428" s="72" t="str">
        <f aca="false">IF(ISBLANK($C428),"",$D428)</f>
        <v/>
      </c>
      <c r="BG428" s="73" t="str">
        <f aca="false">AU428</f>
        <v/>
      </c>
      <c r="BH428" s="74" t="str">
        <f aca="false">AT428</f>
        <v/>
      </c>
      <c r="BI428" s="72" t="str">
        <f aca="false">IF(ISBLANK($C428),"",AW428)</f>
        <v/>
      </c>
      <c r="BJ428" s="75" t="str">
        <f aca="false">IF($BA428&gt;$AZ$7,"",VLOOKUP($BA428,$BC$8:$BI$507,7,FALSE()))</f>
        <v/>
      </c>
      <c r="BK428" s="76" t="str">
        <f aca="false">IF($BA428&gt;$AZ$7,"",VLOOKUP($BA428,$BC$8:$BI$507,2,FALSE()))</f>
        <v/>
      </c>
      <c r="BL428" s="76" t="str">
        <f aca="false">IF($BA428&gt;$AZ$7,"",VLOOKUP($BA428,$BC$8:$BI$507,3,FALSE()))</f>
        <v/>
      </c>
      <c r="BM428" s="76" t="str">
        <f aca="false">IF($BA428&gt;$AZ$7,"",VLOOKUP($BA428,$BC$8:$BI$507,4,FALSE()))</f>
        <v/>
      </c>
      <c r="BN428" s="76" t="str">
        <f aca="false">IF($BA428&gt;$AZ$7,"",VLOOKUP($BA428,$BC$8:$BI$507,5,FALSE()))</f>
        <v/>
      </c>
      <c r="BO428" s="77" t="str">
        <f aca="false">IF($BA428&gt;$AZ$7,"",VLOOKUP($BA428,$BC$8:$BI$507,6,FALSE()))</f>
        <v/>
      </c>
      <c r="BP428" s="52"/>
    </row>
    <row r="429" customFormat="false" ht="15.75" hidden="false" customHeight="false" outlineLevel="0" collapsed="false">
      <c r="A429" s="5"/>
      <c r="B429" s="118"/>
      <c r="C429" s="54"/>
      <c r="D429" s="55"/>
      <c r="E429" s="79"/>
      <c r="F429" s="57"/>
      <c r="G429" s="58"/>
      <c r="H429" s="58"/>
      <c r="I429" s="57"/>
      <c r="J429" s="58"/>
      <c r="K429" s="58"/>
      <c r="L429" s="57"/>
      <c r="M429" s="79"/>
      <c r="N429" s="60"/>
      <c r="O429" s="62" t="str">
        <f aca="false">IF(ISBLANK($C429),"",IF(E429=Constants!$B$2, TRUE(), IF(E429=Constants!$B$3, FALSE(), TRUE())))</f>
        <v/>
      </c>
      <c r="P429" s="62" t="str">
        <f aca="false">IF(ISBLANK($C429),"",IF(F429=Constants!$B$16,Constants!$B$9,IF(F429=Constants!$B$17,Constants!$B$10,Constants!$B$8)))</f>
        <v/>
      </c>
      <c r="Q429" s="62" t="str">
        <f aca="false">IF(ISBLANK($C429),"",IF(ISNUMBER(G429),IF(G429&gt;=0,G429,""),""))</f>
        <v/>
      </c>
      <c r="R429" s="62" t="str">
        <f aca="false">IF(ISBLANK($C429),"",IF(H429=Constants!$B$2, TRUE(), IF(H429=Constants!$B$3, FALSE(), TRUE())))</f>
        <v/>
      </c>
      <c r="S429" s="62" t="str">
        <f aca="false">IF(ISBLANK($C429),"",IF(I429=Constants!$B$2, TRUE(), IF(I429=Constants!$B$3, FALSE(), TRUE())))</f>
        <v/>
      </c>
      <c r="T429" s="62" t="str">
        <f aca="false">IF(ISBLANK($C429),"",IF(ISNUMBER(J429),IF(J429&gt;=0,J429,""),""))</f>
        <v/>
      </c>
      <c r="U429" s="62" t="str">
        <f aca="false">IF(ISBLANK($C429),"",IF(K429=Constants!$B$2, TRUE(), IF(K429=Constants!$B$3, FALSE(), TRUE())))</f>
        <v/>
      </c>
      <c r="V429" s="62" t="str">
        <f aca="false">IF(ISBLANK($C429),"",IF(L429=Constants!$B$2, TRUE(), IF(L429=Constants!$B$3, FALSE(), TRUE())))</f>
        <v/>
      </c>
      <c r="W429" s="62" t="str">
        <f aca="false">IF(ISBLANK($C429),"",IF(M429=Constants!$B$2, TRUE(), IF(M429=Constants!$B$3, FALSE(), FALSE())))</f>
        <v/>
      </c>
      <c r="X429" s="62" t="str">
        <f aca="false">IF(ISBLANK($C429),"",AND(Q429&lt;&gt;"",O429))</f>
        <v/>
      </c>
      <c r="Y429" s="62" t="str">
        <f aca="false">IF(ISBLANK($C429),"",AND(T429&lt;&gt;"",O429))</f>
        <v/>
      </c>
      <c r="Z429" s="62" t="str">
        <f aca="false">IF(ISBLANK($C429),"",IF(W429,Constants!$B$4,IF(COUNTA(E429:L429)=0,Constants!$B$5,IF(NOT(O429),Constants!$B$6,IF(AND(NOT(X429),NOT(Y429)),Constants!$B$6,Constants!$B$7)))))</f>
        <v/>
      </c>
      <c r="AA429" s="62" t="str">
        <f aca="false">IF(ISBLANK($C429),"",IF($Z429&lt;&gt;Constants!$B$7,$Z429,Constants!$B$20))</f>
        <v/>
      </c>
      <c r="AB429" s="62" t="str">
        <f aca="false">IF($Z429=Constants!$B$7,IF(X429,Q429,Constants!$B$13),"")</f>
        <v/>
      </c>
      <c r="AC429" s="62" t="str">
        <f aca="false">IF($Z429=Constants!$B$7,IF(X429,P429*IF(R429, 1, Constants!$B$11)*IF(S429, 1, Constants!$B$12),Constants!$B$13),"")</f>
        <v/>
      </c>
      <c r="AD429" s="62" t="str">
        <f aca="false">IF($Z429=Constants!$B$7,AB429*AC429,"")</f>
        <v/>
      </c>
      <c r="AE429" s="62" t="str">
        <f aca="false">IF($Z429=Constants!$B$7,IF(Y429,T429,Constants!$B$13),"")</f>
        <v/>
      </c>
      <c r="AF429" s="62" t="str">
        <f aca="false">IF($Z429=Constants!$B$7,IF(Y429,P429*IF(U429, 1, Constants!$B$11)*IF(V429, 1, Constants!$B$12),Constants!$B$13),"")</f>
        <v/>
      </c>
      <c r="AG429" s="62" t="str">
        <f aca="false">IF($Z429=Constants!$B$7,AE429*AF429,"")</f>
        <v/>
      </c>
      <c r="AH429" s="62" t="str">
        <f aca="false">IF($Z429=Constants!$B$7,IF(AG429&gt;AD429,2,1),"")</f>
        <v/>
      </c>
      <c r="AI429" s="62" t="str">
        <f aca="false">IF($Z429=Constants!$B$7,IF(AH429=1,2,1),"")</f>
        <v/>
      </c>
      <c r="AJ429" s="62" t="str">
        <f aca="false">IF(ISBLANK($C429),"",IF($Z429&lt;&gt;Constants!$B$7,$Z429,IF(AH429=1,AD429,AG429)))</f>
        <v/>
      </c>
      <c r="AK429" s="62" t="str">
        <f aca="false">IF(ISBLANK($C429),"",IF($Z429=Constants!$B$7,IF(ISNUMBER(AJ429),RANK(AJ429,$AJ$8:$AJ$507),Constants!$B$14),$Z429))</f>
        <v/>
      </c>
      <c r="AL429" s="62" t="str">
        <f aca="false">IF(ISBLANK($C429),"",IF($Z429=Constants!$B$7,IF(AI429=1,AD429,AG429),""))</f>
        <v/>
      </c>
      <c r="AM429" s="62" t="str">
        <f aca="false">IF(ISBLANK($C429),"",IF($Z429=Constants!$B$7,RANK(AL429,$AL$8:$AL$507),$Z429))</f>
        <v/>
      </c>
      <c r="AN429" s="62" t="str">
        <f aca="false">IF(ISBLANK($C429),"",IF($Z429=Constants!$B$7,IF(ISNUMBER(AK429),COUNTIFS($AK$8:$AK$507,"&lt;"&amp;$AK429)+COUNTIFS($AK$8:$AK$507,$AK429,$AM$8:$AM$507,"&lt;"&amp;$AM429)+1,Constants!$B$14),$Z429))</f>
        <v/>
      </c>
      <c r="AO429" s="62" t="str">
        <f aca="false">IF(ISBLANK($C429),"",IF($Z429=Constants!$B$7,IF(ISNUMBER(AK429),AK429-AN429,Constants!$B$14),$Z429))</f>
        <v/>
      </c>
      <c r="AP429" s="64"/>
      <c r="AQ429" s="65" t="str">
        <f aca="false">IF(ISBLANK($C429),"",IF($Z429&lt;&gt;Constants!$B$7,"",AH429))</f>
        <v/>
      </c>
      <c r="AR429" s="80" t="str">
        <f aca="false">IF(ISBLANK($C429),"",IF($Z429&lt;&gt;Constants!$B$7,"",IF(AH429=1,AB429,AE429)))</f>
        <v/>
      </c>
      <c r="AS429" s="67" t="str">
        <f aca="false">IF(ISBLANK($C429),"",IF($Z429&lt;&gt;Constants!$B$7,"",IF(AH429=1,AC429,AF429)))</f>
        <v/>
      </c>
      <c r="AT429" s="68" t="str">
        <f aca="false">IF(ISBLANK($C429),"",IF($Z429&lt;&gt;Constants!$B$7,$Z429,AJ429))</f>
        <v/>
      </c>
      <c r="AU429" s="69" t="str">
        <f aca="false">IF(ISBLANK($C429),"",IF($Z429&lt;&gt;Constants!$B$7,$Z429,AA429))</f>
        <v/>
      </c>
      <c r="AV429" s="70" t="str">
        <f aca="false">IF(ISBLANK($C429),"",AO429)</f>
        <v/>
      </c>
      <c r="AW429" s="70" t="str">
        <f aca="false">IF(ISBLANK($C429),"",AN429)</f>
        <v/>
      </c>
      <c r="AX429" s="71" t="str">
        <f aca="false">IF(ISBLANK($C429),"",IFERROR(_xlfn.SWITCH(AW429,Constants!$B$4,COUNTA($C$8:$C$507)+2,Constants!$B$5,COUNTA($C$8:$C$507)+1,Constants!$B$6,COUNTA($C$8:$C$507)),AW429))</f>
        <v/>
      </c>
      <c r="AY429" s="5"/>
      <c r="AZ429" s="72" t="n">
        <f aca="false">IF(OR(ISNUMBER(AW429),AW429=Constants!$B$4,AW429=Constants!$B$6,AW429=Constants!$B$5),1,0)</f>
        <v>0</v>
      </c>
      <c r="BA429" s="72" t="n">
        <v>422</v>
      </c>
      <c r="BB429" s="72" t="str">
        <f aca="false">IF(ISBLANK($C429),"",IF(ISNUMBER(AX429),AX429+ROW($B429)/1000,""))</f>
        <v/>
      </c>
      <c r="BC429" s="72" t="str">
        <f aca="false">IF(ISNUMBER(BB429),RANK(BB429,$BB$8:$BB$507,1),"")</f>
        <v/>
      </c>
      <c r="BD429" s="72" t="str">
        <f aca="false">IF(ISBLANK($C429),"",$B429)</f>
        <v/>
      </c>
      <c r="BE429" s="72" t="str">
        <f aca="false">IF(ISBLANK($C429),"",$C429)</f>
        <v/>
      </c>
      <c r="BF429" s="72" t="str">
        <f aca="false">IF(ISBLANK($C429),"",$D429)</f>
        <v/>
      </c>
      <c r="BG429" s="73" t="str">
        <f aca="false">AU429</f>
        <v/>
      </c>
      <c r="BH429" s="74" t="str">
        <f aca="false">AT429</f>
        <v/>
      </c>
      <c r="BI429" s="72" t="str">
        <f aca="false">IF(ISBLANK($C429),"",AW429)</f>
        <v/>
      </c>
      <c r="BJ429" s="75" t="str">
        <f aca="false">IF($BA429&gt;$AZ$7,"",VLOOKUP($BA429,$BC$8:$BI$507,7,FALSE()))</f>
        <v/>
      </c>
      <c r="BK429" s="76" t="str">
        <f aca="false">IF($BA429&gt;$AZ$7,"",VLOOKUP($BA429,$BC$8:$BI$507,2,FALSE()))</f>
        <v/>
      </c>
      <c r="BL429" s="76" t="str">
        <f aca="false">IF($BA429&gt;$AZ$7,"",VLOOKUP($BA429,$BC$8:$BI$507,3,FALSE()))</f>
        <v/>
      </c>
      <c r="BM429" s="76" t="str">
        <f aca="false">IF($BA429&gt;$AZ$7,"",VLOOKUP($BA429,$BC$8:$BI$507,4,FALSE()))</f>
        <v/>
      </c>
      <c r="BN429" s="76" t="str">
        <f aca="false">IF($BA429&gt;$AZ$7,"",VLOOKUP($BA429,$BC$8:$BI$507,5,FALSE()))</f>
        <v/>
      </c>
      <c r="BO429" s="77" t="str">
        <f aca="false">IF($BA429&gt;$AZ$7,"",VLOOKUP($BA429,$BC$8:$BI$507,6,FALSE()))</f>
        <v/>
      </c>
      <c r="BP429" s="52"/>
    </row>
    <row r="430" customFormat="false" ht="15.75" hidden="false" customHeight="false" outlineLevel="0" collapsed="false">
      <c r="A430" s="5"/>
      <c r="B430" s="118"/>
      <c r="C430" s="54"/>
      <c r="D430" s="55"/>
      <c r="E430" s="79"/>
      <c r="F430" s="57"/>
      <c r="G430" s="58"/>
      <c r="H430" s="58"/>
      <c r="I430" s="57"/>
      <c r="J430" s="58"/>
      <c r="K430" s="58"/>
      <c r="L430" s="57"/>
      <c r="M430" s="79"/>
      <c r="N430" s="60"/>
      <c r="O430" s="62" t="str">
        <f aca="false">IF(ISBLANK($C430),"",IF(E430=Constants!$B$2, TRUE(), IF(E430=Constants!$B$3, FALSE(), TRUE())))</f>
        <v/>
      </c>
      <c r="P430" s="62" t="str">
        <f aca="false">IF(ISBLANK($C430),"",IF(F430=Constants!$B$16,Constants!$B$9,IF(F430=Constants!$B$17,Constants!$B$10,Constants!$B$8)))</f>
        <v/>
      </c>
      <c r="Q430" s="62" t="str">
        <f aca="false">IF(ISBLANK($C430),"",IF(ISNUMBER(G430),IF(G430&gt;=0,G430,""),""))</f>
        <v/>
      </c>
      <c r="R430" s="62" t="str">
        <f aca="false">IF(ISBLANK($C430),"",IF(H430=Constants!$B$2, TRUE(), IF(H430=Constants!$B$3, FALSE(), TRUE())))</f>
        <v/>
      </c>
      <c r="S430" s="62" t="str">
        <f aca="false">IF(ISBLANK($C430),"",IF(I430=Constants!$B$2, TRUE(), IF(I430=Constants!$B$3, FALSE(), TRUE())))</f>
        <v/>
      </c>
      <c r="T430" s="62" t="str">
        <f aca="false">IF(ISBLANK($C430),"",IF(ISNUMBER(J430),IF(J430&gt;=0,J430,""),""))</f>
        <v/>
      </c>
      <c r="U430" s="62" t="str">
        <f aca="false">IF(ISBLANK($C430),"",IF(K430=Constants!$B$2, TRUE(), IF(K430=Constants!$B$3, FALSE(), TRUE())))</f>
        <v/>
      </c>
      <c r="V430" s="62" t="str">
        <f aca="false">IF(ISBLANK($C430),"",IF(L430=Constants!$B$2, TRUE(), IF(L430=Constants!$B$3, FALSE(), TRUE())))</f>
        <v/>
      </c>
      <c r="W430" s="62" t="str">
        <f aca="false">IF(ISBLANK($C430),"",IF(M430=Constants!$B$2, TRUE(), IF(M430=Constants!$B$3, FALSE(), FALSE())))</f>
        <v/>
      </c>
      <c r="X430" s="62" t="str">
        <f aca="false">IF(ISBLANK($C430),"",AND(Q430&lt;&gt;"",O430))</f>
        <v/>
      </c>
      <c r="Y430" s="62" t="str">
        <f aca="false">IF(ISBLANK($C430),"",AND(T430&lt;&gt;"",O430))</f>
        <v/>
      </c>
      <c r="Z430" s="62" t="str">
        <f aca="false">IF(ISBLANK($C430),"",IF(W430,Constants!$B$4,IF(COUNTA(E430:L430)=0,Constants!$B$5,IF(NOT(O430),Constants!$B$6,IF(AND(NOT(X430),NOT(Y430)),Constants!$B$6,Constants!$B$7)))))</f>
        <v/>
      </c>
      <c r="AA430" s="62" t="str">
        <f aca="false">IF(ISBLANK($C430),"",IF($Z430&lt;&gt;Constants!$B$7,$Z430,Constants!$B$20))</f>
        <v/>
      </c>
      <c r="AB430" s="62" t="str">
        <f aca="false">IF($Z430=Constants!$B$7,IF(X430,Q430,Constants!$B$13),"")</f>
        <v/>
      </c>
      <c r="AC430" s="62" t="str">
        <f aca="false">IF($Z430=Constants!$B$7,IF(X430,P430*IF(R430, 1, Constants!$B$11)*IF(S430, 1, Constants!$B$12),Constants!$B$13),"")</f>
        <v/>
      </c>
      <c r="AD430" s="62" t="str">
        <f aca="false">IF($Z430=Constants!$B$7,AB430*AC430,"")</f>
        <v/>
      </c>
      <c r="AE430" s="62" t="str">
        <f aca="false">IF($Z430=Constants!$B$7,IF(Y430,T430,Constants!$B$13),"")</f>
        <v/>
      </c>
      <c r="AF430" s="62" t="str">
        <f aca="false">IF($Z430=Constants!$B$7,IF(Y430,P430*IF(U430, 1, Constants!$B$11)*IF(V430, 1, Constants!$B$12),Constants!$B$13),"")</f>
        <v/>
      </c>
      <c r="AG430" s="62" t="str">
        <f aca="false">IF($Z430=Constants!$B$7,AE430*AF430,"")</f>
        <v/>
      </c>
      <c r="AH430" s="62" t="str">
        <f aca="false">IF($Z430=Constants!$B$7,IF(AG430&gt;AD430,2,1),"")</f>
        <v/>
      </c>
      <c r="AI430" s="62" t="str">
        <f aca="false">IF($Z430=Constants!$B$7,IF(AH430=1,2,1),"")</f>
        <v/>
      </c>
      <c r="AJ430" s="62" t="str">
        <f aca="false">IF(ISBLANK($C430),"",IF($Z430&lt;&gt;Constants!$B$7,$Z430,IF(AH430=1,AD430,AG430)))</f>
        <v/>
      </c>
      <c r="AK430" s="62" t="str">
        <f aca="false">IF(ISBLANK($C430),"",IF($Z430=Constants!$B$7,IF(ISNUMBER(AJ430),RANK(AJ430,$AJ$8:$AJ$507),Constants!$B$14),$Z430))</f>
        <v/>
      </c>
      <c r="AL430" s="62" t="str">
        <f aca="false">IF(ISBLANK($C430),"",IF($Z430=Constants!$B$7,IF(AI430=1,AD430,AG430),""))</f>
        <v/>
      </c>
      <c r="AM430" s="62" t="str">
        <f aca="false">IF(ISBLANK($C430),"",IF($Z430=Constants!$B$7,RANK(AL430,$AL$8:$AL$507),$Z430))</f>
        <v/>
      </c>
      <c r="AN430" s="62" t="str">
        <f aca="false">IF(ISBLANK($C430),"",IF($Z430=Constants!$B$7,IF(ISNUMBER(AK430),COUNTIFS($AK$8:$AK$507,"&lt;"&amp;$AK430)+COUNTIFS($AK$8:$AK$507,$AK430,$AM$8:$AM$507,"&lt;"&amp;$AM430)+1,Constants!$B$14),$Z430))</f>
        <v/>
      </c>
      <c r="AO430" s="62" t="str">
        <f aca="false">IF(ISBLANK($C430),"",IF($Z430=Constants!$B$7,IF(ISNUMBER(AK430),AK430-AN430,Constants!$B$14),$Z430))</f>
        <v/>
      </c>
      <c r="AP430" s="64"/>
      <c r="AQ430" s="65" t="str">
        <f aca="false">IF(ISBLANK($C430),"",IF($Z430&lt;&gt;Constants!$B$7,"",AH430))</f>
        <v/>
      </c>
      <c r="AR430" s="80" t="str">
        <f aca="false">IF(ISBLANK($C430),"",IF($Z430&lt;&gt;Constants!$B$7,"",IF(AH430=1,AB430,AE430)))</f>
        <v/>
      </c>
      <c r="AS430" s="67" t="str">
        <f aca="false">IF(ISBLANK($C430),"",IF($Z430&lt;&gt;Constants!$B$7,"",IF(AH430=1,AC430,AF430)))</f>
        <v/>
      </c>
      <c r="AT430" s="68" t="str">
        <f aca="false">IF(ISBLANK($C430),"",IF($Z430&lt;&gt;Constants!$B$7,$Z430,AJ430))</f>
        <v/>
      </c>
      <c r="AU430" s="69" t="str">
        <f aca="false">IF(ISBLANK($C430),"",IF($Z430&lt;&gt;Constants!$B$7,$Z430,AA430))</f>
        <v/>
      </c>
      <c r="AV430" s="70" t="str">
        <f aca="false">IF(ISBLANK($C430),"",AO430)</f>
        <v/>
      </c>
      <c r="AW430" s="70" t="str">
        <f aca="false">IF(ISBLANK($C430),"",AN430)</f>
        <v/>
      </c>
      <c r="AX430" s="71" t="str">
        <f aca="false">IF(ISBLANK($C430),"",IFERROR(_xlfn.SWITCH(AW430,Constants!$B$4,COUNTA($C$8:$C$507)+2,Constants!$B$5,COUNTA($C$8:$C$507)+1,Constants!$B$6,COUNTA($C$8:$C$507)),AW430))</f>
        <v/>
      </c>
      <c r="AY430" s="5"/>
      <c r="AZ430" s="72" t="n">
        <f aca="false">IF(OR(ISNUMBER(AW430),AW430=Constants!$B$4,AW430=Constants!$B$6,AW430=Constants!$B$5),1,0)</f>
        <v>0</v>
      </c>
      <c r="BA430" s="72" t="n">
        <v>423</v>
      </c>
      <c r="BB430" s="72" t="str">
        <f aca="false">IF(ISBLANK($C430),"",IF(ISNUMBER(AX430),AX430+ROW($B430)/1000,""))</f>
        <v/>
      </c>
      <c r="BC430" s="72" t="str">
        <f aca="false">IF(ISNUMBER(BB430),RANK(BB430,$BB$8:$BB$507,1),"")</f>
        <v/>
      </c>
      <c r="BD430" s="72" t="str">
        <f aca="false">IF(ISBLANK($C430),"",$B430)</f>
        <v/>
      </c>
      <c r="BE430" s="72" t="str">
        <f aca="false">IF(ISBLANK($C430),"",$C430)</f>
        <v/>
      </c>
      <c r="BF430" s="72" t="str">
        <f aca="false">IF(ISBLANK($C430),"",$D430)</f>
        <v/>
      </c>
      <c r="BG430" s="73" t="str">
        <f aca="false">AU430</f>
        <v/>
      </c>
      <c r="BH430" s="74" t="str">
        <f aca="false">AT430</f>
        <v/>
      </c>
      <c r="BI430" s="72" t="str">
        <f aca="false">IF(ISBLANK($C430),"",AW430)</f>
        <v/>
      </c>
      <c r="BJ430" s="75" t="str">
        <f aca="false">IF($BA430&gt;$AZ$7,"",VLOOKUP($BA430,$BC$8:$BI$507,7,FALSE()))</f>
        <v/>
      </c>
      <c r="BK430" s="76" t="str">
        <f aca="false">IF($BA430&gt;$AZ$7,"",VLOOKUP($BA430,$BC$8:$BI$507,2,FALSE()))</f>
        <v/>
      </c>
      <c r="BL430" s="76" t="str">
        <f aca="false">IF($BA430&gt;$AZ$7,"",VLOOKUP($BA430,$BC$8:$BI$507,3,FALSE()))</f>
        <v/>
      </c>
      <c r="BM430" s="76" t="str">
        <f aca="false">IF($BA430&gt;$AZ$7,"",VLOOKUP($BA430,$BC$8:$BI$507,4,FALSE()))</f>
        <v/>
      </c>
      <c r="BN430" s="76" t="str">
        <f aca="false">IF($BA430&gt;$AZ$7,"",VLOOKUP($BA430,$BC$8:$BI$507,5,FALSE()))</f>
        <v/>
      </c>
      <c r="BO430" s="77" t="str">
        <f aca="false">IF($BA430&gt;$AZ$7,"",VLOOKUP($BA430,$BC$8:$BI$507,6,FALSE()))</f>
        <v/>
      </c>
      <c r="BP430" s="52"/>
    </row>
    <row r="431" customFormat="false" ht="15.75" hidden="false" customHeight="false" outlineLevel="0" collapsed="false">
      <c r="A431" s="5"/>
      <c r="B431" s="114"/>
      <c r="C431" s="115"/>
      <c r="D431" s="106"/>
      <c r="E431" s="117"/>
      <c r="F431" s="87"/>
      <c r="G431" s="88"/>
      <c r="H431" s="88"/>
      <c r="I431" s="87"/>
      <c r="J431" s="88"/>
      <c r="K431" s="88"/>
      <c r="L431" s="87"/>
      <c r="M431" s="117"/>
      <c r="N431" s="90"/>
      <c r="O431" s="91" t="str">
        <f aca="false">IF(ISBLANK($C431),"",IF(E431=Constants!$B$2, TRUE(), IF(E431=Constants!$B$3, FALSE(), TRUE())))</f>
        <v/>
      </c>
      <c r="P431" s="91" t="str">
        <f aca="false">IF(ISBLANK($C431),"",IF(F431=Constants!$B$16,Constants!$B$9,IF(F431=Constants!$B$17,Constants!$B$10,Constants!$B$8)))</f>
        <v/>
      </c>
      <c r="Q431" s="91" t="str">
        <f aca="false">IF(ISBLANK($C431),"",IF(ISNUMBER(G431),IF(G431&gt;=0,G431,""),""))</f>
        <v/>
      </c>
      <c r="R431" s="91" t="str">
        <f aca="false">IF(ISBLANK($C431),"",IF(H431=Constants!$B$2, TRUE(), IF(H431=Constants!$B$3, FALSE(), TRUE())))</f>
        <v/>
      </c>
      <c r="S431" s="91" t="str">
        <f aca="false">IF(ISBLANK($C431),"",IF(I431=Constants!$B$2, TRUE(), IF(I431=Constants!$B$3, FALSE(), TRUE())))</f>
        <v/>
      </c>
      <c r="T431" s="91" t="str">
        <f aca="false">IF(ISBLANK($C431),"",IF(ISNUMBER(J431),IF(J431&gt;=0,J431,""),""))</f>
        <v/>
      </c>
      <c r="U431" s="91" t="str">
        <f aca="false">IF(ISBLANK($C431),"",IF(K431=Constants!$B$2, TRUE(), IF(K431=Constants!$B$3, FALSE(), TRUE())))</f>
        <v/>
      </c>
      <c r="V431" s="91" t="str">
        <f aca="false">IF(ISBLANK($C431),"",IF(L431=Constants!$B$2, TRUE(), IF(L431=Constants!$B$3, FALSE(), TRUE())))</f>
        <v/>
      </c>
      <c r="W431" s="91" t="str">
        <f aca="false">IF(ISBLANK($C431),"",IF(M431=Constants!$B$2, TRUE(), IF(M431=Constants!$B$3, FALSE(), FALSE())))</f>
        <v/>
      </c>
      <c r="X431" s="91" t="str">
        <f aca="false">IF(ISBLANK($C431),"",AND(Q431&lt;&gt;"",O431))</f>
        <v/>
      </c>
      <c r="Y431" s="91" t="str">
        <f aca="false">IF(ISBLANK($C431),"",AND(T431&lt;&gt;"",O431))</f>
        <v/>
      </c>
      <c r="Z431" s="91" t="str">
        <f aca="false">IF(ISBLANK($C431),"",IF(W431,Constants!$B$4,IF(COUNTA(E431:L431)=0,Constants!$B$5,IF(NOT(O431),Constants!$B$6,IF(AND(NOT(X431),NOT(Y431)),Constants!$B$6,Constants!$B$7)))))</f>
        <v/>
      </c>
      <c r="AA431" s="91" t="str">
        <f aca="false">IF(ISBLANK($C431),"",IF($Z431&lt;&gt;Constants!$B$7,$Z431,Constants!$B$20))</f>
        <v/>
      </c>
      <c r="AB431" s="91" t="str">
        <f aca="false">IF($Z431=Constants!$B$7,IF(X431,Q431,Constants!$B$13),"")</f>
        <v/>
      </c>
      <c r="AC431" s="91" t="str">
        <f aca="false">IF($Z431=Constants!$B$7,IF(X431,P431*IF(R431, 1, Constants!$B$11)*IF(S431, 1, Constants!$B$12),Constants!$B$13),"")</f>
        <v/>
      </c>
      <c r="AD431" s="91" t="str">
        <f aca="false">IF($Z431=Constants!$B$7,AB431*AC431,"")</f>
        <v/>
      </c>
      <c r="AE431" s="91" t="str">
        <f aca="false">IF($Z431=Constants!$B$7,IF(Y431,T431,Constants!$B$13),"")</f>
        <v/>
      </c>
      <c r="AF431" s="91" t="str">
        <f aca="false">IF($Z431=Constants!$B$7,IF(Y431,P431*IF(U431, 1, Constants!$B$11)*IF(V431, 1, Constants!$B$12),Constants!$B$13),"")</f>
        <v/>
      </c>
      <c r="AG431" s="91" t="str">
        <f aca="false">IF($Z431=Constants!$B$7,AE431*AF431,"")</f>
        <v/>
      </c>
      <c r="AH431" s="91" t="str">
        <f aca="false">IF($Z431=Constants!$B$7,IF(AG431&gt;AD431,2,1),"")</f>
        <v/>
      </c>
      <c r="AI431" s="91" t="str">
        <f aca="false">IF($Z431=Constants!$B$7,IF(AH431=1,2,1),"")</f>
        <v/>
      </c>
      <c r="AJ431" s="91" t="str">
        <f aca="false">IF(ISBLANK($C431),"",IF($Z431&lt;&gt;Constants!$B$7,$Z431,IF(AH431=1,AD431,AG431)))</f>
        <v/>
      </c>
      <c r="AK431" s="91" t="str">
        <f aca="false">IF(ISBLANK($C431),"",IF($Z431=Constants!$B$7,IF(ISNUMBER(AJ431),RANK(AJ431,$AJ$8:$AJ$507),Constants!$B$14),$Z431))</f>
        <v/>
      </c>
      <c r="AL431" s="91" t="str">
        <f aca="false">IF(ISBLANK($C431),"",IF($Z431=Constants!$B$7,IF(AI431=1,AD431,AG431),""))</f>
        <v/>
      </c>
      <c r="AM431" s="91" t="str">
        <f aca="false">IF(ISBLANK($C431),"",IF($Z431=Constants!$B$7,RANK(AL431,$AL$8:$AL$507),$Z431))</f>
        <v/>
      </c>
      <c r="AN431" s="91" t="str">
        <f aca="false">IF(ISBLANK($C431),"",IF($Z431=Constants!$B$7,IF(ISNUMBER(AK431),COUNTIFS($AK$8:$AK$507,"&lt;"&amp;$AK431)+COUNTIFS($AK$8:$AK$507,$AK431,$AM$8:$AM$507,"&lt;"&amp;$AM431)+1,Constants!$B$14),$Z431))</f>
        <v/>
      </c>
      <c r="AO431" s="91" t="str">
        <f aca="false">IF(ISBLANK($C431),"",IF($Z431=Constants!$B$7,IF(ISNUMBER(AK431),AK431-AN431,Constants!$B$14),$Z431))</f>
        <v/>
      </c>
      <c r="AP431" s="92"/>
      <c r="AQ431" s="93" t="str">
        <f aca="false">IF(ISBLANK($C431),"",IF($Z431&lt;&gt;Constants!$B$7,"",AH431))</f>
        <v/>
      </c>
      <c r="AR431" s="94" t="str">
        <f aca="false">IF(ISBLANK($C431),"",IF($Z431&lt;&gt;Constants!$B$7,"",IF(AH431=1,AB431,AE431)))</f>
        <v/>
      </c>
      <c r="AS431" s="95" t="str">
        <f aca="false">IF(ISBLANK($C431),"",IF($Z431&lt;&gt;Constants!$B$7,"",IF(AH431=1,AC431,AF431)))</f>
        <v/>
      </c>
      <c r="AT431" s="96" t="str">
        <f aca="false">IF(ISBLANK($C431),"",IF($Z431&lt;&gt;Constants!$B$7,$Z431,AJ431))</f>
        <v/>
      </c>
      <c r="AU431" s="97" t="str">
        <f aca="false">IF(ISBLANK($C431),"",IF($Z431&lt;&gt;Constants!$B$7,$Z431,AA431))</f>
        <v/>
      </c>
      <c r="AV431" s="98" t="str">
        <f aca="false">IF(ISBLANK($C431),"",AO431)</f>
        <v/>
      </c>
      <c r="AW431" s="98" t="str">
        <f aca="false">IF(ISBLANK($C431),"",AN431)</f>
        <v/>
      </c>
      <c r="AX431" s="99" t="str">
        <f aca="false">IF(ISBLANK($C431),"",IFERROR(_xlfn.SWITCH(AW431,Constants!$B$4,COUNTA($C$8:$C$507)+2,Constants!$B$5,COUNTA($C$8:$C$507)+1,Constants!$B$6,COUNTA($C$8:$C$507)),AW431))</f>
        <v/>
      </c>
      <c r="AY431" s="5"/>
      <c r="AZ431" s="100" t="n">
        <f aca="false">IF(OR(ISNUMBER(AW431),AW431=Constants!$B$4,AW431=Constants!$B$6,AW431=Constants!$B$5),1,0)</f>
        <v>0</v>
      </c>
      <c r="BA431" s="100" t="n">
        <v>424</v>
      </c>
      <c r="BB431" s="100" t="str">
        <f aca="false">IF(ISBLANK($C431),"",IF(ISNUMBER(AX431),AX431+ROW($B431)/1000,""))</f>
        <v/>
      </c>
      <c r="BC431" s="100" t="str">
        <f aca="false">IF(ISNUMBER(BB431),RANK(BB431,$BB$8:$BB$507,1),"")</f>
        <v/>
      </c>
      <c r="BD431" s="100" t="str">
        <f aca="false">IF(ISBLANK($C431),"",$B431)</f>
        <v/>
      </c>
      <c r="BE431" s="100" t="str">
        <f aca="false">IF(ISBLANK($C431),"",$C431)</f>
        <v/>
      </c>
      <c r="BF431" s="100" t="str">
        <f aca="false">IF(ISBLANK($C431),"",$D431)</f>
        <v/>
      </c>
      <c r="BG431" s="101" t="str">
        <f aca="false">AU431</f>
        <v/>
      </c>
      <c r="BH431" s="102" t="str">
        <f aca="false">AT431</f>
        <v/>
      </c>
      <c r="BI431" s="100" t="str">
        <f aca="false">IF(ISBLANK($C431),"",AW431)</f>
        <v/>
      </c>
      <c r="BJ431" s="103" t="str">
        <f aca="false">IF($BA431&gt;$AZ$7,"",VLOOKUP($BA431,$BC$8:$BI$507,7,FALSE()))</f>
        <v/>
      </c>
      <c r="BK431" s="104" t="str">
        <f aca="false">IF($BA431&gt;$AZ$7,"",VLOOKUP($BA431,$BC$8:$BI$507,2,FALSE()))</f>
        <v/>
      </c>
      <c r="BL431" s="104" t="str">
        <f aca="false">IF($BA431&gt;$AZ$7,"",VLOOKUP($BA431,$BC$8:$BI$507,3,FALSE()))</f>
        <v/>
      </c>
      <c r="BM431" s="104" t="str">
        <f aca="false">IF($BA431&gt;$AZ$7,"",VLOOKUP($BA431,$BC$8:$BI$507,4,FALSE()))</f>
        <v/>
      </c>
      <c r="BN431" s="104" t="str">
        <f aca="false">IF($BA431&gt;$AZ$7,"",VLOOKUP($BA431,$BC$8:$BI$507,5,FALSE()))</f>
        <v/>
      </c>
      <c r="BO431" s="105" t="str">
        <f aca="false">IF($BA431&gt;$AZ$7,"",VLOOKUP($BA431,$BC$8:$BI$507,6,FALSE()))</f>
        <v/>
      </c>
      <c r="BP431" s="52"/>
    </row>
    <row r="432" customFormat="false" ht="15.75" hidden="false" customHeight="false" outlineLevel="0" collapsed="false">
      <c r="A432" s="5"/>
      <c r="B432" s="114"/>
      <c r="C432" s="115"/>
      <c r="D432" s="106"/>
      <c r="E432" s="117"/>
      <c r="F432" s="87"/>
      <c r="G432" s="88"/>
      <c r="H432" s="88"/>
      <c r="I432" s="87"/>
      <c r="J432" s="88"/>
      <c r="K432" s="88"/>
      <c r="L432" s="87"/>
      <c r="M432" s="117"/>
      <c r="N432" s="90"/>
      <c r="O432" s="91" t="str">
        <f aca="false">IF(ISBLANK($C432),"",IF(E432=Constants!$B$2, TRUE(), IF(E432=Constants!$B$3, FALSE(), TRUE())))</f>
        <v/>
      </c>
      <c r="P432" s="91" t="str">
        <f aca="false">IF(ISBLANK($C432),"",IF(F432=Constants!$B$16,Constants!$B$9,IF(F432=Constants!$B$17,Constants!$B$10,Constants!$B$8)))</f>
        <v/>
      </c>
      <c r="Q432" s="91" t="str">
        <f aca="false">IF(ISBLANK($C432),"",IF(ISNUMBER(G432),IF(G432&gt;=0,G432,""),""))</f>
        <v/>
      </c>
      <c r="R432" s="91" t="str">
        <f aca="false">IF(ISBLANK($C432),"",IF(H432=Constants!$B$2, TRUE(), IF(H432=Constants!$B$3, FALSE(), TRUE())))</f>
        <v/>
      </c>
      <c r="S432" s="91" t="str">
        <f aca="false">IF(ISBLANK($C432),"",IF(I432=Constants!$B$2, TRUE(), IF(I432=Constants!$B$3, FALSE(), TRUE())))</f>
        <v/>
      </c>
      <c r="T432" s="91" t="str">
        <f aca="false">IF(ISBLANK($C432),"",IF(ISNUMBER(J432),IF(J432&gt;=0,J432,""),""))</f>
        <v/>
      </c>
      <c r="U432" s="91" t="str">
        <f aca="false">IF(ISBLANK($C432),"",IF(K432=Constants!$B$2, TRUE(), IF(K432=Constants!$B$3, FALSE(), TRUE())))</f>
        <v/>
      </c>
      <c r="V432" s="91" t="str">
        <f aca="false">IF(ISBLANK($C432),"",IF(L432=Constants!$B$2, TRUE(), IF(L432=Constants!$B$3, FALSE(), TRUE())))</f>
        <v/>
      </c>
      <c r="W432" s="91" t="str">
        <f aca="false">IF(ISBLANK($C432),"",IF(M432=Constants!$B$2, TRUE(), IF(M432=Constants!$B$3, FALSE(), FALSE())))</f>
        <v/>
      </c>
      <c r="X432" s="91" t="str">
        <f aca="false">IF(ISBLANK($C432),"",AND(Q432&lt;&gt;"",O432))</f>
        <v/>
      </c>
      <c r="Y432" s="91" t="str">
        <f aca="false">IF(ISBLANK($C432),"",AND(T432&lt;&gt;"",O432))</f>
        <v/>
      </c>
      <c r="Z432" s="91" t="str">
        <f aca="false">IF(ISBLANK($C432),"",IF(W432,Constants!$B$4,IF(COUNTA(E432:L432)=0,Constants!$B$5,IF(NOT(O432),Constants!$B$6,IF(AND(NOT(X432),NOT(Y432)),Constants!$B$6,Constants!$B$7)))))</f>
        <v/>
      </c>
      <c r="AA432" s="91" t="str">
        <f aca="false">IF(ISBLANK($C432),"",IF($Z432&lt;&gt;Constants!$B$7,$Z432,Constants!$B$20))</f>
        <v/>
      </c>
      <c r="AB432" s="91" t="str">
        <f aca="false">IF($Z432=Constants!$B$7,IF(X432,Q432,Constants!$B$13),"")</f>
        <v/>
      </c>
      <c r="AC432" s="91" t="str">
        <f aca="false">IF($Z432=Constants!$B$7,IF(X432,P432*IF(R432, 1, Constants!$B$11)*IF(S432, 1, Constants!$B$12),Constants!$B$13),"")</f>
        <v/>
      </c>
      <c r="AD432" s="91" t="str">
        <f aca="false">IF($Z432=Constants!$B$7,AB432*AC432,"")</f>
        <v/>
      </c>
      <c r="AE432" s="91" t="str">
        <f aca="false">IF($Z432=Constants!$B$7,IF(Y432,T432,Constants!$B$13),"")</f>
        <v/>
      </c>
      <c r="AF432" s="91" t="str">
        <f aca="false">IF($Z432=Constants!$B$7,IF(Y432,P432*IF(U432, 1, Constants!$B$11)*IF(V432, 1, Constants!$B$12),Constants!$B$13),"")</f>
        <v/>
      </c>
      <c r="AG432" s="91" t="str">
        <f aca="false">IF($Z432=Constants!$B$7,AE432*AF432,"")</f>
        <v/>
      </c>
      <c r="AH432" s="91" t="str">
        <f aca="false">IF($Z432=Constants!$B$7,IF(AG432&gt;AD432,2,1),"")</f>
        <v/>
      </c>
      <c r="AI432" s="91" t="str">
        <f aca="false">IF($Z432=Constants!$B$7,IF(AH432=1,2,1),"")</f>
        <v/>
      </c>
      <c r="AJ432" s="91" t="str">
        <f aca="false">IF(ISBLANK($C432),"",IF($Z432&lt;&gt;Constants!$B$7,$Z432,IF(AH432=1,AD432,AG432)))</f>
        <v/>
      </c>
      <c r="AK432" s="91" t="str">
        <f aca="false">IF(ISBLANK($C432),"",IF($Z432=Constants!$B$7,IF(ISNUMBER(AJ432),RANK(AJ432,$AJ$8:$AJ$507),Constants!$B$14),$Z432))</f>
        <v/>
      </c>
      <c r="AL432" s="91" t="str">
        <f aca="false">IF(ISBLANK($C432),"",IF($Z432=Constants!$B$7,IF(AI432=1,AD432,AG432),""))</f>
        <v/>
      </c>
      <c r="AM432" s="91" t="str">
        <f aca="false">IF(ISBLANK($C432),"",IF($Z432=Constants!$B$7,RANK(AL432,$AL$8:$AL$507),$Z432))</f>
        <v/>
      </c>
      <c r="AN432" s="91" t="str">
        <f aca="false">IF(ISBLANK($C432),"",IF($Z432=Constants!$B$7,IF(ISNUMBER(AK432),COUNTIFS($AK$8:$AK$507,"&lt;"&amp;$AK432)+COUNTIFS($AK$8:$AK$507,$AK432,$AM$8:$AM$507,"&lt;"&amp;$AM432)+1,Constants!$B$14),$Z432))</f>
        <v/>
      </c>
      <c r="AO432" s="91" t="str">
        <f aca="false">IF(ISBLANK($C432),"",IF($Z432=Constants!$B$7,IF(ISNUMBER(AK432),AK432-AN432,Constants!$B$14),$Z432))</f>
        <v/>
      </c>
      <c r="AP432" s="92"/>
      <c r="AQ432" s="93" t="str">
        <f aca="false">IF(ISBLANK($C432),"",IF($Z432&lt;&gt;Constants!$B$7,"",AH432))</f>
        <v/>
      </c>
      <c r="AR432" s="94" t="str">
        <f aca="false">IF(ISBLANK($C432),"",IF($Z432&lt;&gt;Constants!$B$7,"",IF(AH432=1,AB432,AE432)))</f>
        <v/>
      </c>
      <c r="AS432" s="95" t="str">
        <f aca="false">IF(ISBLANK($C432),"",IF($Z432&lt;&gt;Constants!$B$7,"",IF(AH432=1,AC432,AF432)))</f>
        <v/>
      </c>
      <c r="AT432" s="96" t="str">
        <f aca="false">IF(ISBLANK($C432),"",IF($Z432&lt;&gt;Constants!$B$7,$Z432,AJ432))</f>
        <v/>
      </c>
      <c r="AU432" s="97" t="str">
        <f aca="false">IF(ISBLANK($C432),"",IF($Z432&lt;&gt;Constants!$B$7,$Z432,AA432))</f>
        <v/>
      </c>
      <c r="AV432" s="98" t="str">
        <f aca="false">IF(ISBLANK($C432),"",AO432)</f>
        <v/>
      </c>
      <c r="AW432" s="98" t="str">
        <f aca="false">IF(ISBLANK($C432),"",AN432)</f>
        <v/>
      </c>
      <c r="AX432" s="99" t="str">
        <f aca="false">IF(ISBLANK($C432),"",IFERROR(_xlfn.SWITCH(AW432,Constants!$B$4,COUNTA($C$8:$C$507)+2,Constants!$B$5,COUNTA($C$8:$C$507)+1,Constants!$B$6,COUNTA($C$8:$C$507)),AW432))</f>
        <v/>
      </c>
      <c r="AY432" s="5"/>
      <c r="AZ432" s="100" t="n">
        <f aca="false">IF(OR(ISNUMBER(AW432),AW432=Constants!$B$4,AW432=Constants!$B$6,AW432=Constants!$B$5),1,0)</f>
        <v>0</v>
      </c>
      <c r="BA432" s="100" t="n">
        <v>425</v>
      </c>
      <c r="BB432" s="100" t="str">
        <f aca="false">IF(ISBLANK($C432),"",IF(ISNUMBER(AX432),AX432+ROW($B432)/1000,""))</f>
        <v/>
      </c>
      <c r="BC432" s="100" t="str">
        <f aca="false">IF(ISNUMBER(BB432),RANK(BB432,$BB$8:$BB$507,1),"")</f>
        <v/>
      </c>
      <c r="BD432" s="100" t="str">
        <f aca="false">IF(ISBLANK($C432),"",$B432)</f>
        <v/>
      </c>
      <c r="BE432" s="100" t="str">
        <f aca="false">IF(ISBLANK($C432),"",$C432)</f>
        <v/>
      </c>
      <c r="BF432" s="100" t="str">
        <f aca="false">IF(ISBLANK($C432),"",$D432)</f>
        <v/>
      </c>
      <c r="BG432" s="101" t="str">
        <f aca="false">AU432</f>
        <v/>
      </c>
      <c r="BH432" s="102" t="str">
        <f aca="false">AT432</f>
        <v/>
      </c>
      <c r="BI432" s="100" t="str">
        <f aca="false">IF(ISBLANK($C432),"",AW432)</f>
        <v/>
      </c>
      <c r="BJ432" s="103" t="str">
        <f aca="false">IF($BA432&gt;$AZ$7,"",VLOOKUP($BA432,$BC$8:$BI$507,7,FALSE()))</f>
        <v/>
      </c>
      <c r="BK432" s="104" t="str">
        <f aca="false">IF($BA432&gt;$AZ$7,"",VLOOKUP($BA432,$BC$8:$BI$507,2,FALSE()))</f>
        <v/>
      </c>
      <c r="BL432" s="104" t="str">
        <f aca="false">IF($BA432&gt;$AZ$7,"",VLOOKUP($BA432,$BC$8:$BI$507,3,FALSE()))</f>
        <v/>
      </c>
      <c r="BM432" s="104" t="str">
        <f aca="false">IF($BA432&gt;$AZ$7,"",VLOOKUP($BA432,$BC$8:$BI$507,4,FALSE()))</f>
        <v/>
      </c>
      <c r="BN432" s="104" t="str">
        <f aca="false">IF($BA432&gt;$AZ$7,"",VLOOKUP($BA432,$BC$8:$BI$507,5,FALSE()))</f>
        <v/>
      </c>
      <c r="BO432" s="105" t="str">
        <f aca="false">IF($BA432&gt;$AZ$7,"",VLOOKUP($BA432,$BC$8:$BI$507,6,FALSE()))</f>
        <v/>
      </c>
      <c r="BP432" s="52"/>
    </row>
    <row r="433" customFormat="false" ht="15.75" hidden="false" customHeight="false" outlineLevel="0" collapsed="false">
      <c r="A433" s="5"/>
      <c r="B433" s="114"/>
      <c r="C433" s="115"/>
      <c r="D433" s="106"/>
      <c r="E433" s="117"/>
      <c r="F433" s="87"/>
      <c r="G433" s="88"/>
      <c r="H433" s="88"/>
      <c r="I433" s="87"/>
      <c r="J433" s="88"/>
      <c r="K433" s="88"/>
      <c r="L433" s="87"/>
      <c r="M433" s="117"/>
      <c r="N433" s="90"/>
      <c r="O433" s="91" t="str">
        <f aca="false">IF(ISBLANK($C433),"",IF(E433=Constants!$B$2, TRUE(), IF(E433=Constants!$B$3, FALSE(), TRUE())))</f>
        <v/>
      </c>
      <c r="P433" s="91" t="str">
        <f aca="false">IF(ISBLANK($C433),"",IF(F433=Constants!$B$16,Constants!$B$9,IF(F433=Constants!$B$17,Constants!$B$10,Constants!$B$8)))</f>
        <v/>
      </c>
      <c r="Q433" s="91" t="str">
        <f aca="false">IF(ISBLANK($C433),"",IF(ISNUMBER(G433),IF(G433&gt;=0,G433,""),""))</f>
        <v/>
      </c>
      <c r="R433" s="91" t="str">
        <f aca="false">IF(ISBLANK($C433),"",IF(H433=Constants!$B$2, TRUE(), IF(H433=Constants!$B$3, FALSE(), TRUE())))</f>
        <v/>
      </c>
      <c r="S433" s="91" t="str">
        <f aca="false">IF(ISBLANK($C433),"",IF(I433=Constants!$B$2, TRUE(), IF(I433=Constants!$B$3, FALSE(), TRUE())))</f>
        <v/>
      </c>
      <c r="T433" s="91" t="str">
        <f aca="false">IF(ISBLANK($C433),"",IF(ISNUMBER(J433),IF(J433&gt;=0,J433,""),""))</f>
        <v/>
      </c>
      <c r="U433" s="91" t="str">
        <f aca="false">IF(ISBLANK($C433),"",IF(K433=Constants!$B$2, TRUE(), IF(K433=Constants!$B$3, FALSE(), TRUE())))</f>
        <v/>
      </c>
      <c r="V433" s="91" t="str">
        <f aca="false">IF(ISBLANK($C433),"",IF(L433=Constants!$B$2, TRUE(), IF(L433=Constants!$B$3, FALSE(), TRUE())))</f>
        <v/>
      </c>
      <c r="W433" s="91" t="str">
        <f aca="false">IF(ISBLANK($C433),"",IF(M433=Constants!$B$2, TRUE(), IF(M433=Constants!$B$3, FALSE(), FALSE())))</f>
        <v/>
      </c>
      <c r="X433" s="91" t="str">
        <f aca="false">IF(ISBLANK($C433),"",AND(Q433&lt;&gt;"",O433))</f>
        <v/>
      </c>
      <c r="Y433" s="91" t="str">
        <f aca="false">IF(ISBLANK($C433),"",AND(T433&lt;&gt;"",O433))</f>
        <v/>
      </c>
      <c r="Z433" s="91" t="str">
        <f aca="false">IF(ISBLANK($C433),"",IF(W433,Constants!$B$4,IF(COUNTA(E433:L433)=0,Constants!$B$5,IF(NOT(O433),Constants!$B$6,IF(AND(NOT(X433),NOT(Y433)),Constants!$B$6,Constants!$B$7)))))</f>
        <v/>
      </c>
      <c r="AA433" s="91" t="str">
        <f aca="false">IF(ISBLANK($C433),"",IF($Z433&lt;&gt;Constants!$B$7,$Z433,Constants!$B$20))</f>
        <v/>
      </c>
      <c r="AB433" s="91" t="str">
        <f aca="false">IF($Z433=Constants!$B$7,IF(X433,Q433,Constants!$B$13),"")</f>
        <v/>
      </c>
      <c r="AC433" s="91" t="str">
        <f aca="false">IF($Z433=Constants!$B$7,IF(X433,P433*IF(R433, 1, Constants!$B$11)*IF(S433, 1, Constants!$B$12),Constants!$B$13),"")</f>
        <v/>
      </c>
      <c r="AD433" s="91" t="str">
        <f aca="false">IF($Z433=Constants!$B$7,AB433*AC433,"")</f>
        <v/>
      </c>
      <c r="AE433" s="91" t="str">
        <f aca="false">IF($Z433=Constants!$B$7,IF(Y433,T433,Constants!$B$13),"")</f>
        <v/>
      </c>
      <c r="AF433" s="91" t="str">
        <f aca="false">IF($Z433=Constants!$B$7,IF(Y433,P433*IF(U433, 1, Constants!$B$11)*IF(V433, 1, Constants!$B$12),Constants!$B$13),"")</f>
        <v/>
      </c>
      <c r="AG433" s="91" t="str">
        <f aca="false">IF($Z433=Constants!$B$7,AE433*AF433,"")</f>
        <v/>
      </c>
      <c r="AH433" s="91" t="str">
        <f aca="false">IF($Z433=Constants!$B$7,IF(AG433&gt;AD433,2,1),"")</f>
        <v/>
      </c>
      <c r="AI433" s="91" t="str">
        <f aca="false">IF($Z433=Constants!$B$7,IF(AH433=1,2,1),"")</f>
        <v/>
      </c>
      <c r="AJ433" s="91" t="str">
        <f aca="false">IF(ISBLANK($C433),"",IF($Z433&lt;&gt;Constants!$B$7,$Z433,IF(AH433=1,AD433,AG433)))</f>
        <v/>
      </c>
      <c r="AK433" s="91" t="str">
        <f aca="false">IF(ISBLANK($C433),"",IF($Z433=Constants!$B$7,IF(ISNUMBER(AJ433),RANK(AJ433,$AJ$8:$AJ$507),Constants!$B$14),$Z433))</f>
        <v/>
      </c>
      <c r="AL433" s="91" t="str">
        <f aca="false">IF(ISBLANK($C433),"",IF($Z433=Constants!$B$7,IF(AI433=1,AD433,AG433),""))</f>
        <v/>
      </c>
      <c r="AM433" s="91" t="str">
        <f aca="false">IF(ISBLANK($C433),"",IF($Z433=Constants!$B$7,RANK(AL433,$AL$8:$AL$507),$Z433))</f>
        <v/>
      </c>
      <c r="AN433" s="91" t="str">
        <f aca="false">IF(ISBLANK($C433),"",IF($Z433=Constants!$B$7,IF(ISNUMBER(AK433),COUNTIFS($AK$8:$AK$507,"&lt;"&amp;$AK433)+COUNTIFS($AK$8:$AK$507,$AK433,$AM$8:$AM$507,"&lt;"&amp;$AM433)+1,Constants!$B$14),$Z433))</f>
        <v/>
      </c>
      <c r="AO433" s="91" t="str">
        <f aca="false">IF(ISBLANK($C433),"",IF($Z433=Constants!$B$7,IF(ISNUMBER(AK433),AK433-AN433,Constants!$B$14),$Z433))</f>
        <v/>
      </c>
      <c r="AP433" s="92"/>
      <c r="AQ433" s="93" t="str">
        <f aca="false">IF(ISBLANK($C433),"",IF($Z433&lt;&gt;Constants!$B$7,"",AH433))</f>
        <v/>
      </c>
      <c r="AR433" s="94" t="str">
        <f aca="false">IF(ISBLANK($C433),"",IF($Z433&lt;&gt;Constants!$B$7,"",IF(AH433=1,AB433,AE433)))</f>
        <v/>
      </c>
      <c r="AS433" s="95" t="str">
        <f aca="false">IF(ISBLANK($C433),"",IF($Z433&lt;&gt;Constants!$B$7,"",IF(AH433=1,AC433,AF433)))</f>
        <v/>
      </c>
      <c r="AT433" s="96" t="str">
        <f aca="false">IF(ISBLANK($C433),"",IF($Z433&lt;&gt;Constants!$B$7,$Z433,AJ433))</f>
        <v/>
      </c>
      <c r="AU433" s="97" t="str">
        <f aca="false">IF(ISBLANK($C433),"",IF($Z433&lt;&gt;Constants!$B$7,$Z433,AA433))</f>
        <v/>
      </c>
      <c r="AV433" s="98" t="str">
        <f aca="false">IF(ISBLANK($C433),"",AO433)</f>
        <v/>
      </c>
      <c r="AW433" s="98" t="str">
        <f aca="false">IF(ISBLANK($C433),"",AN433)</f>
        <v/>
      </c>
      <c r="AX433" s="99" t="str">
        <f aca="false">IF(ISBLANK($C433),"",IFERROR(_xlfn.SWITCH(AW433,Constants!$B$4,COUNTA($C$8:$C$507)+2,Constants!$B$5,COUNTA($C$8:$C$507)+1,Constants!$B$6,COUNTA($C$8:$C$507)),AW433))</f>
        <v/>
      </c>
      <c r="AY433" s="5"/>
      <c r="AZ433" s="100" t="n">
        <f aca="false">IF(OR(ISNUMBER(AW433),AW433=Constants!$B$4,AW433=Constants!$B$6,AW433=Constants!$B$5),1,0)</f>
        <v>0</v>
      </c>
      <c r="BA433" s="100" t="n">
        <v>426</v>
      </c>
      <c r="BB433" s="100" t="str">
        <f aca="false">IF(ISBLANK($C433),"",IF(ISNUMBER(AX433),AX433+ROW($B433)/1000,""))</f>
        <v/>
      </c>
      <c r="BC433" s="100" t="str">
        <f aca="false">IF(ISNUMBER(BB433),RANK(BB433,$BB$8:$BB$507,1),"")</f>
        <v/>
      </c>
      <c r="BD433" s="100" t="str">
        <f aca="false">IF(ISBLANK($C433),"",$B433)</f>
        <v/>
      </c>
      <c r="BE433" s="100" t="str">
        <f aca="false">IF(ISBLANK($C433),"",$C433)</f>
        <v/>
      </c>
      <c r="BF433" s="100" t="str">
        <f aca="false">IF(ISBLANK($C433),"",$D433)</f>
        <v/>
      </c>
      <c r="BG433" s="101" t="str">
        <f aca="false">AU433</f>
        <v/>
      </c>
      <c r="BH433" s="102" t="str">
        <f aca="false">AT433</f>
        <v/>
      </c>
      <c r="BI433" s="100" t="str">
        <f aca="false">IF(ISBLANK($C433),"",AW433)</f>
        <v/>
      </c>
      <c r="BJ433" s="103" t="str">
        <f aca="false">IF($BA433&gt;$AZ$7,"",VLOOKUP($BA433,$BC$8:$BI$507,7,FALSE()))</f>
        <v/>
      </c>
      <c r="BK433" s="104" t="str">
        <f aca="false">IF($BA433&gt;$AZ$7,"",VLOOKUP($BA433,$BC$8:$BI$507,2,FALSE()))</f>
        <v/>
      </c>
      <c r="BL433" s="104" t="str">
        <f aca="false">IF($BA433&gt;$AZ$7,"",VLOOKUP($BA433,$BC$8:$BI$507,3,FALSE()))</f>
        <v/>
      </c>
      <c r="BM433" s="104" t="str">
        <f aca="false">IF($BA433&gt;$AZ$7,"",VLOOKUP($BA433,$BC$8:$BI$507,4,FALSE()))</f>
        <v/>
      </c>
      <c r="BN433" s="104" t="str">
        <f aca="false">IF($BA433&gt;$AZ$7,"",VLOOKUP($BA433,$BC$8:$BI$507,5,FALSE()))</f>
        <v/>
      </c>
      <c r="BO433" s="105" t="str">
        <f aca="false">IF($BA433&gt;$AZ$7,"",VLOOKUP($BA433,$BC$8:$BI$507,6,FALSE()))</f>
        <v/>
      </c>
      <c r="BP433" s="52"/>
    </row>
    <row r="434" customFormat="false" ht="15.75" hidden="false" customHeight="false" outlineLevel="0" collapsed="false">
      <c r="A434" s="5"/>
      <c r="B434" s="118"/>
      <c r="C434" s="54"/>
      <c r="D434" s="55"/>
      <c r="E434" s="79"/>
      <c r="F434" s="57"/>
      <c r="G434" s="58"/>
      <c r="H434" s="58"/>
      <c r="I434" s="57"/>
      <c r="J434" s="58"/>
      <c r="K434" s="58"/>
      <c r="L434" s="57"/>
      <c r="M434" s="79"/>
      <c r="N434" s="60"/>
      <c r="O434" s="62" t="str">
        <f aca="false">IF(ISBLANK($C434),"",IF(E434=Constants!$B$2, TRUE(), IF(E434=Constants!$B$3, FALSE(), TRUE())))</f>
        <v/>
      </c>
      <c r="P434" s="62" t="str">
        <f aca="false">IF(ISBLANK($C434),"",IF(F434=Constants!$B$16,Constants!$B$9,IF(F434=Constants!$B$17,Constants!$B$10,Constants!$B$8)))</f>
        <v/>
      </c>
      <c r="Q434" s="62" t="str">
        <f aca="false">IF(ISBLANK($C434),"",IF(ISNUMBER(G434),IF(G434&gt;=0,G434,""),""))</f>
        <v/>
      </c>
      <c r="R434" s="62" t="str">
        <f aca="false">IF(ISBLANK($C434),"",IF(H434=Constants!$B$2, TRUE(), IF(H434=Constants!$B$3, FALSE(), TRUE())))</f>
        <v/>
      </c>
      <c r="S434" s="62" t="str">
        <f aca="false">IF(ISBLANK($C434),"",IF(I434=Constants!$B$2, TRUE(), IF(I434=Constants!$B$3, FALSE(), TRUE())))</f>
        <v/>
      </c>
      <c r="T434" s="62" t="str">
        <f aca="false">IF(ISBLANK($C434),"",IF(ISNUMBER(J434),IF(J434&gt;=0,J434,""),""))</f>
        <v/>
      </c>
      <c r="U434" s="62" t="str">
        <f aca="false">IF(ISBLANK($C434),"",IF(K434=Constants!$B$2, TRUE(), IF(K434=Constants!$B$3, FALSE(), TRUE())))</f>
        <v/>
      </c>
      <c r="V434" s="62" t="str">
        <f aca="false">IF(ISBLANK($C434),"",IF(L434=Constants!$B$2, TRUE(), IF(L434=Constants!$B$3, FALSE(), TRUE())))</f>
        <v/>
      </c>
      <c r="W434" s="62" t="str">
        <f aca="false">IF(ISBLANK($C434),"",IF(M434=Constants!$B$2, TRUE(), IF(M434=Constants!$B$3, FALSE(), FALSE())))</f>
        <v/>
      </c>
      <c r="X434" s="62" t="str">
        <f aca="false">IF(ISBLANK($C434),"",AND(Q434&lt;&gt;"",O434))</f>
        <v/>
      </c>
      <c r="Y434" s="62" t="str">
        <f aca="false">IF(ISBLANK($C434),"",AND(T434&lt;&gt;"",O434))</f>
        <v/>
      </c>
      <c r="Z434" s="62" t="str">
        <f aca="false">IF(ISBLANK($C434),"",IF(W434,Constants!$B$4,IF(COUNTA(E434:L434)=0,Constants!$B$5,IF(NOT(O434),Constants!$B$6,IF(AND(NOT(X434),NOT(Y434)),Constants!$B$6,Constants!$B$7)))))</f>
        <v/>
      </c>
      <c r="AA434" s="62" t="str">
        <f aca="false">IF(ISBLANK($C434),"",IF($Z434&lt;&gt;Constants!$B$7,$Z434,Constants!$B$20))</f>
        <v/>
      </c>
      <c r="AB434" s="62" t="str">
        <f aca="false">IF($Z434=Constants!$B$7,IF(X434,Q434,Constants!$B$13),"")</f>
        <v/>
      </c>
      <c r="AC434" s="62" t="str">
        <f aca="false">IF($Z434=Constants!$B$7,IF(X434,P434*IF(R434, 1, Constants!$B$11)*IF(S434, 1, Constants!$B$12),Constants!$B$13),"")</f>
        <v/>
      </c>
      <c r="AD434" s="62" t="str">
        <f aca="false">IF($Z434=Constants!$B$7,AB434*AC434,"")</f>
        <v/>
      </c>
      <c r="AE434" s="62" t="str">
        <f aca="false">IF($Z434=Constants!$B$7,IF(Y434,T434,Constants!$B$13),"")</f>
        <v/>
      </c>
      <c r="AF434" s="62" t="str">
        <f aca="false">IF($Z434=Constants!$B$7,IF(Y434,P434*IF(U434, 1, Constants!$B$11)*IF(V434, 1, Constants!$B$12),Constants!$B$13),"")</f>
        <v/>
      </c>
      <c r="AG434" s="62" t="str">
        <f aca="false">IF($Z434=Constants!$B$7,AE434*AF434,"")</f>
        <v/>
      </c>
      <c r="AH434" s="62" t="str">
        <f aca="false">IF($Z434=Constants!$B$7,IF(AG434&gt;AD434,2,1),"")</f>
        <v/>
      </c>
      <c r="AI434" s="62" t="str">
        <f aca="false">IF($Z434=Constants!$B$7,IF(AH434=1,2,1),"")</f>
        <v/>
      </c>
      <c r="AJ434" s="62" t="str">
        <f aca="false">IF(ISBLANK($C434),"",IF($Z434&lt;&gt;Constants!$B$7,$Z434,IF(AH434=1,AD434,AG434)))</f>
        <v/>
      </c>
      <c r="AK434" s="62" t="str">
        <f aca="false">IF(ISBLANK($C434),"",IF($Z434=Constants!$B$7,IF(ISNUMBER(AJ434),RANK(AJ434,$AJ$8:$AJ$507),Constants!$B$14),$Z434))</f>
        <v/>
      </c>
      <c r="AL434" s="62" t="str">
        <f aca="false">IF(ISBLANK($C434),"",IF($Z434=Constants!$B$7,IF(AI434=1,AD434,AG434),""))</f>
        <v/>
      </c>
      <c r="AM434" s="62" t="str">
        <f aca="false">IF(ISBLANK($C434),"",IF($Z434=Constants!$B$7,RANK(AL434,$AL$8:$AL$507),$Z434))</f>
        <v/>
      </c>
      <c r="AN434" s="62" t="str">
        <f aca="false">IF(ISBLANK($C434),"",IF($Z434=Constants!$B$7,IF(ISNUMBER(AK434),COUNTIFS($AK$8:$AK$507,"&lt;"&amp;$AK434)+COUNTIFS($AK$8:$AK$507,$AK434,$AM$8:$AM$507,"&lt;"&amp;$AM434)+1,Constants!$B$14),$Z434))</f>
        <v/>
      </c>
      <c r="AO434" s="62" t="str">
        <f aca="false">IF(ISBLANK($C434),"",IF($Z434=Constants!$B$7,IF(ISNUMBER(AK434),AK434-AN434,Constants!$B$14),$Z434))</f>
        <v/>
      </c>
      <c r="AP434" s="64"/>
      <c r="AQ434" s="65" t="str">
        <f aca="false">IF(ISBLANK($C434),"",IF($Z434&lt;&gt;Constants!$B$7,"",AH434))</f>
        <v/>
      </c>
      <c r="AR434" s="80" t="str">
        <f aca="false">IF(ISBLANK($C434),"",IF($Z434&lt;&gt;Constants!$B$7,"",IF(AH434=1,AB434,AE434)))</f>
        <v/>
      </c>
      <c r="AS434" s="67" t="str">
        <f aca="false">IF(ISBLANK($C434),"",IF($Z434&lt;&gt;Constants!$B$7,"",IF(AH434=1,AC434,AF434)))</f>
        <v/>
      </c>
      <c r="AT434" s="68" t="str">
        <f aca="false">IF(ISBLANK($C434),"",IF($Z434&lt;&gt;Constants!$B$7,$Z434,AJ434))</f>
        <v/>
      </c>
      <c r="AU434" s="69" t="str">
        <f aca="false">IF(ISBLANK($C434),"",IF($Z434&lt;&gt;Constants!$B$7,$Z434,AA434))</f>
        <v/>
      </c>
      <c r="AV434" s="70" t="str">
        <f aca="false">IF(ISBLANK($C434),"",AO434)</f>
        <v/>
      </c>
      <c r="AW434" s="70" t="str">
        <f aca="false">IF(ISBLANK($C434),"",AN434)</f>
        <v/>
      </c>
      <c r="AX434" s="71" t="str">
        <f aca="false">IF(ISBLANK($C434),"",IFERROR(_xlfn.SWITCH(AW434,Constants!$B$4,COUNTA($C$8:$C$507)+2,Constants!$B$5,COUNTA($C$8:$C$507)+1,Constants!$B$6,COUNTA($C$8:$C$507)),AW434))</f>
        <v/>
      </c>
      <c r="AY434" s="5"/>
      <c r="AZ434" s="72" t="n">
        <f aca="false">IF(OR(ISNUMBER(AW434),AW434=Constants!$B$4,AW434=Constants!$B$6,AW434=Constants!$B$5),1,0)</f>
        <v>0</v>
      </c>
      <c r="BA434" s="72" t="n">
        <v>427</v>
      </c>
      <c r="BB434" s="72" t="str">
        <f aca="false">IF(ISBLANK($C434),"",IF(ISNUMBER(AX434),AX434+ROW($B434)/1000,""))</f>
        <v/>
      </c>
      <c r="BC434" s="72" t="str">
        <f aca="false">IF(ISNUMBER(BB434),RANK(BB434,$BB$8:$BB$507,1),"")</f>
        <v/>
      </c>
      <c r="BD434" s="72" t="str">
        <f aca="false">IF(ISBLANK($C434),"",$B434)</f>
        <v/>
      </c>
      <c r="BE434" s="72" t="str">
        <f aca="false">IF(ISBLANK($C434),"",$C434)</f>
        <v/>
      </c>
      <c r="BF434" s="72" t="str">
        <f aca="false">IF(ISBLANK($C434),"",$D434)</f>
        <v/>
      </c>
      <c r="BG434" s="73" t="str">
        <f aca="false">AU434</f>
        <v/>
      </c>
      <c r="BH434" s="74" t="str">
        <f aca="false">AT434</f>
        <v/>
      </c>
      <c r="BI434" s="72" t="str">
        <f aca="false">IF(ISBLANK($C434),"",AW434)</f>
        <v/>
      </c>
      <c r="BJ434" s="75" t="str">
        <f aca="false">IF($BA434&gt;$AZ$7,"",VLOOKUP($BA434,$BC$8:$BI$507,7,FALSE()))</f>
        <v/>
      </c>
      <c r="BK434" s="76" t="str">
        <f aca="false">IF($BA434&gt;$AZ$7,"",VLOOKUP($BA434,$BC$8:$BI$507,2,FALSE()))</f>
        <v/>
      </c>
      <c r="BL434" s="76" t="str">
        <f aca="false">IF($BA434&gt;$AZ$7,"",VLOOKUP($BA434,$BC$8:$BI$507,3,FALSE()))</f>
        <v/>
      </c>
      <c r="BM434" s="76" t="str">
        <f aca="false">IF($BA434&gt;$AZ$7,"",VLOOKUP($BA434,$BC$8:$BI$507,4,FALSE()))</f>
        <v/>
      </c>
      <c r="BN434" s="76" t="str">
        <f aca="false">IF($BA434&gt;$AZ$7,"",VLOOKUP($BA434,$BC$8:$BI$507,5,FALSE()))</f>
        <v/>
      </c>
      <c r="BO434" s="77" t="str">
        <f aca="false">IF($BA434&gt;$AZ$7,"",VLOOKUP($BA434,$BC$8:$BI$507,6,FALSE()))</f>
        <v/>
      </c>
      <c r="BP434" s="52"/>
    </row>
    <row r="435" customFormat="false" ht="15.75" hidden="false" customHeight="false" outlineLevel="0" collapsed="false">
      <c r="A435" s="5"/>
      <c r="B435" s="118"/>
      <c r="C435" s="54"/>
      <c r="D435" s="55"/>
      <c r="E435" s="79"/>
      <c r="F435" s="57"/>
      <c r="G435" s="58"/>
      <c r="H435" s="58"/>
      <c r="I435" s="57"/>
      <c r="J435" s="58"/>
      <c r="K435" s="58"/>
      <c r="L435" s="57"/>
      <c r="M435" s="79"/>
      <c r="N435" s="60"/>
      <c r="O435" s="62" t="str">
        <f aca="false">IF(ISBLANK($C435),"",IF(E435=Constants!$B$2, TRUE(), IF(E435=Constants!$B$3, FALSE(), TRUE())))</f>
        <v/>
      </c>
      <c r="P435" s="62" t="str">
        <f aca="false">IF(ISBLANK($C435),"",IF(F435=Constants!$B$16,Constants!$B$9,IF(F435=Constants!$B$17,Constants!$B$10,Constants!$B$8)))</f>
        <v/>
      </c>
      <c r="Q435" s="62" t="str">
        <f aca="false">IF(ISBLANK($C435),"",IF(ISNUMBER(G435),IF(G435&gt;=0,G435,""),""))</f>
        <v/>
      </c>
      <c r="R435" s="62" t="str">
        <f aca="false">IF(ISBLANK($C435),"",IF(H435=Constants!$B$2, TRUE(), IF(H435=Constants!$B$3, FALSE(), TRUE())))</f>
        <v/>
      </c>
      <c r="S435" s="62" t="str">
        <f aca="false">IF(ISBLANK($C435),"",IF(I435=Constants!$B$2, TRUE(), IF(I435=Constants!$B$3, FALSE(), TRUE())))</f>
        <v/>
      </c>
      <c r="T435" s="62" t="str">
        <f aca="false">IF(ISBLANK($C435),"",IF(ISNUMBER(J435),IF(J435&gt;=0,J435,""),""))</f>
        <v/>
      </c>
      <c r="U435" s="62" t="str">
        <f aca="false">IF(ISBLANK($C435),"",IF(K435=Constants!$B$2, TRUE(), IF(K435=Constants!$B$3, FALSE(), TRUE())))</f>
        <v/>
      </c>
      <c r="V435" s="62" t="str">
        <f aca="false">IF(ISBLANK($C435),"",IF(L435=Constants!$B$2, TRUE(), IF(L435=Constants!$B$3, FALSE(), TRUE())))</f>
        <v/>
      </c>
      <c r="W435" s="62" t="str">
        <f aca="false">IF(ISBLANK($C435),"",IF(M435=Constants!$B$2, TRUE(), IF(M435=Constants!$B$3, FALSE(), FALSE())))</f>
        <v/>
      </c>
      <c r="X435" s="62" t="str">
        <f aca="false">IF(ISBLANK($C435),"",AND(Q435&lt;&gt;"",O435))</f>
        <v/>
      </c>
      <c r="Y435" s="62" t="str">
        <f aca="false">IF(ISBLANK($C435),"",AND(T435&lt;&gt;"",O435))</f>
        <v/>
      </c>
      <c r="Z435" s="62" t="str">
        <f aca="false">IF(ISBLANK($C435),"",IF(W435,Constants!$B$4,IF(COUNTA(E435:L435)=0,Constants!$B$5,IF(NOT(O435),Constants!$B$6,IF(AND(NOT(X435),NOT(Y435)),Constants!$B$6,Constants!$B$7)))))</f>
        <v/>
      </c>
      <c r="AA435" s="62" t="str">
        <f aca="false">IF(ISBLANK($C435),"",IF($Z435&lt;&gt;Constants!$B$7,$Z435,Constants!$B$20))</f>
        <v/>
      </c>
      <c r="AB435" s="62" t="str">
        <f aca="false">IF($Z435=Constants!$B$7,IF(X435,Q435,Constants!$B$13),"")</f>
        <v/>
      </c>
      <c r="AC435" s="62" t="str">
        <f aca="false">IF($Z435=Constants!$B$7,IF(X435,P435*IF(R435, 1, Constants!$B$11)*IF(S435, 1, Constants!$B$12),Constants!$B$13),"")</f>
        <v/>
      </c>
      <c r="AD435" s="62" t="str">
        <f aca="false">IF($Z435=Constants!$B$7,AB435*AC435,"")</f>
        <v/>
      </c>
      <c r="AE435" s="62" t="str">
        <f aca="false">IF($Z435=Constants!$B$7,IF(Y435,T435,Constants!$B$13),"")</f>
        <v/>
      </c>
      <c r="AF435" s="62" t="str">
        <f aca="false">IF($Z435=Constants!$B$7,IF(Y435,P435*IF(U435, 1, Constants!$B$11)*IF(V435, 1, Constants!$B$12),Constants!$B$13),"")</f>
        <v/>
      </c>
      <c r="AG435" s="62" t="str">
        <f aca="false">IF($Z435=Constants!$B$7,AE435*AF435,"")</f>
        <v/>
      </c>
      <c r="AH435" s="62" t="str">
        <f aca="false">IF($Z435=Constants!$B$7,IF(AG435&gt;AD435,2,1),"")</f>
        <v/>
      </c>
      <c r="AI435" s="62" t="str">
        <f aca="false">IF($Z435=Constants!$B$7,IF(AH435=1,2,1),"")</f>
        <v/>
      </c>
      <c r="AJ435" s="62" t="str">
        <f aca="false">IF(ISBLANK($C435),"",IF($Z435&lt;&gt;Constants!$B$7,$Z435,IF(AH435=1,AD435,AG435)))</f>
        <v/>
      </c>
      <c r="AK435" s="62" t="str">
        <f aca="false">IF(ISBLANK($C435),"",IF($Z435=Constants!$B$7,IF(ISNUMBER(AJ435),RANK(AJ435,$AJ$8:$AJ$507),Constants!$B$14),$Z435))</f>
        <v/>
      </c>
      <c r="AL435" s="62" t="str">
        <f aca="false">IF(ISBLANK($C435),"",IF($Z435=Constants!$B$7,IF(AI435=1,AD435,AG435),""))</f>
        <v/>
      </c>
      <c r="AM435" s="62" t="str">
        <f aca="false">IF(ISBLANK($C435),"",IF($Z435=Constants!$B$7,RANK(AL435,$AL$8:$AL$507),$Z435))</f>
        <v/>
      </c>
      <c r="AN435" s="62" t="str">
        <f aca="false">IF(ISBLANK($C435),"",IF($Z435=Constants!$B$7,IF(ISNUMBER(AK435),COUNTIFS($AK$8:$AK$507,"&lt;"&amp;$AK435)+COUNTIFS($AK$8:$AK$507,$AK435,$AM$8:$AM$507,"&lt;"&amp;$AM435)+1,Constants!$B$14),$Z435))</f>
        <v/>
      </c>
      <c r="AO435" s="62" t="str">
        <f aca="false">IF(ISBLANK($C435),"",IF($Z435=Constants!$B$7,IF(ISNUMBER(AK435),AK435-AN435,Constants!$B$14),$Z435))</f>
        <v/>
      </c>
      <c r="AP435" s="64"/>
      <c r="AQ435" s="65" t="str">
        <f aca="false">IF(ISBLANK($C435),"",IF($Z435&lt;&gt;Constants!$B$7,"",AH435))</f>
        <v/>
      </c>
      <c r="AR435" s="80" t="str">
        <f aca="false">IF(ISBLANK($C435),"",IF($Z435&lt;&gt;Constants!$B$7,"",IF(AH435=1,AB435,AE435)))</f>
        <v/>
      </c>
      <c r="AS435" s="67" t="str">
        <f aca="false">IF(ISBLANK($C435),"",IF($Z435&lt;&gt;Constants!$B$7,"",IF(AH435=1,AC435,AF435)))</f>
        <v/>
      </c>
      <c r="AT435" s="68" t="str">
        <f aca="false">IF(ISBLANK($C435),"",IF($Z435&lt;&gt;Constants!$B$7,$Z435,AJ435))</f>
        <v/>
      </c>
      <c r="AU435" s="69" t="str">
        <f aca="false">IF(ISBLANK($C435),"",IF($Z435&lt;&gt;Constants!$B$7,$Z435,AA435))</f>
        <v/>
      </c>
      <c r="AV435" s="70" t="str">
        <f aca="false">IF(ISBLANK($C435),"",AO435)</f>
        <v/>
      </c>
      <c r="AW435" s="70" t="str">
        <f aca="false">IF(ISBLANK($C435),"",AN435)</f>
        <v/>
      </c>
      <c r="AX435" s="71" t="str">
        <f aca="false">IF(ISBLANK($C435),"",IFERROR(_xlfn.SWITCH(AW435,Constants!$B$4,COUNTA($C$8:$C$507)+2,Constants!$B$5,COUNTA($C$8:$C$507)+1,Constants!$B$6,COUNTA($C$8:$C$507)),AW435))</f>
        <v/>
      </c>
      <c r="AY435" s="5"/>
      <c r="AZ435" s="72" t="n">
        <f aca="false">IF(OR(ISNUMBER(AW435),AW435=Constants!$B$4,AW435=Constants!$B$6,AW435=Constants!$B$5),1,0)</f>
        <v>0</v>
      </c>
      <c r="BA435" s="72" t="n">
        <v>428</v>
      </c>
      <c r="BB435" s="72" t="str">
        <f aca="false">IF(ISBLANK($C435),"",IF(ISNUMBER(AX435),AX435+ROW($B435)/1000,""))</f>
        <v/>
      </c>
      <c r="BC435" s="72" t="str">
        <f aca="false">IF(ISNUMBER(BB435),RANK(BB435,$BB$8:$BB$507,1),"")</f>
        <v/>
      </c>
      <c r="BD435" s="72" t="str">
        <f aca="false">IF(ISBLANK($C435),"",$B435)</f>
        <v/>
      </c>
      <c r="BE435" s="72" t="str">
        <f aca="false">IF(ISBLANK($C435),"",$C435)</f>
        <v/>
      </c>
      <c r="BF435" s="72" t="str">
        <f aca="false">IF(ISBLANK($C435),"",$D435)</f>
        <v/>
      </c>
      <c r="BG435" s="73" t="str">
        <f aca="false">AU435</f>
        <v/>
      </c>
      <c r="BH435" s="74" t="str">
        <f aca="false">AT435</f>
        <v/>
      </c>
      <c r="BI435" s="72" t="str">
        <f aca="false">IF(ISBLANK($C435),"",AW435)</f>
        <v/>
      </c>
      <c r="BJ435" s="75" t="str">
        <f aca="false">IF($BA435&gt;$AZ$7,"",VLOOKUP($BA435,$BC$8:$BI$507,7,FALSE()))</f>
        <v/>
      </c>
      <c r="BK435" s="76" t="str">
        <f aca="false">IF($BA435&gt;$AZ$7,"",VLOOKUP($BA435,$BC$8:$BI$507,2,FALSE()))</f>
        <v/>
      </c>
      <c r="BL435" s="76" t="str">
        <f aca="false">IF($BA435&gt;$AZ$7,"",VLOOKUP($BA435,$BC$8:$BI$507,3,FALSE()))</f>
        <v/>
      </c>
      <c r="BM435" s="76" t="str">
        <f aca="false">IF($BA435&gt;$AZ$7,"",VLOOKUP($BA435,$BC$8:$BI$507,4,FALSE()))</f>
        <v/>
      </c>
      <c r="BN435" s="76" t="str">
        <f aca="false">IF($BA435&gt;$AZ$7,"",VLOOKUP($BA435,$BC$8:$BI$507,5,FALSE()))</f>
        <v/>
      </c>
      <c r="BO435" s="77" t="str">
        <f aca="false">IF($BA435&gt;$AZ$7,"",VLOOKUP($BA435,$BC$8:$BI$507,6,FALSE()))</f>
        <v/>
      </c>
      <c r="BP435" s="52"/>
    </row>
    <row r="436" customFormat="false" ht="15.75" hidden="false" customHeight="false" outlineLevel="0" collapsed="false">
      <c r="A436" s="5"/>
      <c r="B436" s="118"/>
      <c r="C436" s="54"/>
      <c r="D436" s="55"/>
      <c r="E436" s="79"/>
      <c r="F436" s="57"/>
      <c r="G436" s="58"/>
      <c r="H436" s="58"/>
      <c r="I436" s="57"/>
      <c r="J436" s="58"/>
      <c r="K436" s="58"/>
      <c r="L436" s="57"/>
      <c r="M436" s="79"/>
      <c r="N436" s="60"/>
      <c r="O436" s="62" t="str">
        <f aca="false">IF(ISBLANK($C436),"",IF(E436=Constants!$B$2, TRUE(), IF(E436=Constants!$B$3, FALSE(), TRUE())))</f>
        <v/>
      </c>
      <c r="P436" s="62" t="str">
        <f aca="false">IF(ISBLANK($C436),"",IF(F436=Constants!$B$16,Constants!$B$9,IF(F436=Constants!$B$17,Constants!$B$10,Constants!$B$8)))</f>
        <v/>
      </c>
      <c r="Q436" s="62" t="str">
        <f aca="false">IF(ISBLANK($C436),"",IF(ISNUMBER(G436),IF(G436&gt;=0,G436,""),""))</f>
        <v/>
      </c>
      <c r="R436" s="62" t="str">
        <f aca="false">IF(ISBLANK($C436),"",IF(H436=Constants!$B$2, TRUE(), IF(H436=Constants!$B$3, FALSE(), TRUE())))</f>
        <v/>
      </c>
      <c r="S436" s="62" t="str">
        <f aca="false">IF(ISBLANK($C436),"",IF(I436=Constants!$B$2, TRUE(), IF(I436=Constants!$B$3, FALSE(), TRUE())))</f>
        <v/>
      </c>
      <c r="T436" s="62" t="str">
        <f aca="false">IF(ISBLANK($C436),"",IF(ISNUMBER(J436),IF(J436&gt;=0,J436,""),""))</f>
        <v/>
      </c>
      <c r="U436" s="62" t="str">
        <f aca="false">IF(ISBLANK($C436),"",IF(K436=Constants!$B$2, TRUE(), IF(K436=Constants!$B$3, FALSE(), TRUE())))</f>
        <v/>
      </c>
      <c r="V436" s="62" t="str">
        <f aca="false">IF(ISBLANK($C436),"",IF(L436=Constants!$B$2, TRUE(), IF(L436=Constants!$B$3, FALSE(), TRUE())))</f>
        <v/>
      </c>
      <c r="W436" s="62" t="str">
        <f aca="false">IF(ISBLANK($C436),"",IF(M436=Constants!$B$2, TRUE(), IF(M436=Constants!$B$3, FALSE(), FALSE())))</f>
        <v/>
      </c>
      <c r="X436" s="62" t="str">
        <f aca="false">IF(ISBLANK($C436),"",AND(Q436&lt;&gt;"",O436))</f>
        <v/>
      </c>
      <c r="Y436" s="62" t="str">
        <f aca="false">IF(ISBLANK($C436),"",AND(T436&lt;&gt;"",O436))</f>
        <v/>
      </c>
      <c r="Z436" s="62" t="str">
        <f aca="false">IF(ISBLANK($C436),"",IF(W436,Constants!$B$4,IF(COUNTA(E436:L436)=0,Constants!$B$5,IF(NOT(O436),Constants!$B$6,IF(AND(NOT(X436),NOT(Y436)),Constants!$B$6,Constants!$B$7)))))</f>
        <v/>
      </c>
      <c r="AA436" s="62" t="str">
        <f aca="false">IF(ISBLANK($C436),"",IF($Z436&lt;&gt;Constants!$B$7,$Z436,Constants!$B$20))</f>
        <v/>
      </c>
      <c r="AB436" s="62" t="str">
        <f aca="false">IF($Z436=Constants!$B$7,IF(X436,Q436,Constants!$B$13),"")</f>
        <v/>
      </c>
      <c r="AC436" s="62" t="str">
        <f aca="false">IF($Z436=Constants!$B$7,IF(X436,P436*IF(R436, 1, Constants!$B$11)*IF(S436, 1, Constants!$B$12),Constants!$B$13),"")</f>
        <v/>
      </c>
      <c r="AD436" s="62" t="str">
        <f aca="false">IF($Z436=Constants!$B$7,AB436*AC436,"")</f>
        <v/>
      </c>
      <c r="AE436" s="62" t="str">
        <f aca="false">IF($Z436=Constants!$B$7,IF(Y436,T436,Constants!$B$13),"")</f>
        <v/>
      </c>
      <c r="AF436" s="62" t="str">
        <f aca="false">IF($Z436=Constants!$B$7,IF(Y436,P436*IF(U436, 1, Constants!$B$11)*IF(V436, 1, Constants!$B$12),Constants!$B$13),"")</f>
        <v/>
      </c>
      <c r="AG436" s="62" t="str">
        <f aca="false">IF($Z436=Constants!$B$7,AE436*AF436,"")</f>
        <v/>
      </c>
      <c r="AH436" s="62" t="str">
        <f aca="false">IF($Z436=Constants!$B$7,IF(AG436&gt;AD436,2,1),"")</f>
        <v/>
      </c>
      <c r="AI436" s="62" t="str">
        <f aca="false">IF($Z436=Constants!$B$7,IF(AH436=1,2,1),"")</f>
        <v/>
      </c>
      <c r="AJ436" s="62" t="str">
        <f aca="false">IF(ISBLANK($C436),"",IF($Z436&lt;&gt;Constants!$B$7,$Z436,IF(AH436=1,AD436,AG436)))</f>
        <v/>
      </c>
      <c r="AK436" s="62" t="str">
        <f aca="false">IF(ISBLANK($C436),"",IF($Z436=Constants!$B$7,IF(ISNUMBER(AJ436),RANK(AJ436,$AJ$8:$AJ$507),Constants!$B$14),$Z436))</f>
        <v/>
      </c>
      <c r="AL436" s="62" t="str">
        <f aca="false">IF(ISBLANK($C436),"",IF($Z436=Constants!$B$7,IF(AI436=1,AD436,AG436),""))</f>
        <v/>
      </c>
      <c r="AM436" s="62" t="str">
        <f aca="false">IF(ISBLANK($C436),"",IF($Z436=Constants!$B$7,RANK(AL436,$AL$8:$AL$507),$Z436))</f>
        <v/>
      </c>
      <c r="AN436" s="62" t="str">
        <f aca="false">IF(ISBLANK($C436),"",IF($Z436=Constants!$B$7,IF(ISNUMBER(AK436),COUNTIFS($AK$8:$AK$507,"&lt;"&amp;$AK436)+COUNTIFS($AK$8:$AK$507,$AK436,$AM$8:$AM$507,"&lt;"&amp;$AM436)+1,Constants!$B$14),$Z436))</f>
        <v/>
      </c>
      <c r="AO436" s="62" t="str">
        <f aca="false">IF(ISBLANK($C436),"",IF($Z436=Constants!$B$7,IF(ISNUMBER(AK436),AK436-AN436,Constants!$B$14),$Z436))</f>
        <v/>
      </c>
      <c r="AP436" s="64"/>
      <c r="AQ436" s="65" t="str">
        <f aca="false">IF(ISBLANK($C436),"",IF($Z436&lt;&gt;Constants!$B$7,"",AH436))</f>
        <v/>
      </c>
      <c r="AR436" s="80" t="str">
        <f aca="false">IF(ISBLANK($C436),"",IF($Z436&lt;&gt;Constants!$B$7,"",IF(AH436=1,AB436,AE436)))</f>
        <v/>
      </c>
      <c r="AS436" s="67" t="str">
        <f aca="false">IF(ISBLANK($C436),"",IF($Z436&lt;&gt;Constants!$B$7,"",IF(AH436=1,AC436,AF436)))</f>
        <v/>
      </c>
      <c r="AT436" s="68" t="str">
        <f aca="false">IF(ISBLANK($C436),"",IF($Z436&lt;&gt;Constants!$B$7,$Z436,AJ436))</f>
        <v/>
      </c>
      <c r="AU436" s="69" t="str">
        <f aca="false">IF(ISBLANK($C436),"",IF($Z436&lt;&gt;Constants!$B$7,$Z436,AA436))</f>
        <v/>
      </c>
      <c r="AV436" s="70" t="str">
        <f aca="false">IF(ISBLANK($C436),"",AO436)</f>
        <v/>
      </c>
      <c r="AW436" s="70" t="str">
        <f aca="false">IF(ISBLANK($C436),"",AN436)</f>
        <v/>
      </c>
      <c r="AX436" s="71" t="str">
        <f aca="false">IF(ISBLANK($C436),"",IFERROR(_xlfn.SWITCH(AW436,Constants!$B$4,COUNTA($C$8:$C$507)+2,Constants!$B$5,COUNTA($C$8:$C$507)+1,Constants!$B$6,COUNTA($C$8:$C$507)),AW436))</f>
        <v/>
      </c>
      <c r="AY436" s="5"/>
      <c r="AZ436" s="72" t="n">
        <f aca="false">IF(OR(ISNUMBER(AW436),AW436=Constants!$B$4,AW436=Constants!$B$6,AW436=Constants!$B$5),1,0)</f>
        <v>0</v>
      </c>
      <c r="BA436" s="72" t="n">
        <v>429</v>
      </c>
      <c r="BB436" s="72" t="str">
        <f aca="false">IF(ISBLANK($C436),"",IF(ISNUMBER(AX436),AX436+ROW($B436)/1000,""))</f>
        <v/>
      </c>
      <c r="BC436" s="72" t="str">
        <f aca="false">IF(ISNUMBER(BB436),RANK(BB436,$BB$8:$BB$507,1),"")</f>
        <v/>
      </c>
      <c r="BD436" s="72" t="str">
        <f aca="false">IF(ISBLANK($C436),"",$B436)</f>
        <v/>
      </c>
      <c r="BE436" s="72" t="str">
        <f aca="false">IF(ISBLANK($C436),"",$C436)</f>
        <v/>
      </c>
      <c r="BF436" s="72" t="str">
        <f aca="false">IF(ISBLANK($C436),"",$D436)</f>
        <v/>
      </c>
      <c r="BG436" s="73" t="str">
        <f aca="false">AU436</f>
        <v/>
      </c>
      <c r="BH436" s="74" t="str">
        <f aca="false">AT436</f>
        <v/>
      </c>
      <c r="BI436" s="72" t="str">
        <f aca="false">IF(ISBLANK($C436),"",AW436)</f>
        <v/>
      </c>
      <c r="BJ436" s="75" t="str">
        <f aca="false">IF($BA436&gt;$AZ$7,"",VLOOKUP($BA436,$BC$8:$BI$507,7,FALSE()))</f>
        <v/>
      </c>
      <c r="BK436" s="76" t="str">
        <f aca="false">IF($BA436&gt;$AZ$7,"",VLOOKUP($BA436,$BC$8:$BI$507,2,FALSE()))</f>
        <v/>
      </c>
      <c r="BL436" s="76" t="str">
        <f aca="false">IF($BA436&gt;$AZ$7,"",VLOOKUP($BA436,$BC$8:$BI$507,3,FALSE()))</f>
        <v/>
      </c>
      <c r="BM436" s="76" t="str">
        <f aca="false">IF($BA436&gt;$AZ$7,"",VLOOKUP($BA436,$BC$8:$BI$507,4,FALSE()))</f>
        <v/>
      </c>
      <c r="BN436" s="76" t="str">
        <f aca="false">IF($BA436&gt;$AZ$7,"",VLOOKUP($BA436,$BC$8:$BI$507,5,FALSE()))</f>
        <v/>
      </c>
      <c r="BO436" s="77" t="str">
        <f aca="false">IF($BA436&gt;$AZ$7,"",VLOOKUP($BA436,$BC$8:$BI$507,6,FALSE()))</f>
        <v/>
      </c>
      <c r="BP436" s="52"/>
    </row>
    <row r="437" customFormat="false" ht="15.75" hidden="false" customHeight="false" outlineLevel="0" collapsed="false">
      <c r="A437" s="5"/>
      <c r="B437" s="114"/>
      <c r="C437" s="115"/>
      <c r="D437" s="106"/>
      <c r="E437" s="117"/>
      <c r="F437" s="87"/>
      <c r="G437" s="88"/>
      <c r="H437" s="88"/>
      <c r="I437" s="87"/>
      <c r="J437" s="88"/>
      <c r="K437" s="88"/>
      <c r="L437" s="87"/>
      <c r="M437" s="117"/>
      <c r="N437" s="90"/>
      <c r="O437" s="91" t="str">
        <f aca="false">IF(ISBLANK($C437),"",IF(E437=Constants!$B$2, TRUE(), IF(E437=Constants!$B$3, FALSE(), TRUE())))</f>
        <v/>
      </c>
      <c r="P437" s="91" t="str">
        <f aca="false">IF(ISBLANK($C437),"",IF(F437=Constants!$B$16,Constants!$B$9,IF(F437=Constants!$B$17,Constants!$B$10,Constants!$B$8)))</f>
        <v/>
      </c>
      <c r="Q437" s="91" t="str">
        <f aca="false">IF(ISBLANK($C437),"",IF(ISNUMBER(G437),IF(G437&gt;=0,G437,""),""))</f>
        <v/>
      </c>
      <c r="R437" s="91" t="str">
        <f aca="false">IF(ISBLANK($C437),"",IF(H437=Constants!$B$2, TRUE(), IF(H437=Constants!$B$3, FALSE(), TRUE())))</f>
        <v/>
      </c>
      <c r="S437" s="91" t="str">
        <f aca="false">IF(ISBLANK($C437),"",IF(I437=Constants!$B$2, TRUE(), IF(I437=Constants!$B$3, FALSE(), TRUE())))</f>
        <v/>
      </c>
      <c r="T437" s="91" t="str">
        <f aca="false">IF(ISBLANK($C437),"",IF(ISNUMBER(J437),IF(J437&gt;=0,J437,""),""))</f>
        <v/>
      </c>
      <c r="U437" s="91" t="str">
        <f aca="false">IF(ISBLANK($C437),"",IF(K437=Constants!$B$2, TRUE(), IF(K437=Constants!$B$3, FALSE(), TRUE())))</f>
        <v/>
      </c>
      <c r="V437" s="91" t="str">
        <f aca="false">IF(ISBLANK($C437),"",IF(L437=Constants!$B$2, TRUE(), IF(L437=Constants!$B$3, FALSE(), TRUE())))</f>
        <v/>
      </c>
      <c r="W437" s="91" t="str">
        <f aca="false">IF(ISBLANK($C437),"",IF(M437=Constants!$B$2, TRUE(), IF(M437=Constants!$B$3, FALSE(), FALSE())))</f>
        <v/>
      </c>
      <c r="X437" s="91" t="str">
        <f aca="false">IF(ISBLANK($C437),"",AND(Q437&lt;&gt;"",O437))</f>
        <v/>
      </c>
      <c r="Y437" s="91" t="str">
        <f aca="false">IF(ISBLANK($C437),"",AND(T437&lt;&gt;"",O437))</f>
        <v/>
      </c>
      <c r="Z437" s="91" t="str">
        <f aca="false">IF(ISBLANK($C437),"",IF(W437,Constants!$B$4,IF(COUNTA(E437:L437)=0,Constants!$B$5,IF(NOT(O437),Constants!$B$6,IF(AND(NOT(X437),NOT(Y437)),Constants!$B$6,Constants!$B$7)))))</f>
        <v/>
      </c>
      <c r="AA437" s="91" t="str">
        <f aca="false">IF(ISBLANK($C437),"",IF($Z437&lt;&gt;Constants!$B$7,$Z437,Constants!$B$20))</f>
        <v/>
      </c>
      <c r="AB437" s="91" t="str">
        <f aca="false">IF($Z437=Constants!$B$7,IF(X437,Q437,Constants!$B$13),"")</f>
        <v/>
      </c>
      <c r="AC437" s="91" t="str">
        <f aca="false">IF($Z437=Constants!$B$7,IF(X437,P437*IF(R437, 1, Constants!$B$11)*IF(S437, 1, Constants!$B$12),Constants!$B$13),"")</f>
        <v/>
      </c>
      <c r="AD437" s="91" t="str">
        <f aca="false">IF($Z437=Constants!$B$7,AB437*AC437,"")</f>
        <v/>
      </c>
      <c r="AE437" s="91" t="str">
        <f aca="false">IF($Z437=Constants!$B$7,IF(Y437,T437,Constants!$B$13),"")</f>
        <v/>
      </c>
      <c r="AF437" s="91" t="str">
        <f aca="false">IF($Z437=Constants!$B$7,IF(Y437,P437*IF(U437, 1, Constants!$B$11)*IF(V437, 1, Constants!$B$12),Constants!$B$13),"")</f>
        <v/>
      </c>
      <c r="AG437" s="91" t="str">
        <f aca="false">IF($Z437=Constants!$B$7,AE437*AF437,"")</f>
        <v/>
      </c>
      <c r="AH437" s="91" t="str">
        <f aca="false">IF($Z437=Constants!$B$7,IF(AG437&gt;AD437,2,1),"")</f>
        <v/>
      </c>
      <c r="AI437" s="91" t="str">
        <f aca="false">IF($Z437=Constants!$B$7,IF(AH437=1,2,1),"")</f>
        <v/>
      </c>
      <c r="AJ437" s="91" t="str">
        <f aca="false">IF(ISBLANK($C437),"",IF($Z437&lt;&gt;Constants!$B$7,$Z437,IF(AH437=1,AD437,AG437)))</f>
        <v/>
      </c>
      <c r="AK437" s="91" t="str">
        <f aca="false">IF(ISBLANK($C437),"",IF($Z437=Constants!$B$7,IF(ISNUMBER(AJ437),RANK(AJ437,$AJ$8:$AJ$507),Constants!$B$14),$Z437))</f>
        <v/>
      </c>
      <c r="AL437" s="91" t="str">
        <f aca="false">IF(ISBLANK($C437),"",IF($Z437=Constants!$B$7,IF(AI437=1,AD437,AG437),""))</f>
        <v/>
      </c>
      <c r="AM437" s="91" t="str">
        <f aca="false">IF(ISBLANK($C437),"",IF($Z437=Constants!$B$7,RANK(AL437,$AL$8:$AL$507),$Z437))</f>
        <v/>
      </c>
      <c r="AN437" s="91" t="str">
        <f aca="false">IF(ISBLANK($C437),"",IF($Z437=Constants!$B$7,IF(ISNUMBER(AK437),COUNTIFS($AK$8:$AK$507,"&lt;"&amp;$AK437)+COUNTIFS($AK$8:$AK$507,$AK437,$AM$8:$AM$507,"&lt;"&amp;$AM437)+1,Constants!$B$14),$Z437))</f>
        <v/>
      </c>
      <c r="AO437" s="91" t="str">
        <f aca="false">IF(ISBLANK($C437),"",IF($Z437=Constants!$B$7,IF(ISNUMBER(AK437),AK437-AN437,Constants!$B$14),$Z437))</f>
        <v/>
      </c>
      <c r="AP437" s="92"/>
      <c r="AQ437" s="93" t="str">
        <f aca="false">IF(ISBLANK($C437),"",IF($Z437&lt;&gt;Constants!$B$7,"",AH437))</f>
        <v/>
      </c>
      <c r="AR437" s="94" t="str">
        <f aca="false">IF(ISBLANK($C437),"",IF($Z437&lt;&gt;Constants!$B$7,"",IF(AH437=1,AB437,AE437)))</f>
        <v/>
      </c>
      <c r="AS437" s="95" t="str">
        <f aca="false">IF(ISBLANK($C437),"",IF($Z437&lt;&gt;Constants!$B$7,"",IF(AH437=1,AC437,AF437)))</f>
        <v/>
      </c>
      <c r="AT437" s="96" t="str">
        <f aca="false">IF(ISBLANK($C437),"",IF($Z437&lt;&gt;Constants!$B$7,$Z437,AJ437))</f>
        <v/>
      </c>
      <c r="AU437" s="97" t="str">
        <f aca="false">IF(ISBLANK($C437),"",IF($Z437&lt;&gt;Constants!$B$7,$Z437,AA437))</f>
        <v/>
      </c>
      <c r="AV437" s="98" t="str">
        <f aca="false">IF(ISBLANK($C437),"",AO437)</f>
        <v/>
      </c>
      <c r="AW437" s="98" t="str">
        <f aca="false">IF(ISBLANK($C437),"",AN437)</f>
        <v/>
      </c>
      <c r="AX437" s="99" t="str">
        <f aca="false">IF(ISBLANK($C437),"",IFERROR(_xlfn.SWITCH(AW437,Constants!$B$4,COUNTA($C$8:$C$507)+2,Constants!$B$5,COUNTA($C$8:$C$507)+1,Constants!$B$6,COUNTA($C$8:$C$507)),AW437))</f>
        <v/>
      </c>
      <c r="AY437" s="5"/>
      <c r="AZ437" s="100" t="n">
        <f aca="false">IF(OR(ISNUMBER(AW437),AW437=Constants!$B$4,AW437=Constants!$B$6,AW437=Constants!$B$5),1,0)</f>
        <v>0</v>
      </c>
      <c r="BA437" s="100" t="n">
        <v>430</v>
      </c>
      <c r="BB437" s="100" t="str">
        <f aca="false">IF(ISBLANK($C437),"",IF(ISNUMBER(AX437),AX437+ROW($B437)/1000,""))</f>
        <v/>
      </c>
      <c r="BC437" s="100" t="str">
        <f aca="false">IF(ISNUMBER(BB437),RANK(BB437,$BB$8:$BB$507,1),"")</f>
        <v/>
      </c>
      <c r="BD437" s="100" t="str">
        <f aca="false">IF(ISBLANK($C437),"",$B437)</f>
        <v/>
      </c>
      <c r="BE437" s="100" t="str">
        <f aca="false">IF(ISBLANK($C437),"",$C437)</f>
        <v/>
      </c>
      <c r="BF437" s="100" t="str">
        <f aca="false">IF(ISBLANK($C437),"",$D437)</f>
        <v/>
      </c>
      <c r="BG437" s="101" t="str">
        <f aca="false">AU437</f>
        <v/>
      </c>
      <c r="BH437" s="102" t="str">
        <f aca="false">AT437</f>
        <v/>
      </c>
      <c r="BI437" s="100" t="str">
        <f aca="false">IF(ISBLANK($C437),"",AW437)</f>
        <v/>
      </c>
      <c r="BJ437" s="103" t="str">
        <f aca="false">IF($BA437&gt;$AZ$7,"",VLOOKUP($BA437,$BC$8:$BI$507,7,FALSE()))</f>
        <v/>
      </c>
      <c r="BK437" s="104" t="str">
        <f aca="false">IF($BA437&gt;$AZ$7,"",VLOOKUP($BA437,$BC$8:$BI$507,2,FALSE()))</f>
        <v/>
      </c>
      <c r="BL437" s="104" t="str">
        <f aca="false">IF($BA437&gt;$AZ$7,"",VLOOKUP($BA437,$BC$8:$BI$507,3,FALSE()))</f>
        <v/>
      </c>
      <c r="BM437" s="104" t="str">
        <f aca="false">IF($BA437&gt;$AZ$7,"",VLOOKUP($BA437,$BC$8:$BI$507,4,FALSE()))</f>
        <v/>
      </c>
      <c r="BN437" s="104" t="str">
        <f aca="false">IF($BA437&gt;$AZ$7,"",VLOOKUP($BA437,$BC$8:$BI$507,5,FALSE()))</f>
        <v/>
      </c>
      <c r="BO437" s="105" t="str">
        <f aca="false">IF($BA437&gt;$AZ$7,"",VLOOKUP($BA437,$BC$8:$BI$507,6,FALSE()))</f>
        <v/>
      </c>
      <c r="BP437" s="52"/>
    </row>
    <row r="438" customFormat="false" ht="15.75" hidden="false" customHeight="false" outlineLevel="0" collapsed="false">
      <c r="A438" s="5"/>
      <c r="B438" s="114"/>
      <c r="C438" s="115"/>
      <c r="D438" s="106"/>
      <c r="E438" s="117"/>
      <c r="F438" s="87"/>
      <c r="G438" s="88"/>
      <c r="H438" s="88"/>
      <c r="I438" s="87"/>
      <c r="J438" s="88"/>
      <c r="K438" s="88"/>
      <c r="L438" s="87"/>
      <c r="M438" s="117"/>
      <c r="N438" s="90"/>
      <c r="O438" s="91" t="str">
        <f aca="false">IF(ISBLANK($C438),"",IF(E438=Constants!$B$2, TRUE(), IF(E438=Constants!$B$3, FALSE(), TRUE())))</f>
        <v/>
      </c>
      <c r="P438" s="91" t="str">
        <f aca="false">IF(ISBLANK($C438),"",IF(F438=Constants!$B$16,Constants!$B$9,IF(F438=Constants!$B$17,Constants!$B$10,Constants!$B$8)))</f>
        <v/>
      </c>
      <c r="Q438" s="91" t="str">
        <f aca="false">IF(ISBLANK($C438),"",IF(ISNUMBER(G438),IF(G438&gt;=0,G438,""),""))</f>
        <v/>
      </c>
      <c r="R438" s="91" t="str">
        <f aca="false">IF(ISBLANK($C438),"",IF(H438=Constants!$B$2, TRUE(), IF(H438=Constants!$B$3, FALSE(), TRUE())))</f>
        <v/>
      </c>
      <c r="S438" s="91" t="str">
        <f aca="false">IF(ISBLANK($C438),"",IF(I438=Constants!$B$2, TRUE(), IF(I438=Constants!$B$3, FALSE(), TRUE())))</f>
        <v/>
      </c>
      <c r="T438" s="91" t="str">
        <f aca="false">IF(ISBLANK($C438),"",IF(ISNUMBER(J438),IF(J438&gt;=0,J438,""),""))</f>
        <v/>
      </c>
      <c r="U438" s="91" t="str">
        <f aca="false">IF(ISBLANK($C438),"",IF(K438=Constants!$B$2, TRUE(), IF(K438=Constants!$B$3, FALSE(), TRUE())))</f>
        <v/>
      </c>
      <c r="V438" s="91" t="str">
        <f aca="false">IF(ISBLANK($C438),"",IF(L438=Constants!$B$2, TRUE(), IF(L438=Constants!$B$3, FALSE(), TRUE())))</f>
        <v/>
      </c>
      <c r="W438" s="91" t="str">
        <f aca="false">IF(ISBLANK($C438),"",IF(M438=Constants!$B$2, TRUE(), IF(M438=Constants!$B$3, FALSE(), FALSE())))</f>
        <v/>
      </c>
      <c r="X438" s="91" t="str">
        <f aca="false">IF(ISBLANK($C438),"",AND(Q438&lt;&gt;"",O438))</f>
        <v/>
      </c>
      <c r="Y438" s="91" t="str">
        <f aca="false">IF(ISBLANK($C438),"",AND(T438&lt;&gt;"",O438))</f>
        <v/>
      </c>
      <c r="Z438" s="91" t="str">
        <f aca="false">IF(ISBLANK($C438),"",IF(W438,Constants!$B$4,IF(COUNTA(E438:L438)=0,Constants!$B$5,IF(NOT(O438),Constants!$B$6,IF(AND(NOT(X438),NOT(Y438)),Constants!$B$6,Constants!$B$7)))))</f>
        <v/>
      </c>
      <c r="AA438" s="91" t="str">
        <f aca="false">IF(ISBLANK($C438),"",IF($Z438&lt;&gt;Constants!$B$7,$Z438,Constants!$B$20))</f>
        <v/>
      </c>
      <c r="AB438" s="91" t="str">
        <f aca="false">IF($Z438=Constants!$B$7,IF(X438,Q438,Constants!$B$13),"")</f>
        <v/>
      </c>
      <c r="AC438" s="91" t="str">
        <f aca="false">IF($Z438=Constants!$B$7,IF(X438,P438*IF(R438, 1, Constants!$B$11)*IF(S438, 1, Constants!$B$12),Constants!$B$13),"")</f>
        <v/>
      </c>
      <c r="AD438" s="91" t="str">
        <f aca="false">IF($Z438=Constants!$B$7,AB438*AC438,"")</f>
        <v/>
      </c>
      <c r="AE438" s="91" t="str">
        <f aca="false">IF($Z438=Constants!$B$7,IF(Y438,T438,Constants!$B$13),"")</f>
        <v/>
      </c>
      <c r="AF438" s="91" t="str">
        <f aca="false">IF($Z438=Constants!$B$7,IF(Y438,P438*IF(U438, 1, Constants!$B$11)*IF(V438, 1, Constants!$B$12),Constants!$B$13),"")</f>
        <v/>
      </c>
      <c r="AG438" s="91" t="str">
        <f aca="false">IF($Z438=Constants!$B$7,AE438*AF438,"")</f>
        <v/>
      </c>
      <c r="AH438" s="91" t="str">
        <f aca="false">IF($Z438=Constants!$B$7,IF(AG438&gt;AD438,2,1),"")</f>
        <v/>
      </c>
      <c r="AI438" s="91" t="str">
        <f aca="false">IF($Z438=Constants!$B$7,IF(AH438=1,2,1),"")</f>
        <v/>
      </c>
      <c r="AJ438" s="91" t="str">
        <f aca="false">IF(ISBLANK($C438),"",IF($Z438&lt;&gt;Constants!$B$7,$Z438,IF(AH438=1,AD438,AG438)))</f>
        <v/>
      </c>
      <c r="AK438" s="91" t="str">
        <f aca="false">IF(ISBLANK($C438),"",IF($Z438=Constants!$B$7,IF(ISNUMBER(AJ438),RANK(AJ438,$AJ$8:$AJ$507),Constants!$B$14),$Z438))</f>
        <v/>
      </c>
      <c r="AL438" s="91" t="str">
        <f aca="false">IF(ISBLANK($C438),"",IF($Z438=Constants!$B$7,IF(AI438=1,AD438,AG438),""))</f>
        <v/>
      </c>
      <c r="AM438" s="91" t="str">
        <f aca="false">IF(ISBLANK($C438),"",IF($Z438=Constants!$B$7,RANK(AL438,$AL$8:$AL$507),$Z438))</f>
        <v/>
      </c>
      <c r="AN438" s="91" t="str">
        <f aca="false">IF(ISBLANK($C438),"",IF($Z438=Constants!$B$7,IF(ISNUMBER(AK438),COUNTIFS($AK$8:$AK$507,"&lt;"&amp;$AK438)+COUNTIFS($AK$8:$AK$507,$AK438,$AM$8:$AM$507,"&lt;"&amp;$AM438)+1,Constants!$B$14),$Z438))</f>
        <v/>
      </c>
      <c r="AO438" s="91" t="str">
        <f aca="false">IF(ISBLANK($C438),"",IF($Z438=Constants!$B$7,IF(ISNUMBER(AK438),AK438-AN438,Constants!$B$14),$Z438))</f>
        <v/>
      </c>
      <c r="AP438" s="92"/>
      <c r="AQ438" s="93" t="str">
        <f aca="false">IF(ISBLANK($C438),"",IF($Z438&lt;&gt;Constants!$B$7,"",AH438))</f>
        <v/>
      </c>
      <c r="AR438" s="94" t="str">
        <f aca="false">IF(ISBLANK($C438),"",IF($Z438&lt;&gt;Constants!$B$7,"",IF(AH438=1,AB438,AE438)))</f>
        <v/>
      </c>
      <c r="AS438" s="95" t="str">
        <f aca="false">IF(ISBLANK($C438),"",IF($Z438&lt;&gt;Constants!$B$7,"",IF(AH438=1,AC438,AF438)))</f>
        <v/>
      </c>
      <c r="AT438" s="96" t="str">
        <f aca="false">IF(ISBLANK($C438),"",IF($Z438&lt;&gt;Constants!$B$7,$Z438,AJ438))</f>
        <v/>
      </c>
      <c r="AU438" s="97" t="str">
        <f aca="false">IF(ISBLANK($C438),"",IF($Z438&lt;&gt;Constants!$B$7,$Z438,AA438))</f>
        <v/>
      </c>
      <c r="AV438" s="98" t="str">
        <f aca="false">IF(ISBLANK($C438),"",AO438)</f>
        <v/>
      </c>
      <c r="AW438" s="98" t="str">
        <f aca="false">IF(ISBLANK($C438),"",AN438)</f>
        <v/>
      </c>
      <c r="AX438" s="99" t="str">
        <f aca="false">IF(ISBLANK($C438),"",IFERROR(_xlfn.SWITCH(AW438,Constants!$B$4,COUNTA($C$8:$C$507)+2,Constants!$B$5,COUNTA($C$8:$C$507)+1,Constants!$B$6,COUNTA($C$8:$C$507)),AW438))</f>
        <v/>
      </c>
      <c r="AY438" s="5"/>
      <c r="AZ438" s="100" t="n">
        <f aca="false">IF(OR(ISNUMBER(AW438),AW438=Constants!$B$4,AW438=Constants!$B$6,AW438=Constants!$B$5),1,0)</f>
        <v>0</v>
      </c>
      <c r="BA438" s="100" t="n">
        <v>431</v>
      </c>
      <c r="BB438" s="100" t="str">
        <f aca="false">IF(ISBLANK($C438),"",IF(ISNUMBER(AX438),AX438+ROW($B438)/1000,""))</f>
        <v/>
      </c>
      <c r="BC438" s="100" t="str">
        <f aca="false">IF(ISNUMBER(BB438),RANK(BB438,$BB$8:$BB$507,1),"")</f>
        <v/>
      </c>
      <c r="BD438" s="100" t="str">
        <f aca="false">IF(ISBLANK($C438),"",$B438)</f>
        <v/>
      </c>
      <c r="BE438" s="100" t="str">
        <f aca="false">IF(ISBLANK($C438),"",$C438)</f>
        <v/>
      </c>
      <c r="BF438" s="100" t="str">
        <f aca="false">IF(ISBLANK($C438),"",$D438)</f>
        <v/>
      </c>
      <c r="BG438" s="101" t="str">
        <f aca="false">AU438</f>
        <v/>
      </c>
      <c r="BH438" s="102" t="str">
        <f aca="false">AT438</f>
        <v/>
      </c>
      <c r="BI438" s="100" t="str">
        <f aca="false">IF(ISBLANK($C438),"",AW438)</f>
        <v/>
      </c>
      <c r="BJ438" s="103" t="str">
        <f aca="false">IF($BA438&gt;$AZ$7,"",VLOOKUP($BA438,$BC$8:$BI$507,7,FALSE()))</f>
        <v/>
      </c>
      <c r="BK438" s="104" t="str">
        <f aca="false">IF($BA438&gt;$AZ$7,"",VLOOKUP($BA438,$BC$8:$BI$507,2,FALSE()))</f>
        <v/>
      </c>
      <c r="BL438" s="104" t="str">
        <f aca="false">IF($BA438&gt;$AZ$7,"",VLOOKUP($BA438,$BC$8:$BI$507,3,FALSE()))</f>
        <v/>
      </c>
      <c r="BM438" s="104" t="str">
        <f aca="false">IF($BA438&gt;$AZ$7,"",VLOOKUP($BA438,$BC$8:$BI$507,4,FALSE()))</f>
        <v/>
      </c>
      <c r="BN438" s="104" t="str">
        <f aca="false">IF($BA438&gt;$AZ$7,"",VLOOKUP($BA438,$BC$8:$BI$507,5,FALSE()))</f>
        <v/>
      </c>
      <c r="BO438" s="105" t="str">
        <f aca="false">IF($BA438&gt;$AZ$7,"",VLOOKUP($BA438,$BC$8:$BI$507,6,FALSE()))</f>
        <v/>
      </c>
      <c r="BP438" s="52"/>
    </row>
    <row r="439" customFormat="false" ht="15.75" hidden="false" customHeight="false" outlineLevel="0" collapsed="false">
      <c r="A439" s="5"/>
      <c r="B439" s="114"/>
      <c r="C439" s="115"/>
      <c r="D439" s="106"/>
      <c r="E439" s="117"/>
      <c r="F439" s="87"/>
      <c r="G439" s="88"/>
      <c r="H439" s="88"/>
      <c r="I439" s="87"/>
      <c r="J439" s="88"/>
      <c r="K439" s="88"/>
      <c r="L439" s="87"/>
      <c r="M439" s="117"/>
      <c r="N439" s="90"/>
      <c r="O439" s="91" t="str">
        <f aca="false">IF(ISBLANK($C439),"",IF(E439=Constants!$B$2, TRUE(), IF(E439=Constants!$B$3, FALSE(), TRUE())))</f>
        <v/>
      </c>
      <c r="P439" s="91" t="str">
        <f aca="false">IF(ISBLANK($C439),"",IF(F439=Constants!$B$16,Constants!$B$9,IF(F439=Constants!$B$17,Constants!$B$10,Constants!$B$8)))</f>
        <v/>
      </c>
      <c r="Q439" s="91" t="str">
        <f aca="false">IF(ISBLANK($C439),"",IF(ISNUMBER(G439),IF(G439&gt;=0,G439,""),""))</f>
        <v/>
      </c>
      <c r="R439" s="91" t="str">
        <f aca="false">IF(ISBLANK($C439),"",IF(H439=Constants!$B$2, TRUE(), IF(H439=Constants!$B$3, FALSE(), TRUE())))</f>
        <v/>
      </c>
      <c r="S439" s="91" t="str">
        <f aca="false">IF(ISBLANK($C439),"",IF(I439=Constants!$B$2, TRUE(), IF(I439=Constants!$B$3, FALSE(), TRUE())))</f>
        <v/>
      </c>
      <c r="T439" s="91" t="str">
        <f aca="false">IF(ISBLANK($C439),"",IF(ISNUMBER(J439),IF(J439&gt;=0,J439,""),""))</f>
        <v/>
      </c>
      <c r="U439" s="91" t="str">
        <f aca="false">IF(ISBLANK($C439),"",IF(K439=Constants!$B$2, TRUE(), IF(K439=Constants!$B$3, FALSE(), TRUE())))</f>
        <v/>
      </c>
      <c r="V439" s="91" t="str">
        <f aca="false">IF(ISBLANK($C439),"",IF(L439=Constants!$B$2, TRUE(), IF(L439=Constants!$B$3, FALSE(), TRUE())))</f>
        <v/>
      </c>
      <c r="W439" s="91" t="str">
        <f aca="false">IF(ISBLANK($C439),"",IF(M439=Constants!$B$2, TRUE(), IF(M439=Constants!$B$3, FALSE(), FALSE())))</f>
        <v/>
      </c>
      <c r="X439" s="91" t="str">
        <f aca="false">IF(ISBLANK($C439),"",AND(Q439&lt;&gt;"",O439))</f>
        <v/>
      </c>
      <c r="Y439" s="91" t="str">
        <f aca="false">IF(ISBLANK($C439),"",AND(T439&lt;&gt;"",O439))</f>
        <v/>
      </c>
      <c r="Z439" s="91" t="str">
        <f aca="false">IF(ISBLANK($C439),"",IF(W439,Constants!$B$4,IF(COUNTA(E439:L439)=0,Constants!$B$5,IF(NOT(O439),Constants!$B$6,IF(AND(NOT(X439),NOT(Y439)),Constants!$B$6,Constants!$B$7)))))</f>
        <v/>
      </c>
      <c r="AA439" s="91" t="str">
        <f aca="false">IF(ISBLANK($C439),"",IF($Z439&lt;&gt;Constants!$B$7,$Z439,Constants!$B$20))</f>
        <v/>
      </c>
      <c r="AB439" s="91" t="str">
        <f aca="false">IF($Z439=Constants!$B$7,IF(X439,Q439,Constants!$B$13),"")</f>
        <v/>
      </c>
      <c r="AC439" s="91" t="str">
        <f aca="false">IF($Z439=Constants!$B$7,IF(X439,P439*IF(R439, 1, Constants!$B$11)*IF(S439, 1, Constants!$B$12),Constants!$B$13),"")</f>
        <v/>
      </c>
      <c r="AD439" s="91" t="str">
        <f aca="false">IF($Z439=Constants!$B$7,AB439*AC439,"")</f>
        <v/>
      </c>
      <c r="AE439" s="91" t="str">
        <f aca="false">IF($Z439=Constants!$B$7,IF(Y439,T439,Constants!$B$13),"")</f>
        <v/>
      </c>
      <c r="AF439" s="91" t="str">
        <f aca="false">IF($Z439=Constants!$B$7,IF(Y439,P439*IF(U439, 1, Constants!$B$11)*IF(V439, 1, Constants!$B$12),Constants!$B$13),"")</f>
        <v/>
      </c>
      <c r="AG439" s="91" t="str">
        <f aca="false">IF($Z439=Constants!$B$7,AE439*AF439,"")</f>
        <v/>
      </c>
      <c r="AH439" s="91" t="str">
        <f aca="false">IF($Z439=Constants!$B$7,IF(AG439&gt;AD439,2,1),"")</f>
        <v/>
      </c>
      <c r="AI439" s="91" t="str">
        <f aca="false">IF($Z439=Constants!$B$7,IF(AH439=1,2,1),"")</f>
        <v/>
      </c>
      <c r="AJ439" s="91" t="str">
        <f aca="false">IF(ISBLANK($C439),"",IF($Z439&lt;&gt;Constants!$B$7,$Z439,IF(AH439=1,AD439,AG439)))</f>
        <v/>
      </c>
      <c r="AK439" s="91" t="str">
        <f aca="false">IF(ISBLANK($C439),"",IF($Z439=Constants!$B$7,IF(ISNUMBER(AJ439),RANK(AJ439,$AJ$8:$AJ$507),Constants!$B$14),$Z439))</f>
        <v/>
      </c>
      <c r="AL439" s="91" t="str">
        <f aca="false">IF(ISBLANK($C439),"",IF($Z439=Constants!$B$7,IF(AI439=1,AD439,AG439),""))</f>
        <v/>
      </c>
      <c r="AM439" s="91" t="str">
        <f aca="false">IF(ISBLANK($C439),"",IF($Z439=Constants!$B$7,RANK(AL439,$AL$8:$AL$507),$Z439))</f>
        <v/>
      </c>
      <c r="AN439" s="91" t="str">
        <f aca="false">IF(ISBLANK($C439),"",IF($Z439=Constants!$B$7,IF(ISNUMBER(AK439),COUNTIFS($AK$8:$AK$507,"&lt;"&amp;$AK439)+COUNTIFS($AK$8:$AK$507,$AK439,$AM$8:$AM$507,"&lt;"&amp;$AM439)+1,Constants!$B$14),$Z439))</f>
        <v/>
      </c>
      <c r="AO439" s="91" t="str">
        <f aca="false">IF(ISBLANK($C439),"",IF($Z439=Constants!$B$7,IF(ISNUMBER(AK439),AK439-AN439,Constants!$B$14),$Z439))</f>
        <v/>
      </c>
      <c r="AP439" s="92"/>
      <c r="AQ439" s="93" t="str">
        <f aca="false">IF(ISBLANK($C439),"",IF($Z439&lt;&gt;Constants!$B$7,"",AH439))</f>
        <v/>
      </c>
      <c r="AR439" s="94" t="str">
        <f aca="false">IF(ISBLANK($C439),"",IF($Z439&lt;&gt;Constants!$B$7,"",IF(AH439=1,AB439,AE439)))</f>
        <v/>
      </c>
      <c r="AS439" s="95" t="str">
        <f aca="false">IF(ISBLANK($C439),"",IF($Z439&lt;&gt;Constants!$B$7,"",IF(AH439=1,AC439,AF439)))</f>
        <v/>
      </c>
      <c r="AT439" s="96" t="str">
        <f aca="false">IF(ISBLANK($C439),"",IF($Z439&lt;&gt;Constants!$B$7,$Z439,AJ439))</f>
        <v/>
      </c>
      <c r="AU439" s="97" t="str">
        <f aca="false">IF(ISBLANK($C439),"",IF($Z439&lt;&gt;Constants!$B$7,$Z439,AA439))</f>
        <v/>
      </c>
      <c r="AV439" s="98" t="str">
        <f aca="false">IF(ISBLANK($C439),"",AO439)</f>
        <v/>
      </c>
      <c r="AW439" s="98" t="str">
        <f aca="false">IF(ISBLANK($C439),"",AN439)</f>
        <v/>
      </c>
      <c r="AX439" s="99" t="str">
        <f aca="false">IF(ISBLANK($C439),"",IFERROR(_xlfn.SWITCH(AW439,Constants!$B$4,COUNTA($C$8:$C$507)+2,Constants!$B$5,COUNTA($C$8:$C$507)+1,Constants!$B$6,COUNTA($C$8:$C$507)),AW439))</f>
        <v/>
      </c>
      <c r="AY439" s="5"/>
      <c r="AZ439" s="100" t="n">
        <f aca="false">IF(OR(ISNUMBER(AW439),AW439=Constants!$B$4,AW439=Constants!$B$6,AW439=Constants!$B$5),1,0)</f>
        <v>0</v>
      </c>
      <c r="BA439" s="100" t="n">
        <v>432</v>
      </c>
      <c r="BB439" s="100" t="str">
        <f aca="false">IF(ISBLANK($C439),"",IF(ISNUMBER(AX439),AX439+ROW($B439)/1000,""))</f>
        <v/>
      </c>
      <c r="BC439" s="100" t="str">
        <f aca="false">IF(ISNUMBER(BB439),RANK(BB439,$BB$8:$BB$507,1),"")</f>
        <v/>
      </c>
      <c r="BD439" s="100" t="str">
        <f aca="false">IF(ISBLANK($C439),"",$B439)</f>
        <v/>
      </c>
      <c r="BE439" s="100" t="str">
        <f aca="false">IF(ISBLANK($C439),"",$C439)</f>
        <v/>
      </c>
      <c r="BF439" s="100" t="str">
        <f aca="false">IF(ISBLANK($C439),"",$D439)</f>
        <v/>
      </c>
      <c r="BG439" s="101" t="str">
        <f aca="false">AU439</f>
        <v/>
      </c>
      <c r="BH439" s="102" t="str">
        <f aca="false">AT439</f>
        <v/>
      </c>
      <c r="BI439" s="100" t="str">
        <f aca="false">IF(ISBLANK($C439),"",AW439)</f>
        <v/>
      </c>
      <c r="BJ439" s="103" t="str">
        <f aca="false">IF($BA439&gt;$AZ$7,"",VLOOKUP($BA439,$BC$8:$BI$507,7,FALSE()))</f>
        <v/>
      </c>
      <c r="BK439" s="104" t="str">
        <f aca="false">IF($BA439&gt;$AZ$7,"",VLOOKUP($BA439,$BC$8:$BI$507,2,FALSE()))</f>
        <v/>
      </c>
      <c r="BL439" s="104" t="str">
        <f aca="false">IF($BA439&gt;$AZ$7,"",VLOOKUP($BA439,$BC$8:$BI$507,3,FALSE()))</f>
        <v/>
      </c>
      <c r="BM439" s="104" t="str">
        <f aca="false">IF($BA439&gt;$AZ$7,"",VLOOKUP($BA439,$BC$8:$BI$507,4,FALSE()))</f>
        <v/>
      </c>
      <c r="BN439" s="104" t="str">
        <f aca="false">IF($BA439&gt;$AZ$7,"",VLOOKUP($BA439,$BC$8:$BI$507,5,FALSE()))</f>
        <v/>
      </c>
      <c r="BO439" s="105" t="str">
        <f aca="false">IF($BA439&gt;$AZ$7,"",VLOOKUP($BA439,$BC$8:$BI$507,6,FALSE()))</f>
        <v/>
      </c>
      <c r="BP439" s="52"/>
    </row>
    <row r="440" customFormat="false" ht="15.75" hidden="false" customHeight="false" outlineLevel="0" collapsed="false">
      <c r="A440" s="5"/>
      <c r="B440" s="118"/>
      <c r="C440" s="54"/>
      <c r="D440" s="55"/>
      <c r="E440" s="79"/>
      <c r="F440" s="57"/>
      <c r="G440" s="58"/>
      <c r="H440" s="58"/>
      <c r="I440" s="57"/>
      <c r="J440" s="58"/>
      <c r="K440" s="58"/>
      <c r="L440" s="57"/>
      <c r="M440" s="79"/>
      <c r="N440" s="60"/>
      <c r="O440" s="62" t="str">
        <f aca="false">IF(ISBLANK($C440),"",IF(E440=Constants!$B$2, TRUE(), IF(E440=Constants!$B$3, FALSE(), TRUE())))</f>
        <v/>
      </c>
      <c r="P440" s="62" t="str">
        <f aca="false">IF(ISBLANK($C440),"",IF(F440=Constants!$B$16,Constants!$B$9,IF(F440=Constants!$B$17,Constants!$B$10,Constants!$B$8)))</f>
        <v/>
      </c>
      <c r="Q440" s="62" t="str">
        <f aca="false">IF(ISBLANK($C440),"",IF(ISNUMBER(G440),IF(G440&gt;=0,G440,""),""))</f>
        <v/>
      </c>
      <c r="R440" s="62" t="str">
        <f aca="false">IF(ISBLANK($C440),"",IF(H440=Constants!$B$2, TRUE(), IF(H440=Constants!$B$3, FALSE(), TRUE())))</f>
        <v/>
      </c>
      <c r="S440" s="62" t="str">
        <f aca="false">IF(ISBLANK($C440),"",IF(I440=Constants!$B$2, TRUE(), IF(I440=Constants!$B$3, FALSE(), TRUE())))</f>
        <v/>
      </c>
      <c r="T440" s="62" t="str">
        <f aca="false">IF(ISBLANK($C440),"",IF(ISNUMBER(J440),IF(J440&gt;=0,J440,""),""))</f>
        <v/>
      </c>
      <c r="U440" s="62" t="str">
        <f aca="false">IF(ISBLANK($C440),"",IF(K440=Constants!$B$2, TRUE(), IF(K440=Constants!$B$3, FALSE(), TRUE())))</f>
        <v/>
      </c>
      <c r="V440" s="62" t="str">
        <f aca="false">IF(ISBLANK($C440),"",IF(L440=Constants!$B$2, TRUE(), IF(L440=Constants!$B$3, FALSE(), TRUE())))</f>
        <v/>
      </c>
      <c r="W440" s="62" t="str">
        <f aca="false">IF(ISBLANK($C440),"",IF(M440=Constants!$B$2, TRUE(), IF(M440=Constants!$B$3, FALSE(), FALSE())))</f>
        <v/>
      </c>
      <c r="X440" s="62" t="str">
        <f aca="false">IF(ISBLANK($C440),"",AND(Q440&lt;&gt;"",O440))</f>
        <v/>
      </c>
      <c r="Y440" s="62" t="str">
        <f aca="false">IF(ISBLANK($C440),"",AND(T440&lt;&gt;"",O440))</f>
        <v/>
      </c>
      <c r="Z440" s="62" t="str">
        <f aca="false">IF(ISBLANK($C440),"",IF(W440,Constants!$B$4,IF(COUNTA(E440:L440)=0,Constants!$B$5,IF(NOT(O440),Constants!$B$6,IF(AND(NOT(X440),NOT(Y440)),Constants!$B$6,Constants!$B$7)))))</f>
        <v/>
      </c>
      <c r="AA440" s="62" t="str">
        <f aca="false">IF(ISBLANK($C440),"",IF($Z440&lt;&gt;Constants!$B$7,$Z440,Constants!$B$20))</f>
        <v/>
      </c>
      <c r="AB440" s="62" t="str">
        <f aca="false">IF($Z440=Constants!$B$7,IF(X440,Q440,Constants!$B$13),"")</f>
        <v/>
      </c>
      <c r="AC440" s="62" t="str">
        <f aca="false">IF($Z440=Constants!$B$7,IF(X440,P440*IF(R440, 1, Constants!$B$11)*IF(S440, 1, Constants!$B$12),Constants!$B$13),"")</f>
        <v/>
      </c>
      <c r="AD440" s="62" t="str">
        <f aca="false">IF($Z440=Constants!$B$7,AB440*AC440,"")</f>
        <v/>
      </c>
      <c r="AE440" s="62" t="str">
        <f aca="false">IF($Z440=Constants!$B$7,IF(Y440,T440,Constants!$B$13),"")</f>
        <v/>
      </c>
      <c r="AF440" s="62" t="str">
        <f aca="false">IF($Z440=Constants!$B$7,IF(Y440,P440*IF(U440, 1, Constants!$B$11)*IF(V440, 1, Constants!$B$12),Constants!$B$13),"")</f>
        <v/>
      </c>
      <c r="AG440" s="62" t="str">
        <f aca="false">IF($Z440=Constants!$B$7,AE440*AF440,"")</f>
        <v/>
      </c>
      <c r="AH440" s="62" t="str">
        <f aca="false">IF($Z440=Constants!$B$7,IF(AG440&gt;AD440,2,1),"")</f>
        <v/>
      </c>
      <c r="AI440" s="62" t="str">
        <f aca="false">IF($Z440=Constants!$B$7,IF(AH440=1,2,1),"")</f>
        <v/>
      </c>
      <c r="AJ440" s="62" t="str">
        <f aca="false">IF(ISBLANK($C440),"",IF($Z440&lt;&gt;Constants!$B$7,$Z440,IF(AH440=1,AD440,AG440)))</f>
        <v/>
      </c>
      <c r="AK440" s="62" t="str">
        <f aca="false">IF(ISBLANK($C440),"",IF($Z440=Constants!$B$7,IF(ISNUMBER(AJ440),RANK(AJ440,$AJ$8:$AJ$507),Constants!$B$14),$Z440))</f>
        <v/>
      </c>
      <c r="AL440" s="62" t="str">
        <f aca="false">IF(ISBLANK($C440),"",IF($Z440=Constants!$B$7,IF(AI440=1,AD440,AG440),""))</f>
        <v/>
      </c>
      <c r="AM440" s="62" t="str">
        <f aca="false">IF(ISBLANK($C440),"",IF($Z440=Constants!$B$7,RANK(AL440,$AL$8:$AL$507),$Z440))</f>
        <v/>
      </c>
      <c r="AN440" s="62" t="str">
        <f aca="false">IF(ISBLANK($C440),"",IF($Z440=Constants!$B$7,IF(ISNUMBER(AK440),COUNTIFS($AK$8:$AK$507,"&lt;"&amp;$AK440)+COUNTIFS($AK$8:$AK$507,$AK440,$AM$8:$AM$507,"&lt;"&amp;$AM440)+1,Constants!$B$14),$Z440))</f>
        <v/>
      </c>
      <c r="AO440" s="62" t="str">
        <f aca="false">IF(ISBLANK($C440),"",IF($Z440=Constants!$B$7,IF(ISNUMBER(AK440),AK440-AN440,Constants!$B$14),$Z440))</f>
        <v/>
      </c>
      <c r="AP440" s="64"/>
      <c r="AQ440" s="65" t="str">
        <f aca="false">IF(ISBLANK($C440),"",IF($Z440&lt;&gt;Constants!$B$7,"",AH440))</f>
        <v/>
      </c>
      <c r="AR440" s="80" t="str">
        <f aca="false">IF(ISBLANK($C440),"",IF($Z440&lt;&gt;Constants!$B$7,"",IF(AH440=1,AB440,AE440)))</f>
        <v/>
      </c>
      <c r="AS440" s="67" t="str">
        <f aca="false">IF(ISBLANK($C440),"",IF($Z440&lt;&gt;Constants!$B$7,"",IF(AH440=1,AC440,AF440)))</f>
        <v/>
      </c>
      <c r="AT440" s="68" t="str">
        <f aca="false">IF(ISBLANK($C440),"",IF($Z440&lt;&gt;Constants!$B$7,$Z440,AJ440))</f>
        <v/>
      </c>
      <c r="AU440" s="69" t="str">
        <f aca="false">IF(ISBLANK($C440),"",IF($Z440&lt;&gt;Constants!$B$7,$Z440,AA440))</f>
        <v/>
      </c>
      <c r="AV440" s="70" t="str">
        <f aca="false">IF(ISBLANK($C440),"",AO440)</f>
        <v/>
      </c>
      <c r="AW440" s="70" t="str">
        <f aca="false">IF(ISBLANK($C440),"",AN440)</f>
        <v/>
      </c>
      <c r="AX440" s="71" t="str">
        <f aca="false">IF(ISBLANK($C440),"",IFERROR(_xlfn.SWITCH(AW440,Constants!$B$4,COUNTA($C$8:$C$507)+2,Constants!$B$5,COUNTA($C$8:$C$507)+1,Constants!$B$6,COUNTA($C$8:$C$507)),AW440))</f>
        <v/>
      </c>
      <c r="AY440" s="5"/>
      <c r="AZ440" s="72" t="n">
        <f aca="false">IF(OR(ISNUMBER(AW440),AW440=Constants!$B$4,AW440=Constants!$B$6,AW440=Constants!$B$5),1,0)</f>
        <v>0</v>
      </c>
      <c r="BA440" s="72" t="n">
        <v>433</v>
      </c>
      <c r="BB440" s="72" t="str">
        <f aca="false">IF(ISBLANK($C440),"",IF(ISNUMBER(AX440),AX440+ROW($B440)/1000,""))</f>
        <v/>
      </c>
      <c r="BC440" s="72" t="str">
        <f aca="false">IF(ISNUMBER(BB440),RANK(BB440,$BB$8:$BB$507,1),"")</f>
        <v/>
      </c>
      <c r="BD440" s="72" t="str">
        <f aca="false">IF(ISBLANK($C440),"",$B440)</f>
        <v/>
      </c>
      <c r="BE440" s="72" t="str">
        <f aca="false">IF(ISBLANK($C440),"",$C440)</f>
        <v/>
      </c>
      <c r="BF440" s="72" t="str">
        <f aca="false">IF(ISBLANK($C440),"",$D440)</f>
        <v/>
      </c>
      <c r="BG440" s="73" t="str">
        <f aca="false">AU440</f>
        <v/>
      </c>
      <c r="BH440" s="74" t="str">
        <f aca="false">AT440</f>
        <v/>
      </c>
      <c r="BI440" s="72" t="str">
        <f aca="false">IF(ISBLANK($C440),"",AW440)</f>
        <v/>
      </c>
      <c r="BJ440" s="75" t="str">
        <f aca="false">IF($BA440&gt;$AZ$7,"",VLOOKUP($BA440,$BC$8:$BI$507,7,FALSE()))</f>
        <v/>
      </c>
      <c r="BK440" s="76" t="str">
        <f aca="false">IF($BA440&gt;$AZ$7,"",VLOOKUP($BA440,$BC$8:$BI$507,2,FALSE()))</f>
        <v/>
      </c>
      <c r="BL440" s="76" t="str">
        <f aca="false">IF($BA440&gt;$AZ$7,"",VLOOKUP($BA440,$BC$8:$BI$507,3,FALSE()))</f>
        <v/>
      </c>
      <c r="BM440" s="76" t="str">
        <f aca="false">IF($BA440&gt;$AZ$7,"",VLOOKUP($BA440,$BC$8:$BI$507,4,FALSE()))</f>
        <v/>
      </c>
      <c r="BN440" s="76" t="str">
        <f aca="false">IF($BA440&gt;$AZ$7,"",VLOOKUP($BA440,$BC$8:$BI$507,5,FALSE()))</f>
        <v/>
      </c>
      <c r="BO440" s="77" t="str">
        <f aca="false">IF($BA440&gt;$AZ$7,"",VLOOKUP($BA440,$BC$8:$BI$507,6,FALSE()))</f>
        <v/>
      </c>
      <c r="BP440" s="52"/>
    </row>
    <row r="441" customFormat="false" ht="15.75" hidden="false" customHeight="false" outlineLevel="0" collapsed="false">
      <c r="A441" s="5"/>
      <c r="B441" s="118"/>
      <c r="C441" s="54"/>
      <c r="D441" s="55"/>
      <c r="E441" s="79"/>
      <c r="F441" s="57"/>
      <c r="G441" s="58"/>
      <c r="H441" s="58"/>
      <c r="I441" s="57"/>
      <c r="J441" s="58"/>
      <c r="K441" s="58"/>
      <c r="L441" s="57"/>
      <c r="M441" s="79"/>
      <c r="N441" s="60"/>
      <c r="O441" s="62" t="str">
        <f aca="false">IF(ISBLANK($C441),"",IF(E441=Constants!$B$2, TRUE(), IF(E441=Constants!$B$3, FALSE(), TRUE())))</f>
        <v/>
      </c>
      <c r="P441" s="62" t="str">
        <f aca="false">IF(ISBLANK($C441),"",IF(F441=Constants!$B$16,Constants!$B$9,IF(F441=Constants!$B$17,Constants!$B$10,Constants!$B$8)))</f>
        <v/>
      </c>
      <c r="Q441" s="62" t="str">
        <f aca="false">IF(ISBLANK($C441),"",IF(ISNUMBER(G441),IF(G441&gt;=0,G441,""),""))</f>
        <v/>
      </c>
      <c r="R441" s="62" t="str">
        <f aca="false">IF(ISBLANK($C441),"",IF(H441=Constants!$B$2, TRUE(), IF(H441=Constants!$B$3, FALSE(), TRUE())))</f>
        <v/>
      </c>
      <c r="S441" s="62" t="str">
        <f aca="false">IF(ISBLANK($C441),"",IF(I441=Constants!$B$2, TRUE(), IF(I441=Constants!$B$3, FALSE(), TRUE())))</f>
        <v/>
      </c>
      <c r="T441" s="62" t="str">
        <f aca="false">IF(ISBLANK($C441),"",IF(ISNUMBER(J441),IF(J441&gt;=0,J441,""),""))</f>
        <v/>
      </c>
      <c r="U441" s="62" t="str">
        <f aca="false">IF(ISBLANK($C441),"",IF(K441=Constants!$B$2, TRUE(), IF(K441=Constants!$B$3, FALSE(), TRUE())))</f>
        <v/>
      </c>
      <c r="V441" s="62" t="str">
        <f aca="false">IF(ISBLANK($C441),"",IF(L441=Constants!$B$2, TRUE(), IF(L441=Constants!$B$3, FALSE(), TRUE())))</f>
        <v/>
      </c>
      <c r="W441" s="62" t="str">
        <f aca="false">IF(ISBLANK($C441),"",IF(M441=Constants!$B$2, TRUE(), IF(M441=Constants!$B$3, FALSE(), FALSE())))</f>
        <v/>
      </c>
      <c r="X441" s="62" t="str">
        <f aca="false">IF(ISBLANK($C441),"",AND(Q441&lt;&gt;"",O441))</f>
        <v/>
      </c>
      <c r="Y441" s="62" t="str">
        <f aca="false">IF(ISBLANK($C441),"",AND(T441&lt;&gt;"",O441))</f>
        <v/>
      </c>
      <c r="Z441" s="62" t="str">
        <f aca="false">IF(ISBLANK($C441),"",IF(W441,Constants!$B$4,IF(COUNTA(E441:L441)=0,Constants!$B$5,IF(NOT(O441),Constants!$B$6,IF(AND(NOT(X441),NOT(Y441)),Constants!$B$6,Constants!$B$7)))))</f>
        <v/>
      </c>
      <c r="AA441" s="62" t="str">
        <f aca="false">IF(ISBLANK($C441),"",IF($Z441&lt;&gt;Constants!$B$7,$Z441,Constants!$B$20))</f>
        <v/>
      </c>
      <c r="AB441" s="62" t="str">
        <f aca="false">IF($Z441=Constants!$B$7,IF(X441,Q441,Constants!$B$13),"")</f>
        <v/>
      </c>
      <c r="AC441" s="62" t="str">
        <f aca="false">IF($Z441=Constants!$B$7,IF(X441,P441*IF(R441, 1, Constants!$B$11)*IF(S441, 1, Constants!$B$12),Constants!$B$13),"")</f>
        <v/>
      </c>
      <c r="AD441" s="62" t="str">
        <f aca="false">IF($Z441=Constants!$B$7,AB441*AC441,"")</f>
        <v/>
      </c>
      <c r="AE441" s="62" t="str">
        <f aca="false">IF($Z441=Constants!$B$7,IF(Y441,T441,Constants!$B$13),"")</f>
        <v/>
      </c>
      <c r="AF441" s="62" t="str">
        <f aca="false">IF($Z441=Constants!$B$7,IF(Y441,P441*IF(U441, 1, Constants!$B$11)*IF(V441, 1, Constants!$B$12),Constants!$B$13),"")</f>
        <v/>
      </c>
      <c r="AG441" s="62" t="str">
        <f aca="false">IF($Z441=Constants!$B$7,AE441*AF441,"")</f>
        <v/>
      </c>
      <c r="AH441" s="62" t="str">
        <f aca="false">IF($Z441=Constants!$B$7,IF(AG441&gt;AD441,2,1),"")</f>
        <v/>
      </c>
      <c r="AI441" s="62" t="str">
        <f aca="false">IF($Z441=Constants!$B$7,IF(AH441=1,2,1),"")</f>
        <v/>
      </c>
      <c r="AJ441" s="62" t="str">
        <f aca="false">IF(ISBLANK($C441),"",IF($Z441&lt;&gt;Constants!$B$7,$Z441,IF(AH441=1,AD441,AG441)))</f>
        <v/>
      </c>
      <c r="AK441" s="62" t="str">
        <f aca="false">IF(ISBLANK($C441),"",IF($Z441=Constants!$B$7,IF(ISNUMBER(AJ441),RANK(AJ441,$AJ$8:$AJ$507),Constants!$B$14),$Z441))</f>
        <v/>
      </c>
      <c r="AL441" s="62" t="str">
        <f aca="false">IF(ISBLANK($C441),"",IF($Z441=Constants!$B$7,IF(AI441=1,AD441,AG441),""))</f>
        <v/>
      </c>
      <c r="AM441" s="62" t="str">
        <f aca="false">IF(ISBLANK($C441),"",IF($Z441=Constants!$B$7,RANK(AL441,$AL$8:$AL$507),$Z441))</f>
        <v/>
      </c>
      <c r="AN441" s="62" t="str">
        <f aca="false">IF(ISBLANK($C441),"",IF($Z441=Constants!$B$7,IF(ISNUMBER(AK441),COUNTIFS($AK$8:$AK$507,"&lt;"&amp;$AK441)+COUNTIFS($AK$8:$AK$507,$AK441,$AM$8:$AM$507,"&lt;"&amp;$AM441)+1,Constants!$B$14),$Z441))</f>
        <v/>
      </c>
      <c r="AO441" s="62" t="str">
        <f aca="false">IF(ISBLANK($C441),"",IF($Z441=Constants!$B$7,IF(ISNUMBER(AK441),AK441-AN441,Constants!$B$14),$Z441))</f>
        <v/>
      </c>
      <c r="AP441" s="64"/>
      <c r="AQ441" s="65" t="str">
        <f aca="false">IF(ISBLANK($C441),"",IF($Z441&lt;&gt;Constants!$B$7,"",AH441))</f>
        <v/>
      </c>
      <c r="AR441" s="80" t="str">
        <f aca="false">IF(ISBLANK($C441),"",IF($Z441&lt;&gt;Constants!$B$7,"",IF(AH441=1,AB441,AE441)))</f>
        <v/>
      </c>
      <c r="AS441" s="67" t="str">
        <f aca="false">IF(ISBLANK($C441),"",IF($Z441&lt;&gt;Constants!$B$7,"",IF(AH441=1,AC441,AF441)))</f>
        <v/>
      </c>
      <c r="AT441" s="68" t="str">
        <f aca="false">IF(ISBLANK($C441),"",IF($Z441&lt;&gt;Constants!$B$7,$Z441,AJ441))</f>
        <v/>
      </c>
      <c r="AU441" s="69" t="str">
        <f aca="false">IF(ISBLANK($C441),"",IF($Z441&lt;&gt;Constants!$B$7,$Z441,AA441))</f>
        <v/>
      </c>
      <c r="AV441" s="70" t="str">
        <f aca="false">IF(ISBLANK($C441),"",AO441)</f>
        <v/>
      </c>
      <c r="AW441" s="70" t="str">
        <f aca="false">IF(ISBLANK($C441),"",AN441)</f>
        <v/>
      </c>
      <c r="AX441" s="71" t="str">
        <f aca="false">IF(ISBLANK($C441),"",IFERROR(_xlfn.SWITCH(AW441,Constants!$B$4,COUNTA($C$8:$C$507)+2,Constants!$B$5,COUNTA($C$8:$C$507)+1,Constants!$B$6,COUNTA($C$8:$C$507)),AW441))</f>
        <v/>
      </c>
      <c r="AY441" s="5"/>
      <c r="AZ441" s="72" t="n">
        <f aca="false">IF(OR(ISNUMBER(AW441),AW441=Constants!$B$4,AW441=Constants!$B$6,AW441=Constants!$B$5),1,0)</f>
        <v>0</v>
      </c>
      <c r="BA441" s="72" t="n">
        <v>434</v>
      </c>
      <c r="BB441" s="72" t="str">
        <f aca="false">IF(ISBLANK($C441),"",IF(ISNUMBER(AX441),AX441+ROW($B441)/1000,""))</f>
        <v/>
      </c>
      <c r="BC441" s="72" t="str">
        <f aca="false">IF(ISNUMBER(BB441),RANK(BB441,$BB$8:$BB$507,1),"")</f>
        <v/>
      </c>
      <c r="BD441" s="72" t="str">
        <f aca="false">IF(ISBLANK($C441),"",$B441)</f>
        <v/>
      </c>
      <c r="BE441" s="72" t="str">
        <f aca="false">IF(ISBLANK($C441),"",$C441)</f>
        <v/>
      </c>
      <c r="BF441" s="72" t="str">
        <f aca="false">IF(ISBLANK($C441),"",$D441)</f>
        <v/>
      </c>
      <c r="BG441" s="73" t="str">
        <f aca="false">AU441</f>
        <v/>
      </c>
      <c r="BH441" s="74" t="str">
        <f aca="false">AT441</f>
        <v/>
      </c>
      <c r="BI441" s="72" t="str">
        <f aca="false">IF(ISBLANK($C441),"",AW441)</f>
        <v/>
      </c>
      <c r="BJ441" s="75" t="str">
        <f aca="false">IF($BA441&gt;$AZ$7,"",VLOOKUP($BA441,$BC$8:$BI$507,7,FALSE()))</f>
        <v/>
      </c>
      <c r="BK441" s="76" t="str">
        <f aca="false">IF($BA441&gt;$AZ$7,"",VLOOKUP($BA441,$BC$8:$BI$507,2,FALSE()))</f>
        <v/>
      </c>
      <c r="BL441" s="76" t="str">
        <f aca="false">IF($BA441&gt;$AZ$7,"",VLOOKUP($BA441,$BC$8:$BI$507,3,FALSE()))</f>
        <v/>
      </c>
      <c r="BM441" s="76" t="str">
        <f aca="false">IF($BA441&gt;$AZ$7,"",VLOOKUP($BA441,$BC$8:$BI$507,4,FALSE()))</f>
        <v/>
      </c>
      <c r="BN441" s="76" t="str">
        <f aca="false">IF($BA441&gt;$AZ$7,"",VLOOKUP($BA441,$BC$8:$BI$507,5,FALSE()))</f>
        <v/>
      </c>
      <c r="BO441" s="77" t="str">
        <f aca="false">IF($BA441&gt;$AZ$7,"",VLOOKUP($BA441,$BC$8:$BI$507,6,FALSE()))</f>
        <v/>
      </c>
      <c r="BP441" s="52"/>
    </row>
    <row r="442" customFormat="false" ht="15.75" hidden="false" customHeight="false" outlineLevel="0" collapsed="false">
      <c r="A442" s="5"/>
      <c r="B442" s="118"/>
      <c r="C442" s="54"/>
      <c r="D442" s="55"/>
      <c r="E442" s="79"/>
      <c r="F442" s="57"/>
      <c r="G442" s="58"/>
      <c r="H442" s="58"/>
      <c r="I442" s="57"/>
      <c r="J442" s="58"/>
      <c r="K442" s="58"/>
      <c r="L442" s="57"/>
      <c r="M442" s="79"/>
      <c r="N442" s="60"/>
      <c r="O442" s="62" t="str">
        <f aca="false">IF(ISBLANK($C442),"",IF(E442=Constants!$B$2, TRUE(), IF(E442=Constants!$B$3, FALSE(), TRUE())))</f>
        <v/>
      </c>
      <c r="P442" s="62" t="str">
        <f aca="false">IF(ISBLANK($C442),"",IF(F442=Constants!$B$16,Constants!$B$9,IF(F442=Constants!$B$17,Constants!$B$10,Constants!$B$8)))</f>
        <v/>
      </c>
      <c r="Q442" s="62" t="str">
        <f aca="false">IF(ISBLANK($C442),"",IF(ISNUMBER(G442),IF(G442&gt;=0,G442,""),""))</f>
        <v/>
      </c>
      <c r="R442" s="62" t="str">
        <f aca="false">IF(ISBLANK($C442),"",IF(H442=Constants!$B$2, TRUE(), IF(H442=Constants!$B$3, FALSE(), TRUE())))</f>
        <v/>
      </c>
      <c r="S442" s="62" t="str">
        <f aca="false">IF(ISBLANK($C442),"",IF(I442=Constants!$B$2, TRUE(), IF(I442=Constants!$B$3, FALSE(), TRUE())))</f>
        <v/>
      </c>
      <c r="T442" s="62" t="str">
        <f aca="false">IF(ISBLANK($C442),"",IF(ISNUMBER(J442),IF(J442&gt;=0,J442,""),""))</f>
        <v/>
      </c>
      <c r="U442" s="62" t="str">
        <f aca="false">IF(ISBLANK($C442),"",IF(K442=Constants!$B$2, TRUE(), IF(K442=Constants!$B$3, FALSE(), TRUE())))</f>
        <v/>
      </c>
      <c r="V442" s="62" t="str">
        <f aca="false">IF(ISBLANK($C442),"",IF(L442=Constants!$B$2, TRUE(), IF(L442=Constants!$B$3, FALSE(), TRUE())))</f>
        <v/>
      </c>
      <c r="W442" s="62" t="str">
        <f aca="false">IF(ISBLANK($C442),"",IF(M442=Constants!$B$2, TRUE(), IF(M442=Constants!$B$3, FALSE(), FALSE())))</f>
        <v/>
      </c>
      <c r="X442" s="62" t="str">
        <f aca="false">IF(ISBLANK($C442),"",AND(Q442&lt;&gt;"",O442))</f>
        <v/>
      </c>
      <c r="Y442" s="62" t="str">
        <f aca="false">IF(ISBLANK($C442),"",AND(T442&lt;&gt;"",O442))</f>
        <v/>
      </c>
      <c r="Z442" s="62" t="str">
        <f aca="false">IF(ISBLANK($C442),"",IF(W442,Constants!$B$4,IF(COUNTA(E442:L442)=0,Constants!$B$5,IF(NOT(O442),Constants!$B$6,IF(AND(NOT(X442),NOT(Y442)),Constants!$B$6,Constants!$B$7)))))</f>
        <v/>
      </c>
      <c r="AA442" s="62" t="str">
        <f aca="false">IF(ISBLANK($C442),"",IF($Z442&lt;&gt;Constants!$B$7,$Z442,Constants!$B$20))</f>
        <v/>
      </c>
      <c r="AB442" s="62" t="str">
        <f aca="false">IF($Z442=Constants!$B$7,IF(X442,Q442,Constants!$B$13),"")</f>
        <v/>
      </c>
      <c r="AC442" s="62" t="str">
        <f aca="false">IF($Z442=Constants!$B$7,IF(X442,P442*IF(R442, 1, Constants!$B$11)*IF(S442, 1, Constants!$B$12),Constants!$B$13),"")</f>
        <v/>
      </c>
      <c r="AD442" s="62" t="str">
        <f aca="false">IF($Z442=Constants!$B$7,AB442*AC442,"")</f>
        <v/>
      </c>
      <c r="AE442" s="62" t="str">
        <f aca="false">IF($Z442=Constants!$B$7,IF(Y442,T442,Constants!$B$13),"")</f>
        <v/>
      </c>
      <c r="AF442" s="62" t="str">
        <f aca="false">IF($Z442=Constants!$B$7,IF(Y442,P442*IF(U442, 1, Constants!$B$11)*IF(V442, 1, Constants!$B$12),Constants!$B$13),"")</f>
        <v/>
      </c>
      <c r="AG442" s="62" t="str">
        <f aca="false">IF($Z442=Constants!$B$7,AE442*AF442,"")</f>
        <v/>
      </c>
      <c r="AH442" s="62" t="str">
        <f aca="false">IF($Z442=Constants!$B$7,IF(AG442&gt;AD442,2,1),"")</f>
        <v/>
      </c>
      <c r="AI442" s="62" t="str">
        <f aca="false">IF($Z442=Constants!$B$7,IF(AH442=1,2,1),"")</f>
        <v/>
      </c>
      <c r="AJ442" s="62" t="str">
        <f aca="false">IF(ISBLANK($C442),"",IF($Z442&lt;&gt;Constants!$B$7,$Z442,IF(AH442=1,AD442,AG442)))</f>
        <v/>
      </c>
      <c r="AK442" s="62" t="str">
        <f aca="false">IF(ISBLANK($C442),"",IF($Z442=Constants!$B$7,IF(ISNUMBER(AJ442),RANK(AJ442,$AJ$8:$AJ$507),Constants!$B$14),$Z442))</f>
        <v/>
      </c>
      <c r="AL442" s="62" t="str">
        <f aca="false">IF(ISBLANK($C442),"",IF($Z442=Constants!$B$7,IF(AI442=1,AD442,AG442),""))</f>
        <v/>
      </c>
      <c r="AM442" s="62" t="str">
        <f aca="false">IF(ISBLANK($C442),"",IF($Z442=Constants!$B$7,RANK(AL442,$AL$8:$AL$507),$Z442))</f>
        <v/>
      </c>
      <c r="AN442" s="62" t="str">
        <f aca="false">IF(ISBLANK($C442),"",IF($Z442=Constants!$B$7,IF(ISNUMBER(AK442),COUNTIFS($AK$8:$AK$507,"&lt;"&amp;$AK442)+COUNTIFS($AK$8:$AK$507,$AK442,$AM$8:$AM$507,"&lt;"&amp;$AM442)+1,Constants!$B$14),$Z442))</f>
        <v/>
      </c>
      <c r="AO442" s="62" t="str">
        <f aca="false">IF(ISBLANK($C442),"",IF($Z442=Constants!$B$7,IF(ISNUMBER(AK442),AK442-AN442,Constants!$B$14),$Z442))</f>
        <v/>
      </c>
      <c r="AP442" s="64"/>
      <c r="AQ442" s="65" t="str">
        <f aca="false">IF(ISBLANK($C442),"",IF($Z442&lt;&gt;Constants!$B$7,"",AH442))</f>
        <v/>
      </c>
      <c r="AR442" s="80" t="str">
        <f aca="false">IF(ISBLANK($C442),"",IF($Z442&lt;&gt;Constants!$B$7,"",IF(AH442=1,AB442,AE442)))</f>
        <v/>
      </c>
      <c r="AS442" s="67" t="str">
        <f aca="false">IF(ISBLANK($C442),"",IF($Z442&lt;&gt;Constants!$B$7,"",IF(AH442=1,AC442,AF442)))</f>
        <v/>
      </c>
      <c r="AT442" s="68" t="str">
        <f aca="false">IF(ISBLANK($C442),"",IF($Z442&lt;&gt;Constants!$B$7,$Z442,AJ442))</f>
        <v/>
      </c>
      <c r="AU442" s="69" t="str">
        <f aca="false">IF(ISBLANK($C442),"",IF($Z442&lt;&gt;Constants!$B$7,$Z442,AA442))</f>
        <v/>
      </c>
      <c r="AV442" s="70" t="str">
        <f aca="false">IF(ISBLANK($C442),"",AO442)</f>
        <v/>
      </c>
      <c r="AW442" s="70" t="str">
        <f aca="false">IF(ISBLANK($C442),"",AN442)</f>
        <v/>
      </c>
      <c r="AX442" s="71" t="str">
        <f aca="false">IF(ISBLANK($C442),"",IFERROR(_xlfn.SWITCH(AW442,Constants!$B$4,COUNTA($C$8:$C$507)+2,Constants!$B$5,COUNTA($C$8:$C$507)+1,Constants!$B$6,COUNTA($C$8:$C$507)),AW442))</f>
        <v/>
      </c>
      <c r="AY442" s="5"/>
      <c r="AZ442" s="72" t="n">
        <f aca="false">IF(OR(ISNUMBER(AW442),AW442=Constants!$B$4,AW442=Constants!$B$6,AW442=Constants!$B$5),1,0)</f>
        <v>0</v>
      </c>
      <c r="BA442" s="72" t="n">
        <v>435</v>
      </c>
      <c r="BB442" s="72" t="str">
        <f aca="false">IF(ISBLANK($C442),"",IF(ISNUMBER(AX442),AX442+ROW($B442)/1000,""))</f>
        <v/>
      </c>
      <c r="BC442" s="72" t="str">
        <f aca="false">IF(ISNUMBER(BB442),RANK(BB442,$BB$8:$BB$507,1),"")</f>
        <v/>
      </c>
      <c r="BD442" s="72" t="str">
        <f aca="false">IF(ISBLANK($C442),"",$B442)</f>
        <v/>
      </c>
      <c r="BE442" s="72" t="str">
        <f aca="false">IF(ISBLANK($C442),"",$C442)</f>
        <v/>
      </c>
      <c r="BF442" s="72" t="str">
        <f aca="false">IF(ISBLANK($C442),"",$D442)</f>
        <v/>
      </c>
      <c r="BG442" s="73" t="str">
        <f aca="false">AU442</f>
        <v/>
      </c>
      <c r="BH442" s="74" t="str">
        <f aca="false">AT442</f>
        <v/>
      </c>
      <c r="BI442" s="72" t="str">
        <f aca="false">IF(ISBLANK($C442),"",AW442)</f>
        <v/>
      </c>
      <c r="BJ442" s="75" t="str">
        <f aca="false">IF($BA442&gt;$AZ$7,"",VLOOKUP($BA442,$BC$8:$BI$507,7,FALSE()))</f>
        <v/>
      </c>
      <c r="BK442" s="76" t="str">
        <f aca="false">IF($BA442&gt;$AZ$7,"",VLOOKUP($BA442,$BC$8:$BI$507,2,FALSE()))</f>
        <v/>
      </c>
      <c r="BL442" s="76" t="str">
        <f aca="false">IF($BA442&gt;$AZ$7,"",VLOOKUP($BA442,$BC$8:$BI$507,3,FALSE()))</f>
        <v/>
      </c>
      <c r="BM442" s="76" t="str">
        <f aca="false">IF($BA442&gt;$AZ$7,"",VLOOKUP($BA442,$BC$8:$BI$507,4,FALSE()))</f>
        <v/>
      </c>
      <c r="BN442" s="76" t="str">
        <f aca="false">IF($BA442&gt;$AZ$7,"",VLOOKUP($BA442,$BC$8:$BI$507,5,FALSE()))</f>
        <v/>
      </c>
      <c r="BO442" s="77" t="str">
        <f aca="false">IF($BA442&gt;$AZ$7,"",VLOOKUP($BA442,$BC$8:$BI$507,6,FALSE()))</f>
        <v/>
      </c>
      <c r="BP442" s="52"/>
    </row>
    <row r="443" customFormat="false" ht="15.75" hidden="false" customHeight="false" outlineLevel="0" collapsed="false">
      <c r="A443" s="5"/>
      <c r="B443" s="114"/>
      <c r="C443" s="115"/>
      <c r="D443" s="106"/>
      <c r="E443" s="117"/>
      <c r="F443" s="87"/>
      <c r="G443" s="88"/>
      <c r="H443" s="88"/>
      <c r="I443" s="87"/>
      <c r="J443" s="88"/>
      <c r="K443" s="88"/>
      <c r="L443" s="87"/>
      <c r="M443" s="117"/>
      <c r="N443" s="90"/>
      <c r="O443" s="91" t="str">
        <f aca="false">IF(ISBLANK($C443),"",IF(E443=Constants!$B$2, TRUE(), IF(E443=Constants!$B$3, FALSE(), TRUE())))</f>
        <v/>
      </c>
      <c r="P443" s="91" t="str">
        <f aca="false">IF(ISBLANK($C443),"",IF(F443=Constants!$B$16,Constants!$B$9,IF(F443=Constants!$B$17,Constants!$B$10,Constants!$B$8)))</f>
        <v/>
      </c>
      <c r="Q443" s="91" t="str">
        <f aca="false">IF(ISBLANK($C443),"",IF(ISNUMBER(G443),IF(G443&gt;=0,G443,""),""))</f>
        <v/>
      </c>
      <c r="R443" s="91" t="str">
        <f aca="false">IF(ISBLANK($C443),"",IF(H443=Constants!$B$2, TRUE(), IF(H443=Constants!$B$3, FALSE(), TRUE())))</f>
        <v/>
      </c>
      <c r="S443" s="91" t="str">
        <f aca="false">IF(ISBLANK($C443),"",IF(I443=Constants!$B$2, TRUE(), IF(I443=Constants!$B$3, FALSE(), TRUE())))</f>
        <v/>
      </c>
      <c r="T443" s="91" t="str">
        <f aca="false">IF(ISBLANK($C443),"",IF(ISNUMBER(J443),IF(J443&gt;=0,J443,""),""))</f>
        <v/>
      </c>
      <c r="U443" s="91" t="str">
        <f aca="false">IF(ISBLANK($C443),"",IF(K443=Constants!$B$2, TRUE(), IF(K443=Constants!$B$3, FALSE(), TRUE())))</f>
        <v/>
      </c>
      <c r="V443" s="91" t="str">
        <f aca="false">IF(ISBLANK($C443),"",IF(L443=Constants!$B$2, TRUE(), IF(L443=Constants!$B$3, FALSE(), TRUE())))</f>
        <v/>
      </c>
      <c r="W443" s="91" t="str">
        <f aca="false">IF(ISBLANK($C443),"",IF(M443=Constants!$B$2, TRUE(), IF(M443=Constants!$B$3, FALSE(), FALSE())))</f>
        <v/>
      </c>
      <c r="X443" s="91" t="str">
        <f aca="false">IF(ISBLANK($C443),"",AND(Q443&lt;&gt;"",O443))</f>
        <v/>
      </c>
      <c r="Y443" s="91" t="str">
        <f aca="false">IF(ISBLANK($C443),"",AND(T443&lt;&gt;"",O443))</f>
        <v/>
      </c>
      <c r="Z443" s="91" t="str">
        <f aca="false">IF(ISBLANK($C443),"",IF(W443,Constants!$B$4,IF(COUNTA(E443:L443)=0,Constants!$B$5,IF(NOT(O443),Constants!$B$6,IF(AND(NOT(X443),NOT(Y443)),Constants!$B$6,Constants!$B$7)))))</f>
        <v/>
      </c>
      <c r="AA443" s="91" t="str">
        <f aca="false">IF(ISBLANK($C443),"",IF($Z443&lt;&gt;Constants!$B$7,$Z443,Constants!$B$20))</f>
        <v/>
      </c>
      <c r="AB443" s="91" t="str">
        <f aca="false">IF($Z443=Constants!$B$7,IF(X443,Q443,Constants!$B$13),"")</f>
        <v/>
      </c>
      <c r="AC443" s="91" t="str">
        <f aca="false">IF($Z443=Constants!$B$7,IF(X443,P443*IF(R443, 1, Constants!$B$11)*IF(S443, 1, Constants!$B$12),Constants!$B$13),"")</f>
        <v/>
      </c>
      <c r="AD443" s="91" t="str">
        <f aca="false">IF($Z443=Constants!$B$7,AB443*AC443,"")</f>
        <v/>
      </c>
      <c r="AE443" s="91" t="str">
        <f aca="false">IF($Z443=Constants!$B$7,IF(Y443,T443,Constants!$B$13),"")</f>
        <v/>
      </c>
      <c r="AF443" s="91" t="str">
        <f aca="false">IF($Z443=Constants!$B$7,IF(Y443,P443*IF(U443, 1, Constants!$B$11)*IF(V443, 1, Constants!$B$12),Constants!$B$13),"")</f>
        <v/>
      </c>
      <c r="AG443" s="91" t="str">
        <f aca="false">IF($Z443=Constants!$B$7,AE443*AF443,"")</f>
        <v/>
      </c>
      <c r="AH443" s="91" t="str">
        <f aca="false">IF($Z443=Constants!$B$7,IF(AG443&gt;AD443,2,1),"")</f>
        <v/>
      </c>
      <c r="AI443" s="91" t="str">
        <f aca="false">IF($Z443=Constants!$B$7,IF(AH443=1,2,1),"")</f>
        <v/>
      </c>
      <c r="AJ443" s="91" t="str">
        <f aca="false">IF(ISBLANK($C443),"",IF($Z443&lt;&gt;Constants!$B$7,$Z443,IF(AH443=1,AD443,AG443)))</f>
        <v/>
      </c>
      <c r="AK443" s="91" t="str">
        <f aca="false">IF(ISBLANK($C443),"",IF($Z443=Constants!$B$7,IF(ISNUMBER(AJ443),RANK(AJ443,$AJ$8:$AJ$507),Constants!$B$14),$Z443))</f>
        <v/>
      </c>
      <c r="AL443" s="91" t="str">
        <f aca="false">IF(ISBLANK($C443),"",IF($Z443=Constants!$B$7,IF(AI443=1,AD443,AG443),""))</f>
        <v/>
      </c>
      <c r="AM443" s="91" t="str">
        <f aca="false">IF(ISBLANK($C443),"",IF($Z443=Constants!$B$7,RANK(AL443,$AL$8:$AL$507),$Z443))</f>
        <v/>
      </c>
      <c r="AN443" s="91" t="str">
        <f aca="false">IF(ISBLANK($C443),"",IF($Z443=Constants!$B$7,IF(ISNUMBER(AK443),COUNTIFS($AK$8:$AK$507,"&lt;"&amp;$AK443)+COUNTIFS($AK$8:$AK$507,$AK443,$AM$8:$AM$507,"&lt;"&amp;$AM443)+1,Constants!$B$14),$Z443))</f>
        <v/>
      </c>
      <c r="AO443" s="91" t="str">
        <f aca="false">IF(ISBLANK($C443),"",IF($Z443=Constants!$B$7,IF(ISNUMBER(AK443),AK443-AN443,Constants!$B$14),$Z443))</f>
        <v/>
      </c>
      <c r="AP443" s="92"/>
      <c r="AQ443" s="93" t="str">
        <f aca="false">IF(ISBLANK($C443),"",IF($Z443&lt;&gt;Constants!$B$7,"",AH443))</f>
        <v/>
      </c>
      <c r="AR443" s="94" t="str">
        <f aca="false">IF(ISBLANK($C443),"",IF($Z443&lt;&gt;Constants!$B$7,"",IF(AH443=1,AB443,AE443)))</f>
        <v/>
      </c>
      <c r="AS443" s="95" t="str">
        <f aca="false">IF(ISBLANK($C443),"",IF($Z443&lt;&gt;Constants!$B$7,"",IF(AH443=1,AC443,AF443)))</f>
        <v/>
      </c>
      <c r="AT443" s="96" t="str">
        <f aca="false">IF(ISBLANK($C443),"",IF($Z443&lt;&gt;Constants!$B$7,$Z443,AJ443))</f>
        <v/>
      </c>
      <c r="AU443" s="97" t="str">
        <f aca="false">IF(ISBLANK($C443),"",IF($Z443&lt;&gt;Constants!$B$7,$Z443,AA443))</f>
        <v/>
      </c>
      <c r="AV443" s="98" t="str">
        <f aca="false">IF(ISBLANK($C443),"",AO443)</f>
        <v/>
      </c>
      <c r="AW443" s="98" t="str">
        <f aca="false">IF(ISBLANK($C443),"",AN443)</f>
        <v/>
      </c>
      <c r="AX443" s="99" t="str">
        <f aca="false">IF(ISBLANK($C443),"",IFERROR(_xlfn.SWITCH(AW443,Constants!$B$4,COUNTA($C$8:$C$507)+2,Constants!$B$5,COUNTA($C$8:$C$507)+1,Constants!$B$6,COUNTA($C$8:$C$507)),AW443))</f>
        <v/>
      </c>
      <c r="AY443" s="5"/>
      <c r="AZ443" s="100" t="n">
        <f aca="false">IF(OR(ISNUMBER(AW443),AW443=Constants!$B$4,AW443=Constants!$B$6,AW443=Constants!$B$5),1,0)</f>
        <v>0</v>
      </c>
      <c r="BA443" s="100" t="n">
        <v>436</v>
      </c>
      <c r="BB443" s="100" t="str">
        <f aca="false">IF(ISBLANK($C443),"",IF(ISNUMBER(AX443),AX443+ROW($B443)/1000,""))</f>
        <v/>
      </c>
      <c r="BC443" s="100" t="str">
        <f aca="false">IF(ISNUMBER(BB443),RANK(BB443,$BB$8:$BB$507,1),"")</f>
        <v/>
      </c>
      <c r="BD443" s="100" t="str">
        <f aca="false">IF(ISBLANK($C443),"",$B443)</f>
        <v/>
      </c>
      <c r="BE443" s="100" t="str">
        <f aca="false">IF(ISBLANK($C443),"",$C443)</f>
        <v/>
      </c>
      <c r="BF443" s="100" t="str">
        <f aca="false">IF(ISBLANK($C443),"",$D443)</f>
        <v/>
      </c>
      <c r="BG443" s="101" t="str">
        <f aca="false">AU443</f>
        <v/>
      </c>
      <c r="BH443" s="102" t="str">
        <f aca="false">AT443</f>
        <v/>
      </c>
      <c r="BI443" s="100" t="str">
        <f aca="false">IF(ISBLANK($C443),"",AW443)</f>
        <v/>
      </c>
      <c r="BJ443" s="103" t="str">
        <f aca="false">IF($BA443&gt;$AZ$7,"",VLOOKUP($BA443,$BC$8:$BI$507,7,FALSE()))</f>
        <v/>
      </c>
      <c r="BK443" s="104" t="str">
        <f aca="false">IF($BA443&gt;$AZ$7,"",VLOOKUP($BA443,$BC$8:$BI$507,2,FALSE()))</f>
        <v/>
      </c>
      <c r="BL443" s="104" t="str">
        <f aca="false">IF($BA443&gt;$AZ$7,"",VLOOKUP($BA443,$BC$8:$BI$507,3,FALSE()))</f>
        <v/>
      </c>
      <c r="BM443" s="104" t="str">
        <f aca="false">IF($BA443&gt;$AZ$7,"",VLOOKUP($BA443,$BC$8:$BI$507,4,FALSE()))</f>
        <v/>
      </c>
      <c r="BN443" s="104" t="str">
        <f aca="false">IF($BA443&gt;$AZ$7,"",VLOOKUP($BA443,$BC$8:$BI$507,5,FALSE()))</f>
        <v/>
      </c>
      <c r="BO443" s="105" t="str">
        <f aca="false">IF($BA443&gt;$AZ$7,"",VLOOKUP($BA443,$BC$8:$BI$507,6,FALSE()))</f>
        <v/>
      </c>
      <c r="BP443" s="52"/>
    </row>
    <row r="444" customFormat="false" ht="15.75" hidden="false" customHeight="false" outlineLevel="0" collapsed="false">
      <c r="A444" s="5"/>
      <c r="B444" s="114"/>
      <c r="C444" s="115"/>
      <c r="D444" s="106"/>
      <c r="E444" s="117"/>
      <c r="F444" s="87"/>
      <c r="G444" s="88"/>
      <c r="H444" s="88"/>
      <c r="I444" s="87"/>
      <c r="J444" s="88"/>
      <c r="K444" s="88"/>
      <c r="L444" s="87"/>
      <c r="M444" s="117"/>
      <c r="N444" s="90"/>
      <c r="O444" s="91" t="str">
        <f aca="false">IF(ISBLANK($C444),"",IF(E444=Constants!$B$2, TRUE(), IF(E444=Constants!$B$3, FALSE(), TRUE())))</f>
        <v/>
      </c>
      <c r="P444" s="91" t="str">
        <f aca="false">IF(ISBLANK($C444),"",IF(F444=Constants!$B$16,Constants!$B$9,IF(F444=Constants!$B$17,Constants!$B$10,Constants!$B$8)))</f>
        <v/>
      </c>
      <c r="Q444" s="91" t="str">
        <f aca="false">IF(ISBLANK($C444),"",IF(ISNUMBER(G444),IF(G444&gt;=0,G444,""),""))</f>
        <v/>
      </c>
      <c r="R444" s="91" t="str">
        <f aca="false">IF(ISBLANK($C444),"",IF(H444=Constants!$B$2, TRUE(), IF(H444=Constants!$B$3, FALSE(), TRUE())))</f>
        <v/>
      </c>
      <c r="S444" s="91" t="str">
        <f aca="false">IF(ISBLANK($C444),"",IF(I444=Constants!$B$2, TRUE(), IF(I444=Constants!$B$3, FALSE(), TRUE())))</f>
        <v/>
      </c>
      <c r="T444" s="91" t="str">
        <f aca="false">IF(ISBLANK($C444),"",IF(ISNUMBER(J444),IF(J444&gt;=0,J444,""),""))</f>
        <v/>
      </c>
      <c r="U444" s="91" t="str">
        <f aca="false">IF(ISBLANK($C444),"",IF(K444=Constants!$B$2, TRUE(), IF(K444=Constants!$B$3, FALSE(), TRUE())))</f>
        <v/>
      </c>
      <c r="V444" s="91" t="str">
        <f aca="false">IF(ISBLANK($C444),"",IF(L444=Constants!$B$2, TRUE(), IF(L444=Constants!$B$3, FALSE(), TRUE())))</f>
        <v/>
      </c>
      <c r="W444" s="91" t="str">
        <f aca="false">IF(ISBLANK($C444),"",IF(M444=Constants!$B$2, TRUE(), IF(M444=Constants!$B$3, FALSE(), FALSE())))</f>
        <v/>
      </c>
      <c r="X444" s="91" t="str">
        <f aca="false">IF(ISBLANK($C444),"",AND(Q444&lt;&gt;"",O444))</f>
        <v/>
      </c>
      <c r="Y444" s="91" t="str">
        <f aca="false">IF(ISBLANK($C444),"",AND(T444&lt;&gt;"",O444))</f>
        <v/>
      </c>
      <c r="Z444" s="91" t="str">
        <f aca="false">IF(ISBLANK($C444),"",IF(W444,Constants!$B$4,IF(COUNTA(E444:L444)=0,Constants!$B$5,IF(NOT(O444),Constants!$B$6,IF(AND(NOT(X444),NOT(Y444)),Constants!$B$6,Constants!$B$7)))))</f>
        <v/>
      </c>
      <c r="AA444" s="91" t="str">
        <f aca="false">IF(ISBLANK($C444),"",IF($Z444&lt;&gt;Constants!$B$7,$Z444,Constants!$B$20))</f>
        <v/>
      </c>
      <c r="AB444" s="91" t="str">
        <f aca="false">IF($Z444=Constants!$B$7,IF(X444,Q444,Constants!$B$13),"")</f>
        <v/>
      </c>
      <c r="AC444" s="91" t="str">
        <f aca="false">IF($Z444=Constants!$B$7,IF(X444,P444*IF(R444, 1, Constants!$B$11)*IF(S444, 1, Constants!$B$12),Constants!$B$13),"")</f>
        <v/>
      </c>
      <c r="AD444" s="91" t="str">
        <f aca="false">IF($Z444=Constants!$B$7,AB444*AC444,"")</f>
        <v/>
      </c>
      <c r="AE444" s="91" t="str">
        <f aca="false">IF($Z444=Constants!$B$7,IF(Y444,T444,Constants!$B$13),"")</f>
        <v/>
      </c>
      <c r="AF444" s="91" t="str">
        <f aca="false">IF($Z444=Constants!$B$7,IF(Y444,P444*IF(U444, 1, Constants!$B$11)*IF(V444, 1, Constants!$B$12),Constants!$B$13),"")</f>
        <v/>
      </c>
      <c r="AG444" s="91" t="str">
        <f aca="false">IF($Z444=Constants!$B$7,AE444*AF444,"")</f>
        <v/>
      </c>
      <c r="AH444" s="91" t="str">
        <f aca="false">IF($Z444=Constants!$B$7,IF(AG444&gt;AD444,2,1),"")</f>
        <v/>
      </c>
      <c r="AI444" s="91" t="str">
        <f aca="false">IF($Z444=Constants!$B$7,IF(AH444=1,2,1),"")</f>
        <v/>
      </c>
      <c r="AJ444" s="91" t="str">
        <f aca="false">IF(ISBLANK($C444),"",IF($Z444&lt;&gt;Constants!$B$7,$Z444,IF(AH444=1,AD444,AG444)))</f>
        <v/>
      </c>
      <c r="AK444" s="91" t="str">
        <f aca="false">IF(ISBLANK($C444),"",IF($Z444=Constants!$B$7,IF(ISNUMBER(AJ444),RANK(AJ444,$AJ$8:$AJ$507),Constants!$B$14),$Z444))</f>
        <v/>
      </c>
      <c r="AL444" s="91" t="str">
        <f aca="false">IF(ISBLANK($C444),"",IF($Z444=Constants!$B$7,IF(AI444=1,AD444,AG444),""))</f>
        <v/>
      </c>
      <c r="AM444" s="91" t="str">
        <f aca="false">IF(ISBLANK($C444),"",IF($Z444=Constants!$B$7,RANK(AL444,$AL$8:$AL$507),$Z444))</f>
        <v/>
      </c>
      <c r="AN444" s="91" t="str">
        <f aca="false">IF(ISBLANK($C444),"",IF($Z444=Constants!$B$7,IF(ISNUMBER(AK444),COUNTIFS($AK$8:$AK$507,"&lt;"&amp;$AK444)+COUNTIFS($AK$8:$AK$507,$AK444,$AM$8:$AM$507,"&lt;"&amp;$AM444)+1,Constants!$B$14),$Z444))</f>
        <v/>
      </c>
      <c r="AO444" s="91" t="str">
        <f aca="false">IF(ISBLANK($C444),"",IF($Z444=Constants!$B$7,IF(ISNUMBER(AK444),AK444-AN444,Constants!$B$14),$Z444))</f>
        <v/>
      </c>
      <c r="AP444" s="92"/>
      <c r="AQ444" s="93" t="str">
        <f aca="false">IF(ISBLANK($C444),"",IF($Z444&lt;&gt;Constants!$B$7,"",AH444))</f>
        <v/>
      </c>
      <c r="AR444" s="94" t="str">
        <f aca="false">IF(ISBLANK($C444),"",IF($Z444&lt;&gt;Constants!$B$7,"",IF(AH444=1,AB444,AE444)))</f>
        <v/>
      </c>
      <c r="AS444" s="95" t="str">
        <f aca="false">IF(ISBLANK($C444),"",IF($Z444&lt;&gt;Constants!$B$7,"",IF(AH444=1,AC444,AF444)))</f>
        <v/>
      </c>
      <c r="AT444" s="96" t="str">
        <f aca="false">IF(ISBLANK($C444),"",IF($Z444&lt;&gt;Constants!$B$7,$Z444,AJ444))</f>
        <v/>
      </c>
      <c r="AU444" s="97" t="str">
        <f aca="false">IF(ISBLANK($C444),"",IF($Z444&lt;&gt;Constants!$B$7,$Z444,AA444))</f>
        <v/>
      </c>
      <c r="AV444" s="98" t="str">
        <f aca="false">IF(ISBLANK($C444),"",AO444)</f>
        <v/>
      </c>
      <c r="AW444" s="98" t="str">
        <f aca="false">IF(ISBLANK($C444),"",AN444)</f>
        <v/>
      </c>
      <c r="AX444" s="99" t="str">
        <f aca="false">IF(ISBLANK($C444),"",IFERROR(_xlfn.SWITCH(AW444,Constants!$B$4,COUNTA($C$8:$C$507)+2,Constants!$B$5,COUNTA($C$8:$C$507)+1,Constants!$B$6,COUNTA($C$8:$C$507)),AW444))</f>
        <v/>
      </c>
      <c r="AY444" s="5"/>
      <c r="AZ444" s="100" t="n">
        <f aca="false">IF(OR(ISNUMBER(AW444),AW444=Constants!$B$4,AW444=Constants!$B$6,AW444=Constants!$B$5),1,0)</f>
        <v>0</v>
      </c>
      <c r="BA444" s="100" t="n">
        <v>437</v>
      </c>
      <c r="BB444" s="100" t="str">
        <f aca="false">IF(ISBLANK($C444),"",IF(ISNUMBER(AX444),AX444+ROW($B444)/1000,""))</f>
        <v/>
      </c>
      <c r="BC444" s="100" t="str">
        <f aca="false">IF(ISNUMBER(BB444),RANK(BB444,$BB$8:$BB$507,1),"")</f>
        <v/>
      </c>
      <c r="BD444" s="100" t="str">
        <f aca="false">IF(ISBLANK($C444),"",$B444)</f>
        <v/>
      </c>
      <c r="BE444" s="100" t="str">
        <f aca="false">IF(ISBLANK($C444),"",$C444)</f>
        <v/>
      </c>
      <c r="BF444" s="100" t="str">
        <f aca="false">IF(ISBLANK($C444),"",$D444)</f>
        <v/>
      </c>
      <c r="BG444" s="101" t="str">
        <f aca="false">AU444</f>
        <v/>
      </c>
      <c r="BH444" s="102" t="str">
        <f aca="false">AT444</f>
        <v/>
      </c>
      <c r="BI444" s="100" t="str">
        <f aca="false">IF(ISBLANK($C444),"",AW444)</f>
        <v/>
      </c>
      <c r="BJ444" s="103" t="str">
        <f aca="false">IF($BA444&gt;$AZ$7,"",VLOOKUP($BA444,$BC$8:$BI$507,7,FALSE()))</f>
        <v/>
      </c>
      <c r="BK444" s="104" t="str">
        <f aca="false">IF($BA444&gt;$AZ$7,"",VLOOKUP($BA444,$BC$8:$BI$507,2,FALSE()))</f>
        <v/>
      </c>
      <c r="BL444" s="104" t="str">
        <f aca="false">IF($BA444&gt;$AZ$7,"",VLOOKUP($BA444,$BC$8:$BI$507,3,FALSE()))</f>
        <v/>
      </c>
      <c r="BM444" s="104" t="str">
        <f aca="false">IF($BA444&gt;$AZ$7,"",VLOOKUP($BA444,$BC$8:$BI$507,4,FALSE()))</f>
        <v/>
      </c>
      <c r="BN444" s="104" t="str">
        <f aca="false">IF($BA444&gt;$AZ$7,"",VLOOKUP($BA444,$BC$8:$BI$507,5,FALSE()))</f>
        <v/>
      </c>
      <c r="BO444" s="105" t="str">
        <f aca="false">IF($BA444&gt;$AZ$7,"",VLOOKUP($BA444,$BC$8:$BI$507,6,FALSE()))</f>
        <v/>
      </c>
      <c r="BP444" s="52"/>
    </row>
    <row r="445" customFormat="false" ht="15.75" hidden="false" customHeight="false" outlineLevel="0" collapsed="false">
      <c r="A445" s="5"/>
      <c r="B445" s="114"/>
      <c r="C445" s="115"/>
      <c r="D445" s="106"/>
      <c r="E445" s="117"/>
      <c r="F445" s="87"/>
      <c r="G445" s="88"/>
      <c r="H445" s="88"/>
      <c r="I445" s="87"/>
      <c r="J445" s="88"/>
      <c r="K445" s="88"/>
      <c r="L445" s="87"/>
      <c r="M445" s="117"/>
      <c r="N445" s="90"/>
      <c r="O445" s="91" t="str">
        <f aca="false">IF(ISBLANK($C445),"",IF(E445=Constants!$B$2, TRUE(), IF(E445=Constants!$B$3, FALSE(), TRUE())))</f>
        <v/>
      </c>
      <c r="P445" s="91" t="str">
        <f aca="false">IF(ISBLANK($C445),"",IF(F445=Constants!$B$16,Constants!$B$9,IF(F445=Constants!$B$17,Constants!$B$10,Constants!$B$8)))</f>
        <v/>
      </c>
      <c r="Q445" s="91" t="str">
        <f aca="false">IF(ISBLANK($C445),"",IF(ISNUMBER(G445),IF(G445&gt;=0,G445,""),""))</f>
        <v/>
      </c>
      <c r="R445" s="91" t="str">
        <f aca="false">IF(ISBLANK($C445),"",IF(H445=Constants!$B$2, TRUE(), IF(H445=Constants!$B$3, FALSE(), TRUE())))</f>
        <v/>
      </c>
      <c r="S445" s="91" t="str">
        <f aca="false">IF(ISBLANK($C445),"",IF(I445=Constants!$B$2, TRUE(), IF(I445=Constants!$B$3, FALSE(), TRUE())))</f>
        <v/>
      </c>
      <c r="T445" s="91" t="str">
        <f aca="false">IF(ISBLANK($C445),"",IF(ISNUMBER(J445),IF(J445&gt;=0,J445,""),""))</f>
        <v/>
      </c>
      <c r="U445" s="91" t="str">
        <f aca="false">IF(ISBLANK($C445),"",IF(K445=Constants!$B$2, TRUE(), IF(K445=Constants!$B$3, FALSE(), TRUE())))</f>
        <v/>
      </c>
      <c r="V445" s="91" t="str">
        <f aca="false">IF(ISBLANK($C445),"",IF(L445=Constants!$B$2, TRUE(), IF(L445=Constants!$B$3, FALSE(), TRUE())))</f>
        <v/>
      </c>
      <c r="W445" s="91" t="str">
        <f aca="false">IF(ISBLANK($C445),"",IF(M445=Constants!$B$2, TRUE(), IF(M445=Constants!$B$3, FALSE(), FALSE())))</f>
        <v/>
      </c>
      <c r="X445" s="91" t="str">
        <f aca="false">IF(ISBLANK($C445),"",AND(Q445&lt;&gt;"",O445))</f>
        <v/>
      </c>
      <c r="Y445" s="91" t="str">
        <f aca="false">IF(ISBLANK($C445),"",AND(T445&lt;&gt;"",O445))</f>
        <v/>
      </c>
      <c r="Z445" s="91" t="str">
        <f aca="false">IF(ISBLANK($C445),"",IF(W445,Constants!$B$4,IF(COUNTA(E445:L445)=0,Constants!$B$5,IF(NOT(O445),Constants!$B$6,IF(AND(NOT(X445),NOT(Y445)),Constants!$B$6,Constants!$B$7)))))</f>
        <v/>
      </c>
      <c r="AA445" s="91" t="str">
        <f aca="false">IF(ISBLANK($C445),"",IF($Z445&lt;&gt;Constants!$B$7,$Z445,Constants!$B$20))</f>
        <v/>
      </c>
      <c r="AB445" s="91" t="str">
        <f aca="false">IF($Z445=Constants!$B$7,IF(X445,Q445,Constants!$B$13),"")</f>
        <v/>
      </c>
      <c r="AC445" s="91" t="str">
        <f aca="false">IF($Z445=Constants!$B$7,IF(X445,P445*IF(R445, 1, Constants!$B$11)*IF(S445, 1, Constants!$B$12),Constants!$B$13),"")</f>
        <v/>
      </c>
      <c r="AD445" s="91" t="str">
        <f aca="false">IF($Z445=Constants!$B$7,AB445*AC445,"")</f>
        <v/>
      </c>
      <c r="AE445" s="91" t="str">
        <f aca="false">IF($Z445=Constants!$B$7,IF(Y445,T445,Constants!$B$13),"")</f>
        <v/>
      </c>
      <c r="AF445" s="91" t="str">
        <f aca="false">IF($Z445=Constants!$B$7,IF(Y445,P445*IF(U445, 1, Constants!$B$11)*IF(V445, 1, Constants!$B$12),Constants!$B$13),"")</f>
        <v/>
      </c>
      <c r="AG445" s="91" t="str">
        <f aca="false">IF($Z445=Constants!$B$7,AE445*AF445,"")</f>
        <v/>
      </c>
      <c r="AH445" s="91" t="str">
        <f aca="false">IF($Z445=Constants!$B$7,IF(AG445&gt;AD445,2,1),"")</f>
        <v/>
      </c>
      <c r="AI445" s="91" t="str">
        <f aca="false">IF($Z445=Constants!$B$7,IF(AH445=1,2,1),"")</f>
        <v/>
      </c>
      <c r="AJ445" s="91" t="str">
        <f aca="false">IF(ISBLANK($C445),"",IF($Z445&lt;&gt;Constants!$B$7,$Z445,IF(AH445=1,AD445,AG445)))</f>
        <v/>
      </c>
      <c r="AK445" s="91" t="str">
        <f aca="false">IF(ISBLANK($C445),"",IF($Z445=Constants!$B$7,IF(ISNUMBER(AJ445),RANK(AJ445,$AJ$8:$AJ$507),Constants!$B$14),$Z445))</f>
        <v/>
      </c>
      <c r="AL445" s="91" t="str">
        <f aca="false">IF(ISBLANK($C445),"",IF($Z445=Constants!$B$7,IF(AI445=1,AD445,AG445),""))</f>
        <v/>
      </c>
      <c r="AM445" s="91" t="str">
        <f aca="false">IF(ISBLANK($C445),"",IF($Z445=Constants!$B$7,RANK(AL445,$AL$8:$AL$507),$Z445))</f>
        <v/>
      </c>
      <c r="AN445" s="91" t="str">
        <f aca="false">IF(ISBLANK($C445),"",IF($Z445=Constants!$B$7,IF(ISNUMBER(AK445),COUNTIFS($AK$8:$AK$507,"&lt;"&amp;$AK445)+COUNTIFS($AK$8:$AK$507,$AK445,$AM$8:$AM$507,"&lt;"&amp;$AM445)+1,Constants!$B$14),$Z445))</f>
        <v/>
      </c>
      <c r="AO445" s="91" t="str">
        <f aca="false">IF(ISBLANK($C445),"",IF($Z445=Constants!$B$7,IF(ISNUMBER(AK445),AK445-AN445,Constants!$B$14),$Z445))</f>
        <v/>
      </c>
      <c r="AP445" s="92"/>
      <c r="AQ445" s="93" t="str">
        <f aca="false">IF(ISBLANK($C445),"",IF($Z445&lt;&gt;Constants!$B$7,"",AH445))</f>
        <v/>
      </c>
      <c r="AR445" s="94" t="str">
        <f aca="false">IF(ISBLANK($C445),"",IF($Z445&lt;&gt;Constants!$B$7,"",IF(AH445=1,AB445,AE445)))</f>
        <v/>
      </c>
      <c r="AS445" s="95" t="str">
        <f aca="false">IF(ISBLANK($C445),"",IF($Z445&lt;&gt;Constants!$B$7,"",IF(AH445=1,AC445,AF445)))</f>
        <v/>
      </c>
      <c r="AT445" s="96" t="str">
        <f aca="false">IF(ISBLANK($C445),"",IF($Z445&lt;&gt;Constants!$B$7,$Z445,AJ445))</f>
        <v/>
      </c>
      <c r="AU445" s="97" t="str">
        <f aca="false">IF(ISBLANK($C445),"",IF($Z445&lt;&gt;Constants!$B$7,$Z445,AA445))</f>
        <v/>
      </c>
      <c r="AV445" s="98" t="str">
        <f aca="false">IF(ISBLANK($C445),"",AO445)</f>
        <v/>
      </c>
      <c r="AW445" s="98" t="str">
        <f aca="false">IF(ISBLANK($C445),"",AN445)</f>
        <v/>
      </c>
      <c r="AX445" s="99" t="str">
        <f aca="false">IF(ISBLANK($C445),"",IFERROR(_xlfn.SWITCH(AW445,Constants!$B$4,COUNTA($C$8:$C$507)+2,Constants!$B$5,COUNTA($C$8:$C$507)+1,Constants!$B$6,COUNTA($C$8:$C$507)),AW445))</f>
        <v/>
      </c>
      <c r="AY445" s="5"/>
      <c r="AZ445" s="100" t="n">
        <f aca="false">IF(OR(ISNUMBER(AW445),AW445=Constants!$B$4,AW445=Constants!$B$6,AW445=Constants!$B$5),1,0)</f>
        <v>0</v>
      </c>
      <c r="BA445" s="100" t="n">
        <v>438</v>
      </c>
      <c r="BB445" s="100" t="str">
        <f aca="false">IF(ISBLANK($C445),"",IF(ISNUMBER(AX445),AX445+ROW($B445)/1000,""))</f>
        <v/>
      </c>
      <c r="BC445" s="100" t="str">
        <f aca="false">IF(ISNUMBER(BB445),RANK(BB445,$BB$8:$BB$507,1),"")</f>
        <v/>
      </c>
      <c r="BD445" s="100" t="str">
        <f aca="false">IF(ISBLANK($C445),"",$B445)</f>
        <v/>
      </c>
      <c r="BE445" s="100" t="str">
        <f aca="false">IF(ISBLANK($C445),"",$C445)</f>
        <v/>
      </c>
      <c r="BF445" s="100" t="str">
        <f aca="false">IF(ISBLANK($C445),"",$D445)</f>
        <v/>
      </c>
      <c r="BG445" s="101" t="str">
        <f aca="false">AU445</f>
        <v/>
      </c>
      <c r="BH445" s="102" t="str">
        <f aca="false">AT445</f>
        <v/>
      </c>
      <c r="BI445" s="100" t="str">
        <f aca="false">IF(ISBLANK($C445),"",AW445)</f>
        <v/>
      </c>
      <c r="BJ445" s="103" t="str">
        <f aca="false">IF($BA445&gt;$AZ$7,"",VLOOKUP($BA445,$BC$8:$BI$507,7,FALSE()))</f>
        <v/>
      </c>
      <c r="BK445" s="104" t="str">
        <f aca="false">IF($BA445&gt;$AZ$7,"",VLOOKUP($BA445,$BC$8:$BI$507,2,FALSE()))</f>
        <v/>
      </c>
      <c r="BL445" s="104" t="str">
        <f aca="false">IF($BA445&gt;$AZ$7,"",VLOOKUP($BA445,$BC$8:$BI$507,3,FALSE()))</f>
        <v/>
      </c>
      <c r="BM445" s="104" t="str">
        <f aca="false">IF($BA445&gt;$AZ$7,"",VLOOKUP($BA445,$BC$8:$BI$507,4,FALSE()))</f>
        <v/>
      </c>
      <c r="BN445" s="104" t="str">
        <f aca="false">IF($BA445&gt;$AZ$7,"",VLOOKUP($BA445,$BC$8:$BI$507,5,FALSE()))</f>
        <v/>
      </c>
      <c r="BO445" s="105" t="str">
        <f aca="false">IF($BA445&gt;$AZ$7,"",VLOOKUP($BA445,$BC$8:$BI$507,6,FALSE()))</f>
        <v/>
      </c>
      <c r="BP445" s="52"/>
    </row>
    <row r="446" customFormat="false" ht="15.75" hidden="false" customHeight="false" outlineLevel="0" collapsed="false">
      <c r="A446" s="5"/>
      <c r="B446" s="118"/>
      <c r="C446" s="54"/>
      <c r="D446" s="55"/>
      <c r="E446" s="79"/>
      <c r="F446" s="57"/>
      <c r="G446" s="58"/>
      <c r="H446" s="58"/>
      <c r="I446" s="57"/>
      <c r="J446" s="58"/>
      <c r="K446" s="58"/>
      <c r="L446" s="57"/>
      <c r="M446" s="79"/>
      <c r="N446" s="60"/>
      <c r="O446" s="62" t="str">
        <f aca="false">IF(ISBLANK($C446),"",IF(E446=Constants!$B$2, TRUE(), IF(E446=Constants!$B$3, FALSE(), TRUE())))</f>
        <v/>
      </c>
      <c r="P446" s="62" t="str">
        <f aca="false">IF(ISBLANK($C446),"",IF(F446=Constants!$B$16,Constants!$B$9,IF(F446=Constants!$B$17,Constants!$B$10,Constants!$B$8)))</f>
        <v/>
      </c>
      <c r="Q446" s="62" t="str">
        <f aca="false">IF(ISBLANK($C446),"",IF(ISNUMBER(G446),IF(G446&gt;=0,G446,""),""))</f>
        <v/>
      </c>
      <c r="R446" s="62" t="str">
        <f aca="false">IF(ISBLANK($C446),"",IF(H446=Constants!$B$2, TRUE(), IF(H446=Constants!$B$3, FALSE(), TRUE())))</f>
        <v/>
      </c>
      <c r="S446" s="62" t="str">
        <f aca="false">IF(ISBLANK($C446),"",IF(I446=Constants!$B$2, TRUE(), IF(I446=Constants!$B$3, FALSE(), TRUE())))</f>
        <v/>
      </c>
      <c r="T446" s="62" t="str">
        <f aca="false">IF(ISBLANK($C446),"",IF(ISNUMBER(J446),IF(J446&gt;=0,J446,""),""))</f>
        <v/>
      </c>
      <c r="U446" s="62" t="str">
        <f aca="false">IF(ISBLANK($C446),"",IF(K446=Constants!$B$2, TRUE(), IF(K446=Constants!$B$3, FALSE(), TRUE())))</f>
        <v/>
      </c>
      <c r="V446" s="62" t="str">
        <f aca="false">IF(ISBLANK($C446),"",IF(L446=Constants!$B$2, TRUE(), IF(L446=Constants!$B$3, FALSE(), TRUE())))</f>
        <v/>
      </c>
      <c r="W446" s="62" t="str">
        <f aca="false">IF(ISBLANK($C446),"",IF(M446=Constants!$B$2, TRUE(), IF(M446=Constants!$B$3, FALSE(), FALSE())))</f>
        <v/>
      </c>
      <c r="X446" s="62" t="str">
        <f aca="false">IF(ISBLANK($C446),"",AND(Q446&lt;&gt;"",O446))</f>
        <v/>
      </c>
      <c r="Y446" s="62" t="str">
        <f aca="false">IF(ISBLANK($C446),"",AND(T446&lt;&gt;"",O446))</f>
        <v/>
      </c>
      <c r="Z446" s="62" t="str">
        <f aca="false">IF(ISBLANK($C446),"",IF(W446,Constants!$B$4,IF(COUNTA(E446:L446)=0,Constants!$B$5,IF(NOT(O446),Constants!$B$6,IF(AND(NOT(X446),NOT(Y446)),Constants!$B$6,Constants!$B$7)))))</f>
        <v/>
      </c>
      <c r="AA446" s="62" t="str">
        <f aca="false">IF(ISBLANK($C446),"",IF($Z446&lt;&gt;Constants!$B$7,$Z446,Constants!$B$20))</f>
        <v/>
      </c>
      <c r="AB446" s="62" t="str">
        <f aca="false">IF($Z446=Constants!$B$7,IF(X446,Q446,Constants!$B$13),"")</f>
        <v/>
      </c>
      <c r="AC446" s="62" t="str">
        <f aca="false">IF($Z446=Constants!$B$7,IF(X446,P446*IF(R446, 1, Constants!$B$11)*IF(S446, 1, Constants!$B$12),Constants!$B$13),"")</f>
        <v/>
      </c>
      <c r="AD446" s="62" t="str">
        <f aca="false">IF($Z446=Constants!$B$7,AB446*AC446,"")</f>
        <v/>
      </c>
      <c r="AE446" s="62" t="str">
        <f aca="false">IF($Z446=Constants!$B$7,IF(Y446,T446,Constants!$B$13),"")</f>
        <v/>
      </c>
      <c r="AF446" s="62" t="str">
        <f aca="false">IF($Z446=Constants!$B$7,IF(Y446,P446*IF(U446, 1, Constants!$B$11)*IF(V446, 1, Constants!$B$12),Constants!$B$13),"")</f>
        <v/>
      </c>
      <c r="AG446" s="62" t="str">
        <f aca="false">IF($Z446=Constants!$B$7,AE446*AF446,"")</f>
        <v/>
      </c>
      <c r="AH446" s="62" t="str">
        <f aca="false">IF($Z446=Constants!$B$7,IF(AG446&gt;AD446,2,1),"")</f>
        <v/>
      </c>
      <c r="AI446" s="62" t="str">
        <f aca="false">IF($Z446=Constants!$B$7,IF(AH446=1,2,1),"")</f>
        <v/>
      </c>
      <c r="AJ446" s="62" t="str">
        <f aca="false">IF(ISBLANK($C446),"",IF($Z446&lt;&gt;Constants!$B$7,$Z446,IF(AH446=1,AD446,AG446)))</f>
        <v/>
      </c>
      <c r="AK446" s="62" t="str">
        <f aca="false">IF(ISBLANK($C446),"",IF($Z446=Constants!$B$7,IF(ISNUMBER(AJ446),RANK(AJ446,$AJ$8:$AJ$507),Constants!$B$14),$Z446))</f>
        <v/>
      </c>
      <c r="AL446" s="62" t="str">
        <f aca="false">IF(ISBLANK($C446),"",IF($Z446=Constants!$B$7,IF(AI446=1,AD446,AG446),""))</f>
        <v/>
      </c>
      <c r="AM446" s="62" t="str">
        <f aca="false">IF(ISBLANK($C446),"",IF($Z446=Constants!$B$7,RANK(AL446,$AL$8:$AL$507),$Z446))</f>
        <v/>
      </c>
      <c r="AN446" s="62" t="str">
        <f aca="false">IF(ISBLANK($C446),"",IF($Z446=Constants!$B$7,IF(ISNUMBER(AK446),COUNTIFS($AK$8:$AK$507,"&lt;"&amp;$AK446)+COUNTIFS($AK$8:$AK$507,$AK446,$AM$8:$AM$507,"&lt;"&amp;$AM446)+1,Constants!$B$14),$Z446))</f>
        <v/>
      </c>
      <c r="AO446" s="62" t="str">
        <f aca="false">IF(ISBLANK($C446),"",IF($Z446=Constants!$B$7,IF(ISNUMBER(AK446),AK446-AN446,Constants!$B$14),$Z446))</f>
        <v/>
      </c>
      <c r="AP446" s="64"/>
      <c r="AQ446" s="65" t="str">
        <f aca="false">IF(ISBLANK($C446),"",IF($Z446&lt;&gt;Constants!$B$7,"",AH446))</f>
        <v/>
      </c>
      <c r="AR446" s="80" t="str">
        <f aca="false">IF(ISBLANK($C446),"",IF($Z446&lt;&gt;Constants!$B$7,"",IF(AH446=1,AB446,AE446)))</f>
        <v/>
      </c>
      <c r="AS446" s="67" t="str">
        <f aca="false">IF(ISBLANK($C446),"",IF($Z446&lt;&gt;Constants!$B$7,"",IF(AH446=1,AC446,AF446)))</f>
        <v/>
      </c>
      <c r="AT446" s="68" t="str">
        <f aca="false">IF(ISBLANK($C446),"",IF($Z446&lt;&gt;Constants!$B$7,$Z446,AJ446))</f>
        <v/>
      </c>
      <c r="AU446" s="69" t="str">
        <f aca="false">IF(ISBLANK($C446),"",IF($Z446&lt;&gt;Constants!$B$7,$Z446,AA446))</f>
        <v/>
      </c>
      <c r="AV446" s="70" t="str">
        <f aca="false">IF(ISBLANK($C446),"",AO446)</f>
        <v/>
      </c>
      <c r="AW446" s="70" t="str">
        <f aca="false">IF(ISBLANK($C446),"",AN446)</f>
        <v/>
      </c>
      <c r="AX446" s="71" t="str">
        <f aca="false">IF(ISBLANK($C446),"",IFERROR(_xlfn.SWITCH(AW446,Constants!$B$4,COUNTA($C$8:$C$507)+2,Constants!$B$5,COUNTA($C$8:$C$507)+1,Constants!$B$6,COUNTA($C$8:$C$507)),AW446))</f>
        <v/>
      </c>
      <c r="AY446" s="5"/>
      <c r="AZ446" s="72" t="n">
        <f aca="false">IF(OR(ISNUMBER(AW446),AW446=Constants!$B$4,AW446=Constants!$B$6,AW446=Constants!$B$5),1,0)</f>
        <v>0</v>
      </c>
      <c r="BA446" s="72" t="n">
        <v>439</v>
      </c>
      <c r="BB446" s="72" t="str">
        <f aca="false">IF(ISBLANK($C446),"",IF(ISNUMBER(AX446),AX446+ROW($B446)/1000,""))</f>
        <v/>
      </c>
      <c r="BC446" s="72" t="str">
        <f aca="false">IF(ISNUMBER(BB446),RANK(BB446,$BB$8:$BB$507,1),"")</f>
        <v/>
      </c>
      <c r="BD446" s="72" t="str">
        <f aca="false">IF(ISBLANK($C446),"",$B446)</f>
        <v/>
      </c>
      <c r="BE446" s="72" t="str">
        <f aca="false">IF(ISBLANK($C446),"",$C446)</f>
        <v/>
      </c>
      <c r="BF446" s="72" t="str">
        <f aca="false">IF(ISBLANK($C446),"",$D446)</f>
        <v/>
      </c>
      <c r="BG446" s="73" t="str">
        <f aca="false">AU446</f>
        <v/>
      </c>
      <c r="BH446" s="74" t="str">
        <f aca="false">AT446</f>
        <v/>
      </c>
      <c r="BI446" s="72" t="str">
        <f aca="false">IF(ISBLANK($C446),"",AW446)</f>
        <v/>
      </c>
      <c r="BJ446" s="75" t="str">
        <f aca="false">IF($BA446&gt;$AZ$7,"",VLOOKUP($BA446,$BC$8:$BI$507,7,FALSE()))</f>
        <v/>
      </c>
      <c r="BK446" s="76" t="str">
        <f aca="false">IF($BA446&gt;$AZ$7,"",VLOOKUP($BA446,$BC$8:$BI$507,2,FALSE()))</f>
        <v/>
      </c>
      <c r="BL446" s="76" t="str">
        <f aca="false">IF($BA446&gt;$AZ$7,"",VLOOKUP($BA446,$BC$8:$BI$507,3,FALSE()))</f>
        <v/>
      </c>
      <c r="BM446" s="76" t="str">
        <f aca="false">IF($BA446&gt;$AZ$7,"",VLOOKUP($BA446,$BC$8:$BI$507,4,FALSE()))</f>
        <v/>
      </c>
      <c r="BN446" s="76" t="str">
        <f aca="false">IF($BA446&gt;$AZ$7,"",VLOOKUP($BA446,$BC$8:$BI$507,5,FALSE()))</f>
        <v/>
      </c>
      <c r="BO446" s="77" t="str">
        <f aca="false">IF($BA446&gt;$AZ$7,"",VLOOKUP($BA446,$BC$8:$BI$507,6,FALSE()))</f>
        <v/>
      </c>
      <c r="BP446" s="52"/>
    </row>
    <row r="447" customFormat="false" ht="15.75" hidden="false" customHeight="false" outlineLevel="0" collapsed="false">
      <c r="A447" s="5"/>
      <c r="B447" s="118"/>
      <c r="C447" s="54"/>
      <c r="D447" s="55"/>
      <c r="E447" s="79"/>
      <c r="F447" s="57"/>
      <c r="G447" s="58"/>
      <c r="H447" s="58"/>
      <c r="I447" s="57"/>
      <c r="J447" s="58"/>
      <c r="K447" s="58"/>
      <c r="L447" s="57"/>
      <c r="M447" s="79"/>
      <c r="N447" s="60"/>
      <c r="O447" s="62" t="str">
        <f aca="false">IF(ISBLANK($C447),"",IF(E447=Constants!$B$2, TRUE(), IF(E447=Constants!$B$3, FALSE(), TRUE())))</f>
        <v/>
      </c>
      <c r="P447" s="62" t="str">
        <f aca="false">IF(ISBLANK($C447),"",IF(F447=Constants!$B$16,Constants!$B$9,IF(F447=Constants!$B$17,Constants!$B$10,Constants!$B$8)))</f>
        <v/>
      </c>
      <c r="Q447" s="62" t="str">
        <f aca="false">IF(ISBLANK($C447),"",IF(ISNUMBER(G447),IF(G447&gt;=0,G447,""),""))</f>
        <v/>
      </c>
      <c r="R447" s="62" t="str">
        <f aca="false">IF(ISBLANK($C447),"",IF(H447=Constants!$B$2, TRUE(), IF(H447=Constants!$B$3, FALSE(), TRUE())))</f>
        <v/>
      </c>
      <c r="S447" s="62" t="str">
        <f aca="false">IF(ISBLANK($C447),"",IF(I447=Constants!$B$2, TRUE(), IF(I447=Constants!$B$3, FALSE(), TRUE())))</f>
        <v/>
      </c>
      <c r="T447" s="62" t="str">
        <f aca="false">IF(ISBLANK($C447),"",IF(ISNUMBER(J447),IF(J447&gt;=0,J447,""),""))</f>
        <v/>
      </c>
      <c r="U447" s="62" t="str">
        <f aca="false">IF(ISBLANK($C447),"",IF(K447=Constants!$B$2, TRUE(), IF(K447=Constants!$B$3, FALSE(), TRUE())))</f>
        <v/>
      </c>
      <c r="V447" s="62" t="str">
        <f aca="false">IF(ISBLANK($C447),"",IF(L447=Constants!$B$2, TRUE(), IF(L447=Constants!$B$3, FALSE(), TRUE())))</f>
        <v/>
      </c>
      <c r="W447" s="62" t="str">
        <f aca="false">IF(ISBLANK($C447),"",IF(M447=Constants!$B$2, TRUE(), IF(M447=Constants!$B$3, FALSE(), FALSE())))</f>
        <v/>
      </c>
      <c r="X447" s="62" t="str">
        <f aca="false">IF(ISBLANK($C447),"",AND(Q447&lt;&gt;"",O447))</f>
        <v/>
      </c>
      <c r="Y447" s="62" t="str">
        <f aca="false">IF(ISBLANK($C447),"",AND(T447&lt;&gt;"",O447))</f>
        <v/>
      </c>
      <c r="Z447" s="62" t="str">
        <f aca="false">IF(ISBLANK($C447),"",IF(W447,Constants!$B$4,IF(COUNTA(E447:L447)=0,Constants!$B$5,IF(NOT(O447),Constants!$B$6,IF(AND(NOT(X447),NOT(Y447)),Constants!$B$6,Constants!$B$7)))))</f>
        <v/>
      </c>
      <c r="AA447" s="62" t="str">
        <f aca="false">IF(ISBLANK($C447),"",IF($Z447&lt;&gt;Constants!$B$7,$Z447,Constants!$B$20))</f>
        <v/>
      </c>
      <c r="AB447" s="62" t="str">
        <f aca="false">IF($Z447=Constants!$B$7,IF(X447,Q447,Constants!$B$13),"")</f>
        <v/>
      </c>
      <c r="AC447" s="62" t="str">
        <f aca="false">IF($Z447=Constants!$B$7,IF(X447,P447*IF(R447, 1, Constants!$B$11)*IF(S447, 1, Constants!$B$12),Constants!$B$13),"")</f>
        <v/>
      </c>
      <c r="AD447" s="62" t="str">
        <f aca="false">IF($Z447=Constants!$B$7,AB447*AC447,"")</f>
        <v/>
      </c>
      <c r="AE447" s="62" t="str">
        <f aca="false">IF($Z447=Constants!$B$7,IF(Y447,T447,Constants!$B$13),"")</f>
        <v/>
      </c>
      <c r="AF447" s="62" t="str">
        <f aca="false">IF($Z447=Constants!$B$7,IF(Y447,P447*IF(U447, 1, Constants!$B$11)*IF(V447, 1, Constants!$B$12),Constants!$B$13),"")</f>
        <v/>
      </c>
      <c r="AG447" s="62" t="str">
        <f aca="false">IF($Z447=Constants!$B$7,AE447*AF447,"")</f>
        <v/>
      </c>
      <c r="AH447" s="62" t="str">
        <f aca="false">IF($Z447=Constants!$B$7,IF(AG447&gt;AD447,2,1),"")</f>
        <v/>
      </c>
      <c r="AI447" s="62" t="str">
        <f aca="false">IF($Z447=Constants!$B$7,IF(AH447=1,2,1),"")</f>
        <v/>
      </c>
      <c r="AJ447" s="62" t="str">
        <f aca="false">IF(ISBLANK($C447),"",IF($Z447&lt;&gt;Constants!$B$7,$Z447,IF(AH447=1,AD447,AG447)))</f>
        <v/>
      </c>
      <c r="AK447" s="62" t="str">
        <f aca="false">IF(ISBLANK($C447),"",IF($Z447=Constants!$B$7,IF(ISNUMBER(AJ447),RANK(AJ447,$AJ$8:$AJ$507),Constants!$B$14),$Z447))</f>
        <v/>
      </c>
      <c r="AL447" s="62" t="str">
        <f aca="false">IF(ISBLANK($C447),"",IF($Z447=Constants!$B$7,IF(AI447=1,AD447,AG447),""))</f>
        <v/>
      </c>
      <c r="AM447" s="62" t="str">
        <f aca="false">IF(ISBLANK($C447),"",IF($Z447=Constants!$B$7,RANK(AL447,$AL$8:$AL$507),$Z447))</f>
        <v/>
      </c>
      <c r="AN447" s="62" t="str">
        <f aca="false">IF(ISBLANK($C447),"",IF($Z447=Constants!$B$7,IF(ISNUMBER(AK447),COUNTIFS($AK$8:$AK$507,"&lt;"&amp;$AK447)+COUNTIFS($AK$8:$AK$507,$AK447,$AM$8:$AM$507,"&lt;"&amp;$AM447)+1,Constants!$B$14),$Z447))</f>
        <v/>
      </c>
      <c r="AO447" s="62" t="str">
        <f aca="false">IF(ISBLANK($C447),"",IF($Z447=Constants!$B$7,IF(ISNUMBER(AK447),AK447-AN447,Constants!$B$14),$Z447))</f>
        <v/>
      </c>
      <c r="AP447" s="64"/>
      <c r="AQ447" s="65" t="str">
        <f aca="false">IF(ISBLANK($C447),"",IF($Z447&lt;&gt;Constants!$B$7,"",AH447))</f>
        <v/>
      </c>
      <c r="AR447" s="80" t="str">
        <f aca="false">IF(ISBLANK($C447),"",IF($Z447&lt;&gt;Constants!$B$7,"",IF(AH447=1,AB447,AE447)))</f>
        <v/>
      </c>
      <c r="AS447" s="67" t="str">
        <f aca="false">IF(ISBLANK($C447),"",IF($Z447&lt;&gt;Constants!$B$7,"",IF(AH447=1,AC447,AF447)))</f>
        <v/>
      </c>
      <c r="AT447" s="68" t="str">
        <f aca="false">IF(ISBLANK($C447),"",IF($Z447&lt;&gt;Constants!$B$7,$Z447,AJ447))</f>
        <v/>
      </c>
      <c r="AU447" s="69" t="str">
        <f aca="false">IF(ISBLANK($C447),"",IF($Z447&lt;&gt;Constants!$B$7,$Z447,AA447))</f>
        <v/>
      </c>
      <c r="AV447" s="70" t="str">
        <f aca="false">IF(ISBLANK($C447),"",AO447)</f>
        <v/>
      </c>
      <c r="AW447" s="70" t="str">
        <f aca="false">IF(ISBLANK($C447),"",AN447)</f>
        <v/>
      </c>
      <c r="AX447" s="71" t="str">
        <f aca="false">IF(ISBLANK($C447),"",IFERROR(_xlfn.SWITCH(AW447,Constants!$B$4,COUNTA($C$8:$C$507)+2,Constants!$B$5,COUNTA($C$8:$C$507)+1,Constants!$B$6,COUNTA($C$8:$C$507)),AW447))</f>
        <v/>
      </c>
      <c r="AY447" s="5"/>
      <c r="AZ447" s="72" t="n">
        <f aca="false">IF(OR(ISNUMBER(AW447),AW447=Constants!$B$4,AW447=Constants!$B$6,AW447=Constants!$B$5),1,0)</f>
        <v>0</v>
      </c>
      <c r="BA447" s="72" t="n">
        <v>440</v>
      </c>
      <c r="BB447" s="72" t="str">
        <f aca="false">IF(ISBLANK($C447),"",IF(ISNUMBER(AX447),AX447+ROW($B447)/1000,""))</f>
        <v/>
      </c>
      <c r="BC447" s="72" t="str">
        <f aca="false">IF(ISNUMBER(BB447),RANK(BB447,$BB$8:$BB$507,1),"")</f>
        <v/>
      </c>
      <c r="BD447" s="72" t="str">
        <f aca="false">IF(ISBLANK($C447),"",$B447)</f>
        <v/>
      </c>
      <c r="BE447" s="72" t="str">
        <f aca="false">IF(ISBLANK($C447),"",$C447)</f>
        <v/>
      </c>
      <c r="BF447" s="72" t="str">
        <f aca="false">IF(ISBLANK($C447),"",$D447)</f>
        <v/>
      </c>
      <c r="BG447" s="73" t="str">
        <f aca="false">AU447</f>
        <v/>
      </c>
      <c r="BH447" s="74" t="str">
        <f aca="false">AT447</f>
        <v/>
      </c>
      <c r="BI447" s="72" t="str">
        <f aca="false">IF(ISBLANK($C447),"",AW447)</f>
        <v/>
      </c>
      <c r="BJ447" s="75" t="str">
        <f aca="false">IF($BA447&gt;$AZ$7,"",VLOOKUP($BA447,$BC$8:$BI$507,7,FALSE()))</f>
        <v/>
      </c>
      <c r="BK447" s="76" t="str">
        <f aca="false">IF($BA447&gt;$AZ$7,"",VLOOKUP($BA447,$BC$8:$BI$507,2,FALSE()))</f>
        <v/>
      </c>
      <c r="BL447" s="76" t="str">
        <f aca="false">IF($BA447&gt;$AZ$7,"",VLOOKUP($BA447,$BC$8:$BI$507,3,FALSE()))</f>
        <v/>
      </c>
      <c r="BM447" s="76" t="str">
        <f aca="false">IF($BA447&gt;$AZ$7,"",VLOOKUP($BA447,$BC$8:$BI$507,4,FALSE()))</f>
        <v/>
      </c>
      <c r="BN447" s="76" t="str">
        <f aca="false">IF($BA447&gt;$AZ$7,"",VLOOKUP($BA447,$BC$8:$BI$507,5,FALSE()))</f>
        <v/>
      </c>
      <c r="BO447" s="77" t="str">
        <f aca="false">IF($BA447&gt;$AZ$7,"",VLOOKUP($BA447,$BC$8:$BI$507,6,FALSE()))</f>
        <v/>
      </c>
      <c r="BP447" s="52"/>
    </row>
    <row r="448" customFormat="false" ht="15.75" hidden="false" customHeight="false" outlineLevel="0" collapsed="false">
      <c r="A448" s="5"/>
      <c r="B448" s="118"/>
      <c r="C448" s="54"/>
      <c r="D448" s="55"/>
      <c r="E448" s="79"/>
      <c r="F448" s="57"/>
      <c r="G448" s="58"/>
      <c r="H448" s="58"/>
      <c r="I448" s="57"/>
      <c r="J448" s="58"/>
      <c r="K448" s="58"/>
      <c r="L448" s="57"/>
      <c r="M448" s="79"/>
      <c r="N448" s="60"/>
      <c r="O448" s="62" t="str">
        <f aca="false">IF(ISBLANK($C448),"",IF(E448=Constants!$B$2, TRUE(), IF(E448=Constants!$B$3, FALSE(), TRUE())))</f>
        <v/>
      </c>
      <c r="P448" s="62" t="str">
        <f aca="false">IF(ISBLANK($C448),"",IF(F448=Constants!$B$16,Constants!$B$9,IF(F448=Constants!$B$17,Constants!$B$10,Constants!$B$8)))</f>
        <v/>
      </c>
      <c r="Q448" s="62" t="str">
        <f aca="false">IF(ISBLANK($C448),"",IF(ISNUMBER(G448),IF(G448&gt;=0,G448,""),""))</f>
        <v/>
      </c>
      <c r="R448" s="62" t="str">
        <f aca="false">IF(ISBLANK($C448),"",IF(H448=Constants!$B$2, TRUE(), IF(H448=Constants!$B$3, FALSE(), TRUE())))</f>
        <v/>
      </c>
      <c r="S448" s="62" t="str">
        <f aca="false">IF(ISBLANK($C448),"",IF(I448=Constants!$B$2, TRUE(), IF(I448=Constants!$B$3, FALSE(), TRUE())))</f>
        <v/>
      </c>
      <c r="T448" s="62" t="str">
        <f aca="false">IF(ISBLANK($C448),"",IF(ISNUMBER(J448),IF(J448&gt;=0,J448,""),""))</f>
        <v/>
      </c>
      <c r="U448" s="62" t="str">
        <f aca="false">IF(ISBLANK($C448),"",IF(K448=Constants!$B$2, TRUE(), IF(K448=Constants!$B$3, FALSE(), TRUE())))</f>
        <v/>
      </c>
      <c r="V448" s="62" t="str">
        <f aca="false">IF(ISBLANK($C448),"",IF(L448=Constants!$B$2, TRUE(), IF(L448=Constants!$B$3, FALSE(), TRUE())))</f>
        <v/>
      </c>
      <c r="W448" s="62" t="str">
        <f aca="false">IF(ISBLANK($C448),"",IF(M448=Constants!$B$2, TRUE(), IF(M448=Constants!$B$3, FALSE(), FALSE())))</f>
        <v/>
      </c>
      <c r="X448" s="62" t="str">
        <f aca="false">IF(ISBLANK($C448),"",AND(Q448&lt;&gt;"",O448))</f>
        <v/>
      </c>
      <c r="Y448" s="62" t="str">
        <f aca="false">IF(ISBLANK($C448),"",AND(T448&lt;&gt;"",O448))</f>
        <v/>
      </c>
      <c r="Z448" s="62" t="str">
        <f aca="false">IF(ISBLANK($C448),"",IF(W448,Constants!$B$4,IF(COUNTA(E448:L448)=0,Constants!$B$5,IF(NOT(O448),Constants!$B$6,IF(AND(NOT(X448),NOT(Y448)),Constants!$B$6,Constants!$B$7)))))</f>
        <v/>
      </c>
      <c r="AA448" s="62" t="str">
        <f aca="false">IF(ISBLANK($C448),"",IF($Z448&lt;&gt;Constants!$B$7,$Z448,Constants!$B$20))</f>
        <v/>
      </c>
      <c r="AB448" s="62" t="str">
        <f aca="false">IF($Z448=Constants!$B$7,IF(X448,Q448,Constants!$B$13),"")</f>
        <v/>
      </c>
      <c r="AC448" s="62" t="str">
        <f aca="false">IF($Z448=Constants!$B$7,IF(X448,P448*IF(R448, 1, Constants!$B$11)*IF(S448, 1, Constants!$B$12),Constants!$B$13),"")</f>
        <v/>
      </c>
      <c r="AD448" s="62" t="str">
        <f aca="false">IF($Z448=Constants!$B$7,AB448*AC448,"")</f>
        <v/>
      </c>
      <c r="AE448" s="62" t="str">
        <f aca="false">IF($Z448=Constants!$B$7,IF(Y448,T448,Constants!$B$13),"")</f>
        <v/>
      </c>
      <c r="AF448" s="62" t="str">
        <f aca="false">IF($Z448=Constants!$B$7,IF(Y448,P448*IF(U448, 1, Constants!$B$11)*IF(V448, 1, Constants!$B$12),Constants!$B$13),"")</f>
        <v/>
      </c>
      <c r="AG448" s="62" t="str">
        <f aca="false">IF($Z448=Constants!$B$7,AE448*AF448,"")</f>
        <v/>
      </c>
      <c r="AH448" s="62" t="str">
        <f aca="false">IF($Z448=Constants!$B$7,IF(AG448&gt;AD448,2,1),"")</f>
        <v/>
      </c>
      <c r="AI448" s="62" t="str">
        <f aca="false">IF($Z448=Constants!$B$7,IF(AH448=1,2,1),"")</f>
        <v/>
      </c>
      <c r="AJ448" s="62" t="str">
        <f aca="false">IF(ISBLANK($C448),"",IF($Z448&lt;&gt;Constants!$B$7,$Z448,IF(AH448=1,AD448,AG448)))</f>
        <v/>
      </c>
      <c r="AK448" s="62" t="str">
        <f aca="false">IF(ISBLANK($C448),"",IF($Z448=Constants!$B$7,IF(ISNUMBER(AJ448),RANK(AJ448,$AJ$8:$AJ$507),Constants!$B$14),$Z448))</f>
        <v/>
      </c>
      <c r="AL448" s="62" t="str">
        <f aca="false">IF(ISBLANK($C448),"",IF($Z448=Constants!$B$7,IF(AI448=1,AD448,AG448),""))</f>
        <v/>
      </c>
      <c r="AM448" s="62" t="str">
        <f aca="false">IF(ISBLANK($C448),"",IF($Z448=Constants!$B$7,RANK(AL448,$AL$8:$AL$507),$Z448))</f>
        <v/>
      </c>
      <c r="AN448" s="62" t="str">
        <f aca="false">IF(ISBLANK($C448),"",IF($Z448=Constants!$B$7,IF(ISNUMBER(AK448),COUNTIFS($AK$8:$AK$507,"&lt;"&amp;$AK448)+COUNTIFS($AK$8:$AK$507,$AK448,$AM$8:$AM$507,"&lt;"&amp;$AM448)+1,Constants!$B$14),$Z448))</f>
        <v/>
      </c>
      <c r="AO448" s="62" t="str">
        <f aca="false">IF(ISBLANK($C448),"",IF($Z448=Constants!$B$7,IF(ISNUMBER(AK448),AK448-AN448,Constants!$B$14),$Z448))</f>
        <v/>
      </c>
      <c r="AP448" s="64"/>
      <c r="AQ448" s="65" t="str">
        <f aca="false">IF(ISBLANK($C448),"",IF($Z448&lt;&gt;Constants!$B$7,"",AH448))</f>
        <v/>
      </c>
      <c r="AR448" s="80" t="str">
        <f aca="false">IF(ISBLANK($C448),"",IF($Z448&lt;&gt;Constants!$B$7,"",IF(AH448=1,AB448,AE448)))</f>
        <v/>
      </c>
      <c r="AS448" s="67" t="str">
        <f aca="false">IF(ISBLANK($C448),"",IF($Z448&lt;&gt;Constants!$B$7,"",IF(AH448=1,AC448,AF448)))</f>
        <v/>
      </c>
      <c r="AT448" s="68" t="str">
        <f aca="false">IF(ISBLANK($C448),"",IF($Z448&lt;&gt;Constants!$B$7,$Z448,AJ448))</f>
        <v/>
      </c>
      <c r="AU448" s="69" t="str">
        <f aca="false">IF(ISBLANK($C448),"",IF($Z448&lt;&gt;Constants!$B$7,$Z448,AA448))</f>
        <v/>
      </c>
      <c r="AV448" s="70" t="str">
        <f aca="false">IF(ISBLANK($C448),"",AO448)</f>
        <v/>
      </c>
      <c r="AW448" s="70" t="str">
        <f aca="false">IF(ISBLANK($C448),"",AN448)</f>
        <v/>
      </c>
      <c r="AX448" s="71" t="str">
        <f aca="false">IF(ISBLANK($C448),"",IFERROR(_xlfn.SWITCH(AW448,Constants!$B$4,COUNTA($C$8:$C$507)+2,Constants!$B$5,COUNTA($C$8:$C$507)+1,Constants!$B$6,COUNTA($C$8:$C$507)),AW448))</f>
        <v/>
      </c>
      <c r="AY448" s="5"/>
      <c r="AZ448" s="72" t="n">
        <f aca="false">IF(OR(ISNUMBER(AW448),AW448=Constants!$B$4,AW448=Constants!$B$6,AW448=Constants!$B$5),1,0)</f>
        <v>0</v>
      </c>
      <c r="BA448" s="72" t="n">
        <v>441</v>
      </c>
      <c r="BB448" s="72" t="str">
        <f aca="false">IF(ISBLANK($C448),"",IF(ISNUMBER(AX448),AX448+ROW($B448)/1000,""))</f>
        <v/>
      </c>
      <c r="BC448" s="72" t="str">
        <f aca="false">IF(ISNUMBER(BB448),RANK(BB448,$BB$8:$BB$507,1),"")</f>
        <v/>
      </c>
      <c r="BD448" s="72" t="str">
        <f aca="false">IF(ISBLANK($C448),"",$B448)</f>
        <v/>
      </c>
      <c r="BE448" s="72" t="str">
        <f aca="false">IF(ISBLANK($C448),"",$C448)</f>
        <v/>
      </c>
      <c r="BF448" s="72" t="str">
        <f aca="false">IF(ISBLANK($C448),"",$D448)</f>
        <v/>
      </c>
      <c r="BG448" s="73" t="str">
        <f aca="false">AU448</f>
        <v/>
      </c>
      <c r="BH448" s="74" t="str">
        <f aca="false">AT448</f>
        <v/>
      </c>
      <c r="BI448" s="72" t="str">
        <f aca="false">IF(ISBLANK($C448),"",AW448)</f>
        <v/>
      </c>
      <c r="BJ448" s="75" t="str">
        <f aca="false">IF($BA448&gt;$AZ$7,"",VLOOKUP($BA448,$BC$8:$BI$507,7,FALSE()))</f>
        <v/>
      </c>
      <c r="BK448" s="76" t="str">
        <f aca="false">IF($BA448&gt;$AZ$7,"",VLOOKUP($BA448,$BC$8:$BI$507,2,FALSE()))</f>
        <v/>
      </c>
      <c r="BL448" s="76" t="str">
        <f aca="false">IF($BA448&gt;$AZ$7,"",VLOOKUP($BA448,$BC$8:$BI$507,3,FALSE()))</f>
        <v/>
      </c>
      <c r="BM448" s="76" t="str">
        <f aca="false">IF($BA448&gt;$AZ$7,"",VLOOKUP($BA448,$BC$8:$BI$507,4,FALSE()))</f>
        <v/>
      </c>
      <c r="BN448" s="76" t="str">
        <f aca="false">IF($BA448&gt;$AZ$7,"",VLOOKUP($BA448,$BC$8:$BI$507,5,FALSE()))</f>
        <v/>
      </c>
      <c r="BO448" s="77" t="str">
        <f aca="false">IF($BA448&gt;$AZ$7,"",VLOOKUP($BA448,$BC$8:$BI$507,6,FALSE()))</f>
        <v/>
      </c>
      <c r="BP448" s="52"/>
    </row>
    <row r="449" customFormat="false" ht="15.75" hidden="false" customHeight="false" outlineLevel="0" collapsed="false">
      <c r="A449" s="5"/>
      <c r="B449" s="114"/>
      <c r="C449" s="115"/>
      <c r="D449" s="106"/>
      <c r="E449" s="117"/>
      <c r="F449" s="87"/>
      <c r="G449" s="88"/>
      <c r="H449" s="88"/>
      <c r="I449" s="87"/>
      <c r="J449" s="88"/>
      <c r="K449" s="88"/>
      <c r="L449" s="87"/>
      <c r="M449" s="117"/>
      <c r="N449" s="90"/>
      <c r="O449" s="91" t="str">
        <f aca="false">IF(ISBLANK($C449),"",IF(E449=Constants!$B$2, TRUE(), IF(E449=Constants!$B$3, FALSE(), TRUE())))</f>
        <v/>
      </c>
      <c r="P449" s="91" t="str">
        <f aca="false">IF(ISBLANK($C449),"",IF(F449=Constants!$B$16,Constants!$B$9,IF(F449=Constants!$B$17,Constants!$B$10,Constants!$B$8)))</f>
        <v/>
      </c>
      <c r="Q449" s="91" t="str">
        <f aca="false">IF(ISBLANK($C449),"",IF(ISNUMBER(G449),IF(G449&gt;=0,G449,""),""))</f>
        <v/>
      </c>
      <c r="R449" s="91" t="str">
        <f aca="false">IF(ISBLANK($C449),"",IF(H449=Constants!$B$2, TRUE(), IF(H449=Constants!$B$3, FALSE(), TRUE())))</f>
        <v/>
      </c>
      <c r="S449" s="91" t="str">
        <f aca="false">IF(ISBLANK($C449),"",IF(I449=Constants!$B$2, TRUE(), IF(I449=Constants!$B$3, FALSE(), TRUE())))</f>
        <v/>
      </c>
      <c r="T449" s="91" t="str">
        <f aca="false">IF(ISBLANK($C449),"",IF(ISNUMBER(J449),IF(J449&gt;=0,J449,""),""))</f>
        <v/>
      </c>
      <c r="U449" s="91" t="str">
        <f aca="false">IF(ISBLANK($C449),"",IF(K449=Constants!$B$2, TRUE(), IF(K449=Constants!$B$3, FALSE(), TRUE())))</f>
        <v/>
      </c>
      <c r="V449" s="91" t="str">
        <f aca="false">IF(ISBLANK($C449),"",IF(L449=Constants!$B$2, TRUE(), IF(L449=Constants!$B$3, FALSE(), TRUE())))</f>
        <v/>
      </c>
      <c r="W449" s="91" t="str">
        <f aca="false">IF(ISBLANK($C449),"",IF(M449=Constants!$B$2, TRUE(), IF(M449=Constants!$B$3, FALSE(), FALSE())))</f>
        <v/>
      </c>
      <c r="X449" s="91" t="str">
        <f aca="false">IF(ISBLANK($C449),"",AND(Q449&lt;&gt;"",O449))</f>
        <v/>
      </c>
      <c r="Y449" s="91" t="str">
        <f aca="false">IF(ISBLANK($C449),"",AND(T449&lt;&gt;"",O449))</f>
        <v/>
      </c>
      <c r="Z449" s="91" t="str">
        <f aca="false">IF(ISBLANK($C449),"",IF(W449,Constants!$B$4,IF(COUNTA(E449:L449)=0,Constants!$B$5,IF(NOT(O449),Constants!$B$6,IF(AND(NOT(X449),NOT(Y449)),Constants!$B$6,Constants!$B$7)))))</f>
        <v/>
      </c>
      <c r="AA449" s="91" t="str">
        <f aca="false">IF(ISBLANK($C449),"",IF($Z449&lt;&gt;Constants!$B$7,$Z449,Constants!$B$20))</f>
        <v/>
      </c>
      <c r="AB449" s="91" t="str">
        <f aca="false">IF($Z449=Constants!$B$7,IF(X449,Q449,Constants!$B$13),"")</f>
        <v/>
      </c>
      <c r="AC449" s="91" t="str">
        <f aca="false">IF($Z449=Constants!$B$7,IF(X449,P449*IF(R449, 1, Constants!$B$11)*IF(S449, 1, Constants!$B$12),Constants!$B$13),"")</f>
        <v/>
      </c>
      <c r="AD449" s="91" t="str">
        <f aca="false">IF($Z449=Constants!$B$7,AB449*AC449,"")</f>
        <v/>
      </c>
      <c r="AE449" s="91" t="str">
        <f aca="false">IF($Z449=Constants!$B$7,IF(Y449,T449,Constants!$B$13),"")</f>
        <v/>
      </c>
      <c r="AF449" s="91" t="str">
        <f aca="false">IF($Z449=Constants!$B$7,IF(Y449,P449*IF(U449, 1, Constants!$B$11)*IF(V449, 1, Constants!$B$12),Constants!$B$13),"")</f>
        <v/>
      </c>
      <c r="AG449" s="91" t="str">
        <f aca="false">IF($Z449=Constants!$B$7,AE449*AF449,"")</f>
        <v/>
      </c>
      <c r="AH449" s="91" t="str">
        <f aca="false">IF($Z449=Constants!$B$7,IF(AG449&gt;AD449,2,1),"")</f>
        <v/>
      </c>
      <c r="AI449" s="91" t="str">
        <f aca="false">IF($Z449=Constants!$B$7,IF(AH449=1,2,1),"")</f>
        <v/>
      </c>
      <c r="AJ449" s="91" t="str">
        <f aca="false">IF(ISBLANK($C449),"",IF($Z449&lt;&gt;Constants!$B$7,$Z449,IF(AH449=1,AD449,AG449)))</f>
        <v/>
      </c>
      <c r="AK449" s="91" t="str">
        <f aca="false">IF(ISBLANK($C449),"",IF($Z449=Constants!$B$7,IF(ISNUMBER(AJ449),RANK(AJ449,$AJ$8:$AJ$507),Constants!$B$14),$Z449))</f>
        <v/>
      </c>
      <c r="AL449" s="91" t="str">
        <f aca="false">IF(ISBLANK($C449),"",IF($Z449=Constants!$B$7,IF(AI449=1,AD449,AG449),""))</f>
        <v/>
      </c>
      <c r="AM449" s="91" t="str">
        <f aca="false">IF(ISBLANK($C449),"",IF($Z449=Constants!$B$7,RANK(AL449,$AL$8:$AL$507),$Z449))</f>
        <v/>
      </c>
      <c r="AN449" s="91" t="str">
        <f aca="false">IF(ISBLANK($C449),"",IF($Z449=Constants!$B$7,IF(ISNUMBER(AK449),COUNTIFS($AK$8:$AK$507,"&lt;"&amp;$AK449)+COUNTIFS($AK$8:$AK$507,$AK449,$AM$8:$AM$507,"&lt;"&amp;$AM449)+1,Constants!$B$14),$Z449))</f>
        <v/>
      </c>
      <c r="AO449" s="91" t="str">
        <f aca="false">IF(ISBLANK($C449),"",IF($Z449=Constants!$B$7,IF(ISNUMBER(AK449),AK449-AN449,Constants!$B$14),$Z449))</f>
        <v/>
      </c>
      <c r="AP449" s="92"/>
      <c r="AQ449" s="93" t="str">
        <f aca="false">IF(ISBLANK($C449),"",IF($Z449&lt;&gt;Constants!$B$7,"",AH449))</f>
        <v/>
      </c>
      <c r="AR449" s="94" t="str">
        <f aca="false">IF(ISBLANK($C449),"",IF($Z449&lt;&gt;Constants!$B$7,"",IF(AH449=1,AB449,AE449)))</f>
        <v/>
      </c>
      <c r="AS449" s="95" t="str">
        <f aca="false">IF(ISBLANK($C449),"",IF($Z449&lt;&gt;Constants!$B$7,"",IF(AH449=1,AC449,AF449)))</f>
        <v/>
      </c>
      <c r="AT449" s="96" t="str">
        <f aca="false">IF(ISBLANK($C449),"",IF($Z449&lt;&gt;Constants!$B$7,$Z449,AJ449))</f>
        <v/>
      </c>
      <c r="AU449" s="97" t="str">
        <f aca="false">IF(ISBLANK($C449),"",IF($Z449&lt;&gt;Constants!$B$7,$Z449,AA449))</f>
        <v/>
      </c>
      <c r="AV449" s="98" t="str">
        <f aca="false">IF(ISBLANK($C449),"",AO449)</f>
        <v/>
      </c>
      <c r="AW449" s="98" t="str">
        <f aca="false">IF(ISBLANK($C449),"",AN449)</f>
        <v/>
      </c>
      <c r="AX449" s="99" t="str">
        <f aca="false">IF(ISBLANK($C449),"",IFERROR(_xlfn.SWITCH(AW449,Constants!$B$4,COUNTA($C$8:$C$507)+2,Constants!$B$5,COUNTA($C$8:$C$507)+1,Constants!$B$6,COUNTA($C$8:$C$507)),AW449))</f>
        <v/>
      </c>
      <c r="AY449" s="5"/>
      <c r="AZ449" s="100" t="n">
        <f aca="false">IF(OR(ISNUMBER(AW449),AW449=Constants!$B$4,AW449=Constants!$B$6,AW449=Constants!$B$5),1,0)</f>
        <v>0</v>
      </c>
      <c r="BA449" s="100" t="n">
        <v>442</v>
      </c>
      <c r="BB449" s="100" t="str">
        <f aca="false">IF(ISBLANK($C449),"",IF(ISNUMBER(AX449),AX449+ROW($B449)/1000,""))</f>
        <v/>
      </c>
      <c r="BC449" s="100" t="str">
        <f aca="false">IF(ISNUMBER(BB449),RANK(BB449,$BB$8:$BB$507,1),"")</f>
        <v/>
      </c>
      <c r="BD449" s="100" t="str">
        <f aca="false">IF(ISBLANK($C449),"",$B449)</f>
        <v/>
      </c>
      <c r="BE449" s="100" t="str">
        <f aca="false">IF(ISBLANK($C449),"",$C449)</f>
        <v/>
      </c>
      <c r="BF449" s="100" t="str">
        <f aca="false">IF(ISBLANK($C449),"",$D449)</f>
        <v/>
      </c>
      <c r="BG449" s="101" t="str">
        <f aca="false">AU449</f>
        <v/>
      </c>
      <c r="BH449" s="102" t="str">
        <f aca="false">AT449</f>
        <v/>
      </c>
      <c r="BI449" s="100" t="str">
        <f aca="false">IF(ISBLANK($C449),"",AW449)</f>
        <v/>
      </c>
      <c r="BJ449" s="103" t="str">
        <f aca="false">IF($BA449&gt;$AZ$7,"",VLOOKUP($BA449,$BC$8:$BI$507,7,FALSE()))</f>
        <v/>
      </c>
      <c r="BK449" s="104" t="str">
        <f aca="false">IF($BA449&gt;$AZ$7,"",VLOOKUP($BA449,$BC$8:$BI$507,2,FALSE()))</f>
        <v/>
      </c>
      <c r="BL449" s="104" t="str">
        <f aca="false">IF($BA449&gt;$AZ$7,"",VLOOKUP($BA449,$BC$8:$BI$507,3,FALSE()))</f>
        <v/>
      </c>
      <c r="BM449" s="104" t="str">
        <f aca="false">IF($BA449&gt;$AZ$7,"",VLOOKUP($BA449,$BC$8:$BI$507,4,FALSE()))</f>
        <v/>
      </c>
      <c r="BN449" s="104" t="str">
        <f aca="false">IF($BA449&gt;$AZ$7,"",VLOOKUP($BA449,$BC$8:$BI$507,5,FALSE()))</f>
        <v/>
      </c>
      <c r="BO449" s="105" t="str">
        <f aca="false">IF($BA449&gt;$AZ$7,"",VLOOKUP($BA449,$BC$8:$BI$507,6,FALSE()))</f>
        <v/>
      </c>
      <c r="BP449" s="52"/>
    </row>
    <row r="450" customFormat="false" ht="15.75" hidden="false" customHeight="false" outlineLevel="0" collapsed="false">
      <c r="A450" s="5"/>
      <c r="B450" s="114"/>
      <c r="C450" s="115"/>
      <c r="D450" s="106"/>
      <c r="E450" s="117"/>
      <c r="F450" s="87"/>
      <c r="G450" s="88"/>
      <c r="H450" s="88"/>
      <c r="I450" s="87"/>
      <c r="J450" s="88"/>
      <c r="K450" s="88"/>
      <c r="L450" s="87"/>
      <c r="M450" s="117"/>
      <c r="N450" s="90"/>
      <c r="O450" s="91" t="str">
        <f aca="false">IF(ISBLANK($C450),"",IF(E450=Constants!$B$2, TRUE(), IF(E450=Constants!$B$3, FALSE(), TRUE())))</f>
        <v/>
      </c>
      <c r="P450" s="91" t="str">
        <f aca="false">IF(ISBLANK($C450),"",IF(F450=Constants!$B$16,Constants!$B$9,IF(F450=Constants!$B$17,Constants!$B$10,Constants!$B$8)))</f>
        <v/>
      </c>
      <c r="Q450" s="91" t="str">
        <f aca="false">IF(ISBLANK($C450),"",IF(ISNUMBER(G450),IF(G450&gt;=0,G450,""),""))</f>
        <v/>
      </c>
      <c r="R450" s="91" t="str">
        <f aca="false">IF(ISBLANK($C450),"",IF(H450=Constants!$B$2, TRUE(), IF(H450=Constants!$B$3, FALSE(), TRUE())))</f>
        <v/>
      </c>
      <c r="S450" s="91" t="str">
        <f aca="false">IF(ISBLANK($C450),"",IF(I450=Constants!$B$2, TRUE(), IF(I450=Constants!$B$3, FALSE(), TRUE())))</f>
        <v/>
      </c>
      <c r="T450" s="91" t="str">
        <f aca="false">IF(ISBLANK($C450),"",IF(ISNUMBER(J450),IF(J450&gt;=0,J450,""),""))</f>
        <v/>
      </c>
      <c r="U450" s="91" t="str">
        <f aca="false">IF(ISBLANK($C450),"",IF(K450=Constants!$B$2, TRUE(), IF(K450=Constants!$B$3, FALSE(), TRUE())))</f>
        <v/>
      </c>
      <c r="V450" s="91" t="str">
        <f aca="false">IF(ISBLANK($C450),"",IF(L450=Constants!$B$2, TRUE(), IF(L450=Constants!$B$3, FALSE(), TRUE())))</f>
        <v/>
      </c>
      <c r="W450" s="91" t="str">
        <f aca="false">IF(ISBLANK($C450),"",IF(M450=Constants!$B$2, TRUE(), IF(M450=Constants!$B$3, FALSE(), FALSE())))</f>
        <v/>
      </c>
      <c r="X450" s="91" t="str">
        <f aca="false">IF(ISBLANK($C450),"",AND(Q450&lt;&gt;"",O450))</f>
        <v/>
      </c>
      <c r="Y450" s="91" t="str">
        <f aca="false">IF(ISBLANK($C450),"",AND(T450&lt;&gt;"",O450))</f>
        <v/>
      </c>
      <c r="Z450" s="91" t="str">
        <f aca="false">IF(ISBLANK($C450),"",IF(W450,Constants!$B$4,IF(COUNTA(E450:L450)=0,Constants!$B$5,IF(NOT(O450),Constants!$B$6,IF(AND(NOT(X450),NOT(Y450)),Constants!$B$6,Constants!$B$7)))))</f>
        <v/>
      </c>
      <c r="AA450" s="91" t="str">
        <f aca="false">IF(ISBLANK($C450),"",IF($Z450&lt;&gt;Constants!$B$7,$Z450,Constants!$B$20))</f>
        <v/>
      </c>
      <c r="AB450" s="91" t="str">
        <f aca="false">IF($Z450=Constants!$B$7,IF(X450,Q450,Constants!$B$13),"")</f>
        <v/>
      </c>
      <c r="AC450" s="91" t="str">
        <f aca="false">IF($Z450=Constants!$B$7,IF(X450,P450*IF(R450, 1, Constants!$B$11)*IF(S450, 1, Constants!$B$12),Constants!$B$13),"")</f>
        <v/>
      </c>
      <c r="AD450" s="91" t="str">
        <f aca="false">IF($Z450=Constants!$B$7,AB450*AC450,"")</f>
        <v/>
      </c>
      <c r="AE450" s="91" t="str">
        <f aca="false">IF($Z450=Constants!$B$7,IF(Y450,T450,Constants!$B$13),"")</f>
        <v/>
      </c>
      <c r="AF450" s="91" t="str">
        <f aca="false">IF($Z450=Constants!$B$7,IF(Y450,P450*IF(U450, 1, Constants!$B$11)*IF(V450, 1, Constants!$B$12),Constants!$B$13),"")</f>
        <v/>
      </c>
      <c r="AG450" s="91" t="str">
        <f aca="false">IF($Z450=Constants!$B$7,AE450*AF450,"")</f>
        <v/>
      </c>
      <c r="AH450" s="91" t="str">
        <f aca="false">IF($Z450=Constants!$B$7,IF(AG450&gt;AD450,2,1),"")</f>
        <v/>
      </c>
      <c r="AI450" s="91" t="str">
        <f aca="false">IF($Z450=Constants!$B$7,IF(AH450=1,2,1),"")</f>
        <v/>
      </c>
      <c r="AJ450" s="91" t="str">
        <f aca="false">IF(ISBLANK($C450),"",IF($Z450&lt;&gt;Constants!$B$7,$Z450,IF(AH450=1,AD450,AG450)))</f>
        <v/>
      </c>
      <c r="AK450" s="91" t="str">
        <f aca="false">IF(ISBLANK($C450),"",IF($Z450=Constants!$B$7,IF(ISNUMBER(AJ450),RANK(AJ450,$AJ$8:$AJ$507),Constants!$B$14),$Z450))</f>
        <v/>
      </c>
      <c r="AL450" s="91" t="str">
        <f aca="false">IF(ISBLANK($C450),"",IF($Z450=Constants!$B$7,IF(AI450=1,AD450,AG450),""))</f>
        <v/>
      </c>
      <c r="AM450" s="91" t="str">
        <f aca="false">IF(ISBLANK($C450),"",IF($Z450=Constants!$B$7,RANK(AL450,$AL$8:$AL$507),$Z450))</f>
        <v/>
      </c>
      <c r="AN450" s="91" t="str">
        <f aca="false">IF(ISBLANK($C450),"",IF($Z450=Constants!$B$7,IF(ISNUMBER(AK450),COUNTIFS($AK$8:$AK$507,"&lt;"&amp;$AK450)+COUNTIFS($AK$8:$AK$507,$AK450,$AM$8:$AM$507,"&lt;"&amp;$AM450)+1,Constants!$B$14),$Z450))</f>
        <v/>
      </c>
      <c r="AO450" s="91" t="str">
        <f aca="false">IF(ISBLANK($C450),"",IF($Z450=Constants!$B$7,IF(ISNUMBER(AK450),AK450-AN450,Constants!$B$14),$Z450))</f>
        <v/>
      </c>
      <c r="AP450" s="92"/>
      <c r="AQ450" s="93" t="str">
        <f aca="false">IF(ISBLANK($C450),"",IF($Z450&lt;&gt;Constants!$B$7,"",AH450))</f>
        <v/>
      </c>
      <c r="AR450" s="94" t="str">
        <f aca="false">IF(ISBLANK($C450),"",IF($Z450&lt;&gt;Constants!$B$7,"",IF(AH450=1,AB450,AE450)))</f>
        <v/>
      </c>
      <c r="AS450" s="95" t="str">
        <f aca="false">IF(ISBLANK($C450),"",IF($Z450&lt;&gt;Constants!$B$7,"",IF(AH450=1,AC450,AF450)))</f>
        <v/>
      </c>
      <c r="AT450" s="96" t="str">
        <f aca="false">IF(ISBLANK($C450),"",IF($Z450&lt;&gt;Constants!$B$7,$Z450,AJ450))</f>
        <v/>
      </c>
      <c r="AU450" s="97" t="str">
        <f aca="false">IF(ISBLANK($C450),"",IF($Z450&lt;&gt;Constants!$B$7,$Z450,AA450))</f>
        <v/>
      </c>
      <c r="AV450" s="98" t="str">
        <f aca="false">IF(ISBLANK($C450),"",AO450)</f>
        <v/>
      </c>
      <c r="AW450" s="98" t="str">
        <f aca="false">IF(ISBLANK($C450),"",AN450)</f>
        <v/>
      </c>
      <c r="AX450" s="99" t="str">
        <f aca="false">IF(ISBLANK($C450),"",IFERROR(_xlfn.SWITCH(AW450,Constants!$B$4,COUNTA($C$8:$C$507)+2,Constants!$B$5,COUNTA($C$8:$C$507)+1,Constants!$B$6,COUNTA($C$8:$C$507)),AW450))</f>
        <v/>
      </c>
      <c r="AY450" s="5"/>
      <c r="AZ450" s="100" t="n">
        <f aca="false">IF(OR(ISNUMBER(AW450),AW450=Constants!$B$4,AW450=Constants!$B$6,AW450=Constants!$B$5),1,0)</f>
        <v>0</v>
      </c>
      <c r="BA450" s="100" t="n">
        <v>443</v>
      </c>
      <c r="BB450" s="100" t="str">
        <f aca="false">IF(ISBLANK($C450),"",IF(ISNUMBER(AX450),AX450+ROW($B450)/1000,""))</f>
        <v/>
      </c>
      <c r="BC450" s="100" t="str">
        <f aca="false">IF(ISNUMBER(BB450),RANK(BB450,$BB$8:$BB$507,1),"")</f>
        <v/>
      </c>
      <c r="BD450" s="100" t="str">
        <f aca="false">IF(ISBLANK($C450),"",$B450)</f>
        <v/>
      </c>
      <c r="BE450" s="100" t="str">
        <f aca="false">IF(ISBLANK($C450),"",$C450)</f>
        <v/>
      </c>
      <c r="BF450" s="100" t="str">
        <f aca="false">IF(ISBLANK($C450),"",$D450)</f>
        <v/>
      </c>
      <c r="BG450" s="101" t="str">
        <f aca="false">AU450</f>
        <v/>
      </c>
      <c r="BH450" s="102" t="str">
        <f aca="false">AT450</f>
        <v/>
      </c>
      <c r="BI450" s="100" t="str">
        <f aca="false">IF(ISBLANK($C450),"",AW450)</f>
        <v/>
      </c>
      <c r="BJ450" s="103" t="str">
        <f aca="false">IF($BA450&gt;$AZ$7,"",VLOOKUP($BA450,$BC$8:$BI$507,7,FALSE()))</f>
        <v/>
      </c>
      <c r="BK450" s="104" t="str">
        <f aca="false">IF($BA450&gt;$AZ$7,"",VLOOKUP($BA450,$BC$8:$BI$507,2,FALSE()))</f>
        <v/>
      </c>
      <c r="BL450" s="104" t="str">
        <f aca="false">IF($BA450&gt;$AZ$7,"",VLOOKUP($BA450,$BC$8:$BI$507,3,FALSE()))</f>
        <v/>
      </c>
      <c r="BM450" s="104" t="str">
        <f aca="false">IF($BA450&gt;$AZ$7,"",VLOOKUP($BA450,$BC$8:$BI$507,4,FALSE()))</f>
        <v/>
      </c>
      <c r="BN450" s="104" t="str">
        <f aca="false">IF($BA450&gt;$AZ$7,"",VLOOKUP($BA450,$BC$8:$BI$507,5,FALSE()))</f>
        <v/>
      </c>
      <c r="BO450" s="105" t="str">
        <f aca="false">IF($BA450&gt;$AZ$7,"",VLOOKUP($BA450,$BC$8:$BI$507,6,FALSE()))</f>
        <v/>
      </c>
      <c r="BP450" s="52"/>
    </row>
    <row r="451" customFormat="false" ht="15.75" hidden="false" customHeight="false" outlineLevel="0" collapsed="false">
      <c r="A451" s="5"/>
      <c r="B451" s="114"/>
      <c r="C451" s="115"/>
      <c r="D451" s="106"/>
      <c r="E451" s="117"/>
      <c r="F451" s="87"/>
      <c r="G451" s="88"/>
      <c r="H451" s="88"/>
      <c r="I451" s="87"/>
      <c r="J451" s="88"/>
      <c r="K451" s="88"/>
      <c r="L451" s="87"/>
      <c r="M451" s="117"/>
      <c r="N451" s="90"/>
      <c r="O451" s="91" t="str">
        <f aca="false">IF(ISBLANK($C451),"",IF(E451=Constants!$B$2, TRUE(), IF(E451=Constants!$B$3, FALSE(), TRUE())))</f>
        <v/>
      </c>
      <c r="P451" s="91" t="str">
        <f aca="false">IF(ISBLANK($C451),"",IF(F451=Constants!$B$16,Constants!$B$9,IF(F451=Constants!$B$17,Constants!$B$10,Constants!$B$8)))</f>
        <v/>
      </c>
      <c r="Q451" s="91" t="str">
        <f aca="false">IF(ISBLANK($C451),"",IF(ISNUMBER(G451),IF(G451&gt;=0,G451,""),""))</f>
        <v/>
      </c>
      <c r="R451" s="91" t="str">
        <f aca="false">IF(ISBLANK($C451),"",IF(H451=Constants!$B$2, TRUE(), IF(H451=Constants!$B$3, FALSE(), TRUE())))</f>
        <v/>
      </c>
      <c r="S451" s="91" t="str">
        <f aca="false">IF(ISBLANK($C451),"",IF(I451=Constants!$B$2, TRUE(), IF(I451=Constants!$B$3, FALSE(), TRUE())))</f>
        <v/>
      </c>
      <c r="T451" s="91" t="str">
        <f aca="false">IF(ISBLANK($C451),"",IF(ISNUMBER(J451),IF(J451&gt;=0,J451,""),""))</f>
        <v/>
      </c>
      <c r="U451" s="91" t="str">
        <f aca="false">IF(ISBLANK($C451),"",IF(K451=Constants!$B$2, TRUE(), IF(K451=Constants!$B$3, FALSE(), TRUE())))</f>
        <v/>
      </c>
      <c r="V451" s="91" t="str">
        <f aca="false">IF(ISBLANK($C451),"",IF(L451=Constants!$B$2, TRUE(), IF(L451=Constants!$B$3, FALSE(), TRUE())))</f>
        <v/>
      </c>
      <c r="W451" s="91" t="str">
        <f aca="false">IF(ISBLANK($C451),"",IF(M451=Constants!$B$2, TRUE(), IF(M451=Constants!$B$3, FALSE(), FALSE())))</f>
        <v/>
      </c>
      <c r="X451" s="91" t="str">
        <f aca="false">IF(ISBLANK($C451),"",AND(Q451&lt;&gt;"",O451))</f>
        <v/>
      </c>
      <c r="Y451" s="91" t="str">
        <f aca="false">IF(ISBLANK($C451),"",AND(T451&lt;&gt;"",O451))</f>
        <v/>
      </c>
      <c r="Z451" s="91" t="str">
        <f aca="false">IF(ISBLANK($C451),"",IF(W451,Constants!$B$4,IF(COUNTA(E451:L451)=0,Constants!$B$5,IF(NOT(O451),Constants!$B$6,IF(AND(NOT(X451),NOT(Y451)),Constants!$B$6,Constants!$B$7)))))</f>
        <v/>
      </c>
      <c r="AA451" s="91" t="str">
        <f aca="false">IF(ISBLANK($C451),"",IF($Z451&lt;&gt;Constants!$B$7,$Z451,Constants!$B$20))</f>
        <v/>
      </c>
      <c r="AB451" s="91" t="str">
        <f aca="false">IF($Z451=Constants!$B$7,IF(X451,Q451,Constants!$B$13),"")</f>
        <v/>
      </c>
      <c r="AC451" s="91" t="str">
        <f aca="false">IF($Z451=Constants!$B$7,IF(X451,P451*IF(R451, 1, Constants!$B$11)*IF(S451, 1, Constants!$B$12),Constants!$B$13),"")</f>
        <v/>
      </c>
      <c r="AD451" s="91" t="str">
        <f aca="false">IF($Z451=Constants!$B$7,AB451*AC451,"")</f>
        <v/>
      </c>
      <c r="AE451" s="91" t="str">
        <f aca="false">IF($Z451=Constants!$B$7,IF(Y451,T451,Constants!$B$13),"")</f>
        <v/>
      </c>
      <c r="AF451" s="91" t="str">
        <f aca="false">IF($Z451=Constants!$B$7,IF(Y451,P451*IF(U451, 1, Constants!$B$11)*IF(V451, 1, Constants!$B$12),Constants!$B$13),"")</f>
        <v/>
      </c>
      <c r="AG451" s="91" t="str">
        <f aca="false">IF($Z451=Constants!$B$7,AE451*AF451,"")</f>
        <v/>
      </c>
      <c r="AH451" s="91" t="str">
        <f aca="false">IF($Z451=Constants!$B$7,IF(AG451&gt;AD451,2,1),"")</f>
        <v/>
      </c>
      <c r="AI451" s="91" t="str">
        <f aca="false">IF($Z451=Constants!$B$7,IF(AH451=1,2,1),"")</f>
        <v/>
      </c>
      <c r="AJ451" s="91" t="str">
        <f aca="false">IF(ISBLANK($C451),"",IF($Z451&lt;&gt;Constants!$B$7,$Z451,IF(AH451=1,AD451,AG451)))</f>
        <v/>
      </c>
      <c r="AK451" s="91" t="str">
        <f aca="false">IF(ISBLANK($C451),"",IF($Z451=Constants!$B$7,IF(ISNUMBER(AJ451),RANK(AJ451,$AJ$8:$AJ$507),Constants!$B$14),$Z451))</f>
        <v/>
      </c>
      <c r="AL451" s="91" t="str">
        <f aca="false">IF(ISBLANK($C451),"",IF($Z451=Constants!$B$7,IF(AI451=1,AD451,AG451),""))</f>
        <v/>
      </c>
      <c r="AM451" s="91" t="str">
        <f aca="false">IF(ISBLANK($C451),"",IF($Z451=Constants!$B$7,RANK(AL451,$AL$8:$AL$507),$Z451))</f>
        <v/>
      </c>
      <c r="AN451" s="91" t="str">
        <f aca="false">IF(ISBLANK($C451),"",IF($Z451=Constants!$B$7,IF(ISNUMBER(AK451),COUNTIFS($AK$8:$AK$507,"&lt;"&amp;$AK451)+COUNTIFS($AK$8:$AK$507,$AK451,$AM$8:$AM$507,"&lt;"&amp;$AM451)+1,Constants!$B$14),$Z451))</f>
        <v/>
      </c>
      <c r="AO451" s="91" t="str">
        <f aca="false">IF(ISBLANK($C451),"",IF($Z451=Constants!$B$7,IF(ISNUMBER(AK451),AK451-AN451,Constants!$B$14),$Z451))</f>
        <v/>
      </c>
      <c r="AP451" s="92"/>
      <c r="AQ451" s="93" t="str">
        <f aca="false">IF(ISBLANK($C451),"",IF($Z451&lt;&gt;Constants!$B$7,"",AH451))</f>
        <v/>
      </c>
      <c r="AR451" s="94" t="str">
        <f aca="false">IF(ISBLANK($C451),"",IF($Z451&lt;&gt;Constants!$B$7,"",IF(AH451=1,AB451,AE451)))</f>
        <v/>
      </c>
      <c r="AS451" s="95" t="str">
        <f aca="false">IF(ISBLANK($C451),"",IF($Z451&lt;&gt;Constants!$B$7,"",IF(AH451=1,AC451,AF451)))</f>
        <v/>
      </c>
      <c r="AT451" s="96" t="str">
        <f aca="false">IF(ISBLANK($C451),"",IF($Z451&lt;&gt;Constants!$B$7,$Z451,AJ451))</f>
        <v/>
      </c>
      <c r="AU451" s="97" t="str">
        <f aca="false">IF(ISBLANK($C451),"",IF($Z451&lt;&gt;Constants!$B$7,$Z451,AA451))</f>
        <v/>
      </c>
      <c r="AV451" s="98" t="str">
        <f aca="false">IF(ISBLANK($C451),"",AO451)</f>
        <v/>
      </c>
      <c r="AW451" s="98" t="str">
        <f aca="false">IF(ISBLANK($C451),"",AN451)</f>
        <v/>
      </c>
      <c r="AX451" s="99" t="str">
        <f aca="false">IF(ISBLANK($C451),"",IFERROR(_xlfn.SWITCH(AW451,Constants!$B$4,COUNTA($C$8:$C$507)+2,Constants!$B$5,COUNTA($C$8:$C$507)+1,Constants!$B$6,COUNTA($C$8:$C$507)),AW451))</f>
        <v/>
      </c>
      <c r="AY451" s="5"/>
      <c r="AZ451" s="100" t="n">
        <f aca="false">IF(OR(ISNUMBER(AW451),AW451=Constants!$B$4,AW451=Constants!$B$6,AW451=Constants!$B$5),1,0)</f>
        <v>0</v>
      </c>
      <c r="BA451" s="100" t="n">
        <v>444</v>
      </c>
      <c r="BB451" s="100" t="str">
        <f aca="false">IF(ISBLANK($C451),"",IF(ISNUMBER(AX451),AX451+ROW($B451)/1000,""))</f>
        <v/>
      </c>
      <c r="BC451" s="100" t="str">
        <f aca="false">IF(ISNUMBER(BB451),RANK(BB451,$BB$8:$BB$507,1),"")</f>
        <v/>
      </c>
      <c r="BD451" s="100" t="str">
        <f aca="false">IF(ISBLANK($C451),"",$B451)</f>
        <v/>
      </c>
      <c r="BE451" s="100" t="str">
        <f aca="false">IF(ISBLANK($C451),"",$C451)</f>
        <v/>
      </c>
      <c r="BF451" s="100" t="str">
        <f aca="false">IF(ISBLANK($C451),"",$D451)</f>
        <v/>
      </c>
      <c r="BG451" s="101" t="str">
        <f aca="false">AU451</f>
        <v/>
      </c>
      <c r="BH451" s="102" t="str">
        <f aca="false">AT451</f>
        <v/>
      </c>
      <c r="BI451" s="100" t="str">
        <f aca="false">IF(ISBLANK($C451),"",AW451)</f>
        <v/>
      </c>
      <c r="BJ451" s="103" t="str">
        <f aca="false">IF($BA451&gt;$AZ$7,"",VLOOKUP($BA451,$BC$8:$BI$507,7,FALSE()))</f>
        <v/>
      </c>
      <c r="BK451" s="104" t="str">
        <f aca="false">IF($BA451&gt;$AZ$7,"",VLOOKUP($BA451,$BC$8:$BI$507,2,FALSE()))</f>
        <v/>
      </c>
      <c r="BL451" s="104" t="str">
        <f aca="false">IF($BA451&gt;$AZ$7,"",VLOOKUP($BA451,$BC$8:$BI$507,3,FALSE()))</f>
        <v/>
      </c>
      <c r="BM451" s="104" t="str">
        <f aca="false">IF($BA451&gt;$AZ$7,"",VLOOKUP($BA451,$BC$8:$BI$507,4,FALSE()))</f>
        <v/>
      </c>
      <c r="BN451" s="104" t="str">
        <f aca="false">IF($BA451&gt;$AZ$7,"",VLOOKUP($BA451,$BC$8:$BI$507,5,FALSE()))</f>
        <v/>
      </c>
      <c r="BO451" s="105" t="str">
        <f aca="false">IF($BA451&gt;$AZ$7,"",VLOOKUP($BA451,$BC$8:$BI$507,6,FALSE()))</f>
        <v/>
      </c>
      <c r="BP451" s="52"/>
    </row>
    <row r="452" customFormat="false" ht="15.75" hidden="false" customHeight="false" outlineLevel="0" collapsed="false">
      <c r="A452" s="5"/>
      <c r="B452" s="118"/>
      <c r="C452" s="54"/>
      <c r="D452" s="55"/>
      <c r="E452" s="79"/>
      <c r="F452" s="57"/>
      <c r="G452" s="58"/>
      <c r="H452" s="58"/>
      <c r="I452" s="57"/>
      <c r="J452" s="58"/>
      <c r="K452" s="58"/>
      <c r="L452" s="57"/>
      <c r="M452" s="79"/>
      <c r="N452" s="60"/>
      <c r="O452" s="62" t="str">
        <f aca="false">IF(ISBLANK($C452),"",IF(E452=Constants!$B$2, TRUE(), IF(E452=Constants!$B$3, FALSE(), TRUE())))</f>
        <v/>
      </c>
      <c r="P452" s="62" t="str">
        <f aca="false">IF(ISBLANK($C452),"",IF(F452=Constants!$B$16,Constants!$B$9,IF(F452=Constants!$B$17,Constants!$B$10,Constants!$B$8)))</f>
        <v/>
      </c>
      <c r="Q452" s="62" t="str">
        <f aca="false">IF(ISBLANK($C452),"",IF(ISNUMBER(G452),IF(G452&gt;=0,G452,""),""))</f>
        <v/>
      </c>
      <c r="R452" s="62" t="str">
        <f aca="false">IF(ISBLANK($C452),"",IF(H452=Constants!$B$2, TRUE(), IF(H452=Constants!$B$3, FALSE(), TRUE())))</f>
        <v/>
      </c>
      <c r="S452" s="62" t="str">
        <f aca="false">IF(ISBLANK($C452),"",IF(I452=Constants!$B$2, TRUE(), IF(I452=Constants!$B$3, FALSE(), TRUE())))</f>
        <v/>
      </c>
      <c r="T452" s="62" t="str">
        <f aca="false">IF(ISBLANK($C452),"",IF(ISNUMBER(J452),IF(J452&gt;=0,J452,""),""))</f>
        <v/>
      </c>
      <c r="U452" s="62" t="str">
        <f aca="false">IF(ISBLANK($C452),"",IF(K452=Constants!$B$2, TRUE(), IF(K452=Constants!$B$3, FALSE(), TRUE())))</f>
        <v/>
      </c>
      <c r="V452" s="62" t="str">
        <f aca="false">IF(ISBLANK($C452),"",IF(L452=Constants!$B$2, TRUE(), IF(L452=Constants!$B$3, FALSE(), TRUE())))</f>
        <v/>
      </c>
      <c r="W452" s="62" t="str">
        <f aca="false">IF(ISBLANK($C452),"",IF(M452=Constants!$B$2, TRUE(), IF(M452=Constants!$B$3, FALSE(), FALSE())))</f>
        <v/>
      </c>
      <c r="X452" s="62" t="str">
        <f aca="false">IF(ISBLANK($C452),"",AND(Q452&lt;&gt;"",O452))</f>
        <v/>
      </c>
      <c r="Y452" s="62" t="str">
        <f aca="false">IF(ISBLANK($C452),"",AND(T452&lt;&gt;"",O452))</f>
        <v/>
      </c>
      <c r="Z452" s="62" t="str">
        <f aca="false">IF(ISBLANK($C452),"",IF(W452,Constants!$B$4,IF(COUNTA(E452:L452)=0,Constants!$B$5,IF(NOT(O452),Constants!$B$6,IF(AND(NOT(X452),NOT(Y452)),Constants!$B$6,Constants!$B$7)))))</f>
        <v/>
      </c>
      <c r="AA452" s="62" t="str">
        <f aca="false">IF(ISBLANK($C452),"",IF($Z452&lt;&gt;Constants!$B$7,$Z452,Constants!$B$20))</f>
        <v/>
      </c>
      <c r="AB452" s="62" t="str">
        <f aca="false">IF($Z452=Constants!$B$7,IF(X452,Q452,Constants!$B$13),"")</f>
        <v/>
      </c>
      <c r="AC452" s="62" t="str">
        <f aca="false">IF($Z452=Constants!$B$7,IF(X452,P452*IF(R452, 1, Constants!$B$11)*IF(S452, 1, Constants!$B$12),Constants!$B$13),"")</f>
        <v/>
      </c>
      <c r="AD452" s="62" t="str">
        <f aca="false">IF($Z452=Constants!$B$7,AB452*AC452,"")</f>
        <v/>
      </c>
      <c r="AE452" s="62" t="str">
        <f aca="false">IF($Z452=Constants!$B$7,IF(Y452,T452,Constants!$B$13),"")</f>
        <v/>
      </c>
      <c r="AF452" s="62" t="str">
        <f aca="false">IF($Z452=Constants!$B$7,IF(Y452,P452*IF(U452, 1, Constants!$B$11)*IF(V452, 1, Constants!$B$12),Constants!$B$13),"")</f>
        <v/>
      </c>
      <c r="AG452" s="62" t="str">
        <f aca="false">IF($Z452=Constants!$B$7,AE452*AF452,"")</f>
        <v/>
      </c>
      <c r="AH452" s="62" t="str">
        <f aca="false">IF($Z452=Constants!$B$7,IF(AG452&gt;AD452,2,1),"")</f>
        <v/>
      </c>
      <c r="AI452" s="62" t="str">
        <f aca="false">IF($Z452=Constants!$B$7,IF(AH452=1,2,1),"")</f>
        <v/>
      </c>
      <c r="AJ452" s="62" t="str">
        <f aca="false">IF(ISBLANK($C452),"",IF($Z452&lt;&gt;Constants!$B$7,$Z452,IF(AH452=1,AD452,AG452)))</f>
        <v/>
      </c>
      <c r="AK452" s="62" t="str">
        <f aca="false">IF(ISBLANK($C452),"",IF($Z452=Constants!$B$7,IF(ISNUMBER(AJ452),RANK(AJ452,$AJ$8:$AJ$507),Constants!$B$14),$Z452))</f>
        <v/>
      </c>
      <c r="AL452" s="62" t="str">
        <f aca="false">IF(ISBLANK($C452),"",IF($Z452=Constants!$B$7,IF(AI452=1,AD452,AG452),""))</f>
        <v/>
      </c>
      <c r="AM452" s="62" t="str">
        <f aca="false">IF(ISBLANK($C452),"",IF($Z452=Constants!$B$7,RANK(AL452,$AL$8:$AL$507),$Z452))</f>
        <v/>
      </c>
      <c r="AN452" s="62" t="str">
        <f aca="false">IF(ISBLANK($C452),"",IF($Z452=Constants!$B$7,IF(ISNUMBER(AK452),COUNTIFS($AK$8:$AK$507,"&lt;"&amp;$AK452)+COUNTIFS($AK$8:$AK$507,$AK452,$AM$8:$AM$507,"&lt;"&amp;$AM452)+1,Constants!$B$14),$Z452))</f>
        <v/>
      </c>
      <c r="AO452" s="62" t="str">
        <f aca="false">IF(ISBLANK($C452),"",IF($Z452=Constants!$B$7,IF(ISNUMBER(AK452),AK452-AN452,Constants!$B$14),$Z452))</f>
        <v/>
      </c>
      <c r="AP452" s="64"/>
      <c r="AQ452" s="65" t="str">
        <f aca="false">IF(ISBLANK($C452),"",IF($Z452&lt;&gt;Constants!$B$7,"",AH452))</f>
        <v/>
      </c>
      <c r="AR452" s="80" t="str">
        <f aca="false">IF(ISBLANK($C452),"",IF($Z452&lt;&gt;Constants!$B$7,"",IF(AH452=1,AB452,AE452)))</f>
        <v/>
      </c>
      <c r="AS452" s="67" t="str">
        <f aca="false">IF(ISBLANK($C452),"",IF($Z452&lt;&gt;Constants!$B$7,"",IF(AH452=1,AC452,AF452)))</f>
        <v/>
      </c>
      <c r="AT452" s="68" t="str">
        <f aca="false">IF(ISBLANK($C452),"",IF($Z452&lt;&gt;Constants!$B$7,$Z452,AJ452))</f>
        <v/>
      </c>
      <c r="AU452" s="69" t="str">
        <f aca="false">IF(ISBLANK($C452),"",IF($Z452&lt;&gt;Constants!$B$7,$Z452,AA452))</f>
        <v/>
      </c>
      <c r="AV452" s="70" t="str">
        <f aca="false">IF(ISBLANK($C452),"",AO452)</f>
        <v/>
      </c>
      <c r="AW452" s="70" t="str">
        <f aca="false">IF(ISBLANK($C452),"",AN452)</f>
        <v/>
      </c>
      <c r="AX452" s="71" t="str">
        <f aca="false">IF(ISBLANK($C452),"",IFERROR(_xlfn.SWITCH(AW452,Constants!$B$4,COUNTA($C$8:$C$507)+2,Constants!$B$5,COUNTA($C$8:$C$507)+1,Constants!$B$6,COUNTA($C$8:$C$507)),AW452))</f>
        <v/>
      </c>
      <c r="AY452" s="5"/>
      <c r="AZ452" s="72" t="n">
        <f aca="false">IF(OR(ISNUMBER(AW452),AW452=Constants!$B$4,AW452=Constants!$B$6,AW452=Constants!$B$5),1,0)</f>
        <v>0</v>
      </c>
      <c r="BA452" s="72" t="n">
        <v>445</v>
      </c>
      <c r="BB452" s="72" t="str">
        <f aca="false">IF(ISBLANK($C452),"",IF(ISNUMBER(AX452),AX452+ROW($B452)/1000,""))</f>
        <v/>
      </c>
      <c r="BC452" s="72" t="str">
        <f aca="false">IF(ISNUMBER(BB452),RANK(BB452,$BB$8:$BB$507,1),"")</f>
        <v/>
      </c>
      <c r="BD452" s="72" t="str">
        <f aca="false">IF(ISBLANK($C452),"",$B452)</f>
        <v/>
      </c>
      <c r="BE452" s="72" t="str">
        <f aca="false">IF(ISBLANK($C452),"",$C452)</f>
        <v/>
      </c>
      <c r="BF452" s="72" t="str">
        <f aca="false">IF(ISBLANK($C452),"",$D452)</f>
        <v/>
      </c>
      <c r="BG452" s="73" t="str">
        <f aca="false">AU452</f>
        <v/>
      </c>
      <c r="BH452" s="74" t="str">
        <f aca="false">AT452</f>
        <v/>
      </c>
      <c r="BI452" s="72" t="str">
        <f aca="false">IF(ISBLANK($C452),"",AW452)</f>
        <v/>
      </c>
      <c r="BJ452" s="75" t="str">
        <f aca="false">IF($BA452&gt;$AZ$7,"",VLOOKUP($BA452,$BC$8:$BI$507,7,FALSE()))</f>
        <v/>
      </c>
      <c r="BK452" s="76" t="str">
        <f aca="false">IF($BA452&gt;$AZ$7,"",VLOOKUP($BA452,$BC$8:$BI$507,2,FALSE()))</f>
        <v/>
      </c>
      <c r="BL452" s="76" t="str">
        <f aca="false">IF($BA452&gt;$AZ$7,"",VLOOKUP($BA452,$BC$8:$BI$507,3,FALSE()))</f>
        <v/>
      </c>
      <c r="BM452" s="76" t="str">
        <f aca="false">IF($BA452&gt;$AZ$7,"",VLOOKUP($BA452,$BC$8:$BI$507,4,FALSE()))</f>
        <v/>
      </c>
      <c r="BN452" s="76" t="str">
        <f aca="false">IF($BA452&gt;$AZ$7,"",VLOOKUP($BA452,$BC$8:$BI$507,5,FALSE()))</f>
        <v/>
      </c>
      <c r="BO452" s="77" t="str">
        <f aca="false">IF($BA452&gt;$AZ$7,"",VLOOKUP($BA452,$BC$8:$BI$507,6,FALSE()))</f>
        <v/>
      </c>
      <c r="BP452" s="52"/>
    </row>
    <row r="453" customFormat="false" ht="15.75" hidden="false" customHeight="false" outlineLevel="0" collapsed="false">
      <c r="A453" s="5"/>
      <c r="B453" s="118"/>
      <c r="C453" s="54"/>
      <c r="D453" s="55"/>
      <c r="E453" s="79"/>
      <c r="F453" s="57"/>
      <c r="G453" s="58"/>
      <c r="H453" s="58"/>
      <c r="I453" s="57"/>
      <c r="J453" s="58"/>
      <c r="K453" s="58"/>
      <c r="L453" s="57"/>
      <c r="M453" s="79"/>
      <c r="N453" s="60"/>
      <c r="O453" s="62" t="str">
        <f aca="false">IF(ISBLANK($C453),"",IF(E453=Constants!$B$2, TRUE(), IF(E453=Constants!$B$3, FALSE(), TRUE())))</f>
        <v/>
      </c>
      <c r="P453" s="62" t="str">
        <f aca="false">IF(ISBLANK($C453),"",IF(F453=Constants!$B$16,Constants!$B$9,IF(F453=Constants!$B$17,Constants!$B$10,Constants!$B$8)))</f>
        <v/>
      </c>
      <c r="Q453" s="62" t="str">
        <f aca="false">IF(ISBLANK($C453),"",IF(ISNUMBER(G453),IF(G453&gt;=0,G453,""),""))</f>
        <v/>
      </c>
      <c r="R453" s="62" t="str">
        <f aca="false">IF(ISBLANK($C453),"",IF(H453=Constants!$B$2, TRUE(), IF(H453=Constants!$B$3, FALSE(), TRUE())))</f>
        <v/>
      </c>
      <c r="S453" s="62" t="str">
        <f aca="false">IF(ISBLANK($C453),"",IF(I453=Constants!$B$2, TRUE(), IF(I453=Constants!$B$3, FALSE(), TRUE())))</f>
        <v/>
      </c>
      <c r="T453" s="62" t="str">
        <f aca="false">IF(ISBLANK($C453),"",IF(ISNUMBER(J453),IF(J453&gt;=0,J453,""),""))</f>
        <v/>
      </c>
      <c r="U453" s="62" t="str">
        <f aca="false">IF(ISBLANK($C453),"",IF(K453=Constants!$B$2, TRUE(), IF(K453=Constants!$B$3, FALSE(), TRUE())))</f>
        <v/>
      </c>
      <c r="V453" s="62" t="str">
        <f aca="false">IF(ISBLANK($C453),"",IF(L453=Constants!$B$2, TRUE(), IF(L453=Constants!$B$3, FALSE(), TRUE())))</f>
        <v/>
      </c>
      <c r="W453" s="62" t="str">
        <f aca="false">IF(ISBLANK($C453),"",IF(M453=Constants!$B$2, TRUE(), IF(M453=Constants!$B$3, FALSE(), FALSE())))</f>
        <v/>
      </c>
      <c r="X453" s="62" t="str">
        <f aca="false">IF(ISBLANK($C453),"",AND(Q453&lt;&gt;"",O453))</f>
        <v/>
      </c>
      <c r="Y453" s="62" t="str">
        <f aca="false">IF(ISBLANK($C453),"",AND(T453&lt;&gt;"",O453))</f>
        <v/>
      </c>
      <c r="Z453" s="62" t="str">
        <f aca="false">IF(ISBLANK($C453),"",IF(W453,Constants!$B$4,IF(COUNTA(E453:L453)=0,Constants!$B$5,IF(NOT(O453),Constants!$B$6,IF(AND(NOT(X453),NOT(Y453)),Constants!$B$6,Constants!$B$7)))))</f>
        <v/>
      </c>
      <c r="AA453" s="62" t="str">
        <f aca="false">IF(ISBLANK($C453),"",IF($Z453&lt;&gt;Constants!$B$7,$Z453,Constants!$B$20))</f>
        <v/>
      </c>
      <c r="AB453" s="62" t="str">
        <f aca="false">IF($Z453=Constants!$B$7,IF(X453,Q453,Constants!$B$13),"")</f>
        <v/>
      </c>
      <c r="AC453" s="62" t="str">
        <f aca="false">IF($Z453=Constants!$B$7,IF(X453,P453*IF(R453, 1, Constants!$B$11)*IF(S453, 1, Constants!$B$12),Constants!$B$13),"")</f>
        <v/>
      </c>
      <c r="AD453" s="62" t="str">
        <f aca="false">IF($Z453=Constants!$B$7,AB453*AC453,"")</f>
        <v/>
      </c>
      <c r="AE453" s="62" t="str">
        <f aca="false">IF($Z453=Constants!$B$7,IF(Y453,T453,Constants!$B$13),"")</f>
        <v/>
      </c>
      <c r="AF453" s="62" t="str">
        <f aca="false">IF($Z453=Constants!$B$7,IF(Y453,P453*IF(U453, 1, Constants!$B$11)*IF(V453, 1, Constants!$B$12),Constants!$B$13),"")</f>
        <v/>
      </c>
      <c r="AG453" s="62" t="str">
        <f aca="false">IF($Z453=Constants!$B$7,AE453*AF453,"")</f>
        <v/>
      </c>
      <c r="AH453" s="62" t="str">
        <f aca="false">IF($Z453=Constants!$B$7,IF(AG453&gt;AD453,2,1),"")</f>
        <v/>
      </c>
      <c r="AI453" s="62" t="str">
        <f aca="false">IF($Z453=Constants!$B$7,IF(AH453=1,2,1),"")</f>
        <v/>
      </c>
      <c r="AJ453" s="62" t="str">
        <f aca="false">IF(ISBLANK($C453),"",IF($Z453&lt;&gt;Constants!$B$7,$Z453,IF(AH453=1,AD453,AG453)))</f>
        <v/>
      </c>
      <c r="AK453" s="62" t="str">
        <f aca="false">IF(ISBLANK($C453),"",IF($Z453=Constants!$B$7,IF(ISNUMBER(AJ453),RANK(AJ453,$AJ$8:$AJ$507),Constants!$B$14),$Z453))</f>
        <v/>
      </c>
      <c r="AL453" s="62" t="str">
        <f aca="false">IF(ISBLANK($C453),"",IF($Z453=Constants!$B$7,IF(AI453=1,AD453,AG453),""))</f>
        <v/>
      </c>
      <c r="AM453" s="62" t="str">
        <f aca="false">IF(ISBLANK($C453),"",IF($Z453=Constants!$B$7,RANK(AL453,$AL$8:$AL$507),$Z453))</f>
        <v/>
      </c>
      <c r="AN453" s="62" t="str">
        <f aca="false">IF(ISBLANK($C453),"",IF($Z453=Constants!$B$7,IF(ISNUMBER(AK453),COUNTIFS($AK$8:$AK$507,"&lt;"&amp;$AK453)+COUNTIFS($AK$8:$AK$507,$AK453,$AM$8:$AM$507,"&lt;"&amp;$AM453)+1,Constants!$B$14),$Z453))</f>
        <v/>
      </c>
      <c r="AO453" s="62" t="str">
        <f aca="false">IF(ISBLANK($C453),"",IF($Z453=Constants!$B$7,IF(ISNUMBER(AK453),AK453-AN453,Constants!$B$14),$Z453))</f>
        <v/>
      </c>
      <c r="AP453" s="64"/>
      <c r="AQ453" s="65" t="str">
        <f aca="false">IF(ISBLANK($C453),"",IF($Z453&lt;&gt;Constants!$B$7,"",AH453))</f>
        <v/>
      </c>
      <c r="AR453" s="80" t="str">
        <f aca="false">IF(ISBLANK($C453),"",IF($Z453&lt;&gt;Constants!$B$7,"",IF(AH453=1,AB453,AE453)))</f>
        <v/>
      </c>
      <c r="AS453" s="67" t="str">
        <f aca="false">IF(ISBLANK($C453),"",IF($Z453&lt;&gt;Constants!$B$7,"",IF(AH453=1,AC453,AF453)))</f>
        <v/>
      </c>
      <c r="AT453" s="68" t="str">
        <f aca="false">IF(ISBLANK($C453),"",IF($Z453&lt;&gt;Constants!$B$7,$Z453,AJ453))</f>
        <v/>
      </c>
      <c r="AU453" s="69" t="str">
        <f aca="false">IF(ISBLANK($C453),"",IF($Z453&lt;&gt;Constants!$B$7,$Z453,AA453))</f>
        <v/>
      </c>
      <c r="AV453" s="70" t="str">
        <f aca="false">IF(ISBLANK($C453),"",AO453)</f>
        <v/>
      </c>
      <c r="AW453" s="70" t="str">
        <f aca="false">IF(ISBLANK($C453),"",AN453)</f>
        <v/>
      </c>
      <c r="AX453" s="71" t="str">
        <f aca="false">IF(ISBLANK($C453),"",IFERROR(_xlfn.SWITCH(AW453,Constants!$B$4,COUNTA($C$8:$C$507)+2,Constants!$B$5,COUNTA($C$8:$C$507)+1,Constants!$B$6,COUNTA($C$8:$C$507)),AW453))</f>
        <v/>
      </c>
      <c r="AY453" s="5"/>
      <c r="AZ453" s="72" t="n">
        <f aca="false">IF(OR(ISNUMBER(AW453),AW453=Constants!$B$4,AW453=Constants!$B$6,AW453=Constants!$B$5),1,0)</f>
        <v>0</v>
      </c>
      <c r="BA453" s="72" t="n">
        <v>446</v>
      </c>
      <c r="BB453" s="72" t="str">
        <f aca="false">IF(ISBLANK($C453),"",IF(ISNUMBER(AX453),AX453+ROW($B453)/1000,""))</f>
        <v/>
      </c>
      <c r="BC453" s="72" t="str">
        <f aca="false">IF(ISNUMBER(BB453),RANK(BB453,$BB$8:$BB$507,1),"")</f>
        <v/>
      </c>
      <c r="BD453" s="72" t="str">
        <f aca="false">IF(ISBLANK($C453),"",$B453)</f>
        <v/>
      </c>
      <c r="BE453" s="72" t="str">
        <f aca="false">IF(ISBLANK($C453),"",$C453)</f>
        <v/>
      </c>
      <c r="BF453" s="72" t="str">
        <f aca="false">IF(ISBLANK($C453),"",$D453)</f>
        <v/>
      </c>
      <c r="BG453" s="73" t="str">
        <f aca="false">AU453</f>
        <v/>
      </c>
      <c r="BH453" s="74" t="str">
        <f aca="false">AT453</f>
        <v/>
      </c>
      <c r="BI453" s="72" t="str">
        <f aca="false">IF(ISBLANK($C453),"",AW453)</f>
        <v/>
      </c>
      <c r="BJ453" s="75" t="str">
        <f aca="false">IF($BA453&gt;$AZ$7,"",VLOOKUP($BA453,$BC$8:$BI$507,7,FALSE()))</f>
        <v/>
      </c>
      <c r="BK453" s="76" t="str">
        <f aca="false">IF($BA453&gt;$AZ$7,"",VLOOKUP($BA453,$BC$8:$BI$507,2,FALSE()))</f>
        <v/>
      </c>
      <c r="BL453" s="76" t="str">
        <f aca="false">IF($BA453&gt;$AZ$7,"",VLOOKUP($BA453,$BC$8:$BI$507,3,FALSE()))</f>
        <v/>
      </c>
      <c r="BM453" s="76" t="str">
        <f aca="false">IF($BA453&gt;$AZ$7,"",VLOOKUP($BA453,$BC$8:$BI$507,4,FALSE()))</f>
        <v/>
      </c>
      <c r="BN453" s="76" t="str">
        <f aca="false">IF($BA453&gt;$AZ$7,"",VLOOKUP($BA453,$BC$8:$BI$507,5,FALSE()))</f>
        <v/>
      </c>
      <c r="BO453" s="77" t="str">
        <f aca="false">IF($BA453&gt;$AZ$7,"",VLOOKUP($BA453,$BC$8:$BI$507,6,FALSE()))</f>
        <v/>
      </c>
      <c r="BP453" s="52"/>
    </row>
    <row r="454" customFormat="false" ht="15.75" hidden="false" customHeight="false" outlineLevel="0" collapsed="false">
      <c r="A454" s="5"/>
      <c r="B454" s="118"/>
      <c r="C454" s="54"/>
      <c r="D454" s="55"/>
      <c r="E454" s="79"/>
      <c r="F454" s="57"/>
      <c r="G454" s="58"/>
      <c r="H454" s="58"/>
      <c r="I454" s="57"/>
      <c r="J454" s="58"/>
      <c r="K454" s="58"/>
      <c r="L454" s="57"/>
      <c r="M454" s="79"/>
      <c r="N454" s="60"/>
      <c r="O454" s="62" t="str">
        <f aca="false">IF(ISBLANK($C454),"",IF(E454=Constants!$B$2, TRUE(), IF(E454=Constants!$B$3, FALSE(), TRUE())))</f>
        <v/>
      </c>
      <c r="P454" s="62" t="str">
        <f aca="false">IF(ISBLANK($C454),"",IF(F454=Constants!$B$16,Constants!$B$9,IF(F454=Constants!$B$17,Constants!$B$10,Constants!$B$8)))</f>
        <v/>
      </c>
      <c r="Q454" s="62" t="str">
        <f aca="false">IF(ISBLANK($C454),"",IF(ISNUMBER(G454),IF(G454&gt;=0,G454,""),""))</f>
        <v/>
      </c>
      <c r="R454" s="62" t="str">
        <f aca="false">IF(ISBLANK($C454),"",IF(H454=Constants!$B$2, TRUE(), IF(H454=Constants!$B$3, FALSE(), TRUE())))</f>
        <v/>
      </c>
      <c r="S454" s="62" t="str">
        <f aca="false">IF(ISBLANK($C454),"",IF(I454=Constants!$B$2, TRUE(), IF(I454=Constants!$B$3, FALSE(), TRUE())))</f>
        <v/>
      </c>
      <c r="T454" s="62" t="str">
        <f aca="false">IF(ISBLANK($C454),"",IF(ISNUMBER(J454),IF(J454&gt;=0,J454,""),""))</f>
        <v/>
      </c>
      <c r="U454" s="62" t="str">
        <f aca="false">IF(ISBLANK($C454),"",IF(K454=Constants!$B$2, TRUE(), IF(K454=Constants!$B$3, FALSE(), TRUE())))</f>
        <v/>
      </c>
      <c r="V454" s="62" t="str">
        <f aca="false">IF(ISBLANK($C454),"",IF(L454=Constants!$B$2, TRUE(), IF(L454=Constants!$B$3, FALSE(), TRUE())))</f>
        <v/>
      </c>
      <c r="W454" s="62" t="str">
        <f aca="false">IF(ISBLANK($C454),"",IF(M454=Constants!$B$2, TRUE(), IF(M454=Constants!$B$3, FALSE(), FALSE())))</f>
        <v/>
      </c>
      <c r="X454" s="62" t="str">
        <f aca="false">IF(ISBLANK($C454),"",AND(Q454&lt;&gt;"",O454))</f>
        <v/>
      </c>
      <c r="Y454" s="62" t="str">
        <f aca="false">IF(ISBLANK($C454),"",AND(T454&lt;&gt;"",O454))</f>
        <v/>
      </c>
      <c r="Z454" s="62" t="str">
        <f aca="false">IF(ISBLANK($C454),"",IF(W454,Constants!$B$4,IF(COUNTA(E454:L454)=0,Constants!$B$5,IF(NOT(O454),Constants!$B$6,IF(AND(NOT(X454),NOT(Y454)),Constants!$B$6,Constants!$B$7)))))</f>
        <v/>
      </c>
      <c r="AA454" s="62" t="str">
        <f aca="false">IF(ISBLANK($C454),"",IF($Z454&lt;&gt;Constants!$B$7,$Z454,Constants!$B$20))</f>
        <v/>
      </c>
      <c r="AB454" s="62" t="str">
        <f aca="false">IF($Z454=Constants!$B$7,IF(X454,Q454,Constants!$B$13),"")</f>
        <v/>
      </c>
      <c r="AC454" s="62" t="str">
        <f aca="false">IF($Z454=Constants!$B$7,IF(X454,P454*IF(R454, 1, Constants!$B$11)*IF(S454, 1, Constants!$B$12),Constants!$B$13),"")</f>
        <v/>
      </c>
      <c r="AD454" s="62" t="str">
        <f aca="false">IF($Z454=Constants!$B$7,AB454*AC454,"")</f>
        <v/>
      </c>
      <c r="AE454" s="62" t="str">
        <f aca="false">IF($Z454=Constants!$B$7,IF(Y454,T454,Constants!$B$13),"")</f>
        <v/>
      </c>
      <c r="AF454" s="62" t="str">
        <f aca="false">IF($Z454=Constants!$B$7,IF(Y454,P454*IF(U454, 1, Constants!$B$11)*IF(V454, 1, Constants!$B$12),Constants!$B$13),"")</f>
        <v/>
      </c>
      <c r="AG454" s="62" t="str">
        <f aca="false">IF($Z454=Constants!$B$7,AE454*AF454,"")</f>
        <v/>
      </c>
      <c r="AH454" s="62" t="str">
        <f aca="false">IF($Z454=Constants!$B$7,IF(AG454&gt;AD454,2,1),"")</f>
        <v/>
      </c>
      <c r="AI454" s="62" t="str">
        <f aca="false">IF($Z454=Constants!$B$7,IF(AH454=1,2,1),"")</f>
        <v/>
      </c>
      <c r="AJ454" s="62" t="str">
        <f aca="false">IF(ISBLANK($C454),"",IF($Z454&lt;&gt;Constants!$B$7,$Z454,IF(AH454=1,AD454,AG454)))</f>
        <v/>
      </c>
      <c r="AK454" s="62" t="str">
        <f aca="false">IF(ISBLANK($C454),"",IF($Z454=Constants!$B$7,IF(ISNUMBER(AJ454),RANK(AJ454,$AJ$8:$AJ$507),Constants!$B$14),$Z454))</f>
        <v/>
      </c>
      <c r="AL454" s="62" t="str">
        <f aca="false">IF(ISBLANK($C454),"",IF($Z454=Constants!$B$7,IF(AI454=1,AD454,AG454),""))</f>
        <v/>
      </c>
      <c r="AM454" s="62" t="str">
        <f aca="false">IF(ISBLANK($C454),"",IF($Z454=Constants!$B$7,RANK(AL454,$AL$8:$AL$507),$Z454))</f>
        <v/>
      </c>
      <c r="AN454" s="62" t="str">
        <f aca="false">IF(ISBLANK($C454),"",IF($Z454=Constants!$B$7,IF(ISNUMBER(AK454),COUNTIFS($AK$8:$AK$507,"&lt;"&amp;$AK454)+COUNTIFS($AK$8:$AK$507,$AK454,$AM$8:$AM$507,"&lt;"&amp;$AM454)+1,Constants!$B$14),$Z454))</f>
        <v/>
      </c>
      <c r="AO454" s="62" t="str">
        <f aca="false">IF(ISBLANK($C454),"",IF($Z454=Constants!$B$7,IF(ISNUMBER(AK454),AK454-AN454,Constants!$B$14),$Z454))</f>
        <v/>
      </c>
      <c r="AP454" s="64"/>
      <c r="AQ454" s="65" t="str">
        <f aca="false">IF(ISBLANK($C454),"",IF($Z454&lt;&gt;Constants!$B$7,"",AH454))</f>
        <v/>
      </c>
      <c r="AR454" s="80" t="str">
        <f aca="false">IF(ISBLANK($C454),"",IF($Z454&lt;&gt;Constants!$B$7,"",IF(AH454=1,AB454,AE454)))</f>
        <v/>
      </c>
      <c r="AS454" s="67" t="str">
        <f aca="false">IF(ISBLANK($C454),"",IF($Z454&lt;&gt;Constants!$B$7,"",IF(AH454=1,AC454,AF454)))</f>
        <v/>
      </c>
      <c r="AT454" s="68" t="str">
        <f aca="false">IF(ISBLANK($C454),"",IF($Z454&lt;&gt;Constants!$B$7,$Z454,AJ454))</f>
        <v/>
      </c>
      <c r="AU454" s="69" t="str">
        <f aca="false">IF(ISBLANK($C454),"",IF($Z454&lt;&gt;Constants!$B$7,$Z454,AA454))</f>
        <v/>
      </c>
      <c r="AV454" s="70" t="str">
        <f aca="false">IF(ISBLANK($C454),"",AO454)</f>
        <v/>
      </c>
      <c r="AW454" s="70" t="str">
        <f aca="false">IF(ISBLANK($C454),"",AN454)</f>
        <v/>
      </c>
      <c r="AX454" s="71" t="str">
        <f aca="false">IF(ISBLANK($C454),"",IFERROR(_xlfn.SWITCH(AW454,Constants!$B$4,COUNTA($C$8:$C$507)+2,Constants!$B$5,COUNTA($C$8:$C$507)+1,Constants!$B$6,COUNTA($C$8:$C$507)),AW454))</f>
        <v/>
      </c>
      <c r="AY454" s="5"/>
      <c r="AZ454" s="72" t="n">
        <f aca="false">IF(OR(ISNUMBER(AW454),AW454=Constants!$B$4,AW454=Constants!$B$6,AW454=Constants!$B$5),1,0)</f>
        <v>0</v>
      </c>
      <c r="BA454" s="72" t="n">
        <v>447</v>
      </c>
      <c r="BB454" s="72" t="str">
        <f aca="false">IF(ISBLANK($C454),"",IF(ISNUMBER(AX454),AX454+ROW($B454)/1000,""))</f>
        <v/>
      </c>
      <c r="BC454" s="72" t="str">
        <f aca="false">IF(ISNUMBER(BB454),RANK(BB454,$BB$8:$BB$507,1),"")</f>
        <v/>
      </c>
      <c r="BD454" s="72" t="str">
        <f aca="false">IF(ISBLANK($C454),"",$B454)</f>
        <v/>
      </c>
      <c r="BE454" s="72" t="str">
        <f aca="false">IF(ISBLANK($C454),"",$C454)</f>
        <v/>
      </c>
      <c r="BF454" s="72" t="str">
        <f aca="false">IF(ISBLANK($C454),"",$D454)</f>
        <v/>
      </c>
      <c r="BG454" s="73" t="str">
        <f aca="false">AU454</f>
        <v/>
      </c>
      <c r="BH454" s="74" t="str">
        <f aca="false">AT454</f>
        <v/>
      </c>
      <c r="BI454" s="72" t="str">
        <f aca="false">IF(ISBLANK($C454),"",AW454)</f>
        <v/>
      </c>
      <c r="BJ454" s="75" t="str">
        <f aca="false">IF($BA454&gt;$AZ$7,"",VLOOKUP($BA454,$BC$8:$BI$507,7,FALSE()))</f>
        <v/>
      </c>
      <c r="BK454" s="76" t="str">
        <f aca="false">IF($BA454&gt;$AZ$7,"",VLOOKUP($BA454,$BC$8:$BI$507,2,FALSE()))</f>
        <v/>
      </c>
      <c r="BL454" s="76" t="str">
        <f aca="false">IF($BA454&gt;$AZ$7,"",VLOOKUP($BA454,$BC$8:$BI$507,3,FALSE()))</f>
        <v/>
      </c>
      <c r="BM454" s="76" t="str">
        <f aca="false">IF($BA454&gt;$AZ$7,"",VLOOKUP($BA454,$BC$8:$BI$507,4,FALSE()))</f>
        <v/>
      </c>
      <c r="BN454" s="76" t="str">
        <f aca="false">IF($BA454&gt;$AZ$7,"",VLOOKUP($BA454,$BC$8:$BI$507,5,FALSE()))</f>
        <v/>
      </c>
      <c r="BO454" s="77" t="str">
        <f aca="false">IF($BA454&gt;$AZ$7,"",VLOOKUP($BA454,$BC$8:$BI$507,6,FALSE()))</f>
        <v/>
      </c>
      <c r="BP454" s="52"/>
    </row>
    <row r="455" customFormat="false" ht="15.75" hidden="false" customHeight="false" outlineLevel="0" collapsed="false">
      <c r="A455" s="5"/>
      <c r="B455" s="114"/>
      <c r="C455" s="115"/>
      <c r="D455" s="106"/>
      <c r="E455" s="117"/>
      <c r="F455" s="87"/>
      <c r="G455" s="88"/>
      <c r="H455" s="88"/>
      <c r="I455" s="87"/>
      <c r="J455" s="88"/>
      <c r="K455" s="88"/>
      <c r="L455" s="87"/>
      <c r="M455" s="117"/>
      <c r="N455" s="90"/>
      <c r="O455" s="91" t="str">
        <f aca="false">IF(ISBLANK($C455),"",IF(E455=Constants!$B$2, TRUE(), IF(E455=Constants!$B$3, FALSE(), TRUE())))</f>
        <v/>
      </c>
      <c r="P455" s="91" t="str">
        <f aca="false">IF(ISBLANK($C455),"",IF(F455=Constants!$B$16,Constants!$B$9,IF(F455=Constants!$B$17,Constants!$B$10,Constants!$B$8)))</f>
        <v/>
      </c>
      <c r="Q455" s="91" t="str">
        <f aca="false">IF(ISBLANK($C455),"",IF(ISNUMBER(G455),IF(G455&gt;=0,G455,""),""))</f>
        <v/>
      </c>
      <c r="R455" s="91" t="str">
        <f aca="false">IF(ISBLANK($C455),"",IF(H455=Constants!$B$2, TRUE(), IF(H455=Constants!$B$3, FALSE(), TRUE())))</f>
        <v/>
      </c>
      <c r="S455" s="91" t="str">
        <f aca="false">IF(ISBLANK($C455),"",IF(I455=Constants!$B$2, TRUE(), IF(I455=Constants!$B$3, FALSE(), TRUE())))</f>
        <v/>
      </c>
      <c r="T455" s="91" t="str">
        <f aca="false">IF(ISBLANK($C455),"",IF(ISNUMBER(J455),IF(J455&gt;=0,J455,""),""))</f>
        <v/>
      </c>
      <c r="U455" s="91" t="str">
        <f aca="false">IF(ISBLANK($C455),"",IF(K455=Constants!$B$2, TRUE(), IF(K455=Constants!$B$3, FALSE(), TRUE())))</f>
        <v/>
      </c>
      <c r="V455" s="91" t="str">
        <f aca="false">IF(ISBLANK($C455),"",IF(L455=Constants!$B$2, TRUE(), IF(L455=Constants!$B$3, FALSE(), TRUE())))</f>
        <v/>
      </c>
      <c r="W455" s="91" t="str">
        <f aca="false">IF(ISBLANK($C455),"",IF(M455=Constants!$B$2, TRUE(), IF(M455=Constants!$B$3, FALSE(), FALSE())))</f>
        <v/>
      </c>
      <c r="X455" s="91" t="str">
        <f aca="false">IF(ISBLANK($C455),"",AND(Q455&lt;&gt;"",O455))</f>
        <v/>
      </c>
      <c r="Y455" s="91" t="str">
        <f aca="false">IF(ISBLANK($C455),"",AND(T455&lt;&gt;"",O455))</f>
        <v/>
      </c>
      <c r="Z455" s="91" t="str">
        <f aca="false">IF(ISBLANK($C455),"",IF(W455,Constants!$B$4,IF(COUNTA(E455:L455)=0,Constants!$B$5,IF(NOT(O455),Constants!$B$6,IF(AND(NOT(X455),NOT(Y455)),Constants!$B$6,Constants!$B$7)))))</f>
        <v/>
      </c>
      <c r="AA455" s="91" t="str">
        <f aca="false">IF(ISBLANK($C455),"",IF($Z455&lt;&gt;Constants!$B$7,$Z455,Constants!$B$20))</f>
        <v/>
      </c>
      <c r="AB455" s="91" t="str">
        <f aca="false">IF($Z455=Constants!$B$7,IF(X455,Q455,Constants!$B$13),"")</f>
        <v/>
      </c>
      <c r="AC455" s="91" t="str">
        <f aca="false">IF($Z455=Constants!$B$7,IF(X455,P455*IF(R455, 1, Constants!$B$11)*IF(S455, 1, Constants!$B$12),Constants!$B$13),"")</f>
        <v/>
      </c>
      <c r="AD455" s="91" t="str">
        <f aca="false">IF($Z455=Constants!$B$7,AB455*AC455,"")</f>
        <v/>
      </c>
      <c r="AE455" s="91" t="str">
        <f aca="false">IF($Z455=Constants!$B$7,IF(Y455,T455,Constants!$B$13),"")</f>
        <v/>
      </c>
      <c r="AF455" s="91" t="str">
        <f aca="false">IF($Z455=Constants!$B$7,IF(Y455,P455*IF(U455, 1, Constants!$B$11)*IF(V455, 1, Constants!$B$12),Constants!$B$13),"")</f>
        <v/>
      </c>
      <c r="AG455" s="91" t="str">
        <f aca="false">IF($Z455=Constants!$B$7,AE455*AF455,"")</f>
        <v/>
      </c>
      <c r="AH455" s="91" t="str">
        <f aca="false">IF($Z455=Constants!$B$7,IF(AG455&gt;AD455,2,1),"")</f>
        <v/>
      </c>
      <c r="AI455" s="91" t="str">
        <f aca="false">IF($Z455=Constants!$B$7,IF(AH455=1,2,1),"")</f>
        <v/>
      </c>
      <c r="AJ455" s="91" t="str">
        <f aca="false">IF(ISBLANK($C455),"",IF($Z455&lt;&gt;Constants!$B$7,$Z455,IF(AH455=1,AD455,AG455)))</f>
        <v/>
      </c>
      <c r="AK455" s="91" t="str">
        <f aca="false">IF(ISBLANK($C455),"",IF($Z455=Constants!$B$7,IF(ISNUMBER(AJ455),RANK(AJ455,$AJ$8:$AJ$507),Constants!$B$14),$Z455))</f>
        <v/>
      </c>
      <c r="AL455" s="91" t="str">
        <f aca="false">IF(ISBLANK($C455),"",IF($Z455=Constants!$B$7,IF(AI455=1,AD455,AG455),""))</f>
        <v/>
      </c>
      <c r="AM455" s="91" t="str">
        <f aca="false">IF(ISBLANK($C455),"",IF($Z455=Constants!$B$7,RANK(AL455,$AL$8:$AL$507),$Z455))</f>
        <v/>
      </c>
      <c r="AN455" s="91" t="str">
        <f aca="false">IF(ISBLANK($C455),"",IF($Z455=Constants!$B$7,IF(ISNUMBER(AK455),COUNTIFS($AK$8:$AK$507,"&lt;"&amp;$AK455)+COUNTIFS($AK$8:$AK$507,$AK455,$AM$8:$AM$507,"&lt;"&amp;$AM455)+1,Constants!$B$14),$Z455))</f>
        <v/>
      </c>
      <c r="AO455" s="91" t="str">
        <f aca="false">IF(ISBLANK($C455),"",IF($Z455=Constants!$B$7,IF(ISNUMBER(AK455),AK455-AN455,Constants!$B$14),$Z455))</f>
        <v/>
      </c>
      <c r="AP455" s="92"/>
      <c r="AQ455" s="93" t="str">
        <f aca="false">IF(ISBLANK($C455),"",IF($Z455&lt;&gt;Constants!$B$7,"",AH455))</f>
        <v/>
      </c>
      <c r="AR455" s="94" t="str">
        <f aca="false">IF(ISBLANK($C455),"",IF($Z455&lt;&gt;Constants!$B$7,"",IF(AH455=1,AB455,AE455)))</f>
        <v/>
      </c>
      <c r="AS455" s="95" t="str">
        <f aca="false">IF(ISBLANK($C455),"",IF($Z455&lt;&gt;Constants!$B$7,"",IF(AH455=1,AC455,AF455)))</f>
        <v/>
      </c>
      <c r="AT455" s="96" t="str">
        <f aca="false">IF(ISBLANK($C455),"",IF($Z455&lt;&gt;Constants!$B$7,$Z455,AJ455))</f>
        <v/>
      </c>
      <c r="AU455" s="97" t="str">
        <f aca="false">IF(ISBLANK($C455),"",IF($Z455&lt;&gt;Constants!$B$7,$Z455,AA455))</f>
        <v/>
      </c>
      <c r="AV455" s="98" t="str">
        <f aca="false">IF(ISBLANK($C455),"",AO455)</f>
        <v/>
      </c>
      <c r="AW455" s="98" t="str">
        <f aca="false">IF(ISBLANK($C455),"",AN455)</f>
        <v/>
      </c>
      <c r="AX455" s="99" t="str">
        <f aca="false">IF(ISBLANK($C455),"",IFERROR(_xlfn.SWITCH(AW455,Constants!$B$4,COUNTA($C$8:$C$507)+2,Constants!$B$5,COUNTA($C$8:$C$507)+1,Constants!$B$6,COUNTA($C$8:$C$507)),AW455))</f>
        <v/>
      </c>
      <c r="AY455" s="5"/>
      <c r="AZ455" s="100" t="n">
        <f aca="false">IF(OR(ISNUMBER(AW455),AW455=Constants!$B$4,AW455=Constants!$B$6,AW455=Constants!$B$5),1,0)</f>
        <v>0</v>
      </c>
      <c r="BA455" s="100" t="n">
        <v>448</v>
      </c>
      <c r="BB455" s="100" t="str">
        <f aca="false">IF(ISBLANK($C455),"",IF(ISNUMBER(AX455),AX455+ROW($B455)/1000,""))</f>
        <v/>
      </c>
      <c r="BC455" s="100" t="str">
        <f aca="false">IF(ISNUMBER(BB455),RANK(BB455,$BB$8:$BB$507,1),"")</f>
        <v/>
      </c>
      <c r="BD455" s="100" t="str">
        <f aca="false">IF(ISBLANK($C455),"",$B455)</f>
        <v/>
      </c>
      <c r="BE455" s="100" t="str">
        <f aca="false">IF(ISBLANK($C455),"",$C455)</f>
        <v/>
      </c>
      <c r="BF455" s="100" t="str">
        <f aca="false">IF(ISBLANK($C455),"",$D455)</f>
        <v/>
      </c>
      <c r="BG455" s="101" t="str">
        <f aca="false">AU455</f>
        <v/>
      </c>
      <c r="BH455" s="102" t="str">
        <f aca="false">AT455</f>
        <v/>
      </c>
      <c r="BI455" s="100" t="str">
        <f aca="false">IF(ISBLANK($C455),"",AW455)</f>
        <v/>
      </c>
      <c r="BJ455" s="103" t="str">
        <f aca="false">IF($BA455&gt;$AZ$7,"",VLOOKUP($BA455,$BC$8:$BI$507,7,FALSE()))</f>
        <v/>
      </c>
      <c r="BK455" s="104" t="str">
        <f aca="false">IF($BA455&gt;$AZ$7,"",VLOOKUP($BA455,$BC$8:$BI$507,2,FALSE()))</f>
        <v/>
      </c>
      <c r="BL455" s="104" t="str">
        <f aca="false">IF($BA455&gt;$AZ$7,"",VLOOKUP($BA455,$BC$8:$BI$507,3,FALSE()))</f>
        <v/>
      </c>
      <c r="BM455" s="104" t="str">
        <f aca="false">IF($BA455&gt;$AZ$7,"",VLOOKUP($BA455,$BC$8:$BI$507,4,FALSE()))</f>
        <v/>
      </c>
      <c r="BN455" s="104" t="str">
        <f aca="false">IF($BA455&gt;$AZ$7,"",VLOOKUP($BA455,$BC$8:$BI$507,5,FALSE()))</f>
        <v/>
      </c>
      <c r="BO455" s="105" t="str">
        <f aca="false">IF($BA455&gt;$AZ$7,"",VLOOKUP($BA455,$BC$8:$BI$507,6,FALSE()))</f>
        <v/>
      </c>
      <c r="BP455" s="52"/>
    </row>
    <row r="456" customFormat="false" ht="15.75" hidden="false" customHeight="false" outlineLevel="0" collapsed="false">
      <c r="A456" s="5"/>
      <c r="B456" s="114"/>
      <c r="C456" s="115"/>
      <c r="D456" s="106"/>
      <c r="E456" s="117"/>
      <c r="F456" s="87"/>
      <c r="G456" s="88"/>
      <c r="H456" s="88"/>
      <c r="I456" s="87"/>
      <c r="J456" s="88"/>
      <c r="K456" s="88"/>
      <c r="L456" s="87"/>
      <c r="M456" s="117"/>
      <c r="N456" s="90"/>
      <c r="O456" s="91" t="str">
        <f aca="false">IF(ISBLANK($C456),"",IF(E456=Constants!$B$2, TRUE(), IF(E456=Constants!$B$3, FALSE(), TRUE())))</f>
        <v/>
      </c>
      <c r="P456" s="91" t="str">
        <f aca="false">IF(ISBLANK($C456),"",IF(F456=Constants!$B$16,Constants!$B$9,IF(F456=Constants!$B$17,Constants!$B$10,Constants!$B$8)))</f>
        <v/>
      </c>
      <c r="Q456" s="91" t="str">
        <f aca="false">IF(ISBLANK($C456),"",IF(ISNUMBER(G456),IF(G456&gt;=0,G456,""),""))</f>
        <v/>
      </c>
      <c r="R456" s="91" t="str">
        <f aca="false">IF(ISBLANK($C456),"",IF(H456=Constants!$B$2, TRUE(), IF(H456=Constants!$B$3, FALSE(), TRUE())))</f>
        <v/>
      </c>
      <c r="S456" s="91" t="str">
        <f aca="false">IF(ISBLANK($C456),"",IF(I456=Constants!$B$2, TRUE(), IF(I456=Constants!$B$3, FALSE(), TRUE())))</f>
        <v/>
      </c>
      <c r="T456" s="91" t="str">
        <f aca="false">IF(ISBLANK($C456),"",IF(ISNUMBER(J456),IF(J456&gt;=0,J456,""),""))</f>
        <v/>
      </c>
      <c r="U456" s="91" t="str">
        <f aca="false">IF(ISBLANK($C456),"",IF(K456=Constants!$B$2, TRUE(), IF(K456=Constants!$B$3, FALSE(), TRUE())))</f>
        <v/>
      </c>
      <c r="V456" s="91" t="str">
        <f aca="false">IF(ISBLANK($C456),"",IF(L456=Constants!$B$2, TRUE(), IF(L456=Constants!$B$3, FALSE(), TRUE())))</f>
        <v/>
      </c>
      <c r="W456" s="91" t="str">
        <f aca="false">IF(ISBLANK($C456),"",IF(M456=Constants!$B$2, TRUE(), IF(M456=Constants!$B$3, FALSE(), FALSE())))</f>
        <v/>
      </c>
      <c r="X456" s="91" t="str">
        <f aca="false">IF(ISBLANK($C456),"",AND(Q456&lt;&gt;"",O456))</f>
        <v/>
      </c>
      <c r="Y456" s="91" t="str">
        <f aca="false">IF(ISBLANK($C456),"",AND(T456&lt;&gt;"",O456))</f>
        <v/>
      </c>
      <c r="Z456" s="91" t="str">
        <f aca="false">IF(ISBLANK($C456),"",IF(W456,Constants!$B$4,IF(COUNTA(E456:L456)=0,Constants!$B$5,IF(NOT(O456),Constants!$B$6,IF(AND(NOT(X456),NOT(Y456)),Constants!$B$6,Constants!$B$7)))))</f>
        <v/>
      </c>
      <c r="AA456" s="91" t="str">
        <f aca="false">IF(ISBLANK($C456),"",IF($Z456&lt;&gt;Constants!$B$7,$Z456,Constants!$B$20))</f>
        <v/>
      </c>
      <c r="AB456" s="91" t="str">
        <f aca="false">IF($Z456=Constants!$B$7,IF(X456,Q456,Constants!$B$13),"")</f>
        <v/>
      </c>
      <c r="AC456" s="91" t="str">
        <f aca="false">IF($Z456=Constants!$B$7,IF(X456,P456*IF(R456, 1, Constants!$B$11)*IF(S456, 1, Constants!$B$12),Constants!$B$13),"")</f>
        <v/>
      </c>
      <c r="AD456" s="91" t="str">
        <f aca="false">IF($Z456=Constants!$B$7,AB456*AC456,"")</f>
        <v/>
      </c>
      <c r="AE456" s="91" t="str">
        <f aca="false">IF($Z456=Constants!$B$7,IF(Y456,T456,Constants!$B$13),"")</f>
        <v/>
      </c>
      <c r="AF456" s="91" t="str">
        <f aca="false">IF($Z456=Constants!$B$7,IF(Y456,P456*IF(U456, 1, Constants!$B$11)*IF(V456, 1, Constants!$B$12),Constants!$B$13),"")</f>
        <v/>
      </c>
      <c r="AG456" s="91" t="str">
        <f aca="false">IF($Z456=Constants!$B$7,AE456*AF456,"")</f>
        <v/>
      </c>
      <c r="AH456" s="91" t="str">
        <f aca="false">IF($Z456=Constants!$B$7,IF(AG456&gt;AD456,2,1),"")</f>
        <v/>
      </c>
      <c r="AI456" s="91" t="str">
        <f aca="false">IF($Z456=Constants!$B$7,IF(AH456=1,2,1),"")</f>
        <v/>
      </c>
      <c r="AJ456" s="91" t="str">
        <f aca="false">IF(ISBLANK($C456),"",IF($Z456&lt;&gt;Constants!$B$7,$Z456,IF(AH456=1,AD456,AG456)))</f>
        <v/>
      </c>
      <c r="AK456" s="91" t="str">
        <f aca="false">IF(ISBLANK($C456),"",IF($Z456=Constants!$B$7,IF(ISNUMBER(AJ456),RANK(AJ456,$AJ$8:$AJ$507),Constants!$B$14),$Z456))</f>
        <v/>
      </c>
      <c r="AL456" s="91" t="str">
        <f aca="false">IF(ISBLANK($C456),"",IF($Z456=Constants!$B$7,IF(AI456=1,AD456,AG456),""))</f>
        <v/>
      </c>
      <c r="AM456" s="91" t="str">
        <f aca="false">IF(ISBLANK($C456),"",IF($Z456=Constants!$B$7,RANK(AL456,$AL$8:$AL$507),$Z456))</f>
        <v/>
      </c>
      <c r="AN456" s="91" t="str">
        <f aca="false">IF(ISBLANK($C456),"",IF($Z456=Constants!$B$7,IF(ISNUMBER(AK456),COUNTIFS($AK$8:$AK$507,"&lt;"&amp;$AK456)+COUNTIFS($AK$8:$AK$507,$AK456,$AM$8:$AM$507,"&lt;"&amp;$AM456)+1,Constants!$B$14),$Z456))</f>
        <v/>
      </c>
      <c r="AO456" s="91" t="str">
        <f aca="false">IF(ISBLANK($C456),"",IF($Z456=Constants!$B$7,IF(ISNUMBER(AK456),AK456-AN456,Constants!$B$14),$Z456))</f>
        <v/>
      </c>
      <c r="AP456" s="92"/>
      <c r="AQ456" s="93" t="str">
        <f aca="false">IF(ISBLANK($C456),"",IF($Z456&lt;&gt;Constants!$B$7,"",AH456))</f>
        <v/>
      </c>
      <c r="AR456" s="94" t="str">
        <f aca="false">IF(ISBLANK($C456),"",IF($Z456&lt;&gt;Constants!$B$7,"",IF(AH456=1,AB456,AE456)))</f>
        <v/>
      </c>
      <c r="AS456" s="95" t="str">
        <f aca="false">IF(ISBLANK($C456),"",IF($Z456&lt;&gt;Constants!$B$7,"",IF(AH456=1,AC456,AF456)))</f>
        <v/>
      </c>
      <c r="AT456" s="96" t="str">
        <f aca="false">IF(ISBLANK($C456),"",IF($Z456&lt;&gt;Constants!$B$7,$Z456,AJ456))</f>
        <v/>
      </c>
      <c r="AU456" s="97" t="str">
        <f aca="false">IF(ISBLANK($C456),"",IF($Z456&lt;&gt;Constants!$B$7,$Z456,AA456))</f>
        <v/>
      </c>
      <c r="AV456" s="98" t="str">
        <f aca="false">IF(ISBLANK($C456),"",AO456)</f>
        <v/>
      </c>
      <c r="AW456" s="98" t="str">
        <f aca="false">IF(ISBLANK($C456),"",AN456)</f>
        <v/>
      </c>
      <c r="AX456" s="99" t="str">
        <f aca="false">IF(ISBLANK($C456),"",IFERROR(_xlfn.SWITCH(AW456,Constants!$B$4,COUNTA($C$8:$C$507)+2,Constants!$B$5,COUNTA($C$8:$C$507)+1,Constants!$B$6,COUNTA($C$8:$C$507)),AW456))</f>
        <v/>
      </c>
      <c r="AY456" s="5"/>
      <c r="AZ456" s="100" t="n">
        <f aca="false">IF(OR(ISNUMBER(AW456),AW456=Constants!$B$4,AW456=Constants!$B$6,AW456=Constants!$B$5),1,0)</f>
        <v>0</v>
      </c>
      <c r="BA456" s="100" t="n">
        <v>449</v>
      </c>
      <c r="BB456" s="100" t="str">
        <f aca="false">IF(ISBLANK($C456),"",IF(ISNUMBER(AX456),AX456+ROW($B456)/1000,""))</f>
        <v/>
      </c>
      <c r="BC456" s="100" t="str">
        <f aca="false">IF(ISNUMBER(BB456),RANK(BB456,$BB$8:$BB$507,1),"")</f>
        <v/>
      </c>
      <c r="BD456" s="100" t="str">
        <f aca="false">IF(ISBLANK($C456),"",$B456)</f>
        <v/>
      </c>
      <c r="BE456" s="100" t="str">
        <f aca="false">IF(ISBLANK($C456),"",$C456)</f>
        <v/>
      </c>
      <c r="BF456" s="100" t="str">
        <f aca="false">IF(ISBLANK($C456),"",$D456)</f>
        <v/>
      </c>
      <c r="BG456" s="101" t="str">
        <f aca="false">AU456</f>
        <v/>
      </c>
      <c r="BH456" s="102" t="str">
        <f aca="false">AT456</f>
        <v/>
      </c>
      <c r="BI456" s="100" t="str">
        <f aca="false">IF(ISBLANK($C456),"",AW456)</f>
        <v/>
      </c>
      <c r="BJ456" s="103" t="str">
        <f aca="false">IF($BA456&gt;$AZ$7,"",VLOOKUP($BA456,$BC$8:$BI$507,7,FALSE()))</f>
        <v/>
      </c>
      <c r="BK456" s="104" t="str">
        <f aca="false">IF($BA456&gt;$AZ$7,"",VLOOKUP($BA456,$BC$8:$BI$507,2,FALSE()))</f>
        <v/>
      </c>
      <c r="BL456" s="104" t="str">
        <f aca="false">IF($BA456&gt;$AZ$7,"",VLOOKUP($BA456,$BC$8:$BI$507,3,FALSE()))</f>
        <v/>
      </c>
      <c r="BM456" s="104" t="str">
        <f aca="false">IF($BA456&gt;$AZ$7,"",VLOOKUP($BA456,$BC$8:$BI$507,4,FALSE()))</f>
        <v/>
      </c>
      <c r="BN456" s="104" t="str">
        <f aca="false">IF($BA456&gt;$AZ$7,"",VLOOKUP($BA456,$BC$8:$BI$507,5,FALSE()))</f>
        <v/>
      </c>
      <c r="BO456" s="105" t="str">
        <f aca="false">IF($BA456&gt;$AZ$7,"",VLOOKUP($BA456,$BC$8:$BI$507,6,FALSE()))</f>
        <v/>
      </c>
      <c r="BP456" s="52"/>
    </row>
    <row r="457" customFormat="false" ht="15.75" hidden="false" customHeight="false" outlineLevel="0" collapsed="false">
      <c r="A457" s="5"/>
      <c r="B457" s="114"/>
      <c r="C457" s="115"/>
      <c r="D457" s="106"/>
      <c r="E457" s="117"/>
      <c r="F457" s="87"/>
      <c r="G457" s="88"/>
      <c r="H457" s="88"/>
      <c r="I457" s="87"/>
      <c r="J457" s="88"/>
      <c r="K457" s="88"/>
      <c r="L457" s="87"/>
      <c r="M457" s="117"/>
      <c r="N457" s="90"/>
      <c r="O457" s="91" t="str">
        <f aca="false">IF(ISBLANK($C457),"",IF(E457=Constants!$B$2, TRUE(), IF(E457=Constants!$B$3, FALSE(), TRUE())))</f>
        <v/>
      </c>
      <c r="P457" s="91" t="str">
        <f aca="false">IF(ISBLANK($C457),"",IF(F457=Constants!$B$16,Constants!$B$9,IF(F457=Constants!$B$17,Constants!$B$10,Constants!$B$8)))</f>
        <v/>
      </c>
      <c r="Q457" s="91" t="str">
        <f aca="false">IF(ISBLANK($C457),"",IF(ISNUMBER(G457),IF(G457&gt;=0,G457,""),""))</f>
        <v/>
      </c>
      <c r="R457" s="91" t="str">
        <f aca="false">IF(ISBLANK($C457),"",IF(H457=Constants!$B$2, TRUE(), IF(H457=Constants!$B$3, FALSE(), TRUE())))</f>
        <v/>
      </c>
      <c r="S457" s="91" t="str">
        <f aca="false">IF(ISBLANK($C457),"",IF(I457=Constants!$B$2, TRUE(), IF(I457=Constants!$B$3, FALSE(), TRUE())))</f>
        <v/>
      </c>
      <c r="T457" s="91" t="str">
        <f aca="false">IF(ISBLANK($C457),"",IF(ISNUMBER(J457),IF(J457&gt;=0,J457,""),""))</f>
        <v/>
      </c>
      <c r="U457" s="91" t="str">
        <f aca="false">IF(ISBLANK($C457),"",IF(K457=Constants!$B$2, TRUE(), IF(K457=Constants!$B$3, FALSE(), TRUE())))</f>
        <v/>
      </c>
      <c r="V457" s="91" t="str">
        <f aca="false">IF(ISBLANK($C457),"",IF(L457=Constants!$B$2, TRUE(), IF(L457=Constants!$B$3, FALSE(), TRUE())))</f>
        <v/>
      </c>
      <c r="W457" s="91" t="str">
        <f aca="false">IF(ISBLANK($C457),"",IF(M457=Constants!$B$2, TRUE(), IF(M457=Constants!$B$3, FALSE(), FALSE())))</f>
        <v/>
      </c>
      <c r="X457" s="91" t="str">
        <f aca="false">IF(ISBLANK($C457),"",AND(Q457&lt;&gt;"",O457))</f>
        <v/>
      </c>
      <c r="Y457" s="91" t="str">
        <f aca="false">IF(ISBLANK($C457),"",AND(T457&lt;&gt;"",O457))</f>
        <v/>
      </c>
      <c r="Z457" s="91" t="str">
        <f aca="false">IF(ISBLANK($C457),"",IF(W457,Constants!$B$4,IF(COUNTA(E457:L457)=0,Constants!$B$5,IF(NOT(O457),Constants!$B$6,IF(AND(NOT(X457),NOT(Y457)),Constants!$B$6,Constants!$B$7)))))</f>
        <v/>
      </c>
      <c r="AA457" s="91" t="str">
        <f aca="false">IF(ISBLANK($C457),"",IF($Z457&lt;&gt;Constants!$B$7,$Z457,Constants!$B$20))</f>
        <v/>
      </c>
      <c r="AB457" s="91" t="str">
        <f aca="false">IF($Z457=Constants!$B$7,IF(X457,Q457,Constants!$B$13),"")</f>
        <v/>
      </c>
      <c r="AC457" s="91" t="str">
        <f aca="false">IF($Z457=Constants!$B$7,IF(X457,P457*IF(R457, 1, Constants!$B$11)*IF(S457, 1, Constants!$B$12),Constants!$B$13),"")</f>
        <v/>
      </c>
      <c r="AD457" s="91" t="str">
        <f aca="false">IF($Z457=Constants!$B$7,AB457*AC457,"")</f>
        <v/>
      </c>
      <c r="AE457" s="91" t="str">
        <f aca="false">IF($Z457=Constants!$B$7,IF(Y457,T457,Constants!$B$13),"")</f>
        <v/>
      </c>
      <c r="AF457" s="91" t="str">
        <f aca="false">IF($Z457=Constants!$B$7,IF(Y457,P457*IF(U457, 1, Constants!$B$11)*IF(V457, 1, Constants!$B$12),Constants!$B$13),"")</f>
        <v/>
      </c>
      <c r="AG457" s="91" t="str">
        <f aca="false">IF($Z457=Constants!$B$7,AE457*AF457,"")</f>
        <v/>
      </c>
      <c r="AH457" s="91" t="str">
        <f aca="false">IF($Z457=Constants!$B$7,IF(AG457&gt;AD457,2,1),"")</f>
        <v/>
      </c>
      <c r="AI457" s="91" t="str">
        <f aca="false">IF($Z457=Constants!$B$7,IF(AH457=1,2,1),"")</f>
        <v/>
      </c>
      <c r="AJ457" s="91" t="str">
        <f aca="false">IF(ISBLANK($C457),"",IF($Z457&lt;&gt;Constants!$B$7,$Z457,IF(AH457=1,AD457,AG457)))</f>
        <v/>
      </c>
      <c r="AK457" s="91" t="str">
        <f aca="false">IF(ISBLANK($C457),"",IF($Z457=Constants!$B$7,IF(ISNUMBER(AJ457),RANK(AJ457,$AJ$8:$AJ$507),Constants!$B$14),$Z457))</f>
        <v/>
      </c>
      <c r="AL457" s="91" t="str">
        <f aca="false">IF(ISBLANK($C457),"",IF($Z457=Constants!$B$7,IF(AI457=1,AD457,AG457),""))</f>
        <v/>
      </c>
      <c r="AM457" s="91" t="str">
        <f aca="false">IF(ISBLANK($C457),"",IF($Z457=Constants!$B$7,RANK(AL457,$AL$8:$AL$507),$Z457))</f>
        <v/>
      </c>
      <c r="AN457" s="91" t="str">
        <f aca="false">IF(ISBLANK($C457),"",IF($Z457=Constants!$B$7,IF(ISNUMBER(AK457),COUNTIFS($AK$8:$AK$507,"&lt;"&amp;$AK457)+COUNTIFS($AK$8:$AK$507,$AK457,$AM$8:$AM$507,"&lt;"&amp;$AM457)+1,Constants!$B$14),$Z457))</f>
        <v/>
      </c>
      <c r="AO457" s="91" t="str">
        <f aca="false">IF(ISBLANK($C457),"",IF($Z457=Constants!$B$7,IF(ISNUMBER(AK457),AK457-AN457,Constants!$B$14),$Z457))</f>
        <v/>
      </c>
      <c r="AP457" s="92"/>
      <c r="AQ457" s="93" t="str">
        <f aca="false">IF(ISBLANK($C457),"",IF($Z457&lt;&gt;Constants!$B$7,"",AH457))</f>
        <v/>
      </c>
      <c r="AR457" s="94" t="str">
        <f aca="false">IF(ISBLANK($C457),"",IF($Z457&lt;&gt;Constants!$B$7,"",IF(AH457=1,AB457,AE457)))</f>
        <v/>
      </c>
      <c r="AS457" s="95" t="str">
        <f aca="false">IF(ISBLANK($C457),"",IF($Z457&lt;&gt;Constants!$B$7,"",IF(AH457=1,AC457,AF457)))</f>
        <v/>
      </c>
      <c r="AT457" s="96" t="str">
        <f aca="false">IF(ISBLANK($C457),"",IF($Z457&lt;&gt;Constants!$B$7,$Z457,AJ457))</f>
        <v/>
      </c>
      <c r="AU457" s="97" t="str">
        <f aca="false">IF(ISBLANK($C457),"",IF($Z457&lt;&gt;Constants!$B$7,$Z457,AA457))</f>
        <v/>
      </c>
      <c r="AV457" s="98" t="str">
        <f aca="false">IF(ISBLANK($C457),"",AO457)</f>
        <v/>
      </c>
      <c r="AW457" s="98" t="str">
        <f aca="false">IF(ISBLANK($C457),"",AN457)</f>
        <v/>
      </c>
      <c r="AX457" s="99" t="str">
        <f aca="false">IF(ISBLANK($C457),"",IFERROR(_xlfn.SWITCH(AW457,Constants!$B$4,COUNTA($C$8:$C$507)+2,Constants!$B$5,COUNTA($C$8:$C$507)+1,Constants!$B$6,COUNTA($C$8:$C$507)),AW457))</f>
        <v/>
      </c>
      <c r="AY457" s="5"/>
      <c r="AZ457" s="100" t="n">
        <f aca="false">IF(OR(ISNUMBER(AW457),AW457=Constants!$B$4,AW457=Constants!$B$6,AW457=Constants!$B$5),1,0)</f>
        <v>0</v>
      </c>
      <c r="BA457" s="100" t="n">
        <v>450</v>
      </c>
      <c r="BB457" s="100" t="str">
        <f aca="false">IF(ISBLANK($C457),"",IF(ISNUMBER(AX457),AX457+ROW($B457)/1000,""))</f>
        <v/>
      </c>
      <c r="BC457" s="100" t="str">
        <f aca="false">IF(ISNUMBER(BB457),RANK(BB457,$BB$8:$BB$507,1),"")</f>
        <v/>
      </c>
      <c r="BD457" s="100" t="str">
        <f aca="false">IF(ISBLANK($C457),"",$B457)</f>
        <v/>
      </c>
      <c r="BE457" s="100" t="str">
        <f aca="false">IF(ISBLANK($C457),"",$C457)</f>
        <v/>
      </c>
      <c r="BF457" s="100" t="str">
        <f aca="false">IF(ISBLANK($C457),"",$D457)</f>
        <v/>
      </c>
      <c r="BG457" s="101" t="str">
        <f aca="false">AU457</f>
        <v/>
      </c>
      <c r="BH457" s="102" t="str">
        <f aca="false">AT457</f>
        <v/>
      </c>
      <c r="BI457" s="100" t="str">
        <f aca="false">IF(ISBLANK($C457),"",AW457)</f>
        <v/>
      </c>
      <c r="BJ457" s="103" t="str">
        <f aca="false">IF($BA457&gt;$AZ$7,"",VLOOKUP($BA457,$BC$8:$BI$507,7,FALSE()))</f>
        <v/>
      </c>
      <c r="BK457" s="104" t="str">
        <f aca="false">IF($BA457&gt;$AZ$7,"",VLOOKUP($BA457,$BC$8:$BI$507,2,FALSE()))</f>
        <v/>
      </c>
      <c r="BL457" s="104" t="str">
        <f aca="false">IF($BA457&gt;$AZ$7,"",VLOOKUP($BA457,$BC$8:$BI$507,3,FALSE()))</f>
        <v/>
      </c>
      <c r="BM457" s="104" t="str">
        <f aca="false">IF($BA457&gt;$AZ$7,"",VLOOKUP($BA457,$BC$8:$BI$507,4,FALSE()))</f>
        <v/>
      </c>
      <c r="BN457" s="104" t="str">
        <f aca="false">IF($BA457&gt;$AZ$7,"",VLOOKUP($BA457,$BC$8:$BI$507,5,FALSE()))</f>
        <v/>
      </c>
      <c r="BO457" s="105" t="str">
        <f aca="false">IF($BA457&gt;$AZ$7,"",VLOOKUP($BA457,$BC$8:$BI$507,6,FALSE()))</f>
        <v/>
      </c>
      <c r="BP457" s="52"/>
    </row>
    <row r="458" customFormat="false" ht="15.75" hidden="false" customHeight="false" outlineLevel="0" collapsed="false">
      <c r="A458" s="5"/>
      <c r="B458" s="118"/>
      <c r="C458" s="54"/>
      <c r="D458" s="55"/>
      <c r="E458" s="79"/>
      <c r="F458" s="57"/>
      <c r="G458" s="58"/>
      <c r="H458" s="58"/>
      <c r="I458" s="57"/>
      <c r="J458" s="58"/>
      <c r="K458" s="58"/>
      <c r="L458" s="57"/>
      <c r="M458" s="79"/>
      <c r="N458" s="60"/>
      <c r="O458" s="62" t="str">
        <f aca="false">IF(ISBLANK($C458),"",IF(E458=Constants!$B$2, TRUE(), IF(E458=Constants!$B$3, FALSE(), TRUE())))</f>
        <v/>
      </c>
      <c r="P458" s="62" t="str">
        <f aca="false">IF(ISBLANK($C458),"",IF(F458=Constants!$B$16,Constants!$B$9,IF(F458=Constants!$B$17,Constants!$B$10,Constants!$B$8)))</f>
        <v/>
      </c>
      <c r="Q458" s="62" t="str">
        <f aca="false">IF(ISBLANK($C458),"",IF(ISNUMBER(G458),IF(G458&gt;=0,G458,""),""))</f>
        <v/>
      </c>
      <c r="R458" s="62" t="str">
        <f aca="false">IF(ISBLANK($C458),"",IF(H458=Constants!$B$2, TRUE(), IF(H458=Constants!$B$3, FALSE(), TRUE())))</f>
        <v/>
      </c>
      <c r="S458" s="62" t="str">
        <f aca="false">IF(ISBLANK($C458),"",IF(I458=Constants!$B$2, TRUE(), IF(I458=Constants!$B$3, FALSE(), TRUE())))</f>
        <v/>
      </c>
      <c r="T458" s="62" t="str">
        <f aca="false">IF(ISBLANK($C458),"",IF(ISNUMBER(J458),IF(J458&gt;=0,J458,""),""))</f>
        <v/>
      </c>
      <c r="U458" s="62" t="str">
        <f aca="false">IF(ISBLANK($C458),"",IF(K458=Constants!$B$2, TRUE(), IF(K458=Constants!$B$3, FALSE(), TRUE())))</f>
        <v/>
      </c>
      <c r="V458" s="62" t="str">
        <f aca="false">IF(ISBLANK($C458),"",IF(L458=Constants!$B$2, TRUE(), IF(L458=Constants!$B$3, FALSE(), TRUE())))</f>
        <v/>
      </c>
      <c r="W458" s="62" t="str">
        <f aca="false">IF(ISBLANK($C458),"",IF(M458=Constants!$B$2, TRUE(), IF(M458=Constants!$B$3, FALSE(), FALSE())))</f>
        <v/>
      </c>
      <c r="X458" s="62" t="str">
        <f aca="false">IF(ISBLANK($C458),"",AND(Q458&lt;&gt;"",O458))</f>
        <v/>
      </c>
      <c r="Y458" s="62" t="str">
        <f aca="false">IF(ISBLANK($C458),"",AND(T458&lt;&gt;"",O458))</f>
        <v/>
      </c>
      <c r="Z458" s="62" t="str">
        <f aca="false">IF(ISBLANK($C458),"",IF(W458,Constants!$B$4,IF(COUNTA(E458:L458)=0,Constants!$B$5,IF(NOT(O458),Constants!$B$6,IF(AND(NOT(X458),NOT(Y458)),Constants!$B$6,Constants!$B$7)))))</f>
        <v/>
      </c>
      <c r="AA458" s="62" t="str">
        <f aca="false">IF(ISBLANK($C458),"",IF($Z458&lt;&gt;Constants!$B$7,$Z458,Constants!$B$20))</f>
        <v/>
      </c>
      <c r="AB458" s="62" t="str">
        <f aca="false">IF($Z458=Constants!$B$7,IF(X458,Q458,Constants!$B$13),"")</f>
        <v/>
      </c>
      <c r="AC458" s="62" t="str">
        <f aca="false">IF($Z458=Constants!$B$7,IF(X458,P458*IF(R458, 1, Constants!$B$11)*IF(S458, 1, Constants!$B$12),Constants!$B$13),"")</f>
        <v/>
      </c>
      <c r="AD458" s="62" t="str">
        <f aca="false">IF($Z458=Constants!$B$7,AB458*AC458,"")</f>
        <v/>
      </c>
      <c r="AE458" s="62" t="str">
        <f aca="false">IF($Z458=Constants!$B$7,IF(Y458,T458,Constants!$B$13),"")</f>
        <v/>
      </c>
      <c r="AF458" s="62" t="str">
        <f aca="false">IF($Z458=Constants!$B$7,IF(Y458,P458*IF(U458, 1, Constants!$B$11)*IF(V458, 1, Constants!$B$12),Constants!$B$13),"")</f>
        <v/>
      </c>
      <c r="AG458" s="62" t="str">
        <f aca="false">IF($Z458=Constants!$B$7,AE458*AF458,"")</f>
        <v/>
      </c>
      <c r="AH458" s="62" t="str">
        <f aca="false">IF($Z458=Constants!$B$7,IF(AG458&gt;AD458,2,1),"")</f>
        <v/>
      </c>
      <c r="AI458" s="62" t="str">
        <f aca="false">IF($Z458=Constants!$B$7,IF(AH458=1,2,1),"")</f>
        <v/>
      </c>
      <c r="AJ458" s="62" t="str">
        <f aca="false">IF(ISBLANK($C458),"",IF($Z458&lt;&gt;Constants!$B$7,$Z458,IF(AH458=1,AD458,AG458)))</f>
        <v/>
      </c>
      <c r="AK458" s="62" t="str">
        <f aca="false">IF(ISBLANK($C458),"",IF($Z458=Constants!$B$7,IF(ISNUMBER(AJ458),RANK(AJ458,$AJ$8:$AJ$507),Constants!$B$14),$Z458))</f>
        <v/>
      </c>
      <c r="AL458" s="62" t="str">
        <f aca="false">IF(ISBLANK($C458),"",IF($Z458=Constants!$B$7,IF(AI458=1,AD458,AG458),""))</f>
        <v/>
      </c>
      <c r="AM458" s="62" t="str">
        <f aca="false">IF(ISBLANK($C458),"",IF($Z458=Constants!$B$7,RANK(AL458,$AL$8:$AL$507),$Z458))</f>
        <v/>
      </c>
      <c r="AN458" s="62" t="str">
        <f aca="false">IF(ISBLANK($C458),"",IF($Z458=Constants!$B$7,IF(ISNUMBER(AK458),COUNTIFS($AK$8:$AK$507,"&lt;"&amp;$AK458)+COUNTIFS($AK$8:$AK$507,$AK458,$AM$8:$AM$507,"&lt;"&amp;$AM458)+1,Constants!$B$14),$Z458))</f>
        <v/>
      </c>
      <c r="AO458" s="62" t="str">
        <f aca="false">IF(ISBLANK($C458),"",IF($Z458=Constants!$B$7,IF(ISNUMBER(AK458),AK458-AN458,Constants!$B$14),$Z458))</f>
        <v/>
      </c>
      <c r="AP458" s="64"/>
      <c r="AQ458" s="65" t="str">
        <f aca="false">IF(ISBLANK($C458),"",IF($Z458&lt;&gt;Constants!$B$7,"",AH458))</f>
        <v/>
      </c>
      <c r="AR458" s="80" t="str">
        <f aca="false">IF(ISBLANK($C458),"",IF($Z458&lt;&gt;Constants!$B$7,"",IF(AH458=1,AB458,AE458)))</f>
        <v/>
      </c>
      <c r="AS458" s="67" t="str">
        <f aca="false">IF(ISBLANK($C458),"",IF($Z458&lt;&gt;Constants!$B$7,"",IF(AH458=1,AC458,AF458)))</f>
        <v/>
      </c>
      <c r="AT458" s="68" t="str">
        <f aca="false">IF(ISBLANK($C458),"",IF($Z458&lt;&gt;Constants!$B$7,$Z458,AJ458))</f>
        <v/>
      </c>
      <c r="AU458" s="69" t="str">
        <f aca="false">IF(ISBLANK($C458),"",IF($Z458&lt;&gt;Constants!$B$7,$Z458,AA458))</f>
        <v/>
      </c>
      <c r="AV458" s="70" t="str">
        <f aca="false">IF(ISBLANK($C458),"",AO458)</f>
        <v/>
      </c>
      <c r="AW458" s="70" t="str">
        <f aca="false">IF(ISBLANK($C458),"",AN458)</f>
        <v/>
      </c>
      <c r="AX458" s="71" t="str">
        <f aca="false">IF(ISBLANK($C458),"",IFERROR(_xlfn.SWITCH(AW458,Constants!$B$4,COUNTA($C$8:$C$507)+2,Constants!$B$5,COUNTA($C$8:$C$507)+1,Constants!$B$6,COUNTA($C$8:$C$507)),AW458))</f>
        <v/>
      </c>
      <c r="AY458" s="5"/>
      <c r="AZ458" s="72" t="n">
        <f aca="false">IF(OR(ISNUMBER(AW458),AW458=Constants!$B$4,AW458=Constants!$B$6,AW458=Constants!$B$5),1,0)</f>
        <v>0</v>
      </c>
      <c r="BA458" s="72" t="n">
        <v>451</v>
      </c>
      <c r="BB458" s="72" t="str">
        <f aca="false">IF(ISBLANK($C458),"",IF(ISNUMBER(AX458),AX458+ROW($B458)/1000,""))</f>
        <v/>
      </c>
      <c r="BC458" s="72" t="str">
        <f aca="false">IF(ISNUMBER(BB458),RANK(BB458,$BB$8:$BB$507,1),"")</f>
        <v/>
      </c>
      <c r="BD458" s="72" t="str">
        <f aca="false">IF(ISBLANK($C458),"",$B458)</f>
        <v/>
      </c>
      <c r="BE458" s="72" t="str">
        <f aca="false">IF(ISBLANK($C458),"",$C458)</f>
        <v/>
      </c>
      <c r="BF458" s="72" t="str">
        <f aca="false">IF(ISBLANK($C458),"",$D458)</f>
        <v/>
      </c>
      <c r="BG458" s="73" t="str">
        <f aca="false">AU458</f>
        <v/>
      </c>
      <c r="BH458" s="74" t="str">
        <f aca="false">AT458</f>
        <v/>
      </c>
      <c r="BI458" s="72" t="str">
        <f aca="false">IF(ISBLANK($C458),"",AW458)</f>
        <v/>
      </c>
      <c r="BJ458" s="75" t="str">
        <f aca="false">IF($BA458&gt;$AZ$7,"",VLOOKUP($BA458,$BC$8:$BI$507,7,FALSE()))</f>
        <v/>
      </c>
      <c r="BK458" s="76" t="str">
        <f aca="false">IF($BA458&gt;$AZ$7,"",VLOOKUP($BA458,$BC$8:$BI$507,2,FALSE()))</f>
        <v/>
      </c>
      <c r="BL458" s="76" t="str">
        <f aca="false">IF($BA458&gt;$AZ$7,"",VLOOKUP($BA458,$BC$8:$BI$507,3,FALSE()))</f>
        <v/>
      </c>
      <c r="BM458" s="76" t="str">
        <f aca="false">IF($BA458&gt;$AZ$7,"",VLOOKUP($BA458,$BC$8:$BI$507,4,FALSE()))</f>
        <v/>
      </c>
      <c r="BN458" s="76" t="str">
        <f aca="false">IF($BA458&gt;$AZ$7,"",VLOOKUP($BA458,$BC$8:$BI$507,5,FALSE()))</f>
        <v/>
      </c>
      <c r="BO458" s="77" t="str">
        <f aca="false">IF($BA458&gt;$AZ$7,"",VLOOKUP($BA458,$BC$8:$BI$507,6,FALSE()))</f>
        <v/>
      </c>
      <c r="BP458" s="52"/>
    </row>
    <row r="459" customFormat="false" ht="15.75" hidden="false" customHeight="false" outlineLevel="0" collapsed="false">
      <c r="A459" s="5"/>
      <c r="B459" s="118"/>
      <c r="C459" s="54"/>
      <c r="D459" s="55"/>
      <c r="E459" s="79"/>
      <c r="F459" s="57"/>
      <c r="G459" s="58"/>
      <c r="H459" s="58"/>
      <c r="I459" s="57"/>
      <c r="J459" s="58"/>
      <c r="K459" s="58"/>
      <c r="L459" s="57"/>
      <c r="M459" s="79"/>
      <c r="N459" s="60"/>
      <c r="O459" s="62" t="str">
        <f aca="false">IF(ISBLANK($C459),"",IF(E459=Constants!$B$2, TRUE(), IF(E459=Constants!$B$3, FALSE(), TRUE())))</f>
        <v/>
      </c>
      <c r="P459" s="62" t="str">
        <f aca="false">IF(ISBLANK($C459),"",IF(F459=Constants!$B$16,Constants!$B$9,IF(F459=Constants!$B$17,Constants!$B$10,Constants!$B$8)))</f>
        <v/>
      </c>
      <c r="Q459" s="62" t="str">
        <f aca="false">IF(ISBLANK($C459),"",IF(ISNUMBER(G459),IF(G459&gt;=0,G459,""),""))</f>
        <v/>
      </c>
      <c r="R459" s="62" t="str">
        <f aca="false">IF(ISBLANK($C459),"",IF(H459=Constants!$B$2, TRUE(), IF(H459=Constants!$B$3, FALSE(), TRUE())))</f>
        <v/>
      </c>
      <c r="S459" s="62" t="str">
        <f aca="false">IF(ISBLANK($C459),"",IF(I459=Constants!$B$2, TRUE(), IF(I459=Constants!$B$3, FALSE(), TRUE())))</f>
        <v/>
      </c>
      <c r="T459" s="62" t="str">
        <f aca="false">IF(ISBLANK($C459),"",IF(ISNUMBER(J459),IF(J459&gt;=0,J459,""),""))</f>
        <v/>
      </c>
      <c r="U459" s="62" t="str">
        <f aca="false">IF(ISBLANK($C459),"",IF(K459=Constants!$B$2, TRUE(), IF(K459=Constants!$B$3, FALSE(), TRUE())))</f>
        <v/>
      </c>
      <c r="V459" s="62" t="str">
        <f aca="false">IF(ISBLANK($C459),"",IF(L459=Constants!$B$2, TRUE(), IF(L459=Constants!$B$3, FALSE(), TRUE())))</f>
        <v/>
      </c>
      <c r="W459" s="62" t="str">
        <f aca="false">IF(ISBLANK($C459),"",IF(M459=Constants!$B$2, TRUE(), IF(M459=Constants!$B$3, FALSE(), FALSE())))</f>
        <v/>
      </c>
      <c r="X459" s="62" t="str">
        <f aca="false">IF(ISBLANK($C459),"",AND(Q459&lt;&gt;"",O459))</f>
        <v/>
      </c>
      <c r="Y459" s="62" t="str">
        <f aca="false">IF(ISBLANK($C459),"",AND(T459&lt;&gt;"",O459))</f>
        <v/>
      </c>
      <c r="Z459" s="62" t="str">
        <f aca="false">IF(ISBLANK($C459),"",IF(W459,Constants!$B$4,IF(COUNTA(E459:L459)=0,Constants!$B$5,IF(NOT(O459),Constants!$B$6,IF(AND(NOT(X459),NOT(Y459)),Constants!$B$6,Constants!$B$7)))))</f>
        <v/>
      </c>
      <c r="AA459" s="62" t="str">
        <f aca="false">IF(ISBLANK($C459),"",IF($Z459&lt;&gt;Constants!$B$7,$Z459,Constants!$B$20))</f>
        <v/>
      </c>
      <c r="AB459" s="62" t="str">
        <f aca="false">IF($Z459=Constants!$B$7,IF(X459,Q459,Constants!$B$13),"")</f>
        <v/>
      </c>
      <c r="AC459" s="62" t="str">
        <f aca="false">IF($Z459=Constants!$B$7,IF(X459,P459*IF(R459, 1, Constants!$B$11)*IF(S459, 1, Constants!$B$12),Constants!$B$13),"")</f>
        <v/>
      </c>
      <c r="AD459" s="62" t="str">
        <f aca="false">IF($Z459=Constants!$B$7,AB459*AC459,"")</f>
        <v/>
      </c>
      <c r="AE459" s="62" t="str">
        <f aca="false">IF($Z459=Constants!$B$7,IF(Y459,T459,Constants!$B$13),"")</f>
        <v/>
      </c>
      <c r="AF459" s="62" t="str">
        <f aca="false">IF($Z459=Constants!$B$7,IF(Y459,P459*IF(U459, 1, Constants!$B$11)*IF(V459, 1, Constants!$B$12),Constants!$B$13),"")</f>
        <v/>
      </c>
      <c r="AG459" s="62" t="str">
        <f aca="false">IF($Z459=Constants!$B$7,AE459*AF459,"")</f>
        <v/>
      </c>
      <c r="AH459" s="62" t="str">
        <f aca="false">IF($Z459=Constants!$B$7,IF(AG459&gt;AD459,2,1),"")</f>
        <v/>
      </c>
      <c r="AI459" s="62" t="str">
        <f aca="false">IF($Z459=Constants!$B$7,IF(AH459=1,2,1),"")</f>
        <v/>
      </c>
      <c r="AJ459" s="62" t="str">
        <f aca="false">IF(ISBLANK($C459),"",IF($Z459&lt;&gt;Constants!$B$7,$Z459,IF(AH459=1,AD459,AG459)))</f>
        <v/>
      </c>
      <c r="AK459" s="62" t="str">
        <f aca="false">IF(ISBLANK($C459),"",IF($Z459=Constants!$B$7,IF(ISNUMBER(AJ459),RANK(AJ459,$AJ$8:$AJ$507),Constants!$B$14),$Z459))</f>
        <v/>
      </c>
      <c r="AL459" s="62" t="str">
        <f aca="false">IF(ISBLANK($C459),"",IF($Z459=Constants!$B$7,IF(AI459=1,AD459,AG459),""))</f>
        <v/>
      </c>
      <c r="AM459" s="62" t="str">
        <f aca="false">IF(ISBLANK($C459),"",IF($Z459=Constants!$B$7,RANK(AL459,$AL$8:$AL$507),$Z459))</f>
        <v/>
      </c>
      <c r="AN459" s="62" t="str">
        <f aca="false">IF(ISBLANK($C459),"",IF($Z459=Constants!$B$7,IF(ISNUMBER(AK459),COUNTIFS($AK$8:$AK$507,"&lt;"&amp;$AK459)+COUNTIFS($AK$8:$AK$507,$AK459,$AM$8:$AM$507,"&lt;"&amp;$AM459)+1,Constants!$B$14),$Z459))</f>
        <v/>
      </c>
      <c r="AO459" s="62" t="str">
        <f aca="false">IF(ISBLANK($C459),"",IF($Z459=Constants!$B$7,IF(ISNUMBER(AK459),AK459-AN459,Constants!$B$14),$Z459))</f>
        <v/>
      </c>
      <c r="AP459" s="64"/>
      <c r="AQ459" s="65" t="str">
        <f aca="false">IF(ISBLANK($C459),"",IF($Z459&lt;&gt;Constants!$B$7,"",AH459))</f>
        <v/>
      </c>
      <c r="AR459" s="80" t="str">
        <f aca="false">IF(ISBLANK($C459),"",IF($Z459&lt;&gt;Constants!$B$7,"",IF(AH459=1,AB459,AE459)))</f>
        <v/>
      </c>
      <c r="AS459" s="67" t="str">
        <f aca="false">IF(ISBLANK($C459),"",IF($Z459&lt;&gt;Constants!$B$7,"",IF(AH459=1,AC459,AF459)))</f>
        <v/>
      </c>
      <c r="AT459" s="68" t="str">
        <f aca="false">IF(ISBLANK($C459),"",IF($Z459&lt;&gt;Constants!$B$7,$Z459,AJ459))</f>
        <v/>
      </c>
      <c r="AU459" s="69" t="str">
        <f aca="false">IF(ISBLANK($C459),"",IF($Z459&lt;&gt;Constants!$B$7,$Z459,AA459))</f>
        <v/>
      </c>
      <c r="AV459" s="70" t="str">
        <f aca="false">IF(ISBLANK($C459),"",AO459)</f>
        <v/>
      </c>
      <c r="AW459" s="70" t="str">
        <f aca="false">IF(ISBLANK($C459),"",AN459)</f>
        <v/>
      </c>
      <c r="AX459" s="71" t="str">
        <f aca="false">IF(ISBLANK($C459),"",IFERROR(_xlfn.SWITCH(AW459,Constants!$B$4,COUNTA($C$8:$C$507)+2,Constants!$B$5,COUNTA($C$8:$C$507)+1,Constants!$B$6,COUNTA($C$8:$C$507)),AW459))</f>
        <v/>
      </c>
      <c r="AY459" s="5"/>
      <c r="AZ459" s="72" t="n">
        <f aca="false">IF(OR(ISNUMBER(AW459),AW459=Constants!$B$4,AW459=Constants!$B$6,AW459=Constants!$B$5),1,0)</f>
        <v>0</v>
      </c>
      <c r="BA459" s="72" t="n">
        <v>452</v>
      </c>
      <c r="BB459" s="72" t="str">
        <f aca="false">IF(ISBLANK($C459),"",IF(ISNUMBER(AX459),AX459+ROW($B459)/1000,""))</f>
        <v/>
      </c>
      <c r="BC459" s="72" t="str">
        <f aca="false">IF(ISNUMBER(BB459),RANK(BB459,$BB$8:$BB$507,1),"")</f>
        <v/>
      </c>
      <c r="BD459" s="72" t="str">
        <f aca="false">IF(ISBLANK($C459),"",$B459)</f>
        <v/>
      </c>
      <c r="BE459" s="72" t="str">
        <f aca="false">IF(ISBLANK($C459),"",$C459)</f>
        <v/>
      </c>
      <c r="BF459" s="72" t="str">
        <f aca="false">IF(ISBLANK($C459),"",$D459)</f>
        <v/>
      </c>
      <c r="BG459" s="73" t="str">
        <f aca="false">AU459</f>
        <v/>
      </c>
      <c r="BH459" s="74" t="str">
        <f aca="false">AT459</f>
        <v/>
      </c>
      <c r="BI459" s="72" t="str">
        <f aca="false">IF(ISBLANK($C459),"",AW459)</f>
        <v/>
      </c>
      <c r="BJ459" s="75" t="str">
        <f aca="false">IF($BA459&gt;$AZ$7,"",VLOOKUP($BA459,$BC$8:$BI$507,7,FALSE()))</f>
        <v/>
      </c>
      <c r="BK459" s="76" t="str">
        <f aca="false">IF($BA459&gt;$AZ$7,"",VLOOKUP($BA459,$BC$8:$BI$507,2,FALSE()))</f>
        <v/>
      </c>
      <c r="BL459" s="76" t="str">
        <f aca="false">IF($BA459&gt;$AZ$7,"",VLOOKUP($BA459,$BC$8:$BI$507,3,FALSE()))</f>
        <v/>
      </c>
      <c r="BM459" s="76" t="str">
        <f aca="false">IF($BA459&gt;$AZ$7,"",VLOOKUP($BA459,$BC$8:$BI$507,4,FALSE()))</f>
        <v/>
      </c>
      <c r="BN459" s="76" t="str">
        <f aca="false">IF($BA459&gt;$AZ$7,"",VLOOKUP($BA459,$BC$8:$BI$507,5,FALSE()))</f>
        <v/>
      </c>
      <c r="BO459" s="77" t="str">
        <f aca="false">IF($BA459&gt;$AZ$7,"",VLOOKUP($BA459,$BC$8:$BI$507,6,FALSE()))</f>
        <v/>
      </c>
      <c r="BP459" s="52"/>
    </row>
    <row r="460" customFormat="false" ht="15.75" hidden="false" customHeight="false" outlineLevel="0" collapsed="false">
      <c r="A460" s="5"/>
      <c r="B460" s="118"/>
      <c r="C460" s="54"/>
      <c r="D460" s="55"/>
      <c r="E460" s="79"/>
      <c r="F460" s="57"/>
      <c r="G460" s="58"/>
      <c r="H460" s="58"/>
      <c r="I460" s="57"/>
      <c r="J460" s="58"/>
      <c r="K460" s="58"/>
      <c r="L460" s="57"/>
      <c r="M460" s="79"/>
      <c r="N460" s="60"/>
      <c r="O460" s="62" t="str">
        <f aca="false">IF(ISBLANK($C460),"",IF(E460=Constants!$B$2, TRUE(), IF(E460=Constants!$B$3, FALSE(), TRUE())))</f>
        <v/>
      </c>
      <c r="P460" s="62" t="str">
        <f aca="false">IF(ISBLANK($C460),"",IF(F460=Constants!$B$16,Constants!$B$9,IF(F460=Constants!$B$17,Constants!$B$10,Constants!$B$8)))</f>
        <v/>
      </c>
      <c r="Q460" s="62" t="str">
        <f aca="false">IF(ISBLANK($C460),"",IF(ISNUMBER(G460),IF(G460&gt;=0,G460,""),""))</f>
        <v/>
      </c>
      <c r="R460" s="62" t="str">
        <f aca="false">IF(ISBLANK($C460),"",IF(H460=Constants!$B$2, TRUE(), IF(H460=Constants!$B$3, FALSE(), TRUE())))</f>
        <v/>
      </c>
      <c r="S460" s="62" t="str">
        <f aca="false">IF(ISBLANK($C460),"",IF(I460=Constants!$B$2, TRUE(), IF(I460=Constants!$B$3, FALSE(), TRUE())))</f>
        <v/>
      </c>
      <c r="T460" s="62" t="str">
        <f aca="false">IF(ISBLANK($C460),"",IF(ISNUMBER(J460),IF(J460&gt;=0,J460,""),""))</f>
        <v/>
      </c>
      <c r="U460" s="62" t="str">
        <f aca="false">IF(ISBLANK($C460),"",IF(K460=Constants!$B$2, TRUE(), IF(K460=Constants!$B$3, FALSE(), TRUE())))</f>
        <v/>
      </c>
      <c r="V460" s="62" t="str">
        <f aca="false">IF(ISBLANK($C460),"",IF(L460=Constants!$B$2, TRUE(), IF(L460=Constants!$B$3, FALSE(), TRUE())))</f>
        <v/>
      </c>
      <c r="W460" s="62" t="str">
        <f aca="false">IF(ISBLANK($C460),"",IF(M460=Constants!$B$2, TRUE(), IF(M460=Constants!$B$3, FALSE(), FALSE())))</f>
        <v/>
      </c>
      <c r="X460" s="62" t="str">
        <f aca="false">IF(ISBLANK($C460),"",AND(Q460&lt;&gt;"",O460))</f>
        <v/>
      </c>
      <c r="Y460" s="62" t="str">
        <f aca="false">IF(ISBLANK($C460),"",AND(T460&lt;&gt;"",O460))</f>
        <v/>
      </c>
      <c r="Z460" s="62" t="str">
        <f aca="false">IF(ISBLANK($C460),"",IF(W460,Constants!$B$4,IF(COUNTA(E460:L460)=0,Constants!$B$5,IF(NOT(O460),Constants!$B$6,IF(AND(NOT(X460),NOT(Y460)),Constants!$B$6,Constants!$B$7)))))</f>
        <v/>
      </c>
      <c r="AA460" s="62" t="str">
        <f aca="false">IF(ISBLANK($C460),"",IF($Z460&lt;&gt;Constants!$B$7,$Z460,Constants!$B$20))</f>
        <v/>
      </c>
      <c r="AB460" s="62" t="str">
        <f aca="false">IF($Z460=Constants!$B$7,IF(X460,Q460,Constants!$B$13),"")</f>
        <v/>
      </c>
      <c r="AC460" s="62" t="str">
        <f aca="false">IF($Z460=Constants!$B$7,IF(X460,P460*IF(R460, 1, Constants!$B$11)*IF(S460, 1, Constants!$B$12),Constants!$B$13),"")</f>
        <v/>
      </c>
      <c r="AD460" s="62" t="str">
        <f aca="false">IF($Z460=Constants!$B$7,AB460*AC460,"")</f>
        <v/>
      </c>
      <c r="AE460" s="62" t="str">
        <f aca="false">IF($Z460=Constants!$B$7,IF(Y460,T460,Constants!$B$13),"")</f>
        <v/>
      </c>
      <c r="AF460" s="62" t="str">
        <f aca="false">IF($Z460=Constants!$B$7,IF(Y460,P460*IF(U460, 1, Constants!$B$11)*IF(V460, 1, Constants!$B$12),Constants!$B$13),"")</f>
        <v/>
      </c>
      <c r="AG460" s="62" t="str">
        <f aca="false">IF($Z460=Constants!$B$7,AE460*AF460,"")</f>
        <v/>
      </c>
      <c r="AH460" s="62" t="str">
        <f aca="false">IF($Z460=Constants!$B$7,IF(AG460&gt;AD460,2,1),"")</f>
        <v/>
      </c>
      <c r="AI460" s="62" t="str">
        <f aca="false">IF($Z460=Constants!$B$7,IF(AH460=1,2,1),"")</f>
        <v/>
      </c>
      <c r="AJ460" s="62" t="str">
        <f aca="false">IF(ISBLANK($C460),"",IF($Z460&lt;&gt;Constants!$B$7,$Z460,IF(AH460=1,AD460,AG460)))</f>
        <v/>
      </c>
      <c r="AK460" s="62" t="str">
        <f aca="false">IF(ISBLANK($C460),"",IF($Z460=Constants!$B$7,IF(ISNUMBER(AJ460),RANK(AJ460,$AJ$8:$AJ$507),Constants!$B$14),$Z460))</f>
        <v/>
      </c>
      <c r="AL460" s="62" t="str">
        <f aca="false">IF(ISBLANK($C460),"",IF($Z460=Constants!$B$7,IF(AI460=1,AD460,AG460),""))</f>
        <v/>
      </c>
      <c r="AM460" s="62" t="str">
        <f aca="false">IF(ISBLANK($C460),"",IF($Z460=Constants!$B$7,RANK(AL460,$AL$8:$AL$507),$Z460))</f>
        <v/>
      </c>
      <c r="AN460" s="62" t="str">
        <f aca="false">IF(ISBLANK($C460),"",IF($Z460=Constants!$B$7,IF(ISNUMBER(AK460),COUNTIFS($AK$8:$AK$507,"&lt;"&amp;$AK460)+COUNTIFS($AK$8:$AK$507,$AK460,$AM$8:$AM$507,"&lt;"&amp;$AM460)+1,Constants!$B$14),$Z460))</f>
        <v/>
      </c>
      <c r="AO460" s="62" t="str">
        <f aca="false">IF(ISBLANK($C460),"",IF($Z460=Constants!$B$7,IF(ISNUMBER(AK460),AK460-AN460,Constants!$B$14),$Z460))</f>
        <v/>
      </c>
      <c r="AP460" s="64"/>
      <c r="AQ460" s="65" t="str">
        <f aca="false">IF(ISBLANK($C460),"",IF($Z460&lt;&gt;Constants!$B$7,"",AH460))</f>
        <v/>
      </c>
      <c r="AR460" s="80" t="str">
        <f aca="false">IF(ISBLANK($C460),"",IF($Z460&lt;&gt;Constants!$B$7,"",IF(AH460=1,AB460,AE460)))</f>
        <v/>
      </c>
      <c r="AS460" s="67" t="str">
        <f aca="false">IF(ISBLANK($C460),"",IF($Z460&lt;&gt;Constants!$B$7,"",IF(AH460=1,AC460,AF460)))</f>
        <v/>
      </c>
      <c r="AT460" s="68" t="str">
        <f aca="false">IF(ISBLANK($C460),"",IF($Z460&lt;&gt;Constants!$B$7,$Z460,AJ460))</f>
        <v/>
      </c>
      <c r="AU460" s="69" t="str">
        <f aca="false">IF(ISBLANK($C460),"",IF($Z460&lt;&gt;Constants!$B$7,$Z460,AA460))</f>
        <v/>
      </c>
      <c r="AV460" s="70" t="str">
        <f aca="false">IF(ISBLANK($C460),"",AO460)</f>
        <v/>
      </c>
      <c r="AW460" s="70" t="str">
        <f aca="false">IF(ISBLANK($C460),"",AN460)</f>
        <v/>
      </c>
      <c r="AX460" s="71" t="str">
        <f aca="false">IF(ISBLANK($C460),"",IFERROR(_xlfn.SWITCH(AW460,Constants!$B$4,COUNTA($C$8:$C$507)+2,Constants!$B$5,COUNTA($C$8:$C$507)+1,Constants!$B$6,COUNTA($C$8:$C$507)),AW460))</f>
        <v/>
      </c>
      <c r="AY460" s="5"/>
      <c r="AZ460" s="72" t="n">
        <f aca="false">IF(OR(ISNUMBER(AW460),AW460=Constants!$B$4,AW460=Constants!$B$6,AW460=Constants!$B$5),1,0)</f>
        <v>0</v>
      </c>
      <c r="BA460" s="72" t="n">
        <v>453</v>
      </c>
      <c r="BB460" s="72" t="str">
        <f aca="false">IF(ISBLANK($C460),"",IF(ISNUMBER(AX460),AX460+ROW($B460)/1000,""))</f>
        <v/>
      </c>
      <c r="BC460" s="72" t="str">
        <f aca="false">IF(ISNUMBER(BB460),RANK(BB460,$BB$8:$BB$507,1),"")</f>
        <v/>
      </c>
      <c r="BD460" s="72" t="str">
        <f aca="false">IF(ISBLANK($C460),"",$B460)</f>
        <v/>
      </c>
      <c r="BE460" s="72" t="str">
        <f aca="false">IF(ISBLANK($C460),"",$C460)</f>
        <v/>
      </c>
      <c r="BF460" s="72" t="str">
        <f aca="false">IF(ISBLANK($C460),"",$D460)</f>
        <v/>
      </c>
      <c r="BG460" s="73" t="str">
        <f aca="false">AU460</f>
        <v/>
      </c>
      <c r="BH460" s="74" t="str">
        <f aca="false">AT460</f>
        <v/>
      </c>
      <c r="BI460" s="72" t="str">
        <f aca="false">IF(ISBLANK($C460),"",AW460)</f>
        <v/>
      </c>
      <c r="BJ460" s="75" t="str">
        <f aca="false">IF($BA460&gt;$AZ$7,"",VLOOKUP($BA460,$BC$8:$BI$507,7,FALSE()))</f>
        <v/>
      </c>
      <c r="BK460" s="76" t="str">
        <f aca="false">IF($BA460&gt;$AZ$7,"",VLOOKUP($BA460,$BC$8:$BI$507,2,FALSE()))</f>
        <v/>
      </c>
      <c r="BL460" s="76" t="str">
        <f aca="false">IF($BA460&gt;$AZ$7,"",VLOOKUP($BA460,$BC$8:$BI$507,3,FALSE()))</f>
        <v/>
      </c>
      <c r="BM460" s="76" t="str">
        <f aca="false">IF($BA460&gt;$AZ$7,"",VLOOKUP($BA460,$BC$8:$BI$507,4,FALSE()))</f>
        <v/>
      </c>
      <c r="BN460" s="76" t="str">
        <f aca="false">IF($BA460&gt;$AZ$7,"",VLOOKUP($BA460,$BC$8:$BI$507,5,FALSE()))</f>
        <v/>
      </c>
      <c r="BO460" s="77" t="str">
        <f aca="false">IF($BA460&gt;$AZ$7,"",VLOOKUP($BA460,$BC$8:$BI$507,6,FALSE()))</f>
        <v/>
      </c>
      <c r="BP460" s="52"/>
    </row>
    <row r="461" customFormat="false" ht="15.75" hidden="false" customHeight="false" outlineLevel="0" collapsed="false">
      <c r="A461" s="5"/>
      <c r="B461" s="114"/>
      <c r="C461" s="115"/>
      <c r="D461" s="106"/>
      <c r="E461" s="117"/>
      <c r="F461" s="87"/>
      <c r="G461" s="88"/>
      <c r="H461" s="88"/>
      <c r="I461" s="87"/>
      <c r="J461" s="88"/>
      <c r="K461" s="88"/>
      <c r="L461" s="87"/>
      <c r="M461" s="117"/>
      <c r="N461" s="90"/>
      <c r="O461" s="91" t="str">
        <f aca="false">IF(ISBLANK($C461),"",IF(E461=Constants!$B$2, TRUE(), IF(E461=Constants!$B$3, FALSE(), TRUE())))</f>
        <v/>
      </c>
      <c r="P461" s="91" t="str">
        <f aca="false">IF(ISBLANK($C461),"",IF(F461=Constants!$B$16,Constants!$B$9,IF(F461=Constants!$B$17,Constants!$B$10,Constants!$B$8)))</f>
        <v/>
      </c>
      <c r="Q461" s="91" t="str">
        <f aca="false">IF(ISBLANK($C461),"",IF(ISNUMBER(G461),IF(G461&gt;=0,G461,""),""))</f>
        <v/>
      </c>
      <c r="R461" s="91" t="str">
        <f aca="false">IF(ISBLANK($C461),"",IF(H461=Constants!$B$2, TRUE(), IF(H461=Constants!$B$3, FALSE(), TRUE())))</f>
        <v/>
      </c>
      <c r="S461" s="91" t="str">
        <f aca="false">IF(ISBLANK($C461),"",IF(I461=Constants!$B$2, TRUE(), IF(I461=Constants!$B$3, FALSE(), TRUE())))</f>
        <v/>
      </c>
      <c r="T461" s="91" t="str">
        <f aca="false">IF(ISBLANK($C461),"",IF(ISNUMBER(J461),IF(J461&gt;=0,J461,""),""))</f>
        <v/>
      </c>
      <c r="U461" s="91" t="str">
        <f aca="false">IF(ISBLANK($C461),"",IF(K461=Constants!$B$2, TRUE(), IF(K461=Constants!$B$3, FALSE(), TRUE())))</f>
        <v/>
      </c>
      <c r="V461" s="91" t="str">
        <f aca="false">IF(ISBLANK($C461),"",IF(L461=Constants!$B$2, TRUE(), IF(L461=Constants!$B$3, FALSE(), TRUE())))</f>
        <v/>
      </c>
      <c r="W461" s="91" t="str">
        <f aca="false">IF(ISBLANK($C461),"",IF(M461=Constants!$B$2, TRUE(), IF(M461=Constants!$B$3, FALSE(), FALSE())))</f>
        <v/>
      </c>
      <c r="X461" s="91" t="str">
        <f aca="false">IF(ISBLANK($C461),"",AND(Q461&lt;&gt;"",O461))</f>
        <v/>
      </c>
      <c r="Y461" s="91" t="str">
        <f aca="false">IF(ISBLANK($C461),"",AND(T461&lt;&gt;"",O461))</f>
        <v/>
      </c>
      <c r="Z461" s="91" t="str">
        <f aca="false">IF(ISBLANK($C461),"",IF(W461,Constants!$B$4,IF(COUNTA(E461:L461)=0,Constants!$B$5,IF(NOT(O461),Constants!$B$6,IF(AND(NOT(X461),NOT(Y461)),Constants!$B$6,Constants!$B$7)))))</f>
        <v/>
      </c>
      <c r="AA461" s="91" t="str">
        <f aca="false">IF(ISBLANK($C461),"",IF($Z461&lt;&gt;Constants!$B$7,$Z461,Constants!$B$20))</f>
        <v/>
      </c>
      <c r="AB461" s="91" t="str">
        <f aca="false">IF($Z461=Constants!$B$7,IF(X461,Q461,Constants!$B$13),"")</f>
        <v/>
      </c>
      <c r="AC461" s="91" t="str">
        <f aca="false">IF($Z461=Constants!$B$7,IF(X461,P461*IF(R461, 1, Constants!$B$11)*IF(S461, 1, Constants!$B$12),Constants!$B$13),"")</f>
        <v/>
      </c>
      <c r="AD461" s="91" t="str">
        <f aca="false">IF($Z461=Constants!$B$7,AB461*AC461,"")</f>
        <v/>
      </c>
      <c r="AE461" s="91" t="str">
        <f aca="false">IF($Z461=Constants!$B$7,IF(Y461,T461,Constants!$B$13),"")</f>
        <v/>
      </c>
      <c r="AF461" s="91" t="str">
        <f aca="false">IF($Z461=Constants!$B$7,IF(Y461,P461*IF(U461, 1, Constants!$B$11)*IF(V461, 1, Constants!$B$12),Constants!$B$13),"")</f>
        <v/>
      </c>
      <c r="AG461" s="91" t="str">
        <f aca="false">IF($Z461=Constants!$B$7,AE461*AF461,"")</f>
        <v/>
      </c>
      <c r="AH461" s="91" t="str">
        <f aca="false">IF($Z461=Constants!$B$7,IF(AG461&gt;AD461,2,1),"")</f>
        <v/>
      </c>
      <c r="AI461" s="91" t="str">
        <f aca="false">IF($Z461=Constants!$B$7,IF(AH461=1,2,1),"")</f>
        <v/>
      </c>
      <c r="AJ461" s="91" t="str">
        <f aca="false">IF(ISBLANK($C461),"",IF($Z461&lt;&gt;Constants!$B$7,$Z461,IF(AH461=1,AD461,AG461)))</f>
        <v/>
      </c>
      <c r="AK461" s="91" t="str">
        <f aca="false">IF(ISBLANK($C461),"",IF($Z461=Constants!$B$7,IF(ISNUMBER(AJ461),RANK(AJ461,$AJ$8:$AJ$507),Constants!$B$14),$Z461))</f>
        <v/>
      </c>
      <c r="AL461" s="91" t="str">
        <f aca="false">IF(ISBLANK($C461),"",IF($Z461=Constants!$B$7,IF(AI461=1,AD461,AG461),""))</f>
        <v/>
      </c>
      <c r="AM461" s="91" t="str">
        <f aca="false">IF(ISBLANK($C461),"",IF($Z461=Constants!$B$7,RANK(AL461,$AL$8:$AL$507),$Z461))</f>
        <v/>
      </c>
      <c r="AN461" s="91" t="str">
        <f aca="false">IF(ISBLANK($C461),"",IF($Z461=Constants!$B$7,IF(ISNUMBER(AK461),COUNTIFS($AK$8:$AK$507,"&lt;"&amp;$AK461)+COUNTIFS($AK$8:$AK$507,$AK461,$AM$8:$AM$507,"&lt;"&amp;$AM461)+1,Constants!$B$14),$Z461))</f>
        <v/>
      </c>
      <c r="AO461" s="91" t="str">
        <f aca="false">IF(ISBLANK($C461),"",IF($Z461=Constants!$B$7,IF(ISNUMBER(AK461),AK461-AN461,Constants!$B$14),$Z461))</f>
        <v/>
      </c>
      <c r="AP461" s="92"/>
      <c r="AQ461" s="93" t="str">
        <f aca="false">IF(ISBLANK($C461),"",IF($Z461&lt;&gt;Constants!$B$7,"",AH461))</f>
        <v/>
      </c>
      <c r="AR461" s="94" t="str">
        <f aca="false">IF(ISBLANK($C461),"",IF($Z461&lt;&gt;Constants!$B$7,"",IF(AH461=1,AB461,AE461)))</f>
        <v/>
      </c>
      <c r="AS461" s="95" t="str">
        <f aca="false">IF(ISBLANK($C461),"",IF($Z461&lt;&gt;Constants!$B$7,"",IF(AH461=1,AC461,AF461)))</f>
        <v/>
      </c>
      <c r="AT461" s="96" t="str">
        <f aca="false">IF(ISBLANK($C461),"",IF($Z461&lt;&gt;Constants!$B$7,$Z461,AJ461))</f>
        <v/>
      </c>
      <c r="AU461" s="97" t="str">
        <f aca="false">IF(ISBLANK($C461),"",IF($Z461&lt;&gt;Constants!$B$7,$Z461,AA461))</f>
        <v/>
      </c>
      <c r="AV461" s="98" t="str">
        <f aca="false">IF(ISBLANK($C461),"",AO461)</f>
        <v/>
      </c>
      <c r="AW461" s="98" t="str">
        <f aca="false">IF(ISBLANK($C461),"",AN461)</f>
        <v/>
      </c>
      <c r="AX461" s="99" t="str">
        <f aca="false">IF(ISBLANK($C461),"",IFERROR(_xlfn.SWITCH(AW461,Constants!$B$4,COUNTA($C$8:$C$507)+2,Constants!$B$5,COUNTA($C$8:$C$507)+1,Constants!$B$6,COUNTA($C$8:$C$507)),AW461))</f>
        <v/>
      </c>
      <c r="AY461" s="5"/>
      <c r="AZ461" s="100" t="n">
        <f aca="false">IF(OR(ISNUMBER(AW461),AW461=Constants!$B$4,AW461=Constants!$B$6,AW461=Constants!$B$5),1,0)</f>
        <v>0</v>
      </c>
      <c r="BA461" s="100" t="n">
        <v>454</v>
      </c>
      <c r="BB461" s="100" t="str">
        <f aca="false">IF(ISBLANK($C461),"",IF(ISNUMBER(AX461),AX461+ROW($B461)/1000,""))</f>
        <v/>
      </c>
      <c r="BC461" s="100" t="str">
        <f aca="false">IF(ISNUMBER(BB461),RANK(BB461,$BB$8:$BB$507,1),"")</f>
        <v/>
      </c>
      <c r="BD461" s="100" t="str">
        <f aca="false">IF(ISBLANK($C461),"",$B461)</f>
        <v/>
      </c>
      <c r="BE461" s="100" t="str">
        <f aca="false">IF(ISBLANK($C461),"",$C461)</f>
        <v/>
      </c>
      <c r="BF461" s="100" t="str">
        <f aca="false">IF(ISBLANK($C461),"",$D461)</f>
        <v/>
      </c>
      <c r="BG461" s="101" t="str">
        <f aca="false">AU461</f>
        <v/>
      </c>
      <c r="BH461" s="102" t="str">
        <f aca="false">AT461</f>
        <v/>
      </c>
      <c r="BI461" s="100" t="str">
        <f aca="false">IF(ISBLANK($C461),"",AW461)</f>
        <v/>
      </c>
      <c r="BJ461" s="103" t="str">
        <f aca="false">IF($BA461&gt;$AZ$7,"",VLOOKUP($BA461,$BC$8:$BI$507,7,FALSE()))</f>
        <v/>
      </c>
      <c r="BK461" s="104" t="str">
        <f aca="false">IF($BA461&gt;$AZ$7,"",VLOOKUP($BA461,$BC$8:$BI$507,2,FALSE()))</f>
        <v/>
      </c>
      <c r="BL461" s="104" t="str">
        <f aca="false">IF($BA461&gt;$AZ$7,"",VLOOKUP($BA461,$BC$8:$BI$507,3,FALSE()))</f>
        <v/>
      </c>
      <c r="BM461" s="104" t="str">
        <f aca="false">IF($BA461&gt;$AZ$7,"",VLOOKUP($BA461,$BC$8:$BI$507,4,FALSE()))</f>
        <v/>
      </c>
      <c r="BN461" s="104" t="str">
        <f aca="false">IF($BA461&gt;$AZ$7,"",VLOOKUP($BA461,$BC$8:$BI$507,5,FALSE()))</f>
        <v/>
      </c>
      <c r="BO461" s="105" t="str">
        <f aca="false">IF($BA461&gt;$AZ$7,"",VLOOKUP($BA461,$BC$8:$BI$507,6,FALSE()))</f>
        <v/>
      </c>
      <c r="BP461" s="52"/>
    </row>
    <row r="462" customFormat="false" ht="15.75" hidden="false" customHeight="false" outlineLevel="0" collapsed="false">
      <c r="A462" s="5"/>
      <c r="B462" s="114"/>
      <c r="C462" s="115"/>
      <c r="D462" s="106"/>
      <c r="E462" s="117"/>
      <c r="F462" s="87"/>
      <c r="G462" s="88"/>
      <c r="H462" s="88"/>
      <c r="I462" s="87"/>
      <c r="J462" s="88"/>
      <c r="K462" s="88"/>
      <c r="L462" s="87"/>
      <c r="M462" s="117"/>
      <c r="N462" s="90"/>
      <c r="O462" s="91" t="str">
        <f aca="false">IF(ISBLANK($C462),"",IF(E462=Constants!$B$2, TRUE(), IF(E462=Constants!$B$3, FALSE(), TRUE())))</f>
        <v/>
      </c>
      <c r="P462" s="91" t="str">
        <f aca="false">IF(ISBLANK($C462),"",IF(F462=Constants!$B$16,Constants!$B$9,IF(F462=Constants!$B$17,Constants!$B$10,Constants!$B$8)))</f>
        <v/>
      </c>
      <c r="Q462" s="91" t="str">
        <f aca="false">IF(ISBLANK($C462),"",IF(ISNUMBER(G462),IF(G462&gt;=0,G462,""),""))</f>
        <v/>
      </c>
      <c r="R462" s="91" t="str">
        <f aca="false">IF(ISBLANK($C462),"",IF(H462=Constants!$B$2, TRUE(), IF(H462=Constants!$B$3, FALSE(), TRUE())))</f>
        <v/>
      </c>
      <c r="S462" s="91" t="str">
        <f aca="false">IF(ISBLANK($C462),"",IF(I462=Constants!$B$2, TRUE(), IF(I462=Constants!$B$3, FALSE(), TRUE())))</f>
        <v/>
      </c>
      <c r="T462" s="91" t="str">
        <f aca="false">IF(ISBLANK($C462),"",IF(ISNUMBER(J462),IF(J462&gt;=0,J462,""),""))</f>
        <v/>
      </c>
      <c r="U462" s="91" t="str">
        <f aca="false">IF(ISBLANK($C462),"",IF(K462=Constants!$B$2, TRUE(), IF(K462=Constants!$B$3, FALSE(), TRUE())))</f>
        <v/>
      </c>
      <c r="V462" s="91" t="str">
        <f aca="false">IF(ISBLANK($C462),"",IF(L462=Constants!$B$2, TRUE(), IF(L462=Constants!$B$3, FALSE(), TRUE())))</f>
        <v/>
      </c>
      <c r="W462" s="91" t="str">
        <f aca="false">IF(ISBLANK($C462),"",IF(M462=Constants!$B$2, TRUE(), IF(M462=Constants!$B$3, FALSE(), FALSE())))</f>
        <v/>
      </c>
      <c r="X462" s="91" t="str">
        <f aca="false">IF(ISBLANK($C462),"",AND(Q462&lt;&gt;"",O462))</f>
        <v/>
      </c>
      <c r="Y462" s="91" t="str">
        <f aca="false">IF(ISBLANK($C462),"",AND(T462&lt;&gt;"",O462))</f>
        <v/>
      </c>
      <c r="Z462" s="91" t="str">
        <f aca="false">IF(ISBLANK($C462),"",IF(W462,Constants!$B$4,IF(COUNTA(E462:L462)=0,Constants!$B$5,IF(NOT(O462),Constants!$B$6,IF(AND(NOT(X462),NOT(Y462)),Constants!$B$6,Constants!$B$7)))))</f>
        <v/>
      </c>
      <c r="AA462" s="91" t="str">
        <f aca="false">IF(ISBLANK($C462),"",IF($Z462&lt;&gt;Constants!$B$7,$Z462,Constants!$B$20))</f>
        <v/>
      </c>
      <c r="AB462" s="91" t="str">
        <f aca="false">IF($Z462=Constants!$B$7,IF(X462,Q462,Constants!$B$13),"")</f>
        <v/>
      </c>
      <c r="AC462" s="91" t="str">
        <f aca="false">IF($Z462=Constants!$B$7,IF(X462,P462*IF(R462, 1, Constants!$B$11)*IF(S462, 1, Constants!$B$12),Constants!$B$13),"")</f>
        <v/>
      </c>
      <c r="AD462" s="91" t="str">
        <f aca="false">IF($Z462=Constants!$B$7,AB462*AC462,"")</f>
        <v/>
      </c>
      <c r="AE462" s="91" t="str">
        <f aca="false">IF($Z462=Constants!$B$7,IF(Y462,T462,Constants!$B$13),"")</f>
        <v/>
      </c>
      <c r="AF462" s="91" t="str">
        <f aca="false">IF($Z462=Constants!$B$7,IF(Y462,P462*IF(U462, 1, Constants!$B$11)*IF(V462, 1, Constants!$B$12),Constants!$B$13),"")</f>
        <v/>
      </c>
      <c r="AG462" s="91" t="str">
        <f aca="false">IF($Z462=Constants!$B$7,AE462*AF462,"")</f>
        <v/>
      </c>
      <c r="AH462" s="91" t="str">
        <f aca="false">IF($Z462=Constants!$B$7,IF(AG462&gt;AD462,2,1),"")</f>
        <v/>
      </c>
      <c r="AI462" s="91" t="str">
        <f aca="false">IF($Z462=Constants!$B$7,IF(AH462=1,2,1),"")</f>
        <v/>
      </c>
      <c r="AJ462" s="91" t="str">
        <f aca="false">IF(ISBLANK($C462),"",IF($Z462&lt;&gt;Constants!$B$7,$Z462,IF(AH462=1,AD462,AG462)))</f>
        <v/>
      </c>
      <c r="AK462" s="91" t="str">
        <f aca="false">IF(ISBLANK($C462),"",IF($Z462=Constants!$B$7,IF(ISNUMBER(AJ462),RANK(AJ462,$AJ$8:$AJ$507),Constants!$B$14),$Z462))</f>
        <v/>
      </c>
      <c r="AL462" s="91" t="str">
        <f aca="false">IF(ISBLANK($C462),"",IF($Z462=Constants!$B$7,IF(AI462=1,AD462,AG462),""))</f>
        <v/>
      </c>
      <c r="AM462" s="91" t="str">
        <f aca="false">IF(ISBLANK($C462),"",IF($Z462=Constants!$B$7,RANK(AL462,$AL$8:$AL$507),$Z462))</f>
        <v/>
      </c>
      <c r="AN462" s="91" t="str">
        <f aca="false">IF(ISBLANK($C462),"",IF($Z462=Constants!$B$7,IF(ISNUMBER(AK462),COUNTIFS($AK$8:$AK$507,"&lt;"&amp;$AK462)+COUNTIFS($AK$8:$AK$507,$AK462,$AM$8:$AM$507,"&lt;"&amp;$AM462)+1,Constants!$B$14),$Z462))</f>
        <v/>
      </c>
      <c r="AO462" s="91" t="str">
        <f aca="false">IF(ISBLANK($C462),"",IF($Z462=Constants!$B$7,IF(ISNUMBER(AK462),AK462-AN462,Constants!$B$14),$Z462))</f>
        <v/>
      </c>
      <c r="AP462" s="92"/>
      <c r="AQ462" s="93" t="str">
        <f aca="false">IF(ISBLANK($C462),"",IF($Z462&lt;&gt;Constants!$B$7,"",AH462))</f>
        <v/>
      </c>
      <c r="AR462" s="94" t="str">
        <f aca="false">IF(ISBLANK($C462),"",IF($Z462&lt;&gt;Constants!$B$7,"",IF(AH462=1,AB462,AE462)))</f>
        <v/>
      </c>
      <c r="AS462" s="95" t="str">
        <f aca="false">IF(ISBLANK($C462),"",IF($Z462&lt;&gt;Constants!$B$7,"",IF(AH462=1,AC462,AF462)))</f>
        <v/>
      </c>
      <c r="AT462" s="96" t="str">
        <f aca="false">IF(ISBLANK($C462),"",IF($Z462&lt;&gt;Constants!$B$7,$Z462,AJ462))</f>
        <v/>
      </c>
      <c r="AU462" s="97" t="str">
        <f aca="false">IF(ISBLANK($C462),"",IF($Z462&lt;&gt;Constants!$B$7,$Z462,AA462))</f>
        <v/>
      </c>
      <c r="AV462" s="98" t="str">
        <f aca="false">IF(ISBLANK($C462),"",AO462)</f>
        <v/>
      </c>
      <c r="AW462" s="98" t="str">
        <f aca="false">IF(ISBLANK($C462),"",AN462)</f>
        <v/>
      </c>
      <c r="AX462" s="99" t="str">
        <f aca="false">IF(ISBLANK($C462),"",IFERROR(_xlfn.SWITCH(AW462,Constants!$B$4,COUNTA($C$8:$C$507)+2,Constants!$B$5,COUNTA($C$8:$C$507)+1,Constants!$B$6,COUNTA($C$8:$C$507)),AW462))</f>
        <v/>
      </c>
      <c r="AY462" s="5"/>
      <c r="AZ462" s="100" t="n">
        <f aca="false">IF(OR(ISNUMBER(AW462),AW462=Constants!$B$4,AW462=Constants!$B$6,AW462=Constants!$B$5),1,0)</f>
        <v>0</v>
      </c>
      <c r="BA462" s="100" t="n">
        <v>455</v>
      </c>
      <c r="BB462" s="100" t="str">
        <f aca="false">IF(ISBLANK($C462),"",IF(ISNUMBER(AX462),AX462+ROW($B462)/1000,""))</f>
        <v/>
      </c>
      <c r="BC462" s="100" t="str">
        <f aca="false">IF(ISNUMBER(BB462),RANK(BB462,$BB$8:$BB$507,1),"")</f>
        <v/>
      </c>
      <c r="BD462" s="100" t="str">
        <f aca="false">IF(ISBLANK($C462),"",$B462)</f>
        <v/>
      </c>
      <c r="BE462" s="100" t="str">
        <f aca="false">IF(ISBLANK($C462),"",$C462)</f>
        <v/>
      </c>
      <c r="BF462" s="100" t="str">
        <f aca="false">IF(ISBLANK($C462),"",$D462)</f>
        <v/>
      </c>
      <c r="BG462" s="101" t="str">
        <f aca="false">AU462</f>
        <v/>
      </c>
      <c r="BH462" s="102" t="str">
        <f aca="false">AT462</f>
        <v/>
      </c>
      <c r="BI462" s="100" t="str">
        <f aca="false">IF(ISBLANK($C462),"",AW462)</f>
        <v/>
      </c>
      <c r="BJ462" s="103" t="str">
        <f aca="false">IF($BA462&gt;$AZ$7,"",VLOOKUP($BA462,$BC$8:$BI$507,7,FALSE()))</f>
        <v/>
      </c>
      <c r="BK462" s="104" t="str">
        <f aca="false">IF($BA462&gt;$AZ$7,"",VLOOKUP($BA462,$BC$8:$BI$507,2,FALSE()))</f>
        <v/>
      </c>
      <c r="BL462" s="104" t="str">
        <f aca="false">IF($BA462&gt;$AZ$7,"",VLOOKUP($BA462,$BC$8:$BI$507,3,FALSE()))</f>
        <v/>
      </c>
      <c r="BM462" s="104" t="str">
        <f aca="false">IF($BA462&gt;$AZ$7,"",VLOOKUP($BA462,$BC$8:$BI$507,4,FALSE()))</f>
        <v/>
      </c>
      <c r="BN462" s="104" t="str">
        <f aca="false">IF($BA462&gt;$AZ$7,"",VLOOKUP($BA462,$BC$8:$BI$507,5,FALSE()))</f>
        <v/>
      </c>
      <c r="BO462" s="105" t="str">
        <f aca="false">IF($BA462&gt;$AZ$7,"",VLOOKUP($BA462,$BC$8:$BI$507,6,FALSE()))</f>
        <v/>
      </c>
      <c r="BP462" s="52"/>
    </row>
    <row r="463" customFormat="false" ht="15.75" hidden="false" customHeight="false" outlineLevel="0" collapsed="false">
      <c r="A463" s="5"/>
      <c r="B463" s="114"/>
      <c r="C463" s="115"/>
      <c r="D463" s="106"/>
      <c r="E463" s="117"/>
      <c r="F463" s="87"/>
      <c r="G463" s="88"/>
      <c r="H463" s="88"/>
      <c r="I463" s="87"/>
      <c r="J463" s="88"/>
      <c r="K463" s="88"/>
      <c r="L463" s="87"/>
      <c r="M463" s="117"/>
      <c r="N463" s="90"/>
      <c r="O463" s="91" t="str">
        <f aca="false">IF(ISBLANK($C463),"",IF(E463=Constants!$B$2, TRUE(), IF(E463=Constants!$B$3, FALSE(), TRUE())))</f>
        <v/>
      </c>
      <c r="P463" s="91" t="str">
        <f aca="false">IF(ISBLANK($C463),"",IF(F463=Constants!$B$16,Constants!$B$9,IF(F463=Constants!$B$17,Constants!$B$10,Constants!$B$8)))</f>
        <v/>
      </c>
      <c r="Q463" s="91" t="str">
        <f aca="false">IF(ISBLANK($C463),"",IF(ISNUMBER(G463),IF(G463&gt;=0,G463,""),""))</f>
        <v/>
      </c>
      <c r="R463" s="91" t="str">
        <f aca="false">IF(ISBLANK($C463),"",IF(H463=Constants!$B$2, TRUE(), IF(H463=Constants!$B$3, FALSE(), TRUE())))</f>
        <v/>
      </c>
      <c r="S463" s="91" t="str">
        <f aca="false">IF(ISBLANK($C463),"",IF(I463=Constants!$B$2, TRUE(), IF(I463=Constants!$B$3, FALSE(), TRUE())))</f>
        <v/>
      </c>
      <c r="T463" s="91" t="str">
        <f aca="false">IF(ISBLANK($C463),"",IF(ISNUMBER(J463),IF(J463&gt;=0,J463,""),""))</f>
        <v/>
      </c>
      <c r="U463" s="91" t="str">
        <f aca="false">IF(ISBLANK($C463),"",IF(K463=Constants!$B$2, TRUE(), IF(K463=Constants!$B$3, FALSE(), TRUE())))</f>
        <v/>
      </c>
      <c r="V463" s="91" t="str">
        <f aca="false">IF(ISBLANK($C463),"",IF(L463=Constants!$B$2, TRUE(), IF(L463=Constants!$B$3, FALSE(), TRUE())))</f>
        <v/>
      </c>
      <c r="W463" s="91" t="str">
        <f aca="false">IF(ISBLANK($C463),"",IF(M463=Constants!$B$2, TRUE(), IF(M463=Constants!$B$3, FALSE(), FALSE())))</f>
        <v/>
      </c>
      <c r="X463" s="91" t="str">
        <f aca="false">IF(ISBLANK($C463),"",AND(Q463&lt;&gt;"",O463))</f>
        <v/>
      </c>
      <c r="Y463" s="91" t="str">
        <f aca="false">IF(ISBLANK($C463),"",AND(T463&lt;&gt;"",O463))</f>
        <v/>
      </c>
      <c r="Z463" s="91" t="str">
        <f aca="false">IF(ISBLANK($C463),"",IF(W463,Constants!$B$4,IF(COUNTA(E463:L463)=0,Constants!$B$5,IF(NOT(O463),Constants!$B$6,IF(AND(NOT(X463),NOT(Y463)),Constants!$B$6,Constants!$B$7)))))</f>
        <v/>
      </c>
      <c r="AA463" s="91" t="str">
        <f aca="false">IF(ISBLANK($C463),"",IF($Z463&lt;&gt;Constants!$B$7,$Z463,Constants!$B$20))</f>
        <v/>
      </c>
      <c r="AB463" s="91" t="str">
        <f aca="false">IF($Z463=Constants!$B$7,IF(X463,Q463,Constants!$B$13),"")</f>
        <v/>
      </c>
      <c r="AC463" s="91" t="str">
        <f aca="false">IF($Z463=Constants!$B$7,IF(X463,P463*IF(R463, 1, Constants!$B$11)*IF(S463, 1, Constants!$B$12),Constants!$B$13),"")</f>
        <v/>
      </c>
      <c r="AD463" s="91" t="str">
        <f aca="false">IF($Z463=Constants!$B$7,AB463*AC463,"")</f>
        <v/>
      </c>
      <c r="AE463" s="91" t="str">
        <f aca="false">IF($Z463=Constants!$B$7,IF(Y463,T463,Constants!$B$13),"")</f>
        <v/>
      </c>
      <c r="AF463" s="91" t="str">
        <f aca="false">IF($Z463=Constants!$B$7,IF(Y463,P463*IF(U463, 1, Constants!$B$11)*IF(V463, 1, Constants!$B$12),Constants!$B$13),"")</f>
        <v/>
      </c>
      <c r="AG463" s="91" t="str">
        <f aca="false">IF($Z463=Constants!$B$7,AE463*AF463,"")</f>
        <v/>
      </c>
      <c r="AH463" s="91" t="str">
        <f aca="false">IF($Z463=Constants!$B$7,IF(AG463&gt;AD463,2,1),"")</f>
        <v/>
      </c>
      <c r="AI463" s="91" t="str">
        <f aca="false">IF($Z463=Constants!$B$7,IF(AH463=1,2,1),"")</f>
        <v/>
      </c>
      <c r="AJ463" s="91" t="str">
        <f aca="false">IF(ISBLANK($C463),"",IF($Z463&lt;&gt;Constants!$B$7,$Z463,IF(AH463=1,AD463,AG463)))</f>
        <v/>
      </c>
      <c r="AK463" s="91" t="str">
        <f aca="false">IF(ISBLANK($C463),"",IF($Z463=Constants!$B$7,IF(ISNUMBER(AJ463),RANK(AJ463,$AJ$8:$AJ$507),Constants!$B$14),$Z463))</f>
        <v/>
      </c>
      <c r="AL463" s="91" t="str">
        <f aca="false">IF(ISBLANK($C463),"",IF($Z463=Constants!$B$7,IF(AI463=1,AD463,AG463),""))</f>
        <v/>
      </c>
      <c r="AM463" s="91" t="str">
        <f aca="false">IF(ISBLANK($C463),"",IF($Z463=Constants!$B$7,RANK(AL463,$AL$8:$AL$507),$Z463))</f>
        <v/>
      </c>
      <c r="AN463" s="91" t="str">
        <f aca="false">IF(ISBLANK($C463),"",IF($Z463=Constants!$B$7,IF(ISNUMBER(AK463),COUNTIFS($AK$8:$AK$507,"&lt;"&amp;$AK463)+COUNTIFS($AK$8:$AK$507,$AK463,$AM$8:$AM$507,"&lt;"&amp;$AM463)+1,Constants!$B$14),$Z463))</f>
        <v/>
      </c>
      <c r="AO463" s="91" t="str">
        <f aca="false">IF(ISBLANK($C463),"",IF($Z463=Constants!$B$7,IF(ISNUMBER(AK463),AK463-AN463,Constants!$B$14),$Z463))</f>
        <v/>
      </c>
      <c r="AP463" s="92"/>
      <c r="AQ463" s="93" t="str">
        <f aca="false">IF(ISBLANK($C463),"",IF($Z463&lt;&gt;Constants!$B$7,"",AH463))</f>
        <v/>
      </c>
      <c r="AR463" s="94" t="str">
        <f aca="false">IF(ISBLANK($C463),"",IF($Z463&lt;&gt;Constants!$B$7,"",IF(AH463=1,AB463,AE463)))</f>
        <v/>
      </c>
      <c r="AS463" s="95" t="str">
        <f aca="false">IF(ISBLANK($C463),"",IF($Z463&lt;&gt;Constants!$B$7,"",IF(AH463=1,AC463,AF463)))</f>
        <v/>
      </c>
      <c r="AT463" s="96" t="str">
        <f aca="false">IF(ISBLANK($C463),"",IF($Z463&lt;&gt;Constants!$B$7,$Z463,AJ463))</f>
        <v/>
      </c>
      <c r="AU463" s="97" t="str">
        <f aca="false">IF(ISBLANK($C463),"",IF($Z463&lt;&gt;Constants!$B$7,$Z463,AA463))</f>
        <v/>
      </c>
      <c r="AV463" s="98" t="str">
        <f aca="false">IF(ISBLANK($C463),"",AO463)</f>
        <v/>
      </c>
      <c r="AW463" s="98" t="str">
        <f aca="false">IF(ISBLANK($C463),"",AN463)</f>
        <v/>
      </c>
      <c r="AX463" s="99" t="str">
        <f aca="false">IF(ISBLANK($C463),"",IFERROR(_xlfn.SWITCH(AW463,Constants!$B$4,COUNTA($C$8:$C$507)+2,Constants!$B$5,COUNTA($C$8:$C$507)+1,Constants!$B$6,COUNTA($C$8:$C$507)),AW463))</f>
        <v/>
      </c>
      <c r="AY463" s="5"/>
      <c r="AZ463" s="100" t="n">
        <f aca="false">IF(OR(ISNUMBER(AW463),AW463=Constants!$B$4,AW463=Constants!$B$6,AW463=Constants!$B$5),1,0)</f>
        <v>0</v>
      </c>
      <c r="BA463" s="100" t="n">
        <v>456</v>
      </c>
      <c r="BB463" s="100" t="str">
        <f aca="false">IF(ISBLANK($C463),"",IF(ISNUMBER(AX463),AX463+ROW($B463)/1000,""))</f>
        <v/>
      </c>
      <c r="BC463" s="100" t="str">
        <f aca="false">IF(ISNUMBER(BB463),RANK(BB463,$BB$8:$BB$507,1),"")</f>
        <v/>
      </c>
      <c r="BD463" s="100" t="str">
        <f aca="false">IF(ISBLANK($C463),"",$B463)</f>
        <v/>
      </c>
      <c r="BE463" s="100" t="str">
        <f aca="false">IF(ISBLANK($C463),"",$C463)</f>
        <v/>
      </c>
      <c r="BF463" s="100" t="str">
        <f aca="false">IF(ISBLANK($C463),"",$D463)</f>
        <v/>
      </c>
      <c r="BG463" s="101" t="str">
        <f aca="false">AU463</f>
        <v/>
      </c>
      <c r="BH463" s="102" t="str">
        <f aca="false">AT463</f>
        <v/>
      </c>
      <c r="BI463" s="100" t="str">
        <f aca="false">IF(ISBLANK($C463),"",AW463)</f>
        <v/>
      </c>
      <c r="BJ463" s="103" t="str">
        <f aca="false">IF($BA463&gt;$AZ$7,"",VLOOKUP($BA463,$BC$8:$BI$507,7,FALSE()))</f>
        <v/>
      </c>
      <c r="BK463" s="104" t="str">
        <f aca="false">IF($BA463&gt;$AZ$7,"",VLOOKUP($BA463,$BC$8:$BI$507,2,FALSE()))</f>
        <v/>
      </c>
      <c r="BL463" s="104" t="str">
        <f aca="false">IF($BA463&gt;$AZ$7,"",VLOOKUP($BA463,$BC$8:$BI$507,3,FALSE()))</f>
        <v/>
      </c>
      <c r="BM463" s="104" t="str">
        <f aca="false">IF($BA463&gt;$AZ$7,"",VLOOKUP($BA463,$BC$8:$BI$507,4,FALSE()))</f>
        <v/>
      </c>
      <c r="BN463" s="104" t="str">
        <f aca="false">IF($BA463&gt;$AZ$7,"",VLOOKUP($BA463,$BC$8:$BI$507,5,FALSE()))</f>
        <v/>
      </c>
      <c r="BO463" s="105" t="str">
        <f aca="false">IF($BA463&gt;$AZ$7,"",VLOOKUP($BA463,$BC$8:$BI$507,6,FALSE()))</f>
        <v/>
      </c>
      <c r="BP463" s="52"/>
    </row>
    <row r="464" customFormat="false" ht="15.75" hidden="false" customHeight="false" outlineLevel="0" collapsed="false">
      <c r="A464" s="5"/>
      <c r="B464" s="118"/>
      <c r="C464" s="54"/>
      <c r="D464" s="55"/>
      <c r="E464" s="79"/>
      <c r="F464" s="57"/>
      <c r="G464" s="58"/>
      <c r="H464" s="58"/>
      <c r="I464" s="57"/>
      <c r="J464" s="58"/>
      <c r="K464" s="58"/>
      <c r="L464" s="57"/>
      <c r="M464" s="79"/>
      <c r="N464" s="60"/>
      <c r="O464" s="62" t="str">
        <f aca="false">IF(ISBLANK($C464),"",IF(E464=Constants!$B$2, TRUE(), IF(E464=Constants!$B$3, FALSE(), TRUE())))</f>
        <v/>
      </c>
      <c r="P464" s="62" t="str">
        <f aca="false">IF(ISBLANK($C464),"",IF(F464=Constants!$B$16,Constants!$B$9,IF(F464=Constants!$B$17,Constants!$B$10,Constants!$B$8)))</f>
        <v/>
      </c>
      <c r="Q464" s="62" t="str">
        <f aca="false">IF(ISBLANK($C464),"",IF(ISNUMBER(G464),IF(G464&gt;=0,G464,""),""))</f>
        <v/>
      </c>
      <c r="R464" s="62" t="str">
        <f aca="false">IF(ISBLANK($C464),"",IF(H464=Constants!$B$2, TRUE(), IF(H464=Constants!$B$3, FALSE(), TRUE())))</f>
        <v/>
      </c>
      <c r="S464" s="62" t="str">
        <f aca="false">IF(ISBLANK($C464),"",IF(I464=Constants!$B$2, TRUE(), IF(I464=Constants!$B$3, FALSE(), TRUE())))</f>
        <v/>
      </c>
      <c r="T464" s="62" t="str">
        <f aca="false">IF(ISBLANK($C464),"",IF(ISNUMBER(J464),IF(J464&gt;=0,J464,""),""))</f>
        <v/>
      </c>
      <c r="U464" s="62" t="str">
        <f aca="false">IF(ISBLANK($C464),"",IF(K464=Constants!$B$2, TRUE(), IF(K464=Constants!$B$3, FALSE(), TRUE())))</f>
        <v/>
      </c>
      <c r="V464" s="62" t="str">
        <f aca="false">IF(ISBLANK($C464),"",IF(L464=Constants!$B$2, TRUE(), IF(L464=Constants!$B$3, FALSE(), TRUE())))</f>
        <v/>
      </c>
      <c r="W464" s="62" t="str">
        <f aca="false">IF(ISBLANK($C464),"",IF(M464=Constants!$B$2, TRUE(), IF(M464=Constants!$B$3, FALSE(), FALSE())))</f>
        <v/>
      </c>
      <c r="X464" s="62" t="str">
        <f aca="false">IF(ISBLANK($C464),"",AND(Q464&lt;&gt;"",O464))</f>
        <v/>
      </c>
      <c r="Y464" s="62" t="str">
        <f aca="false">IF(ISBLANK($C464),"",AND(T464&lt;&gt;"",O464))</f>
        <v/>
      </c>
      <c r="Z464" s="62" t="str">
        <f aca="false">IF(ISBLANK($C464),"",IF(W464,Constants!$B$4,IF(COUNTA(E464:L464)=0,Constants!$B$5,IF(NOT(O464),Constants!$B$6,IF(AND(NOT(X464),NOT(Y464)),Constants!$B$6,Constants!$B$7)))))</f>
        <v/>
      </c>
      <c r="AA464" s="62" t="str">
        <f aca="false">IF(ISBLANK($C464),"",IF($Z464&lt;&gt;Constants!$B$7,$Z464,Constants!$B$20))</f>
        <v/>
      </c>
      <c r="AB464" s="62" t="str">
        <f aca="false">IF($Z464=Constants!$B$7,IF(X464,Q464,Constants!$B$13),"")</f>
        <v/>
      </c>
      <c r="AC464" s="62" t="str">
        <f aca="false">IF($Z464=Constants!$B$7,IF(X464,P464*IF(R464, 1, Constants!$B$11)*IF(S464, 1, Constants!$B$12),Constants!$B$13),"")</f>
        <v/>
      </c>
      <c r="AD464" s="62" t="str">
        <f aca="false">IF($Z464=Constants!$B$7,AB464*AC464,"")</f>
        <v/>
      </c>
      <c r="AE464" s="62" t="str">
        <f aca="false">IF($Z464=Constants!$B$7,IF(Y464,T464,Constants!$B$13),"")</f>
        <v/>
      </c>
      <c r="AF464" s="62" t="str">
        <f aca="false">IF($Z464=Constants!$B$7,IF(Y464,P464*IF(U464, 1, Constants!$B$11)*IF(V464, 1, Constants!$B$12),Constants!$B$13),"")</f>
        <v/>
      </c>
      <c r="AG464" s="62" t="str">
        <f aca="false">IF($Z464=Constants!$B$7,AE464*AF464,"")</f>
        <v/>
      </c>
      <c r="AH464" s="62" t="str">
        <f aca="false">IF($Z464=Constants!$B$7,IF(AG464&gt;AD464,2,1),"")</f>
        <v/>
      </c>
      <c r="AI464" s="62" t="str">
        <f aca="false">IF($Z464=Constants!$B$7,IF(AH464=1,2,1),"")</f>
        <v/>
      </c>
      <c r="AJ464" s="62" t="str">
        <f aca="false">IF(ISBLANK($C464),"",IF($Z464&lt;&gt;Constants!$B$7,$Z464,IF(AH464=1,AD464,AG464)))</f>
        <v/>
      </c>
      <c r="AK464" s="62" t="str">
        <f aca="false">IF(ISBLANK($C464),"",IF($Z464=Constants!$B$7,IF(ISNUMBER(AJ464),RANK(AJ464,$AJ$8:$AJ$507),Constants!$B$14),$Z464))</f>
        <v/>
      </c>
      <c r="AL464" s="62" t="str">
        <f aca="false">IF(ISBLANK($C464),"",IF($Z464=Constants!$B$7,IF(AI464=1,AD464,AG464),""))</f>
        <v/>
      </c>
      <c r="AM464" s="62" t="str">
        <f aca="false">IF(ISBLANK($C464),"",IF($Z464=Constants!$B$7,RANK(AL464,$AL$8:$AL$507),$Z464))</f>
        <v/>
      </c>
      <c r="AN464" s="62" t="str">
        <f aca="false">IF(ISBLANK($C464),"",IF($Z464=Constants!$B$7,IF(ISNUMBER(AK464),COUNTIFS($AK$8:$AK$507,"&lt;"&amp;$AK464)+COUNTIFS($AK$8:$AK$507,$AK464,$AM$8:$AM$507,"&lt;"&amp;$AM464)+1,Constants!$B$14),$Z464))</f>
        <v/>
      </c>
      <c r="AO464" s="62" t="str">
        <f aca="false">IF(ISBLANK($C464),"",IF($Z464=Constants!$B$7,IF(ISNUMBER(AK464),AK464-AN464,Constants!$B$14),$Z464))</f>
        <v/>
      </c>
      <c r="AP464" s="64"/>
      <c r="AQ464" s="65" t="str">
        <f aca="false">IF(ISBLANK($C464),"",IF($Z464&lt;&gt;Constants!$B$7,"",AH464))</f>
        <v/>
      </c>
      <c r="AR464" s="80" t="str">
        <f aca="false">IF(ISBLANK($C464),"",IF($Z464&lt;&gt;Constants!$B$7,"",IF(AH464=1,AB464,AE464)))</f>
        <v/>
      </c>
      <c r="AS464" s="67" t="str">
        <f aca="false">IF(ISBLANK($C464),"",IF($Z464&lt;&gt;Constants!$B$7,"",IF(AH464=1,AC464,AF464)))</f>
        <v/>
      </c>
      <c r="AT464" s="68" t="str">
        <f aca="false">IF(ISBLANK($C464),"",IF($Z464&lt;&gt;Constants!$B$7,$Z464,AJ464))</f>
        <v/>
      </c>
      <c r="AU464" s="69" t="str">
        <f aca="false">IF(ISBLANK($C464),"",IF($Z464&lt;&gt;Constants!$B$7,$Z464,AA464))</f>
        <v/>
      </c>
      <c r="AV464" s="70" t="str">
        <f aca="false">IF(ISBLANK($C464),"",AO464)</f>
        <v/>
      </c>
      <c r="AW464" s="70" t="str">
        <f aca="false">IF(ISBLANK($C464),"",AN464)</f>
        <v/>
      </c>
      <c r="AX464" s="71" t="str">
        <f aca="false">IF(ISBLANK($C464),"",IFERROR(_xlfn.SWITCH(AW464,Constants!$B$4,COUNTA($C$8:$C$507)+2,Constants!$B$5,COUNTA($C$8:$C$507)+1,Constants!$B$6,COUNTA($C$8:$C$507)),AW464))</f>
        <v/>
      </c>
      <c r="AY464" s="5"/>
      <c r="AZ464" s="72" t="n">
        <f aca="false">IF(OR(ISNUMBER(AW464),AW464=Constants!$B$4,AW464=Constants!$B$6,AW464=Constants!$B$5),1,0)</f>
        <v>0</v>
      </c>
      <c r="BA464" s="72" t="n">
        <v>457</v>
      </c>
      <c r="BB464" s="72" t="str">
        <f aca="false">IF(ISBLANK($C464),"",IF(ISNUMBER(AX464),AX464+ROW($B464)/1000,""))</f>
        <v/>
      </c>
      <c r="BC464" s="72" t="str">
        <f aca="false">IF(ISNUMBER(BB464),RANK(BB464,$BB$8:$BB$507,1),"")</f>
        <v/>
      </c>
      <c r="BD464" s="72" t="str">
        <f aca="false">IF(ISBLANK($C464),"",$B464)</f>
        <v/>
      </c>
      <c r="BE464" s="72" t="str">
        <f aca="false">IF(ISBLANK($C464),"",$C464)</f>
        <v/>
      </c>
      <c r="BF464" s="72" t="str">
        <f aca="false">IF(ISBLANK($C464),"",$D464)</f>
        <v/>
      </c>
      <c r="BG464" s="73" t="str">
        <f aca="false">AU464</f>
        <v/>
      </c>
      <c r="BH464" s="74" t="str">
        <f aca="false">AT464</f>
        <v/>
      </c>
      <c r="BI464" s="72" t="str">
        <f aca="false">IF(ISBLANK($C464),"",AW464)</f>
        <v/>
      </c>
      <c r="BJ464" s="75" t="str">
        <f aca="false">IF($BA464&gt;$AZ$7,"",VLOOKUP($BA464,$BC$8:$BI$507,7,FALSE()))</f>
        <v/>
      </c>
      <c r="BK464" s="76" t="str">
        <f aca="false">IF($BA464&gt;$AZ$7,"",VLOOKUP($BA464,$BC$8:$BI$507,2,FALSE()))</f>
        <v/>
      </c>
      <c r="BL464" s="76" t="str">
        <f aca="false">IF($BA464&gt;$AZ$7,"",VLOOKUP($BA464,$BC$8:$BI$507,3,FALSE()))</f>
        <v/>
      </c>
      <c r="BM464" s="76" t="str">
        <f aca="false">IF($BA464&gt;$AZ$7,"",VLOOKUP($BA464,$BC$8:$BI$507,4,FALSE()))</f>
        <v/>
      </c>
      <c r="BN464" s="76" t="str">
        <f aca="false">IF($BA464&gt;$AZ$7,"",VLOOKUP($BA464,$BC$8:$BI$507,5,FALSE()))</f>
        <v/>
      </c>
      <c r="BO464" s="77" t="str">
        <f aca="false">IF($BA464&gt;$AZ$7,"",VLOOKUP($BA464,$BC$8:$BI$507,6,FALSE()))</f>
        <v/>
      </c>
      <c r="BP464" s="52"/>
    </row>
    <row r="465" customFormat="false" ht="15.75" hidden="false" customHeight="false" outlineLevel="0" collapsed="false">
      <c r="A465" s="5"/>
      <c r="B465" s="118"/>
      <c r="C465" s="54"/>
      <c r="D465" s="55"/>
      <c r="E465" s="79"/>
      <c r="F465" s="57"/>
      <c r="G465" s="58"/>
      <c r="H465" s="58"/>
      <c r="I465" s="57"/>
      <c r="J465" s="58"/>
      <c r="K465" s="58"/>
      <c r="L465" s="57"/>
      <c r="M465" s="79"/>
      <c r="N465" s="60"/>
      <c r="O465" s="62" t="str">
        <f aca="false">IF(ISBLANK($C465),"",IF(E465=Constants!$B$2, TRUE(), IF(E465=Constants!$B$3, FALSE(), TRUE())))</f>
        <v/>
      </c>
      <c r="P465" s="62" t="str">
        <f aca="false">IF(ISBLANK($C465),"",IF(F465=Constants!$B$16,Constants!$B$9,IF(F465=Constants!$B$17,Constants!$B$10,Constants!$B$8)))</f>
        <v/>
      </c>
      <c r="Q465" s="62" t="str">
        <f aca="false">IF(ISBLANK($C465),"",IF(ISNUMBER(G465),IF(G465&gt;=0,G465,""),""))</f>
        <v/>
      </c>
      <c r="R465" s="62" t="str">
        <f aca="false">IF(ISBLANK($C465),"",IF(H465=Constants!$B$2, TRUE(), IF(H465=Constants!$B$3, FALSE(), TRUE())))</f>
        <v/>
      </c>
      <c r="S465" s="62" t="str">
        <f aca="false">IF(ISBLANK($C465),"",IF(I465=Constants!$B$2, TRUE(), IF(I465=Constants!$B$3, FALSE(), TRUE())))</f>
        <v/>
      </c>
      <c r="T465" s="62" t="str">
        <f aca="false">IF(ISBLANK($C465),"",IF(ISNUMBER(J465),IF(J465&gt;=0,J465,""),""))</f>
        <v/>
      </c>
      <c r="U465" s="62" t="str">
        <f aca="false">IF(ISBLANK($C465),"",IF(K465=Constants!$B$2, TRUE(), IF(K465=Constants!$B$3, FALSE(), TRUE())))</f>
        <v/>
      </c>
      <c r="V465" s="62" t="str">
        <f aca="false">IF(ISBLANK($C465),"",IF(L465=Constants!$B$2, TRUE(), IF(L465=Constants!$B$3, FALSE(), TRUE())))</f>
        <v/>
      </c>
      <c r="W465" s="62" t="str">
        <f aca="false">IF(ISBLANK($C465),"",IF(M465=Constants!$B$2, TRUE(), IF(M465=Constants!$B$3, FALSE(), FALSE())))</f>
        <v/>
      </c>
      <c r="X465" s="62" t="str">
        <f aca="false">IF(ISBLANK($C465),"",AND(Q465&lt;&gt;"",O465))</f>
        <v/>
      </c>
      <c r="Y465" s="62" t="str">
        <f aca="false">IF(ISBLANK($C465),"",AND(T465&lt;&gt;"",O465))</f>
        <v/>
      </c>
      <c r="Z465" s="62" t="str">
        <f aca="false">IF(ISBLANK($C465),"",IF(W465,Constants!$B$4,IF(COUNTA(E465:L465)=0,Constants!$B$5,IF(NOT(O465),Constants!$B$6,IF(AND(NOT(X465),NOT(Y465)),Constants!$B$6,Constants!$B$7)))))</f>
        <v/>
      </c>
      <c r="AA465" s="62" t="str">
        <f aca="false">IF(ISBLANK($C465),"",IF($Z465&lt;&gt;Constants!$B$7,$Z465,Constants!$B$20))</f>
        <v/>
      </c>
      <c r="AB465" s="62" t="str">
        <f aca="false">IF($Z465=Constants!$B$7,IF(X465,Q465,Constants!$B$13),"")</f>
        <v/>
      </c>
      <c r="AC465" s="62" t="str">
        <f aca="false">IF($Z465=Constants!$B$7,IF(X465,P465*IF(R465, 1, Constants!$B$11)*IF(S465, 1, Constants!$B$12),Constants!$B$13),"")</f>
        <v/>
      </c>
      <c r="AD465" s="62" t="str">
        <f aca="false">IF($Z465=Constants!$B$7,AB465*AC465,"")</f>
        <v/>
      </c>
      <c r="AE465" s="62" t="str">
        <f aca="false">IF($Z465=Constants!$B$7,IF(Y465,T465,Constants!$B$13),"")</f>
        <v/>
      </c>
      <c r="AF465" s="62" t="str">
        <f aca="false">IF($Z465=Constants!$B$7,IF(Y465,P465*IF(U465, 1, Constants!$B$11)*IF(V465, 1, Constants!$B$12),Constants!$B$13),"")</f>
        <v/>
      </c>
      <c r="AG465" s="62" t="str">
        <f aca="false">IF($Z465=Constants!$B$7,AE465*AF465,"")</f>
        <v/>
      </c>
      <c r="AH465" s="62" t="str">
        <f aca="false">IF($Z465=Constants!$B$7,IF(AG465&gt;AD465,2,1),"")</f>
        <v/>
      </c>
      <c r="AI465" s="62" t="str">
        <f aca="false">IF($Z465=Constants!$B$7,IF(AH465=1,2,1),"")</f>
        <v/>
      </c>
      <c r="AJ465" s="62" t="str">
        <f aca="false">IF(ISBLANK($C465),"",IF($Z465&lt;&gt;Constants!$B$7,$Z465,IF(AH465=1,AD465,AG465)))</f>
        <v/>
      </c>
      <c r="AK465" s="62" t="str">
        <f aca="false">IF(ISBLANK($C465),"",IF($Z465=Constants!$B$7,IF(ISNUMBER(AJ465),RANK(AJ465,$AJ$8:$AJ$507),Constants!$B$14),$Z465))</f>
        <v/>
      </c>
      <c r="AL465" s="62" t="str">
        <f aca="false">IF(ISBLANK($C465),"",IF($Z465=Constants!$B$7,IF(AI465=1,AD465,AG465),""))</f>
        <v/>
      </c>
      <c r="AM465" s="62" t="str">
        <f aca="false">IF(ISBLANK($C465),"",IF($Z465=Constants!$B$7,RANK(AL465,$AL$8:$AL$507),$Z465))</f>
        <v/>
      </c>
      <c r="AN465" s="62" t="str">
        <f aca="false">IF(ISBLANK($C465),"",IF($Z465=Constants!$B$7,IF(ISNUMBER(AK465),COUNTIFS($AK$8:$AK$507,"&lt;"&amp;$AK465)+COUNTIFS($AK$8:$AK$507,$AK465,$AM$8:$AM$507,"&lt;"&amp;$AM465)+1,Constants!$B$14),$Z465))</f>
        <v/>
      </c>
      <c r="AO465" s="62" t="str">
        <f aca="false">IF(ISBLANK($C465),"",IF($Z465=Constants!$B$7,IF(ISNUMBER(AK465),AK465-AN465,Constants!$B$14),$Z465))</f>
        <v/>
      </c>
      <c r="AP465" s="64"/>
      <c r="AQ465" s="65" t="str">
        <f aca="false">IF(ISBLANK($C465),"",IF($Z465&lt;&gt;Constants!$B$7,"",AH465))</f>
        <v/>
      </c>
      <c r="AR465" s="80" t="str">
        <f aca="false">IF(ISBLANK($C465),"",IF($Z465&lt;&gt;Constants!$B$7,"",IF(AH465=1,AB465,AE465)))</f>
        <v/>
      </c>
      <c r="AS465" s="67" t="str">
        <f aca="false">IF(ISBLANK($C465),"",IF($Z465&lt;&gt;Constants!$B$7,"",IF(AH465=1,AC465,AF465)))</f>
        <v/>
      </c>
      <c r="AT465" s="68" t="str">
        <f aca="false">IF(ISBLANK($C465),"",IF($Z465&lt;&gt;Constants!$B$7,$Z465,AJ465))</f>
        <v/>
      </c>
      <c r="AU465" s="69" t="str">
        <f aca="false">IF(ISBLANK($C465),"",IF($Z465&lt;&gt;Constants!$B$7,$Z465,AA465))</f>
        <v/>
      </c>
      <c r="AV465" s="70" t="str">
        <f aca="false">IF(ISBLANK($C465),"",AO465)</f>
        <v/>
      </c>
      <c r="AW465" s="70" t="str">
        <f aca="false">IF(ISBLANK($C465),"",AN465)</f>
        <v/>
      </c>
      <c r="AX465" s="71" t="str">
        <f aca="false">IF(ISBLANK($C465),"",IFERROR(_xlfn.SWITCH(AW465,Constants!$B$4,COUNTA($C$8:$C$507)+2,Constants!$B$5,COUNTA($C$8:$C$507)+1,Constants!$B$6,COUNTA($C$8:$C$507)),AW465))</f>
        <v/>
      </c>
      <c r="AY465" s="5"/>
      <c r="AZ465" s="72" t="n">
        <f aca="false">IF(OR(ISNUMBER(AW465),AW465=Constants!$B$4,AW465=Constants!$B$6,AW465=Constants!$B$5),1,0)</f>
        <v>0</v>
      </c>
      <c r="BA465" s="72" t="n">
        <v>458</v>
      </c>
      <c r="BB465" s="72" t="str">
        <f aca="false">IF(ISBLANK($C465),"",IF(ISNUMBER(AX465),AX465+ROW($B465)/1000,""))</f>
        <v/>
      </c>
      <c r="BC465" s="72" t="str">
        <f aca="false">IF(ISNUMBER(BB465),RANK(BB465,$BB$8:$BB$507,1),"")</f>
        <v/>
      </c>
      <c r="BD465" s="72" t="str">
        <f aca="false">IF(ISBLANK($C465),"",$B465)</f>
        <v/>
      </c>
      <c r="BE465" s="72" t="str">
        <f aca="false">IF(ISBLANK($C465),"",$C465)</f>
        <v/>
      </c>
      <c r="BF465" s="72" t="str">
        <f aca="false">IF(ISBLANK($C465),"",$D465)</f>
        <v/>
      </c>
      <c r="BG465" s="73" t="str">
        <f aca="false">AU465</f>
        <v/>
      </c>
      <c r="BH465" s="74" t="str">
        <f aca="false">AT465</f>
        <v/>
      </c>
      <c r="BI465" s="72" t="str">
        <f aca="false">IF(ISBLANK($C465),"",AW465)</f>
        <v/>
      </c>
      <c r="BJ465" s="75" t="str">
        <f aca="false">IF($BA465&gt;$AZ$7,"",VLOOKUP($BA465,$BC$8:$BI$507,7,FALSE()))</f>
        <v/>
      </c>
      <c r="BK465" s="76" t="str">
        <f aca="false">IF($BA465&gt;$AZ$7,"",VLOOKUP($BA465,$BC$8:$BI$507,2,FALSE()))</f>
        <v/>
      </c>
      <c r="BL465" s="76" t="str">
        <f aca="false">IF($BA465&gt;$AZ$7,"",VLOOKUP($BA465,$BC$8:$BI$507,3,FALSE()))</f>
        <v/>
      </c>
      <c r="BM465" s="76" t="str">
        <f aca="false">IF($BA465&gt;$AZ$7,"",VLOOKUP($BA465,$BC$8:$BI$507,4,FALSE()))</f>
        <v/>
      </c>
      <c r="BN465" s="76" t="str">
        <f aca="false">IF($BA465&gt;$AZ$7,"",VLOOKUP($BA465,$BC$8:$BI$507,5,FALSE()))</f>
        <v/>
      </c>
      <c r="BO465" s="77" t="str">
        <f aca="false">IF($BA465&gt;$AZ$7,"",VLOOKUP($BA465,$BC$8:$BI$507,6,FALSE()))</f>
        <v/>
      </c>
      <c r="BP465" s="52"/>
    </row>
    <row r="466" customFormat="false" ht="15.75" hidden="false" customHeight="false" outlineLevel="0" collapsed="false">
      <c r="A466" s="5"/>
      <c r="B466" s="118"/>
      <c r="C466" s="54"/>
      <c r="D466" s="55"/>
      <c r="E466" s="79"/>
      <c r="F466" s="57"/>
      <c r="G466" s="58"/>
      <c r="H466" s="58"/>
      <c r="I466" s="57"/>
      <c r="J466" s="58"/>
      <c r="K466" s="58"/>
      <c r="L466" s="57"/>
      <c r="M466" s="79"/>
      <c r="N466" s="60"/>
      <c r="O466" s="62" t="str">
        <f aca="false">IF(ISBLANK($C466),"",IF(E466=Constants!$B$2, TRUE(), IF(E466=Constants!$B$3, FALSE(), TRUE())))</f>
        <v/>
      </c>
      <c r="P466" s="62" t="str">
        <f aca="false">IF(ISBLANK($C466),"",IF(F466=Constants!$B$16,Constants!$B$9,IF(F466=Constants!$B$17,Constants!$B$10,Constants!$B$8)))</f>
        <v/>
      </c>
      <c r="Q466" s="62" t="str">
        <f aca="false">IF(ISBLANK($C466),"",IF(ISNUMBER(G466),IF(G466&gt;=0,G466,""),""))</f>
        <v/>
      </c>
      <c r="R466" s="62" t="str">
        <f aca="false">IF(ISBLANK($C466),"",IF(H466=Constants!$B$2, TRUE(), IF(H466=Constants!$B$3, FALSE(), TRUE())))</f>
        <v/>
      </c>
      <c r="S466" s="62" t="str">
        <f aca="false">IF(ISBLANK($C466),"",IF(I466=Constants!$B$2, TRUE(), IF(I466=Constants!$B$3, FALSE(), TRUE())))</f>
        <v/>
      </c>
      <c r="T466" s="62" t="str">
        <f aca="false">IF(ISBLANK($C466),"",IF(ISNUMBER(J466),IF(J466&gt;=0,J466,""),""))</f>
        <v/>
      </c>
      <c r="U466" s="62" t="str">
        <f aca="false">IF(ISBLANK($C466),"",IF(K466=Constants!$B$2, TRUE(), IF(K466=Constants!$B$3, FALSE(), TRUE())))</f>
        <v/>
      </c>
      <c r="V466" s="62" t="str">
        <f aca="false">IF(ISBLANK($C466),"",IF(L466=Constants!$B$2, TRUE(), IF(L466=Constants!$B$3, FALSE(), TRUE())))</f>
        <v/>
      </c>
      <c r="W466" s="62" t="str">
        <f aca="false">IF(ISBLANK($C466),"",IF(M466=Constants!$B$2, TRUE(), IF(M466=Constants!$B$3, FALSE(), FALSE())))</f>
        <v/>
      </c>
      <c r="X466" s="62" t="str">
        <f aca="false">IF(ISBLANK($C466),"",AND(Q466&lt;&gt;"",O466))</f>
        <v/>
      </c>
      <c r="Y466" s="62" t="str">
        <f aca="false">IF(ISBLANK($C466),"",AND(T466&lt;&gt;"",O466))</f>
        <v/>
      </c>
      <c r="Z466" s="62" t="str">
        <f aca="false">IF(ISBLANK($C466),"",IF(W466,Constants!$B$4,IF(COUNTA(E466:L466)=0,Constants!$B$5,IF(NOT(O466),Constants!$B$6,IF(AND(NOT(X466),NOT(Y466)),Constants!$B$6,Constants!$B$7)))))</f>
        <v/>
      </c>
      <c r="AA466" s="62" t="str">
        <f aca="false">IF(ISBLANK($C466),"",IF($Z466&lt;&gt;Constants!$B$7,$Z466,Constants!$B$20))</f>
        <v/>
      </c>
      <c r="AB466" s="62" t="str">
        <f aca="false">IF($Z466=Constants!$B$7,IF(X466,Q466,Constants!$B$13),"")</f>
        <v/>
      </c>
      <c r="AC466" s="62" t="str">
        <f aca="false">IF($Z466=Constants!$B$7,IF(X466,P466*IF(R466, 1, Constants!$B$11)*IF(S466, 1, Constants!$B$12),Constants!$B$13),"")</f>
        <v/>
      </c>
      <c r="AD466" s="62" t="str">
        <f aca="false">IF($Z466=Constants!$B$7,AB466*AC466,"")</f>
        <v/>
      </c>
      <c r="AE466" s="62" t="str">
        <f aca="false">IF($Z466=Constants!$B$7,IF(Y466,T466,Constants!$B$13),"")</f>
        <v/>
      </c>
      <c r="AF466" s="62" t="str">
        <f aca="false">IF($Z466=Constants!$B$7,IF(Y466,P466*IF(U466, 1, Constants!$B$11)*IF(V466, 1, Constants!$B$12),Constants!$B$13),"")</f>
        <v/>
      </c>
      <c r="AG466" s="62" t="str">
        <f aca="false">IF($Z466=Constants!$B$7,AE466*AF466,"")</f>
        <v/>
      </c>
      <c r="AH466" s="62" t="str">
        <f aca="false">IF($Z466=Constants!$B$7,IF(AG466&gt;AD466,2,1),"")</f>
        <v/>
      </c>
      <c r="AI466" s="62" t="str">
        <f aca="false">IF($Z466=Constants!$B$7,IF(AH466=1,2,1),"")</f>
        <v/>
      </c>
      <c r="AJ466" s="62" t="str">
        <f aca="false">IF(ISBLANK($C466),"",IF($Z466&lt;&gt;Constants!$B$7,$Z466,IF(AH466=1,AD466,AG466)))</f>
        <v/>
      </c>
      <c r="AK466" s="62" t="str">
        <f aca="false">IF(ISBLANK($C466),"",IF($Z466=Constants!$B$7,IF(ISNUMBER(AJ466),RANK(AJ466,$AJ$8:$AJ$507),Constants!$B$14),$Z466))</f>
        <v/>
      </c>
      <c r="AL466" s="62" t="str">
        <f aca="false">IF(ISBLANK($C466),"",IF($Z466=Constants!$B$7,IF(AI466=1,AD466,AG466),""))</f>
        <v/>
      </c>
      <c r="AM466" s="62" t="str">
        <f aca="false">IF(ISBLANK($C466),"",IF($Z466=Constants!$B$7,RANK(AL466,$AL$8:$AL$507),$Z466))</f>
        <v/>
      </c>
      <c r="AN466" s="62" t="str">
        <f aca="false">IF(ISBLANK($C466),"",IF($Z466=Constants!$B$7,IF(ISNUMBER(AK466),COUNTIFS($AK$8:$AK$507,"&lt;"&amp;$AK466)+COUNTIFS($AK$8:$AK$507,$AK466,$AM$8:$AM$507,"&lt;"&amp;$AM466)+1,Constants!$B$14),$Z466))</f>
        <v/>
      </c>
      <c r="AO466" s="62" t="str">
        <f aca="false">IF(ISBLANK($C466),"",IF($Z466=Constants!$B$7,IF(ISNUMBER(AK466),AK466-AN466,Constants!$B$14),$Z466))</f>
        <v/>
      </c>
      <c r="AP466" s="64"/>
      <c r="AQ466" s="65" t="str">
        <f aca="false">IF(ISBLANK($C466),"",IF($Z466&lt;&gt;Constants!$B$7,"",AH466))</f>
        <v/>
      </c>
      <c r="AR466" s="80" t="str">
        <f aca="false">IF(ISBLANK($C466),"",IF($Z466&lt;&gt;Constants!$B$7,"",IF(AH466=1,AB466,AE466)))</f>
        <v/>
      </c>
      <c r="AS466" s="67" t="str">
        <f aca="false">IF(ISBLANK($C466),"",IF($Z466&lt;&gt;Constants!$B$7,"",IF(AH466=1,AC466,AF466)))</f>
        <v/>
      </c>
      <c r="AT466" s="68" t="str">
        <f aca="false">IF(ISBLANK($C466),"",IF($Z466&lt;&gt;Constants!$B$7,$Z466,AJ466))</f>
        <v/>
      </c>
      <c r="AU466" s="69" t="str">
        <f aca="false">IF(ISBLANK($C466),"",IF($Z466&lt;&gt;Constants!$B$7,$Z466,AA466))</f>
        <v/>
      </c>
      <c r="AV466" s="70" t="str">
        <f aca="false">IF(ISBLANK($C466),"",AO466)</f>
        <v/>
      </c>
      <c r="AW466" s="70" t="str">
        <f aca="false">IF(ISBLANK($C466),"",AN466)</f>
        <v/>
      </c>
      <c r="AX466" s="71" t="str">
        <f aca="false">IF(ISBLANK($C466),"",IFERROR(_xlfn.SWITCH(AW466,Constants!$B$4,COUNTA($C$8:$C$507)+2,Constants!$B$5,COUNTA($C$8:$C$507)+1,Constants!$B$6,COUNTA($C$8:$C$507)),AW466))</f>
        <v/>
      </c>
      <c r="AY466" s="5"/>
      <c r="AZ466" s="72" t="n">
        <f aca="false">IF(OR(ISNUMBER(AW466),AW466=Constants!$B$4,AW466=Constants!$B$6,AW466=Constants!$B$5),1,0)</f>
        <v>0</v>
      </c>
      <c r="BA466" s="72" t="n">
        <v>459</v>
      </c>
      <c r="BB466" s="72" t="str">
        <f aca="false">IF(ISBLANK($C466),"",IF(ISNUMBER(AX466),AX466+ROW($B466)/1000,""))</f>
        <v/>
      </c>
      <c r="BC466" s="72" t="str">
        <f aca="false">IF(ISNUMBER(BB466),RANK(BB466,$BB$8:$BB$507,1),"")</f>
        <v/>
      </c>
      <c r="BD466" s="72" t="str">
        <f aca="false">IF(ISBLANK($C466),"",$B466)</f>
        <v/>
      </c>
      <c r="BE466" s="72" t="str">
        <f aca="false">IF(ISBLANK($C466),"",$C466)</f>
        <v/>
      </c>
      <c r="BF466" s="72" t="str">
        <f aca="false">IF(ISBLANK($C466),"",$D466)</f>
        <v/>
      </c>
      <c r="BG466" s="73" t="str">
        <f aca="false">AU466</f>
        <v/>
      </c>
      <c r="BH466" s="74" t="str">
        <f aca="false">AT466</f>
        <v/>
      </c>
      <c r="BI466" s="72" t="str">
        <f aca="false">IF(ISBLANK($C466),"",AW466)</f>
        <v/>
      </c>
      <c r="BJ466" s="75" t="str">
        <f aca="false">IF($BA466&gt;$AZ$7,"",VLOOKUP($BA466,$BC$8:$BI$507,7,FALSE()))</f>
        <v/>
      </c>
      <c r="BK466" s="76" t="str">
        <f aca="false">IF($BA466&gt;$AZ$7,"",VLOOKUP($BA466,$BC$8:$BI$507,2,FALSE()))</f>
        <v/>
      </c>
      <c r="BL466" s="76" t="str">
        <f aca="false">IF($BA466&gt;$AZ$7,"",VLOOKUP($BA466,$BC$8:$BI$507,3,FALSE()))</f>
        <v/>
      </c>
      <c r="BM466" s="76" t="str">
        <f aca="false">IF($BA466&gt;$AZ$7,"",VLOOKUP($BA466,$BC$8:$BI$507,4,FALSE()))</f>
        <v/>
      </c>
      <c r="BN466" s="76" t="str">
        <f aca="false">IF($BA466&gt;$AZ$7,"",VLOOKUP($BA466,$BC$8:$BI$507,5,FALSE()))</f>
        <v/>
      </c>
      <c r="BO466" s="77" t="str">
        <f aca="false">IF($BA466&gt;$AZ$7,"",VLOOKUP($BA466,$BC$8:$BI$507,6,FALSE()))</f>
        <v/>
      </c>
      <c r="BP466" s="52"/>
    </row>
    <row r="467" customFormat="false" ht="15.75" hidden="false" customHeight="false" outlineLevel="0" collapsed="false">
      <c r="A467" s="5"/>
      <c r="B467" s="114"/>
      <c r="C467" s="115"/>
      <c r="D467" s="106"/>
      <c r="E467" s="117"/>
      <c r="F467" s="87"/>
      <c r="G467" s="88"/>
      <c r="H467" s="88"/>
      <c r="I467" s="87"/>
      <c r="J467" s="88"/>
      <c r="K467" s="88"/>
      <c r="L467" s="87"/>
      <c r="M467" s="117"/>
      <c r="N467" s="90"/>
      <c r="O467" s="91" t="str">
        <f aca="false">IF(ISBLANK($C467),"",IF(E467=Constants!$B$2, TRUE(), IF(E467=Constants!$B$3, FALSE(), TRUE())))</f>
        <v/>
      </c>
      <c r="P467" s="91" t="str">
        <f aca="false">IF(ISBLANK($C467),"",IF(F467=Constants!$B$16,Constants!$B$9,IF(F467=Constants!$B$17,Constants!$B$10,Constants!$B$8)))</f>
        <v/>
      </c>
      <c r="Q467" s="91" t="str">
        <f aca="false">IF(ISBLANK($C467),"",IF(ISNUMBER(G467),IF(G467&gt;=0,G467,""),""))</f>
        <v/>
      </c>
      <c r="R467" s="91" t="str">
        <f aca="false">IF(ISBLANK($C467),"",IF(H467=Constants!$B$2, TRUE(), IF(H467=Constants!$B$3, FALSE(), TRUE())))</f>
        <v/>
      </c>
      <c r="S467" s="91" t="str">
        <f aca="false">IF(ISBLANK($C467),"",IF(I467=Constants!$B$2, TRUE(), IF(I467=Constants!$B$3, FALSE(), TRUE())))</f>
        <v/>
      </c>
      <c r="T467" s="91" t="str">
        <f aca="false">IF(ISBLANK($C467),"",IF(ISNUMBER(J467),IF(J467&gt;=0,J467,""),""))</f>
        <v/>
      </c>
      <c r="U467" s="91" t="str">
        <f aca="false">IF(ISBLANK($C467),"",IF(K467=Constants!$B$2, TRUE(), IF(K467=Constants!$B$3, FALSE(), TRUE())))</f>
        <v/>
      </c>
      <c r="V467" s="91" t="str">
        <f aca="false">IF(ISBLANK($C467),"",IF(L467=Constants!$B$2, TRUE(), IF(L467=Constants!$B$3, FALSE(), TRUE())))</f>
        <v/>
      </c>
      <c r="W467" s="91" t="str">
        <f aca="false">IF(ISBLANK($C467),"",IF(M467=Constants!$B$2, TRUE(), IF(M467=Constants!$B$3, FALSE(), FALSE())))</f>
        <v/>
      </c>
      <c r="X467" s="91" t="str">
        <f aca="false">IF(ISBLANK($C467),"",AND(Q467&lt;&gt;"",O467))</f>
        <v/>
      </c>
      <c r="Y467" s="91" t="str">
        <f aca="false">IF(ISBLANK($C467),"",AND(T467&lt;&gt;"",O467))</f>
        <v/>
      </c>
      <c r="Z467" s="91" t="str">
        <f aca="false">IF(ISBLANK($C467),"",IF(W467,Constants!$B$4,IF(COUNTA(E467:L467)=0,Constants!$B$5,IF(NOT(O467),Constants!$B$6,IF(AND(NOT(X467),NOT(Y467)),Constants!$B$6,Constants!$B$7)))))</f>
        <v/>
      </c>
      <c r="AA467" s="91" t="str">
        <f aca="false">IF(ISBLANK($C467),"",IF($Z467&lt;&gt;Constants!$B$7,$Z467,Constants!$B$20))</f>
        <v/>
      </c>
      <c r="AB467" s="91" t="str">
        <f aca="false">IF($Z467=Constants!$B$7,IF(X467,Q467,Constants!$B$13),"")</f>
        <v/>
      </c>
      <c r="AC467" s="91" t="str">
        <f aca="false">IF($Z467=Constants!$B$7,IF(X467,P467*IF(R467, 1, Constants!$B$11)*IF(S467, 1, Constants!$B$12),Constants!$B$13),"")</f>
        <v/>
      </c>
      <c r="AD467" s="91" t="str">
        <f aca="false">IF($Z467=Constants!$B$7,AB467*AC467,"")</f>
        <v/>
      </c>
      <c r="AE467" s="91" t="str">
        <f aca="false">IF($Z467=Constants!$B$7,IF(Y467,T467,Constants!$B$13),"")</f>
        <v/>
      </c>
      <c r="AF467" s="91" t="str">
        <f aca="false">IF($Z467=Constants!$B$7,IF(Y467,P467*IF(U467, 1, Constants!$B$11)*IF(V467, 1, Constants!$B$12),Constants!$B$13),"")</f>
        <v/>
      </c>
      <c r="AG467" s="91" t="str">
        <f aca="false">IF($Z467=Constants!$B$7,AE467*AF467,"")</f>
        <v/>
      </c>
      <c r="AH467" s="91" t="str">
        <f aca="false">IF($Z467=Constants!$B$7,IF(AG467&gt;AD467,2,1),"")</f>
        <v/>
      </c>
      <c r="AI467" s="91" t="str">
        <f aca="false">IF($Z467=Constants!$B$7,IF(AH467=1,2,1),"")</f>
        <v/>
      </c>
      <c r="AJ467" s="91" t="str">
        <f aca="false">IF(ISBLANK($C467),"",IF($Z467&lt;&gt;Constants!$B$7,$Z467,IF(AH467=1,AD467,AG467)))</f>
        <v/>
      </c>
      <c r="AK467" s="91" t="str">
        <f aca="false">IF(ISBLANK($C467),"",IF($Z467=Constants!$B$7,IF(ISNUMBER(AJ467),RANK(AJ467,$AJ$8:$AJ$507),Constants!$B$14),$Z467))</f>
        <v/>
      </c>
      <c r="AL467" s="91" t="str">
        <f aca="false">IF(ISBLANK($C467),"",IF($Z467=Constants!$B$7,IF(AI467=1,AD467,AG467),""))</f>
        <v/>
      </c>
      <c r="AM467" s="91" t="str">
        <f aca="false">IF(ISBLANK($C467),"",IF($Z467=Constants!$B$7,RANK(AL467,$AL$8:$AL$507),$Z467))</f>
        <v/>
      </c>
      <c r="AN467" s="91" t="str">
        <f aca="false">IF(ISBLANK($C467),"",IF($Z467=Constants!$B$7,IF(ISNUMBER(AK467),COUNTIFS($AK$8:$AK$507,"&lt;"&amp;$AK467)+COUNTIFS($AK$8:$AK$507,$AK467,$AM$8:$AM$507,"&lt;"&amp;$AM467)+1,Constants!$B$14),$Z467))</f>
        <v/>
      </c>
      <c r="AO467" s="91" t="str">
        <f aca="false">IF(ISBLANK($C467),"",IF($Z467=Constants!$B$7,IF(ISNUMBER(AK467),AK467-AN467,Constants!$B$14),$Z467))</f>
        <v/>
      </c>
      <c r="AP467" s="92"/>
      <c r="AQ467" s="93" t="str">
        <f aca="false">IF(ISBLANK($C467),"",IF($Z467&lt;&gt;Constants!$B$7,"",AH467))</f>
        <v/>
      </c>
      <c r="AR467" s="94" t="str">
        <f aca="false">IF(ISBLANK($C467),"",IF($Z467&lt;&gt;Constants!$B$7,"",IF(AH467=1,AB467,AE467)))</f>
        <v/>
      </c>
      <c r="AS467" s="95" t="str">
        <f aca="false">IF(ISBLANK($C467),"",IF($Z467&lt;&gt;Constants!$B$7,"",IF(AH467=1,AC467,AF467)))</f>
        <v/>
      </c>
      <c r="AT467" s="96" t="str">
        <f aca="false">IF(ISBLANK($C467),"",IF($Z467&lt;&gt;Constants!$B$7,$Z467,AJ467))</f>
        <v/>
      </c>
      <c r="AU467" s="97" t="str">
        <f aca="false">IF(ISBLANK($C467),"",IF($Z467&lt;&gt;Constants!$B$7,$Z467,AA467))</f>
        <v/>
      </c>
      <c r="AV467" s="98" t="str">
        <f aca="false">IF(ISBLANK($C467),"",AO467)</f>
        <v/>
      </c>
      <c r="AW467" s="98" t="str">
        <f aca="false">IF(ISBLANK($C467),"",AN467)</f>
        <v/>
      </c>
      <c r="AX467" s="99" t="str">
        <f aca="false">IF(ISBLANK($C467),"",IFERROR(_xlfn.SWITCH(AW467,Constants!$B$4,COUNTA($C$8:$C$507)+2,Constants!$B$5,COUNTA($C$8:$C$507)+1,Constants!$B$6,COUNTA($C$8:$C$507)),AW467))</f>
        <v/>
      </c>
      <c r="AY467" s="5"/>
      <c r="AZ467" s="100" t="n">
        <f aca="false">IF(OR(ISNUMBER(AW467),AW467=Constants!$B$4,AW467=Constants!$B$6,AW467=Constants!$B$5),1,0)</f>
        <v>0</v>
      </c>
      <c r="BA467" s="100" t="n">
        <v>460</v>
      </c>
      <c r="BB467" s="100" t="str">
        <f aca="false">IF(ISBLANK($C467),"",IF(ISNUMBER(AX467),AX467+ROW($B467)/1000,""))</f>
        <v/>
      </c>
      <c r="BC467" s="100" t="str">
        <f aca="false">IF(ISNUMBER(BB467),RANK(BB467,$BB$8:$BB$507,1),"")</f>
        <v/>
      </c>
      <c r="BD467" s="100" t="str">
        <f aca="false">IF(ISBLANK($C467),"",$B467)</f>
        <v/>
      </c>
      <c r="BE467" s="100" t="str">
        <f aca="false">IF(ISBLANK($C467),"",$C467)</f>
        <v/>
      </c>
      <c r="BF467" s="100" t="str">
        <f aca="false">IF(ISBLANK($C467),"",$D467)</f>
        <v/>
      </c>
      <c r="BG467" s="101" t="str">
        <f aca="false">AU467</f>
        <v/>
      </c>
      <c r="BH467" s="102" t="str">
        <f aca="false">AT467</f>
        <v/>
      </c>
      <c r="BI467" s="100" t="str">
        <f aca="false">IF(ISBLANK($C467),"",AW467)</f>
        <v/>
      </c>
      <c r="BJ467" s="103" t="str">
        <f aca="false">IF($BA467&gt;$AZ$7,"",VLOOKUP($BA467,$BC$8:$BI$507,7,FALSE()))</f>
        <v/>
      </c>
      <c r="BK467" s="104" t="str">
        <f aca="false">IF($BA467&gt;$AZ$7,"",VLOOKUP($BA467,$BC$8:$BI$507,2,FALSE()))</f>
        <v/>
      </c>
      <c r="BL467" s="104" t="str">
        <f aca="false">IF($BA467&gt;$AZ$7,"",VLOOKUP($BA467,$BC$8:$BI$507,3,FALSE()))</f>
        <v/>
      </c>
      <c r="BM467" s="104" t="str">
        <f aca="false">IF($BA467&gt;$AZ$7,"",VLOOKUP($BA467,$BC$8:$BI$507,4,FALSE()))</f>
        <v/>
      </c>
      <c r="BN467" s="104" t="str">
        <f aca="false">IF($BA467&gt;$AZ$7,"",VLOOKUP($BA467,$BC$8:$BI$507,5,FALSE()))</f>
        <v/>
      </c>
      <c r="BO467" s="105" t="str">
        <f aca="false">IF($BA467&gt;$AZ$7,"",VLOOKUP($BA467,$BC$8:$BI$507,6,FALSE()))</f>
        <v/>
      </c>
      <c r="BP467" s="52"/>
    </row>
    <row r="468" customFormat="false" ht="15.75" hidden="false" customHeight="false" outlineLevel="0" collapsed="false">
      <c r="A468" s="5"/>
      <c r="B468" s="114"/>
      <c r="C468" s="115"/>
      <c r="D468" s="106"/>
      <c r="E468" s="117"/>
      <c r="F468" s="87"/>
      <c r="G468" s="88"/>
      <c r="H468" s="88"/>
      <c r="I468" s="87"/>
      <c r="J468" s="88"/>
      <c r="K468" s="88"/>
      <c r="L468" s="87"/>
      <c r="M468" s="117"/>
      <c r="N468" s="90"/>
      <c r="O468" s="91" t="str">
        <f aca="false">IF(ISBLANK($C468),"",IF(E468=Constants!$B$2, TRUE(), IF(E468=Constants!$B$3, FALSE(), TRUE())))</f>
        <v/>
      </c>
      <c r="P468" s="91" t="str">
        <f aca="false">IF(ISBLANK($C468),"",IF(F468=Constants!$B$16,Constants!$B$9,IF(F468=Constants!$B$17,Constants!$B$10,Constants!$B$8)))</f>
        <v/>
      </c>
      <c r="Q468" s="91" t="str">
        <f aca="false">IF(ISBLANK($C468),"",IF(ISNUMBER(G468),IF(G468&gt;=0,G468,""),""))</f>
        <v/>
      </c>
      <c r="R468" s="91" t="str">
        <f aca="false">IF(ISBLANK($C468),"",IF(H468=Constants!$B$2, TRUE(), IF(H468=Constants!$B$3, FALSE(), TRUE())))</f>
        <v/>
      </c>
      <c r="S468" s="91" t="str">
        <f aca="false">IF(ISBLANK($C468),"",IF(I468=Constants!$B$2, TRUE(), IF(I468=Constants!$B$3, FALSE(), TRUE())))</f>
        <v/>
      </c>
      <c r="T468" s="91" t="str">
        <f aca="false">IF(ISBLANK($C468),"",IF(ISNUMBER(J468),IF(J468&gt;=0,J468,""),""))</f>
        <v/>
      </c>
      <c r="U468" s="91" t="str">
        <f aca="false">IF(ISBLANK($C468),"",IF(K468=Constants!$B$2, TRUE(), IF(K468=Constants!$B$3, FALSE(), TRUE())))</f>
        <v/>
      </c>
      <c r="V468" s="91" t="str">
        <f aca="false">IF(ISBLANK($C468),"",IF(L468=Constants!$B$2, TRUE(), IF(L468=Constants!$B$3, FALSE(), TRUE())))</f>
        <v/>
      </c>
      <c r="W468" s="91" t="str">
        <f aca="false">IF(ISBLANK($C468),"",IF(M468=Constants!$B$2, TRUE(), IF(M468=Constants!$B$3, FALSE(), FALSE())))</f>
        <v/>
      </c>
      <c r="X468" s="91" t="str">
        <f aca="false">IF(ISBLANK($C468),"",AND(Q468&lt;&gt;"",O468))</f>
        <v/>
      </c>
      <c r="Y468" s="91" t="str">
        <f aca="false">IF(ISBLANK($C468),"",AND(T468&lt;&gt;"",O468))</f>
        <v/>
      </c>
      <c r="Z468" s="91" t="str">
        <f aca="false">IF(ISBLANK($C468),"",IF(W468,Constants!$B$4,IF(COUNTA(E468:L468)=0,Constants!$B$5,IF(NOT(O468),Constants!$B$6,IF(AND(NOT(X468),NOT(Y468)),Constants!$B$6,Constants!$B$7)))))</f>
        <v/>
      </c>
      <c r="AA468" s="91" t="str">
        <f aca="false">IF(ISBLANK($C468),"",IF($Z468&lt;&gt;Constants!$B$7,$Z468,Constants!$B$20))</f>
        <v/>
      </c>
      <c r="AB468" s="91" t="str">
        <f aca="false">IF($Z468=Constants!$B$7,IF(X468,Q468,Constants!$B$13),"")</f>
        <v/>
      </c>
      <c r="AC468" s="91" t="str">
        <f aca="false">IF($Z468=Constants!$B$7,IF(X468,P468*IF(R468, 1, Constants!$B$11)*IF(S468, 1, Constants!$B$12),Constants!$B$13),"")</f>
        <v/>
      </c>
      <c r="AD468" s="91" t="str">
        <f aca="false">IF($Z468=Constants!$B$7,AB468*AC468,"")</f>
        <v/>
      </c>
      <c r="AE468" s="91" t="str">
        <f aca="false">IF($Z468=Constants!$B$7,IF(Y468,T468,Constants!$B$13),"")</f>
        <v/>
      </c>
      <c r="AF468" s="91" t="str">
        <f aca="false">IF($Z468=Constants!$B$7,IF(Y468,P468*IF(U468, 1, Constants!$B$11)*IF(V468, 1, Constants!$B$12),Constants!$B$13),"")</f>
        <v/>
      </c>
      <c r="AG468" s="91" t="str">
        <f aca="false">IF($Z468=Constants!$B$7,AE468*AF468,"")</f>
        <v/>
      </c>
      <c r="AH468" s="91" t="str">
        <f aca="false">IF($Z468=Constants!$B$7,IF(AG468&gt;AD468,2,1),"")</f>
        <v/>
      </c>
      <c r="AI468" s="91" t="str">
        <f aca="false">IF($Z468=Constants!$B$7,IF(AH468=1,2,1),"")</f>
        <v/>
      </c>
      <c r="AJ468" s="91" t="str">
        <f aca="false">IF(ISBLANK($C468),"",IF($Z468&lt;&gt;Constants!$B$7,$Z468,IF(AH468=1,AD468,AG468)))</f>
        <v/>
      </c>
      <c r="AK468" s="91" t="str">
        <f aca="false">IF(ISBLANK($C468),"",IF($Z468=Constants!$B$7,IF(ISNUMBER(AJ468),RANK(AJ468,$AJ$8:$AJ$507),Constants!$B$14),$Z468))</f>
        <v/>
      </c>
      <c r="AL468" s="91" t="str">
        <f aca="false">IF(ISBLANK($C468),"",IF($Z468=Constants!$B$7,IF(AI468=1,AD468,AG468),""))</f>
        <v/>
      </c>
      <c r="AM468" s="91" t="str">
        <f aca="false">IF(ISBLANK($C468),"",IF($Z468=Constants!$B$7,RANK(AL468,$AL$8:$AL$507),$Z468))</f>
        <v/>
      </c>
      <c r="AN468" s="91" t="str">
        <f aca="false">IF(ISBLANK($C468),"",IF($Z468=Constants!$B$7,IF(ISNUMBER(AK468),COUNTIFS($AK$8:$AK$507,"&lt;"&amp;$AK468)+COUNTIFS($AK$8:$AK$507,$AK468,$AM$8:$AM$507,"&lt;"&amp;$AM468)+1,Constants!$B$14),$Z468))</f>
        <v/>
      </c>
      <c r="AO468" s="91" t="str">
        <f aca="false">IF(ISBLANK($C468),"",IF($Z468=Constants!$B$7,IF(ISNUMBER(AK468),AK468-AN468,Constants!$B$14),$Z468))</f>
        <v/>
      </c>
      <c r="AP468" s="92"/>
      <c r="AQ468" s="93" t="str">
        <f aca="false">IF(ISBLANK($C468),"",IF($Z468&lt;&gt;Constants!$B$7,"",AH468))</f>
        <v/>
      </c>
      <c r="AR468" s="94" t="str">
        <f aca="false">IF(ISBLANK($C468),"",IF($Z468&lt;&gt;Constants!$B$7,"",IF(AH468=1,AB468,AE468)))</f>
        <v/>
      </c>
      <c r="AS468" s="95" t="str">
        <f aca="false">IF(ISBLANK($C468),"",IF($Z468&lt;&gt;Constants!$B$7,"",IF(AH468=1,AC468,AF468)))</f>
        <v/>
      </c>
      <c r="AT468" s="96" t="str">
        <f aca="false">IF(ISBLANK($C468),"",IF($Z468&lt;&gt;Constants!$B$7,$Z468,AJ468))</f>
        <v/>
      </c>
      <c r="AU468" s="97" t="str">
        <f aca="false">IF(ISBLANK($C468),"",IF($Z468&lt;&gt;Constants!$B$7,$Z468,AA468))</f>
        <v/>
      </c>
      <c r="AV468" s="98" t="str">
        <f aca="false">IF(ISBLANK($C468),"",AO468)</f>
        <v/>
      </c>
      <c r="AW468" s="98" t="str">
        <f aca="false">IF(ISBLANK($C468),"",AN468)</f>
        <v/>
      </c>
      <c r="AX468" s="99" t="str">
        <f aca="false">IF(ISBLANK($C468),"",IFERROR(_xlfn.SWITCH(AW468,Constants!$B$4,COUNTA($C$8:$C$507)+2,Constants!$B$5,COUNTA($C$8:$C$507)+1,Constants!$B$6,COUNTA($C$8:$C$507)),AW468))</f>
        <v/>
      </c>
      <c r="AY468" s="5"/>
      <c r="AZ468" s="100" t="n">
        <f aca="false">IF(OR(ISNUMBER(AW468),AW468=Constants!$B$4,AW468=Constants!$B$6,AW468=Constants!$B$5),1,0)</f>
        <v>0</v>
      </c>
      <c r="BA468" s="100" t="n">
        <v>461</v>
      </c>
      <c r="BB468" s="100" t="str">
        <f aca="false">IF(ISBLANK($C468),"",IF(ISNUMBER(AX468),AX468+ROW($B468)/1000,""))</f>
        <v/>
      </c>
      <c r="BC468" s="100" t="str">
        <f aca="false">IF(ISNUMBER(BB468),RANK(BB468,$BB$8:$BB$507,1),"")</f>
        <v/>
      </c>
      <c r="BD468" s="100" t="str">
        <f aca="false">IF(ISBLANK($C468),"",$B468)</f>
        <v/>
      </c>
      <c r="BE468" s="100" t="str">
        <f aca="false">IF(ISBLANK($C468),"",$C468)</f>
        <v/>
      </c>
      <c r="BF468" s="100" t="str">
        <f aca="false">IF(ISBLANK($C468),"",$D468)</f>
        <v/>
      </c>
      <c r="BG468" s="101" t="str">
        <f aca="false">AU468</f>
        <v/>
      </c>
      <c r="BH468" s="102" t="str">
        <f aca="false">AT468</f>
        <v/>
      </c>
      <c r="BI468" s="100" t="str">
        <f aca="false">IF(ISBLANK($C468),"",AW468)</f>
        <v/>
      </c>
      <c r="BJ468" s="103" t="str">
        <f aca="false">IF($BA468&gt;$AZ$7,"",VLOOKUP($BA468,$BC$8:$BI$507,7,FALSE()))</f>
        <v/>
      </c>
      <c r="BK468" s="104" t="str">
        <f aca="false">IF($BA468&gt;$AZ$7,"",VLOOKUP($BA468,$BC$8:$BI$507,2,FALSE()))</f>
        <v/>
      </c>
      <c r="BL468" s="104" t="str">
        <f aca="false">IF($BA468&gt;$AZ$7,"",VLOOKUP($BA468,$BC$8:$BI$507,3,FALSE()))</f>
        <v/>
      </c>
      <c r="BM468" s="104" t="str">
        <f aca="false">IF($BA468&gt;$AZ$7,"",VLOOKUP($BA468,$BC$8:$BI$507,4,FALSE()))</f>
        <v/>
      </c>
      <c r="BN468" s="104" t="str">
        <f aca="false">IF($BA468&gt;$AZ$7,"",VLOOKUP($BA468,$BC$8:$BI$507,5,FALSE()))</f>
        <v/>
      </c>
      <c r="BO468" s="105" t="str">
        <f aca="false">IF($BA468&gt;$AZ$7,"",VLOOKUP($BA468,$BC$8:$BI$507,6,FALSE()))</f>
        <v/>
      </c>
      <c r="BP468" s="52"/>
    </row>
    <row r="469" customFormat="false" ht="15.75" hidden="false" customHeight="false" outlineLevel="0" collapsed="false">
      <c r="A469" s="5"/>
      <c r="B469" s="114"/>
      <c r="C469" s="115"/>
      <c r="D469" s="106"/>
      <c r="E469" s="117"/>
      <c r="F469" s="87"/>
      <c r="G469" s="88"/>
      <c r="H469" s="88"/>
      <c r="I469" s="87"/>
      <c r="J469" s="88"/>
      <c r="K469" s="88"/>
      <c r="L469" s="87"/>
      <c r="M469" s="117"/>
      <c r="N469" s="90"/>
      <c r="O469" s="91" t="str">
        <f aca="false">IF(ISBLANK($C469),"",IF(E469=Constants!$B$2, TRUE(), IF(E469=Constants!$B$3, FALSE(), TRUE())))</f>
        <v/>
      </c>
      <c r="P469" s="91" t="str">
        <f aca="false">IF(ISBLANK($C469),"",IF(F469=Constants!$B$16,Constants!$B$9,IF(F469=Constants!$B$17,Constants!$B$10,Constants!$B$8)))</f>
        <v/>
      </c>
      <c r="Q469" s="91" t="str">
        <f aca="false">IF(ISBLANK($C469),"",IF(ISNUMBER(G469),IF(G469&gt;=0,G469,""),""))</f>
        <v/>
      </c>
      <c r="R469" s="91" t="str">
        <f aca="false">IF(ISBLANK($C469),"",IF(H469=Constants!$B$2, TRUE(), IF(H469=Constants!$B$3, FALSE(), TRUE())))</f>
        <v/>
      </c>
      <c r="S469" s="91" t="str">
        <f aca="false">IF(ISBLANK($C469),"",IF(I469=Constants!$B$2, TRUE(), IF(I469=Constants!$B$3, FALSE(), TRUE())))</f>
        <v/>
      </c>
      <c r="T469" s="91" t="str">
        <f aca="false">IF(ISBLANK($C469),"",IF(ISNUMBER(J469),IF(J469&gt;=0,J469,""),""))</f>
        <v/>
      </c>
      <c r="U469" s="91" t="str">
        <f aca="false">IF(ISBLANK($C469),"",IF(K469=Constants!$B$2, TRUE(), IF(K469=Constants!$B$3, FALSE(), TRUE())))</f>
        <v/>
      </c>
      <c r="V469" s="91" t="str">
        <f aca="false">IF(ISBLANK($C469),"",IF(L469=Constants!$B$2, TRUE(), IF(L469=Constants!$B$3, FALSE(), TRUE())))</f>
        <v/>
      </c>
      <c r="W469" s="91" t="str">
        <f aca="false">IF(ISBLANK($C469),"",IF(M469=Constants!$B$2, TRUE(), IF(M469=Constants!$B$3, FALSE(), FALSE())))</f>
        <v/>
      </c>
      <c r="X469" s="91" t="str">
        <f aca="false">IF(ISBLANK($C469),"",AND(Q469&lt;&gt;"",O469))</f>
        <v/>
      </c>
      <c r="Y469" s="91" t="str">
        <f aca="false">IF(ISBLANK($C469),"",AND(T469&lt;&gt;"",O469))</f>
        <v/>
      </c>
      <c r="Z469" s="91" t="str">
        <f aca="false">IF(ISBLANK($C469),"",IF(W469,Constants!$B$4,IF(COUNTA(E469:L469)=0,Constants!$B$5,IF(NOT(O469),Constants!$B$6,IF(AND(NOT(X469),NOT(Y469)),Constants!$B$6,Constants!$B$7)))))</f>
        <v/>
      </c>
      <c r="AA469" s="91" t="str">
        <f aca="false">IF(ISBLANK($C469),"",IF($Z469&lt;&gt;Constants!$B$7,$Z469,Constants!$B$20))</f>
        <v/>
      </c>
      <c r="AB469" s="91" t="str">
        <f aca="false">IF($Z469=Constants!$B$7,IF(X469,Q469,Constants!$B$13),"")</f>
        <v/>
      </c>
      <c r="AC469" s="91" t="str">
        <f aca="false">IF($Z469=Constants!$B$7,IF(X469,P469*IF(R469, 1, Constants!$B$11)*IF(S469, 1, Constants!$B$12),Constants!$B$13),"")</f>
        <v/>
      </c>
      <c r="AD469" s="91" t="str">
        <f aca="false">IF($Z469=Constants!$B$7,AB469*AC469,"")</f>
        <v/>
      </c>
      <c r="AE469" s="91" t="str">
        <f aca="false">IF($Z469=Constants!$B$7,IF(Y469,T469,Constants!$B$13),"")</f>
        <v/>
      </c>
      <c r="AF469" s="91" t="str">
        <f aca="false">IF($Z469=Constants!$B$7,IF(Y469,P469*IF(U469, 1, Constants!$B$11)*IF(V469, 1, Constants!$B$12),Constants!$B$13),"")</f>
        <v/>
      </c>
      <c r="AG469" s="91" t="str">
        <f aca="false">IF($Z469=Constants!$B$7,AE469*AF469,"")</f>
        <v/>
      </c>
      <c r="AH469" s="91" t="str">
        <f aca="false">IF($Z469=Constants!$B$7,IF(AG469&gt;AD469,2,1),"")</f>
        <v/>
      </c>
      <c r="AI469" s="91" t="str">
        <f aca="false">IF($Z469=Constants!$B$7,IF(AH469=1,2,1),"")</f>
        <v/>
      </c>
      <c r="AJ469" s="91" t="str">
        <f aca="false">IF(ISBLANK($C469),"",IF($Z469&lt;&gt;Constants!$B$7,$Z469,IF(AH469=1,AD469,AG469)))</f>
        <v/>
      </c>
      <c r="AK469" s="91" t="str">
        <f aca="false">IF(ISBLANK($C469),"",IF($Z469=Constants!$B$7,IF(ISNUMBER(AJ469),RANK(AJ469,$AJ$8:$AJ$507),Constants!$B$14),$Z469))</f>
        <v/>
      </c>
      <c r="AL469" s="91" t="str">
        <f aca="false">IF(ISBLANK($C469),"",IF($Z469=Constants!$B$7,IF(AI469=1,AD469,AG469),""))</f>
        <v/>
      </c>
      <c r="AM469" s="91" t="str">
        <f aca="false">IF(ISBLANK($C469),"",IF($Z469=Constants!$B$7,RANK(AL469,$AL$8:$AL$507),$Z469))</f>
        <v/>
      </c>
      <c r="AN469" s="91" t="str">
        <f aca="false">IF(ISBLANK($C469),"",IF($Z469=Constants!$B$7,IF(ISNUMBER(AK469),COUNTIFS($AK$8:$AK$507,"&lt;"&amp;$AK469)+COUNTIFS($AK$8:$AK$507,$AK469,$AM$8:$AM$507,"&lt;"&amp;$AM469)+1,Constants!$B$14),$Z469))</f>
        <v/>
      </c>
      <c r="AO469" s="91" t="str">
        <f aca="false">IF(ISBLANK($C469),"",IF($Z469=Constants!$B$7,IF(ISNUMBER(AK469),AK469-AN469,Constants!$B$14),$Z469))</f>
        <v/>
      </c>
      <c r="AP469" s="92"/>
      <c r="AQ469" s="93" t="str">
        <f aca="false">IF(ISBLANK($C469),"",IF($Z469&lt;&gt;Constants!$B$7,"",AH469))</f>
        <v/>
      </c>
      <c r="AR469" s="94" t="str">
        <f aca="false">IF(ISBLANK($C469),"",IF($Z469&lt;&gt;Constants!$B$7,"",IF(AH469=1,AB469,AE469)))</f>
        <v/>
      </c>
      <c r="AS469" s="95" t="str">
        <f aca="false">IF(ISBLANK($C469),"",IF($Z469&lt;&gt;Constants!$B$7,"",IF(AH469=1,AC469,AF469)))</f>
        <v/>
      </c>
      <c r="AT469" s="96" t="str">
        <f aca="false">IF(ISBLANK($C469),"",IF($Z469&lt;&gt;Constants!$B$7,$Z469,AJ469))</f>
        <v/>
      </c>
      <c r="AU469" s="97" t="str">
        <f aca="false">IF(ISBLANK($C469),"",IF($Z469&lt;&gt;Constants!$B$7,$Z469,AA469))</f>
        <v/>
      </c>
      <c r="AV469" s="98" t="str">
        <f aca="false">IF(ISBLANK($C469),"",AO469)</f>
        <v/>
      </c>
      <c r="AW469" s="98" t="str">
        <f aca="false">IF(ISBLANK($C469),"",AN469)</f>
        <v/>
      </c>
      <c r="AX469" s="99" t="str">
        <f aca="false">IF(ISBLANK($C469),"",IFERROR(_xlfn.SWITCH(AW469,Constants!$B$4,COUNTA($C$8:$C$507)+2,Constants!$B$5,COUNTA($C$8:$C$507)+1,Constants!$B$6,COUNTA($C$8:$C$507)),AW469))</f>
        <v/>
      </c>
      <c r="AY469" s="5"/>
      <c r="AZ469" s="100" t="n">
        <f aca="false">IF(OR(ISNUMBER(AW469),AW469=Constants!$B$4,AW469=Constants!$B$6,AW469=Constants!$B$5),1,0)</f>
        <v>0</v>
      </c>
      <c r="BA469" s="100" t="n">
        <v>462</v>
      </c>
      <c r="BB469" s="100" t="str">
        <f aca="false">IF(ISBLANK($C469),"",IF(ISNUMBER(AX469),AX469+ROW($B469)/1000,""))</f>
        <v/>
      </c>
      <c r="BC469" s="100" t="str">
        <f aca="false">IF(ISNUMBER(BB469),RANK(BB469,$BB$8:$BB$507,1),"")</f>
        <v/>
      </c>
      <c r="BD469" s="100" t="str">
        <f aca="false">IF(ISBLANK($C469),"",$B469)</f>
        <v/>
      </c>
      <c r="BE469" s="100" t="str">
        <f aca="false">IF(ISBLANK($C469),"",$C469)</f>
        <v/>
      </c>
      <c r="BF469" s="100" t="str">
        <f aca="false">IF(ISBLANK($C469),"",$D469)</f>
        <v/>
      </c>
      <c r="BG469" s="101" t="str">
        <f aca="false">AU469</f>
        <v/>
      </c>
      <c r="BH469" s="102" t="str">
        <f aca="false">AT469</f>
        <v/>
      </c>
      <c r="BI469" s="100" t="str">
        <f aca="false">IF(ISBLANK($C469),"",AW469)</f>
        <v/>
      </c>
      <c r="BJ469" s="103" t="str">
        <f aca="false">IF($BA469&gt;$AZ$7,"",VLOOKUP($BA469,$BC$8:$BI$507,7,FALSE()))</f>
        <v/>
      </c>
      <c r="BK469" s="104" t="str">
        <f aca="false">IF($BA469&gt;$AZ$7,"",VLOOKUP($BA469,$BC$8:$BI$507,2,FALSE()))</f>
        <v/>
      </c>
      <c r="BL469" s="104" t="str">
        <f aca="false">IF($BA469&gt;$AZ$7,"",VLOOKUP($BA469,$BC$8:$BI$507,3,FALSE()))</f>
        <v/>
      </c>
      <c r="BM469" s="104" t="str">
        <f aca="false">IF($BA469&gt;$AZ$7,"",VLOOKUP($BA469,$BC$8:$BI$507,4,FALSE()))</f>
        <v/>
      </c>
      <c r="BN469" s="104" t="str">
        <f aca="false">IF($BA469&gt;$AZ$7,"",VLOOKUP($BA469,$BC$8:$BI$507,5,FALSE()))</f>
        <v/>
      </c>
      <c r="BO469" s="105" t="str">
        <f aca="false">IF($BA469&gt;$AZ$7,"",VLOOKUP($BA469,$BC$8:$BI$507,6,FALSE()))</f>
        <v/>
      </c>
      <c r="BP469" s="52"/>
    </row>
    <row r="470" customFormat="false" ht="15.75" hidden="false" customHeight="false" outlineLevel="0" collapsed="false">
      <c r="A470" s="5"/>
      <c r="B470" s="118"/>
      <c r="C470" s="54"/>
      <c r="D470" s="55"/>
      <c r="E470" s="79"/>
      <c r="F470" s="57"/>
      <c r="G470" s="58"/>
      <c r="H470" s="58"/>
      <c r="I470" s="57"/>
      <c r="J470" s="58"/>
      <c r="K470" s="58"/>
      <c r="L470" s="57"/>
      <c r="M470" s="79"/>
      <c r="N470" s="60"/>
      <c r="O470" s="62" t="str">
        <f aca="false">IF(ISBLANK($C470),"",IF(E470=Constants!$B$2, TRUE(), IF(E470=Constants!$B$3, FALSE(), TRUE())))</f>
        <v/>
      </c>
      <c r="P470" s="62" t="str">
        <f aca="false">IF(ISBLANK($C470),"",IF(F470=Constants!$B$16,Constants!$B$9,IF(F470=Constants!$B$17,Constants!$B$10,Constants!$B$8)))</f>
        <v/>
      </c>
      <c r="Q470" s="62" t="str">
        <f aca="false">IF(ISBLANK($C470),"",IF(ISNUMBER(G470),IF(G470&gt;=0,G470,""),""))</f>
        <v/>
      </c>
      <c r="R470" s="62" t="str">
        <f aca="false">IF(ISBLANK($C470),"",IF(H470=Constants!$B$2, TRUE(), IF(H470=Constants!$B$3, FALSE(), TRUE())))</f>
        <v/>
      </c>
      <c r="S470" s="62" t="str">
        <f aca="false">IF(ISBLANK($C470),"",IF(I470=Constants!$B$2, TRUE(), IF(I470=Constants!$B$3, FALSE(), TRUE())))</f>
        <v/>
      </c>
      <c r="T470" s="62" t="str">
        <f aca="false">IF(ISBLANK($C470),"",IF(ISNUMBER(J470),IF(J470&gt;=0,J470,""),""))</f>
        <v/>
      </c>
      <c r="U470" s="62" t="str">
        <f aca="false">IF(ISBLANK($C470),"",IF(K470=Constants!$B$2, TRUE(), IF(K470=Constants!$B$3, FALSE(), TRUE())))</f>
        <v/>
      </c>
      <c r="V470" s="62" t="str">
        <f aca="false">IF(ISBLANK($C470),"",IF(L470=Constants!$B$2, TRUE(), IF(L470=Constants!$B$3, FALSE(), TRUE())))</f>
        <v/>
      </c>
      <c r="W470" s="62" t="str">
        <f aca="false">IF(ISBLANK($C470),"",IF(M470=Constants!$B$2, TRUE(), IF(M470=Constants!$B$3, FALSE(), FALSE())))</f>
        <v/>
      </c>
      <c r="X470" s="62" t="str">
        <f aca="false">IF(ISBLANK($C470),"",AND(Q470&lt;&gt;"",O470))</f>
        <v/>
      </c>
      <c r="Y470" s="62" t="str">
        <f aca="false">IF(ISBLANK($C470),"",AND(T470&lt;&gt;"",O470))</f>
        <v/>
      </c>
      <c r="Z470" s="62" t="str">
        <f aca="false">IF(ISBLANK($C470),"",IF(W470,Constants!$B$4,IF(COUNTA(E470:L470)=0,Constants!$B$5,IF(NOT(O470),Constants!$B$6,IF(AND(NOT(X470),NOT(Y470)),Constants!$B$6,Constants!$B$7)))))</f>
        <v/>
      </c>
      <c r="AA470" s="62" t="str">
        <f aca="false">IF(ISBLANK($C470),"",IF($Z470&lt;&gt;Constants!$B$7,$Z470,Constants!$B$20))</f>
        <v/>
      </c>
      <c r="AB470" s="62" t="str">
        <f aca="false">IF($Z470=Constants!$B$7,IF(X470,Q470,Constants!$B$13),"")</f>
        <v/>
      </c>
      <c r="AC470" s="62" t="str">
        <f aca="false">IF($Z470=Constants!$B$7,IF(X470,P470*IF(R470, 1, Constants!$B$11)*IF(S470, 1, Constants!$B$12),Constants!$B$13),"")</f>
        <v/>
      </c>
      <c r="AD470" s="62" t="str">
        <f aca="false">IF($Z470=Constants!$B$7,AB470*AC470,"")</f>
        <v/>
      </c>
      <c r="AE470" s="62" t="str">
        <f aca="false">IF($Z470=Constants!$B$7,IF(Y470,T470,Constants!$B$13),"")</f>
        <v/>
      </c>
      <c r="AF470" s="62" t="str">
        <f aca="false">IF($Z470=Constants!$B$7,IF(Y470,P470*IF(U470, 1, Constants!$B$11)*IF(V470, 1, Constants!$B$12),Constants!$B$13),"")</f>
        <v/>
      </c>
      <c r="AG470" s="62" t="str">
        <f aca="false">IF($Z470=Constants!$B$7,AE470*AF470,"")</f>
        <v/>
      </c>
      <c r="AH470" s="62" t="str">
        <f aca="false">IF($Z470=Constants!$B$7,IF(AG470&gt;AD470,2,1),"")</f>
        <v/>
      </c>
      <c r="AI470" s="62" t="str">
        <f aca="false">IF($Z470=Constants!$B$7,IF(AH470=1,2,1),"")</f>
        <v/>
      </c>
      <c r="AJ470" s="62" t="str">
        <f aca="false">IF(ISBLANK($C470),"",IF($Z470&lt;&gt;Constants!$B$7,$Z470,IF(AH470=1,AD470,AG470)))</f>
        <v/>
      </c>
      <c r="AK470" s="62" t="str">
        <f aca="false">IF(ISBLANK($C470),"",IF($Z470=Constants!$B$7,IF(ISNUMBER(AJ470),RANK(AJ470,$AJ$8:$AJ$507),Constants!$B$14),$Z470))</f>
        <v/>
      </c>
      <c r="AL470" s="62" t="str">
        <f aca="false">IF(ISBLANK($C470),"",IF($Z470=Constants!$B$7,IF(AI470=1,AD470,AG470),""))</f>
        <v/>
      </c>
      <c r="AM470" s="62" t="str">
        <f aca="false">IF(ISBLANK($C470),"",IF($Z470=Constants!$B$7,RANK(AL470,$AL$8:$AL$507),$Z470))</f>
        <v/>
      </c>
      <c r="AN470" s="62" t="str">
        <f aca="false">IF(ISBLANK($C470),"",IF($Z470=Constants!$B$7,IF(ISNUMBER(AK470),COUNTIFS($AK$8:$AK$507,"&lt;"&amp;$AK470)+COUNTIFS($AK$8:$AK$507,$AK470,$AM$8:$AM$507,"&lt;"&amp;$AM470)+1,Constants!$B$14),$Z470))</f>
        <v/>
      </c>
      <c r="AO470" s="62" t="str">
        <f aca="false">IF(ISBLANK($C470),"",IF($Z470=Constants!$B$7,IF(ISNUMBER(AK470),AK470-AN470,Constants!$B$14),$Z470))</f>
        <v/>
      </c>
      <c r="AP470" s="64"/>
      <c r="AQ470" s="65" t="str">
        <f aca="false">IF(ISBLANK($C470),"",IF($Z470&lt;&gt;Constants!$B$7,"",AH470))</f>
        <v/>
      </c>
      <c r="AR470" s="80" t="str">
        <f aca="false">IF(ISBLANK($C470),"",IF($Z470&lt;&gt;Constants!$B$7,"",IF(AH470=1,AB470,AE470)))</f>
        <v/>
      </c>
      <c r="AS470" s="67" t="str">
        <f aca="false">IF(ISBLANK($C470),"",IF($Z470&lt;&gt;Constants!$B$7,"",IF(AH470=1,AC470,AF470)))</f>
        <v/>
      </c>
      <c r="AT470" s="68" t="str">
        <f aca="false">IF(ISBLANK($C470),"",IF($Z470&lt;&gt;Constants!$B$7,$Z470,AJ470))</f>
        <v/>
      </c>
      <c r="AU470" s="69" t="str">
        <f aca="false">IF(ISBLANK($C470),"",IF($Z470&lt;&gt;Constants!$B$7,$Z470,AA470))</f>
        <v/>
      </c>
      <c r="AV470" s="70" t="str">
        <f aca="false">IF(ISBLANK($C470),"",AO470)</f>
        <v/>
      </c>
      <c r="AW470" s="70" t="str">
        <f aca="false">IF(ISBLANK($C470),"",AN470)</f>
        <v/>
      </c>
      <c r="AX470" s="71" t="str">
        <f aca="false">IF(ISBLANK($C470),"",IFERROR(_xlfn.SWITCH(AW470,Constants!$B$4,COUNTA($C$8:$C$507)+2,Constants!$B$5,COUNTA($C$8:$C$507)+1,Constants!$B$6,COUNTA($C$8:$C$507)),AW470))</f>
        <v/>
      </c>
      <c r="AY470" s="5"/>
      <c r="AZ470" s="72" t="n">
        <f aca="false">IF(OR(ISNUMBER(AW470),AW470=Constants!$B$4,AW470=Constants!$B$6,AW470=Constants!$B$5),1,0)</f>
        <v>0</v>
      </c>
      <c r="BA470" s="72" t="n">
        <v>463</v>
      </c>
      <c r="BB470" s="72" t="str">
        <f aca="false">IF(ISBLANK($C470),"",IF(ISNUMBER(AX470),AX470+ROW($B470)/1000,""))</f>
        <v/>
      </c>
      <c r="BC470" s="72" t="str">
        <f aca="false">IF(ISNUMBER(BB470),RANK(BB470,$BB$8:$BB$507,1),"")</f>
        <v/>
      </c>
      <c r="BD470" s="72" t="str">
        <f aca="false">IF(ISBLANK($C470),"",$B470)</f>
        <v/>
      </c>
      <c r="BE470" s="72" t="str">
        <f aca="false">IF(ISBLANK($C470),"",$C470)</f>
        <v/>
      </c>
      <c r="BF470" s="72" t="str">
        <f aca="false">IF(ISBLANK($C470),"",$D470)</f>
        <v/>
      </c>
      <c r="BG470" s="73" t="str">
        <f aca="false">AU470</f>
        <v/>
      </c>
      <c r="BH470" s="74" t="str">
        <f aca="false">AT470</f>
        <v/>
      </c>
      <c r="BI470" s="72" t="str">
        <f aca="false">IF(ISBLANK($C470),"",AW470)</f>
        <v/>
      </c>
      <c r="BJ470" s="75" t="str">
        <f aca="false">IF($BA470&gt;$AZ$7,"",VLOOKUP($BA470,$BC$8:$BI$507,7,FALSE()))</f>
        <v/>
      </c>
      <c r="BK470" s="76" t="str">
        <f aca="false">IF($BA470&gt;$AZ$7,"",VLOOKUP($BA470,$BC$8:$BI$507,2,FALSE()))</f>
        <v/>
      </c>
      <c r="BL470" s="76" t="str">
        <f aca="false">IF($BA470&gt;$AZ$7,"",VLOOKUP($BA470,$BC$8:$BI$507,3,FALSE()))</f>
        <v/>
      </c>
      <c r="BM470" s="76" t="str">
        <f aca="false">IF($BA470&gt;$AZ$7,"",VLOOKUP($BA470,$BC$8:$BI$507,4,FALSE()))</f>
        <v/>
      </c>
      <c r="BN470" s="76" t="str">
        <f aca="false">IF($BA470&gt;$AZ$7,"",VLOOKUP($BA470,$BC$8:$BI$507,5,FALSE()))</f>
        <v/>
      </c>
      <c r="BO470" s="77" t="str">
        <f aca="false">IF($BA470&gt;$AZ$7,"",VLOOKUP($BA470,$BC$8:$BI$507,6,FALSE()))</f>
        <v/>
      </c>
      <c r="BP470" s="52"/>
    </row>
    <row r="471" customFormat="false" ht="15.75" hidden="false" customHeight="false" outlineLevel="0" collapsed="false">
      <c r="A471" s="5"/>
      <c r="B471" s="118"/>
      <c r="C471" s="54"/>
      <c r="D471" s="55"/>
      <c r="E471" s="79"/>
      <c r="F471" s="57"/>
      <c r="G471" s="58"/>
      <c r="H471" s="58"/>
      <c r="I471" s="57"/>
      <c r="J471" s="58"/>
      <c r="K471" s="58"/>
      <c r="L471" s="57"/>
      <c r="M471" s="79"/>
      <c r="N471" s="60"/>
      <c r="O471" s="62" t="str">
        <f aca="false">IF(ISBLANK($C471),"",IF(E471=Constants!$B$2, TRUE(), IF(E471=Constants!$B$3, FALSE(), TRUE())))</f>
        <v/>
      </c>
      <c r="P471" s="62" t="str">
        <f aca="false">IF(ISBLANK($C471),"",IF(F471=Constants!$B$16,Constants!$B$9,IF(F471=Constants!$B$17,Constants!$B$10,Constants!$B$8)))</f>
        <v/>
      </c>
      <c r="Q471" s="62" t="str">
        <f aca="false">IF(ISBLANK($C471),"",IF(ISNUMBER(G471),IF(G471&gt;=0,G471,""),""))</f>
        <v/>
      </c>
      <c r="R471" s="62" t="str">
        <f aca="false">IF(ISBLANK($C471),"",IF(H471=Constants!$B$2, TRUE(), IF(H471=Constants!$B$3, FALSE(), TRUE())))</f>
        <v/>
      </c>
      <c r="S471" s="62" t="str">
        <f aca="false">IF(ISBLANK($C471),"",IF(I471=Constants!$B$2, TRUE(), IF(I471=Constants!$B$3, FALSE(), TRUE())))</f>
        <v/>
      </c>
      <c r="T471" s="62" t="str">
        <f aca="false">IF(ISBLANK($C471),"",IF(ISNUMBER(J471),IF(J471&gt;=0,J471,""),""))</f>
        <v/>
      </c>
      <c r="U471" s="62" t="str">
        <f aca="false">IF(ISBLANK($C471),"",IF(K471=Constants!$B$2, TRUE(), IF(K471=Constants!$B$3, FALSE(), TRUE())))</f>
        <v/>
      </c>
      <c r="V471" s="62" t="str">
        <f aca="false">IF(ISBLANK($C471),"",IF(L471=Constants!$B$2, TRUE(), IF(L471=Constants!$B$3, FALSE(), TRUE())))</f>
        <v/>
      </c>
      <c r="W471" s="62" t="str">
        <f aca="false">IF(ISBLANK($C471),"",IF(M471=Constants!$B$2, TRUE(), IF(M471=Constants!$B$3, FALSE(), FALSE())))</f>
        <v/>
      </c>
      <c r="X471" s="62" t="str">
        <f aca="false">IF(ISBLANK($C471),"",AND(Q471&lt;&gt;"",O471))</f>
        <v/>
      </c>
      <c r="Y471" s="62" t="str">
        <f aca="false">IF(ISBLANK($C471),"",AND(T471&lt;&gt;"",O471))</f>
        <v/>
      </c>
      <c r="Z471" s="62" t="str">
        <f aca="false">IF(ISBLANK($C471),"",IF(W471,Constants!$B$4,IF(COUNTA(E471:L471)=0,Constants!$B$5,IF(NOT(O471),Constants!$B$6,IF(AND(NOT(X471),NOT(Y471)),Constants!$B$6,Constants!$B$7)))))</f>
        <v/>
      </c>
      <c r="AA471" s="62" t="str">
        <f aca="false">IF(ISBLANK($C471),"",IF($Z471&lt;&gt;Constants!$B$7,$Z471,Constants!$B$20))</f>
        <v/>
      </c>
      <c r="AB471" s="62" t="str">
        <f aca="false">IF($Z471=Constants!$B$7,IF(X471,Q471,Constants!$B$13),"")</f>
        <v/>
      </c>
      <c r="AC471" s="62" t="str">
        <f aca="false">IF($Z471=Constants!$B$7,IF(X471,P471*IF(R471, 1, Constants!$B$11)*IF(S471, 1, Constants!$B$12),Constants!$B$13),"")</f>
        <v/>
      </c>
      <c r="AD471" s="62" t="str">
        <f aca="false">IF($Z471=Constants!$B$7,AB471*AC471,"")</f>
        <v/>
      </c>
      <c r="AE471" s="62" t="str">
        <f aca="false">IF($Z471=Constants!$B$7,IF(Y471,T471,Constants!$B$13),"")</f>
        <v/>
      </c>
      <c r="AF471" s="62" t="str">
        <f aca="false">IF($Z471=Constants!$B$7,IF(Y471,P471*IF(U471, 1, Constants!$B$11)*IF(V471, 1, Constants!$B$12),Constants!$B$13),"")</f>
        <v/>
      </c>
      <c r="AG471" s="62" t="str">
        <f aca="false">IF($Z471=Constants!$B$7,AE471*AF471,"")</f>
        <v/>
      </c>
      <c r="AH471" s="62" t="str">
        <f aca="false">IF($Z471=Constants!$B$7,IF(AG471&gt;AD471,2,1),"")</f>
        <v/>
      </c>
      <c r="AI471" s="62" t="str">
        <f aca="false">IF($Z471=Constants!$B$7,IF(AH471=1,2,1),"")</f>
        <v/>
      </c>
      <c r="AJ471" s="62" t="str">
        <f aca="false">IF(ISBLANK($C471),"",IF($Z471&lt;&gt;Constants!$B$7,$Z471,IF(AH471=1,AD471,AG471)))</f>
        <v/>
      </c>
      <c r="AK471" s="62" t="str">
        <f aca="false">IF(ISBLANK($C471),"",IF($Z471=Constants!$B$7,IF(ISNUMBER(AJ471),RANK(AJ471,$AJ$8:$AJ$507),Constants!$B$14),$Z471))</f>
        <v/>
      </c>
      <c r="AL471" s="62" t="str">
        <f aca="false">IF(ISBLANK($C471),"",IF($Z471=Constants!$B$7,IF(AI471=1,AD471,AG471),""))</f>
        <v/>
      </c>
      <c r="AM471" s="62" t="str">
        <f aca="false">IF(ISBLANK($C471),"",IF($Z471=Constants!$B$7,RANK(AL471,$AL$8:$AL$507),$Z471))</f>
        <v/>
      </c>
      <c r="AN471" s="62" t="str">
        <f aca="false">IF(ISBLANK($C471),"",IF($Z471=Constants!$B$7,IF(ISNUMBER(AK471),COUNTIFS($AK$8:$AK$507,"&lt;"&amp;$AK471)+COUNTIFS($AK$8:$AK$507,$AK471,$AM$8:$AM$507,"&lt;"&amp;$AM471)+1,Constants!$B$14),$Z471))</f>
        <v/>
      </c>
      <c r="AO471" s="62" t="str">
        <f aca="false">IF(ISBLANK($C471),"",IF($Z471=Constants!$B$7,IF(ISNUMBER(AK471),AK471-AN471,Constants!$B$14),$Z471))</f>
        <v/>
      </c>
      <c r="AP471" s="64"/>
      <c r="AQ471" s="65" t="str">
        <f aca="false">IF(ISBLANK($C471),"",IF($Z471&lt;&gt;Constants!$B$7,"",AH471))</f>
        <v/>
      </c>
      <c r="AR471" s="80" t="str">
        <f aca="false">IF(ISBLANK($C471),"",IF($Z471&lt;&gt;Constants!$B$7,"",IF(AH471=1,AB471,AE471)))</f>
        <v/>
      </c>
      <c r="AS471" s="67" t="str">
        <f aca="false">IF(ISBLANK($C471),"",IF($Z471&lt;&gt;Constants!$B$7,"",IF(AH471=1,AC471,AF471)))</f>
        <v/>
      </c>
      <c r="AT471" s="68" t="str">
        <f aca="false">IF(ISBLANK($C471),"",IF($Z471&lt;&gt;Constants!$B$7,$Z471,AJ471))</f>
        <v/>
      </c>
      <c r="AU471" s="69" t="str">
        <f aca="false">IF(ISBLANK($C471),"",IF($Z471&lt;&gt;Constants!$B$7,$Z471,AA471))</f>
        <v/>
      </c>
      <c r="AV471" s="70" t="str">
        <f aca="false">IF(ISBLANK($C471),"",AO471)</f>
        <v/>
      </c>
      <c r="AW471" s="70" t="str">
        <f aca="false">IF(ISBLANK($C471),"",AN471)</f>
        <v/>
      </c>
      <c r="AX471" s="71" t="str">
        <f aca="false">IF(ISBLANK($C471),"",IFERROR(_xlfn.SWITCH(AW471,Constants!$B$4,COUNTA($C$8:$C$507)+2,Constants!$B$5,COUNTA($C$8:$C$507)+1,Constants!$B$6,COUNTA($C$8:$C$507)),AW471))</f>
        <v/>
      </c>
      <c r="AY471" s="5"/>
      <c r="AZ471" s="72" t="n">
        <f aca="false">IF(OR(ISNUMBER(AW471),AW471=Constants!$B$4,AW471=Constants!$B$6,AW471=Constants!$B$5),1,0)</f>
        <v>0</v>
      </c>
      <c r="BA471" s="72" t="n">
        <v>464</v>
      </c>
      <c r="BB471" s="72" t="str">
        <f aca="false">IF(ISBLANK($C471),"",IF(ISNUMBER(AX471),AX471+ROW($B471)/1000,""))</f>
        <v/>
      </c>
      <c r="BC471" s="72" t="str">
        <f aca="false">IF(ISNUMBER(BB471),RANK(BB471,$BB$8:$BB$507,1),"")</f>
        <v/>
      </c>
      <c r="BD471" s="72" t="str">
        <f aca="false">IF(ISBLANK($C471),"",$B471)</f>
        <v/>
      </c>
      <c r="BE471" s="72" t="str">
        <f aca="false">IF(ISBLANK($C471),"",$C471)</f>
        <v/>
      </c>
      <c r="BF471" s="72" t="str">
        <f aca="false">IF(ISBLANK($C471),"",$D471)</f>
        <v/>
      </c>
      <c r="BG471" s="73" t="str">
        <f aca="false">AU471</f>
        <v/>
      </c>
      <c r="BH471" s="74" t="str">
        <f aca="false">AT471</f>
        <v/>
      </c>
      <c r="BI471" s="72" t="str">
        <f aca="false">IF(ISBLANK($C471),"",AW471)</f>
        <v/>
      </c>
      <c r="BJ471" s="75" t="str">
        <f aca="false">IF($BA471&gt;$AZ$7,"",VLOOKUP($BA471,$BC$8:$BI$507,7,FALSE()))</f>
        <v/>
      </c>
      <c r="BK471" s="76" t="str">
        <f aca="false">IF($BA471&gt;$AZ$7,"",VLOOKUP($BA471,$BC$8:$BI$507,2,FALSE()))</f>
        <v/>
      </c>
      <c r="BL471" s="76" t="str">
        <f aca="false">IF($BA471&gt;$AZ$7,"",VLOOKUP($BA471,$BC$8:$BI$507,3,FALSE()))</f>
        <v/>
      </c>
      <c r="BM471" s="76" t="str">
        <f aca="false">IF($BA471&gt;$AZ$7,"",VLOOKUP($BA471,$BC$8:$BI$507,4,FALSE()))</f>
        <v/>
      </c>
      <c r="BN471" s="76" t="str">
        <f aca="false">IF($BA471&gt;$AZ$7,"",VLOOKUP($BA471,$BC$8:$BI$507,5,FALSE()))</f>
        <v/>
      </c>
      <c r="BO471" s="77" t="str">
        <f aca="false">IF($BA471&gt;$AZ$7,"",VLOOKUP($BA471,$BC$8:$BI$507,6,FALSE()))</f>
        <v/>
      </c>
      <c r="BP471" s="52"/>
    </row>
    <row r="472" customFormat="false" ht="15.75" hidden="false" customHeight="false" outlineLevel="0" collapsed="false">
      <c r="A472" s="5"/>
      <c r="B472" s="118"/>
      <c r="C472" s="54"/>
      <c r="D472" s="55"/>
      <c r="E472" s="79"/>
      <c r="F472" s="57"/>
      <c r="G472" s="58"/>
      <c r="H472" s="58"/>
      <c r="I472" s="57"/>
      <c r="J472" s="58"/>
      <c r="K472" s="58"/>
      <c r="L472" s="57"/>
      <c r="M472" s="79"/>
      <c r="N472" s="60"/>
      <c r="O472" s="62" t="str">
        <f aca="false">IF(ISBLANK($C472),"",IF(E472=Constants!$B$2, TRUE(), IF(E472=Constants!$B$3, FALSE(), TRUE())))</f>
        <v/>
      </c>
      <c r="P472" s="62" t="str">
        <f aca="false">IF(ISBLANK($C472),"",IF(F472=Constants!$B$16,Constants!$B$9,IF(F472=Constants!$B$17,Constants!$B$10,Constants!$B$8)))</f>
        <v/>
      </c>
      <c r="Q472" s="62" t="str">
        <f aca="false">IF(ISBLANK($C472),"",IF(ISNUMBER(G472),IF(G472&gt;=0,G472,""),""))</f>
        <v/>
      </c>
      <c r="R472" s="62" t="str">
        <f aca="false">IF(ISBLANK($C472),"",IF(H472=Constants!$B$2, TRUE(), IF(H472=Constants!$B$3, FALSE(), TRUE())))</f>
        <v/>
      </c>
      <c r="S472" s="62" t="str">
        <f aca="false">IF(ISBLANK($C472),"",IF(I472=Constants!$B$2, TRUE(), IF(I472=Constants!$B$3, FALSE(), TRUE())))</f>
        <v/>
      </c>
      <c r="T472" s="62" t="str">
        <f aca="false">IF(ISBLANK($C472),"",IF(ISNUMBER(J472),IF(J472&gt;=0,J472,""),""))</f>
        <v/>
      </c>
      <c r="U472" s="62" t="str">
        <f aca="false">IF(ISBLANK($C472),"",IF(K472=Constants!$B$2, TRUE(), IF(K472=Constants!$B$3, FALSE(), TRUE())))</f>
        <v/>
      </c>
      <c r="V472" s="62" t="str">
        <f aca="false">IF(ISBLANK($C472),"",IF(L472=Constants!$B$2, TRUE(), IF(L472=Constants!$B$3, FALSE(), TRUE())))</f>
        <v/>
      </c>
      <c r="W472" s="62" t="str">
        <f aca="false">IF(ISBLANK($C472),"",IF(M472=Constants!$B$2, TRUE(), IF(M472=Constants!$B$3, FALSE(), FALSE())))</f>
        <v/>
      </c>
      <c r="X472" s="62" t="str">
        <f aca="false">IF(ISBLANK($C472),"",AND(Q472&lt;&gt;"",O472))</f>
        <v/>
      </c>
      <c r="Y472" s="62" t="str">
        <f aca="false">IF(ISBLANK($C472),"",AND(T472&lt;&gt;"",O472))</f>
        <v/>
      </c>
      <c r="Z472" s="62" t="str">
        <f aca="false">IF(ISBLANK($C472),"",IF(W472,Constants!$B$4,IF(COUNTA(E472:L472)=0,Constants!$B$5,IF(NOT(O472),Constants!$B$6,IF(AND(NOT(X472),NOT(Y472)),Constants!$B$6,Constants!$B$7)))))</f>
        <v/>
      </c>
      <c r="AA472" s="62" t="str">
        <f aca="false">IF(ISBLANK($C472),"",IF($Z472&lt;&gt;Constants!$B$7,$Z472,Constants!$B$20))</f>
        <v/>
      </c>
      <c r="AB472" s="62" t="str">
        <f aca="false">IF($Z472=Constants!$B$7,IF(X472,Q472,Constants!$B$13),"")</f>
        <v/>
      </c>
      <c r="AC472" s="62" t="str">
        <f aca="false">IF($Z472=Constants!$B$7,IF(X472,P472*IF(R472, 1, Constants!$B$11)*IF(S472, 1, Constants!$B$12),Constants!$B$13),"")</f>
        <v/>
      </c>
      <c r="AD472" s="62" t="str">
        <f aca="false">IF($Z472=Constants!$B$7,AB472*AC472,"")</f>
        <v/>
      </c>
      <c r="AE472" s="62" t="str">
        <f aca="false">IF($Z472=Constants!$B$7,IF(Y472,T472,Constants!$B$13),"")</f>
        <v/>
      </c>
      <c r="AF472" s="62" t="str">
        <f aca="false">IF($Z472=Constants!$B$7,IF(Y472,P472*IF(U472, 1, Constants!$B$11)*IF(V472, 1, Constants!$B$12),Constants!$B$13),"")</f>
        <v/>
      </c>
      <c r="AG472" s="62" t="str">
        <f aca="false">IF($Z472=Constants!$B$7,AE472*AF472,"")</f>
        <v/>
      </c>
      <c r="AH472" s="62" t="str">
        <f aca="false">IF($Z472=Constants!$B$7,IF(AG472&gt;AD472,2,1),"")</f>
        <v/>
      </c>
      <c r="AI472" s="62" t="str">
        <f aca="false">IF($Z472=Constants!$B$7,IF(AH472=1,2,1),"")</f>
        <v/>
      </c>
      <c r="AJ472" s="62" t="str">
        <f aca="false">IF(ISBLANK($C472),"",IF($Z472&lt;&gt;Constants!$B$7,$Z472,IF(AH472=1,AD472,AG472)))</f>
        <v/>
      </c>
      <c r="AK472" s="62" t="str">
        <f aca="false">IF(ISBLANK($C472),"",IF($Z472=Constants!$B$7,IF(ISNUMBER(AJ472),RANK(AJ472,$AJ$8:$AJ$507),Constants!$B$14),$Z472))</f>
        <v/>
      </c>
      <c r="AL472" s="62" t="str">
        <f aca="false">IF(ISBLANK($C472),"",IF($Z472=Constants!$B$7,IF(AI472=1,AD472,AG472),""))</f>
        <v/>
      </c>
      <c r="AM472" s="62" t="str">
        <f aca="false">IF(ISBLANK($C472),"",IF($Z472=Constants!$B$7,RANK(AL472,$AL$8:$AL$507),$Z472))</f>
        <v/>
      </c>
      <c r="AN472" s="62" t="str">
        <f aca="false">IF(ISBLANK($C472),"",IF($Z472=Constants!$B$7,IF(ISNUMBER(AK472),COUNTIFS($AK$8:$AK$507,"&lt;"&amp;$AK472)+COUNTIFS($AK$8:$AK$507,$AK472,$AM$8:$AM$507,"&lt;"&amp;$AM472)+1,Constants!$B$14),$Z472))</f>
        <v/>
      </c>
      <c r="AO472" s="62" t="str">
        <f aca="false">IF(ISBLANK($C472),"",IF($Z472=Constants!$B$7,IF(ISNUMBER(AK472),AK472-AN472,Constants!$B$14),$Z472))</f>
        <v/>
      </c>
      <c r="AP472" s="64"/>
      <c r="AQ472" s="65" t="str">
        <f aca="false">IF(ISBLANK($C472),"",IF($Z472&lt;&gt;Constants!$B$7,"",AH472))</f>
        <v/>
      </c>
      <c r="AR472" s="80" t="str">
        <f aca="false">IF(ISBLANK($C472),"",IF($Z472&lt;&gt;Constants!$B$7,"",IF(AH472=1,AB472,AE472)))</f>
        <v/>
      </c>
      <c r="AS472" s="67" t="str">
        <f aca="false">IF(ISBLANK($C472),"",IF($Z472&lt;&gt;Constants!$B$7,"",IF(AH472=1,AC472,AF472)))</f>
        <v/>
      </c>
      <c r="AT472" s="68" t="str">
        <f aca="false">IF(ISBLANK($C472),"",IF($Z472&lt;&gt;Constants!$B$7,$Z472,AJ472))</f>
        <v/>
      </c>
      <c r="AU472" s="69" t="str">
        <f aca="false">IF(ISBLANK($C472),"",IF($Z472&lt;&gt;Constants!$B$7,$Z472,AA472))</f>
        <v/>
      </c>
      <c r="AV472" s="70" t="str">
        <f aca="false">IF(ISBLANK($C472),"",AO472)</f>
        <v/>
      </c>
      <c r="AW472" s="70" t="str">
        <f aca="false">IF(ISBLANK($C472),"",AN472)</f>
        <v/>
      </c>
      <c r="AX472" s="71" t="str">
        <f aca="false">IF(ISBLANK($C472),"",IFERROR(_xlfn.SWITCH(AW472,Constants!$B$4,COUNTA($C$8:$C$507)+2,Constants!$B$5,COUNTA($C$8:$C$507)+1,Constants!$B$6,COUNTA($C$8:$C$507)),AW472))</f>
        <v/>
      </c>
      <c r="AY472" s="5"/>
      <c r="AZ472" s="72" t="n">
        <f aca="false">IF(OR(ISNUMBER(AW472),AW472=Constants!$B$4,AW472=Constants!$B$6,AW472=Constants!$B$5),1,0)</f>
        <v>0</v>
      </c>
      <c r="BA472" s="72" t="n">
        <v>465</v>
      </c>
      <c r="BB472" s="72" t="str">
        <f aca="false">IF(ISBLANK($C472),"",IF(ISNUMBER(AX472),AX472+ROW($B472)/1000,""))</f>
        <v/>
      </c>
      <c r="BC472" s="72" t="str">
        <f aca="false">IF(ISNUMBER(BB472),RANK(BB472,$BB$8:$BB$507,1),"")</f>
        <v/>
      </c>
      <c r="BD472" s="72" t="str">
        <f aca="false">IF(ISBLANK($C472),"",$B472)</f>
        <v/>
      </c>
      <c r="BE472" s="72" t="str">
        <f aca="false">IF(ISBLANK($C472),"",$C472)</f>
        <v/>
      </c>
      <c r="BF472" s="72" t="str">
        <f aca="false">IF(ISBLANK($C472),"",$D472)</f>
        <v/>
      </c>
      <c r="BG472" s="73" t="str">
        <f aca="false">AU472</f>
        <v/>
      </c>
      <c r="BH472" s="74" t="str">
        <f aca="false">AT472</f>
        <v/>
      </c>
      <c r="BI472" s="72" t="str">
        <f aca="false">IF(ISBLANK($C472),"",AW472)</f>
        <v/>
      </c>
      <c r="BJ472" s="75" t="str">
        <f aca="false">IF($BA472&gt;$AZ$7,"",VLOOKUP($BA472,$BC$8:$BI$507,7,FALSE()))</f>
        <v/>
      </c>
      <c r="BK472" s="76" t="str">
        <f aca="false">IF($BA472&gt;$AZ$7,"",VLOOKUP($BA472,$BC$8:$BI$507,2,FALSE()))</f>
        <v/>
      </c>
      <c r="BL472" s="76" t="str">
        <f aca="false">IF($BA472&gt;$AZ$7,"",VLOOKUP($BA472,$BC$8:$BI$507,3,FALSE()))</f>
        <v/>
      </c>
      <c r="BM472" s="76" t="str">
        <f aca="false">IF($BA472&gt;$AZ$7,"",VLOOKUP($BA472,$BC$8:$BI$507,4,FALSE()))</f>
        <v/>
      </c>
      <c r="BN472" s="76" t="str">
        <f aca="false">IF($BA472&gt;$AZ$7,"",VLOOKUP($BA472,$BC$8:$BI$507,5,FALSE()))</f>
        <v/>
      </c>
      <c r="BO472" s="77" t="str">
        <f aca="false">IF($BA472&gt;$AZ$7,"",VLOOKUP($BA472,$BC$8:$BI$507,6,FALSE()))</f>
        <v/>
      </c>
      <c r="BP472" s="52"/>
    </row>
    <row r="473" customFormat="false" ht="15.75" hidden="false" customHeight="false" outlineLevel="0" collapsed="false">
      <c r="A473" s="5"/>
      <c r="B473" s="114"/>
      <c r="C473" s="115"/>
      <c r="D473" s="106"/>
      <c r="E473" s="117"/>
      <c r="F473" s="87"/>
      <c r="G473" s="88"/>
      <c r="H473" s="88"/>
      <c r="I473" s="87"/>
      <c r="J473" s="88"/>
      <c r="K473" s="88"/>
      <c r="L473" s="87"/>
      <c r="M473" s="117"/>
      <c r="N473" s="90"/>
      <c r="O473" s="91" t="str">
        <f aca="false">IF(ISBLANK($C473),"",IF(E473=Constants!$B$2, TRUE(), IF(E473=Constants!$B$3, FALSE(), TRUE())))</f>
        <v/>
      </c>
      <c r="P473" s="91" t="str">
        <f aca="false">IF(ISBLANK($C473),"",IF(F473=Constants!$B$16,Constants!$B$9,IF(F473=Constants!$B$17,Constants!$B$10,Constants!$B$8)))</f>
        <v/>
      </c>
      <c r="Q473" s="91" t="str">
        <f aca="false">IF(ISBLANK($C473),"",IF(ISNUMBER(G473),IF(G473&gt;=0,G473,""),""))</f>
        <v/>
      </c>
      <c r="R473" s="91" t="str">
        <f aca="false">IF(ISBLANK($C473),"",IF(H473=Constants!$B$2, TRUE(), IF(H473=Constants!$B$3, FALSE(), TRUE())))</f>
        <v/>
      </c>
      <c r="S473" s="91" t="str">
        <f aca="false">IF(ISBLANK($C473),"",IF(I473=Constants!$B$2, TRUE(), IF(I473=Constants!$B$3, FALSE(), TRUE())))</f>
        <v/>
      </c>
      <c r="T473" s="91" t="str">
        <f aca="false">IF(ISBLANK($C473),"",IF(ISNUMBER(J473),IF(J473&gt;=0,J473,""),""))</f>
        <v/>
      </c>
      <c r="U473" s="91" t="str">
        <f aca="false">IF(ISBLANK($C473),"",IF(K473=Constants!$B$2, TRUE(), IF(K473=Constants!$B$3, FALSE(), TRUE())))</f>
        <v/>
      </c>
      <c r="V473" s="91" t="str">
        <f aca="false">IF(ISBLANK($C473),"",IF(L473=Constants!$B$2, TRUE(), IF(L473=Constants!$B$3, FALSE(), TRUE())))</f>
        <v/>
      </c>
      <c r="W473" s="91" t="str">
        <f aca="false">IF(ISBLANK($C473),"",IF(M473=Constants!$B$2, TRUE(), IF(M473=Constants!$B$3, FALSE(), FALSE())))</f>
        <v/>
      </c>
      <c r="X473" s="91" t="str">
        <f aca="false">IF(ISBLANK($C473),"",AND(Q473&lt;&gt;"",O473))</f>
        <v/>
      </c>
      <c r="Y473" s="91" t="str">
        <f aca="false">IF(ISBLANK($C473),"",AND(T473&lt;&gt;"",O473))</f>
        <v/>
      </c>
      <c r="Z473" s="91" t="str">
        <f aca="false">IF(ISBLANK($C473),"",IF(W473,Constants!$B$4,IF(COUNTA(E473:L473)=0,Constants!$B$5,IF(NOT(O473),Constants!$B$6,IF(AND(NOT(X473),NOT(Y473)),Constants!$B$6,Constants!$B$7)))))</f>
        <v/>
      </c>
      <c r="AA473" s="91" t="str">
        <f aca="false">IF(ISBLANK($C473),"",IF($Z473&lt;&gt;Constants!$B$7,$Z473,Constants!$B$20))</f>
        <v/>
      </c>
      <c r="AB473" s="91" t="str">
        <f aca="false">IF($Z473=Constants!$B$7,IF(X473,Q473,Constants!$B$13),"")</f>
        <v/>
      </c>
      <c r="AC473" s="91" t="str">
        <f aca="false">IF($Z473=Constants!$B$7,IF(X473,P473*IF(R473, 1, Constants!$B$11)*IF(S473, 1, Constants!$B$12),Constants!$B$13),"")</f>
        <v/>
      </c>
      <c r="AD473" s="91" t="str">
        <f aca="false">IF($Z473=Constants!$B$7,AB473*AC473,"")</f>
        <v/>
      </c>
      <c r="AE473" s="91" t="str">
        <f aca="false">IF($Z473=Constants!$B$7,IF(Y473,T473,Constants!$B$13),"")</f>
        <v/>
      </c>
      <c r="AF473" s="91" t="str">
        <f aca="false">IF($Z473=Constants!$B$7,IF(Y473,P473*IF(U473, 1, Constants!$B$11)*IF(V473, 1, Constants!$B$12),Constants!$B$13),"")</f>
        <v/>
      </c>
      <c r="AG473" s="91" t="str">
        <f aca="false">IF($Z473=Constants!$B$7,AE473*AF473,"")</f>
        <v/>
      </c>
      <c r="AH473" s="91" t="str">
        <f aca="false">IF($Z473=Constants!$B$7,IF(AG473&gt;AD473,2,1),"")</f>
        <v/>
      </c>
      <c r="AI473" s="91" t="str">
        <f aca="false">IF($Z473=Constants!$B$7,IF(AH473=1,2,1),"")</f>
        <v/>
      </c>
      <c r="AJ473" s="91" t="str">
        <f aca="false">IF(ISBLANK($C473),"",IF($Z473&lt;&gt;Constants!$B$7,$Z473,IF(AH473=1,AD473,AG473)))</f>
        <v/>
      </c>
      <c r="AK473" s="91" t="str">
        <f aca="false">IF(ISBLANK($C473),"",IF($Z473=Constants!$B$7,IF(ISNUMBER(AJ473),RANK(AJ473,$AJ$8:$AJ$507),Constants!$B$14),$Z473))</f>
        <v/>
      </c>
      <c r="AL473" s="91" t="str">
        <f aca="false">IF(ISBLANK($C473),"",IF($Z473=Constants!$B$7,IF(AI473=1,AD473,AG473),""))</f>
        <v/>
      </c>
      <c r="AM473" s="91" t="str">
        <f aca="false">IF(ISBLANK($C473),"",IF($Z473=Constants!$B$7,RANK(AL473,$AL$8:$AL$507),$Z473))</f>
        <v/>
      </c>
      <c r="AN473" s="91" t="str">
        <f aca="false">IF(ISBLANK($C473),"",IF($Z473=Constants!$B$7,IF(ISNUMBER(AK473),COUNTIFS($AK$8:$AK$507,"&lt;"&amp;$AK473)+COUNTIFS($AK$8:$AK$507,$AK473,$AM$8:$AM$507,"&lt;"&amp;$AM473)+1,Constants!$B$14),$Z473))</f>
        <v/>
      </c>
      <c r="AO473" s="91" t="str">
        <f aca="false">IF(ISBLANK($C473),"",IF($Z473=Constants!$B$7,IF(ISNUMBER(AK473),AK473-AN473,Constants!$B$14),$Z473))</f>
        <v/>
      </c>
      <c r="AP473" s="92"/>
      <c r="AQ473" s="93" t="str">
        <f aca="false">IF(ISBLANK($C473),"",IF($Z473&lt;&gt;Constants!$B$7,"",AH473))</f>
        <v/>
      </c>
      <c r="AR473" s="94" t="str">
        <f aca="false">IF(ISBLANK($C473),"",IF($Z473&lt;&gt;Constants!$B$7,"",IF(AH473=1,AB473,AE473)))</f>
        <v/>
      </c>
      <c r="AS473" s="95" t="str">
        <f aca="false">IF(ISBLANK($C473),"",IF($Z473&lt;&gt;Constants!$B$7,"",IF(AH473=1,AC473,AF473)))</f>
        <v/>
      </c>
      <c r="AT473" s="96" t="str">
        <f aca="false">IF(ISBLANK($C473),"",IF($Z473&lt;&gt;Constants!$B$7,$Z473,AJ473))</f>
        <v/>
      </c>
      <c r="AU473" s="97" t="str">
        <f aca="false">IF(ISBLANK($C473),"",IF($Z473&lt;&gt;Constants!$B$7,$Z473,AA473))</f>
        <v/>
      </c>
      <c r="AV473" s="98" t="str">
        <f aca="false">IF(ISBLANK($C473),"",AO473)</f>
        <v/>
      </c>
      <c r="AW473" s="98" t="str">
        <f aca="false">IF(ISBLANK($C473),"",AN473)</f>
        <v/>
      </c>
      <c r="AX473" s="99" t="str">
        <f aca="false">IF(ISBLANK($C473),"",IFERROR(_xlfn.SWITCH(AW473,Constants!$B$4,COUNTA($C$8:$C$507)+2,Constants!$B$5,COUNTA($C$8:$C$507)+1,Constants!$B$6,COUNTA($C$8:$C$507)),AW473))</f>
        <v/>
      </c>
      <c r="AY473" s="5"/>
      <c r="AZ473" s="100" t="n">
        <f aca="false">IF(OR(ISNUMBER(AW473),AW473=Constants!$B$4,AW473=Constants!$B$6,AW473=Constants!$B$5),1,0)</f>
        <v>0</v>
      </c>
      <c r="BA473" s="100" t="n">
        <v>466</v>
      </c>
      <c r="BB473" s="100" t="str">
        <f aca="false">IF(ISBLANK($C473),"",IF(ISNUMBER(AX473),AX473+ROW($B473)/1000,""))</f>
        <v/>
      </c>
      <c r="BC473" s="100" t="str">
        <f aca="false">IF(ISNUMBER(BB473),RANK(BB473,$BB$8:$BB$507,1),"")</f>
        <v/>
      </c>
      <c r="BD473" s="100" t="str">
        <f aca="false">IF(ISBLANK($C473),"",$B473)</f>
        <v/>
      </c>
      <c r="BE473" s="100" t="str">
        <f aca="false">IF(ISBLANK($C473),"",$C473)</f>
        <v/>
      </c>
      <c r="BF473" s="100" t="str">
        <f aca="false">IF(ISBLANK($C473),"",$D473)</f>
        <v/>
      </c>
      <c r="BG473" s="101" t="str">
        <f aca="false">AU473</f>
        <v/>
      </c>
      <c r="BH473" s="102" t="str">
        <f aca="false">AT473</f>
        <v/>
      </c>
      <c r="BI473" s="100" t="str">
        <f aca="false">IF(ISBLANK($C473),"",AW473)</f>
        <v/>
      </c>
      <c r="BJ473" s="103" t="str">
        <f aca="false">IF($BA473&gt;$AZ$7,"",VLOOKUP($BA473,$BC$8:$BI$507,7,FALSE()))</f>
        <v/>
      </c>
      <c r="BK473" s="104" t="str">
        <f aca="false">IF($BA473&gt;$AZ$7,"",VLOOKUP($BA473,$BC$8:$BI$507,2,FALSE()))</f>
        <v/>
      </c>
      <c r="BL473" s="104" t="str">
        <f aca="false">IF($BA473&gt;$AZ$7,"",VLOOKUP($BA473,$BC$8:$BI$507,3,FALSE()))</f>
        <v/>
      </c>
      <c r="BM473" s="104" t="str">
        <f aca="false">IF($BA473&gt;$AZ$7,"",VLOOKUP($BA473,$BC$8:$BI$507,4,FALSE()))</f>
        <v/>
      </c>
      <c r="BN473" s="104" t="str">
        <f aca="false">IF($BA473&gt;$AZ$7,"",VLOOKUP($BA473,$BC$8:$BI$507,5,FALSE()))</f>
        <v/>
      </c>
      <c r="BO473" s="105" t="str">
        <f aca="false">IF($BA473&gt;$AZ$7,"",VLOOKUP($BA473,$BC$8:$BI$507,6,FALSE()))</f>
        <v/>
      </c>
      <c r="BP473" s="52"/>
    </row>
    <row r="474" customFormat="false" ht="15.75" hidden="false" customHeight="false" outlineLevel="0" collapsed="false">
      <c r="A474" s="5"/>
      <c r="B474" s="114"/>
      <c r="C474" s="115"/>
      <c r="D474" s="106"/>
      <c r="E474" s="117"/>
      <c r="F474" s="87"/>
      <c r="G474" s="88"/>
      <c r="H474" s="88"/>
      <c r="I474" s="87"/>
      <c r="J474" s="88"/>
      <c r="K474" s="88"/>
      <c r="L474" s="87"/>
      <c r="M474" s="117"/>
      <c r="N474" s="90"/>
      <c r="O474" s="91" t="str">
        <f aca="false">IF(ISBLANK($C474),"",IF(E474=Constants!$B$2, TRUE(), IF(E474=Constants!$B$3, FALSE(), TRUE())))</f>
        <v/>
      </c>
      <c r="P474" s="91" t="str">
        <f aca="false">IF(ISBLANK($C474),"",IF(F474=Constants!$B$16,Constants!$B$9,IF(F474=Constants!$B$17,Constants!$B$10,Constants!$B$8)))</f>
        <v/>
      </c>
      <c r="Q474" s="91" t="str">
        <f aca="false">IF(ISBLANK($C474),"",IF(ISNUMBER(G474),IF(G474&gt;=0,G474,""),""))</f>
        <v/>
      </c>
      <c r="R474" s="91" t="str">
        <f aca="false">IF(ISBLANK($C474),"",IF(H474=Constants!$B$2, TRUE(), IF(H474=Constants!$B$3, FALSE(), TRUE())))</f>
        <v/>
      </c>
      <c r="S474" s="91" t="str">
        <f aca="false">IF(ISBLANK($C474),"",IF(I474=Constants!$B$2, TRUE(), IF(I474=Constants!$B$3, FALSE(), TRUE())))</f>
        <v/>
      </c>
      <c r="T474" s="91" t="str">
        <f aca="false">IF(ISBLANK($C474),"",IF(ISNUMBER(J474),IF(J474&gt;=0,J474,""),""))</f>
        <v/>
      </c>
      <c r="U474" s="91" t="str">
        <f aca="false">IF(ISBLANK($C474),"",IF(K474=Constants!$B$2, TRUE(), IF(K474=Constants!$B$3, FALSE(), TRUE())))</f>
        <v/>
      </c>
      <c r="V474" s="91" t="str">
        <f aca="false">IF(ISBLANK($C474),"",IF(L474=Constants!$B$2, TRUE(), IF(L474=Constants!$B$3, FALSE(), TRUE())))</f>
        <v/>
      </c>
      <c r="W474" s="91" t="str">
        <f aca="false">IF(ISBLANK($C474),"",IF(M474=Constants!$B$2, TRUE(), IF(M474=Constants!$B$3, FALSE(), FALSE())))</f>
        <v/>
      </c>
      <c r="X474" s="91" t="str">
        <f aca="false">IF(ISBLANK($C474),"",AND(Q474&lt;&gt;"",O474))</f>
        <v/>
      </c>
      <c r="Y474" s="91" t="str">
        <f aca="false">IF(ISBLANK($C474),"",AND(T474&lt;&gt;"",O474))</f>
        <v/>
      </c>
      <c r="Z474" s="91" t="str">
        <f aca="false">IF(ISBLANK($C474),"",IF(W474,Constants!$B$4,IF(COUNTA(E474:L474)=0,Constants!$B$5,IF(NOT(O474),Constants!$B$6,IF(AND(NOT(X474),NOT(Y474)),Constants!$B$6,Constants!$B$7)))))</f>
        <v/>
      </c>
      <c r="AA474" s="91" t="str">
        <f aca="false">IF(ISBLANK($C474),"",IF($Z474&lt;&gt;Constants!$B$7,$Z474,Constants!$B$20))</f>
        <v/>
      </c>
      <c r="AB474" s="91" t="str">
        <f aca="false">IF($Z474=Constants!$B$7,IF(X474,Q474,Constants!$B$13),"")</f>
        <v/>
      </c>
      <c r="AC474" s="91" t="str">
        <f aca="false">IF($Z474=Constants!$B$7,IF(X474,P474*IF(R474, 1, Constants!$B$11)*IF(S474, 1, Constants!$B$12),Constants!$B$13),"")</f>
        <v/>
      </c>
      <c r="AD474" s="91" t="str">
        <f aca="false">IF($Z474=Constants!$B$7,AB474*AC474,"")</f>
        <v/>
      </c>
      <c r="AE474" s="91" t="str">
        <f aca="false">IF($Z474=Constants!$B$7,IF(Y474,T474,Constants!$B$13),"")</f>
        <v/>
      </c>
      <c r="AF474" s="91" t="str">
        <f aca="false">IF($Z474=Constants!$B$7,IF(Y474,P474*IF(U474, 1, Constants!$B$11)*IF(V474, 1, Constants!$B$12),Constants!$B$13),"")</f>
        <v/>
      </c>
      <c r="AG474" s="91" t="str">
        <f aca="false">IF($Z474=Constants!$B$7,AE474*AF474,"")</f>
        <v/>
      </c>
      <c r="AH474" s="91" t="str">
        <f aca="false">IF($Z474=Constants!$B$7,IF(AG474&gt;AD474,2,1),"")</f>
        <v/>
      </c>
      <c r="AI474" s="91" t="str">
        <f aca="false">IF($Z474=Constants!$B$7,IF(AH474=1,2,1),"")</f>
        <v/>
      </c>
      <c r="AJ474" s="91" t="str">
        <f aca="false">IF(ISBLANK($C474),"",IF($Z474&lt;&gt;Constants!$B$7,$Z474,IF(AH474=1,AD474,AG474)))</f>
        <v/>
      </c>
      <c r="AK474" s="91" t="str">
        <f aca="false">IF(ISBLANK($C474),"",IF($Z474=Constants!$B$7,IF(ISNUMBER(AJ474),RANK(AJ474,$AJ$8:$AJ$507),Constants!$B$14),$Z474))</f>
        <v/>
      </c>
      <c r="AL474" s="91" t="str">
        <f aca="false">IF(ISBLANK($C474),"",IF($Z474=Constants!$B$7,IF(AI474=1,AD474,AG474),""))</f>
        <v/>
      </c>
      <c r="AM474" s="91" t="str">
        <f aca="false">IF(ISBLANK($C474),"",IF($Z474=Constants!$B$7,RANK(AL474,$AL$8:$AL$507),$Z474))</f>
        <v/>
      </c>
      <c r="AN474" s="91" t="str">
        <f aca="false">IF(ISBLANK($C474),"",IF($Z474=Constants!$B$7,IF(ISNUMBER(AK474),COUNTIFS($AK$8:$AK$507,"&lt;"&amp;$AK474)+COUNTIFS($AK$8:$AK$507,$AK474,$AM$8:$AM$507,"&lt;"&amp;$AM474)+1,Constants!$B$14),$Z474))</f>
        <v/>
      </c>
      <c r="AO474" s="91" t="str">
        <f aca="false">IF(ISBLANK($C474),"",IF($Z474=Constants!$B$7,IF(ISNUMBER(AK474),AK474-AN474,Constants!$B$14),$Z474))</f>
        <v/>
      </c>
      <c r="AP474" s="92"/>
      <c r="AQ474" s="93" t="str">
        <f aca="false">IF(ISBLANK($C474),"",IF($Z474&lt;&gt;Constants!$B$7,"",AH474))</f>
        <v/>
      </c>
      <c r="AR474" s="94" t="str">
        <f aca="false">IF(ISBLANK($C474),"",IF($Z474&lt;&gt;Constants!$B$7,"",IF(AH474=1,AB474,AE474)))</f>
        <v/>
      </c>
      <c r="AS474" s="95" t="str">
        <f aca="false">IF(ISBLANK($C474),"",IF($Z474&lt;&gt;Constants!$B$7,"",IF(AH474=1,AC474,AF474)))</f>
        <v/>
      </c>
      <c r="AT474" s="96" t="str">
        <f aca="false">IF(ISBLANK($C474),"",IF($Z474&lt;&gt;Constants!$B$7,$Z474,AJ474))</f>
        <v/>
      </c>
      <c r="AU474" s="97" t="str">
        <f aca="false">IF(ISBLANK($C474),"",IF($Z474&lt;&gt;Constants!$B$7,$Z474,AA474))</f>
        <v/>
      </c>
      <c r="AV474" s="98" t="str">
        <f aca="false">IF(ISBLANK($C474),"",AO474)</f>
        <v/>
      </c>
      <c r="AW474" s="98" t="str">
        <f aca="false">IF(ISBLANK($C474),"",AN474)</f>
        <v/>
      </c>
      <c r="AX474" s="99" t="str">
        <f aca="false">IF(ISBLANK($C474),"",IFERROR(_xlfn.SWITCH(AW474,Constants!$B$4,COUNTA($C$8:$C$507)+2,Constants!$B$5,COUNTA($C$8:$C$507)+1,Constants!$B$6,COUNTA($C$8:$C$507)),AW474))</f>
        <v/>
      </c>
      <c r="AY474" s="5"/>
      <c r="AZ474" s="100" t="n">
        <f aca="false">IF(OR(ISNUMBER(AW474),AW474=Constants!$B$4,AW474=Constants!$B$6,AW474=Constants!$B$5),1,0)</f>
        <v>0</v>
      </c>
      <c r="BA474" s="100" t="n">
        <v>467</v>
      </c>
      <c r="BB474" s="100" t="str">
        <f aca="false">IF(ISBLANK($C474),"",IF(ISNUMBER(AX474),AX474+ROW($B474)/1000,""))</f>
        <v/>
      </c>
      <c r="BC474" s="100" t="str">
        <f aca="false">IF(ISNUMBER(BB474),RANK(BB474,$BB$8:$BB$507,1),"")</f>
        <v/>
      </c>
      <c r="BD474" s="100" t="str">
        <f aca="false">IF(ISBLANK($C474),"",$B474)</f>
        <v/>
      </c>
      <c r="BE474" s="100" t="str">
        <f aca="false">IF(ISBLANK($C474),"",$C474)</f>
        <v/>
      </c>
      <c r="BF474" s="100" t="str">
        <f aca="false">IF(ISBLANK($C474),"",$D474)</f>
        <v/>
      </c>
      <c r="BG474" s="101" t="str">
        <f aca="false">AU474</f>
        <v/>
      </c>
      <c r="BH474" s="102" t="str">
        <f aca="false">AT474</f>
        <v/>
      </c>
      <c r="BI474" s="100" t="str">
        <f aca="false">IF(ISBLANK($C474),"",AW474)</f>
        <v/>
      </c>
      <c r="BJ474" s="103" t="str">
        <f aca="false">IF($BA474&gt;$AZ$7,"",VLOOKUP($BA474,$BC$8:$BI$507,7,FALSE()))</f>
        <v/>
      </c>
      <c r="BK474" s="104" t="str">
        <f aca="false">IF($BA474&gt;$AZ$7,"",VLOOKUP($BA474,$BC$8:$BI$507,2,FALSE()))</f>
        <v/>
      </c>
      <c r="BL474" s="104" t="str">
        <f aca="false">IF($BA474&gt;$AZ$7,"",VLOOKUP($BA474,$BC$8:$BI$507,3,FALSE()))</f>
        <v/>
      </c>
      <c r="BM474" s="104" t="str">
        <f aca="false">IF($BA474&gt;$AZ$7,"",VLOOKUP($BA474,$BC$8:$BI$507,4,FALSE()))</f>
        <v/>
      </c>
      <c r="BN474" s="104" t="str">
        <f aca="false">IF($BA474&gt;$AZ$7,"",VLOOKUP($BA474,$BC$8:$BI$507,5,FALSE()))</f>
        <v/>
      </c>
      <c r="BO474" s="105" t="str">
        <f aca="false">IF($BA474&gt;$AZ$7,"",VLOOKUP($BA474,$BC$8:$BI$507,6,FALSE()))</f>
        <v/>
      </c>
      <c r="BP474" s="52"/>
    </row>
    <row r="475" customFormat="false" ht="15.75" hidden="false" customHeight="false" outlineLevel="0" collapsed="false">
      <c r="A475" s="5"/>
      <c r="B475" s="114"/>
      <c r="C475" s="115"/>
      <c r="D475" s="106"/>
      <c r="E475" s="117"/>
      <c r="F475" s="87"/>
      <c r="G475" s="88"/>
      <c r="H475" s="88"/>
      <c r="I475" s="87"/>
      <c r="J475" s="88"/>
      <c r="K475" s="88"/>
      <c r="L475" s="87"/>
      <c r="M475" s="117"/>
      <c r="N475" s="90"/>
      <c r="O475" s="91" t="str">
        <f aca="false">IF(ISBLANK($C475),"",IF(E475=Constants!$B$2, TRUE(), IF(E475=Constants!$B$3, FALSE(), TRUE())))</f>
        <v/>
      </c>
      <c r="P475" s="91" t="str">
        <f aca="false">IF(ISBLANK($C475),"",IF(F475=Constants!$B$16,Constants!$B$9,IF(F475=Constants!$B$17,Constants!$B$10,Constants!$B$8)))</f>
        <v/>
      </c>
      <c r="Q475" s="91" t="str">
        <f aca="false">IF(ISBLANK($C475),"",IF(ISNUMBER(G475),IF(G475&gt;=0,G475,""),""))</f>
        <v/>
      </c>
      <c r="R475" s="91" t="str">
        <f aca="false">IF(ISBLANK($C475),"",IF(H475=Constants!$B$2, TRUE(), IF(H475=Constants!$B$3, FALSE(), TRUE())))</f>
        <v/>
      </c>
      <c r="S475" s="91" t="str">
        <f aca="false">IF(ISBLANK($C475),"",IF(I475=Constants!$B$2, TRUE(), IF(I475=Constants!$B$3, FALSE(), TRUE())))</f>
        <v/>
      </c>
      <c r="T475" s="91" t="str">
        <f aca="false">IF(ISBLANK($C475),"",IF(ISNUMBER(J475),IF(J475&gt;=0,J475,""),""))</f>
        <v/>
      </c>
      <c r="U475" s="91" t="str">
        <f aca="false">IF(ISBLANK($C475),"",IF(K475=Constants!$B$2, TRUE(), IF(K475=Constants!$B$3, FALSE(), TRUE())))</f>
        <v/>
      </c>
      <c r="V475" s="91" t="str">
        <f aca="false">IF(ISBLANK($C475),"",IF(L475=Constants!$B$2, TRUE(), IF(L475=Constants!$B$3, FALSE(), TRUE())))</f>
        <v/>
      </c>
      <c r="W475" s="91" t="str">
        <f aca="false">IF(ISBLANK($C475),"",IF(M475=Constants!$B$2, TRUE(), IF(M475=Constants!$B$3, FALSE(), FALSE())))</f>
        <v/>
      </c>
      <c r="X475" s="91" t="str">
        <f aca="false">IF(ISBLANK($C475),"",AND(Q475&lt;&gt;"",O475))</f>
        <v/>
      </c>
      <c r="Y475" s="91" t="str">
        <f aca="false">IF(ISBLANK($C475),"",AND(T475&lt;&gt;"",O475))</f>
        <v/>
      </c>
      <c r="Z475" s="91" t="str">
        <f aca="false">IF(ISBLANK($C475),"",IF(W475,Constants!$B$4,IF(COUNTA(E475:L475)=0,Constants!$B$5,IF(NOT(O475),Constants!$B$6,IF(AND(NOT(X475),NOT(Y475)),Constants!$B$6,Constants!$B$7)))))</f>
        <v/>
      </c>
      <c r="AA475" s="91" t="str">
        <f aca="false">IF(ISBLANK($C475),"",IF($Z475&lt;&gt;Constants!$B$7,$Z475,Constants!$B$20))</f>
        <v/>
      </c>
      <c r="AB475" s="91" t="str">
        <f aca="false">IF($Z475=Constants!$B$7,IF(X475,Q475,Constants!$B$13),"")</f>
        <v/>
      </c>
      <c r="AC475" s="91" t="str">
        <f aca="false">IF($Z475=Constants!$B$7,IF(X475,P475*IF(R475, 1, Constants!$B$11)*IF(S475, 1, Constants!$B$12),Constants!$B$13),"")</f>
        <v/>
      </c>
      <c r="AD475" s="91" t="str">
        <f aca="false">IF($Z475=Constants!$B$7,AB475*AC475,"")</f>
        <v/>
      </c>
      <c r="AE475" s="91" t="str">
        <f aca="false">IF($Z475=Constants!$B$7,IF(Y475,T475,Constants!$B$13),"")</f>
        <v/>
      </c>
      <c r="AF475" s="91" t="str">
        <f aca="false">IF($Z475=Constants!$B$7,IF(Y475,P475*IF(U475, 1, Constants!$B$11)*IF(V475, 1, Constants!$B$12),Constants!$B$13),"")</f>
        <v/>
      </c>
      <c r="AG475" s="91" t="str">
        <f aca="false">IF($Z475=Constants!$B$7,AE475*AF475,"")</f>
        <v/>
      </c>
      <c r="AH475" s="91" t="str">
        <f aca="false">IF($Z475=Constants!$B$7,IF(AG475&gt;AD475,2,1),"")</f>
        <v/>
      </c>
      <c r="AI475" s="91" t="str">
        <f aca="false">IF($Z475=Constants!$B$7,IF(AH475=1,2,1),"")</f>
        <v/>
      </c>
      <c r="AJ475" s="91" t="str">
        <f aca="false">IF(ISBLANK($C475),"",IF($Z475&lt;&gt;Constants!$B$7,$Z475,IF(AH475=1,AD475,AG475)))</f>
        <v/>
      </c>
      <c r="AK475" s="91" t="str">
        <f aca="false">IF(ISBLANK($C475),"",IF($Z475=Constants!$B$7,IF(ISNUMBER(AJ475),RANK(AJ475,$AJ$8:$AJ$507),Constants!$B$14),$Z475))</f>
        <v/>
      </c>
      <c r="AL475" s="91" t="str">
        <f aca="false">IF(ISBLANK($C475),"",IF($Z475=Constants!$B$7,IF(AI475=1,AD475,AG475),""))</f>
        <v/>
      </c>
      <c r="AM475" s="91" t="str">
        <f aca="false">IF(ISBLANK($C475),"",IF($Z475=Constants!$B$7,RANK(AL475,$AL$8:$AL$507),$Z475))</f>
        <v/>
      </c>
      <c r="AN475" s="91" t="str">
        <f aca="false">IF(ISBLANK($C475),"",IF($Z475=Constants!$B$7,IF(ISNUMBER(AK475),COUNTIFS($AK$8:$AK$507,"&lt;"&amp;$AK475)+COUNTIFS($AK$8:$AK$507,$AK475,$AM$8:$AM$507,"&lt;"&amp;$AM475)+1,Constants!$B$14),$Z475))</f>
        <v/>
      </c>
      <c r="AO475" s="91" t="str">
        <f aca="false">IF(ISBLANK($C475),"",IF($Z475=Constants!$B$7,IF(ISNUMBER(AK475),AK475-AN475,Constants!$B$14),$Z475))</f>
        <v/>
      </c>
      <c r="AP475" s="92"/>
      <c r="AQ475" s="93" t="str">
        <f aca="false">IF(ISBLANK($C475),"",IF($Z475&lt;&gt;Constants!$B$7,"",AH475))</f>
        <v/>
      </c>
      <c r="AR475" s="94" t="str">
        <f aca="false">IF(ISBLANK($C475),"",IF($Z475&lt;&gt;Constants!$B$7,"",IF(AH475=1,AB475,AE475)))</f>
        <v/>
      </c>
      <c r="AS475" s="95" t="str">
        <f aca="false">IF(ISBLANK($C475),"",IF($Z475&lt;&gt;Constants!$B$7,"",IF(AH475=1,AC475,AF475)))</f>
        <v/>
      </c>
      <c r="AT475" s="96" t="str">
        <f aca="false">IF(ISBLANK($C475),"",IF($Z475&lt;&gt;Constants!$B$7,$Z475,AJ475))</f>
        <v/>
      </c>
      <c r="AU475" s="97" t="str">
        <f aca="false">IF(ISBLANK($C475),"",IF($Z475&lt;&gt;Constants!$B$7,$Z475,AA475))</f>
        <v/>
      </c>
      <c r="AV475" s="98" t="str">
        <f aca="false">IF(ISBLANK($C475),"",AO475)</f>
        <v/>
      </c>
      <c r="AW475" s="98" t="str">
        <f aca="false">IF(ISBLANK($C475),"",AN475)</f>
        <v/>
      </c>
      <c r="AX475" s="99" t="str">
        <f aca="false">IF(ISBLANK($C475),"",IFERROR(_xlfn.SWITCH(AW475,Constants!$B$4,COUNTA($C$8:$C$507)+2,Constants!$B$5,COUNTA($C$8:$C$507)+1,Constants!$B$6,COUNTA($C$8:$C$507)),AW475))</f>
        <v/>
      </c>
      <c r="AY475" s="5"/>
      <c r="AZ475" s="100" t="n">
        <f aca="false">IF(OR(ISNUMBER(AW475),AW475=Constants!$B$4,AW475=Constants!$B$6,AW475=Constants!$B$5),1,0)</f>
        <v>0</v>
      </c>
      <c r="BA475" s="100" t="n">
        <v>468</v>
      </c>
      <c r="BB475" s="100" t="str">
        <f aca="false">IF(ISBLANK($C475),"",IF(ISNUMBER(AX475),AX475+ROW($B475)/1000,""))</f>
        <v/>
      </c>
      <c r="BC475" s="100" t="str">
        <f aca="false">IF(ISNUMBER(BB475),RANK(BB475,$BB$8:$BB$507,1),"")</f>
        <v/>
      </c>
      <c r="BD475" s="100" t="str">
        <f aca="false">IF(ISBLANK($C475),"",$B475)</f>
        <v/>
      </c>
      <c r="BE475" s="100" t="str">
        <f aca="false">IF(ISBLANK($C475),"",$C475)</f>
        <v/>
      </c>
      <c r="BF475" s="100" t="str">
        <f aca="false">IF(ISBLANK($C475),"",$D475)</f>
        <v/>
      </c>
      <c r="BG475" s="101" t="str">
        <f aca="false">AU475</f>
        <v/>
      </c>
      <c r="BH475" s="102" t="str">
        <f aca="false">AT475</f>
        <v/>
      </c>
      <c r="BI475" s="100" t="str">
        <f aca="false">IF(ISBLANK($C475),"",AW475)</f>
        <v/>
      </c>
      <c r="BJ475" s="103" t="str">
        <f aca="false">IF($BA475&gt;$AZ$7,"",VLOOKUP($BA475,$BC$8:$BI$507,7,FALSE()))</f>
        <v/>
      </c>
      <c r="BK475" s="104" t="str">
        <f aca="false">IF($BA475&gt;$AZ$7,"",VLOOKUP($BA475,$BC$8:$BI$507,2,FALSE()))</f>
        <v/>
      </c>
      <c r="BL475" s="104" t="str">
        <f aca="false">IF($BA475&gt;$AZ$7,"",VLOOKUP($BA475,$BC$8:$BI$507,3,FALSE()))</f>
        <v/>
      </c>
      <c r="BM475" s="104" t="str">
        <f aca="false">IF($BA475&gt;$AZ$7,"",VLOOKUP($BA475,$BC$8:$BI$507,4,FALSE()))</f>
        <v/>
      </c>
      <c r="BN475" s="104" t="str">
        <f aca="false">IF($BA475&gt;$AZ$7,"",VLOOKUP($BA475,$BC$8:$BI$507,5,FALSE()))</f>
        <v/>
      </c>
      <c r="BO475" s="105" t="str">
        <f aca="false">IF($BA475&gt;$AZ$7,"",VLOOKUP($BA475,$BC$8:$BI$507,6,FALSE()))</f>
        <v/>
      </c>
      <c r="BP475" s="52"/>
    </row>
    <row r="476" customFormat="false" ht="15.75" hidden="false" customHeight="false" outlineLevel="0" collapsed="false">
      <c r="A476" s="5"/>
      <c r="B476" s="118"/>
      <c r="C476" s="54"/>
      <c r="D476" s="55"/>
      <c r="E476" s="79"/>
      <c r="F476" s="57"/>
      <c r="G476" s="58"/>
      <c r="H476" s="58"/>
      <c r="I476" s="57"/>
      <c r="J476" s="58"/>
      <c r="K476" s="58"/>
      <c r="L476" s="57"/>
      <c r="M476" s="79"/>
      <c r="N476" s="60"/>
      <c r="O476" s="62" t="str">
        <f aca="false">IF(ISBLANK($C476),"",IF(E476=Constants!$B$2, TRUE(), IF(E476=Constants!$B$3, FALSE(), TRUE())))</f>
        <v/>
      </c>
      <c r="P476" s="62" t="str">
        <f aca="false">IF(ISBLANK($C476),"",IF(F476=Constants!$B$16,Constants!$B$9,IF(F476=Constants!$B$17,Constants!$B$10,Constants!$B$8)))</f>
        <v/>
      </c>
      <c r="Q476" s="62" t="str">
        <f aca="false">IF(ISBLANK($C476),"",IF(ISNUMBER(G476),IF(G476&gt;=0,G476,""),""))</f>
        <v/>
      </c>
      <c r="R476" s="62" t="str">
        <f aca="false">IF(ISBLANK($C476),"",IF(H476=Constants!$B$2, TRUE(), IF(H476=Constants!$B$3, FALSE(), TRUE())))</f>
        <v/>
      </c>
      <c r="S476" s="62" t="str">
        <f aca="false">IF(ISBLANK($C476),"",IF(I476=Constants!$B$2, TRUE(), IF(I476=Constants!$B$3, FALSE(), TRUE())))</f>
        <v/>
      </c>
      <c r="T476" s="62" t="str">
        <f aca="false">IF(ISBLANK($C476),"",IF(ISNUMBER(J476),IF(J476&gt;=0,J476,""),""))</f>
        <v/>
      </c>
      <c r="U476" s="62" t="str">
        <f aca="false">IF(ISBLANK($C476),"",IF(K476=Constants!$B$2, TRUE(), IF(K476=Constants!$B$3, FALSE(), TRUE())))</f>
        <v/>
      </c>
      <c r="V476" s="62" t="str">
        <f aca="false">IF(ISBLANK($C476),"",IF(L476=Constants!$B$2, TRUE(), IF(L476=Constants!$B$3, FALSE(), TRUE())))</f>
        <v/>
      </c>
      <c r="W476" s="62" t="str">
        <f aca="false">IF(ISBLANK($C476),"",IF(M476=Constants!$B$2, TRUE(), IF(M476=Constants!$B$3, FALSE(), FALSE())))</f>
        <v/>
      </c>
      <c r="X476" s="62" t="str">
        <f aca="false">IF(ISBLANK($C476),"",AND(Q476&lt;&gt;"",O476))</f>
        <v/>
      </c>
      <c r="Y476" s="62" t="str">
        <f aca="false">IF(ISBLANK($C476),"",AND(T476&lt;&gt;"",O476))</f>
        <v/>
      </c>
      <c r="Z476" s="62" t="str">
        <f aca="false">IF(ISBLANK($C476),"",IF(W476,Constants!$B$4,IF(COUNTA(E476:L476)=0,Constants!$B$5,IF(NOT(O476),Constants!$B$6,IF(AND(NOT(X476),NOT(Y476)),Constants!$B$6,Constants!$B$7)))))</f>
        <v/>
      </c>
      <c r="AA476" s="62" t="str">
        <f aca="false">IF(ISBLANK($C476),"",IF($Z476&lt;&gt;Constants!$B$7,$Z476,Constants!$B$20))</f>
        <v/>
      </c>
      <c r="AB476" s="62" t="str">
        <f aca="false">IF($Z476=Constants!$B$7,IF(X476,Q476,Constants!$B$13),"")</f>
        <v/>
      </c>
      <c r="AC476" s="62" t="str">
        <f aca="false">IF($Z476=Constants!$B$7,IF(X476,P476*IF(R476, 1, Constants!$B$11)*IF(S476, 1, Constants!$B$12),Constants!$B$13),"")</f>
        <v/>
      </c>
      <c r="AD476" s="62" t="str">
        <f aca="false">IF($Z476=Constants!$B$7,AB476*AC476,"")</f>
        <v/>
      </c>
      <c r="AE476" s="62" t="str">
        <f aca="false">IF($Z476=Constants!$B$7,IF(Y476,T476,Constants!$B$13),"")</f>
        <v/>
      </c>
      <c r="AF476" s="62" t="str">
        <f aca="false">IF($Z476=Constants!$B$7,IF(Y476,P476*IF(U476, 1, Constants!$B$11)*IF(V476, 1, Constants!$B$12),Constants!$B$13),"")</f>
        <v/>
      </c>
      <c r="AG476" s="62" t="str">
        <f aca="false">IF($Z476=Constants!$B$7,AE476*AF476,"")</f>
        <v/>
      </c>
      <c r="AH476" s="62" t="str">
        <f aca="false">IF($Z476=Constants!$B$7,IF(AG476&gt;AD476,2,1),"")</f>
        <v/>
      </c>
      <c r="AI476" s="62" t="str">
        <f aca="false">IF($Z476=Constants!$B$7,IF(AH476=1,2,1),"")</f>
        <v/>
      </c>
      <c r="AJ476" s="62" t="str">
        <f aca="false">IF(ISBLANK($C476),"",IF($Z476&lt;&gt;Constants!$B$7,$Z476,IF(AH476=1,AD476,AG476)))</f>
        <v/>
      </c>
      <c r="AK476" s="62" t="str">
        <f aca="false">IF(ISBLANK($C476),"",IF($Z476=Constants!$B$7,IF(ISNUMBER(AJ476),RANK(AJ476,$AJ$8:$AJ$507),Constants!$B$14),$Z476))</f>
        <v/>
      </c>
      <c r="AL476" s="62" t="str">
        <f aca="false">IF(ISBLANK($C476),"",IF($Z476=Constants!$B$7,IF(AI476=1,AD476,AG476),""))</f>
        <v/>
      </c>
      <c r="AM476" s="62" t="str">
        <f aca="false">IF(ISBLANK($C476),"",IF($Z476=Constants!$B$7,RANK(AL476,$AL$8:$AL$507),$Z476))</f>
        <v/>
      </c>
      <c r="AN476" s="62" t="str">
        <f aca="false">IF(ISBLANK($C476),"",IF($Z476=Constants!$B$7,IF(ISNUMBER(AK476),COUNTIFS($AK$8:$AK$507,"&lt;"&amp;$AK476)+COUNTIFS($AK$8:$AK$507,$AK476,$AM$8:$AM$507,"&lt;"&amp;$AM476)+1,Constants!$B$14),$Z476))</f>
        <v/>
      </c>
      <c r="AO476" s="62" t="str">
        <f aca="false">IF(ISBLANK($C476),"",IF($Z476=Constants!$B$7,IF(ISNUMBER(AK476),AK476-AN476,Constants!$B$14),$Z476))</f>
        <v/>
      </c>
      <c r="AP476" s="64"/>
      <c r="AQ476" s="65" t="str">
        <f aca="false">IF(ISBLANK($C476),"",IF($Z476&lt;&gt;Constants!$B$7,"",AH476))</f>
        <v/>
      </c>
      <c r="AR476" s="80" t="str">
        <f aca="false">IF(ISBLANK($C476),"",IF($Z476&lt;&gt;Constants!$B$7,"",IF(AH476=1,AB476,AE476)))</f>
        <v/>
      </c>
      <c r="AS476" s="67" t="str">
        <f aca="false">IF(ISBLANK($C476),"",IF($Z476&lt;&gt;Constants!$B$7,"",IF(AH476=1,AC476,AF476)))</f>
        <v/>
      </c>
      <c r="AT476" s="68" t="str">
        <f aca="false">IF(ISBLANK($C476),"",IF($Z476&lt;&gt;Constants!$B$7,$Z476,AJ476))</f>
        <v/>
      </c>
      <c r="AU476" s="69" t="str">
        <f aca="false">IF(ISBLANK($C476),"",IF($Z476&lt;&gt;Constants!$B$7,$Z476,AA476))</f>
        <v/>
      </c>
      <c r="AV476" s="70" t="str">
        <f aca="false">IF(ISBLANK($C476),"",AO476)</f>
        <v/>
      </c>
      <c r="AW476" s="70" t="str">
        <f aca="false">IF(ISBLANK($C476),"",AN476)</f>
        <v/>
      </c>
      <c r="AX476" s="71" t="str">
        <f aca="false">IF(ISBLANK($C476),"",IFERROR(_xlfn.SWITCH(AW476,Constants!$B$4,COUNTA($C$8:$C$507)+2,Constants!$B$5,COUNTA($C$8:$C$507)+1,Constants!$B$6,COUNTA($C$8:$C$507)),AW476))</f>
        <v/>
      </c>
      <c r="AY476" s="5"/>
      <c r="AZ476" s="72" t="n">
        <f aca="false">IF(OR(ISNUMBER(AW476),AW476=Constants!$B$4,AW476=Constants!$B$6,AW476=Constants!$B$5),1,0)</f>
        <v>0</v>
      </c>
      <c r="BA476" s="72" t="n">
        <v>469</v>
      </c>
      <c r="BB476" s="72" t="str">
        <f aca="false">IF(ISBLANK($C476),"",IF(ISNUMBER(AX476),AX476+ROW($B476)/1000,""))</f>
        <v/>
      </c>
      <c r="BC476" s="72" t="str">
        <f aca="false">IF(ISNUMBER(BB476),RANK(BB476,$BB$8:$BB$507,1),"")</f>
        <v/>
      </c>
      <c r="BD476" s="72" t="str">
        <f aca="false">IF(ISBLANK($C476),"",$B476)</f>
        <v/>
      </c>
      <c r="BE476" s="72" t="str">
        <f aca="false">IF(ISBLANK($C476),"",$C476)</f>
        <v/>
      </c>
      <c r="BF476" s="72" t="str">
        <f aca="false">IF(ISBLANK($C476),"",$D476)</f>
        <v/>
      </c>
      <c r="BG476" s="73" t="str">
        <f aca="false">AU476</f>
        <v/>
      </c>
      <c r="BH476" s="74" t="str">
        <f aca="false">AT476</f>
        <v/>
      </c>
      <c r="BI476" s="72" t="str">
        <f aca="false">IF(ISBLANK($C476),"",AW476)</f>
        <v/>
      </c>
      <c r="BJ476" s="75" t="str">
        <f aca="false">IF($BA476&gt;$AZ$7,"",VLOOKUP($BA476,$BC$8:$BI$507,7,FALSE()))</f>
        <v/>
      </c>
      <c r="BK476" s="76" t="str">
        <f aca="false">IF($BA476&gt;$AZ$7,"",VLOOKUP($BA476,$BC$8:$BI$507,2,FALSE()))</f>
        <v/>
      </c>
      <c r="BL476" s="76" t="str">
        <f aca="false">IF($BA476&gt;$AZ$7,"",VLOOKUP($BA476,$BC$8:$BI$507,3,FALSE()))</f>
        <v/>
      </c>
      <c r="BM476" s="76" t="str">
        <f aca="false">IF($BA476&gt;$AZ$7,"",VLOOKUP($BA476,$BC$8:$BI$507,4,FALSE()))</f>
        <v/>
      </c>
      <c r="BN476" s="76" t="str">
        <f aca="false">IF($BA476&gt;$AZ$7,"",VLOOKUP($BA476,$BC$8:$BI$507,5,FALSE()))</f>
        <v/>
      </c>
      <c r="BO476" s="77" t="str">
        <f aca="false">IF($BA476&gt;$AZ$7,"",VLOOKUP($BA476,$BC$8:$BI$507,6,FALSE()))</f>
        <v/>
      </c>
      <c r="BP476" s="52"/>
    </row>
    <row r="477" customFormat="false" ht="15.75" hidden="false" customHeight="false" outlineLevel="0" collapsed="false">
      <c r="A477" s="5"/>
      <c r="B477" s="118"/>
      <c r="C477" s="54"/>
      <c r="D477" s="55"/>
      <c r="E477" s="79"/>
      <c r="F477" s="57"/>
      <c r="G477" s="58"/>
      <c r="H477" s="58"/>
      <c r="I477" s="57"/>
      <c r="J477" s="58"/>
      <c r="K477" s="58"/>
      <c r="L477" s="57"/>
      <c r="M477" s="79"/>
      <c r="N477" s="60"/>
      <c r="O477" s="62" t="str">
        <f aca="false">IF(ISBLANK($C477),"",IF(E477=Constants!$B$2, TRUE(), IF(E477=Constants!$B$3, FALSE(), TRUE())))</f>
        <v/>
      </c>
      <c r="P477" s="62" t="str">
        <f aca="false">IF(ISBLANK($C477),"",IF(F477=Constants!$B$16,Constants!$B$9,IF(F477=Constants!$B$17,Constants!$B$10,Constants!$B$8)))</f>
        <v/>
      </c>
      <c r="Q477" s="62" t="str">
        <f aca="false">IF(ISBLANK($C477),"",IF(ISNUMBER(G477),IF(G477&gt;=0,G477,""),""))</f>
        <v/>
      </c>
      <c r="R477" s="62" t="str">
        <f aca="false">IF(ISBLANK($C477),"",IF(H477=Constants!$B$2, TRUE(), IF(H477=Constants!$B$3, FALSE(), TRUE())))</f>
        <v/>
      </c>
      <c r="S477" s="62" t="str">
        <f aca="false">IF(ISBLANK($C477),"",IF(I477=Constants!$B$2, TRUE(), IF(I477=Constants!$B$3, FALSE(), TRUE())))</f>
        <v/>
      </c>
      <c r="T477" s="62" t="str">
        <f aca="false">IF(ISBLANK($C477),"",IF(ISNUMBER(J477),IF(J477&gt;=0,J477,""),""))</f>
        <v/>
      </c>
      <c r="U477" s="62" t="str">
        <f aca="false">IF(ISBLANK($C477),"",IF(K477=Constants!$B$2, TRUE(), IF(K477=Constants!$B$3, FALSE(), TRUE())))</f>
        <v/>
      </c>
      <c r="V477" s="62" t="str">
        <f aca="false">IF(ISBLANK($C477),"",IF(L477=Constants!$B$2, TRUE(), IF(L477=Constants!$B$3, FALSE(), TRUE())))</f>
        <v/>
      </c>
      <c r="W477" s="62" t="str">
        <f aca="false">IF(ISBLANK($C477),"",IF(M477=Constants!$B$2, TRUE(), IF(M477=Constants!$B$3, FALSE(), FALSE())))</f>
        <v/>
      </c>
      <c r="X477" s="62" t="str">
        <f aca="false">IF(ISBLANK($C477),"",AND(Q477&lt;&gt;"",O477))</f>
        <v/>
      </c>
      <c r="Y477" s="62" t="str">
        <f aca="false">IF(ISBLANK($C477),"",AND(T477&lt;&gt;"",O477))</f>
        <v/>
      </c>
      <c r="Z477" s="62" t="str">
        <f aca="false">IF(ISBLANK($C477),"",IF(W477,Constants!$B$4,IF(COUNTA(E477:L477)=0,Constants!$B$5,IF(NOT(O477),Constants!$B$6,IF(AND(NOT(X477),NOT(Y477)),Constants!$B$6,Constants!$B$7)))))</f>
        <v/>
      </c>
      <c r="AA477" s="62" t="str">
        <f aca="false">IF(ISBLANK($C477),"",IF($Z477&lt;&gt;Constants!$B$7,$Z477,Constants!$B$20))</f>
        <v/>
      </c>
      <c r="AB477" s="62" t="str">
        <f aca="false">IF($Z477=Constants!$B$7,IF(X477,Q477,Constants!$B$13),"")</f>
        <v/>
      </c>
      <c r="AC477" s="62" t="str">
        <f aca="false">IF($Z477=Constants!$B$7,IF(X477,P477*IF(R477, 1, Constants!$B$11)*IF(S477, 1, Constants!$B$12),Constants!$B$13),"")</f>
        <v/>
      </c>
      <c r="AD477" s="62" t="str">
        <f aca="false">IF($Z477=Constants!$B$7,AB477*AC477,"")</f>
        <v/>
      </c>
      <c r="AE477" s="62" t="str">
        <f aca="false">IF($Z477=Constants!$B$7,IF(Y477,T477,Constants!$B$13),"")</f>
        <v/>
      </c>
      <c r="AF477" s="62" t="str">
        <f aca="false">IF($Z477=Constants!$B$7,IF(Y477,P477*IF(U477, 1, Constants!$B$11)*IF(V477, 1, Constants!$B$12),Constants!$B$13),"")</f>
        <v/>
      </c>
      <c r="AG477" s="62" t="str">
        <f aca="false">IF($Z477=Constants!$B$7,AE477*AF477,"")</f>
        <v/>
      </c>
      <c r="AH477" s="62" t="str">
        <f aca="false">IF($Z477=Constants!$B$7,IF(AG477&gt;AD477,2,1),"")</f>
        <v/>
      </c>
      <c r="AI477" s="62" t="str">
        <f aca="false">IF($Z477=Constants!$B$7,IF(AH477=1,2,1),"")</f>
        <v/>
      </c>
      <c r="AJ477" s="62" t="str">
        <f aca="false">IF(ISBLANK($C477),"",IF($Z477&lt;&gt;Constants!$B$7,$Z477,IF(AH477=1,AD477,AG477)))</f>
        <v/>
      </c>
      <c r="AK477" s="62" t="str">
        <f aca="false">IF(ISBLANK($C477),"",IF($Z477=Constants!$B$7,IF(ISNUMBER(AJ477),RANK(AJ477,$AJ$8:$AJ$507),Constants!$B$14),$Z477))</f>
        <v/>
      </c>
      <c r="AL477" s="62" t="str">
        <f aca="false">IF(ISBLANK($C477),"",IF($Z477=Constants!$B$7,IF(AI477=1,AD477,AG477),""))</f>
        <v/>
      </c>
      <c r="AM477" s="62" t="str">
        <f aca="false">IF(ISBLANK($C477),"",IF($Z477=Constants!$B$7,RANK(AL477,$AL$8:$AL$507),$Z477))</f>
        <v/>
      </c>
      <c r="AN477" s="62" t="str">
        <f aca="false">IF(ISBLANK($C477),"",IF($Z477=Constants!$B$7,IF(ISNUMBER(AK477),COUNTIFS($AK$8:$AK$507,"&lt;"&amp;$AK477)+COUNTIFS($AK$8:$AK$507,$AK477,$AM$8:$AM$507,"&lt;"&amp;$AM477)+1,Constants!$B$14),$Z477))</f>
        <v/>
      </c>
      <c r="AO477" s="62" t="str">
        <f aca="false">IF(ISBLANK($C477),"",IF($Z477=Constants!$B$7,IF(ISNUMBER(AK477),AK477-AN477,Constants!$B$14),$Z477))</f>
        <v/>
      </c>
      <c r="AP477" s="64"/>
      <c r="AQ477" s="65" t="str">
        <f aca="false">IF(ISBLANK($C477),"",IF($Z477&lt;&gt;Constants!$B$7,"",AH477))</f>
        <v/>
      </c>
      <c r="AR477" s="80" t="str">
        <f aca="false">IF(ISBLANK($C477),"",IF($Z477&lt;&gt;Constants!$B$7,"",IF(AH477=1,AB477,AE477)))</f>
        <v/>
      </c>
      <c r="AS477" s="67" t="str">
        <f aca="false">IF(ISBLANK($C477),"",IF($Z477&lt;&gt;Constants!$B$7,"",IF(AH477=1,AC477,AF477)))</f>
        <v/>
      </c>
      <c r="AT477" s="68" t="str">
        <f aca="false">IF(ISBLANK($C477),"",IF($Z477&lt;&gt;Constants!$B$7,$Z477,AJ477))</f>
        <v/>
      </c>
      <c r="AU477" s="69" t="str">
        <f aca="false">IF(ISBLANK($C477),"",IF($Z477&lt;&gt;Constants!$B$7,$Z477,AA477))</f>
        <v/>
      </c>
      <c r="AV477" s="70" t="str">
        <f aca="false">IF(ISBLANK($C477),"",AO477)</f>
        <v/>
      </c>
      <c r="AW477" s="70" t="str">
        <f aca="false">IF(ISBLANK($C477),"",AN477)</f>
        <v/>
      </c>
      <c r="AX477" s="71" t="str">
        <f aca="false">IF(ISBLANK($C477),"",IFERROR(_xlfn.SWITCH(AW477,Constants!$B$4,COUNTA($C$8:$C$507)+2,Constants!$B$5,COUNTA($C$8:$C$507)+1,Constants!$B$6,COUNTA($C$8:$C$507)),AW477))</f>
        <v/>
      </c>
      <c r="AY477" s="5"/>
      <c r="AZ477" s="72" t="n">
        <f aca="false">IF(OR(ISNUMBER(AW477),AW477=Constants!$B$4,AW477=Constants!$B$6,AW477=Constants!$B$5),1,0)</f>
        <v>0</v>
      </c>
      <c r="BA477" s="72" t="n">
        <v>470</v>
      </c>
      <c r="BB477" s="72" t="str">
        <f aca="false">IF(ISBLANK($C477),"",IF(ISNUMBER(AX477),AX477+ROW($B477)/1000,""))</f>
        <v/>
      </c>
      <c r="BC477" s="72" t="str">
        <f aca="false">IF(ISNUMBER(BB477),RANK(BB477,$BB$8:$BB$507,1),"")</f>
        <v/>
      </c>
      <c r="BD477" s="72" t="str">
        <f aca="false">IF(ISBLANK($C477),"",$B477)</f>
        <v/>
      </c>
      <c r="BE477" s="72" t="str">
        <f aca="false">IF(ISBLANK($C477),"",$C477)</f>
        <v/>
      </c>
      <c r="BF477" s="72" t="str">
        <f aca="false">IF(ISBLANK($C477),"",$D477)</f>
        <v/>
      </c>
      <c r="BG477" s="73" t="str">
        <f aca="false">AU477</f>
        <v/>
      </c>
      <c r="BH477" s="74" t="str">
        <f aca="false">AT477</f>
        <v/>
      </c>
      <c r="BI477" s="72" t="str">
        <f aca="false">IF(ISBLANK($C477),"",AW477)</f>
        <v/>
      </c>
      <c r="BJ477" s="75" t="str">
        <f aca="false">IF($BA477&gt;$AZ$7,"",VLOOKUP($BA477,$BC$8:$BI$507,7,FALSE()))</f>
        <v/>
      </c>
      <c r="BK477" s="76" t="str">
        <f aca="false">IF($BA477&gt;$AZ$7,"",VLOOKUP($BA477,$BC$8:$BI$507,2,FALSE()))</f>
        <v/>
      </c>
      <c r="BL477" s="76" t="str">
        <f aca="false">IF($BA477&gt;$AZ$7,"",VLOOKUP($BA477,$BC$8:$BI$507,3,FALSE()))</f>
        <v/>
      </c>
      <c r="BM477" s="76" t="str">
        <f aca="false">IF($BA477&gt;$AZ$7,"",VLOOKUP($BA477,$BC$8:$BI$507,4,FALSE()))</f>
        <v/>
      </c>
      <c r="BN477" s="76" t="str">
        <f aca="false">IF($BA477&gt;$AZ$7,"",VLOOKUP($BA477,$BC$8:$BI$507,5,FALSE()))</f>
        <v/>
      </c>
      <c r="BO477" s="77" t="str">
        <f aca="false">IF($BA477&gt;$AZ$7,"",VLOOKUP($BA477,$BC$8:$BI$507,6,FALSE()))</f>
        <v/>
      </c>
      <c r="BP477" s="52"/>
    </row>
    <row r="478" customFormat="false" ht="15.75" hidden="false" customHeight="false" outlineLevel="0" collapsed="false">
      <c r="A478" s="5"/>
      <c r="B478" s="118"/>
      <c r="C478" s="54"/>
      <c r="D478" s="55"/>
      <c r="E478" s="79"/>
      <c r="F478" s="57"/>
      <c r="G478" s="58"/>
      <c r="H478" s="58"/>
      <c r="I478" s="57"/>
      <c r="J478" s="58"/>
      <c r="K478" s="58"/>
      <c r="L478" s="57"/>
      <c r="M478" s="79"/>
      <c r="N478" s="60"/>
      <c r="O478" s="62" t="str">
        <f aca="false">IF(ISBLANK($C478),"",IF(E478=Constants!$B$2, TRUE(), IF(E478=Constants!$B$3, FALSE(), TRUE())))</f>
        <v/>
      </c>
      <c r="P478" s="62" t="str">
        <f aca="false">IF(ISBLANK($C478),"",IF(F478=Constants!$B$16,Constants!$B$9,IF(F478=Constants!$B$17,Constants!$B$10,Constants!$B$8)))</f>
        <v/>
      </c>
      <c r="Q478" s="62" t="str">
        <f aca="false">IF(ISBLANK($C478),"",IF(ISNUMBER(G478),IF(G478&gt;=0,G478,""),""))</f>
        <v/>
      </c>
      <c r="R478" s="62" t="str">
        <f aca="false">IF(ISBLANK($C478),"",IF(H478=Constants!$B$2, TRUE(), IF(H478=Constants!$B$3, FALSE(), TRUE())))</f>
        <v/>
      </c>
      <c r="S478" s="62" t="str">
        <f aca="false">IF(ISBLANK($C478),"",IF(I478=Constants!$B$2, TRUE(), IF(I478=Constants!$B$3, FALSE(), TRUE())))</f>
        <v/>
      </c>
      <c r="T478" s="62" t="str">
        <f aca="false">IF(ISBLANK($C478),"",IF(ISNUMBER(J478),IF(J478&gt;=0,J478,""),""))</f>
        <v/>
      </c>
      <c r="U478" s="62" t="str">
        <f aca="false">IF(ISBLANK($C478),"",IF(K478=Constants!$B$2, TRUE(), IF(K478=Constants!$B$3, FALSE(), TRUE())))</f>
        <v/>
      </c>
      <c r="V478" s="62" t="str">
        <f aca="false">IF(ISBLANK($C478),"",IF(L478=Constants!$B$2, TRUE(), IF(L478=Constants!$B$3, FALSE(), TRUE())))</f>
        <v/>
      </c>
      <c r="W478" s="62" t="str">
        <f aca="false">IF(ISBLANK($C478),"",IF(M478=Constants!$B$2, TRUE(), IF(M478=Constants!$B$3, FALSE(), FALSE())))</f>
        <v/>
      </c>
      <c r="X478" s="62" t="str">
        <f aca="false">IF(ISBLANK($C478),"",AND(Q478&lt;&gt;"",O478))</f>
        <v/>
      </c>
      <c r="Y478" s="62" t="str">
        <f aca="false">IF(ISBLANK($C478),"",AND(T478&lt;&gt;"",O478))</f>
        <v/>
      </c>
      <c r="Z478" s="62" t="str">
        <f aca="false">IF(ISBLANK($C478),"",IF(W478,Constants!$B$4,IF(COUNTA(E478:L478)=0,Constants!$B$5,IF(NOT(O478),Constants!$B$6,IF(AND(NOT(X478),NOT(Y478)),Constants!$B$6,Constants!$B$7)))))</f>
        <v/>
      </c>
      <c r="AA478" s="62" t="str">
        <f aca="false">IF(ISBLANK($C478),"",IF($Z478&lt;&gt;Constants!$B$7,$Z478,Constants!$B$20))</f>
        <v/>
      </c>
      <c r="AB478" s="62" t="str">
        <f aca="false">IF($Z478=Constants!$B$7,IF(X478,Q478,Constants!$B$13),"")</f>
        <v/>
      </c>
      <c r="AC478" s="62" t="str">
        <f aca="false">IF($Z478=Constants!$B$7,IF(X478,P478*IF(R478, 1, Constants!$B$11)*IF(S478, 1, Constants!$B$12),Constants!$B$13),"")</f>
        <v/>
      </c>
      <c r="AD478" s="62" t="str">
        <f aca="false">IF($Z478=Constants!$B$7,AB478*AC478,"")</f>
        <v/>
      </c>
      <c r="AE478" s="62" t="str">
        <f aca="false">IF($Z478=Constants!$B$7,IF(Y478,T478,Constants!$B$13),"")</f>
        <v/>
      </c>
      <c r="AF478" s="62" t="str">
        <f aca="false">IF($Z478=Constants!$B$7,IF(Y478,P478*IF(U478, 1, Constants!$B$11)*IF(V478, 1, Constants!$B$12),Constants!$B$13),"")</f>
        <v/>
      </c>
      <c r="AG478" s="62" t="str">
        <f aca="false">IF($Z478=Constants!$B$7,AE478*AF478,"")</f>
        <v/>
      </c>
      <c r="AH478" s="62" t="str">
        <f aca="false">IF($Z478=Constants!$B$7,IF(AG478&gt;AD478,2,1),"")</f>
        <v/>
      </c>
      <c r="AI478" s="62" t="str">
        <f aca="false">IF($Z478=Constants!$B$7,IF(AH478=1,2,1),"")</f>
        <v/>
      </c>
      <c r="AJ478" s="62" t="str">
        <f aca="false">IF(ISBLANK($C478),"",IF($Z478&lt;&gt;Constants!$B$7,$Z478,IF(AH478=1,AD478,AG478)))</f>
        <v/>
      </c>
      <c r="AK478" s="62" t="str">
        <f aca="false">IF(ISBLANK($C478),"",IF($Z478=Constants!$B$7,IF(ISNUMBER(AJ478),RANK(AJ478,$AJ$8:$AJ$507),Constants!$B$14),$Z478))</f>
        <v/>
      </c>
      <c r="AL478" s="62" t="str">
        <f aca="false">IF(ISBLANK($C478),"",IF($Z478=Constants!$B$7,IF(AI478=1,AD478,AG478),""))</f>
        <v/>
      </c>
      <c r="AM478" s="62" t="str">
        <f aca="false">IF(ISBLANK($C478),"",IF($Z478=Constants!$B$7,RANK(AL478,$AL$8:$AL$507),$Z478))</f>
        <v/>
      </c>
      <c r="AN478" s="62" t="str">
        <f aca="false">IF(ISBLANK($C478),"",IF($Z478=Constants!$B$7,IF(ISNUMBER(AK478),COUNTIFS($AK$8:$AK$507,"&lt;"&amp;$AK478)+COUNTIFS($AK$8:$AK$507,$AK478,$AM$8:$AM$507,"&lt;"&amp;$AM478)+1,Constants!$B$14),$Z478))</f>
        <v/>
      </c>
      <c r="AO478" s="62" t="str">
        <f aca="false">IF(ISBLANK($C478),"",IF($Z478=Constants!$B$7,IF(ISNUMBER(AK478),AK478-AN478,Constants!$B$14),$Z478))</f>
        <v/>
      </c>
      <c r="AP478" s="64"/>
      <c r="AQ478" s="65" t="str">
        <f aca="false">IF(ISBLANK($C478),"",IF($Z478&lt;&gt;Constants!$B$7,"",AH478))</f>
        <v/>
      </c>
      <c r="AR478" s="80" t="str">
        <f aca="false">IF(ISBLANK($C478),"",IF($Z478&lt;&gt;Constants!$B$7,"",IF(AH478=1,AB478,AE478)))</f>
        <v/>
      </c>
      <c r="AS478" s="67" t="str">
        <f aca="false">IF(ISBLANK($C478),"",IF($Z478&lt;&gt;Constants!$B$7,"",IF(AH478=1,AC478,AF478)))</f>
        <v/>
      </c>
      <c r="AT478" s="68" t="str">
        <f aca="false">IF(ISBLANK($C478),"",IF($Z478&lt;&gt;Constants!$B$7,$Z478,AJ478))</f>
        <v/>
      </c>
      <c r="AU478" s="69" t="str">
        <f aca="false">IF(ISBLANK($C478),"",IF($Z478&lt;&gt;Constants!$B$7,$Z478,AA478))</f>
        <v/>
      </c>
      <c r="AV478" s="70" t="str">
        <f aca="false">IF(ISBLANK($C478),"",AO478)</f>
        <v/>
      </c>
      <c r="AW478" s="70" t="str">
        <f aca="false">IF(ISBLANK($C478),"",AN478)</f>
        <v/>
      </c>
      <c r="AX478" s="71" t="str">
        <f aca="false">IF(ISBLANK($C478),"",IFERROR(_xlfn.SWITCH(AW478,Constants!$B$4,COUNTA($C$8:$C$507)+2,Constants!$B$5,COUNTA($C$8:$C$507)+1,Constants!$B$6,COUNTA($C$8:$C$507)),AW478))</f>
        <v/>
      </c>
      <c r="AY478" s="5"/>
      <c r="AZ478" s="72" t="n">
        <f aca="false">IF(OR(ISNUMBER(AW478),AW478=Constants!$B$4,AW478=Constants!$B$6,AW478=Constants!$B$5),1,0)</f>
        <v>0</v>
      </c>
      <c r="BA478" s="72" t="n">
        <v>471</v>
      </c>
      <c r="BB478" s="72" t="str">
        <f aca="false">IF(ISBLANK($C478),"",IF(ISNUMBER(AX478),AX478+ROW($B478)/1000,""))</f>
        <v/>
      </c>
      <c r="BC478" s="72" t="str">
        <f aca="false">IF(ISNUMBER(BB478),RANK(BB478,$BB$8:$BB$507,1),"")</f>
        <v/>
      </c>
      <c r="BD478" s="72" t="str">
        <f aca="false">IF(ISBLANK($C478),"",$B478)</f>
        <v/>
      </c>
      <c r="BE478" s="72" t="str">
        <f aca="false">IF(ISBLANK($C478),"",$C478)</f>
        <v/>
      </c>
      <c r="BF478" s="72" t="str">
        <f aca="false">IF(ISBLANK($C478),"",$D478)</f>
        <v/>
      </c>
      <c r="BG478" s="73" t="str">
        <f aca="false">AU478</f>
        <v/>
      </c>
      <c r="BH478" s="74" t="str">
        <f aca="false">AT478</f>
        <v/>
      </c>
      <c r="BI478" s="72" t="str">
        <f aca="false">IF(ISBLANK($C478),"",AW478)</f>
        <v/>
      </c>
      <c r="BJ478" s="75" t="str">
        <f aca="false">IF($BA478&gt;$AZ$7,"",VLOOKUP($BA478,$BC$8:$BI$507,7,FALSE()))</f>
        <v/>
      </c>
      <c r="BK478" s="76" t="str">
        <f aca="false">IF($BA478&gt;$AZ$7,"",VLOOKUP($BA478,$BC$8:$BI$507,2,FALSE()))</f>
        <v/>
      </c>
      <c r="BL478" s="76" t="str">
        <f aca="false">IF($BA478&gt;$AZ$7,"",VLOOKUP($BA478,$BC$8:$BI$507,3,FALSE()))</f>
        <v/>
      </c>
      <c r="BM478" s="76" t="str">
        <f aca="false">IF($BA478&gt;$AZ$7,"",VLOOKUP($BA478,$BC$8:$BI$507,4,FALSE()))</f>
        <v/>
      </c>
      <c r="BN478" s="76" t="str">
        <f aca="false">IF($BA478&gt;$AZ$7,"",VLOOKUP($BA478,$BC$8:$BI$507,5,FALSE()))</f>
        <v/>
      </c>
      <c r="BO478" s="77" t="str">
        <f aca="false">IF($BA478&gt;$AZ$7,"",VLOOKUP($BA478,$BC$8:$BI$507,6,FALSE()))</f>
        <v/>
      </c>
      <c r="BP478" s="52"/>
    </row>
    <row r="479" customFormat="false" ht="15.75" hidden="false" customHeight="false" outlineLevel="0" collapsed="false">
      <c r="A479" s="5"/>
      <c r="B479" s="114"/>
      <c r="C479" s="115"/>
      <c r="D479" s="106"/>
      <c r="E479" s="117"/>
      <c r="F479" s="87"/>
      <c r="G479" s="88"/>
      <c r="H479" s="88"/>
      <c r="I479" s="87"/>
      <c r="J479" s="88"/>
      <c r="K479" s="88"/>
      <c r="L479" s="87"/>
      <c r="M479" s="117"/>
      <c r="N479" s="90"/>
      <c r="O479" s="91" t="str">
        <f aca="false">IF(ISBLANK($C479),"",IF(E479=Constants!$B$2, TRUE(), IF(E479=Constants!$B$3, FALSE(), TRUE())))</f>
        <v/>
      </c>
      <c r="P479" s="91" t="str">
        <f aca="false">IF(ISBLANK($C479),"",IF(F479=Constants!$B$16,Constants!$B$9,IF(F479=Constants!$B$17,Constants!$B$10,Constants!$B$8)))</f>
        <v/>
      </c>
      <c r="Q479" s="91" t="str">
        <f aca="false">IF(ISBLANK($C479),"",IF(ISNUMBER(G479),IF(G479&gt;=0,G479,""),""))</f>
        <v/>
      </c>
      <c r="R479" s="91" t="str">
        <f aca="false">IF(ISBLANK($C479),"",IF(H479=Constants!$B$2, TRUE(), IF(H479=Constants!$B$3, FALSE(), TRUE())))</f>
        <v/>
      </c>
      <c r="S479" s="91" t="str">
        <f aca="false">IF(ISBLANK($C479),"",IF(I479=Constants!$B$2, TRUE(), IF(I479=Constants!$B$3, FALSE(), TRUE())))</f>
        <v/>
      </c>
      <c r="T479" s="91" t="str">
        <f aca="false">IF(ISBLANK($C479),"",IF(ISNUMBER(J479),IF(J479&gt;=0,J479,""),""))</f>
        <v/>
      </c>
      <c r="U479" s="91" t="str">
        <f aca="false">IF(ISBLANK($C479),"",IF(K479=Constants!$B$2, TRUE(), IF(K479=Constants!$B$3, FALSE(), TRUE())))</f>
        <v/>
      </c>
      <c r="V479" s="91" t="str">
        <f aca="false">IF(ISBLANK($C479),"",IF(L479=Constants!$B$2, TRUE(), IF(L479=Constants!$B$3, FALSE(), TRUE())))</f>
        <v/>
      </c>
      <c r="W479" s="91" t="str">
        <f aca="false">IF(ISBLANK($C479),"",IF(M479=Constants!$B$2, TRUE(), IF(M479=Constants!$B$3, FALSE(), FALSE())))</f>
        <v/>
      </c>
      <c r="X479" s="91" t="str">
        <f aca="false">IF(ISBLANK($C479),"",AND(Q479&lt;&gt;"",O479))</f>
        <v/>
      </c>
      <c r="Y479" s="91" t="str">
        <f aca="false">IF(ISBLANK($C479),"",AND(T479&lt;&gt;"",O479))</f>
        <v/>
      </c>
      <c r="Z479" s="91" t="str">
        <f aca="false">IF(ISBLANK($C479),"",IF(W479,Constants!$B$4,IF(COUNTA(E479:L479)=0,Constants!$B$5,IF(NOT(O479),Constants!$B$6,IF(AND(NOT(X479),NOT(Y479)),Constants!$B$6,Constants!$B$7)))))</f>
        <v/>
      </c>
      <c r="AA479" s="91" t="str">
        <f aca="false">IF(ISBLANK($C479),"",IF($Z479&lt;&gt;Constants!$B$7,$Z479,Constants!$B$20))</f>
        <v/>
      </c>
      <c r="AB479" s="91" t="str">
        <f aca="false">IF($Z479=Constants!$B$7,IF(X479,Q479,Constants!$B$13),"")</f>
        <v/>
      </c>
      <c r="AC479" s="91" t="str">
        <f aca="false">IF($Z479=Constants!$B$7,IF(X479,P479*IF(R479, 1, Constants!$B$11)*IF(S479, 1, Constants!$B$12),Constants!$B$13),"")</f>
        <v/>
      </c>
      <c r="AD479" s="91" t="str">
        <f aca="false">IF($Z479=Constants!$B$7,AB479*AC479,"")</f>
        <v/>
      </c>
      <c r="AE479" s="91" t="str">
        <f aca="false">IF($Z479=Constants!$B$7,IF(Y479,T479,Constants!$B$13),"")</f>
        <v/>
      </c>
      <c r="AF479" s="91" t="str">
        <f aca="false">IF($Z479=Constants!$B$7,IF(Y479,P479*IF(U479, 1, Constants!$B$11)*IF(V479, 1, Constants!$B$12),Constants!$B$13),"")</f>
        <v/>
      </c>
      <c r="AG479" s="91" t="str">
        <f aca="false">IF($Z479=Constants!$B$7,AE479*AF479,"")</f>
        <v/>
      </c>
      <c r="AH479" s="91" t="str">
        <f aca="false">IF($Z479=Constants!$B$7,IF(AG479&gt;AD479,2,1),"")</f>
        <v/>
      </c>
      <c r="AI479" s="91" t="str">
        <f aca="false">IF($Z479=Constants!$B$7,IF(AH479=1,2,1),"")</f>
        <v/>
      </c>
      <c r="AJ479" s="91" t="str">
        <f aca="false">IF(ISBLANK($C479),"",IF($Z479&lt;&gt;Constants!$B$7,$Z479,IF(AH479=1,AD479,AG479)))</f>
        <v/>
      </c>
      <c r="AK479" s="91" t="str">
        <f aca="false">IF(ISBLANK($C479),"",IF($Z479=Constants!$B$7,IF(ISNUMBER(AJ479),RANK(AJ479,$AJ$8:$AJ$507),Constants!$B$14),$Z479))</f>
        <v/>
      </c>
      <c r="AL479" s="91" t="str">
        <f aca="false">IF(ISBLANK($C479),"",IF($Z479=Constants!$B$7,IF(AI479=1,AD479,AG479),""))</f>
        <v/>
      </c>
      <c r="AM479" s="91" t="str">
        <f aca="false">IF(ISBLANK($C479),"",IF($Z479=Constants!$B$7,RANK(AL479,$AL$8:$AL$507),$Z479))</f>
        <v/>
      </c>
      <c r="AN479" s="91" t="str">
        <f aca="false">IF(ISBLANK($C479),"",IF($Z479=Constants!$B$7,IF(ISNUMBER(AK479),COUNTIFS($AK$8:$AK$507,"&lt;"&amp;$AK479)+COUNTIFS($AK$8:$AK$507,$AK479,$AM$8:$AM$507,"&lt;"&amp;$AM479)+1,Constants!$B$14),$Z479))</f>
        <v/>
      </c>
      <c r="AO479" s="91" t="str">
        <f aca="false">IF(ISBLANK($C479),"",IF($Z479=Constants!$B$7,IF(ISNUMBER(AK479),AK479-AN479,Constants!$B$14),$Z479))</f>
        <v/>
      </c>
      <c r="AP479" s="92"/>
      <c r="AQ479" s="93" t="str">
        <f aca="false">IF(ISBLANK($C479),"",IF($Z479&lt;&gt;Constants!$B$7,"",AH479))</f>
        <v/>
      </c>
      <c r="AR479" s="94" t="str">
        <f aca="false">IF(ISBLANK($C479),"",IF($Z479&lt;&gt;Constants!$B$7,"",IF(AH479=1,AB479,AE479)))</f>
        <v/>
      </c>
      <c r="AS479" s="95" t="str">
        <f aca="false">IF(ISBLANK($C479),"",IF($Z479&lt;&gt;Constants!$B$7,"",IF(AH479=1,AC479,AF479)))</f>
        <v/>
      </c>
      <c r="AT479" s="96" t="str">
        <f aca="false">IF(ISBLANK($C479),"",IF($Z479&lt;&gt;Constants!$B$7,$Z479,AJ479))</f>
        <v/>
      </c>
      <c r="AU479" s="97" t="str">
        <f aca="false">IF(ISBLANK($C479),"",IF($Z479&lt;&gt;Constants!$B$7,$Z479,AA479))</f>
        <v/>
      </c>
      <c r="AV479" s="98" t="str">
        <f aca="false">IF(ISBLANK($C479),"",AO479)</f>
        <v/>
      </c>
      <c r="AW479" s="98" t="str">
        <f aca="false">IF(ISBLANK($C479),"",AN479)</f>
        <v/>
      </c>
      <c r="AX479" s="99" t="str">
        <f aca="false">IF(ISBLANK($C479),"",IFERROR(_xlfn.SWITCH(AW479,Constants!$B$4,COUNTA($C$8:$C$507)+2,Constants!$B$5,COUNTA($C$8:$C$507)+1,Constants!$B$6,COUNTA($C$8:$C$507)),AW479))</f>
        <v/>
      </c>
      <c r="AY479" s="5"/>
      <c r="AZ479" s="100" t="n">
        <f aca="false">IF(OR(ISNUMBER(AW479),AW479=Constants!$B$4,AW479=Constants!$B$6,AW479=Constants!$B$5),1,0)</f>
        <v>0</v>
      </c>
      <c r="BA479" s="100" t="n">
        <v>472</v>
      </c>
      <c r="BB479" s="100" t="str">
        <f aca="false">IF(ISBLANK($C479),"",IF(ISNUMBER(AX479),AX479+ROW($B479)/1000,""))</f>
        <v/>
      </c>
      <c r="BC479" s="100" t="str">
        <f aca="false">IF(ISNUMBER(BB479),RANK(BB479,$BB$8:$BB$507,1),"")</f>
        <v/>
      </c>
      <c r="BD479" s="100" t="str">
        <f aca="false">IF(ISBLANK($C479),"",$B479)</f>
        <v/>
      </c>
      <c r="BE479" s="100" t="str">
        <f aca="false">IF(ISBLANK($C479),"",$C479)</f>
        <v/>
      </c>
      <c r="BF479" s="100" t="str">
        <f aca="false">IF(ISBLANK($C479),"",$D479)</f>
        <v/>
      </c>
      <c r="BG479" s="101" t="str">
        <f aca="false">AU479</f>
        <v/>
      </c>
      <c r="BH479" s="102" t="str">
        <f aca="false">AT479</f>
        <v/>
      </c>
      <c r="BI479" s="100" t="str">
        <f aca="false">IF(ISBLANK($C479),"",AW479)</f>
        <v/>
      </c>
      <c r="BJ479" s="103" t="str">
        <f aca="false">IF($BA479&gt;$AZ$7,"",VLOOKUP($BA479,$BC$8:$BI$507,7,FALSE()))</f>
        <v/>
      </c>
      <c r="BK479" s="104" t="str">
        <f aca="false">IF($BA479&gt;$AZ$7,"",VLOOKUP($BA479,$BC$8:$BI$507,2,FALSE()))</f>
        <v/>
      </c>
      <c r="BL479" s="104" t="str">
        <f aca="false">IF($BA479&gt;$AZ$7,"",VLOOKUP($BA479,$BC$8:$BI$507,3,FALSE()))</f>
        <v/>
      </c>
      <c r="BM479" s="104" t="str">
        <f aca="false">IF($BA479&gt;$AZ$7,"",VLOOKUP($BA479,$BC$8:$BI$507,4,FALSE()))</f>
        <v/>
      </c>
      <c r="BN479" s="104" t="str">
        <f aca="false">IF($BA479&gt;$AZ$7,"",VLOOKUP($BA479,$BC$8:$BI$507,5,FALSE()))</f>
        <v/>
      </c>
      <c r="BO479" s="105" t="str">
        <f aca="false">IF($BA479&gt;$AZ$7,"",VLOOKUP($BA479,$BC$8:$BI$507,6,FALSE()))</f>
        <v/>
      </c>
      <c r="BP479" s="52"/>
    </row>
    <row r="480" customFormat="false" ht="15.75" hidden="false" customHeight="false" outlineLevel="0" collapsed="false">
      <c r="A480" s="5"/>
      <c r="B480" s="114"/>
      <c r="C480" s="115"/>
      <c r="D480" s="106"/>
      <c r="E480" s="117"/>
      <c r="F480" s="87"/>
      <c r="G480" s="88"/>
      <c r="H480" s="88"/>
      <c r="I480" s="87"/>
      <c r="J480" s="88"/>
      <c r="K480" s="88"/>
      <c r="L480" s="87"/>
      <c r="M480" s="117"/>
      <c r="N480" s="90"/>
      <c r="O480" s="91" t="str">
        <f aca="false">IF(ISBLANK($C480),"",IF(E480=Constants!$B$2, TRUE(), IF(E480=Constants!$B$3, FALSE(), TRUE())))</f>
        <v/>
      </c>
      <c r="P480" s="91" t="str">
        <f aca="false">IF(ISBLANK($C480),"",IF(F480=Constants!$B$16,Constants!$B$9,IF(F480=Constants!$B$17,Constants!$B$10,Constants!$B$8)))</f>
        <v/>
      </c>
      <c r="Q480" s="91" t="str">
        <f aca="false">IF(ISBLANK($C480),"",IF(ISNUMBER(G480),IF(G480&gt;=0,G480,""),""))</f>
        <v/>
      </c>
      <c r="R480" s="91" t="str">
        <f aca="false">IF(ISBLANK($C480),"",IF(H480=Constants!$B$2, TRUE(), IF(H480=Constants!$B$3, FALSE(), TRUE())))</f>
        <v/>
      </c>
      <c r="S480" s="91" t="str">
        <f aca="false">IF(ISBLANK($C480),"",IF(I480=Constants!$B$2, TRUE(), IF(I480=Constants!$B$3, FALSE(), TRUE())))</f>
        <v/>
      </c>
      <c r="T480" s="91" t="str">
        <f aca="false">IF(ISBLANK($C480),"",IF(ISNUMBER(J480),IF(J480&gt;=0,J480,""),""))</f>
        <v/>
      </c>
      <c r="U480" s="91" t="str">
        <f aca="false">IF(ISBLANK($C480),"",IF(K480=Constants!$B$2, TRUE(), IF(K480=Constants!$B$3, FALSE(), TRUE())))</f>
        <v/>
      </c>
      <c r="V480" s="91" t="str">
        <f aca="false">IF(ISBLANK($C480),"",IF(L480=Constants!$B$2, TRUE(), IF(L480=Constants!$B$3, FALSE(), TRUE())))</f>
        <v/>
      </c>
      <c r="W480" s="91" t="str">
        <f aca="false">IF(ISBLANK($C480),"",IF(M480=Constants!$B$2, TRUE(), IF(M480=Constants!$B$3, FALSE(), FALSE())))</f>
        <v/>
      </c>
      <c r="X480" s="91" t="str">
        <f aca="false">IF(ISBLANK($C480),"",AND(Q480&lt;&gt;"",O480))</f>
        <v/>
      </c>
      <c r="Y480" s="91" t="str">
        <f aca="false">IF(ISBLANK($C480),"",AND(T480&lt;&gt;"",O480))</f>
        <v/>
      </c>
      <c r="Z480" s="91" t="str">
        <f aca="false">IF(ISBLANK($C480),"",IF(W480,Constants!$B$4,IF(COUNTA(E480:L480)=0,Constants!$B$5,IF(NOT(O480),Constants!$B$6,IF(AND(NOT(X480),NOT(Y480)),Constants!$B$6,Constants!$B$7)))))</f>
        <v/>
      </c>
      <c r="AA480" s="91" t="str">
        <f aca="false">IF(ISBLANK($C480),"",IF($Z480&lt;&gt;Constants!$B$7,$Z480,Constants!$B$20))</f>
        <v/>
      </c>
      <c r="AB480" s="91" t="str">
        <f aca="false">IF($Z480=Constants!$B$7,IF(X480,Q480,Constants!$B$13),"")</f>
        <v/>
      </c>
      <c r="AC480" s="91" t="str">
        <f aca="false">IF($Z480=Constants!$B$7,IF(X480,P480*IF(R480, 1, Constants!$B$11)*IF(S480, 1, Constants!$B$12),Constants!$B$13),"")</f>
        <v/>
      </c>
      <c r="AD480" s="91" t="str">
        <f aca="false">IF($Z480=Constants!$B$7,AB480*AC480,"")</f>
        <v/>
      </c>
      <c r="AE480" s="91" t="str">
        <f aca="false">IF($Z480=Constants!$B$7,IF(Y480,T480,Constants!$B$13),"")</f>
        <v/>
      </c>
      <c r="AF480" s="91" t="str">
        <f aca="false">IF($Z480=Constants!$B$7,IF(Y480,P480*IF(U480, 1, Constants!$B$11)*IF(V480, 1, Constants!$B$12),Constants!$B$13),"")</f>
        <v/>
      </c>
      <c r="AG480" s="91" t="str">
        <f aca="false">IF($Z480=Constants!$B$7,AE480*AF480,"")</f>
        <v/>
      </c>
      <c r="AH480" s="91" t="str">
        <f aca="false">IF($Z480=Constants!$B$7,IF(AG480&gt;AD480,2,1),"")</f>
        <v/>
      </c>
      <c r="AI480" s="91" t="str">
        <f aca="false">IF($Z480=Constants!$B$7,IF(AH480=1,2,1),"")</f>
        <v/>
      </c>
      <c r="AJ480" s="91" t="str">
        <f aca="false">IF(ISBLANK($C480),"",IF($Z480&lt;&gt;Constants!$B$7,$Z480,IF(AH480=1,AD480,AG480)))</f>
        <v/>
      </c>
      <c r="AK480" s="91" t="str">
        <f aca="false">IF(ISBLANK($C480),"",IF($Z480=Constants!$B$7,IF(ISNUMBER(AJ480),RANK(AJ480,$AJ$8:$AJ$507),Constants!$B$14),$Z480))</f>
        <v/>
      </c>
      <c r="AL480" s="91" t="str">
        <f aca="false">IF(ISBLANK($C480),"",IF($Z480=Constants!$B$7,IF(AI480=1,AD480,AG480),""))</f>
        <v/>
      </c>
      <c r="AM480" s="91" t="str">
        <f aca="false">IF(ISBLANK($C480),"",IF($Z480=Constants!$B$7,RANK(AL480,$AL$8:$AL$507),$Z480))</f>
        <v/>
      </c>
      <c r="AN480" s="91" t="str">
        <f aca="false">IF(ISBLANK($C480),"",IF($Z480=Constants!$B$7,IF(ISNUMBER(AK480),COUNTIFS($AK$8:$AK$507,"&lt;"&amp;$AK480)+COUNTIFS($AK$8:$AK$507,$AK480,$AM$8:$AM$507,"&lt;"&amp;$AM480)+1,Constants!$B$14),$Z480))</f>
        <v/>
      </c>
      <c r="AO480" s="91" t="str">
        <f aca="false">IF(ISBLANK($C480),"",IF($Z480=Constants!$B$7,IF(ISNUMBER(AK480),AK480-AN480,Constants!$B$14),$Z480))</f>
        <v/>
      </c>
      <c r="AP480" s="92"/>
      <c r="AQ480" s="93" t="str">
        <f aca="false">IF(ISBLANK($C480),"",IF($Z480&lt;&gt;Constants!$B$7,"",AH480))</f>
        <v/>
      </c>
      <c r="AR480" s="94" t="str">
        <f aca="false">IF(ISBLANK($C480),"",IF($Z480&lt;&gt;Constants!$B$7,"",IF(AH480=1,AB480,AE480)))</f>
        <v/>
      </c>
      <c r="AS480" s="95" t="str">
        <f aca="false">IF(ISBLANK($C480),"",IF($Z480&lt;&gt;Constants!$B$7,"",IF(AH480=1,AC480,AF480)))</f>
        <v/>
      </c>
      <c r="AT480" s="96" t="str">
        <f aca="false">IF(ISBLANK($C480),"",IF($Z480&lt;&gt;Constants!$B$7,$Z480,AJ480))</f>
        <v/>
      </c>
      <c r="AU480" s="97" t="str">
        <f aca="false">IF(ISBLANK($C480),"",IF($Z480&lt;&gt;Constants!$B$7,$Z480,AA480))</f>
        <v/>
      </c>
      <c r="AV480" s="98" t="str">
        <f aca="false">IF(ISBLANK($C480),"",AO480)</f>
        <v/>
      </c>
      <c r="AW480" s="98" t="str">
        <f aca="false">IF(ISBLANK($C480),"",AN480)</f>
        <v/>
      </c>
      <c r="AX480" s="99" t="str">
        <f aca="false">IF(ISBLANK($C480),"",IFERROR(_xlfn.SWITCH(AW480,Constants!$B$4,COUNTA($C$8:$C$507)+2,Constants!$B$5,COUNTA($C$8:$C$507)+1,Constants!$B$6,COUNTA($C$8:$C$507)),AW480))</f>
        <v/>
      </c>
      <c r="AY480" s="5"/>
      <c r="AZ480" s="100" t="n">
        <f aca="false">IF(OR(ISNUMBER(AW480),AW480=Constants!$B$4,AW480=Constants!$B$6,AW480=Constants!$B$5),1,0)</f>
        <v>0</v>
      </c>
      <c r="BA480" s="100" t="n">
        <v>473</v>
      </c>
      <c r="BB480" s="100" t="str">
        <f aca="false">IF(ISBLANK($C480),"",IF(ISNUMBER(AX480),AX480+ROW($B480)/1000,""))</f>
        <v/>
      </c>
      <c r="BC480" s="100" t="str">
        <f aca="false">IF(ISNUMBER(BB480),RANK(BB480,$BB$8:$BB$507,1),"")</f>
        <v/>
      </c>
      <c r="BD480" s="100" t="str">
        <f aca="false">IF(ISBLANK($C480),"",$B480)</f>
        <v/>
      </c>
      <c r="BE480" s="100" t="str">
        <f aca="false">IF(ISBLANK($C480),"",$C480)</f>
        <v/>
      </c>
      <c r="BF480" s="100" t="str">
        <f aca="false">IF(ISBLANK($C480),"",$D480)</f>
        <v/>
      </c>
      <c r="BG480" s="101" t="str">
        <f aca="false">AU480</f>
        <v/>
      </c>
      <c r="BH480" s="102" t="str">
        <f aca="false">AT480</f>
        <v/>
      </c>
      <c r="BI480" s="100" t="str">
        <f aca="false">IF(ISBLANK($C480),"",AW480)</f>
        <v/>
      </c>
      <c r="BJ480" s="103" t="str">
        <f aca="false">IF($BA480&gt;$AZ$7,"",VLOOKUP($BA480,$BC$8:$BI$507,7,FALSE()))</f>
        <v/>
      </c>
      <c r="BK480" s="104" t="str">
        <f aca="false">IF($BA480&gt;$AZ$7,"",VLOOKUP($BA480,$BC$8:$BI$507,2,FALSE()))</f>
        <v/>
      </c>
      <c r="BL480" s="104" t="str">
        <f aca="false">IF($BA480&gt;$AZ$7,"",VLOOKUP($BA480,$BC$8:$BI$507,3,FALSE()))</f>
        <v/>
      </c>
      <c r="BM480" s="104" t="str">
        <f aca="false">IF($BA480&gt;$AZ$7,"",VLOOKUP($BA480,$BC$8:$BI$507,4,FALSE()))</f>
        <v/>
      </c>
      <c r="BN480" s="104" t="str">
        <f aca="false">IF($BA480&gt;$AZ$7,"",VLOOKUP($BA480,$BC$8:$BI$507,5,FALSE()))</f>
        <v/>
      </c>
      <c r="BO480" s="105" t="str">
        <f aca="false">IF($BA480&gt;$AZ$7,"",VLOOKUP($BA480,$BC$8:$BI$507,6,FALSE()))</f>
        <v/>
      </c>
      <c r="BP480" s="52"/>
    </row>
    <row r="481" customFormat="false" ht="15.75" hidden="false" customHeight="false" outlineLevel="0" collapsed="false">
      <c r="A481" s="5"/>
      <c r="B481" s="114"/>
      <c r="C481" s="115"/>
      <c r="D481" s="106"/>
      <c r="E481" s="117"/>
      <c r="F481" s="87"/>
      <c r="G481" s="88"/>
      <c r="H481" s="88"/>
      <c r="I481" s="87"/>
      <c r="J481" s="88"/>
      <c r="K481" s="88"/>
      <c r="L481" s="87"/>
      <c r="M481" s="117"/>
      <c r="N481" s="90"/>
      <c r="O481" s="91" t="str">
        <f aca="false">IF(ISBLANK($C481),"",IF(E481=Constants!$B$2, TRUE(), IF(E481=Constants!$B$3, FALSE(), TRUE())))</f>
        <v/>
      </c>
      <c r="P481" s="91" t="str">
        <f aca="false">IF(ISBLANK($C481),"",IF(F481=Constants!$B$16,Constants!$B$9,IF(F481=Constants!$B$17,Constants!$B$10,Constants!$B$8)))</f>
        <v/>
      </c>
      <c r="Q481" s="91" t="str">
        <f aca="false">IF(ISBLANK($C481),"",IF(ISNUMBER(G481),IF(G481&gt;=0,G481,""),""))</f>
        <v/>
      </c>
      <c r="R481" s="91" t="str">
        <f aca="false">IF(ISBLANK($C481),"",IF(H481=Constants!$B$2, TRUE(), IF(H481=Constants!$B$3, FALSE(), TRUE())))</f>
        <v/>
      </c>
      <c r="S481" s="91" t="str">
        <f aca="false">IF(ISBLANK($C481),"",IF(I481=Constants!$B$2, TRUE(), IF(I481=Constants!$B$3, FALSE(), TRUE())))</f>
        <v/>
      </c>
      <c r="T481" s="91" t="str">
        <f aca="false">IF(ISBLANK($C481),"",IF(ISNUMBER(J481),IF(J481&gt;=0,J481,""),""))</f>
        <v/>
      </c>
      <c r="U481" s="91" t="str">
        <f aca="false">IF(ISBLANK($C481),"",IF(K481=Constants!$B$2, TRUE(), IF(K481=Constants!$B$3, FALSE(), TRUE())))</f>
        <v/>
      </c>
      <c r="V481" s="91" t="str">
        <f aca="false">IF(ISBLANK($C481),"",IF(L481=Constants!$B$2, TRUE(), IF(L481=Constants!$B$3, FALSE(), TRUE())))</f>
        <v/>
      </c>
      <c r="W481" s="91" t="str">
        <f aca="false">IF(ISBLANK($C481),"",IF(M481=Constants!$B$2, TRUE(), IF(M481=Constants!$B$3, FALSE(), FALSE())))</f>
        <v/>
      </c>
      <c r="X481" s="91" t="str">
        <f aca="false">IF(ISBLANK($C481),"",AND(Q481&lt;&gt;"",O481))</f>
        <v/>
      </c>
      <c r="Y481" s="91" t="str">
        <f aca="false">IF(ISBLANK($C481),"",AND(T481&lt;&gt;"",O481))</f>
        <v/>
      </c>
      <c r="Z481" s="91" t="str">
        <f aca="false">IF(ISBLANK($C481),"",IF(W481,Constants!$B$4,IF(COUNTA(E481:L481)=0,Constants!$B$5,IF(NOT(O481),Constants!$B$6,IF(AND(NOT(X481),NOT(Y481)),Constants!$B$6,Constants!$B$7)))))</f>
        <v/>
      </c>
      <c r="AA481" s="91" t="str">
        <f aca="false">IF(ISBLANK($C481),"",IF($Z481&lt;&gt;Constants!$B$7,$Z481,Constants!$B$20))</f>
        <v/>
      </c>
      <c r="AB481" s="91" t="str">
        <f aca="false">IF($Z481=Constants!$B$7,IF(X481,Q481,Constants!$B$13),"")</f>
        <v/>
      </c>
      <c r="AC481" s="91" t="str">
        <f aca="false">IF($Z481=Constants!$B$7,IF(X481,P481*IF(R481, 1, Constants!$B$11)*IF(S481, 1, Constants!$B$12),Constants!$B$13),"")</f>
        <v/>
      </c>
      <c r="AD481" s="91" t="str">
        <f aca="false">IF($Z481=Constants!$B$7,AB481*AC481,"")</f>
        <v/>
      </c>
      <c r="AE481" s="91" t="str">
        <f aca="false">IF($Z481=Constants!$B$7,IF(Y481,T481,Constants!$B$13),"")</f>
        <v/>
      </c>
      <c r="AF481" s="91" t="str">
        <f aca="false">IF($Z481=Constants!$B$7,IF(Y481,P481*IF(U481, 1, Constants!$B$11)*IF(V481, 1, Constants!$B$12),Constants!$B$13),"")</f>
        <v/>
      </c>
      <c r="AG481" s="91" t="str">
        <f aca="false">IF($Z481=Constants!$B$7,AE481*AF481,"")</f>
        <v/>
      </c>
      <c r="AH481" s="91" t="str">
        <f aca="false">IF($Z481=Constants!$B$7,IF(AG481&gt;AD481,2,1),"")</f>
        <v/>
      </c>
      <c r="AI481" s="91" t="str">
        <f aca="false">IF($Z481=Constants!$B$7,IF(AH481=1,2,1),"")</f>
        <v/>
      </c>
      <c r="AJ481" s="91" t="str">
        <f aca="false">IF(ISBLANK($C481),"",IF($Z481&lt;&gt;Constants!$B$7,$Z481,IF(AH481=1,AD481,AG481)))</f>
        <v/>
      </c>
      <c r="AK481" s="91" t="str">
        <f aca="false">IF(ISBLANK($C481),"",IF($Z481=Constants!$B$7,IF(ISNUMBER(AJ481),RANK(AJ481,$AJ$8:$AJ$507),Constants!$B$14),$Z481))</f>
        <v/>
      </c>
      <c r="AL481" s="91" t="str">
        <f aca="false">IF(ISBLANK($C481),"",IF($Z481=Constants!$B$7,IF(AI481=1,AD481,AG481),""))</f>
        <v/>
      </c>
      <c r="AM481" s="91" t="str">
        <f aca="false">IF(ISBLANK($C481),"",IF($Z481=Constants!$B$7,RANK(AL481,$AL$8:$AL$507),$Z481))</f>
        <v/>
      </c>
      <c r="AN481" s="91" t="str">
        <f aca="false">IF(ISBLANK($C481),"",IF($Z481=Constants!$B$7,IF(ISNUMBER(AK481),COUNTIFS($AK$8:$AK$507,"&lt;"&amp;$AK481)+COUNTIFS($AK$8:$AK$507,$AK481,$AM$8:$AM$507,"&lt;"&amp;$AM481)+1,Constants!$B$14),$Z481))</f>
        <v/>
      </c>
      <c r="AO481" s="91" t="str">
        <f aca="false">IF(ISBLANK($C481),"",IF($Z481=Constants!$B$7,IF(ISNUMBER(AK481),AK481-AN481,Constants!$B$14),$Z481))</f>
        <v/>
      </c>
      <c r="AP481" s="92"/>
      <c r="AQ481" s="93" t="str">
        <f aca="false">IF(ISBLANK($C481),"",IF($Z481&lt;&gt;Constants!$B$7,"",AH481))</f>
        <v/>
      </c>
      <c r="AR481" s="94" t="str">
        <f aca="false">IF(ISBLANK($C481),"",IF($Z481&lt;&gt;Constants!$B$7,"",IF(AH481=1,AB481,AE481)))</f>
        <v/>
      </c>
      <c r="AS481" s="95" t="str">
        <f aca="false">IF(ISBLANK($C481),"",IF($Z481&lt;&gt;Constants!$B$7,"",IF(AH481=1,AC481,AF481)))</f>
        <v/>
      </c>
      <c r="AT481" s="96" t="str">
        <f aca="false">IF(ISBLANK($C481),"",IF($Z481&lt;&gt;Constants!$B$7,$Z481,AJ481))</f>
        <v/>
      </c>
      <c r="AU481" s="97" t="str">
        <f aca="false">IF(ISBLANK($C481),"",IF($Z481&lt;&gt;Constants!$B$7,$Z481,AA481))</f>
        <v/>
      </c>
      <c r="AV481" s="98" t="str">
        <f aca="false">IF(ISBLANK($C481),"",AO481)</f>
        <v/>
      </c>
      <c r="AW481" s="98" t="str">
        <f aca="false">IF(ISBLANK($C481),"",AN481)</f>
        <v/>
      </c>
      <c r="AX481" s="99" t="str">
        <f aca="false">IF(ISBLANK($C481),"",IFERROR(_xlfn.SWITCH(AW481,Constants!$B$4,COUNTA($C$8:$C$507)+2,Constants!$B$5,COUNTA($C$8:$C$507)+1,Constants!$B$6,COUNTA($C$8:$C$507)),AW481))</f>
        <v/>
      </c>
      <c r="AY481" s="5"/>
      <c r="AZ481" s="100" t="n">
        <f aca="false">IF(OR(ISNUMBER(AW481),AW481=Constants!$B$4,AW481=Constants!$B$6,AW481=Constants!$B$5),1,0)</f>
        <v>0</v>
      </c>
      <c r="BA481" s="100" t="n">
        <v>474</v>
      </c>
      <c r="BB481" s="100" t="str">
        <f aca="false">IF(ISBLANK($C481),"",IF(ISNUMBER(AX481),AX481+ROW($B481)/1000,""))</f>
        <v/>
      </c>
      <c r="BC481" s="100" t="str">
        <f aca="false">IF(ISNUMBER(BB481),RANK(BB481,$BB$8:$BB$507,1),"")</f>
        <v/>
      </c>
      <c r="BD481" s="100" t="str">
        <f aca="false">IF(ISBLANK($C481),"",$B481)</f>
        <v/>
      </c>
      <c r="BE481" s="100" t="str">
        <f aca="false">IF(ISBLANK($C481),"",$C481)</f>
        <v/>
      </c>
      <c r="BF481" s="100" t="str">
        <f aca="false">IF(ISBLANK($C481),"",$D481)</f>
        <v/>
      </c>
      <c r="BG481" s="101" t="str">
        <f aca="false">AU481</f>
        <v/>
      </c>
      <c r="BH481" s="102" t="str">
        <f aca="false">AT481</f>
        <v/>
      </c>
      <c r="BI481" s="100" t="str">
        <f aca="false">IF(ISBLANK($C481),"",AW481)</f>
        <v/>
      </c>
      <c r="BJ481" s="103" t="str">
        <f aca="false">IF($BA481&gt;$AZ$7,"",VLOOKUP($BA481,$BC$8:$BI$507,7,FALSE()))</f>
        <v/>
      </c>
      <c r="BK481" s="104" t="str">
        <f aca="false">IF($BA481&gt;$AZ$7,"",VLOOKUP($BA481,$BC$8:$BI$507,2,FALSE()))</f>
        <v/>
      </c>
      <c r="BL481" s="104" t="str">
        <f aca="false">IF($BA481&gt;$AZ$7,"",VLOOKUP($BA481,$BC$8:$BI$507,3,FALSE()))</f>
        <v/>
      </c>
      <c r="BM481" s="104" t="str">
        <f aca="false">IF($BA481&gt;$AZ$7,"",VLOOKUP($BA481,$BC$8:$BI$507,4,FALSE()))</f>
        <v/>
      </c>
      <c r="BN481" s="104" t="str">
        <f aca="false">IF($BA481&gt;$AZ$7,"",VLOOKUP($BA481,$BC$8:$BI$507,5,FALSE()))</f>
        <v/>
      </c>
      <c r="BO481" s="105" t="str">
        <f aca="false">IF($BA481&gt;$AZ$7,"",VLOOKUP($BA481,$BC$8:$BI$507,6,FALSE()))</f>
        <v/>
      </c>
      <c r="BP481" s="52"/>
    </row>
    <row r="482" customFormat="false" ht="15.75" hidden="false" customHeight="false" outlineLevel="0" collapsed="false">
      <c r="A482" s="5"/>
      <c r="B482" s="118"/>
      <c r="C482" s="54"/>
      <c r="D482" s="55"/>
      <c r="E482" s="79"/>
      <c r="F482" s="57"/>
      <c r="G482" s="58"/>
      <c r="H482" s="58"/>
      <c r="I482" s="57"/>
      <c r="J482" s="58"/>
      <c r="K482" s="58"/>
      <c r="L482" s="57"/>
      <c r="M482" s="79"/>
      <c r="N482" s="60"/>
      <c r="O482" s="62" t="str">
        <f aca="false">IF(ISBLANK($C482),"",IF(E482=Constants!$B$2, TRUE(), IF(E482=Constants!$B$3, FALSE(), TRUE())))</f>
        <v/>
      </c>
      <c r="P482" s="62" t="str">
        <f aca="false">IF(ISBLANK($C482),"",IF(F482=Constants!$B$16,Constants!$B$9,IF(F482=Constants!$B$17,Constants!$B$10,Constants!$B$8)))</f>
        <v/>
      </c>
      <c r="Q482" s="62" t="str">
        <f aca="false">IF(ISBLANK($C482),"",IF(ISNUMBER(G482),IF(G482&gt;=0,G482,""),""))</f>
        <v/>
      </c>
      <c r="R482" s="62" t="str">
        <f aca="false">IF(ISBLANK($C482),"",IF(H482=Constants!$B$2, TRUE(), IF(H482=Constants!$B$3, FALSE(), TRUE())))</f>
        <v/>
      </c>
      <c r="S482" s="62" t="str">
        <f aca="false">IF(ISBLANK($C482),"",IF(I482=Constants!$B$2, TRUE(), IF(I482=Constants!$B$3, FALSE(), TRUE())))</f>
        <v/>
      </c>
      <c r="T482" s="62" t="str">
        <f aca="false">IF(ISBLANK($C482),"",IF(ISNUMBER(J482),IF(J482&gt;=0,J482,""),""))</f>
        <v/>
      </c>
      <c r="U482" s="62" t="str">
        <f aca="false">IF(ISBLANK($C482),"",IF(K482=Constants!$B$2, TRUE(), IF(K482=Constants!$B$3, FALSE(), TRUE())))</f>
        <v/>
      </c>
      <c r="V482" s="62" t="str">
        <f aca="false">IF(ISBLANK($C482),"",IF(L482=Constants!$B$2, TRUE(), IF(L482=Constants!$B$3, FALSE(), TRUE())))</f>
        <v/>
      </c>
      <c r="W482" s="62" t="str">
        <f aca="false">IF(ISBLANK($C482),"",IF(M482=Constants!$B$2, TRUE(), IF(M482=Constants!$B$3, FALSE(), FALSE())))</f>
        <v/>
      </c>
      <c r="X482" s="62" t="str">
        <f aca="false">IF(ISBLANK($C482),"",AND(Q482&lt;&gt;"",O482))</f>
        <v/>
      </c>
      <c r="Y482" s="62" t="str">
        <f aca="false">IF(ISBLANK($C482),"",AND(T482&lt;&gt;"",O482))</f>
        <v/>
      </c>
      <c r="Z482" s="62" t="str">
        <f aca="false">IF(ISBLANK($C482),"",IF(W482,Constants!$B$4,IF(COUNTA(E482:L482)=0,Constants!$B$5,IF(NOT(O482),Constants!$B$6,IF(AND(NOT(X482),NOT(Y482)),Constants!$B$6,Constants!$B$7)))))</f>
        <v/>
      </c>
      <c r="AA482" s="62" t="str">
        <f aca="false">IF(ISBLANK($C482),"",IF($Z482&lt;&gt;Constants!$B$7,$Z482,Constants!$B$20))</f>
        <v/>
      </c>
      <c r="AB482" s="62" t="str">
        <f aca="false">IF($Z482=Constants!$B$7,IF(X482,Q482,Constants!$B$13),"")</f>
        <v/>
      </c>
      <c r="AC482" s="62" t="str">
        <f aca="false">IF($Z482=Constants!$B$7,IF(X482,P482*IF(R482, 1, Constants!$B$11)*IF(S482, 1, Constants!$B$12),Constants!$B$13),"")</f>
        <v/>
      </c>
      <c r="AD482" s="62" t="str">
        <f aca="false">IF($Z482=Constants!$B$7,AB482*AC482,"")</f>
        <v/>
      </c>
      <c r="AE482" s="62" t="str">
        <f aca="false">IF($Z482=Constants!$B$7,IF(Y482,T482,Constants!$B$13),"")</f>
        <v/>
      </c>
      <c r="AF482" s="62" t="str">
        <f aca="false">IF($Z482=Constants!$B$7,IF(Y482,P482*IF(U482, 1, Constants!$B$11)*IF(V482, 1, Constants!$B$12),Constants!$B$13),"")</f>
        <v/>
      </c>
      <c r="AG482" s="62" t="str">
        <f aca="false">IF($Z482=Constants!$B$7,AE482*AF482,"")</f>
        <v/>
      </c>
      <c r="AH482" s="62" t="str">
        <f aca="false">IF($Z482=Constants!$B$7,IF(AG482&gt;AD482,2,1),"")</f>
        <v/>
      </c>
      <c r="AI482" s="62" t="str">
        <f aca="false">IF($Z482=Constants!$B$7,IF(AH482=1,2,1),"")</f>
        <v/>
      </c>
      <c r="AJ482" s="62" t="str">
        <f aca="false">IF(ISBLANK($C482),"",IF($Z482&lt;&gt;Constants!$B$7,$Z482,IF(AH482=1,AD482,AG482)))</f>
        <v/>
      </c>
      <c r="AK482" s="62" t="str">
        <f aca="false">IF(ISBLANK($C482),"",IF($Z482=Constants!$B$7,IF(ISNUMBER(AJ482),RANK(AJ482,$AJ$8:$AJ$507),Constants!$B$14),$Z482))</f>
        <v/>
      </c>
      <c r="AL482" s="62" t="str">
        <f aca="false">IF(ISBLANK($C482),"",IF($Z482=Constants!$B$7,IF(AI482=1,AD482,AG482),""))</f>
        <v/>
      </c>
      <c r="AM482" s="62" t="str">
        <f aca="false">IF(ISBLANK($C482),"",IF($Z482=Constants!$B$7,RANK(AL482,$AL$8:$AL$507),$Z482))</f>
        <v/>
      </c>
      <c r="AN482" s="62" t="str">
        <f aca="false">IF(ISBLANK($C482),"",IF($Z482=Constants!$B$7,IF(ISNUMBER(AK482),COUNTIFS($AK$8:$AK$507,"&lt;"&amp;$AK482)+COUNTIFS($AK$8:$AK$507,$AK482,$AM$8:$AM$507,"&lt;"&amp;$AM482)+1,Constants!$B$14),$Z482))</f>
        <v/>
      </c>
      <c r="AO482" s="62" t="str">
        <f aca="false">IF(ISBLANK($C482),"",IF($Z482=Constants!$B$7,IF(ISNUMBER(AK482),AK482-AN482,Constants!$B$14),$Z482))</f>
        <v/>
      </c>
      <c r="AP482" s="64"/>
      <c r="AQ482" s="65" t="str">
        <f aca="false">IF(ISBLANK($C482),"",IF($Z482&lt;&gt;Constants!$B$7,"",AH482))</f>
        <v/>
      </c>
      <c r="AR482" s="80" t="str">
        <f aca="false">IF(ISBLANK($C482),"",IF($Z482&lt;&gt;Constants!$B$7,"",IF(AH482=1,AB482,AE482)))</f>
        <v/>
      </c>
      <c r="AS482" s="67" t="str">
        <f aca="false">IF(ISBLANK($C482),"",IF($Z482&lt;&gt;Constants!$B$7,"",IF(AH482=1,AC482,AF482)))</f>
        <v/>
      </c>
      <c r="AT482" s="68" t="str">
        <f aca="false">IF(ISBLANK($C482),"",IF($Z482&lt;&gt;Constants!$B$7,$Z482,AJ482))</f>
        <v/>
      </c>
      <c r="AU482" s="69" t="str">
        <f aca="false">IF(ISBLANK($C482),"",IF($Z482&lt;&gt;Constants!$B$7,$Z482,AA482))</f>
        <v/>
      </c>
      <c r="AV482" s="70" t="str">
        <f aca="false">IF(ISBLANK($C482),"",AO482)</f>
        <v/>
      </c>
      <c r="AW482" s="70" t="str">
        <f aca="false">IF(ISBLANK($C482),"",AN482)</f>
        <v/>
      </c>
      <c r="AX482" s="71" t="str">
        <f aca="false">IF(ISBLANK($C482),"",IFERROR(_xlfn.SWITCH(AW482,Constants!$B$4,COUNTA($C$8:$C$507)+2,Constants!$B$5,COUNTA($C$8:$C$507)+1,Constants!$B$6,COUNTA($C$8:$C$507)),AW482))</f>
        <v/>
      </c>
      <c r="AY482" s="5"/>
      <c r="AZ482" s="72" t="n">
        <f aca="false">IF(OR(ISNUMBER(AW482),AW482=Constants!$B$4,AW482=Constants!$B$6,AW482=Constants!$B$5),1,0)</f>
        <v>0</v>
      </c>
      <c r="BA482" s="72" t="n">
        <v>475</v>
      </c>
      <c r="BB482" s="72" t="str">
        <f aca="false">IF(ISBLANK($C482),"",IF(ISNUMBER(AX482),AX482+ROW($B482)/1000,""))</f>
        <v/>
      </c>
      <c r="BC482" s="72" t="str">
        <f aca="false">IF(ISNUMBER(BB482),RANK(BB482,$BB$8:$BB$507,1),"")</f>
        <v/>
      </c>
      <c r="BD482" s="72" t="str">
        <f aca="false">IF(ISBLANK($C482),"",$B482)</f>
        <v/>
      </c>
      <c r="BE482" s="72" t="str">
        <f aca="false">IF(ISBLANK($C482),"",$C482)</f>
        <v/>
      </c>
      <c r="BF482" s="72" t="str">
        <f aca="false">IF(ISBLANK($C482),"",$D482)</f>
        <v/>
      </c>
      <c r="BG482" s="73" t="str">
        <f aca="false">AU482</f>
        <v/>
      </c>
      <c r="BH482" s="74" t="str">
        <f aca="false">AT482</f>
        <v/>
      </c>
      <c r="BI482" s="72" t="str">
        <f aca="false">IF(ISBLANK($C482),"",AW482)</f>
        <v/>
      </c>
      <c r="BJ482" s="75" t="str">
        <f aca="false">IF($BA482&gt;$AZ$7,"",VLOOKUP($BA482,$BC$8:$BI$507,7,FALSE()))</f>
        <v/>
      </c>
      <c r="BK482" s="76" t="str">
        <f aca="false">IF($BA482&gt;$AZ$7,"",VLOOKUP($BA482,$BC$8:$BI$507,2,FALSE()))</f>
        <v/>
      </c>
      <c r="BL482" s="76" t="str">
        <f aca="false">IF($BA482&gt;$AZ$7,"",VLOOKUP($BA482,$BC$8:$BI$507,3,FALSE()))</f>
        <v/>
      </c>
      <c r="BM482" s="76" t="str">
        <f aca="false">IF($BA482&gt;$AZ$7,"",VLOOKUP($BA482,$BC$8:$BI$507,4,FALSE()))</f>
        <v/>
      </c>
      <c r="BN482" s="76" t="str">
        <f aca="false">IF($BA482&gt;$AZ$7,"",VLOOKUP($BA482,$BC$8:$BI$507,5,FALSE()))</f>
        <v/>
      </c>
      <c r="BO482" s="77" t="str">
        <f aca="false">IF($BA482&gt;$AZ$7,"",VLOOKUP($BA482,$BC$8:$BI$507,6,FALSE()))</f>
        <v/>
      </c>
      <c r="BP482" s="52"/>
    </row>
    <row r="483" customFormat="false" ht="15.75" hidden="false" customHeight="false" outlineLevel="0" collapsed="false">
      <c r="A483" s="5"/>
      <c r="B483" s="118"/>
      <c r="C483" s="54"/>
      <c r="D483" s="55"/>
      <c r="E483" s="79"/>
      <c r="F483" s="57"/>
      <c r="G483" s="58"/>
      <c r="H483" s="58"/>
      <c r="I483" s="57"/>
      <c r="J483" s="58"/>
      <c r="K483" s="58"/>
      <c r="L483" s="57"/>
      <c r="M483" s="79"/>
      <c r="N483" s="60"/>
      <c r="O483" s="62" t="str">
        <f aca="false">IF(ISBLANK($C483),"",IF(E483=Constants!$B$2, TRUE(), IF(E483=Constants!$B$3, FALSE(), TRUE())))</f>
        <v/>
      </c>
      <c r="P483" s="62" t="str">
        <f aca="false">IF(ISBLANK($C483),"",IF(F483=Constants!$B$16,Constants!$B$9,IF(F483=Constants!$B$17,Constants!$B$10,Constants!$B$8)))</f>
        <v/>
      </c>
      <c r="Q483" s="62" t="str">
        <f aca="false">IF(ISBLANK($C483),"",IF(ISNUMBER(G483),IF(G483&gt;=0,G483,""),""))</f>
        <v/>
      </c>
      <c r="R483" s="62" t="str">
        <f aca="false">IF(ISBLANK($C483),"",IF(H483=Constants!$B$2, TRUE(), IF(H483=Constants!$B$3, FALSE(), TRUE())))</f>
        <v/>
      </c>
      <c r="S483" s="62" t="str">
        <f aca="false">IF(ISBLANK($C483),"",IF(I483=Constants!$B$2, TRUE(), IF(I483=Constants!$B$3, FALSE(), TRUE())))</f>
        <v/>
      </c>
      <c r="T483" s="62" t="str">
        <f aca="false">IF(ISBLANK($C483),"",IF(ISNUMBER(J483),IF(J483&gt;=0,J483,""),""))</f>
        <v/>
      </c>
      <c r="U483" s="62" t="str">
        <f aca="false">IF(ISBLANK($C483),"",IF(K483=Constants!$B$2, TRUE(), IF(K483=Constants!$B$3, FALSE(), TRUE())))</f>
        <v/>
      </c>
      <c r="V483" s="62" t="str">
        <f aca="false">IF(ISBLANK($C483),"",IF(L483=Constants!$B$2, TRUE(), IF(L483=Constants!$B$3, FALSE(), TRUE())))</f>
        <v/>
      </c>
      <c r="W483" s="62" t="str">
        <f aca="false">IF(ISBLANK($C483),"",IF(M483=Constants!$B$2, TRUE(), IF(M483=Constants!$B$3, FALSE(), FALSE())))</f>
        <v/>
      </c>
      <c r="X483" s="62" t="str">
        <f aca="false">IF(ISBLANK($C483),"",AND(Q483&lt;&gt;"",O483))</f>
        <v/>
      </c>
      <c r="Y483" s="62" t="str">
        <f aca="false">IF(ISBLANK($C483),"",AND(T483&lt;&gt;"",O483))</f>
        <v/>
      </c>
      <c r="Z483" s="62" t="str">
        <f aca="false">IF(ISBLANK($C483),"",IF(W483,Constants!$B$4,IF(COUNTA(E483:L483)=0,Constants!$B$5,IF(NOT(O483),Constants!$B$6,IF(AND(NOT(X483),NOT(Y483)),Constants!$B$6,Constants!$B$7)))))</f>
        <v/>
      </c>
      <c r="AA483" s="62" t="str">
        <f aca="false">IF(ISBLANK($C483),"",IF($Z483&lt;&gt;Constants!$B$7,$Z483,Constants!$B$20))</f>
        <v/>
      </c>
      <c r="AB483" s="62" t="str">
        <f aca="false">IF($Z483=Constants!$B$7,IF(X483,Q483,Constants!$B$13),"")</f>
        <v/>
      </c>
      <c r="AC483" s="62" t="str">
        <f aca="false">IF($Z483=Constants!$B$7,IF(X483,P483*IF(R483, 1, Constants!$B$11)*IF(S483, 1, Constants!$B$12),Constants!$B$13),"")</f>
        <v/>
      </c>
      <c r="AD483" s="62" t="str">
        <f aca="false">IF($Z483=Constants!$B$7,AB483*AC483,"")</f>
        <v/>
      </c>
      <c r="AE483" s="62" t="str">
        <f aca="false">IF($Z483=Constants!$B$7,IF(Y483,T483,Constants!$B$13),"")</f>
        <v/>
      </c>
      <c r="AF483" s="62" t="str">
        <f aca="false">IF($Z483=Constants!$B$7,IF(Y483,P483*IF(U483, 1, Constants!$B$11)*IF(V483, 1, Constants!$B$12),Constants!$B$13),"")</f>
        <v/>
      </c>
      <c r="AG483" s="62" t="str">
        <f aca="false">IF($Z483=Constants!$B$7,AE483*AF483,"")</f>
        <v/>
      </c>
      <c r="AH483" s="62" t="str">
        <f aca="false">IF($Z483=Constants!$B$7,IF(AG483&gt;AD483,2,1),"")</f>
        <v/>
      </c>
      <c r="AI483" s="62" t="str">
        <f aca="false">IF($Z483=Constants!$B$7,IF(AH483=1,2,1),"")</f>
        <v/>
      </c>
      <c r="AJ483" s="62" t="str">
        <f aca="false">IF(ISBLANK($C483),"",IF($Z483&lt;&gt;Constants!$B$7,$Z483,IF(AH483=1,AD483,AG483)))</f>
        <v/>
      </c>
      <c r="AK483" s="62" t="str">
        <f aca="false">IF(ISBLANK($C483),"",IF($Z483=Constants!$B$7,IF(ISNUMBER(AJ483),RANK(AJ483,$AJ$8:$AJ$507),Constants!$B$14),$Z483))</f>
        <v/>
      </c>
      <c r="AL483" s="62" t="str">
        <f aca="false">IF(ISBLANK($C483),"",IF($Z483=Constants!$B$7,IF(AI483=1,AD483,AG483),""))</f>
        <v/>
      </c>
      <c r="AM483" s="62" t="str">
        <f aca="false">IF(ISBLANK($C483),"",IF($Z483=Constants!$B$7,RANK(AL483,$AL$8:$AL$507),$Z483))</f>
        <v/>
      </c>
      <c r="AN483" s="62" t="str">
        <f aca="false">IF(ISBLANK($C483),"",IF($Z483=Constants!$B$7,IF(ISNUMBER(AK483),COUNTIFS($AK$8:$AK$507,"&lt;"&amp;$AK483)+COUNTIFS($AK$8:$AK$507,$AK483,$AM$8:$AM$507,"&lt;"&amp;$AM483)+1,Constants!$B$14),$Z483))</f>
        <v/>
      </c>
      <c r="AO483" s="62" t="str">
        <f aca="false">IF(ISBLANK($C483),"",IF($Z483=Constants!$B$7,IF(ISNUMBER(AK483),AK483-AN483,Constants!$B$14),$Z483))</f>
        <v/>
      </c>
      <c r="AP483" s="64"/>
      <c r="AQ483" s="65" t="str">
        <f aca="false">IF(ISBLANK($C483),"",IF($Z483&lt;&gt;Constants!$B$7,"",AH483))</f>
        <v/>
      </c>
      <c r="AR483" s="80" t="str">
        <f aca="false">IF(ISBLANK($C483),"",IF($Z483&lt;&gt;Constants!$B$7,"",IF(AH483=1,AB483,AE483)))</f>
        <v/>
      </c>
      <c r="AS483" s="67" t="str">
        <f aca="false">IF(ISBLANK($C483),"",IF($Z483&lt;&gt;Constants!$B$7,"",IF(AH483=1,AC483,AF483)))</f>
        <v/>
      </c>
      <c r="AT483" s="68" t="str">
        <f aca="false">IF(ISBLANK($C483),"",IF($Z483&lt;&gt;Constants!$B$7,$Z483,AJ483))</f>
        <v/>
      </c>
      <c r="AU483" s="69" t="str">
        <f aca="false">IF(ISBLANK($C483),"",IF($Z483&lt;&gt;Constants!$B$7,$Z483,AA483))</f>
        <v/>
      </c>
      <c r="AV483" s="70" t="str">
        <f aca="false">IF(ISBLANK($C483),"",AO483)</f>
        <v/>
      </c>
      <c r="AW483" s="70" t="str">
        <f aca="false">IF(ISBLANK($C483),"",AN483)</f>
        <v/>
      </c>
      <c r="AX483" s="71" t="str">
        <f aca="false">IF(ISBLANK($C483),"",IFERROR(_xlfn.SWITCH(AW483,Constants!$B$4,COUNTA($C$8:$C$507)+2,Constants!$B$5,COUNTA($C$8:$C$507)+1,Constants!$B$6,COUNTA($C$8:$C$507)),AW483))</f>
        <v/>
      </c>
      <c r="AY483" s="5"/>
      <c r="AZ483" s="72" t="n">
        <f aca="false">IF(OR(ISNUMBER(AW483),AW483=Constants!$B$4,AW483=Constants!$B$6,AW483=Constants!$B$5),1,0)</f>
        <v>0</v>
      </c>
      <c r="BA483" s="72" t="n">
        <v>476</v>
      </c>
      <c r="BB483" s="72" t="str">
        <f aca="false">IF(ISBLANK($C483),"",IF(ISNUMBER(AX483),AX483+ROW($B483)/1000,""))</f>
        <v/>
      </c>
      <c r="BC483" s="72" t="str">
        <f aca="false">IF(ISNUMBER(BB483),RANK(BB483,$BB$8:$BB$507,1),"")</f>
        <v/>
      </c>
      <c r="BD483" s="72" t="str">
        <f aca="false">IF(ISBLANK($C483),"",$B483)</f>
        <v/>
      </c>
      <c r="BE483" s="72" t="str">
        <f aca="false">IF(ISBLANK($C483),"",$C483)</f>
        <v/>
      </c>
      <c r="BF483" s="72" t="str">
        <f aca="false">IF(ISBLANK($C483),"",$D483)</f>
        <v/>
      </c>
      <c r="BG483" s="73" t="str">
        <f aca="false">AU483</f>
        <v/>
      </c>
      <c r="BH483" s="74" t="str">
        <f aca="false">AT483</f>
        <v/>
      </c>
      <c r="BI483" s="72" t="str">
        <f aca="false">IF(ISBLANK($C483),"",AW483)</f>
        <v/>
      </c>
      <c r="BJ483" s="75" t="str">
        <f aca="false">IF($BA483&gt;$AZ$7,"",VLOOKUP($BA483,$BC$8:$BI$507,7,FALSE()))</f>
        <v/>
      </c>
      <c r="BK483" s="76" t="str">
        <f aca="false">IF($BA483&gt;$AZ$7,"",VLOOKUP($BA483,$BC$8:$BI$507,2,FALSE()))</f>
        <v/>
      </c>
      <c r="BL483" s="76" t="str">
        <f aca="false">IF($BA483&gt;$AZ$7,"",VLOOKUP($BA483,$BC$8:$BI$507,3,FALSE()))</f>
        <v/>
      </c>
      <c r="BM483" s="76" t="str">
        <f aca="false">IF($BA483&gt;$AZ$7,"",VLOOKUP($BA483,$BC$8:$BI$507,4,FALSE()))</f>
        <v/>
      </c>
      <c r="BN483" s="76" t="str">
        <f aca="false">IF($BA483&gt;$AZ$7,"",VLOOKUP($BA483,$BC$8:$BI$507,5,FALSE()))</f>
        <v/>
      </c>
      <c r="BO483" s="77" t="str">
        <f aca="false">IF($BA483&gt;$AZ$7,"",VLOOKUP($BA483,$BC$8:$BI$507,6,FALSE()))</f>
        <v/>
      </c>
      <c r="BP483" s="52"/>
    </row>
    <row r="484" customFormat="false" ht="15.75" hidden="false" customHeight="false" outlineLevel="0" collapsed="false">
      <c r="A484" s="5"/>
      <c r="B484" s="118"/>
      <c r="C484" s="54"/>
      <c r="D484" s="55"/>
      <c r="E484" s="79"/>
      <c r="F484" s="57"/>
      <c r="G484" s="58"/>
      <c r="H484" s="58"/>
      <c r="I484" s="57"/>
      <c r="J484" s="58"/>
      <c r="K484" s="58"/>
      <c r="L484" s="57"/>
      <c r="M484" s="79"/>
      <c r="N484" s="60"/>
      <c r="O484" s="62" t="str">
        <f aca="false">IF(ISBLANK($C484),"",IF(E484=Constants!$B$2, TRUE(), IF(E484=Constants!$B$3, FALSE(), TRUE())))</f>
        <v/>
      </c>
      <c r="P484" s="62" t="str">
        <f aca="false">IF(ISBLANK($C484),"",IF(F484=Constants!$B$16,Constants!$B$9,IF(F484=Constants!$B$17,Constants!$B$10,Constants!$B$8)))</f>
        <v/>
      </c>
      <c r="Q484" s="62" t="str">
        <f aca="false">IF(ISBLANK($C484),"",IF(ISNUMBER(G484),IF(G484&gt;=0,G484,""),""))</f>
        <v/>
      </c>
      <c r="R484" s="62" t="str">
        <f aca="false">IF(ISBLANK($C484),"",IF(H484=Constants!$B$2, TRUE(), IF(H484=Constants!$B$3, FALSE(), TRUE())))</f>
        <v/>
      </c>
      <c r="S484" s="62" t="str">
        <f aca="false">IF(ISBLANK($C484),"",IF(I484=Constants!$B$2, TRUE(), IF(I484=Constants!$B$3, FALSE(), TRUE())))</f>
        <v/>
      </c>
      <c r="T484" s="62" t="str">
        <f aca="false">IF(ISBLANK($C484),"",IF(ISNUMBER(J484),IF(J484&gt;=0,J484,""),""))</f>
        <v/>
      </c>
      <c r="U484" s="62" t="str">
        <f aca="false">IF(ISBLANK($C484),"",IF(K484=Constants!$B$2, TRUE(), IF(K484=Constants!$B$3, FALSE(), TRUE())))</f>
        <v/>
      </c>
      <c r="V484" s="62" t="str">
        <f aca="false">IF(ISBLANK($C484),"",IF(L484=Constants!$B$2, TRUE(), IF(L484=Constants!$B$3, FALSE(), TRUE())))</f>
        <v/>
      </c>
      <c r="W484" s="62" t="str">
        <f aca="false">IF(ISBLANK($C484),"",IF(M484=Constants!$B$2, TRUE(), IF(M484=Constants!$B$3, FALSE(), FALSE())))</f>
        <v/>
      </c>
      <c r="X484" s="62" t="str">
        <f aca="false">IF(ISBLANK($C484),"",AND(Q484&lt;&gt;"",O484))</f>
        <v/>
      </c>
      <c r="Y484" s="62" t="str">
        <f aca="false">IF(ISBLANK($C484),"",AND(T484&lt;&gt;"",O484))</f>
        <v/>
      </c>
      <c r="Z484" s="62" t="str">
        <f aca="false">IF(ISBLANK($C484),"",IF(W484,Constants!$B$4,IF(COUNTA(E484:L484)=0,Constants!$B$5,IF(NOT(O484),Constants!$B$6,IF(AND(NOT(X484),NOT(Y484)),Constants!$B$6,Constants!$B$7)))))</f>
        <v/>
      </c>
      <c r="AA484" s="62" t="str">
        <f aca="false">IF(ISBLANK($C484),"",IF($Z484&lt;&gt;Constants!$B$7,$Z484,Constants!$B$20))</f>
        <v/>
      </c>
      <c r="AB484" s="62" t="str">
        <f aca="false">IF($Z484=Constants!$B$7,IF(X484,Q484,Constants!$B$13),"")</f>
        <v/>
      </c>
      <c r="AC484" s="62" t="str">
        <f aca="false">IF($Z484=Constants!$B$7,IF(X484,P484*IF(R484, 1, Constants!$B$11)*IF(S484, 1, Constants!$B$12),Constants!$B$13),"")</f>
        <v/>
      </c>
      <c r="AD484" s="62" t="str">
        <f aca="false">IF($Z484=Constants!$B$7,AB484*AC484,"")</f>
        <v/>
      </c>
      <c r="AE484" s="62" t="str">
        <f aca="false">IF($Z484=Constants!$B$7,IF(Y484,T484,Constants!$B$13),"")</f>
        <v/>
      </c>
      <c r="AF484" s="62" t="str">
        <f aca="false">IF($Z484=Constants!$B$7,IF(Y484,P484*IF(U484, 1, Constants!$B$11)*IF(V484, 1, Constants!$B$12),Constants!$B$13),"")</f>
        <v/>
      </c>
      <c r="AG484" s="62" t="str">
        <f aca="false">IF($Z484=Constants!$B$7,AE484*AF484,"")</f>
        <v/>
      </c>
      <c r="AH484" s="62" t="str">
        <f aca="false">IF($Z484=Constants!$B$7,IF(AG484&gt;AD484,2,1),"")</f>
        <v/>
      </c>
      <c r="AI484" s="62" t="str">
        <f aca="false">IF($Z484=Constants!$B$7,IF(AH484=1,2,1),"")</f>
        <v/>
      </c>
      <c r="AJ484" s="62" t="str">
        <f aca="false">IF(ISBLANK($C484),"",IF($Z484&lt;&gt;Constants!$B$7,$Z484,IF(AH484=1,AD484,AG484)))</f>
        <v/>
      </c>
      <c r="AK484" s="62" t="str">
        <f aca="false">IF(ISBLANK($C484),"",IF($Z484=Constants!$B$7,IF(ISNUMBER(AJ484),RANK(AJ484,$AJ$8:$AJ$507),Constants!$B$14),$Z484))</f>
        <v/>
      </c>
      <c r="AL484" s="62" t="str">
        <f aca="false">IF(ISBLANK($C484),"",IF($Z484=Constants!$B$7,IF(AI484=1,AD484,AG484),""))</f>
        <v/>
      </c>
      <c r="AM484" s="62" t="str">
        <f aca="false">IF(ISBLANK($C484),"",IF($Z484=Constants!$B$7,RANK(AL484,$AL$8:$AL$507),$Z484))</f>
        <v/>
      </c>
      <c r="AN484" s="62" t="str">
        <f aca="false">IF(ISBLANK($C484),"",IF($Z484=Constants!$B$7,IF(ISNUMBER(AK484),COUNTIFS($AK$8:$AK$507,"&lt;"&amp;$AK484)+COUNTIFS($AK$8:$AK$507,$AK484,$AM$8:$AM$507,"&lt;"&amp;$AM484)+1,Constants!$B$14),$Z484))</f>
        <v/>
      </c>
      <c r="AO484" s="62" t="str">
        <f aca="false">IF(ISBLANK($C484),"",IF($Z484=Constants!$B$7,IF(ISNUMBER(AK484),AK484-AN484,Constants!$B$14),$Z484))</f>
        <v/>
      </c>
      <c r="AP484" s="64"/>
      <c r="AQ484" s="65" t="str">
        <f aca="false">IF(ISBLANK($C484),"",IF($Z484&lt;&gt;Constants!$B$7,"",AH484))</f>
        <v/>
      </c>
      <c r="AR484" s="80" t="str">
        <f aca="false">IF(ISBLANK($C484),"",IF($Z484&lt;&gt;Constants!$B$7,"",IF(AH484=1,AB484,AE484)))</f>
        <v/>
      </c>
      <c r="AS484" s="67" t="str">
        <f aca="false">IF(ISBLANK($C484),"",IF($Z484&lt;&gt;Constants!$B$7,"",IF(AH484=1,AC484,AF484)))</f>
        <v/>
      </c>
      <c r="AT484" s="68" t="str">
        <f aca="false">IF(ISBLANK($C484),"",IF($Z484&lt;&gt;Constants!$B$7,$Z484,AJ484))</f>
        <v/>
      </c>
      <c r="AU484" s="69" t="str">
        <f aca="false">IF(ISBLANK($C484),"",IF($Z484&lt;&gt;Constants!$B$7,$Z484,AA484))</f>
        <v/>
      </c>
      <c r="AV484" s="70" t="str">
        <f aca="false">IF(ISBLANK($C484),"",AO484)</f>
        <v/>
      </c>
      <c r="AW484" s="70" t="str">
        <f aca="false">IF(ISBLANK($C484),"",AN484)</f>
        <v/>
      </c>
      <c r="AX484" s="71" t="str">
        <f aca="false">IF(ISBLANK($C484),"",IFERROR(_xlfn.SWITCH(AW484,Constants!$B$4,COUNTA($C$8:$C$507)+2,Constants!$B$5,COUNTA($C$8:$C$507)+1,Constants!$B$6,COUNTA($C$8:$C$507)),AW484))</f>
        <v/>
      </c>
      <c r="AY484" s="5"/>
      <c r="AZ484" s="72" t="n">
        <f aca="false">IF(OR(ISNUMBER(AW484),AW484=Constants!$B$4,AW484=Constants!$B$6,AW484=Constants!$B$5),1,0)</f>
        <v>0</v>
      </c>
      <c r="BA484" s="72" t="n">
        <v>477</v>
      </c>
      <c r="BB484" s="72" t="str">
        <f aca="false">IF(ISBLANK($C484),"",IF(ISNUMBER(AX484),AX484+ROW($B484)/1000,""))</f>
        <v/>
      </c>
      <c r="BC484" s="72" t="str">
        <f aca="false">IF(ISNUMBER(BB484),RANK(BB484,$BB$8:$BB$507,1),"")</f>
        <v/>
      </c>
      <c r="BD484" s="72" t="str">
        <f aca="false">IF(ISBLANK($C484),"",$B484)</f>
        <v/>
      </c>
      <c r="BE484" s="72" t="str">
        <f aca="false">IF(ISBLANK($C484),"",$C484)</f>
        <v/>
      </c>
      <c r="BF484" s="72" t="str">
        <f aca="false">IF(ISBLANK($C484),"",$D484)</f>
        <v/>
      </c>
      <c r="BG484" s="73" t="str">
        <f aca="false">AU484</f>
        <v/>
      </c>
      <c r="BH484" s="74" t="str">
        <f aca="false">AT484</f>
        <v/>
      </c>
      <c r="BI484" s="72" t="str">
        <f aca="false">IF(ISBLANK($C484),"",AW484)</f>
        <v/>
      </c>
      <c r="BJ484" s="75" t="str">
        <f aca="false">IF($BA484&gt;$AZ$7,"",VLOOKUP($BA484,$BC$8:$BI$507,7,FALSE()))</f>
        <v/>
      </c>
      <c r="BK484" s="76" t="str">
        <f aca="false">IF($BA484&gt;$AZ$7,"",VLOOKUP($BA484,$BC$8:$BI$507,2,FALSE()))</f>
        <v/>
      </c>
      <c r="BL484" s="76" t="str">
        <f aca="false">IF($BA484&gt;$AZ$7,"",VLOOKUP($BA484,$BC$8:$BI$507,3,FALSE()))</f>
        <v/>
      </c>
      <c r="BM484" s="76" t="str">
        <f aca="false">IF($BA484&gt;$AZ$7,"",VLOOKUP($BA484,$BC$8:$BI$507,4,FALSE()))</f>
        <v/>
      </c>
      <c r="BN484" s="76" t="str">
        <f aca="false">IF($BA484&gt;$AZ$7,"",VLOOKUP($BA484,$BC$8:$BI$507,5,FALSE()))</f>
        <v/>
      </c>
      <c r="BO484" s="77" t="str">
        <f aca="false">IF($BA484&gt;$AZ$7,"",VLOOKUP($BA484,$BC$8:$BI$507,6,FALSE()))</f>
        <v/>
      </c>
      <c r="BP484" s="52"/>
    </row>
    <row r="485" customFormat="false" ht="15.75" hidden="false" customHeight="false" outlineLevel="0" collapsed="false">
      <c r="A485" s="5"/>
      <c r="B485" s="114"/>
      <c r="C485" s="115"/>
      <c r="D485" s="106"/>
      <c r="E485" s="117"/>
      <c r="F485" s="87"/>
      <c r="G485" s="88"/>
      <c r="H485" s="88"/>
      <c r="I485" s="87"/>
      <c r="J485" s="88"/>
      <c r="K485" s="88"/>
      <c r="L485" s="87"/>
      <c r="M485" s="117"/>
      <c r="N485" s="90"/>
      <c r="O485" s="91" t="str">
        <f aca="false">IF(ISBLANK($C485),"",IF(E485=Constants!$B$2, TRUE(), IF(E485=Constants!$B$3, FALSE(), TRUE())))</f>
        <v/>
      </c>
      <c r="P485" s="91" t="str">
        <f aca="false">IF(ISBLANK($C485),"",IF(F485=Constants!$B$16,Constants!$B$9,IF(F485=Constants!$B$17,Constants!$B$10,Constants!$B$8)))</f>
        <v/>
      </c>
      <c r="Q485" s="91" t="str">
        <f aca="false">IF(ISBLANK($C485),"",IF(ISNUMBER(G485),IF(G485&gt;=0,G485,""),""))</f>
        <v/>
      </c>
      <c r="R485" s="91" t="str">
        <f aca="false">IF(ISBLANK($C485),"",IF(H485=Constants!$B$2, TRUE(), IF(H485=Constants!$B$3, FALSE(), TRUE())))</f>
        <v/>
      </c>
      <c r="S485" s="91" t="str">
        <f aca="false">IF(ISBLANK($C485),"",IF(I485=Constants!$B$2, TRUE(), IF(I485=Constants!$B$3, FALSE(), TRUE())))</f>
        <v/>
      </c>
      <c r="T485" s="91" t="str">
        <f aca="false">IF(ISBLANK($C485),"",IF(ISNUMBER(J485),IF(J485&gt;=0,J485,""),""))</f>
        <v/>
      </c>
      <c r="U485" s="91" t="str">
        <f aca="false">IF(ISBLANK($C485),"",IF(K485=Constants!$B$2, TRUE(), IF(K485=Constants!$B$3, FALSE(), TRUE())))</f>
        <v/>
      </c>
      <c r="V485" s="91" t="str">
        <f aca="false">IF(ISBLANK($C485),"",IF(L485=Constants!$B$2, TRUE(), IF(L485=Constants!$B$3, FALSE(), TRUE())))</f>
        <v/>
      </c>
      <c r="W485" s="91" t="str">
        <f aca="false">IF(ISBLANK($C485),"",IF(M485=Constants!$B$2, TRUE(), IF(M485=Constants!$B$3, FALSE(), FALSE())))</f>
        <v/>
      </c>
      <c r="X485" s="91" t="str">
        <f aca="false">IF(ISBLANK($C485),"",AND(Q485&lt;&gt;"",O485))</f>
        <v/>
      </c>
      <c r="Y485" s="91" t="str">
        <f aca="false">IF(ISBLANK($C485),"",AND(T485&lt;&gt;"",O485))</f>
        <v/>
      </c>
      <c r="Z485" s="91" t="str">
        <f aca="false">IF(ISBLANK($C485),"",IF(W485,Constants!$B$4,IF(COUNTA(E485:L485)=0,Constants!$B$5,IF(NOT(O485),Constants!$B$6,IF(AND(NOT(X485),NOT(Y485)),Constants!$B$6,Constants!$B$7)))))</f>
        <v/>
      </c>
      <c r="AA485" s="91" t="str">
        <f aca="false">IF(ISBLANK($C485),"",IF($Z485&lt;&gt;Constants!$B$7,$Z485,Constants!$B$20))</f>
        <v/>
      </c>
      <c r="AB485" s="91" t="str">
        <f aca="false">IF($Z485=Constants!$B$7,IF(X485,Q485,Constants!$B$13),"")</f>
        <v/>
      </c>
      <c r="AC485" s="91" t="str">
        <f aca="false">IF($Z485=Constants!$B$7,IF(X485,P485*IF(R485, 1, Constants!$B$11)*IF(S485, 1, Constants!$B$12),Constants!$B$13),"")</f>
        <v/>
      </c>
      <c r="AD485" s="91" t="str">
        <f aca="false">IF($Z485=Constants!$B$7,AB485*AC485,"")</f>
        <v/>
      </c>
      <c r="AE485" s="91" t="str">
        <f aca="false">IF($Z485=Constants!$B$7,IF(Y485,T485,Constants!$B$13),"")</f>
        <v/>
      </c>
      <c r="AF485" s="91" t="str">
        <f aca="false">IF($Z485=Constants!$B$7,IF(Y485,P485*IF(U485, 1, Constants!$B$11)*IF(V485, 1, Constants!$B$12),Constants!$B$13),"")</f>
        <v/>
      </c>
      <c r="AG485" s="91" t="str">
        <f aca="false">IF($Z485=Constants!$B$7,AE485*AF485,"")</f>
        <v/>
      </c>
      <c r="AH485" s="91" t="str">
        <f aca="false">IF($Z485=Constants!$B$7,IF(AG485&gt;AD485,2,1),"")</f>
        <v/>
      </c>
      <c r="AI485" s="91" t="str">
        <f aca="false">IF($Z485=Constants!$B$7,IF(AH485=1,2,1),"")</f>
        <v/>
      </c>
      <c r="AJ485" s="91" t="str">
        <f aca="false">IF(ISBLANK($C485),"",IF($Z485&lt;&gt;Constants!$B$7,$Z485,IF(AH485=1,AD485,AG485)))</f>
        <v/>
      </c>
      <c r="AK485" s="91" t="str">
        <f aca="false">IF(ISBLANK($C485),"",IF($Z485=Constants!$B$7,IF(ISNUMBER(AJ485),RANK(AJ485,$AJ$8:$AJ$507),Constants!$B$14),$Z485))</f>
        <v/>
      </c>
      <c r="AL485" s="91" t="str">
        <f aca="false">IF(ISBLANK($C485),"",IF($Z485=Constants!$B$7,IF(AI485=1,AD485,AG485),""))</f>
        <v/>
      </c>
      <c r="AM485" s="91" t="str">
        <f aca="false">IF(ISBLANK($C485),"",IF($Z485=Constants!$B$7,RANK(AL485,$AL$8:$AL$507),$Z485))</f>
        <v/>
      </c>
      <c r="AN485" s="91" t="str">
        <f aca="false">IF(ISBLANK($C485),"",IF($Z485=Constants!$B$7,IF(ISNUMBER(AK485),COUNTIFS($AK$8:$AK$507,"&lt;"&amp;$AK485)+COUNTIFS($AK$8:$AK$507,$AK485,$AM$8:$AM$507,"&lt;"&amp;$AM485)+1,Constants!$B$14),$Z485))</f>
        <v/>
      </c>
      <c r="AO485" s="91" t="str">
        <f aca="false">IF(ISBLANK($C485),"",IF($Z485=Constants!$B$7,IF(ISNUMBER(AK485),AK485-AN485,Constants!$B$14),$Z485))</f>
        <v/>
      </c>
      <c r="AP485" s="92"/>
      <c r="AQ485" s="93" t="str">
        <f aca="false">IF(ISBLANK($C485),"",IF($Z485&lt;&gt;Constants!$B$7,"",AH485))</f>
        <v/>
      </c>
      <c r="AR485" s="94" t="str">
        <f aca="false">IF(ISBLANK($C485),"",IF($Z485&lt;&gt;Constants!$B$7,"",IF(AH485=1,AB485,AE485)))</f>
        <v/>
      </c>
      <c r="AS485" s="95" t="str">
        <f aca="false">IF(ISBLANK($C485),"",IF($Z485&lt;&gt;Constants!$B$7,"",IF(AH485=1,AC485,AF485)))</f>
        <v/>
      </c>
      <c r="AT485" s="96" t="str">
        <f aca="false">IF(ISBLANK($C485),"",IF($Z485&lt;&gt;Constants!$B$7,$Z485,AJ485))</f>
        <v/>
      </c>
      <c r="AU485" s="97" t="str">
        <f aca="false">IF(ISBLANK($C485),"",IF($Z485&lt;&gt;Constants!$B$7,$Z485,AA485))</f>
        <v/>
      </c>
      <c r="AV485" s="98" t="str">
        <f aca="false">IF(ISBLANK($C485),"",AO485)</f>
        <v/>
      </c>
      <c r="AW485" s="98" t="str">
        <f aca="false">IF(ISBLANK($C485),"",AN485)</f>
        <v/>
      </c>
      <c r="AX485" s="99" t="str">
        <f aca="false">IF(ISBLANK($C485),"",IFERROR(_xlfn.SWITCH(AW485,Constants!$B$4,COUNTA($C$8:$C$507)+2,Constants!$B$5,COUNTA($C$8:$C$507)+1,Constants!$B$6,COUNTA($C$8:$C$507)),AW485))</f>
        <v/>
      </c>
      <c r="AY485" s="5"/>
      <c r="AZ485" s="100" t="n">
        <f aca="false">IF(OR(ISNUMBER(AW485),AW485=Constants!$B$4,AW485=Constants!$B$6,AW485=Constants!$B$5),1,0)</f>
        <v>0</v>
      </c>
      <c r="BA485" s="100" t="n">
        <v>478</v>
      </c>
      <c r="BB485" s="100" t="str">
        <f aca="false">IF(ISBLANK($C485),"",IF(ISNUMBER(AX485),AX485+ROW($B485)/1000,""))</f>
        <v/>
      </c>
      <c r="BC485" s="100" t="str">
        <f aca="false">IF(ISNUMBER(BB485),RANK(BB485,$BB$8:$BB$507,1),"")</f>
        <v/>
      </c>
      <c r="BD485" s="100" t="str">
        <f aca="false">IF(ISBLANK($C485),"",$B485)</f>
        <v/>
      </c>
      <c r="BE485" s="100" t="str">
        <f aca="false">IF(ISBLANK($C485),"",$C485)</f>
        <v/>
      </c>
      <c r="BF485" s="100" t="str">
        <f aca="false">IF(ISBLANK($C485),"",$D485)</f>
        <v/>
      </c>
      <c r="BG485" s="101" t="str">
        <f aca="false">AU485</f>
        <v/>
      </c>
      <c r="BH485" s="102" t="str">
        <f aca="false">AT485</f>
        <v/>
      </c>
      <c r="BI485" s="100" t="str">
        <f aca="false">IF(ISBLANK($C485),"",AW485)</f>
        <v/>
      </c>
      <c r="BJ485" s="103" t="str">
        <f aca="false">IF($BA485&gt;$AZ$7,"",VLOOKUP($BA485,$BC$8:$BI$507,7,FALSE()))</f>
        <v/>
      </c>
      <c r="BK485" s="104" t="str">
        <f aca="false">IF($BA485&gt;$AZ$7,"",VLOOKUP($BA485,$BC$8:$BI$507,2,FALSE()))</f>
        <v/>
      </c>
      <c r="BL485" s="104" t="str">
        <f aca="false">IF($BA485&gt;$AZ$7,"",VLOOKUP($BA485,$BC$8:$BI$507,3,FALSE()))</f>
        <v/>
      </c>
      <c r="BM485" s="104" t="str">
        <f aca="false">IF($BA485&gt;$AZ$7,"",VLOOKUP($BA485,$BC$8:$BI$507,4,FALSE()))</f>
        <v/>
      </c>
      <c r="BN485" s="104" t="str">
        <f aca="false">IF($BA485&gt;$AZ$7,"",VLOOKUP($BA485,$BC$8:$BI$507,5,FALSE()))</f>
        <v/>
      </c>
      <c r="BO485" s="105" t="str">
        <f aca="false">IF($BA485&gt;$AZ$7,"",VLOOKUP($BA485,$BC$8:$BI$507,6,FALSE()))</f>
        <v/>
      </c>
      <c r="BP485" s="52"/>
    </row>
    <row r="486" customFormat="false" ht="15.75" hidden="false" customHeight="false" outlineLevel="0" collapsed="false">
      <c r="A486" s="5"/>
      <c r="B486" s="114"/>
      <c r="C486" s="115"/>
      <c r="D486" s="106"/>
      <c r="E486" s="117"/>
      <c r="F486" s="87"/>
      <c r="G486" s="88"/>
      <c r="H486" s="88"/>
      <c r="I486" s="87"/>
      <c r="J486" s="88"/>
      <c r="K486" s="88"/>
      <c r="L486" s="87"/>
      <c r="M486" s="117"/>
      <c r="N486" s="90"/>
      <c r="O486" s="91" t="str">
        <f aca="false">IF(ISBLANK($C486),"",IF(E486=Constants!$B$2, TRUE(), IF(E486=Constants!$B$3, FALSE(), TRUE())))</f>
        <v/>
      </c>
      <c r="P486" s="91" t="str">
        <f aca="false">IF(ISBLANK($C486),"",IF(F486=Constants!$B$16,Constants!$B$9,IF(F486=Constants!$B$17,Constants!$B$10,Constants!$B$8)))</f>
        <v/>
      </c>
      <c r="Q486" s="91" t="str">
        <f aca="false">IF(ISBLANK($C486),"",IF(ISNUMBER(G486),IF(G486&gt;=0,G486,""),""))</f>
        <v/>
      </c>
      <c r="R486" s="91" t="str">
        <f aca="false">IF(ISBLANK($C486),"",IF(H486=Constants!$B$2, TRUE(), IF(H486=Constants!$B$3, FALSE(), TRUE())))</f>
        <v/>
      </c>
      <c r="S486" s="91" t="str">
        <f aca="false">IF(ISBLANK($C486),"",IF(I486=Constants!$B$2, TRUE(), IF(I486=Constants!$B$3, FALSE(), TRUE())))</f>
        <v/>
      </c>
      <c r="T486" s="91" t="str">
        <f aca="false">IF(ISBLANK($C486),"",IF(ISNUMBER(J486),IF(J486&gt;=0,J486,""),""))</f>
        <v/>
      </c>
      <c r="U486" s="91" t="str">
        <f aca="false">IF(ISBLANK($C486),"",IF(K486=Constants!$B$2, TRUE(), IF(K486=Constants!$B$3, FALSE(), TRUE())))</f>
        <v/>
      </c>
      <c r="V486" s="91" t="str">
        <f aca="false">IF(ISBLANK($C486),"",IF(L486=Constants!$B$2, TRUE(), IF(L486=Constants!$B$3, FALSE(), TRUE())))</f>
        <v/>
      </c>
      <c r="W486" s="91" t="str">
        <f aca="false">IF(ISBLANK($C486),"",IF(M486=Constants!$B$2, TRUE(), IF(M486=Constants!$B$3, FALSE(), FALSE())))</f>
        <v/>
      </c>
      <c r="X486" s="91" t="str">
        <f aca="false">IF(ISBLANK($C486),"",AND(Q486&lt;&gt;"",O486))</f>
        <v/>
      </c>
      <c r="Y486" s="91" t="str">
        <f aca="false">IF(ISBLANK($C486),"",AND(T486&lt;&gt;"",O486))</f>
        <v/>
      </c>
      <c r="Z486" s="91" t="str">
        <f aca="false">IF(ISBLANK($C486),"",IF(W486,Constants!$B$4,IF(COUNTA(E486:L486)=0,Constants!$B$5,IF(NOT(O486),Constants!$B$6,IF(AND(NOT(X486),NOT(Y486)),Constants!$B$6,Constants!$B$7)))))</f>
        <v/>
      </c>
      <c r="AA486" s="91" t="str">
        <f aca="false">IF(ISBLANK($C486),"",IF($Z486&lt;&gt;Constants!$B$7,$Z486,Constants!$B$20))</f>
        <v/>
      </c>
      <c r="AB486" s="91" t="str">
        <f aca="false">IF($Z486=Constants!$B$7,IF(X486,Q486,Constants!$B$13),"")</f>
        <v/>
      </c>
      <c r="AC486" s="91" t="str">
        <f aca="false">IF($Z486=Constants!$B$7,IF(X486,P486*IF(R486, 1, Constants!$B$11)*IF(S486, 1, Constants!$B$12),Constants!$B$13),"")</f>
        <v/>
      </c>
      <c r="AD486" s="91" t="str">
        <f aca="false">IF($Z486=Constants!$B$7,AB486*AC486,"")</f>
        <v/>
      </c>
      <c r="AE486" s="91" t="str">
        <f aca="false">IF($Z486=Constants!$B$7,IF(Y486,T486,Constants!$B$13),"")</f>
        <v/>
      </c>
      <c r="AF486" s="91" t="str">
        <f aca="false">IF($Z486=Constants!$B$7,IF(Y486,P486*IF(U486, 1, Constants!$B$11)*IF(V486, 1, Constants!$B$12),Constants!$B$13),"")</f>
        <v/>
      </c>
      <c r="AG486" s="91" t="str">
        <f aca="false">IF($Z486=Constants!$B$7,AE486*AF486,"")</f>
        <v/>
      </c>
      <c r="AH486" s="91" t="str">
        <f aca="false">IF($Z486=Constants!$B$7,IF(AG486&gt;AD486,2,1),"")</f>
        <v/>
      </c>
      <c r="AI486" s="91" t="str">
        <f aca="false">IF($Z486=Constants!$B$7,IF(AH486=1,2,1),"")</f>
        <v/>
      </c>
      <c r="AJ486" s="91" t="str">
        <f aca="false">IF(ISBLANK($C486),"",IF($Z486&lt;&gt;Constants!$B$7,$Z486,IF(AH486=1,AD486,AG486)))</f>
        <v/>
      </c>
      <c r="AK486" s="91" t="str">
        <f aca="false">IF(ISBLANK($C486),"",IF($Z486=Constants!$B$7,IF(ISNUMBER(AJ486),RANK(AJ486,$AJ$8:$AJ$507),Constants!$B$14),$Z486))</f>
        <v/>
      </c>
      <c r="AL486" s="91" t="str">
        <f aca="false">IF(ISBLANK($C486),"",IF($Z486=Constants!$B$7,IF(AI486=1,AD486,AG486),""))</f>
        <v/>
      </c>
      <c r="AM486" s="91" t="str">
        <f aca="false">IF(ISBLANK($C486),"",IF($Z486=Constants!$B$7,RANK(AL486,$AL$8:$AL$507),$Z486))</f>
        <v/>
      </c>
      <c r="AN486" s="91" t="str">
        <f aca="false">IF(ISBLANK($C486),"",IF($Z486=Constants!$B$7,IF(ISNUMBER(AK486),COUNTIFS($AK$8:$AK$507,"&lt;"&amp;$AK486)+COUNTIFS($AK$8:$AK$507,$AK486,$AM$8:$AM$507,"&lt;"&amp;$AM486)+1,Constants!$B$14),$Z486))</f>
        <v/>
      </c>
      <c r="AO486" s="91" t="str">
        <f aca="false">IF(ISBLANK($C486),"",IF($Z486=Constants!$B$7,IF(ISNUMBER(AK486),AK486-AN486,Constants!$B$14),$Z486))</f>
        <v/>
      </c>
      <c r="AP486" s="92"/>
      <c r="AQ486" s="93" t="str">
        <f aca="false">IF(ISBLANK($C486),"",IF($Z486&lt;&gt;Constants!$B$7,"",AH486))</f>
        <v/>
      </c>
      <c r="AR486" s="94" t="str">
        <f aca="false">IF(ISBLANK($C486),"",IF($Z486&lt;&gt;Constants!$B$7,"",IF(AH486=1,AB486,AE486)))</f>
        <v/>
      </c>
      <c r="AS486" s="95" t="str">
        <f aca="false">IF(ISBLANK($C486),"",IF($Z486&lt;&gt;Constants!$B$7,"",IF(AH486=1,AC486,AF486)))</f>
        <v/>
      </c>
      <c r="AT486" s="96" t="str">
        <f aca="false">IF(ISBLANK($C486),"",IF($Z486&lt;&gt;Constants!$B$7,$Z486,AJ486))</f>
        <v/>
      </c>
      <c r="AU486" s="97" t="str">
        <f aca="false">IF(ISBLANK($C486),"",IF($Z486&lt;&gt;Constants!$B$7,$Z486,AA486))</f>
        <v/>
      </c>
      <c r="AV486" s="98" t="str">
        <f aca="false">IF(ISBLANK($C486),"",AO486)</f>
        <v/>
      </c>
      <c r="AW486" s="98" t="str">
        <f aca="false">IF(ISBLANK($C486),"",AN486)</f>
        <v/>
      </c>
      <c r="AX486" s="99" t="str">
        <f aca="false">IF(ISBLANK($C486),"",IFERROR(_xlfn.SWITCH(AW486,Constants!$B$4,COUNTA($C$8:$C$507)+2,Constants!$B$5,COUNTA($C$8:$C$507)+1,Constants!$B$6,COUNTA($C$8:$C$507)),AW486))</f>
        <v/>
      </c>
      <c r="AY486" s="5"/>
      <c r="AZ486" s="100" t="n">
        <f aca="false">IF(OR(ISNUMBER(AW486),AW486=Constants!$B$4,AW486=Constants!$B$6,AW486=Constants!$B$5),1,0)</f>
        <v>0</v>
      </c>
      <c r="BA486" s="100" t="n">
        <v>479</v>
      </c>
      <c r="BB486" s="100" t="str">
        <f aca="false">IF(ISBLANK($C486),"",IF(ISNUMBER(AX486),AX486+ROW($B486)/1000,""))</f>
        <v/>
      </c>
      <c r="BC486" s="100" t="str">
        <f aca="false">IF(ISNUMBER(BB486),RANK(BB486,$BB$8:$BB$507,1),"")</f>
        <v/>
      </c>
      <c r="BD486" s="100" t="str">
        <f aca="false">IF(ISBLANK($C486),"",$B486)</f>
        <v/>
      </c>
      <c r="BE486" s="100" t="str">
        <f aca="false">IF(ISBLANK($C486),"",$C486)</f>
        <v/>
      </c>
      <c r="BF486" s="100" t="str">
        <f aca="false">IF(ISBLANK($C486),"",$D486)</f>
        <v/>
      </c>
      <c r="BG486" s="101" t="str">
        <f aca="false">AU486</f>
        <v/>
      </c>
      <c r="BH486" s="102" t="str">
        <f aca="false">AT486</f>
        <v/>
      </c>
      <c r="BI486" s="100" t="str">
        <f aca="false">IF(ISBLANK($C486),"",AW486)</f>
        <v/>
      </c>
      <c r="BJ486" s="103" t="str">
        <f aca="false">IF($BA486&gt;$AZ$7,"",VLOOKUP($BA486,$BC$8:$BI$507,7,FALSE()))</f>
        <v/>
      </c>
      <c r="BK486" s="104" t="str">
        <f aca="false">IF($BA486&gt;$AZ$7,"",VLOOKUP($BA486,$BC$8:$BI$507,2,FALSE()))</f>
        <v/>
      </c>
      <c r="BL486" s="104" t="str">
        <f aca="false">IF($BA486&gt;$AZ$7,"",VLOOKUP($BA486,$BC$8:$BI$507,3,FALSE()))</f>
        <v/>
      </c>
      <c r="BM486" s="104" t="str">
        <f aca="false">IF($BA486&gt;$AZ$7,"",VLOOKUP($BA486,$BC$8:$BI$507,4,FALSE()))</f>
        <v/>
      </c>
      <c r="BN486" s="104" t="str">
        <f aca="false">IF($BA486&gt;$AZ$7,"",VLOOKUP($BA486,$BC$8:$BI$507,5,FALSE()))</f>
        <v/>
      </c>
      <c r="BO486" s="105" t="str">
        <f aca="false">IF($BA486&gt;$AZ$7,"",VLOOKUP($BA486,$BC$8:$BI$507,6,FALSE()))</f>
        <v/>
      </c>
      <c r="BP486" s="52"/>
    </row>
    <row r="487" customFormat="false" ht="15.75" hidden="false" customHeight="false" outlineLevel="0" collapsed="false">
      <c r="A487" s="5"/>
      <c r="B487" s="114"/>
      <c r="C487" s="115"/>
      <c r="D487" s="106"/>
      <c r="E487" s="117"/>
      <c r="F487" s="87"/>
      <c r="G487" s="88"/>
      <c r="H487" s="88"/>
      <c r="I487" s="87"/>
      <c r="J487" s="88"/>
      <c r="K487" s="88"/>
      <c r="L487" s="87"/>
      <c r="M487" s="117"/>
      <c r="N487" s="90"/>
      <c r="O487" s="91" t="str">
        <f aca="false">IF(ISBLANK($C487),"",IF(E487=Constants!$B$2, TRUE(), IF(E487=Constants!$B$3, FALSE(), TRUE())))</f>
        <v/>
      </c>
      <c r="P487" s="91" t="str">
        <f aca="false">IF(ISBLANK($C487),"",IF(F487=Constants!$B$16,Constants!$B$9,IF(F487=Constants!$B$17,Constants!$B$10,Constants!$B$8)))</f>
        <v/>
      </c>
      <c r="Q487" s="91" t="str">
        <f aca="false">IF(ISBLANK($C487),"",IF(ISNUMBER(G487),IF(G487&gt;=0,G487,""),""))</f>
        <v/>
      </c>
      <c r="R487" s="91" t="str">
        <f aca="false">IF(ISBLANK($C487),"",IF(H487=Constants!$B$2, TRUE(), IF(H487=Constants!$B$3, FALSE(), TRUE())))</f>
        <v/>
      </c>
      <c r="S487" s="91" t="str">
        <f aca="false">IF(ISBLANK($C487),"",IF(I487=Constants!$B$2, TRUE(), IF(I487=Constants!$B$3, FALSE(), TRUE())))</f>
        <v/>
      </c>
      <c r="T487" s="91" t="str">
        <f aca="false">IF(ISBLANK($C487),"",IF(ISNUMBER(J487),IF(J487&gt;=0,J487,""),""))</f>
        <v/>
      </c>
      <c r="U487" s="91" t="str">
        <f aca="false">IF(ISBLANK($C487),"",IF(K487=Constants!$B$2, TRUE(), IF(K487=Constants!$B$3, FALSE(), TRUE())))</f>
        <v/>
      </c>
      <c r="V487" s="91" t="str">
        <f aca="false">IF(ISBLANK($C487),"",IF(L487=Constants!$B$2, TRUE(), IF(L487=Constants!$B$3, FALSE(), TRUE())))</f>
        <v/>
      </c>
      <c r="W487" s="91" t="str">
        <f aca="false">IF(ISBLANK($C487),"",IF(M487=Constants!$B$2, TRUE(), IF(M487=Constants!$B$3, FALSE(), FALSE())))</f>
        <v/>
      </c>
      <c r="X487" s="91" t="str">
        <f aca="false">IF(ISBLANK($C487),"",AND(Q487&lt;&gt;"",O487))</f>
        <v/>
      </c>
      <c r="Y487" s="91" t="str">
        <f aca="false">IF(ISBLANK($C487),"",AND(T487&lt;&gt;"",O487))</f>
        <v/>
      </c>
      <c r="Z487" s="91" t="str">
        <f aca="false">IF(ISBLANK($C487),"",IF(W487,Constants!$B$4,IF(COUNTA(E487:L487)=0,Constants!$B$5,IF(NOT(O487),Constants!$B$6,IF(AND(NOT(X487),NOT(Y487)),Constants!$B$6,Constants!$B$7)))))</f>
        <v/>
      </c>
      <c r="AA487" s="91" t="str">
        <f aca="false">IF(ISBLANK($C487),"",IF($Z487&lt;&gt;Constants!$B$7,$Z487,Constants!$B$20))</f>
        <v/>
      </c>
      <c r="AB487" s="91" t="str">
        <f aca="false">IF($Z487=Constants!$B$7,IF(X487,Q487,Constants!$B$13),"")</f>
        <v/>
      </c>
      <c r="AC487" s="91" t="str">
        <f aca="false">IF($Z487=Constants!$B$7,IF(X487,P487*IF(R487, 1, Constants!$B$11)*IF(S487, 1, Constants!$B$12),Constants!$B$13),"")</f>
        <v/>
      </c>
      <c r="AD487" s="91" t="str">
        <f aca="false">IF($Z487=Constants!$B$7,AB487*AC487,"")</f>
        <v/>
      </c>
      <c r="AE487" s="91" t="str">
        <f aca="false">IF($Z487=Constants!$B$7,IF(Y487,T487,Constants!$B$13),"")</f>
        <v/>
      </c>
      <c r="AF487" s="91" t="str">
        <f aca="false">IF($Z487=Constants!$B$7,IF(Y487,P487*IF(U487, 1, Constants!$B$11)*IF(V487, 1, Constants!$B$12),Constants!$B$13),"")</f>
        <v/>
      </c>
      <c r="AG487" s="91" t="str">
        <f aca="false">IF($Z487=Constants!$B$7,AE487*AF487,"")</f>
        <v/>
      </c>
      <c r="AH487" s="91" t="str">
        <f aca="false">IF($Z487=Constants!$B$7,IF(AG487&gt;AD487,2,1),"")</f>
        <v/>
      </c>
      <c r="AI487" s="91" t="str">
        <f aca="false">IF($Z487=Constants!$B$7,IF(AH487=1,2,1),"")</f>
        <v/>
      </c>
      <c r="AJ487" s="91" t="str">
        <f aca="false">IF(ISBLANK($C487),"",IF($Z487&lt;&gt;Constants!$B$7,$Z487,IF(AH487=1,AD487,AG487)))</f>
        <v/>
      </c>
      <c r="AK487" s="91" t="str">
        <f aca="false">IF(ISBLANK($C487),"",IF($Z487=Constants!$B$7,IF(ISNUMBER(AJ487),RANK(AJ487,$AJ$8:$AJ$507),Constants!$B$14),$Z487))</f>
        <v/>
      </c>
      <c r="AL487" s="91" t="str">
        <f aca="false">IF(ISBLANK($C487),"",IF($Z487=Constants!$B$7,IF(AI487=1,AD487,AG487),""))</f>
        <v/>
      </c>
      <c r="AM487" s="91" t="str">
        <f aca="false">IF(ISBLANK($C487),"",IF($Z487=Constants!$B$7,RANK(AL487,$AL$8:$AL$507),$Z487))</f>
        <v/>
      </c>
      <c r="AN487" s="91" t="str">
        <f aca="false">IF(ISBLANK($C487),"",IF($Z487=Constants!$B$7,IF(ISNUMBER(AK487),COUNTIFS($AK$8:$AK$507,"&lt;"&amp;$AK487)+COUNTIFS($AK$8:$AK$507,$AK487,$AM$8:$AM$507,"&lt;"&amp;$AM487)+1,Constants!$B$14),$Z487))</f>
        <v/>
      </c>
      <c r="AO487" s="91" t="str">
        <f aca="false">IF(ISBLANK($C487),"",IF($Z487=Constants!$B$7,IF(ISNUMBER(AK487),AK487-AN487,Constants!$B$14),$Z487))</f>
        <v/>
      </c>
      <c r="AP487" s="92"/>
      <c r="AQ487" s="93" t="str">
        <f aca="false">IF(ISBLANK($C487),"",IF($Z487&lt;&gt;Constants!$B$7,"",AH487))</f>
        <v/>
      </c>
      <c r="AR487" s="94" t="str">
        <f aca="false">IF(ISBLANK($C487),"",IF($Z487&lt;&gt;Constants!$B$7,"",IF(AH487=1,AB487,AE487)))</f>
        <v/>
      </c>
      <c r="AS487" s="95" t="str">
        <f aca="false">IF(ISBLANK($C487),"",IF($Z487&lt;&gt;Constants!$B$7,"",IF(AH487=1,AC487,AF487)))</f>
        <v/>
      </c>
      <c r="AT487" s="96" t="str">
        <f aca="false">IF(ISBLANK($C487),"",IF($Z487&lt;&gt;Constants!$B$7,$Z487,AJ487))</f>
        <v/>
      </c>
      <c r="AU487" s="97" t="str">
        <f aca="false">IF(ISBLANK($C487),"",IF($Z487&lt;&gt;Constants!$B$7,$Z487,AA487))</f>
        <v/>
      </c>
      <c r="AV487" s="98" t="str">
        <f aca="false">IF(ISBLANK($C487),"",AO487)</f>
        <v/>
      </c>
      <c r="AW487" s="98" t="str">
        <f aca="false">IF(ISBLANK($C487),"",AN487)</f>
        <v/>
      </c>
      <c r="AX487" s="99" t="str">
        <f aca="false">IF(ISBLANK($C487),"",IFERROR(_xlfn.SWITCH(AW487,Constants!$B$4,COUNTA($C$8:$C$507)+2,Constants!$B$5,COUNTA($C$8:$C$507)+1,Constants!$B$6,COUNTA($C$8:$C$507)),AW487))</f>
        <v/>
      </c>
      <c r="AY487" s="5"/>
      <c r="AZ487" s="100" t="n">
        <f aca="false">IF(OR(ISNUMBER(AW487),AW487=Constants!$B$4,AW487=Constants!$B$6,AW487=Constants!$B$5),1,0)</f>
        <v>0</v>
      </c>
      <c r="BA487" s="100" t="n">
        <v>480</v>
      </c>
      <c r="BB487" s="100" t="str">
        <f aca="false">IF(ISBLANK($C487),"",IF(ISNUMBER(AX487),AX487+ROW($B487)/1000,""))</f>
        <v/>
      </c>
      <c r="BC487" s="100" t="str">
        <f aca="false">IF(ISNUMBER(BB487),RANK(BB487,$BB$8:$BB$507,1),"")</f>
        <v/>
      </c>
      <c r="BD487" s="100" t="str">
        <f aca="false">IF(ISBLANK($C487),"",$B487)</f>
        <v/>
      </c>
      <c r="BE487" s="100" t="str">
        <f aca="false">IF(ISBLANK($C487),"",$C487)</f>
        <v/>
      </c>
      <c r="BF487" s="100" t="str">
        <f aca="false">IF(ISBLANK($C487),"",$D487)</f>
        <v/>
      </c>
      <c r="BG487" s="101" t="str">
        <f aca="false">AU487</f>
        <v/>
      </c>
      <c r="BH487" s="102" t="str">
        <f aca="false">AT487</f>
        <v/>
      </c>
      <c r="BI487" s="100" t="str">
        <f aca="false">IF(ISBLANK($C487),"",AW487)</f>
        <v/>
      </c>
      <c r="BJ487" s="103" t="str">
        <f aca="false">IF($BA487&gt;$AZ$7,"",VLOOKUP($BA487,$BC$8:$BI$507,7,FALSE()))</f>
        <v/>
      </c>
      <c r="BK487" s="104" t="str">
        <f aca="false">IF($BA487&gt;$AZ$7,"",VLOOKUP($BA487,$BC$8:$BI$507,2,FALSE()))</f>
        <v/>
      </c>
      <c r="BL487" s="104" t="str">
        <f aca="false">IF($BA487&gt;$AZ$7,"",VLOOKUP($BA487,$BC$8:$BI$507,3,FALSE()))</f>
        <v/>
      </c>
      <c r="BM487" s="104" t="str">
        <f aca="false">IF($BA487&gt;$AZ$7,"",VLOOKUP($BA487,$BC$8:$BI$507,4,FALSE()))</f>
        <v/>
      </c>
      <c r="BN487" s="104" t="str">
        <f aca="false">IF($BA487&gt;$AZ$7,"",VLOOKUP($BA487,$BC$8:$BI$507,5,FALSE()))</f>
        <v/>
      </c>
      <c r="BO487" s="105" t="str">
        <f aca="false">IF($BA487&gt;$AZ$7,"",VLOOKUP($BA487,$BC$8:$BI$507,6,FALSE()))</f>
        <v/>
      </c>
      <c r="BP487" s="52"/>
    </row>
    <row r="488" customFormat="false" ht="15.75" hidden="false" customHeight="false" outlineLevel="0" collapsed="false">
      <c r="A488" s="5"/>
      <c r="B488" s="118"/>
      <c r="C488" s="54"/>
      <c r="D488" s="55"/>
      <c r="E488" s="79"/>
      <c r="F488" s="57"/>
      <c r="G488" s="58"/>
      <c r="H488" s="58"/>
      <c r="I488" s="57"/>
      <c r="J488" s="58"/>
      <c r="K488" s="58"/>
      <c r="L488" s="57"/>
      <c r="M488" s="79"/>
      <c r="N488" s="60"/>
      <c r="O488" s="62" t="str">
        <f aca="false">IF(ISBLANK($C488),"",IF(E488=Constants!$B$2, TRUE(), IF(E488=Constants!$B$3, FALSE(), TRUE())))</f>
        <v/>
      </c>
      <c r="P488" s="62" t="str">
        <f aca="false">IF(ISBLANK($C488),"",IF(F488=Constants!$B$16,Constants!$B$9,IF(F488=Constants!$B$17,Constants!$B$10,Constants!$B$8)))</f>
        <v/>
      </c>
      <c r="Q488" s="62" t="str">
        <f aca="false">IF(ISBLANK($C488),"",IF(ISNUMBER(G488),IF(G488&gt;=0,G488,""),""))</f>
        <v/>
      </c>
      <c r="R488" s="62" t="str">
        <f aca="false">IF(ISBLANK($C488),"",IF(H488=Constants!$B$2, TRUE(), IF(H488=Constants!$B$3, FALSE(), TRUE())))</f>
        <v/>
      </c>
      <c r="S488" s="62" t="str">
        <f aca="false">IF(ISBLANK($C488),"",IF(I488=Constants!$B$2, TRUE(), IF(I488=Constants!$B$3, FALSE(), TRUE())))</f>
        <v/>
      </c>
      <c r="T488" s="62" t="str">
        <f aca="false">IF(ISBLANK($C488),"",IF(ISNUMBER(J488),IF(J488&gt;=0,J488,""),""))</f>
        <v/>
      </c>
      <c r="U488" s="62" t="str">
        <f aca="false">IF(ISBLANK($C488),"",IF(K488=Constants!$B$2, TRUE(), IF(K488=Constants!$B$3, FALSE(), TRUE())))</f>
        <v/>
      </c>
      <c r="V488" s="62" t="str">
        <f aca="false">IF(ISBLANK($C488),"",IF(L488=Constants!$B$2, TRUE(), IF(L488=Constants!$B$3, FALSE(), TRUE())))</f>
        <v/>
      </c>
      <c r="W488" s="62" t="str">
        <f aca="false">IF(ISBLANK($C488),"",IF(M488=Constants!$B$2, TRUE(), IF(M488=Constants!$B$3, FALSE(), FALSE())))</f>
        <v/>
      </c>
      <c r="X488" s="62" t="str">
        <f aca="false">IF(ISBLANK($C488),"",AND(Q488&lt;&gt;"",O488))</f>
        <v/>
      </c>
      <c r="Y488" s="62" t="str">
        <f aca="false">IF(ISBLANK($C488),"",AND(T488&lt;&gt;"",O488))</f>
        <v/>
      </c>
      <c r="Z488" s="62" t="str">
        <f aca="false">IF(ISBLANK($C488),"",IF(W488,Constants!$B$4,IF(COUNTA(E488:L488)=0,Constants!$B$5,IF(NOT(O488),Constants!$B$6,IF(AND(NOT(X488),NOT(Y488)),Constants!$B$6,Constants!$B$7)))))</f>
        <v/>
      </c>
      <c r="AA488" s="62" t="str">
        <f aca="false">IF(ISBLANK($C488),"",IF($Z488&lt;&gt;Constants!$B$7,$Z488,Constants!$B$20))</f>
        <v/>
      </c>
      <c r="AB488" s="62" t="str">
        <f aca="false">IF($Z488=Constants!$B$7,IF(X488,Q488,Constants!$B$13),"")</f>
        <v/>
      </c>
      <c r="AC488" s="62" t="str">
        <f aca="false">IF($Z488=Constants!$B$7,IF(X488,P488*IF(R488, 1, Constants!$B$11)*IF(S488, 1, Constants!$B$12),Constants!$B$13),"")</f>
        <v/>
      </c>
      <c r="AD488" s="62" t="str">
        <f aca="false">IF($Z488=Constants!$B$7,AB488*AC488,"")</f>
        <v/>
      </c>
      <c r="AE488" s="62" t="str">
        <f aca="false">IF($Z488=Constants!$B$7,IF(Y488,T488,Constants!$B$13),"")</f>
        <v/>
      </c>
      <c r="AF488" s="62" t="str">
        <f aca="false">IF($Z488=Constants!$B$7,IF(Y488,P488*IF(U488, 1, Constants!$B$11)*IF(V488, 1, Constants!$B$12),Constants!$B$13),"")</f>
        <v/>
      </c>
      <c r="AG488" s="62" t="str">
        <f aca="false">IF($Z488=Constants!$B$7,AE488*AF488,"")</f>
        <v/>
      </c>
      <c r="AH488" s="62" t="str">
        <f aca="false">IF($Z488=Constants!$B$7,IF(AG488&gt;AD488,2,1),"")</f>
        <v/>
      </c>
      <c r="AI488" s="62" t="str">
        <f aca="false">IF($Z488=Constants!$B$7,IF(AH488=1,2,1),"")</f>
        <v/>
      </c>
      <c r="AJ488" s="62" t="str">
        <f aca="false">IF(ISBLANK($C488),"",IF($Z488&lt;&gt;Constants!$B$7,$Z488,IF(AH488=1,AD488,AG488)))</f>
        <v/>
      </c>
      <c r="AK488" s="62" t="str">
        <f aca="false">IF(ISBLANK($C488),"",IF($Z488=Constants!$B$7,IF(ISNUMBER(AJ488),RANK(AJ488,$AJ$8:$AJ$507),Constants!$B$14),$Z488))</f>
        <v/>
      </c>
      <c r="AL488" s="62" t="str">
        <f aca="false">IF(ISBLANK($C488),"",IF($Z488=Constants!$B$7,IF(AI488=1,AD488,AG488),""))</f>
        <v/>
      </c>
      <c r="AM488" s="62" t="str">
        <f aca="false">IF(ISBLANK($C488),"",IF($Z488=Constants!$B$7,RANK(AL488,$AL$8:$AL$507),$Z488))</f>
        <v/>
      </c>
      <c r="AN488" s="62" t="str">
        <f aca="false">IF(ISBLANK($C488),"",IF($Z488=Constants!$B$7,IF(ISNUMBER(AK488),COUNTIFS($AK$8:$AK$507,"&lt;"&amp;$AK488)+COUNTIFS($AK$8:$AK$507,$AK488,$AM$8:$AM$507,"&lt;"&amp;$AM488)+1,Constants!$B$14),$Z488))</f>
        <v/>
      </c>
      <c r="AO488" s="62" t="str">
        <f aca="false">IF(ISBLANK($C488),"",IF($Z488=Constants!$B$7,IF(ISNUMBER(AK488),AK488-AN488,Constants!$B$14),$Z488))</f>
        <v/>
      </c>
      <c r="AP488" s="64"/>
      <c r="AQ488" s="65" t="str">
        <f aca="false">IF(ISBLANK($C488),"",IF($Z488&lt;&gt;Constants!$B$7,"",AH488))</f>
        <v/>
      </c>
      <c r="AR488" s="80" t="str">
        <f aca="false">IF(ISBLANK($C488),"",IF($Z488&lt;&gt;Constants!$B$7,"",IF(AH488=1,AB488,AE488)))</f>
        <v/>
      </c>
      <c r="AS488" s="67" t="str">
        <f aca="false">IF(ISBLANK($C488),"",IF($Z488&lt;&gt;Constants!$B$7,"",IF(AH488=1,AC488,AF488)))</f>
        <v/>
      </c>
      <c r="AT488" s="68" t="str">
        <f aca="false">IF(ISBLANK($C488),"",IF($Z488&lt;&gt;Constants!$B$7,$Z488,AJ488))</f>
        <v/>
      </c>
      <c r="AU488" s="69" t="str">
        <f aca="false">IF(ISBLANK($C488),"",IF($Z488&lt;&gt;Constants!$B$7,$Z488,AA488))</f>
        <v/>
      </c>
      <c r="AV488" s="70" t="str">
        <f aca="false">IF(ISBLANK($C488),"",AO488)</f>
        <v/>
      </c>
      <c r="AW488" s="70" t="str">
        <f aca="false">IF(ISBLANK($C488),"",AN488)</f>
        <v/>
      </c>
      <c r="AX488" s="71" t="str">
        <f aca="false">IF(ISBLANK($C488),"",IFERROR(_xlfn.SWITCH(AW488,Constants!$B$4,COUNTA($C$8:$C$507)+2,Constants!$B$5,COUNTA($C$8:$C$507)+1,Constants!$B$6,COUNTA($C$8:$C$507)),AW488))</f>
        <v/>
      </c>
      <c r="AY488" s="5"/>
      <c r="AZ488" s="72" t="n">
        <f aca="false">IF(OR(ISNUMBER(AW488),AW488=Constants!$B$4,AW488=Constants!$B$6,AW488=Constants!$B$5),1,0)</f>
        <v>0</v>
      </c>
      <c r="BA488" s="72" t="n">
        <v>481</v>
      </c>
      <c r="BB488" s="72" t="str">
        <f aca="false">IF(ISBLANK($C488),"",IF(ISNUMBER(AX488),AX488+ROW($B488)/1000,""))</f>
        <v/>
      </c>
      <c r="BC488" s="72" t="str">
        <f aca="false">IF(ISNUMBER(BB488),RANK(BB488,$BB$8:$BB$507,1),"")</f>
        <v/>
      </c>
      <c r="BD488" s="72" t="str">
        <f aca="false">IF(ISBLANK($C488),"",$B488)</f>
        <v/>
      </c>
      <c r="BE488" s="72" t="str">
        <f aca="false">IF(ISBLANK($C488),"",$C488)</f>
        <v/>
      </c>
      <c r="BF488" s="72" t="str">
        <f aca="false">IF(ISBLANK($C488),"",$D488)</f>
        <v/>
      </c>
      <c r="BG488" s="73" t="str">
        <f aca="false">AU488</f>
        <v/>
      </c>
      <c r="BH488" s="74" t="str">
        <f aca="false">AT488</f>
        <v/>
      </c>
      <c r="BI488" s="72" t="str">
        <f aca="false">IF(ISBLANK($C488),"",AW488)</f>
        <v/>
      </c>
      <c r="BJ488" s="75" t="str">
        <f aca="false">IF($BA488&gt;$AZ$7,"",VLOOKUP($BA488,$BC$8:$BI$507,7,FALSE()))</f>
        <v/>
      </c>
      <c r="BK488" s="76" t="str">
        <f aca="false">IF($BA488&gt;$AZ$7,"",VLOOKUP($BA488,$BC$8:$BI$507,2,FALSE()))</f>
        <v/>
      </c>
      <c r="BL488" s="76" t="str">
        <f aca="false">IF($BA488&gt;$AZ$7,"",VLOOKUP($BA488,$BC$8:$BI$507,3,FALSE()))</f>
        <v/>
      </c>
      <c r="BM488" s="76" t="str">
        <f aca="false">IF($BA488&gt;$AZ$7,"",VLOOKUP($BA488,$BC$8:$BI$507,4,FALSE()))</f>
        <v/>
      </c>
      <c r="BN488" s="76" t="str">
        <f aca="false">IF($BA488&gt;$AZ$7,"",VLOOKUP($BA488,$BC$8:$BI$507,5,FALSE()))</f>
        <v/>
      </c>
      <c r="BO488" s="77" t="str">
        <f aca="false">IF($BA488&gt;$AZ$7,"",VLOOKUP($BA488,$BC$8:$BI$507,6,FALSE()))</f>
        <v/>
      </c>
      <c r="BP488" s="52"/>
    </row>
    <row r="489" customFormat="false" ht="15.75" hidden="false" customHeight="false" outlineLevel="0" collapsed="false">
      <c r="A489" s="5"/>
      <c r="B489" s="118"/>
      <c r="C489" s="54"/>
      <c r="D489" s="55"/>
      <c r="E489" s="79"/>
      <c r="F489" s="57"/>
      <c r="G489" s="58"/>
      <c r="H489" s="58"/>
      <c r="I489" s="57"/>
      <c r="J489" s="58"/>
      <c r="K489" s="58"/>
      <c r="L489" s="57"/>
      <c r="M489" s="79"/>
      <c r="N489" s="60"/>
      <c r="O489" s="62" t="str">
        <f aca="false">IF(ISBLANK($C489),"",IF(E489=Constants!$B$2, TRUE(), IF(E489=Constants!$B$3, FALSE(), TRUE())))</f>
        <v/>
      </c>
      <c r="P489" s="62" t="str">
        <f aca="false">IF(ISBLANK($C489),"",IF(F489=Constants!$B$16,Constants!$B$9,IF(F489=Constants!$B$17,Constants!$B$10,Constants!$B$8)))</f>
        <v/>
      </c>
      <c r="Q489" s="62" t="str">
        <f aca="false">IF(ISBLANK($C489),"",IF(ISNUMBER(G489),IF(G489&gt;=0,G489,""),""))</f>
        <v/>
      </c>
      <c r="R489" s="62" t="str">
        <f aca="false">IF(ISBLANK($C489),"",IF(H489=Constants!$B$2, TRUE(), IF(H489=Constants!$B$3, FALSE(), TRUE())))</f>
        <v/>
      </c>
      <c r="S489" s="62" t="str">
        <f aca="false">IF(ISBLANK($C489),"",IF(I489=Constants!$B$2, TRUE(), IF(I489=Constants!$B$3, FALSE(), TRUE())))</f>
        <v/>
      </c>
      <c r="T489" s="62" t="str">
        <f aca="false">IF(ISBLANK($C489),"",IF(ISNUMBER(J489),IF(J489&gt;=0,J489,""),""))</f>
        <v/>
      </c>
      <c r="U489" s="62" t="str">
        <f aca="false">IF(ISBLANK($C489),"",IF(K489=Constants!$B$2, TRUE(), IF(K489=Constants!$B$3, FALSE(), TRUE())))</f>
        <v/>
      </c>
      <c r="V489" s="62" t="str">
        <f aca="false">IF(ISBLANK($C489),"",IF(L489=Constants!$B$2, TRUE(), IF(L489=Constants!$B$3, FALSE(), TRUE())))</f>
        <v/>
      </c>
      <c r="W489" s="62" t="str">
        <f aca="false">IF(ISBLANK($C489),"",IF(M489=Constants!$B$2, TRUE(), IF(M489=Constants!$B$3, FALSE(), FALSE())))</f>
        <v/>
      </c>
      <c r="X489" s="62" t="str">
        <f aca="false">IF(ISBLANK($C489),"",AND(Q489&lt;&gt;"",O489))</f>
        <v/>
      </c>
      <c r="Y489" s="62" t="str">
        <f aca="false">IF(ISBLANK($C489),"",AND(T489&lt;&gt;"",O489))</f>
        <v/>
      </c>
      <c r="Z489" s="62" t="str">
        <f aca="false">IF(ISBLANK($C489),"",IF(W489,Constants!$B$4,IF(COUNTA(E489:L489)=0,Constants!$B$5,IF(NOT(O489),Constants!$B$6,IF(AND(NOT(X489),NOT(Y489)),Constants!$B$6,Constants!$B$7)))))</f>
        <v/>
      </c>
      <c r="AA489" s="62" t="str">
        <f aca="false">IF(ISBLANK($C489),"",IF($Z489&lt;&gt;Constants!$B$7,$Z489,Constants!$B$20))</f>
        <v/>
      </c>
      <c r="AB489" s="62" t="str">
        <f aca="false">IF($Z489=Constants!$B$7,IF(X489,Q489,Constants!$B$13),"")</f>
        <v/>
      </c>
      <c r="AC489" s="62" t="str">
        <f aca="false">IF($Z489=Constants!$B$7,IF(X489,P489*IF(R489, 1, Constants!$B$11)*IF(S489, 1, Constants!$B$12),Constants!$B$13),"")</f>
        <v/>
      </c>
      <c r="AD489" s="62" t="str">
        <f aca="false">IF($Z489=Constants!$B$7,AB489*AC489,"")</f>
        <v/>
      </c>
      <c r="AE489" s="62" t="str">
        <f aca="false">IF($Z489=Constants!$B$7,IF(Y489,T489,Constants!$B$13),"")</f>
        <v/>
      </c>
      <c r="AF489" s="62" t="str">
        <f aca="false">IF($Z489=Constants!$B$7,IF(Y489,P489*IF(U489, 1, Constants!$B$11)*IF(V489, 1, Constants!$B$12),Constants!$B$13),"")</f>
        <v/>
      </c>
      <c r="AG489" s="62" t="str">
        <f aca="false">IF($Z489=Constants!$B$7,AE489*AF489,"")</f>
        <v/>
      </c>
      <c r="AH489" s="62" t="str">
        <f aca="false">IF($Z489=Constants!$B$7,IF(AG489&gt;AD489,2,1),"")</f>
        <v/>
      </c>
      <c r="AI489" s="62" t="str">
        <f aca="false">IF($Z489=Constants!$B$7,IF(AH489=1,2,1),"")</f>
        <v/>
      </c>
      <c r="AJ489" s="62" t="str">
        <f aca="false">IF(ISBLANK($C489),"",IF($Z489&lt;&gt;Constants!$B$7,$Z489,IF(AH489=1,AD489,AG489)))</f>
        <v/>
      </c>
      <c r="AK489" s="62" t="str">
        <f aca="false">IF(ISBLANK($C489),"",IF($Z489=Constants!$B$7,IF(ISNUMBER(AJ489),RANK(AJ489,$AJ$8:$AJ$507),Constants!$B$14),$Z489))</f>
        <v/>
      </c>
      <c r="AL489" s="62" t="str">
        <f aca="false">IF(ISBLANK($C489),"",IF($Z489=Constants!$B$7,IF(AI489=1,AD489,AG489),""))</f>
        <v/>
      </c>
      <c r="AM489" s="62" t="str">
        <f aca="false">IF(ISBLANK($C489),"",IF($Z489=Constants!$B$7,RANK(AL489,$AL$8:$AL$507),$Z489))</f>
        <v/>
      </c>
      <c r="AN489" s="62" t="str">
        <f aca="false">IF(ISBLANK($C489),"",IF($Z489=Constants!$B$7,IF(ISNUMBER(AK489),COUNTIFS($AK$8:$AK$507,"&lt;"&amp;$AK489)+COUNTIFS($AK$8:$AK$507,$AK489,$AM$8:$AM$507,"&lt;"&amp;$AM489)+1,Constants!$B$14),$Z489))</f>
        <v/>
      </c>
      <c r="AO489" s="62" t="str">
        <f aca="false">IF(ISBLANK($C489),"",IF($Z489=Constants!$B$7,IF(ISNUMBER(AK489),AK489-AN489,Constants!$B$14),$Z489))</f>
        <v/>
      </c>
      <c r="AP489" s="64"/>
      <c r="AQ489" s="65" t="str">
        <f aca="false">IF(ISBLANK($C489),"",IF($Z489&lt;&gt;Constants!$B$7,"",AH489))</f>
        <v/>
      </c>
      <c r="AR489" s="80" t="str">
        <f aca="false">IF(ISBLANK($C489),"",IF($Z489&lt;&gt;Constants!$B$7,"",IF(AH489=1,AB489,AE489)))</f>
        <v/>
      </c>
      <c r="AS489" s="67" t="str">
        <f aca="false">IF(ISBLANK($C489),"",IF($Z489&lt;&gt;Constants!$B$7,"",IF(AH489=1,AC489,AF489)))</f>
        <v/>
      </c>
      <c r="AT489" s="68" t="str">
        <f aca="false">IF(ISBLANK($C489),"",IF($Z489&lt;&gt;Constants!$B$7,$Z489,AJ489))</f>
        <v/>
      </c>
      <c r="AU489" s="69" t="str">
        <f aca="false">IF(ISBLANK($C489),"",IF($Z489&lt;&gt;Constants!$B$7,$Z489,AA489))</f>
        <v/>
      </c>
      <c r="AV489" s="70" t="str">
        <f aca="false">IF(ISBLANK($C489),"",AO489)</f>
        <v/>
      </c>
      <c r="AW489" s="70" t="str">
        <f aca="false">IF(ISBLANK($C489),"",AN489)</f>
        <v/>
      </c>
      <c r="AX489" s="71" t="str">
        <f aca="false">IF(ISBLANK($C489),"",IFERROR(_xlfn.SWITCH(AW489,Constants!$B$4,COUNTA($C$8:$C$507)+2,Constants!$B$5,COUNTA($C$8:$C$507)+1,Constants!$B$6,COUNTA($C$8:$C$507)),AW489))</f>
        <v/>
      </c>
      <c r="AY489" s="5"/>
      <c r="AZ489" s="72" t="n">
        <f aca="false">IF(OR(ISNUMBER(AW489),AW489=Constants!$B$4,AW489=Constants!$B$6,AW489=Constants!$B$5),1,0)</f>
        <v>0</v>
      </c>
      <c r="BA489" s="72" t="n">
        <v>482</v>
      </c>
      <c r="BB489" s="72" t="str">
        <f aca="false">IF(ISBLANK($C489),"",IF(ISNUMBER(AX489),AX489+ROW($B489)/1000,""))</f>
        <v/>
      </c>
      <c r="BC489" s="72" t="str">
        <f aca="false">IF(ISNUMBER(BB489),RANK(BB489,$BB$8:$BB$507,1),"")</f>
        <v/>
      </c>
      <c r="BD489" s="72" t="str">
        <f aca="false">IF(ISBLANK($C489),"",$B489)</f>
        <v/>
      </c>
      <c r="BE489" s="72" t="str">
        <f aca="false">IF(ISBLANK($C489),"",$C489)</f>
        <v/>
      </c>
      <c r="BF489" s="72" t="str">
        <f aca="false">IF(ISBLANK($C489),"",$D489)</f>
        <v/>
      </c>
      <c r="BG489" s="73" t="str">
        <f aca="false">AU489</f>
        <v/>
      </c>
      <c r="BH489" s="74" t="str">
        <f aca="false">AT489</f>
        <v/>
      </c>
      <c r="BI489" s="72" t="str">
        <f aca="false">IF(ISBLANK($C489),"",AW489)</f>
        <v/>
      </c>
      <c r="BJ489" s="75" t="str">
        <f aca="false">IF($BA489&gt;$AZ$7,"",VLOOKUP($BA489,$BC$8:$BI$507,7,FALSE()))</f>
        <v/>
      </c>
      <c r="BK489" s="76" t="str">
        <f aca="false">IF($BA489&gt;$AZ$7,"",VLOOKUP($BA489,$BC$8:$BI$507,2,FALSE()))</f>
        <v/>
      </c>
      <c r="BL489" s="76" t="str">
        <f aca="false">IF($BA489&gt;$AZ$7,"",VLOOKUP($BA489,$BC$8:$BI$507,3,FALSE()))</f>
        <v/>
      </c>
      <c r="BM489" s="76" t="str">
        <f aca="false">IF($BA489&gt;$AZ$7,"",VLOOKUP($BA489,$BC$8:$BI$507,4,FALSE()))</f>
        <v/>
      </c>
      <c r="BN489" s="76" t="str">
        <f aca="false">IF($BA489&gt;$AZ$7,"",VLOOKUP($BA489,$BC$8:$BI$507,5,FALSE()))</f>
        <v/>
      </c>
      <c r="BO489" s="77" t="str">
        <f aca="false">IF($BA489&gt;$AZ$7,"",VLOOKUP($BA489,$BC$8:$BI$507,6,FALSE()))</f>
        <v/>
      </c>
      <c r="BP489" s="52"/>
    </row>
    <row r="490" customFormat="false" ht="15.75" hidden="false" customHeight="false" outlineLevel="0" collapsed="false">
      <c r="A490" s="5"/>
      <c r="B490" s="118"/>
      <c r="C490" s="54"/>
      <c r="D490" s="55"/>
      <c r="E490" s="79"/>
      <c r="F490" s="57"/>
      <c r="G490" s="58"/>
      <c r="H490" s="58"/>
      <c r="I490" s="57"/>
      <c r="J490" s="58"/>
      <c r="K490" s="58"/>
      <c r="L490" s="57"/>
      <c r="M490" s="79"/>
      <c r="N490" s="60"/>
      <c r="O490" s="62" t="str">
        <f aca="false">IF(ISBLANK($C490),"",IF(E490=Constants!$B$2, TRUE(), IF(E490=Constants!$B$3, FALSE(), TRUE())))</f>
        <v/>
      </c>
      <c r="P490" s="62" t="str">
        <f aca="false">IF(ISBLANK($C490),"",IF(F490=Constants!$B$16,Constants!$B$9,IF(F490=Constants!$B$17,Constants!$B$10,Constants!$B$8)))</f>
        <v/>
      </c>
      <c r="Q490" s="62" t="str">
        <f aca="false">IF(ISBLANK($C490),"",IF(ISNUMBER(G490),IF(G490&gt;=0,G490,""),""))</f>
        <v/>
      </c>
      <c r="R490" s="62" t="str">
        <f aca="false">IF(ISBLANK($C490),"",IF(H490=Constants!$B$2, TRUE(), IF(H490=Constants!$B$3, FALSE(), TRUE())))</f>
        <v/>
      </c>
      <c r="S490" s="62" t="str">
        <f aca="false">IF(ISBLANK($C490),"",IF(I490=Constants!$B$2, TRUE(), IF(I490=Constants!$B$3, FALSE(), TRUE())))</f>
        <v/>
      </c>
      <c r="T490" s="62" t="str">
        <f aca="false">IF(ISBLANK($C490),"",IF(ISNUMBER(J490),IF(J490&gt;=0,J490,""),""))</f>
        <v/>
      </c>
      <c r="U490" s="62" t="str">
        <f aca="false">IF(ISBLANK($C490),"",IF(K490=Constants!$B$2, TRUE(), IF(K490=Constants!$B$3, FALSE(), TRUE())))</f>
        <v/>
      </c>
      <c r="V490" s="62" t="str">
        <f aca="false">IF(ISBLANK($C490),"",IF(L490=Constants!$B$2, TRUE(), IF(L490=Constants!$B$3, FALSE(), TRUE())))</f>
        <v/>
      </c>
      <c r="W490" s="62" t="str">
        <f aca="false">IF(ISBLANK($C490),"",IF(M490=Constants!$B$2, TRUE(), IF(M490=Constants!$B$3, FALSE(), FALSE())))</f>
        <v/>
      </c>
      <c r="X490" s="62" t="str">
        <f aca="false">IF(ISBLANK($C490),"",AND(Q490&lt;&gt;"",O490))</f>
        <v/>
      </c>
      <c r="Y490" s="62" t="str">
        <f aca="false">IF(ISBLANK($C490),"",AND(T490&lt;&gt;"",O490))</f>
        <v/>
      </c>
      <c r="Z490" s="62" t="str">
        <f aca="false">IF(ISBLANK($C490),"",IF(W490,Constants!$B$4,IF(COUNTA(E490:L490)=0,Constants!$B$5,IF(NOT(O490),Constants!$B$6,IF(AND(NOT(X490),NOT(Y490)),Constants!$B$6,Constants!$B$7)))))</f>
        <v/>
      </c>
      <c r="AA490" s="62" t="str">
        <f aca="false">IF(ISBLANK($C490),"",IF($Z490&lt;&gt;Constants!$B$7,$Z490,Constants!$B$20))</f>
        <v/>
      </c>
      <c r="AB490" s="62" t="str">
        <f aca="false">IF($Z490=Constants!$B$7,IF(X490,Q490,Constants!$B$13),"")</f>
        <v/>
      </c>
      <c r="AC490" s="62" t="str">
        <f aca="false">IF($Z490=Constants!$B$7,IF(X490,P490*IF(R490, 1, Constants!$B$11)*IF(S490, 1, Constants!$B$12),Constants!$B$13),"")</f>
        <v/>
      </c>
      <c r="AD490" s="62" t="str">
        <f aca="false">IF($Z490=Constants!$B$7,AB490*AC490,"")</f>
        <v/>
      </c>
      <c r="AE490" s="62" t="str">
        <f aca="false">IF($Z490=Constants!$B$7,IF(Y490,T490,Constants!$B$13),"")</f>
        <v/>
      </c>
      <c r="AF490" s="62" t="str">
        <f aca="false">IF($Z490=Constants!$B$7,IF(Y490,P490*IF(U490, 1, Constants!$B$11)*IF(V490, 1, Constants!$B$12),Constants!$B$13),"")</f>
        <v/>
      </c>
      <c r="AG490" s="62" t="str">
        <f aca="false">IF($Z490=Constants!$B$7,AE490*AF490,"")</f>
        <v/>
      </c>
      <c r="AH490" s="62" t="str">
        <f aca="false">IF($Z490=Constants!$B$7,IF(AG490&gt;AD490,2,1),"")</f>
        <v/>
      </c>
      <c r="AI490" s="62" t="str">
        <f aca="false">IF($Z490=Constants!$B$7,IF(AH490=1,2,1),"")</f>
        <v/>
      </c>
      <c r="AJ490" s="62" t="str">
        <f aca="false">IF(ISBLANK($C490),"",IF($Z490&lt;&gt;Constants!$B$7,$Z490,IF(AH490=1,AD490,AG490)))</f>
        <v/>
      </c>
      <c r="AK490" s="62" t="str">
        <f aca="false">IF(ISBLANK($C490),"",IF($Z490=Constants!$B$7,IF(ISNUMBER(AJ490),RANK(AJ490,$AJ$8:$AJ$507),Constants!$B$14),$Z490))</f>
        <v/>
      </c>
      <c r="AL490" s="62" t="str">
        <f aca="false">IF(ISBLANK($C490),"",IF($Z490=Constants!$B$7,IF(AI490=1,AD490,AG490),""))</f>
        <v/>
      </c>
      <c r="AM490" s="62" t="str">
        <f aca="false">IF(ISBLANK($C490),"",IF($Z490=Constants!$B$7,RANK(AL490,$AL$8:$AL$507),$Z490))</f>
        <v/>
      </c>
      <c r="AN490" s="62" t="str">
        <f aca="false">IF(ISBLANK($C490),"",IF($Z490=Constants!$B$7,IF(ISNUMBER(AK490),COUNTIFS($AK$8:$AK$507,"&lt;"&amp;$AK490)+COUNTIFS($AK$8:$AK$507,$AK490,$AM$8:$AM$507,"&lt;"&amp;$AM490)+1,Constants!$B$14),$Z490))</f>
        <v/>
      </c>
      <c r="AO490" s="62" t="str">
        <f aca="false">IF(ISBLANK($C490),"",IF($Z490=Constants!$B$7,IF(ISNUMBER(AK490),AK490-AN490,Constants!$B$14),$Z490))</f>
        <v/>
      </c>
      <c r="AP490" s="64"/>
      <c r="AQ490" s="65" t="str">
        <f aca="false">IF(ISBLANK($C490),"",IF($Z490&lt;&gt;Constants!$B$7,"",AH490))</f>
        <v/>
      </c>
      <c r="AR490" s="80" t="str">
        <f aca="false">IF(ISBLANK($C490),"",IF($Z490&lt;&gt;Constants!$B$7,"",IF(AH490=1,AB490,AE490)))</f>
        <v/>
      </c>
      <c r="AS490" s="67" t="str">
        <f aca="false">IF(ISBLANK($C490),"",IF($Z490&lt;&gt;Constants!$B$7,"",IF(AH490=1,AC490,AF490)))</f>
        <v/>
      </c>
      <c r="AT490" s="68" t="str">
        <f aca="false">IF(ISBLANK($C490),"",IF($Z490&lt;&gt;Constants!$B$7,$Z490,AJ490))</f>
        <v/>
      </c>
      <c r="AU490" s="69" t="str">
        <f aca="false">IF(ISBLANK($C490),"",IF($Z490&lt;&gt;Constants!$B$7,$Z490,AA490))</f>
        <v/>
      </c>
      <c r="AV490" s="70" t="str">
        <f aca="false">IF(ISBLANK($C490),"",AO490)</f>
        <v/>
      </c>
      <c r="AW490" s="70" t="str">
        <f aca="false">IF(ISBLANK($C490),"",AN490)</f>
        <v/>
      </c>
      <c r="AX490" s="71" t="str">
        <f aca="false">IF(ISBLANK($C490),"",IFERROR(_xlfn.SWITCH(AW490,Constants!$B$4,COUNTA($C$8:$C$507)+2,Constants!$B$5,COUNTA($C$8:$C$507)+1,Constants!$B$6,COUNTA($C$8:$C$507)),AW490))</f>
        <v/>
      </c>
      <c r="AY490" s="5"/>
      <c r="AZ490" s="72" t="n">
        <f aca="false">IF(OR(ISNUMBER(AW490),AW490=Constants!$B$4,AW490=Constants!$B$6,AW490=Constants!$B$5),1,0)</f>
        <v>0</v>
      </c>
      <c r="BA490" s="72" t="n">
        <v>483</v>
      </c>
      <c r="BB490" s="72" t="str">
        <f aca="false">IF(ISBLANK($C490),"",IF(ISNUMBER(AX490),AX490+ROW($B490)/1000,""))</f>
        <v/>
      </c>
      <c r="BC490" s="72" t="str">
        <f aca="false">IF(ISNUMBER(BB490),RANK(BB490,$BB$8:$BB$507,1),"")</f>
        <v/>
      </c>
      <c r="BD490" s="72" t="str">
        <f aca="false">IF(ISBLANK($C490),"",$B490)</f>
        <v/>
      </c>
      <c r="BE490" s="72" t="str">
        <f aca="false">IF(ISBLANK($C490),"",$C490)</f>
        <v/>
      </c>
      <c r="BF490" s="72" t="str">
        <f aca="false">IF(ISBLANK($C490),"",$D490)</f>
        <v/>
      </c>
      <c r="BG490" s="73" t="str">
        <f aca="false">AU490</f>
        <v/>
      </c>
      <c r="BH490" s="74" t="str">
        <f aca="false">AT490</f>
        <v/>
      </c>
      <c r="BI490" s="72" t="str">
        <f aca="false">IF(ISBLANK($C490),"",AW490)</f>
        <v/>
      </c>
      <c r="BJ490" s="75" t="str">
        <f aca="false">IF($BA490&gt;$AZ$7,"",VLOOKUP($BA490,$BC$8:$BI$507,7,FALSE()))</f>
        <v/>
      </c>
      <c r="BK490" s="76" t="str">
        <f aca="false">IF($BA490&gt;$AZ$7,"",VLOOKUP($BA490,$BC$8:$BI$507,2,FALSE()))</f>
        <v/>
      </c>
      <c r="BL490" s="76" t="str">
        <f aca="false">IF($BA490&gt;$AZ$7,"",VLOOKUP($BA490,$BC$8:$BI$507,3,FALSE()))</f>
        <v/>
      </c>
      <c r="BM490" s="76" t="str">
        <f aca="false">IF($BA490&gt;$AZ$7,"",VLOOKUP($BA490,$BC$8:$BI$507,4,FALSE()))</f>
        <v/>
      </c>
      <c r="BN490" s="76" t="str">
        <f aca="false">IF($BA490&gt;$AZ$7,"",VLOOKUP($BA490,$BC$8:$BI$507,5,FALSE()))</f>
        <v/>
      </c>
      <c r="BO490" s="77" t="str">
        <f aca="false">IF($BA490&gt;$AZ$7,"",VLOOKUP($BA490,$BC$8:$BI$507,6,FALSE()))</f>
        <v/>
      </c>
      <c r="BP490" s="52"/>
    </row>
    <row r="491" customFormat="false" ht="15.75" hidden="false" customHeight="false" outlineLevel="0" collapsed="false">
      <c r="A491" s="5"/>
      <c r="B491" s="114"/>
      <c r="C491" s="115"/>
      <c r="D491" s="106"/>
      <c r="E491" s="117"/>
      <c r="F491" s="87"/>
      <c r="G491" s="88"/>
      <c r="H491" s="88"/>
      <c r="I491" s="87"/>
      <c r="J491" s="88"/>
      <c r="K491" s="88"/>
      <c r="L491" s="87"/>
      <c r="M491" s="117"/>
      <c r="N491" s="90"/>
      <c r="O491" s="91" t="str">
        <f aca="false">IF(ISBLANK($C491),"",IF(E491=Constants!$B$2, TRUE(), IF(E491=Constants!$B$3, FALSE(), TRUE())))</f>
        <v/>
      </c>
      <c r="P491" s="91" t="str">
        <f aca="false">IF(ISBLANK($C491),"",IF(F491=Constants!$B$16,Constants!$B$9,IF(F491=Constants!$B$17,Constants!$B$10,Constants!$B$8)))</f>
        <v/>
      </c>
      <c r="Q491" s="91" t="str">
        <f aca="false">IF(ISBLANK($C491),"",IF(ISNUMBER(G491),IF(G491&gt;=0,G491,""),""))</f>
        <v/>
      </c>
      <c r="R491" s="91" t="str">
        <f aca="false">IF(ISBLANK($C491),"",IF(H491=Constants!$B$2, TRUE(), IF(H491=Constants!$B$3, FALSE(), TRUE())))</f>
        <v/>
      </c>
      <c r="S491" s="91" t="str">
        <f aca="false">IF(ISBLANK($C491),"",IF(I491=Constants!$B$2, TRUE(), IF(I491=Constants!$B$3, FALSE(), TRUE())))</f>
        <v/>
      </c>
      <c r="T491" s="91" t="str">
        <f aca="false">IF(ISBLANK($C491),"",IF(ISNUMBER(J491),IF(J491&gt;=0,J491,""),""))</f>
        <v/>
      </c>
      <c r="U491" s="91" t="str">
        <f aca="false">IF(ISBLANK($C491),"",IF(K491=Constants!$B$2, TRUE(), IF(K491=Constants!$B$3, FALSE(), TRUE())))</f>
        <v/>
      </c>
      <c r="V491" s="91" t="str">
        <f aca="false">IF(ISBLANK($C491),"",IF(L491=Constants!$B$2, TRUE(), IF(L491=Constants!$B$3, FALSE(), TRUE())))</f>
        <v/>
      </c>
      <c r="W491" s="91" t="str">
        <f aca="false">IF(ISBLANK($C491),"",IF(M491=Constants!$B$2, TRUE(), IF(M491=Constants!$B$3, FALSE(), FALSE())))</f>
        <v/>
      </c>
      <c r="X491" s="91" t="str">
        <f aca="false">IF(ISBLANK($C491),"",AND(Q491&lt;&gt;"",O491))</f>
        <v/>
      </c>
      <c r="Y491" s="91" t="str">
        <f aca="false">IF(ISBLANK($C491),"",AND(T491&lt;&gt;"",O491))</f>
        <v/>
      </c>
      <c r="Z491" s="91" t="str">
        <f aca="false">IF(ISBLANK($C491),"",IF(W491,Constants!$B$4,IF(COUNTA(E491:L491)=0,Constants!$B$5,IF(NOT(O491),Constants!$B$6,IF(AND(NOT(X491),NOT(Y491)),Constants!$B$6,Constants!$B$7)))))</f>
        <v/>
      </c>
      <c r="AA491" s="91" t="str">
        <f aca="false">IF(ISBLANK($C491),"",IF($Z491&lt;&gt;Constants!$B$7,$Z491,Constants!$B$20))</f>
        <v/>
      </c>
      <c r="AB491" s="91" t="str">
        <f aca="false">IF($Z491=Constants!$B$7,IF(X491,Q491,Constants!$B$13),"")</f>
        <v/>
      </c>
      <c r="AC491" s="91" t="str">
        <f aca="false">IF($Z491=Constants!$B$7,IF(X491,P491*IF(R491, 1, Constants!$B$11)*IF(S491, 1, Constants!$B$12),Constants!$B$13),"")</f>
        <v/>
      </c>
      <c r="AD491" s="91" t="str">
        <f aca="false">IF($Z491=Constants!$B$7,AB491*AC491,"")</f>
        <v/>
      </c>
      <c r="AE491" s="91" t="str">
        <f aca="false">IF($Z491=Constants!$B$7,IF(Y491,T491,Constants!$B$13),"")</f>
        <v/>
      </c>
      <c r="AF491" s="91" t="str">
        <f aca="false">IF($Z491=Constants!$B$7,IF(Y491,P491*IF(U491, 1, Constants!$B$11)*IF(V491, 1, Constants!$B$12),Constants!$B$13),"")</f>
        <v/>
      </c>
      <c r="AG491" s="91" t="str">
        <f aca="false">IF($Z491=Constants!$B$7,AE491*AF491,"")</f>
        <v/>
      </c>
      <c r="AH491" s="91" t="str">
        <f aca="false">IF($Z491=Constants!$B$7,IF(AG491&gt;AD491,2,1),"")</f>
        <v/>
      </c>
      <c r="AI491" s="91" t="str">
        <f aca="false">IF($Z491=Constants!$B$7,IF(AH491=1,2,1),"")</f>
        <v/>
      </c>
      <c r="AJ491" s="91" t="str">
        <f aca="false">IF(ISBLANK($C491),"",IF($Z491&lt;&gt;Constants!$B$7,$Z491,IF(AH491=1,AD491,AG491)))</f>
        <v/>
      </c>
      <c r="AK491" s="91" t="str">
        <f aca="false">IF(ISBLANK($C491),"",IF($Z491=Constants!$B$7,IF(ISNUMBER(AJ491),RANK(AJ491,$AJ$8:$AJ$507),Constants!$B$14),$Z491))</f>
        <v/>
      </c>
      <c r="AL491" s="91" t="str">
        <f aca="false">IF(ISBLANK($C491),"",IF($Z491=Constants!$B$7,IF(AI491=1,AD491,AG491),""))</f>
        <v/>
      </c>
      <c r="AM491" s="91" t="str">
        <f aca="false">IF(ISBLANK($C491),"",IF($Z491=Constants!$B$7,RANK(AL491,$AL$8:$AL$507),$Z491))</f>
        <v/>
      </c>
      <c r="AN491" s="91" t="str">
        <f aca="false">IF(ISBLANK($C491),"",IF($Z491=Constants!$B$7,IF(ISNUMBER(AK491),COUNTIFS($AK$8:$AK$507,"&lt;"&amp;$AK491)+COUNTIFS($AK$8:$AK$507,$AK491,$AM$8:$AM$507,"&lt;"&amp;$AM491)+1,Constants!$B$14),$Z491))</f>
        <v/>
      </c>
      <c r="AO491" s="91" t="str">
        <f aca="false">IF(ISBLANK($C491),"",IF($Z491=Constants!$B$7,IF(ISNUMBER(AK491),AK491-AN491,Constants!$B$14),$Z491))</f>
        <v/>
      </c>
      <c r="AP491" s="92"/>
      <c r="AQ491" s="93" t="str">
        <f aca="false">IF(ISBLANK($C491),"",IF($Z491&lt;&gt;Constants!$B$7,"",AH491))</f>
        <v/>
      </c>
      <c r="AR491" s="94" t="str">
        <f aca="false">IF(ISBLANK($C491),"",IF($Z491&lt;&gt;Constants!$B$7,"",IF(AH491=1,AB491,AE491)))</f>
        <v/>
      </c>
      <c r="AS491" s="95" t="str">
        <f aca="false">IF(ISBLANK($C491),"",IF($Z491&lt;&gt;Constants!$B$7,"",IF(AH491=1,AC491,AF491)))</f>
        <v/>
      </c>
      <c r="AT491" s="96" t="str">
        <f aca="false">IF(ISBLANK($C491),"",IF($Z491&lt;&gt;Constants!$B$7,$Z491,AJ491))</f>
        <v/>
      </c>
      <c r="AU491" s="97" t="str">
        <f aca="false">IF(ISBLANK($C491),"",IF($Z491&lt;&gt;Constants!$B$7,$Z491,AA491))</f>
        <v/>
      </c>
      <c r="AV491" s="98" t="str">
        <f aca="false">IF(ISBLANK($C491),"",AO491)</f>
        <v/>
      </c>
      <c r="AW491" s="98" t="str">
        <f aca="false">IF(ISBLANK($C491),"",AN491)</f>
        <v/>
      </c>
      <c r="AX491" s="99" t="str">
        <f aca="false">IF(ISBLANK($C491),"",IFERROR(_xlfn.SWITCH(AW491,Constants!$B$4,COUNTA($C$8:$C$507)+2,Constants!$B$5,COUNTA($C$8:$C$507)+1,Constants!$B$6,COUNTA($C$8:$C$507)),AW491))</f>
        <v/>
      </c>
      <c r="AY491" s="5"/>
      <c r="AZ491" s="100" t="n">
        <f aca="false">IF(OR(ISNUMBER(AW491),AW491=Constants!$B$4,AW491=Constants!$B$6,AW491=Constants!$B$5),1,0)</f>
        <v>0</v>
      </c>
      <c r="BA491" s="100" t="n">
        <v>484</v>
      </c>
      <c r="BB491" s="100" t="str">
        <f aca="false">IF(ISBLANK($C491),"",IF(ISNUMBER(AX491),AX491+ROW($B491)/1000,""))</f>
        <v/>
      </c>
      <c r="BC491" s="100" t="str">
        <f aca="false">IF(ISNUMBER(BB491),RANK(BB491,$BB$8:$BB$507,1),"")</f>
        <v/>
      </c>
      <c r="BD491" s="100" t="str">
        <f aca="false">IF(ISBLANK($C491),"",$B491)</f>
        <v/>
      </c>
      <c r="BE491" s="100" t="str">
        <f aca="false">IF(ISBLANK($C491),"",$C491)</f>
        <v/>
      </c>
      <c r="BF491" s="100" t="str">
        <f aca="false">IF(ISBLANK($C491),"",$D491)</f>
        <v/>
      </c>
      <c r="BG491" s="101" t="str">
        <f aca="false">AU491</f>
        <v/>
      </c>
      <c r="BH491" s="102" t="str">
        <f aca="false">AT491</f>
        <v/>
      </c>
      <c r="BI491" s="100" t="str">
        <f aca="false">IF(ISBLANK($C491),"",AW491)</f>
        <v/>
      </c>
      <c r="BJ491" s="103" t="str">
        <f aca="false">IF($BA491&gt;$AZ$7,"",VLOOKUP($BA491,$BC$8:$BI$507,7,FALSE()))</f>
        <v/>
      </c>
      <c r="BK491" s="104" t="str">
        <f aca="false">IF($BA491&gt;$AZ$7,"",VLOOKUP($BA491,$BC$8:$BI$507,2,FALSE()))</f>
        <v/>
      </c>
      <c r="BL491" s="104" t="str">
        <f aca="false">IF($BA491&gt;$AZ$7,"",VLOOKUP($BA491,$BC$8:$BI$507,3,FALSE()))</f>
        <v/>
      </c>
      <c r="BM491" s="104" t="str">
        <f aca="false">IF($BA491&gt;$AZ$7,"",VLOOKUP($BA491,$BC$8:$BI$507,4,FALSE()))</f>
        <v/>
      </c>
      <c r="BN491" s="104" t="str">
        <f aca="false">IF($BA491&gt;$AZ$7,"",VLOOKUP($BA491,$BC$8:$BI$507,5,FALSE()))</f>
        <v/>
      </c>
      <c r="BO491" s="105" t="str">
        <f aca="false">IF($BA491&gt;$AZ$7,"",VLOOKUP($BA491,$BC$8:$BI$507,6,FALSE()))</f>
        <v/>
      </c>
      <c r="BP491" s="52"/>
    </row>
    <row r="492" customFormat="false" ht="15.75" hidden="false" customHeight="false" outlineLevel="0" collapsed="false">
      <c r="A492" s="5"/>
      <c r="B492" s="114"/>
      <c r="C492" s="115"/>
      <c r="D492" s="106"/>
      <c r="E492" s="117"/>
      <c r="F492" s="87"/>
      <c r="G492" s="88"/>
      <c r="H492" s="88"/>
      <c r="I492" s="87"/>
      <c r="J492" s="88"/>
      <c r="K492" s="88"/>
      <c r="L492" s="87"/>
      <c r="M492" s="117"/>
      <c r="N492" s="90"/>
      <c r="O492" s="91" t="str">
        <f aca="false">IF(ISBLANK($C492),"",IF(E492=Constants!$B$2, TRUE(), IF(E492=Constants!$B$3, FALSE(), TRUE())))</f>
        <v/>
      </c>
      <c r="P492" s="91" t="str">
        <f aca="false">IF(ISBLANK($C492),"",IF(F492=Constants!$B$16,Constants!$B$9,IF(F492=Constants!$B$17,Constants!$B$10,Constants!$B$8)))</f>
        <v/>
      </c>
      <c r="Q492" s="91" t="str">
        <f aca="false">IF(ISBLANK($C492),"",IF(ISNUMBER(G492),IF(G492&gt;=0,G492,""),""))</f>
        <v/>
      </c>
      <c r="R492" s="91" t="str">
        <f aca="false">IF(ISBLANK($C492),"",IF(H492=Constants!$B$2, TRUE(), IF(H492=Constants!$B$3, FALSE(), TRUE())))</f>
        <v/>
      </c>
      <c r="S492" s="91" t="str">
        <f aca="false">IF(ISBLANK($C492),"",IF(I492=Constants!$B$2, TRUE(), IF(I492=Constants!$B$3, FALSE(), TRUE())))</f>
        <v/>
      </c>
      <c r="T492" s="91" t="str">
        <f aca="false">IF(ISBLANK($C492),"",IF(ISNUMBER(J492),IF(J492&gt;=0,J492,""),""))</f>
        <v/>
      </c>
      <c r="U492" s="91" t="str">
        <f aca="false">IF(ISBLANK($C492),"",IF(K492=Constants!$B$2, TRUE(), IF(K492=Constants!$B$3, FALSE(), TRUE())))</f>
        <v/>
      </c>
      <c r="V492" s="91" t="str">
        <f aca="false">IF(ISBLANK($C492),"",IF(L492=Constants!$B$2, TRUE(), IF(L492=Constants!$B$3, FALSE(), TRUE())))</f>
        <v/>
      </c>
      <c r="W492" s="91" t="str">
        <f aca="false">IF(ISBLANK($C492),"",IF(M492=Constants!$B$2, TRUE(), IF(M492=Constants!$B$3, FALSE(), FALSE())))</f>
        <v/>
      </c>
      <c r="X492" s="91" t="str">
        <f aca="false">IF(ISBLANK($C492),"",AND(Q492&lt;&gt;"",O492))</f>
        <v/>
      </c>
      <c r="Y492" s="91" t="str">
        <f aca="false">IF(ISBLANK($C492),"",AND(T492&lt;&gt;"",O492))</f>
        <v/>
      </c>
      <c r="Z492" s="91" t="str">
        <f aca="false">IF(ISBLANK($C492),"",IF(W492,Constants!$B$4,IF(COUNTA(E492:L492)=0,Constants!$B$5,IF(NOT(O492),Constants!$B$6,IF(AND(NOT(X492),NOT(Y492)),Constants!$B$6,Constants!$B$7)))))</f>
        <v/>
      </c>
      <c r="AA492" s="91" t="str">
        <f aca="false">IF(ISBLANK($C492),"",IF($Z492&lt;&gt;Constants!$B$7,$Z492,Constants!$B$20))</f>
        <v/>
      </c>
      <c r="AB492" s="91" t="str">
        <f aca="false">IF($Z492=Constants!$B$7,IF(X492,Q492,Constants!$B$13),"")</f>
        <v/>
      </c>
      <c r="AC492" s="91" t="str">
        <f aca="false">IF($Z492=Constants!$B$7,IF(X492,P492*IF(R492, 1, Constants!$B$11)*IF(S492, 1, Constants!$B$12),Constants!$B$13),"")</f>
        <v/>
      </c>
      <c r="AD492" s="91" t="str">
        <f aca="false">IF($Z492=Constants!$B$7,AB492*AC492,"")</f>
        <v/>
      </c>
      <c r="AE492" s="91" t="str">
        <f aca="false">IF($Z492=Constants!$B$7,IF(Y492,T492,Constants!$B$13),"")</f>
        <v/>
      </c>
      <c r="AF492" s="91" t="str">
        <f aca="false">IF($Z492=Constants!$B$7,IF(Y492,P492*IF(U492, 1, Constants!$B$11)*IF(V492, 1, Constants!$B$12),Constants!$B$13),"")</f>
        <v/>
      </c>
      <c r="AG492" s="91" t="str">
        <f aca="false">IF($Z492=Constants!$B$7,AE492*AF492,"")</f>
        <v/>
      </c>
      <c r="AH492" s="91" t="str">
        <f aca="false">IF($Z492=Constants!$B$7,IF(AG492&gt;AD492,2,1),"")</f>
        <v/>
      </c>
      <c r="AI492" s="91" t="str">
        <f aca="false">IF($Z492=Constants!$B$7,IF(AH492=1,2,1),"")</f>
        <v/>
      </c>
      <c r="AJ492" s="91" t="str">
        <f aca="false">IF(ISBLANK($C492),"",IF($Z492&lt;&gt;Constants!$B$7,$Z492,IF(AH492=1,AD492,AG492)))</f>
        <v/>
      </c>
      <c r="AK492" s="91" t="str">
        <f aca="false">IF(ISBLANK($C492),"",IF($Z492=Constants!$B$7,IF(ISNUMBER(AJ492),RANK(AJ492,$AJ$8:$AJ$507),Constants!$B$14),$Z492))</f>
        <v/>
      </c>
      <c r="AL492" s="91" t="str">
        <f aca="false">IF(ISBLANK($C492),"",IF($Z492=Constants!$B$7,IF(AI492=1,AD492,AG492),""))</f>
        <v/>
      </c>
      <c r="AM492" s="91" t="str">
        <f aca="false">IF(ISBLANK($C492),"",IF($Z492=Constants!$B$7,RANK(AL492,$AL$8:$AL$507),$Z492))</f>
        <v/>
      </c>
      <c r="AN492" s="91" t="str">
        <f aca="false">IF(ISBLANK($C492),"",IF($Z492=Constants!$B$7,IF(ISNUMBER(AK492),COUNTIFS($AK$8:$AK$507,"&lt;"&amp;$AK492)+COUNTIFS($AK$8:$AK$507,$AK492,$AM$8:$AM$507,"&lt;"&amp;$AM492)+1,Constants!$B$14),$Z492))</f>
        <v/>
      </c>
      <c r="AO492" s="91" t="str">
        <f aca="false">IF(ISBLANK($C492),"",IF($Z492=Constants!$B$7,IF(ISNUMBER(AK492),AK492-AN492,Constants!$B$14),$Z492))</f>
        <v/>
      </c>
      <c r="AP492" s="92"/>
      <c r="AQ492" s="93" t="str">
        <f aca="false">IF(ISBLANK($C492),"",IF($Z492&lt;&gt;Constants!$B$7,"",AH492))</f>
        <v/>
      </c>
      <c r="AR492" s="94" t="str">
        <f aca="false">IF(ISBLANK($C492),"",IF($Z492&lt;&gt;Constants!$B$7,"",IF(AH492=1,AB492,AE492)))</f>
        <v/>
      </c>
      <c r="AS492" s="95" t="str">
        <f aca="false">IF(ISBLANK($C492),"",IF($Z492&lt;&gt;Constants!$B$7,"",IF(AH492=1,AC492,AF492)))</f>
        <v/>
      </c>
      <c r="AT492" s="96" t="str">
        <f aca="false">IF(ISBLANK($C492),"",IF($Z492&lt;&gt;Constants!$B$7,$Z492,AJ492))</f>
        <v/>
      </c>
      <c r="AU492" s="97" t="str">
        <f aca="false">IF(ISBLANK($C492),"",IF($Z492&lt;&gt;Constants!$B$7,$Z492,AA492))</f>
        <v/>
      </c>
      <c r="AV492" s="98" t="str">
        <f aca="false">IF(ISBLANK($C492),"",AO492)</f>
        <v/>
      </c>
      <c r="AW492" s="98" t="str">
        <f aca="false">IF(ISBLANK($C492),"",AN492)</f>
        <v/>
      </c>
      <c r="AX492" s="99" t="str">
        <f aca="false">IF(ISBLANK($C492),"",IFERROR(_xlfn.SWITCH(AW492,Constants!$B$4,COUNTA($C$8:$C$507)+2,Constants!$B$5,COUNTA($C$8:$C$507)+1,Constants!$B$6,COUNTA($C$8:$C$507)),AW492))</f>
        <v/>
      </c>
      <c r="AY492" s="5"/>
      <c r="AZ492" s="100" t="n">
        <f aca="false">IF(OR(ISNUMBER(AW492),AW492=Constants!$B$4,AW492=Constants!$B$6,AW492=Constants!$B$5),1,0)</f>
        <v>0</v>
      </c>
      <c r="BA492" s="100" t="n">
        <v>485</v>
      </c>
      <c r="BB492" s="100" t="str">
        <f aca="false">IF(ISBLANK($C492),"",IF(ISNUMBER(AX492),AX492+ROW($B492)/1000,""))</f>
        <v/>
      </c>
      <c r="BC492" s="100" t="str">
        <f aca="false">IF(ISNUMBER(BB492),RANK(BB492,$BB$8:$BB$507,1),"")</f>
        <v/>
      </c>
      <c r="BD492" s="100" t="str">
        <f aca="false">IF(ISBLANK($C492),"",$B492)</f>
        <v/>
      </c>
      <c r="BE492" s="100" t="str">
        <f aca="false">IF(ISBLANK($C492),"",$C492)</f>
        <v/>
      </c>
      <c r="BF492" s="100" t="str">
        <f aca="false">IF(ISBLANK($C492),"",$D492)</f>
        <v/>
      </c>
      <c r="BG492" s="101" t="str">
        <f aca="false">AU492</f>
        <v/>
      </c>
      <c r="BH492" s="102" t="str">
        <f aca="false">AT492</f>
        <v/>
      </c>
      <c r="BI492" s="100" t="str">
        <f aca="false">IF(ISBLANK($C492),"",AW492)</f>
        <v/>
      </c>
      <c r="BJ492" s="103" t="str">
        <f aca="false">IF($BA492&gt;$AZ$7,"",VLOOKUP($BA492,$BC$8:$BI$507,7,FALSE()))</f>
        <v/>
      </c>
      <c r="BK492" s="104" t="str">
        <f aca="false">IF($BA492&gt;$AZ$7,"",VLOOKUP($BA492,$BC$8:$BI$507,2,FALSE()))</f>
        <v/>
      </c>
      <c r="BL492" s="104" t="str">
        <f aca="false">IF($BA492&gt;$AZ$7,"",VLOOKUP($BA492,$BC$8:$BI$507,3,FALSE()))</f>
        <v/>
      </c>
      <c r="BM492" s="104" t="str">
        <f aca="false">IF($BA492&gt;$AZ$7,"",VLOOKUP($BA492,$BC$8:$BI$507,4,FALSE()))</f>
        <v/>
      </c>
      <c r="BN492" s="104" t="str">
        <f aca="false">IF($BA492&gt;$AZ$7,"",VLOOKUP($BA492,$BC$8:$BI$507,5,FALSE()))</f>
        <v/>
      </c>
      <c r="BO492" s="105" t="str">
        <f aca="false">IF($BA492&gt;$AZ$7,"",VLOOKUP($BA492,$BC$8:$BI$507,6,FALSE()))</f>
        <v/>
      </c>
      <c r="BP492" s="52"/>
    </row>
    <row r="493" customFormat="false" ht="15.75" hidden="false" customHeight="false" outlineLevel="0" collapsed="false">
      <c r="A493" s="5"/>
      <c r="B493" s="114"/>
      <c r="C493" s="115"/>
      <c r="D493" s="106"/>
      <c r="E493" s="117"/>
      <c r="F493" s="87"/>
      <c r="G493" s="88"/>
      <c r="H493" s="88"/>
      <c r="I493" s="87"/>
      <c r="J493" s="88"/>
      <c r="K493" s="88"/>
      <c r="L493" s="87"/>
      <c r="M493" s="117"/>
      <c r="N493" s="90"/>
      <c r="O493" s="91" t="str">
        <f aca="false">IF(ISBLANK($C493),"",IF(E493=Constants!$B$2, TRUE(), IF(E493=Constants!$B$3, FALSE(), TRUE())))</f>
        <v/>
      </c>
      <c r="P493" s="91" t="str">
        <f aca="false">IF(ISBLANK($C493),"",IF(F493=Constants!$B$16,Constants!$B$9,IF(F493=Constants!$B$17,Constants!$B$10,Constants!$B$8)))</f>
        <v/>
      </c>
      <c r="Q493" s="91" t="str">
        <f aca="false">IF(ISBLANK($C493),"",IF(ISNUMBER(G493),IF(G493&gt;=0,G493,""),""))</f>
        <v/>
      </c>
      <c r="R493" s="91" t="str">
        <f aca="false">IF(ISBLANK($C493),"",IF(H493=Constants!$B$2, TRUE(), IF(H493=Constants!$B$3, FALSE(), TRUE())))</f>
        <v/>
      </c>
      <c r="S493" s="91" t="str">
        <f aca="false">IF(ISBLANK($C493),"",IF(I493=Constants!$B$2, TRUE(), IF(I493=Constants!$B$3, FALSE(), TRUE())))</f>
        <v/>
      </c>
      <c r="T493" s="91" t="str">
        <f aca="false">IF(ISBLANK($C493),"",IF(ISNUMBER(J493),IF(J493&gt;=0,J493,""),""))</f>
        <v/>
      </c>
      <c r="U493" s="91" t="str">
        <f aca="false">IF(ISBLANK($C493),"",IF(K493=Constants!$B$2, TRUE(), IF(K493=Constants!$B$3, FALSE(), TRUE())))</f>
        <v/>
      </c>
      <c r="V493" s="91" t="str">
        <f aca="false">IF(ISBLANK($C493),"",IF(L493=Constants!$B$2, TRUE(), IF(L493=Constants!$B$3, FALSE(), TRUE())))</f>
        <v/>
      </c>
      <c r="W493" s="91" t="str">
        <f aca="false">IF(ISBLANK($C493),"",IF(M493=Constants!$B$2, TRUE(), IF(M493=Constants!$B$3, FALSE(), FALSE())))</f>
        <v/>
      </c>
      <c r="X493" s="91" t="str">
        <f aca="false">IF(ISBLANK($C493),"",AND(Q493&lt;&gt;"",O493))</f>
        <v/>
      </c>
      <c r="Y493" s="91" t="str">
        <f aca="false">IF(ISBLANK($C493),"",AND(T493&lt;&gt;"",O493))</f>
        <v/>
      </c>
      <c r="Z493" s="91" t="str">
        <f aca="false">IF(ISBLANK($C493),"",IF(W493,Constants!$B$4,IF(COUNTA(E493:L493)=0,Constants!$B$5,IF(NOT(O493),Constants!$B$6,IF(AND(NOT(X493),NOT(Y493)),Constants!$B$6,Constants!$B$7)))))</f>
        <v/>
      </c>
      <c r="AA493" s="91" t="str">
        <f aca="false">IF(ISBLANK($C493),"",IF($Z493&lt;&gt;Constants!$B$7,$Z493,Constants!$B$20))</f>
        <v/>
      </c>
      <c r="AB493" s="91" t="str">
        <f aca="false">IF($Z493=Constants!$B$7,IF(X493,Q493,Constants!$B$13),"")</f>
        <v/>
      </c>
      <c r="AC493" s="91" t="str">
        <f aca="false">IF($Z493=Constants!$B$7,IF(X493,P493*IF(R493, 1, Constants!$B$11)*IF(S493, 1, Constants!$B$12),Constants!$B$13),"")</f>
        <v/>
      </c>
      <c r="AD493" s="91" t="str">
        <f aca="false">IF($Z493=Constants!$B$7,AB493*AC493,"")</f>
        <v/>
      </c>
      <c r="AE493" s="91" t="str">
        <f aca="false">IF($Z493=Constants!$B$7,IF(Y493,T493,Constants!$B$13),"")</f>
        <v/>
      </c>
      <c r="AF493" s="91" t="str">
        <f aca="false">IF($Z493=Constants!$B$7,IF(Y493,P493*IF(U493, 1, Constants!$B$11)*IF(V493, 1, Constants!$B$12),Constants!$B$13),"")</f>
        <v/>
      </c>
      <c r="AG493" s="91" t="str">
        <f aca="false">IF($Z493=Constants!$B$7,AE493*AF493,"")</f>
        <v/>
      </c>
      <c r="AH493" s="91" t="str">
        <f aca="false">IF($Z493=Constants!$B$7,IF(AG493&gt;AD493,2,1),"")</f>
        <v/>
      </c>
      <c r="AI493" s="91" t="str">
        <f aca="false">IF($Z493=Constants!$B$7,IF(AH493=1,2,1),"")</f>
        <v/>
      </c>
      <c r="AJ493" s="91" t="str">
        <f aca="false">IF(ISBLANK($C493),"",IF($Z493&lt;&gt;Constants!$B$7,$Z493,IF(AH493=1,AD493,AG493)))</f>
        <v/>
      </c>
      <c r="AK493" s="91" t="str">
        <f aca="false">IF(ISBLANK($C493),"",IF($Z493=Constants!$B$7,IF(ISNUMBER(AJ493),RANK(AJ493,$AJ$8:$AJ$507),Constants!$B$14),$Z493))</f>
        <v/>
      </c>
      <c r="AL493" s="91" t="str">
        <f aca="false">IF(ISBLANK($C493),"",IF($Z493=Constants!$B$7,IF(AI493=1,AD493,AG493),""))</f>
        <v/>
      </c>
      <c r="AM493" s="91" t="str">
        <f aca="false">IF(ISBLANK($C493),"",IF($Z493=Constants!$B$7,RANK(AL493,$AL$8:$AL$507),$Z493))</f>
        <v/>
      </c>
      <c r="AN493" s="91" t="str">
        <f aca="false">IF(ISBLANK($C493),"",IF($Z493=Constants!$B$7,IF(ISNUMBER(AK493),COUNTIFS($AK$8:$AK$507,"&lt;"&amp;$AK493)+COUNTIFS($AK$8:$AK$507,$AK493,$AM$8:$AM$507,"&lt;"&amp;$AM493)+1,Constants!$B$14),$Z493))</f>
        <v/>
      </c>
      <c r="AO493" s="91" t="str">
        <f aca="false">IF(ISBLANK($C493),"",IF($Z493=Constants!$B$7,IF(ISNUMBER(AK493),AK493-AN493,Constants!$B$14),$Z493))</f>
        <v/>
      </c>
      <c r="AP493" s="92"/>
      <c r="AQ493" s="93" t="str">
        <f aca="false">IF(ISBLANK($C493),"",IF($Z493&lt;&gt;Constants!$B$7,"",AH493))</f>
        <v/>
      </c>
      <c r="AR493" s="94" t="str">
        <f aca="false">IF(ISBLANK($C493),"",IF($Z493&lt;&gt;Constants!$B$7,"",IF(AH493=1,AB493,AE493)))</f>
        <v/>
      </c>
      <c r="AS493" s="95" t="str">
        <f aca="false">IF(ISBLANK($C493),"",IF($Z493&lt;&gt;Constants!$B$7,"",IF(AH493=1,AC493,AF493)))</f>
        <v/>
      </c>
      <c r="AT493" s="96" t="str">
        <f aca="false">IF(ISBLANK($C493),"",IF($Z493&lt;&gt;Constants!$B$7,$Z493,AJ493))</f>
        <v/>
      </c>
      <c r="AU493" s="97" t="str">
        <f aca="false">IF(ISBLANK($C493),"",IF($Z493&lt;&gt;Constants!$B$7,$Z493,AA493))</f>
        <v/>
      </c>
      <c r="AV493" s="98" t="str">
        <f aca="false">IF(ISBLANK($C493),"",AO493)</f>
        <v/>
      </c>
      <c r="AW493" s="98" t="str">
        <f aca="false">IF(ISBLANK($C493),"",AN493)</f>
        <v/>
      </c>
      <c r="AX493" s="99" t="str">
        <f aca="false">IF(ISBLANK($C493),"",IFERROR(_xlfn.SWITCH(AW493,Constants!$B$4,COUNTA($C$8:$C$507)+2,Constants!$B$5,COUNTA($C$8:$C$507)+1,Constants!$B$6,COUNTA($C$8:$C$507)),AW493))</f>
        <v/>
      </c>
      <c r="AY493" s="5"/>
      <c r="AZ493" s="100" t="n">
        <f aca="false">IF(OR(ISNUMBER(AW493),AW493=Constants!$B$4,AW493=Constants!$B$6,AW493=Constants!$B$5),1,0)</f>
        <v>0</v>
      </c>
      <c r="BA493" s="100" t="n">
        <v>486</v>
      </c>
      <c r="BB493" s="100" t="str">
        <f aca="false">IF(ISBLANK($C493),"",IF(ISNUMBER(AX493),AX493+ROW($B493)/1000,""))</f>
        <v/>
      </c>
      <c r="BC493" s="100" t="str">
        <f aca="false">IF(ISNUMBER(BB493),RANK(BB493,$BB$8:$BB$507,1),"")</f>
        <v/>
      </c>
      <c r="BD493" s="100" t="str">
        <f aca="false">IF(ISBLANK($C493),"",$B493)</f>
        <v/>
      </c>
      <c r="BE493" s="100" t="str">
        <f aca="false">IF(ISBLANK($C493),"",$C493)</f>
        <v/>
      </c>
      <c r="BF493" s="100" t="str">
        <f aca="false">IF(ISBLANK($C493),"",$D493)</f>
        <v/>
      </c>
      <c r="BG493" s="101" t="str">
        <f aca="false">AU493</f>
        <v/>
      </c>
      <c r="BH493" s="102" t="str">
        <f aca="false">AT493</f>
        <v/>
      </c>
      <c r="BI493" s="100" t="str">
        <f aca="false">IF(ISBLANK($C493),"",AW493)</f>
        <v/>
      </c>
      <c r="BJ493" s="103" t="str">
        <f aca="false">IF($BA493&gt;$AZ$7,"",VLOOKUP($BA493,$BC$8:$BI$507,7,FALSE()))</f>
        <v/>
      </c>
      <c r="BK493" s="104" t="str">
        <f aca="false">IF($BA493&gt;$AZ$7,"",VLOOKUP($BA493,$BC$8:$BI$507,2,FALSE()))</f>
        <v/>
      </c>
      <c r="BL493" s="104" t="str">
        <f aca="false">IF($BA493&gt;$AZ$7,"",VLOOKUP($BA493,$BC$8:$BI$507,3,FALSE()))</f>
        <v/>
      </c>
      <c r="BM493" s="104" t="str">
        <f aca="false">IF($BA493&gt;$AZ$7,"",VLOOKUP($BA493,$BC$8:$BI$507,4,FALSE()))</f>
        <v/>
      </c>
      <c r="BN493" s="104" t="str">
        <f aca="false">IF($BA493&gt;$AZ$7,"",VLOOKUP($BA493,$BC$8:$BI$507,5,FALSE()))</f>
        <v/>
      </c>
      <c r="BO493" s="105" t="str">
        <f aca="false">IF($BA493&gt;$AZ$7,"",VLOOKUP($BA493,$BC$8:$BI$507,6,FALSE()))</f>
        <v/>
      </c>
      <c r="BP493" s="52"/>
    </row>
    <row r="494" customFormat="false" ht="15.75" hidden="false" customHeight="false" outlineLevel="0" collapsed="false">
      <c r="A494" s="5"/>
      <c r="B494" s="118"/>
      <c r="C494" s="54"/>
      <c r="D494" s="55"/>
      <c r="E494" s="79"/>
      <c r="F494" s="57"/>
      <c r="G494" s="58"/>
      <c r="H494" s="58"/>
      <c r="I494" s="57"/>
      <c r="J494" s="58"/>
      <c r="K494" s="58"/>
      <c r="L494" s="57"/>
      <c r="M494" s="79"/>
      <c r="N494" s="60"/>
      <c r="O494" s="62" t="str">
        <f aca="false">IF(ISBLANK($C494),"",IF(E494=Constants!$B$2, TRUE(), IF(E494=Constants!$B$3, FALSE(), TRUE())))</f>
        <v/>
      </c>
      <c r="P494" s="62" t="str">
        <f aca="false">IF(ISBLANK($C494),"",IF(F494=Constants!$B$16,Constants!$B$9,IF(F494=Constants!$B$17,Constants!$B$10,Constants!$B$8)))</f>
        <v/>
      </c>
      <c r="Q494" s="62" t="str">
        <f aca="false">IF(ISBLANK($C494),"",IF(ISNUMBER(G494),IF(G494&gt;=0,G494,""),""))</f>
        <v/>
      </c>
      <c r="R494" s="62" t="str">
        <f aca="false">IF(ISBLANK($C494),"",IF(H494=Constants!$B$2, TRUE(), IF(H494=Constants!$B$3, FALSE(), TRUE())))</f>
        <v/>
      </c>
      <c r="S494" s="62" t="str">
        <f aca="false">IF(ISBLANK($C494),"",IF(I494=Constants!$B$2, TRUE(), IF(I494=Constants!$B$3, FALSE(), TRUE())))</f>
        <v/>
      </c>
      <c r="T494" s="62" t="str">
        <f aca="false">IF(ISBLANK($C494),"",IF(ISNUMBER(J494),IF(J494&gt;=0,J494,""),""))</f>
        <v/>
      </c>
      <c r="U494" s="62" t="str">
        <f aca="false">IF(ISBLANK($C494),"",IF(K494=Constants!$B$2, TRUE(), IF(K494=Constants!$B$3, FALSE(), TRUE())))</f>
        <v/>
      </c>
      <c r="V494" s="62" t="str">
        <f aca="false">IF(ISBLANK($C494),"",IF(L494=Constants!$B$2, TRUE(), IF(L494=Constants!$B$3, FALSE(), TRUE())))</f>
        <v/>
      </c>
      <c r="W494" s="62" t="str">
        <f aca="false">IF(ISBLANK($C494),"",IF(M494=Constants!$B$2, TRUE(), IF(M494=Constants!$B$3, FALSE(), FALSE())))</f>
        <v/>
      </c>
      <c r="X494" s="62" t="str">
        <f aca="false">IF(ISBLANK($C494),"",AND(Q494&lt;&gt;"",O494))</f>
        <v/>
      </c>
      <c r="Y494" s="62" t="str">
        <f aca="false">IF(ISBLANK($C494),"",AND(T494&lt;&gt;"",O494))</f>
        <v/>
      </c>
      <c r="Z494" s="62" t="str">
        <f aca="false">IF(ISBLANK($C494),"",IF(W494,Constants!$B$4,IF(COUNTA(E494:L494)=0,Constants!$B$5,IF(NOT(O494),Constants!$B$6,IF(AND(NOT(X494),NOT(Y494)),Constants!$B$6,Constants!$B$7)))))</f>
        <v/>
      </c>
      <c r="AA494" s="62" t="str">
        <f aca="false">IF(ISBLANK($C494),"",IF($Z494&lt;&gt;Constants!$B$7,$Z494,Constants!$B$20))</f>
        <v/>
      </c>
      <c r="AB494" s="62" t="str">
        <f aca="false">IF($Z494=Constants!$B$7,IF(X494,Q494,Constants!$B$13),"")</f>
        <v/>
      </c>
      <c r="AC494" s="62" t="str">
        <f aca="false">IF($Z494=Constants!$B$7,IF(X494,P494*IF(R494, 1, Constants!$B$11)*IF(S494, 1, Constants!$B$12),Constants!$B$13),"")</f>
        <v/>
      </c>
      <c r="AD494" s="62" t="str">
        <f aca="false">IF($Z494=Constants!$B$7,AB494*AC494,"")</f>
        <v/>
      </c>
      <c r="AE494" s="62" t="str">
        <f aca="false">IF($Z494=Constants!$B$7,IF(Y494,T494,Constants!$B$13),"")</f>
        <v/>
      </c>
      <c r="AF494" s="62" t="str">
        <f aca="false">IF($Z494=Constants!$B$7,IF(Y494,P494*IF(U494, 1, Constants!$B$11)*IF(V494, 1, Constants!$B$12),Constants!$B$13),"")</f>
        <v/>
      </c>
      <c r="AG494" s="62" t="str">
        <f aca="false">IF($Z494=Constants!$B$7,AE494*AF494,"")</f>
        <v/>
      </c>
      <c r="AH494" s="62" t="str">
        <f aca="false">IF($Z494=Constants!$B$7,IF(AG494&gt;AD494,2,1),"")</f>
        <v/>
      </c>
      <c r="AI494" s="62" t="str">
        <f aca="false">IF($Z494=Constants!$B$7,IF(AH494=1,2,1),"")</f>
        <v/>
      </c>
      <c r="AJ494" s="62" t="str">
        <f aca="false">IF(ISBLANK($C494),"",IF($Z494&lt;&gt;Constants!$B$7,$Z494,IF(AH494=1,AD494,AG494)))</f>
        <v/>
      </c>
      <c r="AK494" s="62" t="str">
        <f aca="false">IF(ISBLANK($C494),"",IF($Z494=Constants!$B$7,IF(ISNUMBER(AJ494),RANK(AJ494,$AJ$8:$AJ$507),Constants!$B$14),$Z494))</f>
        <v/>
      </c>
      <c r="AL494" s="62" t="str">
        <f aca="false">IF(ISBLANK($C494),"",IF($Z494=Constants!$B$7,IF(AI494=1,AD494,AG494),""))</f>
        <v/>
      </c>
      <c r="AM494" s="62" t="str">
        <f aca="false">IF(ISBLANK($C494),"",IF($Z494=Constants!$B$7,RANK(AL494,$AL$8:$AL$507),$Z494))</f>
        <v/>
      </c>
      <c r="AN494" s="62" t="str">
        <f aca="false">IF(ISBLANK($C494),"",IF($Z494=Constants!$B$7,IF(ISNUMBER(AK494),COUNTIFS($AK$8:$AK$507,"&lt;"&amp;$AK494)+COUNTIFS($AK$8:$AK$507,$AK494,$AM$8:$AM$507,"&lt;"&amp;$AM494)+1,Constants!$B$14),$Z494))</f>
        <v/>
      </c>
      <c r="AO494" s="62" t="str">
        <f aca="false">IF(ISBLANK($C494),"",IF($Z494=Constants!$B$7,IF(ISNUMBER(AK494),AK494-AN494,Constants!$B$14),$Z494))</f>
        <v/>
      </c>
      <c r="AP494" s="64"/>
      <c r="AQ494" s="65" t="str">
        <f aca="false">IF(ISBLANK($C494),"",IF($Z494&lt;&gt;Constants!$B$7,"",AH494))</f>
        <v/>
      </c>
      <c r="AR494" s="80" t="str">
        <f aca="false">IF(ISBLANK($C494),"",IF($Z494&lt;&gt;Constants!$B$7,"",IF(AH494=1,AB494,AE494)))</f>
        <v/>
      </c>
      <c r="AS494" s="67" t="str">
        <f aca="false">IF(ISBLANK($C494),"",IF($Z494&lt;&gt;Constants!$B$7,"",IF(AH494=1,AC494,AF494)))</f>
        <v/>
      </c>
      <c r="AT494" s="68" t="str">
        <f aca="false">IF(ISBLANK($C494),"",IF($Z494&lt;&gt;Constants!$B$7,$Z494,AJ494))</f>
        <v/>
      </c>
      <c r="AU494" s="69" t="str">
        <f aca="false">IF(ISBLANK($C494),"",IF($Z494&lt;&gt;Constants!$B$7,$Z494,AA494))</f>
        <v/>
      </c>
      <c r="AV494" s="70" t="str">
        <f aca="false">IF(ISBLANK($C494),"",AO494)</f>
        <v/>
      </c>
      <c r="AW494" s="70" t="str">
        <f aca="false">IF(ISBLANK($C494),"",AN494)</f>
        <v/>
      </c>
      <c r="AX494" s="71" t="str">
        <f aca="false">IF(ISBLANK($C494),"",IFERROR(_xlfn.SWITCH(AW494,Constants!$B$4,COUNTA($C$8:$C$507)+2,Constants!$B$5,COUNTA($C$8:$C$507)+1,Constants!$B$6,COUNTA($C$8:$C$507)),AW494))</f>
        <v/>
      </c>
      <c r="AY494" s="5"/>
      <c r="AZ494" s="72" t="n">
        <f aca="false">IF(OR(ISNUMBER(AW494),AW494=Constants!$B$4,AW494=Constants!$B$6,AW494=Constants!$B$5),1,0)</f>
        <v>0</v>
      </c>
      <c r="BA494" s="72" t="n">
        <v>487</v>
      </c>
      <c r="BB494" s="72" t="str">
        <f aca="false">IF(ISBLANK($C494),"",IF(ISNUMBER(AX494),AX494+ROW($B494)/1000,""))</f>
        <v/>
      </c>
      <c r="BC494" s="72" t="str">
        <f aca="false">IF(ISNUMBER(BB494),RANK(BB494,$BB$8:$BB$507,1),"")</f>
        <v/>
      </c>
      <c r="BD494" s="72" t="str">
        <f aca="false">IF(ISBLANK($C494),"",$B494)</f>
        <v/>
      </c>
      <c r="BE494" s="72" t="str">
        <f aca="false">IF(ISBLANK($C494),"",$C494)</f>
        <v/>
      </c>
      <c r="BF494" s="72" t="str">
        <f aca="false">IF(ISBLANK($C494),"",$D494)</f>
        <v/>
      </c>
      <c r="BG494" s="73" t="str">
        <f aca="false">AU494</f>
        <v/>
      </c>
      <c r="BH494" s="74" t="str">
        <f aca="false">AT494</f>
        <v/>
      </c>
      <c r="BI494" s="72" t="str">
        <f aca="false">IF(ISBLANK($C494),"",AW494)</f>
        <v/>
      </c>
      <c r="BJ494" s="75" t="str">
        <f aca="false">IF($BA494&gt;$AZ$7,"",VLOOKUP($BA494,$BC$8:$BI$507,7,FALSE()))</f>
        <v/>
      </c>
      <c r="BK494" s="76" t="str">
        <f aca="false">IF($BA494&gt;$AZ$7,"",VLOOKUP($BA494,$BC$8:$BI$507,2,FALSE()))</f>
        <v/>
      </c>
      <c r="BL494" s="76" t="str">
        <f aca="false">IF($BA494&gt;$AZ$7,"",VLOOKUP($BA494,$BC$8:$BI$507,3,FALSE()))</f>
        <v/>
      </c>
      <c r="BM494" s="76" t="str">
        <f aca="false">IF($BA494&gt;$AZ$7,"",VLOOKUP($BA494,$BC$8:$BI$507,4,FALSE()))</f>
        <v/>
      </c>
      <c r="BN494" s="76" t="str">
        <f aca="false">IF($BA494&gt;$AZ$7,"",VLOOKUP($BA494,$BC$8:$BI$507,5,FALSE()))</f>
        <v/>
      </c>
      <c r="BO494" s="77" t="str">
        <f aca="false">IF($BA494&gt;$AZ$7,"",VLOOKUP($BA494,$BC$8:$BI$507,6,FALSE()))</f>
        <v/>
      </c>
      <c r="BP494" s="52"/>
    </row>
    <row r="495" customFormat="false" ht="15.75" hidden="false" customHeight="false" outlineLevel="0" collapsed="false">
      <c r="A495" s="5"/>
      <c r="B495" s="118"/>
      <c r="C495" s="54"/>
      <c r="D495" s="55"/>
      <c r="E495" s="79"/>
      <c r="F495" s="57"/>
      <c r="G495" s="58"/>
      <c r="H495" s="58"/>
      <c r="I495" s="57"/>
      <c r="J495" s="58"/>
      <c r="K495" s="58"/>
      <c r="L495" s="57"/>
      <c r="M495" s="79"/>
      <c r="N495" s="60"/>
      <c r="O495" s="62" t="str">
        <f aca="false">IF(ISBLANK($C495),"",IF(E495=Constants!$B$2, TRUE(), IF(E495=Constants!$B$3, FALSE(), TRUE())))</f>
        <v/>
      </c>
      <c r="P495" s="62" t="str">
        <f aca="false">IF(ISBLANK($C495),"",IF(F495=Constants!$B$16,Constants!$B$9,IF(F495=Constants!$B$17,Constants!$B$10,Constants!$B$8)))</f>
        <v/>
      </c>
      <c r="Q495" s="62" t="str">
        <f aca="false">IF(ISBLANK($C495),"",IF(ISNUMBER(G495),IF(G495&gt;=0,G495,""),""))</f>
        <v/>
      </c>
      <c r="R495" s="62" t="str">
        <f aca="false">IF(ISBLANK($C495),"",IF(H495=Constants!$B$2, TRUE(), IF(H495=Constants!$B$3, FALSE(), TRUE())))</f>
        <v/>
      </c>
      <c r="S495" s="62" t="str">
        <f aca="false">IF(ISBLANK($C495),"",IF(I495=Constants!$B$2, TRUE(), IF(I495=Constants!$B$3, FALSE(), TRUE())))</f>
        <v/>
      </c>
      <c r="T495" s="62" t="str">
        <f aca="false">IF(ISBLANK($C495),"",IF(ISNUMBER(J495),IF(J495&gt;=0,J495,""),""))</f>
        <v/>
      </c>
      <c r="U495" s="62" t="str">
        <f aca="false">IF(ISBLANK($C495),"",IF(K495=Constants!$B$2, TRUE(), IF(K495=Constants!$B$3, FALSE(), TRUE())))</f>
        <v/>
      </c>
      <c r="V495" s="62" t="str">
        <f aca="false">IF(ISBLANK($C495),"",IF(L495=Constants!$B$2, TRUE(), IF(L495=Constants!$B$3, FALSE(), TRUE())))</f>
        <v/>
      </c>
      <c r="W495" s="62" t="str">
        <f aca="false">IF(ISBLANK($C495),"",IF(M495=Constants!$B$2, TRUE(), IF(M495=Constants!$B$3, FALSE(), FALSE())))</f>
        <v/>
      </c>
      <c r="X495" s="62" t="str">
        <f aca="false">IF(ISBLANK($C495),"",AND(Q495&lt;&gt;"",O495))</f>
        <v/>
      </c>
      <c r="Y495" s="62" t="str">
        <f aca="false">IF(ISBLANK($C495),"",AND(T495&lt;&gt;"",O495))</f>
        <v/>
      </c>
      <c r="Z495" s="62" t="str">
        <f aca="false">IF(ISBLANK($C495),"",IF(W495,Constants!$B$4,IF(COUNTA(E495:L495)=0,Constants!$B$5,IF(NOT(O495),Constants!$B$6,IF(AND(NOT(X495),NOT(Y495)),Constants!$B$6,Constants!$B$7)))))</f>
        <v/>
      </c>
      <c r="AA495" s="62" t="str">
        <f aca="false">IF(ISBLANK($C495),"",IF($Z495&lt;&gt;Constants!$B$7,$Z495,Constants!$B$20))</f>
        <v/>
      </c>
      <c r="AB495" s="62" t="str">
        <f aca="false">IF($Z495=Constants!$B$7,IF(X495,Q495,Constants!$B$13),"")</f>
        <v/>
      </c>
      <c r="AC495" s="62" t="str">
        <f aca="false">IF($Z495=Constants!$B$7,IF(X495,P495*IF(R495, 1, Constants!$B$11)*IF(S495, 1, Constants!$B$12),Constants!$B$13),"")</f>
        <v/>
      </c>
      <c r="AD495" s="62" t="str">
        <f aca="false">IF($Z495=Constants!$B$7,AB495*AC495,"")</f>
        <v/>
      </c>
      <c r="AE495" s="62" t="str">
        <f aca="false">IF($Z495=Constants!$B$7,IF(Y495,T495,Constants!$B$13),"")</f>
        <v/>
      </c>
      <c r="AF495" s="62" t="str">
        <f aca="false">IF($Z495=Constants!$B$7,IF(Y495,P495*IF(U495, 1, Constants!$B$11)*IF(V495, 1, Constants!$B$12),Constants!$B$13),"")</f>
        <v/>
      </c>
      <c r="AG495" s="62" t="str">
        <f aca="false">IF($Z495=Constants!$B$7,AE495*AF495,"")</f>
        <v/>
      </c>
      <c r="AH495" s="62" t="str">
        <f aca="false">IF($Z495=Constants!$B$7,IF(AG495&gt;AD495,2,1),"")</f>
        <v/>
      </c>
      <c r="AI495" s="62" t="str">
        <f aca="false">IF($Z495=Constants!$B$7,IF(AH495=1,2,1),"")</f>
        <v/>
      </c>
      <c r="AJ495" s="62" t="str">
        <f aca="false">IF(ISBLANK($C495),"",IF($Z495&lt;&gt;Constants!$B$7,$Z495,IF(AH495=1,AD495,AG495)))</f>
        <v/>
      </c>
      <c r="AK495" s="62" t="str">
        <f aca="false">IF(ISBLANK($C495),"",IF($Z495=Constants!$B$7,IF(ISNUMBER(AJ495),RANK(AJ495,$AJ$8:$AJ$507),Constants!$B$14),$Z495))</f>
        <v/>
      </c>
      <c r="AL495" s="62" t="str">
        <f aca="false">IF(ISBLANK($C495),"",IF($Z495=Constants!$B$7,IF(AI495=1,AD495,AG495),""))</f>
        <v/>
      </c>
      <c r="AM495" s="62" t="str">
        <f aca="false">IF(ISBLANK($C495),"",IF($Z495=Constants!$B$7,RANK(AL495,$AL$8:$AL$507),$Z495))</f>
        <v/>
      </c>
      <c r="AN495" s="62" t="str">
        <f aca="false">IF(ISBLANK($C495),"",IF($Z495=Constants!$B$7,IF(ISNUMBER(AK495),COUNTIFS($AK$8:$AK$507,"&lt;"&amp;$AK495)+COUNTIFS($AK$8:$AK$507,$AK495,$AM$8:$AM$507,"&lt;"&amp;$AM495)+1,Constants!$B$14),$Z495))</f>
        <v/>
      </c>
      <c r="AO495" s="62" t="str">
        <f aca="false">IF(ISBLANK($C495),"",IF($Z495=Constants!$B$7,IF(ISNUMBER(AK495),AK495-AN495,Constants!$B$14),$Z495))</f>
        <v/>
      </c>
      <c r="AP495" s="64"/>
      <c r="AQ495" s="65" t="str">
        <f aca="false">IF(ISBLANK($C495),"",IF($Z495&lt;&gt;Constants!$B$7,"",AH495))</f>
        <v/>
      </c>
      <c r="AR495" s="80" t="str">
        <f aca="false">IF(ISBLANK($C495),"",IF($Z495&lt;&gt;Constants!$B$7,"",IF(AH495=1,AB495,AE495)))</f>
        <v/>
      </c>
      <c r="AS495" s="67" t="str">
        <f aca="false">IF(ISBLANK($C495),"",IF($Z495&lt;&gt;Constants!$B$7,"",IF(AH495=1,AC495,AF495)))</f>
        <v/>
      </c>
      <c r="AT495" s="68" t="str">
        <f aca="false">IF(ISBLANK($C495),"",IF($Z495&lt;&gt;Constants!$B$7,$Z495,AJ495))</f>
        <v/>
      </c>
      <c r="AU495" s="69" t="str">
        <f aca="false">IF(ISBLANK($C495),"",IF($Z495&lt;&gt;Constants!$B$7,$Z495,AA495))</f>
        <v/>
      </c>
      <c r="AV495" s="70" t="str">
        <f aca="false">IF(ISBLANK($C495),"",AO495)</f>
        <v/>
      </c>
      <c r="AW495" s="70" t="str">
        <f aca="false">IF(ISBLANK($C495),"",AN495)</f>
        <v/>
      </c>
      <c r="AX495" s="71" t="str">
        <f aca="false">IF(ISBLANK($C495),"",IFERROR(_xlfn.SWITCH(AW495,Constants!$B$4,COUNTA($C$8:$C$507)+2,Constants!$B$5,COUNTA($C$8:$C$507)+1,Constants!$B$6,COUNTA($C$8:$C$507)),AW495))</f>
        <v/>
      </c>
      <c r="AY495" s="5"/>
      <c r="AZ495" s="72" t="n">
        <f aca="false">IF(OR(ISNUMBER(AW495),AW495=Constants!$B$4,AW495=Constants!$B$6,AW495=Constants!$B$5),1,0)</f>
        <v>0</v>
      </c>
      <c r="BA495" s="72" t="n">
        <v>488</v>
      </c>
      <c r="BB495" s="72" t="str">
        <f aca="false">IF(ISBLANK($C495),"",IF(ISNUMBER(AX495),AX495+ROW($B495)/1000,""))</f>
        <v/>
      </c>
      <c r="BC495" s="72" t="str">
        <f aca="false">IF(ISNUMBER(BB495),RANK(BB495,$BB$8:$BB$507,1),"")</f>
        <v/>
      </c>
      <c r="BD495" s="72" t="str">
        <f aca="false">IF(ISBLANK($C495),"",$B495)</f>
        <v/>
      </c>
      <c r="BE495" s="72" t="str">
        <f aca="false">IF(ISBLANK($C495),"",$C495)</f>
        <v/>
      </c>
      <c r="BF495" s="72" t="str">
        <f aca="false">IF(ISBLANK($C495),"",$D495)</f>
        <v/>
      </c>
      <c r="BG495" s="73" t="str">
        <f aca="false">AU495</f>
        <v/>
      </c>
      <c r="BH495" s="74" t="str">
        <f aca="false">AT495</f>
        <v/>
      </c>
      <c r="BI495" s="72" t="str">
        <f aca="false">IF(ISBLANK($C495),"",AW495)</f>
        <v/>
      </c>
      <c r="BJ495" s="75" t="str">
        <f aca="false">IF($BA495&gt;$AZ$7,"",VLOOKUP($BA495,$BC$8:$BI$507,7,FALSE()))</f>
        <v/>
      </c>
      <c r="BK495" s="76" t="str">
        <f aca="false">IF($BA495&gt;$AZ$7,"",VLOOKUP($BA495,$BC$8:$BI$507,2,FALSE()))</f>
        <v/>
      </c>
      <c r="BL495" s="76" t="str">
        <f aca="false">IF($BA495&gt;$AZ$7,"",VLOOKUP($BA495,$BC$8:$BI$507,3,FALSE()))</f>
        <v/>
      </c>
      <c r="BM495" s="76" t="str">
        <f aca="false">IF($BA495&gt;$AZ$7,"",VLOOKUP($BA495,$BC$8:$BI$507,4,FALSE()))</f>
        <v/>
      </c>
      <c r="BN495" s="76" t="str">
        <f aca="false">IF($BA495&gt;$AZ$7,"",VLOOKUP($BA495,$BC$8:$BI$507,5,FALSE()))</f>
        <v/>
      </c>
      <c r="BO495" s="77" t="str">
        <f aca="false">IF($BA495&gt;$AZ$7,"",VLOOKUP($BA495,$BC$8:$BI$507,6,FALSE()))</f>
        <v/>
      </c>
      <c r="BP495" s="52"/>
    </row>
    <row r="496" customFormat="false" ht="15.75" hidden="false" customHeight="false" outlineLevel="0" collapsed="false">
      <c r="A496" s="5"/>
      <c r="B496" s="118"/>
      <c r="C496" s="54"/>
      <c r="D496" s="55"/>
      <c r="E496" s="79"/>
      <c r="F496" s="57"/>
      <c r="G496" s="58"/>
      <c r="H496" s="58"/>
      <c r="I496" s="57"/>
      <c r="J496" s="58"/>
      <c r="K496" s="58"/>
      <c r="L496" s="57"/>
      <c r="M496" s="79"/>
      <c r="N496" s="60"/>
      <c r="O496" s="62" t="str">
        <f aca="false">IF(ISBLANK($C496),"",IF(E496=Constants!$B$2, TRUE(), IF(E496=Constants!$B$3, FALSE(), TRUE())))</f>
        <v/>
      </c>
      <c r="P496" s="62" t="str">
        <f aca="false">IF(ISBLANK($C496),"",IF(F496=Constants!$B$16,Constants!$B$9,IF(F496=Constants!$B$17,Constants!$B$10,Constants!$B$8)))</f>
        <v/>
      </c>
      <c r="Q496" s="62" t="str">
        <f aca="false">IF(ISBLANK($C496),"",IF(ISNUMBER(G496),IF(G496&gt;=0,G496,""),""))</f>
        <v/>
      </c>
      <c r="R496" s="62" t="str">
        <f aca="false">IF(ISBLANK($C496),"",IF(H496=Constants!$B$2, TRUE(), IF(H496=Constants!$B$3, FALSE(), TRUE())))</f>
        <v/>
      </c>
      <c r="S496" s="62" t="str">
        <f aca="false">IF(ISBLANK($C496),"",IF(I496=Constants!$B$2, TRUE(), IF(I496=Constants!$B$3, FALSE(), TRUE())))</f>
        <v/>
      </c>
      <c r="T496" s="62" t="str">
        <f aca="false">IF(ISBLANK($C496),"",IF(ISNUMBER(J496),IF(J496&gt;=0,J496,""),""))</f>
        <v/>
      </c>
      <c r="U496" s="62" t="str">
        <f aca="false">IF(ISBLANK($C496),"",IF(K496=Constants!$B$2, TRUE(), IF(K496=Constants!$B$3, FALSE(), TRUE())))</f>
        <v/>
      </c>
      <c r="V496" s="62" t="str">
        <f aca="false">IF(ISBLANK($C496),"",IF(L496=Constants!$B$2, TRUE(), IF(L496=Constants!$B$3, FALSE(), TRUE())))</f>
        <v/>
      </c>
      <c r="W496" s="62" t="str">
        <f aca="false">IF(ISBLANK($C496),"",IF(M496=Constants!$B$2, TRUE(), IF(M496=Constants!$B$3, FALSE(), FALSE())))</f>
        <v/>
      </c>
      <c r="X496" s="62" t="str">
        <f aca="false">IF(ISBLANK($C496),"",AND(Q496&lt;&gt;"",O496))</f>
        <v/>
      </c>
      <c r="Y496" s="62" t="str">
        <f aca="false">IF(ISBLANK($C496),"",AND(T496&lt;&gt;"",O496))</f>
        <v/>
      </c>
      <c r="Z496" s="62" t="str">
        <f aca="false">IF(ISBLANK($C496),"",IF(W496,Constants!$B$4,IF(COUNTA(E496:L496)=0,Constants!$B$5,IF(NOT(O496),Constants!$B$6,IF(AND(NOT(X496),NOT(Y496)),Constants!$B$6,Constants!$B$7)))))</f>
        <v/>
      </c>
      <c r="AA496" s="62" t="str">
        <f aca="false">IF(ISBLANK($C496),"",IF($Z496&lt;&gt;Constants!$B$7,$Z496,Constants!$B$20))</f>
        <v/>
      </c>
      <c r="AB496" s="62" t="str">
        <f aca="false">IF($Z496=Constants!$B$7,IF(X496,Q496,Constants!$B$13),"")</f>
        <v/>
      </c>
      <c r="AC496" s="62" t="str">
        <f aca="false">IF($Z496=Constants!$B$7,IF(X496,P496*IF(R496, 1, Constants!$B$11)*IF(S496, 1, Constants!$B$12),Constants!$B$13),"")</f>
        <v/>
      </c>
      <c r="AD496" s="62" t="str">
        <f aca="false">IF($Z496=Constants!$B$7,AB496*AC496,"")</f>
        <v/>
      </c>
      <c r="AE496" s="62" t="str">
        <f aca="false">IF($Z496=Constants!$B$7,IF(Y496,T496,Constants!$B$13),"")</f>
        <v/>
      </c>
      <c r="AF496" s="62" t="str">
        <f aca="false">IF($Z496=Constants!$B$7,IF(Y496,P496*IF(U496, 1, Constants!$B$11)*IF(V496, 1, Constants!$B$12),Constants!$B$13),"")</f>
        <v/>
      </c>
      <c r="AG496" s="62" t="str">
        <f aca="false">IF($Z496=Constants!$B$7,AE496*AF496,"")</f>
        <v/>
      </c>
      <c r="AH496" s="62" t="str">
        <f aca="false">IF($Z496=Constants!$B$7,IF(AG496&gt;AD496,2,1),"")</f>
        <v/>
      </c>
      <c r="AI496" s="62" t="str">
        <f aca="false">IF($Z496=Constants!$B$7,IF(AH496=1,2,1),"")</f>
        <v/>
      </c>
      <c r="AJ496" s="62" t="str">
        <f aca="false">IF(ISBLANK($C496),"",IF($Z496&lt;&gt;Constants!$B$7,$Z496,IF(AH496=1,AD496,AG496)))</f>
        <v/>
      </c>
      <c r="AK496" s="62" t="str">
        <f aca="false">IF(ISBLANK($C496),"",IF($Z496=Constants!$B$7,IF(ISNUMBER(AJ496),RANK(AJ496,$AJ$8:$AJ$507),Constants!$B$14),$Z496))</f>
        <v/>
      </c>
      <c r="AL496" s="62" t="str">
        <f aca="false">IF(ISBLANK($C496),"",IF($Z496=Constants!$B$7,IF(AI496=1,AD496,AG496),""))</f>
        <v/>
      </c>
      <c r="AM496" s="62" t="str">
        <f aca="false">IF(ISBLANK($C496),"",IF($Z496=Constants!$B$7,RANK(AL496,$AL$8:$AL$507),$Z496))</f>
        <v/>
      </c>
      <c r="AN496" s="62" t="str">
        <f aca="false">IF(ISBLANK($C496),"",IF($Z496=Constants!$B$7,IF(ISNUMBER(AK496),COUNTIFS($AK$8:$AK$507,"&lt;"&amp;$AK496)+COUNTIFS($AK$8:$AK$507,$AK496,$AM$8:$AM$507,"&lt;"&amp;$AM496)+1,Constants!$B$14),$Z496))</f>
        <v/>
      </c>
      <c r="AO496" s="62" t="str">
        <f aca="false">IF(ISBLANK($C496),"",IF($Z496=Constants!$B$7,IF(ISNUMBER(AK496),AK496-AN496,Constants!$B$14),$Z496))</f>
        <v/>
      </c>
      <c r="AP496" s="64"/>
      <c r="AQ496" s="65" t="str">
        <f aca="false">IF(ISBLANK($C496),"",IF($Z496&lt;&gt;Constants!$B$7,"",AH496))</f>
        <v/>
      </c>
      <c r="AR496" s="80" t="str">
        <f aca="false">IF(ISBLANK($C496),"",IF($Z496&lt;&gt;Constants!$B$7,"",IF(AH496=1,AB496,AE496)))</f>
        <v/>
      </c>
      <c r="AS496" s="67" t="str">
        <f aca="false">IF(ISBLANK($C496),"",IF($Z496&lt;&gt;Constants!$B$7,"",IF(AH496=1,AC496,AF496)))</f>
        <v/>
      </c>
      <c r="AT496" s="68" t="str">
        <f aca="false">IF(ISBLANK($C496),"",IF($Z496&lt;&gt;Constants!$B$7,$Z496,AJ496))</f>
        <v/>
      </c>
      <c r="AU496" s="69" t="str">
        <f aca="false">IF(ISBLANK($C496),"",IF($Z496&lt;&gt;Constants!$B$7,$Z496,AA496))</f>
        <v/>
      </c>
      <c r="AV496" s="70" t="str">
        <f aca="false">IF(ISBLANK($C496),"",AO496)</f>
        <v/>
      </c>
      <c r="AW496" s="70" t="str">
        <f aca="false">IF(ISBLANK($C496),"",AN496)</f>
        <v/>
      </c>
      <c r="AX496" s="71" t="str">
        <f aca="false">IF(ISBLANK($C496),"",IFERROR(_xlfn.SWITCH(AW496,Constants!$B$4,COUNTA($C$8:$C$507)+2,Constants!$B$5,COUNTA($C$8:$C$507)+1,Constants!$B$6,COUNTA($C$8:$C$507)),AW496))</f>
        <v/>
      </c>
      <c r="AY496" s="5"/>
      <c r="AZ496" s="72" t="n">
        <f aca="false">IF(OR(ISNUMBER(AW496),AW496=Constants!$B$4,AW496=Constants!$B$6,AW496=Constants!$B$5),1,0)</f>
        <v>0</v>
      </c>
      <c r="BA496" s="72" t="n">
        <v>489</v>
      </c>
      <c r="BB496" s="72" t="str">
        <f aca="false">IF(ISBLANK($C496),"",IF(ISNUMBER(AX496),AX496+ROW($B496)/1000,""))</f>
        <v/>
      </c>
      <c r="BC496" s="72" t="str">
        <f aca="false">IF(ISNUMBER(BB496),RANK(BB496,$BB$8:$BB$507,1),"")</f>
        <v/>
      </c>
      <c r="BD496" s="72" t="str">
        <f aca="false">IF(ISBLANK($C496),"",$B496)</f>
        <v/>
      </c>
      <c r="BE496" s="72" t="str">
        <f aca="false">IF(ISBLANK($C496),"",$C496)</f>
        <v/>
      </c>
      <c r="BF496" s="72" t="str">
        <f aca="false">IF(ISBLANK($C496),"",$D496)</f>
        <v/>
      </c>
      <c r="BG496" s="73" t="str">
        <f aca="false">AU496</f>
        <v/>
      </c>
      <c r="BH496" s="74" t="str">
        <f aca="false">AT496</f>
        <v/>
      </c>
      <c r="BI496" s="72" t="str">
        <f aca="false">IF(ISBLANK($C496),"",AW496)</f>
        <v/>
      </c>
      <c r="BJ496" s="75" t="str">
        <f aca="false">IF($BA496&gt;$AZ$7,"",VLOOKUP($BA496,$BC$8:$BI$507,7,FALSE()))</f>
        <v/>
      </c>
      <c r="BK496" s="76" t="str">
        <f aca="false">IF($BA496&gt;$AZ$7,"",VLOOKUP($BA496,$BC$8:$BI$507,2,FALSE()))</f>
        <v/>
      </c>
      <c r="BL496" s="76" t="str">
        <f aca="false">IF($BA496&gt;$AZ$7,"",VLOOKUP($BA496,$BC$8:$BI$507,3,FALSE()))</f>
        <v/>
      </c>
      <c r="BM496" s="76" t="str">
        <f aca="false">IF($BA496&gt;$AZ$7,"",VLOOKUP($BA496,$BC$8:$BI$507,4,FALSE()))</f>
        <v/>
      </c>
      <c r="BN496" s="76" t="str">
        <f aca="false">IF($BA496&gt;$AZ$7,"",VLOOKUP($BA496,$BC$8:$BI$507,5,FALSE()))</f>
        <v/>
      </c>
      <c r="BO496" s="77" t="str">
        <f aca="false">IF($BA496&gt;$AZ$7,"",VLOOKUP($BA496,$BC$8:$BI$507,6,FALSE()))</f>
        <v/>
      </c>
      <c r="BP496" s="52"/>
    </row>
    <row r="497" customFormat="false" ht="15.75" hidden="false" customHeight="false" outlineLevel="0" collapsed="false">
      <c r="A497" s="5"/>
      <c r="B497" s="114"/>
      <c r="C497" s="115"/>
      <c r="D497" s="106"/>
      <c r="E497" s="117"/>
      <c r="F497" s="87"/>
      <c r="G497" s="88"/>
      <c r="H497" s="88"/>
      <c r="I497" s="87"/>
      <c r="J497" s="88"/>
      <c r="K497" s="88"/>
      <c r="L497" s="87"/>
      <c r="M497" s="117"/>
      <c r="N497" s="90"/>
      <c r="O497" s="91" t="str">
        <f aca="false">IF(ISBLANK($C497),"",IF(E497=Constants!$B$2, TRUE(), IF(E497=Constants!$B$3, FALSE(), TRUE())))</f>
        <v/>
      </c>
      <c r="P497" s="91" t="str">
        <f aca="false">IF(ISBLANK($C497),"",IF(F497=Constants!$B$16,Constants!$B$9,IF(F497=Constants!$B$17,Constants!$B$10,Constants!$B$8)))</f>
        <v/>
      </c>
      <c r="Q497" s="91" t="str">
        <f aca="false">IF(ISBLANK($C497),"",IF(ISNUMBER(G497),IF(G497&gt;=0,G497,""),""))</f>
        <v/>
      </c>
      <c r="R497" s="91" t="str">
        <f aca="false">IF(ISBLANK($C497),"",IF(H497=Constants!$B$2, TRUE(), IF(H497=Constants!$B$3, FALSE(), TRUE())))</f>
        <v/>
      </c>
      <c r="S497" s="91" t="str">
        <f aca="false">IF(ISBLANK($C497),"",IF(I497=Constants!$B$2, TRUE(), IF(I497=Constants!$B$3, FALSE(), TRUE())))</f>
        <v/>
      </c>
      <c r="T497" s="91" t="str">
        <f aca="false">IF(ISBLANK($C497),"",IF(ISNUMBER(J497),IF(J497&gt;=0,J497,""),""))</f>
        <v/>
      </c>
      <c r="U497" s="91" t="str">
        <f aca="false">IF(ISBLANK($C497),"",IF(K497=Constants!$B$2, TRUE(), IF(K497=Constants!$B$3, FALSE(), TRUE())))</f>
        <v/>
      </c>
      <c r="V497" s="91" t="str">
        <f aca="false">IF(ISBLANK($C497),"",IF(L497=Constants!$B$2, TRUE(), IF(L497=Constants!$B$3, FALSE(), TRUE())))</f>
        <v/>
      </c>
      <c r="W497" s="91" t="str">
        <f aca="false">IF(ISBLANK($C497),"",IF(M497=Constants!$B$2, TRUE(), IF(M497=Constants!$B$3, FALSE(), FALSE())))</f>
        <v/>
      </c>
      <c r="X497" s="91" t="str">
        <f aca="false">IF(ISBLANK($C497),"",AND(Q497&lt;&gt;"",O497))</f>
        <v/>
      </c>
      <c r="Y497" s="91" t="str">
        <f aca="false">IF(ISBLANK($C497),"",AND(T497&lt;&gt;"",O497))</f>
        <v/>
      </c>
      <c r="Z497" s="91" t="str">
        <f aca="false">IF(ISBLANK($C497),"",IF(W497,Constants!$B$4,IF(COUNTA(E497:L497)=0,Constants!$B$5,IF(NOT(O497),Constants!$B$6,IF(AND(NOT(X497),NOT(Y497)),Constants!$B$6,Constants!$B$7)))))</f>
        <v/>
      </c>
      <c r="AA497" s="91" t="str">
        <f aca="false">IF(ISBLANK($C497),"",IF($Z497&lt;&gt;Constants!$B$7,$Z497,Constants!$B$20))</f>
        <v/>
      </c>
      <c r="AB497" s="91" t="str">
        <f aca="false">IF($Z497=Constants!$B$7,IF(X497,Q497,Constants!$B$13),"")</f>
        <v/>
      </c>
      <c r="AC497" s="91" t="str">
        <f aca="false">IF($Z497=Constants!$B$7,IF(X497,P497*IF(R497, 1, Constants!$B$11)*IF(S497, 1, Constants!$B$12),Constants!$B$13),"")</f>
        <v/>
      </c>
      <c r="AD497" s="91" t="str">
        <f aca="false">IF($Z497=Constants!$B$7,AB497*AC497,"")</f>
        <v/>
      </c>
      <c r="AE497" s="91" t="str">
        <f aca="false">IF($Z497=Constants!$B$7,IF(Y497,T497,Constants!$B$13),"")</f>
        <v/>
      </c>
      <c r="AF497" s="91" t="str">
        <f aca="false">IF($Z497=Constants!$B$7,IF(Y497,P497*IF(U497, 1, Constants!$B$11)*IF(V497, 1, Constants!$B$12),Constants!$B$13),"")</f>
        <v/>
      </c>
      <c r="AG497" s="91" t="str">
        <f aca="false">IF($Z497=Constants!$B$7,AE497*AF497,"")</f>
        <v/>
      </c>
      <c r="AH497" s="91" t="str">
        <f aca="false">IF($Z497=Constants!$B$7,IF(AG497&gt;AD497,2,1),"")</f>
        <v/>
      </c>
      <c r="AI497" s="91" t="str">
        <f aca="false">IF($Z497=Constants!$B$7,IF(AH497=1,2,1),"")</f>
        <v/>
      </c>
      <c r="AJ497" s="91" t="str">
        <f aca="false">IF(ISBLANK($C497),"",IF($Z497&lt;&gt;Constants!$B$7,$Z497,IF(AH497=1,AD497,AG497)))</f>
        <v/>
      </c>
      <c r="AK497" s="91" t="str">
        <f aca="false">IF(ISBLANK($C497),"",IF($Z497=Constants!$B$7,IF(ISNUMBER(AJ497),RANK(AJ497,$AJ$8:$AJ$507),Constants!$B$14),$Z497))</f>
        <v/>
      </c>
      <c r="AL497" s="91" t="str">
        <f aca="false">IF(ISBLANK($C497),"",IF($Z497=Constants!$B$7,IF(AI497=1,AD497,AG497),""))</f>
        <v/>
      </c>
      <c r="AM497" s="91" t="str">
        <f aca="false">IF(ISBLANK($C497),"",IF($Z497=Constants!$B$7,RANK(AL497,$AL$8:$AL$507),$Z497))</f>
        <v/>
      </c>
      <c r="AN497" s="91" t="str">
        <f aca="false">IF(ISBLANK($C497),"",IF($Z497=Constants!$B$7,IF(ISNUMBER(AK497),COUNTIFS($AK$8:$AK$507,"&lt;"&amp;$AK497)+COUNTIFS($AK$8:$AK$507,$AK497,$AM$8:$AM$507,"&lt;"&amp;$AM497)+1,Constants!$B$14),$Z497))</f>
        <v/>
      </c>
      <c r="AO497" s="91" t="str">
        <f aca="false">IF(ISBLANK($C497),"",IF($Z497=Constants!$B$7,IF(ISNUMBER(AK497),AK497-AN497,Constants!$B$14),$Z497))</f>
        <v/>
      </c>
      <c r="AP497" s="92"/>
      <c r="AQ497" s="93" t="str">
        <f aca="false">IF(ISBLANK($C497),"",IF($Z497&lt;&gt;Constants!$B$7,"",AH497))</f>
        <v/>
      </c>
      <c r="AR497" s="94" t="str">
        <f aca="false">IF(ISBLANK($C497),"",IF($Z497&lt;&gt;Constants!$B$7,"",IF(AH497=1,AB497,AE497)))</f>
        <v/>
      </c>
      <c r="AS497" s="95" t="str">
        <f aca="false">IF(ISBLANK($C497),"",IF($Z497&lt;&gt;Constants!$B$7,"",IF(AH497=1,AC497,AF497)))</f>
        <v/>
      </c>
      <c r="AT497" s="96" t="str">
        <f aca="false">IF(ISBLANK($C497),"",IF($Z497&lt;&gt;Constants!$B$7,$Z497,AJ497))</f>
        <v/>
      </c>
      <c r="AU497" s="97" t="str">
        <f aca="false">IF(ISBLANK($C497),"",IF($Z497&lt;&gt;Constants!$B$7,$Z497,AA497))</f>
        <v/>
      </c>
      <c r="AV497" s="98" t="str">
        <f aca="false">IF(ISBLANK($C497),"",AO497)</f>
        <v/>
      </c>
      <c r="AW497" s="98" t="str">
        <f aca="false">IF(ISBLANK($C497),"",AN497)</f>
        <v/>
      </c>
      <c r="AX497" s="99" t="str">
        <f aca="false">IF(ISBLANK($C497),"",IFERROR(_xlfn.SWITCH(AW497,Constants!$B$4,COUNTA($C$8:$C$507)+2,Constants!$B$5,COUNTA($C$8:$C$507)+1,Constants!$B$6,COUNTA($C$8:$C$507)),AW497))</f>
        <v/>
      </c>
      <c r="AY497" s="5"/>
      <c r="AZ497" s="100" t="n">
        <f aca="false">IF(OR(ISNUMBER(AW497),AW497=Constants!$B$4,AW497=Constants!$B$6,AW497=Constants!$B$5),1,0)</f>
        <v>0</v>
      </c>
      <c r="BA497" s="100" t="n">
        <v>490</v>
      </c>
      <c r="BB497" s="100" t="str">
        <f aca="false">IF(ISBLANK($C497),"",IF(ISNUMBER(AX497),AX497+ROW($B497)/1000,""))</f>
        <v/>
      </c>
      <c r="BC497" s="100" t="str">
        <f aca="false">IF(ISNUMBER(BB497),RANK(BB497,$BB$8:$BB$507,1),"")</f>
        <v/>
      </c>
      <c r="BD497" s="100" t="str">
        <f aca="false">IF(ISBLANK($C497),"",$B497)</f>
        <v/>
      </c>
      <c r="BE497" s="100" t="str">
        <f aca="false">IF(ISBLANK($C497),"",$C497)</f>
        <v/>
      </c>
      <c r="BF497" s="100" t="str">
        <f aca="false">IF(ISBLANK($C497),"",$D497)</f>
        <v/>
      </c>
      <c r="BG497" s="101" t="str">
        <f aca="false">AU497</f>
        <v/>
      </c>
      <c r="BH497" s="102" t="str">
        <f aca="false">AT497</f>
        <v/>
      </c>
      <c r="BI497" s="100" t="str">
        <f aca="false">IF(ISBLANK($C497),"",AW497)</f>
        <v/>
      </c>
      <c r="BJ497" s="103" t="str">
        <f aca="false">IF($BA497&gt;$AZ$7,"",VLOOKUP($BA497,$BC$8:$BI$507,7,FALSE()))</f>
        <v/>
      </c>
      <c r="BK497" s="104" t="str">
        <f aca="false">IF($BA497&gt;$AZ$7,"",VLOOKUP($BA497,$BC$8:$BI$507,2,FALSE()))</f>
        <v/>
      </c>
      <c r="BL497" s="104" t="str">
        <f aca="false">IF($BA497&gt;$AZ$7,"",VLOOKUP($BA497,$BC$8:$BI$507,3,FALSE()))</f>
        <v/>
      </c>
      <c r="BM497" s="104" t="str">
        <f aca="false">IF($BA497&gt;$AZ$7,"",VLOOKUP($BA497,$BC$8:$BI$507,4,FALSE()))</f>
        <v/>
      </c>
      <c r="BN497" s="104" t="str">
        <f aca="false">IF($BA497&gt;$AZ$7,"",VLOOKUP($BA497,$BC$8:$BI$507,5,FALSE()))</f>
        <v/>
      </c>
      <c r="BO497" s="105" t="str">
        <f aca="false">IF($BA497&gt;$AZ$7,"",VLOOKUP($BA497,$BC$8:$BI$507,6,FALSE()))</f>
        <v/>
      </c>
      <c r="BP497" s="52"/>
    </row>
    <row r="498" customFormat="false" ht="15.75" hidden="false" customHeight="false" outlineLevel="0" collapsed="false">
      <c r="A498" s="5"/>
      <c r="B498" s="114"/>
      <c r="C498" s="115"/>
      <c r="D498" s="106"/>
      <c r="E498" s="117"/>
      <c r="F498" s="87"/>
      <c r="G498" s="88"/>
      <c r="H498" s="88"/>
      <c r="I498" s="87"/>
      <c r="J498" s="88"/>
      <c r="K498" s="88"/>
      <c r="L498" s="87"/>
      <c r="M498" s="117"/>
      <c r="N498" s="90"/>
      <c r="O498" s="91" t="str">
        <f aca="false">IF(ISBLANK($C498),"",IF(E498=Constants!$B$2, TRUE(), IF(E498=Constants!$B$3, FALSE(), TRUE())))</f>
        <v/>
      </c>
      <c r="P498" s="91" t="str">
        <f aca="false">IF(ISBLANK($C498),"",IF(F498=Constants!$B$16,Constants!$B$9,IF(F498=Constants!$B$17,Constants!$B$10,Constants!$B$8)))</f>
        <v/>
      </c>
      <c r="Q498" s="91" t="str">
        <f aca="false">IF(ISBLANK($C498),"",IF(ISNUMBER(G498),IF(G498&gt;=0,G498,""),""))</f>
        <v/>
      </c>
      <c r="R498" s="91" t="str">
        <f aca="false">IF(ISBLANK($C498),"",IF(H498=Constants!$B$2, TRUE(), IF(H498=Constants!$B$3, FALSE(), TRUE())))</f>
        <v/>
      </c>
      <c r="S498" s="91" t="str">
        <f aca="false">IF(ISBLANK($C498),"",IF(I498=Constants!$B$2, TRUE(), IF(I498=Constants!$B$3, FALSE(), TRUE())))</f>
        <v/>
      </c>
      <c r="T498" s="91" t="str">
        <f aca="false">IF(ISBLANK($C498),"",IF(ISNUMBER(J498),IF(J498&gt;=0,J498,""),""))</f>
        <v/>
      </c>
      <c r="U498" s="91" t="str">
        <f aca="false">IF(ISBLANK($C498),"",IF(K498=Constants!$B$2, TRUE(), IF(K498=Constants!$B$3, FALSE(), TRUE())))</f>
        <v/>
      </c>
      <c r="V498" s="91" t="str">
        <f aca="false">IF(ISBLANK($C498),"",IF(L498=Constants!$B$2, TRUE(), IF(L498=Constants!$B$3, FALSE(), TRUE())))</f>
        <v/>
      </c>
      <c r="W498" s="91" t="str">
        <f aca="false">IF(ISBLANK($C498),"",IF(M498=Constants!$B$2, TRUE(), IF(M498=Constants!$B$3, FALSE(), FALSE())))</f>
        <v/>
      </c>
      <c r="X498" s="91" t="str">
        <f aca="false">IF(ISBLANK($C498),"",AND(Q498&lt;&gt;"",O498))</f>
        <v/>
      </c>
      <c r="Y498" s="91" t="str">
        <f aca="false">IF(ISBLANK($C498),"",AND(T498&lt;&gt;"",O498))</f>
        <v/>
      </c>
      <c r="Z498" s="91" t="str">
        <f aca="false">IF(ISBLANK($C498),"",IF(W498,Constants!$B$4,IF(COUNTA(E498:L498)=0,Constants!$B$5,IF(NOT(O498),Constants!$B$6,IF(AND(NOT(X498),NOT(Y498)),Constants!$B$6,Constants!$B$7)))))</f>
        <v/>
      </c>
      <c r="AA498" s="91" t="str">
        <f aca="false">IF(ISBLANK($C498),"",IF($Z498&lt;&gt;Constants!$B$7,$Z498,Constants!$B$20))</f>
        <v/>
      </c>
      <c r="AB498" s="91" t="str">
        <f aca="false">IF($Z498=Constants!$B$7,IF(X498,Q498,Constants!$B$13),"")</f>
        <v/>
      </c>
      <c r="AC498" s="91" t="str">
        <f aca="false">IF($Z498=Constants!$B$7,IF(X498,P498*IF(R498, 1, Constants!$B$11)*IF(S498, 1, Constants!$B$12),Constants!$B$13),"")</f>
        <v/>
      </c>
      <c r="AD498" s="91" t="str">
        <f aca="false">IF($Z498=Constants!$B$7,AB498*AC498,"")</f>
        <v/>
      </c>
      <c r="AE498" s="91" t="str">
        <f aca="false">IF($Z498=Constants!$B$7,IF(Y498,T498,Constants!$B$13),"")</f>
        <v/>
      </c>
      <c r="AF498" s="91" t="str">
        <f aca="false">IF($Z498=Constants!$B$7,IF(Y498,P498*IF(U498, 1, Constants!$B$11)*IF(V498, 1, Constants!$B$12),Constants!$B$13),"")</f>
        <v/>
      </c>
      <c r="AG498" s="91" t="str">
        <f aca="false">IF($Z498=Constants!$B$7,AE498*AF498,"")</f>
        <v/>
      </c>
      <c r="AH498" s="91" t="str">
        <f aca="false">IF($Z498=Constants!$B$7,IF(AG498&gt;AD498,2,1),"")</f>
        <v/>
      </c>
      <c r="AI498" s="91" t="str">
        <f aca="false">IF($Z498=Constants!$B$7,IF(AH498=1,2,1),"")</f>
        <v/>
      </c>
      <c r="AJ498" s="91" t="str">
        <f aca="false">IF(ISBLANK($C498),"",IF($Z498&lt;&gt;Constants!$B$7,$Z498,IF(AH498=1,AD498,AG498)))</f>
        <v/>
      </c>
      <c r="AK498" s="91" t="str">
        <f aca="false">IF(ISBLANK($C498),"",IF($Z498=Constants!$B$7,IF(ISNUMBER(AJ498),RANK(AJ498,$AJ$8:$AJ$507),Constants!$B$14),$Z498))</f>
        <v/>
      </c>
      <c r="AL498" s="91" t="str">
        <f aca="false">IF(ISBLANK($C498),"",IF($Z498=Constants!$B$7,IF(AI498=1,AD498,AG498),""))</f>
        <v/>
      </c>
      <c r="AM498" s="91" t="str">
        <f aca="false">IF(ISBLANK($C498),"",IF($Z498=Constants!$B$7,RANK(AL498,$AL$8:$AL$507),$Z498))</f>
        <v/>
      </c>
      <c r="AN498" s="91" t="str">
        <f aca="false">IF(ISBLANK($C498),"",IF($Z498=Constants!$B$7,IF(ISNUMBER(AK498),COUNTIFS($AK$8:$AK$507,"&lt;"&amp;$AK498)+COUNTIFS($AK$8:$AK$507,$AK498,$AM$8:$AM$507,"&lt;"&amp;$AM498)+1,Constants!$B$14),$Z498))</f>
        <v/>
      </c>
      <c r="AO498" s="91" t="str">
        <f aca="false">IF(ISBLANK($C498),"",IF($Z498=Constants!$B$7,IF(ISNUMBER(AK498),AK498-AN498,Constants!$B$14),$Z498))</f>
        <v/>
      </c>
      <c r="AP498" s="92"/>
      <c r="AQ498" s="93" t="str">
        <f aca="false">IF(ISBLANK($C498),"",IF($Z498&lt;&gt;Constants!$B$7,"",AH498))</f>
        <v/>
      </c>
      <c r="AR498" s="94" t="str">
        <f aca="false">IF(ISBLANK($C498),"",IF($Z498&lt;&gt;Constants!$B$7,"",IF(AH498=1,AB498,AE498)))</f>
        <v/>
      </c>
      <c r="AS498" s="95" t="str">
        <f aca="false">IF(ISBLANK($C498),"",IF($Z498&lt;&gt;Constants!$B$7,"",IF(AH498=1,AC498,AF498)))</f>
        <v/>
      </c>
      <c r="AT498" s="96" t="str">
        <f aca="false">IF(ISBLANK($C498),"",IF($Z498&lt;&gt;Constants!$B$7,$Z498,AJ498))</f>
        <v/>
      </c>
      <c r="AU498" s="97" t="str">
        <f aca="false">IF(ISBLANK($C498),"",IF($Z498&lt;&gt;Constants!$B$7,$Z498,AA498))</f>
        <v/>
      </c>
      <c r="AV498" s="98" t="str">
        <f aca="false">IF(ISBLANK($C498),"",AO498)</f>
        <v/>
      </c>
      <c r="AW498" s="98" t="str">
        <f aca="false">IF(ISBLANK($C498),"",AN498)</f>
        <v/>
      </c>
      <c r="AX498" s="99" t="str">
        <f aca="false">IF(ISBLANK($C498),"",IFERROR(_xlfn.SWITCH(AW498,Constants!$B$4,COUNTA($C$8:$C$507)+2,Constants!$B$5,COUNTA($C$8:$C$507)+1,Constants!$B$6,COUNTA($C$8:$C$507)),AW498))</f>
        <v/>
      </c>
      <c r="AY498" s="5"/>
      <c r="AZ498" s="100" t="n">
        <f aca="false">IF(OR(ISNUMBER(AW498),AW498=Constants!$B$4,AW498=Constants!$B$6,AW498=Constants!$B$5),1,0)</f>
        <v>0</v>
      </c>
      <c r="BA498" s="100" t="n">
        <v>491</v>
      </c>
      <c r="BB498" s="100" t="str">
        <f aca="false">IF(ISBLANK($C498),"",IF(ISNUMBER(AX498),AX498+ROW($B498)/1000,""))</f>
        <v/>
      </c>
      <c r="BC498" s="100" t="str">
        <f aca="false">IF(ISNUMBER(BB498),RANK(BB498,$BB$8:$BB$507,1),"")</f>
        <v/>
      </c>
      <c r="BD498" s="100" t="str">
        <f aca="false">IF(ISBLANK($C498),"",$B498)</f>
        <v/>
      </c>
      <c r="BE498" s="100" t="str">
        <f aca="false">IF(ISBLANK($C498),"",$C498)</f>
        <v/>
      </c>
      <c r="BF498" s="100" t="str">
        <f aca="false">IF(ISBLANK($C498),"",$D498)</f>
        <v/>
      </c>
      <c r="BG498" s="101" t="str">
        <f aca="false">AU498</f>
        <v/>
      </c>
      <c r="BH498" s="102" t="str">
        <f aca="false">AT498</f>
        <v/>
      </c>
      <c r="BI498" s="100" t="str">
        <f aca="false">IF(ISBLANK($C498),"",AW498)</f>
        <v/>
      </c>
      <c r="BJ498" s="103" t="str">
        <f aca="false">IF($BA498&gt;$AZ$7,"",VLOOKUP($BA498,$BC$8:$BI$507,7,FALSE()))</f>
        <v/>
      </c>
      <c r="BK498" s="104" t="str">
        <f aca="false">IF($BA498&gt;$AZ$7,"",VLOOKUP($BA498,$BC$8:$BI$507,2,FALSE()))</f>
        <v/>
      </c>
      <c r="BL498" s="104" t="str">
        <f aca="false">IF($BA498&gt;$AZ$7,"",VLOOKUP($BA498,$BC$8:$BI$507,3,FALSE()))</f>
        <v/>
      </c>
      <c r="BM498" s="104" t="str">
        <f aca="false">IF($BA498&gt;$AZ$7,"",VLOOKUP($BA498,$BC$8:$BI$507,4,FALSE()))</f>
        <v/>
      </c>
      <c r="BN498" s="104" t="str">
        <f aca="false">IF($BA498&gt;$AZ$7,"",VLOOKUP($BA498,$BC$8:$BI$507,5,FALSE()))</f>
        <v/>
      </c>
      <c r="BO498" s="105" t="str">
        <f aca="false">IF($BA498&gt;$AZ$7,"",VLOOKUP($BA498,$BC$8:$BI$507,6,FALSE()))</f>
        <v/>
      </c>
      <c r="BP498" s="52"/>
    </row>
    <row r="499" customFormat="false" ht="15.75" hidden="false" customHeight="false" outlineLevel="0" collapsed="false">
      <c r="A499" s="5"/>
      <c r="B499" s="114"/>
      <c r="C499" s="115"/>
      <c r="D499" s="106"/>
      <c r="E499" s="117"/>
      <c r="F499" s="87"/>
      <c r="G499" s="88"/>
      <c r="H499" s="88"/>
      <c r="I499" s="87"/>
      <c r="J499" s="88"/>
      <c r="K499" s="88"/>
      <c r="L499" s="87"/>
      <c r="M499" s="117"/>
      <c r="N499" s="90"/>
      <c r="O499" s="91" t="str">
        <f aca="false">IF(ISBLANK($C499),"",IF(E499=Constants!$B$2, TRUE(), IF(E499=Constants!$B$3, FALSE(), TRUE())))</f>
        <v/>
      </c>
      <c r="P499" s="91" t="str">
        <f aca="false">IF(ISBLANK($C499),"",IF(F499=Constants!$B$16,Constants!$B$9,IF(F499=Constants!$B$17,Constants!$B$10,Constants!$B$8)))</f>
        <v/>
      </c>
      <c r="Q499" s="91" t="str">
        <f aca="false">IF(ISBLANK($C499),"",IF(ISNUMBER(G499),IF(G499&gt;=0,G499,""),""))</f>
        <v/>
      </c>
      <c r="R499" s="91" t="str">
        <f aca="false">IF(ISBLANK($C499),"",IF(H499=Constants!$B$2, TRUE(), IF(H499=Constants!$B$3, FALSE(), TRUE())))</f>
        <v/>
      </c>
      <c r="S499" s="91" t="str">
        <f aca="false">IF(ISBLANK($C499),"",IF(I499=Constants!$B$2, TRUE(), IF(I499=Constants!$B$3, FALSE(), TRUE())))</f>
        <v/>
      </c>
      <c r="T499" s="91" t="str">
        <f aca="false">IF(ISBLANK($C499),"",IF(ISNUMBER(J499),IF(J499&gt;=0,J499,""),""))</f>
        <v/>
      </c>
      <c r="U499" s="91" t="str">
        <f aca="false">IF(ISBLANK($C499),"",IF(K499=Constants!$B$2, TRUE(), IF(K499=Constants!$B$3, FALSE(), TRUE())))</f>
        <v/>
      </c>
      <c r="V499" s="91" t="str">
        <f aca="false">IF(ISBLANK($C499),"",IF(L499=Constants!$B$2, TRUE(), IF(L499=Constants!$B$3, FALSE(), TRUE())))</f>
        <v/>
      </c>
      <c r="W499" s="91" t="str">
        <f aca="false">IF(ISBLANK($C499),"",IF(M499=Constants!$B$2, TRUE(), IF(M499=Constants!$B$3, FALSE(), FALSE())))</f>
        <v/>
      </c>
      <c r="X499" s="91" t="str">
        <f aca="false">IF(ISBLANK($C499),"",AND(Q499&lt;&gt;"",O499))</f>
        <v/>
      </c>
      <c r="Y499" s="91" t="str">
        <f aca="false">IF(ISBLANK($C499),"",AND(T499&lt;&gt;"",O499))</f>
        <v/>
      </c>
      <c r="Z499" s="91" t="str">
        <f aca="false">IF(ISBLANK($C499),"",IF(W499,Constants!$B$4,IF(COUNTA(E499:L499)=0,Constants!$B$5,IF(NOT(O499),Constants!$B$6,IF(AND(NOT(X499),NOT(Y499)),Constants!$B$6,Constants!$B$7)))))</f>
        <v/>
      </c>
      <c r="AA499" s="91" t="str">
        <f aca="false">IF(ISBLANK($C499),"",IF($Z499&lt;&gt;Constants!$B$7,$Z499,Constants!$B$20))</f>
        <v/>
      </c>
      <c r="AB499" s="91" t="str">
        <f aca="false">IF($Z499=Constants!$B$7,IF(X499,Q499,Constants!$B$13),"")</f>
        <v/>
      </c>
      <c r="AC499" s="91" t="str">
        <f aca="false">IF($Z499=Constants!$B$7,IF(X499,P499*IF(R499, 1, Constants!$B$11)*IF(S499, 1, Constants!$B$12),Constants!$B$13),"")</f>
        <v/>
      </c>
      <c r="AD499" s="91" t="str">
        <f aca="false">IF($Z499=Constants!$B$7,AB499*AC499,"")</f>
        <v/>
      </c>
      <c r="AE499" s="91" t="str">
        <f aca="false">IF($Z499=Constants!$B$7,IF(Y499,T499,Constants!$B$13),"")</f>
        <v/>
      </c>
      <c r="AF499" s="91" t="str">
        <f aca="false">IF($Z499=Constants!$B$7,IF(Y499,P499*IF(U499, 1, Constants!$B$11)*IF(V499, 1, Constants!$B$12),Constants!$B$13),"")</f>
        <v/>
      </c>
      <c r="AG499" s="91" t="str">
        <f aca="false">IF($Z499=Constants!$B$7,AE499*AF499,"")</f>
        <v/>
      </c>
      <c r="AH499" s="91" t="str">
        <f aca="false">IF($Z499=Constants!$B$7,IF(AG499&gt;AD499,2,1),"")</f>
        <v/>
      </c>
      <c r="AI499" s="91" t="str">
        <f aca="false">IF($Z499=Constants!$B$7,IF(AH499=1,2,1),"")</f>
        <v/>
      </c>
      <c r="AJ499" s="91" t="str">
        <f aca="false">IF(ISBLANK($C499),"",IF($Z499&lt;&gt;Constants!$B$7,$Z499,IF(AH499=1,AD499,AG499)))</f>
        <v/>
      </c>
      <c r="AK499" s="91" t="str">
        <f aca="false">IF(ISBLANK($C499),"",IF($Z499=Constants!$B$7,IF(ISNUMBER(AJ499),RANK(AJ499,$AJ$8:$AJ$507),Constants!$B$14),$Z499))</f>
        <v/>
      </c>
      <c r="AL499" s="91" t="str">
        <f aca="false">IF(ISBLANK($C499),"",IF($Z499=Constants!$B$7,IF(AI499=1,AD499,AG499),""))</f>
        <v/>
      </c>
      <c r="AM499" s="91" t="str">
        <f aca="false">IF(ISBLANK($C499),"",IF($Z499=Constants!$B$7,RANK(AL499,$AL$8:$AL$507),$Z499))</f>
        <v/>
      </c>
      <c r="AN499" s="91" t="str">
        <f aca="false">IF(ISBLANK($C499),"",IF($Z499=Constants!$B$7,IF(ISNUMBER(AK499),COUNTIFS($AK$8:$AK$507,"&lt;"&amp;$AK499)+COUNTIFS($AK$8:$AK$507,$AK499,$AM$8:$AM$507,"&lt;"&amp;$AM499)+1,Constants!$B$14),$Z499))</f>
        <v/>
      </c>
      <c r="AO499" s="91" t="str">
        <f aca="false">IF(ISBLANK($C499),"",IF($Z499=Constants!$B$7,IF(ISNUMBER(AK499),AK499-AN499,Constants!$B$14),$Z499))</f>
        <v/>
      </c>
      <c r="AP499" s="92"/>
      <c r="AQ499" s="93" t="str">
        <f aca="false">IF(ISBLANK($C499),"",IF($Z499&lt;&gt;Constants!$B$7,"",AH499))</f>
        <v/>
      </c>
      <c r="AR499" s="94" t="str">
        <f aca="false">IF(ISBLANK($C499),"",IF($Z499&lt;&gt;Constants!$B$7,"",IF(AH499=1,AB499,AE499)))</f>
        <v/>
      </c>
      <c r="AS499" s="95" t="str">
        <f aca="false">IF(ISBLANK($C499),"",IF($Z499&lt;&gt;Constants!$B$7,"",IF(AH499=1,AC499,AF499)))</f>
        <v/>
      </c>
      <c r="AT499" s="96" t="str">
        <f aca="false">IF(ISBLANK($C499),"",IF($Z499&lt;&gt;Constants!$B$7,$Z499,AJ499))</f>
        <v/>
      </c>
      <c r="AU499" s="97" t="str">
        <f aca="false">IF(ISBLANK($C499),"",IF($Z499&lt;&gt;Constants!$B$7,$Z499,AA499))</f>
        <v/>
      </c>
      <c r="AV499" s="98" t="str">
        <f aca="false">IF(ISBLANK($C499),"",AO499)</f>
        <v/>
      </c>
      <c r="AW499" s="98" t="str">
        <f aca="false">IF(ISBLANK($C499),"",AN499)</f>
        <v/>
      </c>
      <c r="AX499" s="99" t="str">
        <f aca="false">IF(ISBLANK($C499),"",IFERROR(_xlfn.SWITCH(AW499,Constants!$B$4,COUNTA($C$8:$C$507)+2,Constants!$B$5,COUNTA($C$8:$C$507)+1,Constants!$B$6,COUNTA($C$8:$C$507)),AW499))</f>
        <v/>
      </c>
      <c r="AY499" s="5"/>
      <c r="AZ499" s="100" t="n">
        <f aca="false">IF(OR(ISNUMBER(AW499),AW499=Constants!$B$4,AW499=Constants!$B$6,AW499=Constants!$B$5),1,0)</f>
        <v>0</v>
      </c>
      <c r="BA499" s="100" t="n">
        <v>492</v>
      </c>
      <c r="BB499" s="100" t="str">
        <f aca="false">IF(ISBLANK($C499),"",IF(ISNUMBER(AX499),AX499+ROW($B499)/1000,""))</f>
        <v/>
      </c>
      <c r="BC499" s="100" t="str">
        <f aca="false">IF(ISNUMBER(BB499),RANK(BB499,$BB$8:$BB$507,1),"")</f>
        <v/>
      </c>
      <c r="BD499" s="100" t="str">
        <f aca="false">IF(ISBLANK($C499),"",$B499)</f>
        <v/>
      </c>
      <c r="BE499" s="100" t="str">
        <f aca="false">IF(ISBLANK($C499),"",$C499)</f>
        <v/>
      </c>
      <c r="BF499" s="100" t="str">
        <f aca="false">IF(ISBLANK($C499),"",$D499)</f>
        <v/>
      </c>
      <c r="BG499" s="101" t="str">
        <f aca="false">AU499</f>
        <v/>
      </c>
      <c r="BH499" s="102" t="str">
        <f aca="false">AT499</f>
        <v/>
      </c>
      <c r="BI499" s="100" t="str">
        <f aca="false">IF(ISBLANK($C499),"",AW499)</f>
        <v/>
      </c>
      <c r="BJ499" s="103" t="str">
        <f aca="false">IF($BA499&gt;$AZ$7,"",VLOOKUP($BA499,$BC$8:$BI$507,7,FALSE()))</f>
        <v/>
      </c>
      <c r="BK499" s="104" t="str">
        <f aca="false">IF($BA499&gt;$AZ$7,"",VLOOKUP($BA499,$BC$8:$BI$507,2,FALSE()))</f>
        <v/>
      </c>
      <c r="BL499" s="104" t="str">
        <f aca="false">IF($BA499&gt;$AZ$7,"",VLOOKUP($BA499,$BC$8:$BI$507,3,FALSE()))</f>
        <v/>
      </c>
      <c r="BM499" s="104" t="str">
        <f aca="false">IF($BA499&gt;$AZ$7,"",VLOOKUP($BA499,$BC$8:$BI$507,4,FALSE()))</f>
        <v/>
      </c>
      <c r="BN499" s="104" t="str">
        <f aca="false">IF($BA499&gt;$AZ$7,"",VLOOKUP($BA499,$BC$8:$BI$507,5,FALSE()))</f>
        <v/>
      </c>
      <c r="BO499" s="105" t="str">
        <f aca="false">IF($BA499&gt;$AZ$7,"",VLOOKUP($BA499,$BC$8:$BI$507,6,FALSE()))</f>
        <v/>
      </c>
      <c r="BP499" s="52"/>
    </row>
    <row r="500" customFormat="false" ht="15.75" hidden="false" customHeight="false" outlineLevel="0" collapsed="false">
      <c r="A500" s="5"/>
      <c r="B500" s="118"/>
      <c r="C500" s="54"/>
      <c r="D500" s="55"/>
      <c r="E500" s="79"/>
      <c r="F500" s="57"/>
      <c r="G500" s="58"/>
      <c r="H500" s="58"/>
      <c r="I500" s="57"/>
      <c r="J500" s="58"/>
      <c r="K500" s="58"/>
      <c r="L500" s="57"/>
      <c r="M500" s="79"/>
      <c r="N500" s="60"/>
      <c r="O500" s="62" t="str">
        <f aca="false">IF(ISBLANK($C500),"",IF(E500=Constants!$B$2, TRUE(), IF(E500=Constants!$B$3, FALSE(), TRUE())))</f>
        <v/>
      </c>
      <c r="P500" s="62" t="str">
        <f aca="false">IF(ISBLANK($C500),"",IF(F500=Constants!$B$16,Constants!$B$9,IF(F500=Constants!$B$17,Constants!$B$10,Constants!$B$8)))</f>
        <v/>
      </c>
      <c r="Q500" s="62" t="str">
        <f aca="false">IF(ISBLANK($C500),"",IF(ISNUMBER(G500),IF(G500&gt;=0,G500,""),""))</f>
        <v/>
      </c>
      <c r="R500" s="62" t="str">
        <f aca="false">IF(ISBLANK($C500),"",IF(H500=Constants!$B$2, TRUE(), IF(H500=Constants!$B$3, FALSE(), TRUE())))</f>
        <v/>
      </c>
      <c r="S500" s="62" t="str">
        <f aca="false">IF(ISBLANK($C500),"",IF(I500=Constants!$B$2, TRUE(), IF(I500=Constants!$B$3, FALSE(), TRUE())))</f>
        <v/>
      </c>
      <c r="T500" s="62" t="str">
        <f aca="false">IF(ISBLANK($C500),"",IF(ISNUMBER(J500),IF(J500&gt;=0,J500,""),""))</f>
        <v/>
      </c>
      <c r="U500" s="62" t="str">
        <f aca="false">IF(ISBLANK($C500),"",IF(K500=Constants!$B$2, TRUE(), IF(K500=Constants!$B$3, FALSE(), TRUE())))</f>
        <v/>
      </c>
      <c r="V500" s="62" t="str">
        <f aca="false">IF(ISBLANK($C500),"",IF(L500=Constants!$B$2, TRUE(), IF(L500=Constants!$B$3, FALSE(), TRUE())))</f>
        <v/>
      </c>
      <c r="W500" s="62" t="str">
        <f aca="false">IF(ISBLANK($C500),"",IF(M500=Constants!$B$2, TRUE(), IF(M500=Constants!$B$3, FALSE(), FALSE())))</f>
        <v/>
      </c>
      <c r="X500" s="62" t="str">
        <f aca="false">IF(ISBLANK($C500),"",AND(Q500&lt;&gt;"",O500))</f>
        <v/>
      </c>
      <c r="Y500" s="62" t="str">
        <f aca="false">IF(ISBLANK($C500),"",AND(T500&lt;&gt;"",O500))</f>
        <v/>
      </c>
      <c r="Z500" s="62" t="str">
        <f aca="false">IF(ISBLANK($C500),"",IF(W500,Constants!$B$4,IF(COUNTA(E500:L500)=0,Constants!$B$5,IF(NOT(O500),Constants!$B$6,IF(AND(NOT(X500),NOT(Y500)),Constants!$B$6,Constants!$B$7)))))</f>
        <v/>
      </c>
      <c r="AA500" s="62" t="str">
        <f aca="false">IF(ISBLANK($C500),"",IF($Z500&lt;&gt;Constants!$B$7,$Z500,Constants!$B$20))</f>
        <v/>
      </c>
      <c r="AB500" s="62" t="str">
        <f aca="false">IF($Z500=Constants!$B$7,IF(X500,Q500,Constants!$B$13),"")</f>
        <v/>
      </c>
      <c r="AC500" s="62" t="str">
        <f aca="false">IF($Z500=Constants!$B$7,IF(X500,P500*IF(R500, 1, Constants!$B$11)*IF(S500, 1, Constants!$B$12),Constants!$B$13),"")</f>
        <v/>
      </c>
      <c r="AD500" s="62" t="str">
        <f aca="false">IF($Z500=Constants!$B$7,AB500*AC500,"")</f>
        <v/>
      </c>
      <c r="AE500" s="62" t="str">
        <f aca="false">IF($Z500=Constants!$B$7,IF(Y500,T500,Constants!$B$13),"")</f>
        <v/>
      </c>
      <c r="AF500" s="62" t="str">
        <f aca="false">IF($Z500=Constants!$B$7,IF(Y500,P500*IF(U500, 1, Constants!$B$11)*IF(V500, 1, Constants!$B$12),Constants!$B$13),"")</f>
        <v/>
      </c>
      <c r="AG500" s="62" t="str">
        <f aca="false">IF($Z500=Constants!$B$7,AE500*AF500,"")</f>
        <v/>
      </c>
      <c r="AH500" s="62" t="str">
        <f aca="false">IF($Z500=Constants!$B$7,IF(AG500&gt;AD500,2,1),"")</f>
        <v/>
      </c>
      <c r="AI500" s="62" t="str">
        <f aca="false">IF($Z500=Constants!$B$7,IF(AH500=1,2,1),"")</f>
        <v/>
      </c>
      <c r="AJ500" s="62" t="str">
        <f aca="false">IF(ISBLANK($C500),"",IF($Z500&lt;&gt;Constants!$B$7,$Z500,IF(AH500=1,AD500,AG500)))</f>
        <v/>
      </c>
      <c r="AK500" s="62" t="str">
        <f aca="false">IF(ISBLANK($C500),"",IF($Z500=Constants!$B$7,IF(ISNUMBER(AJ500),RANK(AJ500,$AJ$8:$AJ$507),Constants!$B$14),$Z500))</f>
        <v/>
      </c>
      <c r="AL500" s="62" t="str">
        <f aca="false">IF(ISBLANK($C500),"",IF($Z500=Constants!$B$7,IF(AI500=1,AD500,AG500),""))</f>
        <v/>
      </c>
      <c r="AM500" s="62" t="str">
        <f aca="false">IF(ISBLANK($C500),"",IF($Z500=Constants!$B$7,RANK(AL500,$AL$8:$AL$507),$Z500))</f>
        <v/>
      </c>
      <c r="AN500" s="62" t="str">
        <f aca="false">IF(ISBLANK($C500),"",IF($Z500=Constants!$B$7,IF(ISNUMBER(AK500),COUNTIFS($AK$8:$AK$507,"&lt;"&amp;$AK500)+COUNTIFS($AK$8:$AK$507,$AK500,$AM$8:$AM$507,"&lt;"&amp;$AM500)+1,Constants!$B$14),$Z500))</f>
        <v/>
      </c>
      <c r="AO500" s="62" t="str">
        <f aca="false">IF(ISBLANK($C500),"",IF($Z500=Constants!$B$7,IF(ISNUMBER(AK500),AK500-AN500,Constants!$B$14),$Z500))</f>
        <v/>
      </c>
      <c r="AP500" s="64"/>
      <c r="AQ500" s="65" t="str">
        <f aca="false">IF(ISBLANK($C500),"",IF($Z500&lt;&gt;Constants!$B$7,"",AH500))</f>
        <v/>
      </c>
      <c r="AR500" s="80" t="str">
        <f aca="false">IF(ISBLANK($C500),"",IF($Z500&lt;&gt;Constants!$B$7,"",IF(AH500=1,AB500,AE500)))</f>
        <v/>
      </c>
      <c r="AS500" s="67" t="str">
        <f aca="false">IF(ISBLANK($C500),"",IF($Z500&lt;&gt;Constants!$B$7,"",IF(AH500=1,AC500,AF500)))</f>
        <v/>
      </c>
      <c r="AT500" s="68" t="str">
        <f aca="false">IF(ISBLANK($C500),"",IF($Z500&lt;&gt;Constants!$B$7,$Z500,AJ500))</f>
        <v/>
      </c>
      <c r="AU500" s="69" t="str">
        <f aca="false">IF(ISBLANK($C500),"",IF($Z500&lt;&gt;Constants!$B$7,$Z500,AA500))</f>
        <v/>
      </c>
      <c r="AV500" s="70" t="str">
        <f aca="false">IF(ISBLANK($C500),"",AO500)</f>
        <v/>
      </c>
      <c r="AW500" s="70" t="str">
        <f aca="false">IF(ISBLANK($C500),"",AN500)</f>
        <v/>
      </c>
      <c r="AX500" s="71" t="str">
        <f aca="false">IF(ISBLANK($C500),"",IFERROR(_xlfn.SWITCH(AW500,Constants!$B$4,COUNTA($C$8:$C$507)+2,Constants!$B$5,COUNTA($C$8:$C$507)+1,Constants!$B$6,COUNTA($C$8:$C$507)),AW500))</f>
        <v/>
      </c>
      <c r="AY500" s="5"/>
      <c r="AZ500" s="72" t="n">
        <f aca="false">IF(OR(ISNUMBER(AW500),AW500=Constants!$B$4,AW500=Constants!$B$6,AW500=Constants!$B$5),1,0)</f>
        <v>0</v>
      </c>
      <c r="BA500" s="72" t="n">
        <v>493</v>
      </c>
      <c r="BB500" s="72" t="str">
        <f aca="false">IF(ISBLANK($C500),"",IF(ISNUMBER(AX500),AX500+ROW($B500)/1000,""))</f>
        <v/>
      </c>
      <c r="BC500" s="72" t="str">
        <f aca="false">IF(ISNUMBER(BB500),RANK(BB500,$BB$8:$BB$507,1),"")</f>
        <v/>
      </c>
      <c r="BD500" s="72" t="str">
        <f aca="false">IF(ISBLANK($C500),"",$B500)</f>
        <v/>
      </c>
      <c r="BE500" s="72" t="str">
        <f aca="false">IF(ISBLANK($C500),"",$C500)</f>
        <v/>
      </c>
      <c r="BF500" s="72" t="str">
        <f aca="false">IF(ISBLANK($C500),"",$D500)</f>
        <v/>
      </c>
      <c r="BG500" s="73" t="str">
        <f aca="false">AU500</f>
        <v/>
      </c>
      <c r="BH500" s="74" t="str">
        <f aca="false">AT500</f>
        <v/>
      </c>
      <c r="BI500" s="72" t="str">
        <f aca="false">IF(ISBLANK($C500),"",AW500)</f>
        <v/>
      </c>
      <c r="BJ500" s="75" t="str">
        <f aca="false">IF($BA500&gt;$AZ$7,"",VLOOKUP($BA500,$BC$8:$BI$507,7,FALSE()))</f>
        <v/>
      </c>
      <c r="BK500" s="76" t="str">
        <f aca="false">IF($BA500&gt;$AZ$7,"",VLOOKUP($BA500,$BC$8:$BI$507,2,FALSE()))</f>
        <v/>
      </c>
      <c r="BL500" s="76" t="str">
        <f aca="false">IF($BA500&gt;$AZ$7,"",VLOOKUP($BA500,$BC$8:$BI$507,3,FALSE()))</f>
        <v/>
      </c>
      <c r="BM500" s="76" t="str">
        <f aca="false">IF($BA500&gt;$AZ$7,"",VLOOKUP($BA500,$BC$8:$BI$507,4,FALSE()))</f>
        <v/>
      </c>
      <c r="BN500" s="76" t="str">
        <f aca="false">IF($BA500&gt;$AZ$7,"",VLOOKUP($BA500,$BC$8:$BI$507,5,FALSE()))</f>
        <v/>
      </c>
      <c r="BO500" s="77" t="str">
        <f aca="false">IF($BA500&gt;$AZ$7,"",VLOOKUP($BA500,$BC$8:$BI$507,6,FALSE()))</f>
        <v/>
      </c>
      <c r="BP500" s="52"/>
    </row>
    <row r="501" customFormat="false" ht="15.75" hidden="false" customHeight="false" outlineLevel="0" collapsed="false">
      <c r="A501" s="5"/>
      <c r="B501" s="118"/>
      <c r="C501" s="54"/>
      <c r="D501" s="55"/>
      <c r="E501" s="79"/>
      <c r="F501" s="57"/>
      <c r="G501" s="58"/>
      <c r="H501" s="58"/>
      <c r="I501" s="57"/>
      <c r="J501" s="58"/>
      <c r="K501" s="58"/>
      <c r="L501" s="57"/>
      <c r="M501" s="79"/>
      <c r="N501" s="60"/>
      <c r="O501" s="62" t="str">
        <f aca="false">IF(ISBLANK($C501),"",IF(E501=Constants!$B$2, TRUE(), IF(E501=Constants!$B$3, FALSE(), TRUE())))</f>
        <v/>
      </c>
      <c r="P501" s="62" t="str">
        <f aca="false">IF(ISBLANK($C501),"",IF(F501=Constants!$B$16,Constants!$B$9,IF(F501=Constants!$B$17,Constants!$B$10,Constants!$B$8)))</f>
        <v/>
      </c>
      <c r="Q501" s="62" t="str">
        <f aca="false">IF(ISBLANK($C501),"",IF(ISNUMBER(G501),IF(G501&gt;=0,G501,""),""))</f>
        <v/>
      </c>
      <c r="R501" s="62" t="str">
        <f aca="false">IF(ISBLANK($C501),"",IF(H501=Constants!$B$2, TRUE(), IF(H501=Constants!$B$3, FALSE(), TRUE())))</f>
        <v/>
      </c>
      <c r="S501" s="62" t="str">
        <f aca="false">IF(ISBLANK($C501),"",IF(I501=Constants!$B$2, TRUE(), IF(I501=Constants!$B$3, FALSE(), TRUE())))</f>
        <v/>
      </c>
      <c r="T501" s="62" t="str">
        <f aca="false">IF(ISBLANK($C501),"",IF(ISNUMBER(J501),IF(J501&gt;=0,J501,""),""))</f>
        <v/>
      </c>
      <c r="U501" s="62" t="str">
        <f aca="false">IF(ISBLANK($C501),"",IF(K501=Constants!$B$2, TRUE(), IF(K501=Constants!$B$3, FALSE(), TRUE())))</f>
        <v/>
      </c>
      <c r="V501" s="62" t="str">
        <f aca="false">IF(ISBLANK($C501),"",IF(L501=Constants!$B$2, TRUE(), IF(L501=Constants!$B$3, FALSE(), TRUE())))</f>
        <v/>
      </c>
      <c r="W501" s="62" t="str">
        <f aca="false">IF(ISBLANK($C501),"",IF(M501=Constants!$B$2, TRUE(), IF(M501=Constants!$B$3, FALSE(), FALSE())))</f>
        <v/>
      </c>
      <c r="X501" s="62" t="str">
        <f aca="false">IF(ISBLANK($C501),"",AND(Q501&lt;&gt;"",O501))</f>
        <v/>
      </c>
      <c r="Y501" s="62" t="str">
        <f aca="false">IF(ISBLANK($C501),"",AND(T501&lt;&gt;"",O501))</f>
        <v/>
      </c>
      <c r="Z501" s="62" t="str">
        <f aca="false">IF(ISBLANK($C501),"",IF(W501,Constants!$B$4,IF(COUNTA(E501:L501)=0,Constants!$B$5,IF(NOT(O501),Constants!$B$6,IF(AND(NOT(X501),NOT(Y501)),Constants!$B$6,Constants!$B$7)))))</f>
        <v/>
      </c>
      <c r="AA501" s="62" t="str">
        <f aca="false">IF(ISBLANK($C501),"",IF($Z501&lt;&gt;Constants!$B$7,$Z501,Constants!$B$20))</f>
        <v/>
      </c>
      <c r="AB501" s="62" t="str">
        <f aca="false">IF($Z501=Constants!$B$7,IF(X501,Q501,Constants!$B$13),"")</f>
        <v/>
      </c>
      <c r="AC501" s="62" t="str">
        <f aca="false">IF($Z501=Constants!$B$7,IF(X501,P501*IF(R501, 1, Constants!$B$11)*IF(S501, 1, Constants!$B$12),Constants!$B$13),"")</f>
        <v/>
      </c>
      <c r="AD501" s="62" t="str">
        <f aca="false">IF($Z501=Constants!$B$7,AB501*AC501,"")</f>
        <v/>
      </c>
      <c r="AE501" s="62" t="str">
        <f aca="false">IF($Z501=Constants!$B$7,IF(Y501,T501,Constants!$B$13),"")</f>
        <v/>
      </c>
      <c r="AF501" s="62" t="str">
        <f aca="false">IF($Z501=Constants!$B$7,IF(Y501,P501*IF(U501, 1, Constants!$B$11)*IF(V501, 1, Constants!$B$12),Constants!$B$13),"")</f>
        <v/>
      </c>
      <c r="AG501" s="62" t="str">
        <f aca="false">IF($Z501=Constants!$B$7,AE501*AF501,"")</f>
        <v/>
      </c>
      <c r="AH501" s="62" t="str">
        <f aca="false">IF($Z501=Constants!$B$7,IF(AG501&gt;AD501,2,1),"")</f>
        <v/>
      </c>
      <c r="AI501" s="62" t="str">
        <f aca="false">IF($Z501=Constants!$B$7,IF(AH501=1,2,1),"")</f>
        <v/>
      </c>
      <c r="AJ501" s="62" t="str">
        <f aca="false">IF(ISBLANK($C501),"",IF($Z501&lt;&gt;Constants!$B$7,$Z501,IF(AH501=1,AD501,AG501)))</f>
        <v/>
      </c>
      <c r="AK501" s="62" t="str">
        <f aca="false">IF(ISBLANK($C501),"",IF($Z501=Constants!$B$7,IF(ISNUMBER(AJ501),RANK(AJ501,$AJ$8:$AJ$507),Constants!$B$14),$Z501))</f>
        <v/>
      </c>
      <c r="AL501" s="62" t="str">
        <f aca="false">IF(ISBLANK($C501),"",IF($Z501=Constants!$B$7,IF(AI501=1,AD501,AG501),""))</f>
        <v/>
      </c>
      <c r="AM501" s="62" t="str">
        <f aca="false">IF(ISBLANK($C501),"",IF($Z501=Constants!$B$7,RANK(AL501,$AL$8:$AL$507),$Z501))</f>
        <v/>
      </c>
      <c r="AN501" s="62" t="str">
        <f aca="false">IF(ISBLANK($C501),"",IF($Z501=Constants!$B$7,IF(ISNUMBER(AK501),COUNTIFS($AK$8:$AK$507,"&lt;"&amp;$AK501)+COUNTIFS($AK$8:$AK$507,$AK501,$AM$8:$AM$507,"&lt;"&amp;$AM501)+1,Constants!$B$14),$Z501))</f>
        <v/>
      </c>
      <c r="AO501" s="62" t="str">
        <f aca="false">IF(ISBLANK($C501),"",IF($Z501=Constants!$B$7,IF(ISNUMBER(AK501),AK501-AN501,Constants!$B$14),$Z501))</f>
        <v/>
      </c>
      <c r="AP501" s="64"/>
      <c r="AQ501" s="65" t="str">
        <f aca="false">IF(ISBLANK($C501),"",IF($Z501&lt;&gt;Constants!$B$7,"",AH501))</f>
        <v/>
      </c>
      <c r="AR501" s="80" t="str">
        <f aca="false">IF(ISBLANK($C501),"",IF($Z501&lt;&gt;Constants!$B$7,"",IF(AH501=1,AB501,AE501)))</f>
        <v/>
      </c>
      <c r="AS501" s="67" t="str">
        <f aca="false">IF(ISBLANK($C501),"",IF($Z501&lt;&gt;Constants!$B$7,"",IF(AH501=1,AC501,AF501)))</f>
        <v/>
      </c>
      <c r="AT501" s="68" t="str">
        <f aca="false">IF(ISBLANK($C501),"",IF($Z501&lt;&gt;Constants!$B$7,$Z501,AJ501))</f>
        <v/>
      </c>
      <c r="AU501" s="69" t="str">
        <f aca="false">IF(ISBLANK($C501),"",IF($Z501&lt;&gt;Constants!$B$7,$Z501,AA501))</f>
        <v/>
      </c>
      <c r="AV501" s="70" t="str">
        <f aca="false">IF(ISBLANK($C501),"",AO501)</f>
        <v/>
      </c>
      <c r="AW501" s="70" t="str">
        <f aca="false">IF(ISBLANK($C501),"",AN501)</f>
        <v/>
      </c>
      <c r="AX501" s="71" t="str">
        <f aca="false">IF(ISBLANK($C501),"",IFERROR(_xlfn.SWITCH(AW501,Constants!$B$4,COUNTA($C$8:$C$507)+2,Constants!$B$5,COUNTA($C$8:$C$507)+1,Constants!$B$6,COUNTA($C$8:$C$507)),AW501))</f>
        <v/>
      </c>
      <c r="AY501" s="5"/>
      <c r="AZ501" s="72" t="n">
        <f aca="false">IF(OR(ISNUMBER(AW501),AW501=Constants!$B$4,AW501=Constants!$B$6,AW501=Constants!$B$5),1,0)</f>
        <v>0</v>
      </c>
      <c r="BA501" s="72" t="n">
        <v>494</v>
      </c>
      <c r="BB501" s="72" t="str">
        <f aca="false">IF(ISBLANK($C501),"",IF(ISNUMBER(AX501),AX501+ROW($B501)/1000,""))</f>
        <v/>
      </c>
      <c r="BC501" s="72" t="str">
        <f aca="false">IF(ISNUMBER(BB501),RANK(BB501,$BB$8:$BB$507,1),"")</f>
        <v/>
      </c>
      <c r="BD501" s="72" t="str">
        <f aca="false">IF(ISBLANK($C501),"",$B501)</f>
        <v/>
      </c>
      <c r="BE501" s="72" t="str">
        <f aca="false">IF(ISBLANK($C501),"",$C501)</f>
        <v/>
      </c>
      <c r="BF501" s="72" t="str">
        <f aca="false">IF(ISBLANK($C501),"",$D501)</f>
        <v/>
      </c>
      <c r="BG501" s="73" t="str">
        <f aca="false">AU501</f>
        <v/>
      </c>
      <c r="BH501" s="74" t="str">
        <f aca="false">AT501</f>
        <v/>
      </c>
      <c r="BI501" s="72" t="str">
        <f aca="false">IF(ISBLANK($C501),"",AW501)</f>
        <v/>
      </c>
      <c r="BJ501" s="75" t="str">
        <f aca="false">IF($BA501&gt;$AZ$7,"",VLOOKUP($BA501,$BC$8:$BI$507,7,FALSE()))</f>
        <v/>
      </c>
      <c r="BK501" s="76" t="str">
        <f aca="false">IF($BA501&gt;$AZ$7,"",VLOOKUP($BA501,$BC$8:$BI$507,2,FALSE()))</f>
        <v/>
      </c>
      <c r="BL501" s="76" t="str">
        <f aca="false">IF($BA501&gt;$AZ$7,"",VLOOKUP($BA501,$BC$8:$BI$507,3,FALSE()))</f>
        <v/>
      </c>
      <c r="BM501" s="76" t="str">
        <f aca="false">IF($BA501&gt;$AZ$7,"",VLOOKUP($BA501,$BC$8:$BI$507,4,FALSE()))</f>
        <v/>
      </c>
      <c r="BN501" s="76" t="str">
        <f aca="false">IF($BA501&gt;$AZ$7,"",VLOOKUP($BA501,$BC$8:$BI$507,5,FALSE()))</f>
        <v/>
      </c>
      <c r="BO501" s="77" t="str">
        <f aca="false">IF($BA501&gt;$AZ$7,"",VLOOKUP($BA501,$BC$8:$BI$507,6,FALSE()))</f>
        <v/>
      </c>
      <c r="BP501" s="52"/>
    </row>
    <row r="502" customFormat="false" ht="15.75" hidden="false" customHeight="false" outlineLevel="0" collapsed="false">
      <c r="A502" s="5"/>
      <c r="B502" s="118"/>
      <c r="C502" s="54"/>
      <c r="D502" s="55"/>
      <c r="E502" s="79"/>
      <c r="F502" s="57"/>
      <c r="G502" s="58"/>
      <c r="H502" s="58"/>
      <c r="I502" s="57"/>
      <c r="J502" s="58"/>
      <c r="K502" s="58"/>
      <c r="L502" s="57"/>
      <c r="M502" s="79"/>
      <c r="N502" s="60"/>
      <c r="O502" s="62" t="str">
        <f aca="false">IF(ISBLANK($C502),"",IF(E502=Constants!$B$2, TRUE(), IF(E502=Constants!$B$3, FALSE(), TRUE())))</f>
        <v/>
      </c>
      <c r="P502" s="62" t="str">
        <f aca="false">IF(ISBLANK($C502),"",IF(F502=Constants!$B$16,Constants!$B$9,IF(F502=Constants!$B$17,Constants!$B$10,Constants!$B$8)))</f>
        <v/>
      </c>
      <c r="Q502" s="62" t="str">
        <f aca="false">IF(ISBLANK($C502),"",IF(ISNUMBER(G502),IF(G502&gt;=0,G502,""),""))</f>
        <v/>
      </c>
      <c r="R502" s="62" t="str">
        <f aca="false">IF(ISBLANK($C502),"",IF(H502=Constants!$B$2, TRUE(), IF(H502=Constants!$B$3, FALSE(), TRUE())))</f>
        <v/>
      </c>
      <c r="S502" s="62" t="str">
        <f aca="false">IF(ISBLANK($C502),"",IF(I502=Constants!$B$2, TRUE(), IF(I502=Constants!$B$3, FALSE(), TRUE())))</f>
        <v/>
      </c>
      <c r="T502" s="62" t="str">
        <f aca="false">IF(ISBLANK($C502),"",IF(ISNUMBER(J502),IF(J502&gt;=0,J502,""),""))</f>
        <v/>
      </c>
      <c r="U502" s="62" t="str">
        <f aca="false">IF(ISBLANK($C502),"",IF(K502=Constants!$B$2, TRUE(), IF(K502=Constants!$B$3, FALSE(), TRUE())))</f>
        <v/>
      </c>
      <c r="V502" s="62" t="str">
        <f aca="false">IF(ISBLANK($C502),"",IF(L502=Constants!$B$2, TRUE(), IF(L502=Constants!$B$3, FALSE(), TRUE())))</f>
        <v/>
      </c>
      <c r="W502" s="62" t="str">
        <f aca="false">IF(ISBLANK($C502),"",IF(M502=Constants!$B$2, TRUE(), IF(M502=Constants!$B$3, FALSE(), FALSE())))</f>
        <v/>
      </c>
      <c r="X502" s="62" t="str">
        <f aca="false">IF(ISBLANK($C502),"",AND(Q502&lt;&gt;"",O502))</f>
        <v/>
      </c>
      <c r="Y502" s="62" t="str">
        <f aca="false">IF(ISBLANK($C502),"",AND(T502&lt;&gt;"",O502))</f>
        <v/>
      </c>
      <c r="Z502" s="62" t="str">
        <f aca="false">IF(ISBLANK($C502),"",IF(W502,Constants!$B$4,IF(COUNTA(E502:L502)=0,Constants!$B$5,IF(NOT(O502),Constants!$B$6,IF(AND(NOT(X502),NOT(Y502)),Constants!$B$6,Constants!$B$7)))))</f>
        <v/>
      </c>
      <c r="AA502" s="62" t="str">
        <f aca="false">IF(ISBLANK($C502),"",IF($Z502&lt;&gt;Constants!$B$7,$Z502,Constants!$B$20))</f>
        <v/>
      </c>
      <c r="AB502" s="62" t="str">
        <f aca="false">IF($Z502=Constants!$B$7,IF(X502,Q502,Constants!$B$13),"")</f>
        <v/>
      </c>
      <c r="AC502" s="62" t="str">
        <f aca="false">IF($Z502=Constants!$B$7,IF(X502,P502*IF(R502, 1, Constants!$B$11)*IF(S502, 1, Constants!$B$12),Constants!$B$13),"")</f>
        <v/>
      </c>
      <c r="AD502" s="62" t="str">
        <f aca="false">IF($Z502=Constants!$B$7,AB502*AC502,"")</f>
        <v/>
      </c>
      <c r="AE502" s="62" t="str">
        <f aca="false">IF($Z502=Constants!$B$7,IF(Y502,T502,Constants!$B$13),"")</f>
        <v/>
      </c>
      <c r="AF502" s="62" t="str">
        <f aca="false">IF($Z502=Constants!$B$7,IF(Y502,P502*IF(U502, 1, Constants!$B$11)*IF(V502, 1, Constants!$B$12),Constants!$B$13),"")</f>
        <v/>
      </c>
      <c r="AG502" s="62" t="str">
        <f aca="false">IF($Z502=Constants!$B$7,AE502*AF502,"")</f>
        <v/>
      </c>
      <c r="AH502" s="62" t="str">
        <f aca="false">IF($Z502=Constants!$B$7,IF(AG502&gt;AD502,2,1),"")</f>
        <v/>
      </c>
      <c r="AI502" s="62" t="str">
        <f aca="false">IF($Z502=Constants!$B$7,IF(AH502=1,2,1),"")</f>
        <v/>
      </c>
      <c r="AJ502" s="62" t="str">
        <f aca="false">IF(ISBLANK($C502),"",IF($Z502&lt;&gt;Constants!$B$7,$Z502,IF(AH502=1,AD502,AG502)))</f>
        <v/>
      </c>
      <c r="AK502" s="62" t="str">
        <f aca="false">IF(ISBLANK($C502),"",IF($Z502=Constants!$B$7,IF(ISNUMBER(AJ502),RANK(AJ502,$AJ$8:$AJ$507),Constants!$B$14),$Z502))</f>
        <v/>
      </c>
      <c r="AL502" s="62" t="str">
        <f aca="false">IF(ISBLANK($C502),"",IF($Z502=Constants!$B$7,IF(AI502=1,AD502,AG502),""))</f>
        <v/>
      </c>
      <c r="AM502" s="62" t="str">
        <f aca="false">IF(ISBLANK($C502),"",IF($Z502=Constants!$B$7,RANK(AL502,$AL$8:$AL$507),$Z502))</f>
        <v/>
      </c>
      <c r="AN502" s="62" t="str">
        <f aca="false">IF(ISBLANK($C502),"",IF($Z502=Constants!$B$7,IF(ISNUMBER(AK502),COUNTIFS($AK$8:$AK$507,"&lt;"&amp;$AK502)+COUNTIFS($AK$8:$AK$507,$AK502,$AM$8:$AM$507,"&lt;"&amp;$AM502)+1,Constants!$B$14),$Z502))</f>
        <v/>
      </c>
      <c r="AO502" s="62" t="str">
        <f aca="false">IF(ISBLANK($C502),"",IF($Z502=Constants!$B$7,IF(ISNUMBER(AK502),AK502-AN502,Constants!$B$14),$Z502))</f>
        <v/>
      </c>
      <c r="AP502" s="64"/>
      <c r="AQ502" s="65" t="str">
        <f aca="false">IF(ISBLANK($C502),"",IF($Z502&lt;&gt;Constants!$B$7,"",AH502))</f>
        <v/>
      </c>
      <c r="AR502" s="80" t="str">
        <f aca="false">IF(ISBLANK($C502),"",IF($Z502&lt;&gt;Constants!$B$7,"",IF(AH502=1,AB502,AE502)))</f>
        <v/>
      </c>
      <c r="AS502" s="67" t="str">
        <f aca="false">IF(ISBLANK($C502),"",IF($Z502&lt;&gt;Constants!$B$7,"",IF(AH502=1,AC502,AF502)))</f>
        <v/>
      </c>
      <c r="AT502" s="68" t="str">
        <f aca="false">IF(ISBLANK($C502),"",IF($Z502&lt;&gt;Constants!$B$7,$Z502,AJ502))</f>
        <v/>
      </c>
      <c r="AU502" s="69" t="str">
        <f aca="false">IF(ISBLANK($C502),"",IF($Z502&lt;&gt;Constants!$B$7,$Z502,AA502))</f>
        <v/>
      </c>
      <c r="AV502" s="70" t="str">
        <f aca="false">IF(ISBLANK($C502),"",AO502)</f>
        <v/>
      </c>
      <c r="AW502" s="70" t="str">
        <f aca="false">IF(ISBLANK($C502),"",AN502)</f>
        <v/>
      </c>
      <c r="AX502" s="71" t="str">
        <f aca="false">IF(ISBLANK($C502),"",IFERROR(_xlfn.SWITCH(AW502,Constants!$B$4,COUNTA($C$8:$C$507)+2,Constants!$B$5,COUNTA($C$8:$C$507)+1,Constants!$B$6,COUNTA($C$8:$C$507)),AW502))</f>
        <v/>
      </c>
      <c r="AY502" s="5"/>
      <c r="AZ502" s="72" t="n">
        <f aca="false">IF(OR(ISNUMBER(AW502),AW502=Constants!$B$4,AW502=Constants!$B$6,AW502=Constants!$B$5),1,0)</f>
        <v>0</v>
      </c>
      <c r="BA502" s="72" t="n">
        <v>495</v>
      </c>
      <c r="BB502" s="72" t="str">
        <f aca="false">IF(ISBLANK($C502),"",IF(ISNUMBER(AX502),AX502+ROW($B502)/1000,""))</f>
        <v/>
      </c>
      <c r="BC502" s="72" t="str">
        <f aca="false">IF(ISNUMBER(BB502),RANK(BB502,$BB$8:$BB$507,1),"")</f>
        <v/>
      </c>
      <c r="BD502" s="72" t="str">
        <f aca="false">IF(ISBLANK($C502),"",$B502)</f>
        <v/>
      </c>
      <c r="BE502" s="72" t="str">
        <f aca="false">IF(ISBLANK($C502),"",$C502)</f>
        <v/>
      </c>
      <c r="BF502" s="72" t="str">
        <f aca="false">IF(ISBLANK($C502),"",$D502)</f>
        <v/>
      </c>
      <c r="BG502" s="73" t="str">
        <f aca="false">AU502</f>
        <v/>
      </c>
      <c r="BH502" s="74" t="str">
        <f aca="false">AT502</f>
        <v/>
      </c>
      <c r="BI502" s="72" t="str">
        <f aca="false">IF(ISBLANK($C502),"",AW502)</f>
        <v/>
      </c>
      <c r="BJ502" s="75" t="str">
        <f aca="false">IF($BA502&gt;$AZ$7,"",VLOOKUP($BA502,$BC$8:$BI$507,7,FALSE()))</f>
        <v/>
      </c>
      <c r="BK502" s="76" t="str">
        <f aca="false">IF($BA502&gt;$AZ$7,"",VLOOKUP($BA502,$BC$8:$BI$507,2,FALSE()))</f>
        <v/>
      </c>
      <c r="BL502" s="76" t="str">
        <f aca="false">IF($BA502&gt;$AZ$7,"",VLOOKUP($BA502,$BC$8:$BI$507,3,FALSE()))</f>
        <v/>
      </c>
      <c r="BM502" s="76" t="str">
        <f aca="false">IF($BA502&gt;$AZ$7,"",VLOOKUP($BA502,$BC$8:$BI$507,4,FALSE()))</f>
        <v/>
      </c>
      <c r="BN502" s="76" t="str">
        <f aca="false">IF($BA502&gt;$AZ$7,"",VLOOKUP($BA502,$BC$8:$BI$507,5,FALSE()))</f>
        <v/>
      </c>
      <c r="BO502" s="77" t="str">
        <f aca="false">IF($BA502&gt;$AZ$7,"",VLOOKUP($BA502,$BC$8:$BI$507,6,FALSE()))</f>
        <v/>
      </c>
      <c r="BP502" s="52"/>
    </row>
    <row r="503" customFormat="false" ht="15.75" hidden="false" customHeight="false" outlineLevel="0" collapsed="false">
      <c r="A503" s="5"/>
      <c r="B503" s="114"/>
      <c r="C503" s="115"/>
      <c r="D503" s="106"/>
      <c r="E503" s="117"/>
      <c r="F503" s="87"/>
      <c r="G503" s="88"/>
      <c r="H503" s="88"/>
      <c r="I503" s="87"/>
      <c r="J503" s="88"/>
      <c r="K503" s="88"/>
      <c r="L503" s="87"/>
      <c r="M503" s="117"/>
      <c r="N503" s="90"/>
      <c r="O503" s="91" t="str">
        <f aca="false">IF(ISBLANK($C503),"",IF(E503=Constants!$B$2, TRUE(), IF(E503=Constants!$B$3, FALSE(), TRUE())))</f>
        <v/>
      </c>
      <c r="P503" s="91" t="str">
        <f aca="false">IF(ISBLANK($C503),"",IF(F503=Constants!$B$16,Constants!$B$9,IF(F503=Constants!$B$17,Constants!$B$10,Constants!$B$8)))</f>
        <v/>
      </c>
      <c r="Q503" s="91" t="str">
        <f aca="false">IF(ISBLANK($C503),"",IF(ISNUMBER(G503),IF(G503&gt;=0,G503,""),""))</f>
        <v/>
      </c>
      <c r="R503" s="91" t="str">
        <f aca="false">IF(ISBLANK($C503),"",IF(H503=Constants!$B$2, TRUE(), IF(H503=Constants!$B$3, FALSE(), TRUE())))</f>
        <v/>
      </c>
      <c r="S503" s="91" t="str">
        <f aca="false">IF(ISBLANK($C503),"",IF(I503=Constants!$B$2, TRUE(), IF(I503=Constants!$B$3, FALSE(), TRUE())))</f>
        <v/>
      </c>
      <c r="T503" s="91" t="str">
        <f aca="false">IF(ISBLANK($C503),"",IF(ISNUMBER(J503),IF(J503&gt;=0,J503,""),""))</f>
        <v/>
      </c>
      <c r="U503" s="91" t="str">
        <f aca="false">IF(ISBLANK($C503),"",IF(K503=Constants!$B$2, TRUE(), IF(K503=Constants!$B$3, FALSE(), TRUE())))</f>
        <v/>
      </c>
      <c r="V503" s="91" t="str">
        <f aca="false">IF(ISBLANK($C503),"",IF(L503=Constants!$B$2, TRUE(), IF(L503=Constants!$B$3, FALSE(), TRUE())))</f>
        <v/>
      </c>
      <c r="W503" s="91" t="str">
        <f aca="false">IF(ISBLANK($C503),"",IF(M503=Constants!$B$2, TRUE(), IF(M503=Constants!$B$3, FALSE(), FALSE())))</f>
        <v/>
      </c>
      <c r="X503" s="91" t="str">
        <f aca="false">IF(ISBLANK($C503),"",AND(Q503&lt;&gt;"",O503))</f>
        <v/>
      </c>
      <c r="Y503" s="91" t="str">
        <f aca="false">IF(ISBLANK($C503),"",AND(T503&lt;&gt;"",O503))</f>
        <v/>
      </c>
      <c r="Z503" s="91" t="str">
        <f aca="false">IF(ISBLANK($C503),"",IF(W503,Constants!$B$4,IF(COUNTA(E503:L503)=0,Constants!$B$5,IF(NOT(O503),Constants!$B$6,IF(AND(NOT(X503),NOT(Y503)),Constants!$B$6,Constants!$B$7)))))</f>
        <v/>
      </c>
      <c r="AA503" s="91" t="str">
        <f aca="false">IF(ISBLANK($C503),"",IF($Z503&lt;&gt;Constants!$B$7,$Z503,Constants!$B$20))</f>
        <v/>
      </c>
      <c r="AB503" s="91" t="str">
        <f aca="false">IF($Z503=Constants!$B$7,IF(X503,Q503,Constants!$B$13),"")</f>
        <v/>
      </c>
      <c r="AC503" s="91" t="str">
        <f aca="false">IF($Z503=Constants!$B$7,IF(X503,P503*IF(R503, 1, Constants!$B$11)*IF(S503, 1, Constants!$B$12),Constants!$B$13),"")</f>
        <v/>
      </c>
      <c r="AD503" s="91" t="str">
        <f aca="false">IF($Z503=Constants!$B$7,AB503*AC503,"")</f>
        <v/>
      </c>
      <c r="AE503" s="91" t="str">
        <f aca="false">IF($Z503=Constants!$B$7,IF(Y503,T503,Constants!$B$13),"")</f>
        <v/>
      </c>
      <c r="AF503" s="91" t="str">
        <f aca="false">IF($Z503=Constants!$B$7,IF(Y503,P503*IF(U503, 1, Constants!$B$11)*IF(V503, 1, Constants!$B$12),Constants!$B$13),"")</f>
        <v/>
      </c>
      <c r="AG503" s="91" t="str">
        <f aca="false">IF($Z503=Constants!$B$7,AE503*AF503,"")</f>
        <v/>
      </c>
      <c r="AH503" s="91" t="str">
        <f aca="false">IF($Z503=Constants!$B$7,IF(AG503&gt;AD503,2,1),"")</f>
        <v/>
      </c>
      <c r="AI503" s="91" t="str">
        <f aca="false">IF($Z503=Constants!$B$7,IF(AH503=1,2,1),"")</f>
        <v/>
      </c>
      <c r="AJ503" s="91" t="str">
        <f aca="false">IF(ISBLANK($C503),"",IF($Z503&lt;&gt;Constants!$B$7,$Z503,IF(AH503=1,AD503,AG503)))</f>
        <v/>
      </c>
      <c r="AK503" s="91" t="str">
        <f aca="false">IF(ISBLANK($C503),"",IF($Z503=Constants!$B$7,IF(ISNUMBER(AJ503),RANK(AJ503,$AJ$8:$AJ$507),Constants!$B$14),$Z503))</f>
        <v/>
      </c>
      <c r="AL503" s="91" t="str">
        <f aca="false">IF(ISBLANK($C503),"",IF($Z503=Constants!$B$7,IF(AI503=1,AD503,AG503),""))</f>
        <v/>
      </c>
      <c r="AM503" s="91" t="str">
        <f aca="false">IF(ISBLANK($C503),"",IF($Z503=Constants!$B$7,RANK(AL503,$AL$8:$AL$507),$Z503))</f>
        <v/>
      </c>
      <c r="AN503" s="91" t="str">
        <f aca="false">IF(ISBLANK($C503),"",IF($Z503=Constants!$B$7,IF(ISNUMBER(AK503),COUNTIFS($AK$8:$AK$507,"&lt;"&amp;$AK503)+COUNTIFS($AK$8:$AK$507,$AK503,$AM$8:$AM$507,"&lt;"&amp;$AM503)+1,Constants!$B$14),$Z503))</f>
        <v/>
      </c>
      <c r="AO503" s="91" t="str">
        <f aca="false">IF(ISBLANK($C503),"",IF($Z503=Constants!$B$7,IF(ISNUMBER(AK503),AK503-AN503,Constants!$B$14),$Z503))</f>
        <v/>
      </c>
      <c r="AP503" s="92"/>
      <c r="AQ503" s="93" t="str">
        <f aca="false">IF(ISBLANK($C503),"",IF($Z503&lt;&gt;Constants!$B$7,"",AH503))</f>
        <v/>
      </c>
      <c r="AR503" s="94" t="str">
        <f aca="false">IF(ISBLANK($C503),"",IF($Z503&lt;&gt;Constants!$B$7,"",IF(AH503=1,AB503,AE503)))</f>
        <v/>
      </c>
      <c r="AS503" s="95" t="str">
        <f aca="false">IF(ISBLANK($C503),"",IF($Z503&lt;&gt;Constants!$B$7,"",IF(AH503=1,AC503,AF503)))</f>
        <v/>
      </c>
      <c r="AT503" s="96" t="str">
        <f aca="false">IF(ISBLANK($C503),"",IF($Z503&lt;&gt;Constants!$B$7,$Z503,AJ503))</f>
        <v/>
      </c>
      <c r="AU503" s="97" t="str">
        <f aca="false">IF(ISBLANK($C503),"",IF($Z503&lt;&gt;Constants!$B$7,$Z503,AA503))</f>
        <v/>
      </c>
      <c r="AV503" s="98" t="str">
        <f aca="false">IF(ISBLANK($C503),"",AO503)</f>
        <v/>
      </c>
      <c r="AW503" s="98" t="str">
        <f aca="false">IF(ISBLANK($C503),"",AN503)</f>
        <v/>
      </c>
      <c r="AX503" s="99" t="str">
        <f aca="false">IF(ISBLANK($C503),"",IFERROR(_xlfn.SWITCH(AW503,Constants!$B$4,COUNTA($C$8:$C$507)+2,Constants!$B$5,COUNTA($C$8:$C$507)+1,Constants!$B$6,COUNTA($C$8:$C$507)),AW503))</f>
        <v/>
      </c>
      <c r="AY503" s="5"/>
      <c r="AZ503" s="100" t="n">
        <f aca="false">IF(OR(ISNUMBER(AW503),AW503=Constants!$B$4,AW503=Constants!$B$6,AW503=Constants!$B$5),1,0)</f>
        <v>0</v>
      </c>
      <c r="BA503" s="100" t="n">
        <v>496</v>
      </c>
      <c r="BB503" s="100" t="str">
        <f aca="false">IF(ISBLANK($C503),"",IF(ISNUMBER(AX503),AX503+ROW($B503)/1000,""))</f>
        <v/>
      </c>
      <c r="BC503" s="100" t="str">
        <f aca="false">IF(ISNUMBER(BB503),RANK(BB503,$BB$8:$BB$507,1),"")</f>
        <v/>
      </c>
      <c r="BD503" s="100" t="str">
        <f aca="false">IF(ISBLANK($C503),"",$B503)</f>
        <v/>
      </c>
      <c r="BE503" s="100" t="str">
        <f aca="false">IF(ISBLANK($C503),"",$C503)</f>
        <v/>
      </c>
      <c r="BF503" s="100" t="str">
        <f aca="false">IF(ISBLANK($C503),"",$D503)</f>
        <v/>
      </c>
      <c r="BG503" s="101" t="str">
        <f aca="false">AU503</f>
        <v/>
      </c>
      <c r="BH503" s="102" t="str">
        <f aca="false">AT503</f>
        <v/>
      </c>
      <c r="BI503" s="100" t="str">
        <f aca="false">IF(ISBLANK($C503),"",AW503)</f>
        <v/>
      </c>
      <c r="BJ503" s="103" t="str">
        <f aca="false">IF($BA503&gt;$AZ$7,"",VLOOKUP($BA503,$BC$8:$BI$507,7,FALSE()))</f>
        <v/>
      </c>
      <c r="BK503" s="104" t="str">
        <f aca="false">IF($BA503&gt;$AZ$7,"",VLOOKUP($BA503,$BC$8:$BI$507,2,FALSE()))</f>
        <v/>
      </c>
      <c r="BL503" s="104" t="str">
        <f aca="false">IF($BA503&gt;$AZ$7,"",VLOOKUP($BA503,$BC$8:$BI$507,3,FALSE()))</f>
        <v/>
      </c>
      <c r="BM503" s="104" t="str">
        <f aca="false">IF($BA503&gt;$AZ$7,"",VLOOKUP($BA503,$BC$8:$BI$507,4,FALSE()))</f>
        <v/>
      </c>
      <c r="BN503" s="104" t="str">
        <f aca="false">IF($BA503&gt;$AZ$7,"",VLOOKUP($BA503,$BC$8:$BI$507,5,FALSE()))</f>
        <v/>
      </c>
      <c r="BO503" s="105" t="str">
        <f aca="false">IF($BA503&gt;$AZ$7,"",VLOOKUP($BA503,$BC$8:$BI$507,6,FALSE()))</f>
        <v/>
      </c>
      <c r="BP503" s="52"/>
    </row>
    <row r="504" customFormat="false" ht="15.75" hidden="false" customHeight="false" outlineLevel="0" collapsed="false">
      <c r="A504" s="5"/>
      <c r="B504" s="114"/>
      <c r="C504" s="115"/>
      <c r="D504" s="106"/>
      <c r="E504" s="117"/>
      <c r="F504" s="87"/>
      <c r="G504" s="88"/>
      <c r="H504" s="88"/>
      <c r="I504" s="87"/>
      <c r="J504" s="88"/>
      <c r="K504" s="88"/>
      <c r="L504" s="87"/>
      <c r="M504" s="117"/>
      <c r="N504" s="90"/>
      <c r="O504" s="91" t="str">
        <f aca="false">IF(ISBLANK($C504),"",IF(E504=Constants!$B$2, TRUE(), IF(E504=Constants!$B$3, FALSE(), TRUE())))</f>
        <v/>
      </c>
      <c r="P504" s="91" t="str">
        <f aca="false">IF(ISBLANK($C504),"",IF(F504=Constants!$B$16,Constants!$B$9,IF(F504=Constants!$B$17,Constants!$B$10,Constants!$B$8)))</f>
        <v/>
      </c>
      <c r="Q504" s="91" t="str">
        <f aca="false">IF(ISBLANK($C504),"",IF(ISNUMBER(G504),IF(G504&gt;=0,G504,""),""))</f>
        <v/>
      </c>
      <c r="R504" s="91" t="str">
        <f aca="false">IF(ISBLANK($C504),"",IF(H504=Constants!$B$2, TRUE(), IF(H504=Constants!$B$3, FALSE(), TRUE())))</f>
        <v/>
      </c>
      <c r="S504" s="91" t="str">
        <f aca="false">IF(ISBLANK($C504),"",IF(I504=Constants!$B$2, TRUE(), IF(I504=Constants!$B$3, FALSE(), TRUE())))</f>
        <v/>
      </c>
      <c r="T504" s="91" t="str">
        <f aca="false">IF(ISBLANK($C504),"",IF(ISNUMBER(J504),IF(J504&gt;=0,J504,""),""))</f>
        <v/>
      </c>
      <c r="U504" s="91" t="str">
        <f aca="false">IF(ISBLANK($C504),"",IF(K504=Constants!$B$2, TRUE(), IF(K504=Constants!$B$3, FALSE(), TRUE())))</f>
        <v/>
      </c>
      <c r="V504" s="91" t="str">
        <f aca="false">IF(ISBLANK($C504),"",IF(L504=Constants!$B$2, TRUE(), IF(L504=Constants!$B$3, FALSE(), TRUE())))</f>
        <v/>
      </c>
      <c r="W504" s="91" t="str">
        <f aca="false">IF(ISBLANK($C504),"",IF(M504=Constants!$B$2, TRUE(), IF(M504=Constants!$B$3, FALSE(), FALSE())))</f>
        <v/>
      </c>
      <c r="X504" s="91" t="str">
        <f aca="false">IF(ISBLANK($C504),"",AND(Q504&lt;&gt;"",O504))</f>
        <v/>
      </c>
      <c r="Y504" s="91" t="str">
        <f aca="false">IF(ISBLANK($C504),"",AND(T504&lt;&gt;"",O504))</f>
        <v/>
      </c>
      <c r="Z504" s="91" t="str">
        <f aca="false">IF(ISBLANK($C504),"",IF(W504,Constants!$B$4,IF(COUNTA(E504:L504)=0,Constants!$B$5,IF(NOT(O504),Constants!$B$6,IF(AND(NOT(X504),NOT(Y504)),Constants!$B$6,Constants!$B$7)))))</f>
        <v/>
      </c>
      <c r="AA504" s="91" t="str">
        <f aca="false">IF(ISBLANK($C504),"",IF($Z504&lt;&gt;Constants!$B$7,$Z504,Constants!$B$20))</f>
        <v/>
      </c>
      <c r="AB504" s="91" t="str">
        <f aca="false">IF($Z504=Constants!$B$7,IF(X504,Q504,Constants!$B$13),"")</f>
        <v/>
      </c>
      <c r="AC504" s="91" t="str">
        <f aca="false">IF($Z504=Constants!$B$7,IF(X504,P504*IF(R504, 1, Constants!$B$11)*IF(S504, 1, Constants!$B$12),Constants!$B$13),"")</f>
        <v/>
      </c>
      <c r="AD504" s="91" t="str">
        <f aca="false">IF($Z504=Constants!$B$7,AB504*AC504,"")</f>
        <v/>
      </c>
      <c r="AE504" s="91" t="str">
        <f aca="false">IF($Z504=Constants!$B$7,IF(Y504,T504,Constants!$B$13),"")</f>
        <v/>
      </c>
      <c r="AF504" s="91" t="str">
        <f aca="false">IF($Z504=Constants!$B$7,IF(Y504,P504*IF(U504, 1, Constants!$B$11)*IF(V504, 1, Constants!$B$12),Constants!$B$13),"")</f>
        <v/>
      </c>
      <c r="AG504" s="91" t="str">
        <f aca="false">IF($Z504=Constants!$B$7,AE504*AF504,"")</f>
        <v/>
      </c>
      <c r="AH504" s="91" t="str">
        <f aca="false">IF($Z504=Constants!$B$7,IF(AG504&gt;AD504,2,1),"")</f>
        <v/>
      </c>
      <c r="AI504" s="91" t="str">
        <f aca="false">IF($Z504=Constants!$B$7,IF(AH504=1,2,1),"")</f>
        <v/>
      </c>
      <c r="AJ504" s="91" t="str">
        <f aca="false">IF(ISBLANK($C504),"",IF($Z504&lt;&gt;Constants!$B$7,$Z504,IF(AH504=1,AD504,AG504)))</f>
        <v/>
      </c>
      <c r="AK504" s="91" t="str">
        <f aca="false">IF(ISBLANK($C504),"",IF($Z504=Constants!$B$7,IF(ISNUMBER(AJ504),RANK(AJ504,$AJ$8:$AJ$507),Constants!$B$14),$Z504))</f>
        <v/>
      </c>
      <c r="AL504" s="91" t="str">
        <f aca="false">IF(ISBLANK($C504),"",IF($Z504=Constants!$B$7,IF(AI504=1,AD504,AG504),""))</f>
        <v/>
      </c>
      <c r="AM504" s="91" t="str">
        <f aca="false">IF(ISBLANK($C504),"",IF($Z504=Constants!$B$7,RANK(AL504,$AL$8:$AL$507),$Z504))</f>
        <v/>
      </c>
      <c r="AN504" s="91" t="str">
        <f aca="false">IF(ISBLANK($C504),"",IF($Z504=Constants!$B$7,IF(ISNUMBER(AK504),COUNTIFS($AK$8:$AK$507,"&lt;"&amp;$AK504)+COUNTIFS($AK$8:$AK$507,$AK504,$AM$8:$AM$507,"&lt;"&amp;$AM504)+1,Constants!$B$14),$Z504))</f>
        <v/>
      </c>
      <c r="AO504" s="91" t="str">
        <f aca="false">IF(ISBLANK($C504),"",IF($Z504=Constants!$B$7,IF(ISNUMBER(AK504),AK504-AN504,Constants!$B$14),$Z504))</f>
        <v/>
      </c>
      <c r="AP504" s="92"/>
      <c r="AQ504" s="93" t="str">
        <f aca="false">IF(ISBLANK($C504),"",IF($Z504&lt;&gt;Constants!$B$7,"",AH504))</f>
        <v/>
      </c>
      <c r="AR504" s="94" t="str">
        <f aca="false">IF(ISBLANK($C504),"",IF($Z504&lt;&gt;Constants!$B$7,"",IF(AH504=1,AB504,AE504)))</f>
        <v/>
      </c>
      <c r="AS504" s="95" t="str">
        <f aca="false">IF(ISBLANK($C504),"",IF($Z504&lt;&gt;Constants!$B$7,"",IF(AH504=1,AC504,AF504)))</f>
        <v/>
      </c>
      <c r="AT504" s="96" t="str">
        <f aca="false">IF(ISBLANK($C504),"",IF($Z504&lt;&gt;Constants!$B$7,$Z504,AJ504))</f>
        <v/>
      </c>
      <c r="AU504" s="97" t="str">
        <f aca="false">IF(ISBLANK($C504),"",IF($Z504&lt;&gt;Constants!$B$7,$Z504,AA504))</f>
        <v/>
      </c>
      <c r="AV504" s="98" t="str">
        <f aca="false">IF(ISBLANK($C504),"",AO504)</f>
        <v/>
      </c>
      <c r="AW504" s="98" t="str">
        <f aca="false">IF(ISBLANK($C504),"",AN504)</f>
        <v/>
      </c>
      <c r="AX504" s="99" t="str">
        <f aca="false">IF(ISBLANK($C504),"",IFERROR(_xlfn.SWITCH(AW504,Constants!$B$4,COUNTA($C$8:$C$507)+2,Constants!$B$5,COUNTA($C$8:$C$507)+1,Constants!$B$6,COUNTA($C$8:$C$507)),AW504))</f>
        <v/>
      </c>
      <c r="AY504" s="5"/>
      <c r="AZ504" s="100" t="n">
        <f aca="false">IF(OR(ISNUMBER(AW504),AW504=Constants!$B$4,AW504=Constants!$B$6,AW504=Constants!$B$5),1,0)</f>
        <v>0</v>
      </c>
      <c r="BA504" s="100" t="n">
        <v>497</v>
      </c>
      <c r="BB504" s="100" t="str">
        <f aca="false">IF(ISBLANK($C504),"",IF(ISNUMBER(AX504),AX504+ROW($B504)/1000,""))</f>
        <v/>
      </c>
      <c r="BC504" s="100" t="str">
        <f aca="false">IF(ISNUMBER(BB504),RANK(BB504,$BB$8:$BB$507,1),"")</f>
        <v/>
      </c>
      <c r="BD504" s="100" t="str">
        <f aca="false">IF(ISBLANK($C504),"",$B504)</f>
        <v/>
      </c>
      <c r="BE504" s="100" t="str">
        <f aca="false">IF(ISBLANK($C504),"",$C504)</f>
        <v/>
      </c>
      <c r="BF504" s="100" t="str">
        <f aca="false">IF(ISBLANK($C504),"",$D504)</f>
        <v/>
      </c>
      <c r="BG504" s="101" t="str">
        <f aca="false">AU504</f>
        <v/>
      </c>
      <c r="BH504" s="102" t="str">
        <f aca="false">AT504</f>
        <v/>
      </c>
      <c r="BI504" s="100" t="str">
        <f aca="false">IF(ISBLANK($C504),"",AW504)</f>
        <v/>
      </c>
      <c r="BJ504" s="103" t="str">
        <f aca="false">IF($BA504&gt;$AZ$7,"",VLOOKUP($BA504,$BC$8:$BI$507,7,FALSE()))</f>
        <v/>
      </c>
      <c r="BK504" s="104" t="str">
        <f aca="false">IF($BA504&gt;$AZ$7,"",VLOOKUP($BA504,$BC$8:$BI$507,2,FALSE()))</f>
        <v/>
      </c>
      <c r="BL504" s="104" t="str">
        <f aca="false">IF($BA504&gt;$AZ$7,"",VLOOKUP($BA504,$BC$8:$BI$507,3,FALSE()))</f>
        <v/>
      </c>
      <c r="BM504" s="104" t="str">
        <f aca="false">IF($BA504&gt;$AZ$7,"",VLOOKUP($BA504,$BC$8:$BI$507,4,FALSE()))</f>
        <v/>
      </c>
      <c r="BN504" s="104" t="str">
        <f aca="false">IF($BA504&gt;$AZ$7,"",VLOOKUP($BA504,$BC$8:$BI$507,5,FALSE()))</f>
        <v/>
      </c>
      <c r="BO504" s="105" t="str">
        <f aca="false">IF($BA504&gt;$AZ$7,"",VLOOKUP($BA504,$BC$8:$BI$507,6,FALSE()))</f>
        <v/>
      </c>
      <c r="BP504" s="52"/>
    </row>
    <row r="505" customFormat="false" ht="15.75" hidden="false" customHeight="false" outlineLevel="0" collapsed="false">
      <c r="A505" s="5"/>
      <c r="B505" s="114"/>
      <c r="C505" s="115"/>
      <c r="D505" s="106"/>
      <c r="E505" s="117"/>
      <c r="F505" s="87"/>
      <c r="G505" s="88"/>
      <c r="H505" s="88"/>
      <c r="I505" s="87"/>
      <c r="J505" s="88"/>
      <c r="K505" s="88"/>
      <c r="L505" s="87"/>
      <c r="M505" s="117"/>
      <c r="N505" s="90"/>
      <c r="O505" s="91" t="str">
        <f aca="false">IF(ISBLANK($C505),"",IF(E505=Constants!$B$2, TRUE(), IF(E505=Constants!$B$3, FALSE(), TRUE())))</f>
        <v/>
      </c>
      <c r="P505" s="91" t="str">
        <f aca="false">IF(ISBLANK($C505),"",IF(F505=Constants!$B$16,Constants!$B$9,IF(F505=Constants!$B$17,Constants!$B$10,Constants!$B$8)))</f>
        <v/>
      </c>
      <c r="Q505" s="91" t="str">
        <f aca="false">IF(ISBLANK($C505),"",IF(ISNUMBER(G505),IF(G505&gt;=0,G505,""),""))</f>
        <v/>
      </c>
      <c r="R505" s="91" t="str">
        <f aca="false">IF(ISBLANK($C505),"",IF(H505=Constants!$B$2, TRUE(), IF(H505=Constants!$B$3, FALSE(), TRUE())))</f>
        <v/>
      </c>
      <c r="S505" s="91" t="str">
        <f aca="false">IF(ISBLANK($C505),"",IF(I505=Constants!$B$2, TRUE(), IF(I505=Constants!$B$3, FALSE(), TRUE())))</f>
        <v/>
      </c>
      <c r="T505" s="91" t="str">
        <f aca="false">IF(ISBLANK($C505),"",IF(ISNUMBER(J505),IF(J505&gt;=0,J505,""),""))</f>
        <v/>
      </c>
      <c r="U505" s="91" t="str">
        <f aca="false">IF(ISBLANK($C505),"",IF(K505=Constants!$B$2, TRUE(), IF(K505=Constants!$B$3, FALSE(), TRUE())))</f>
        <v/>
      </c>
      <c r="V505" s="91" t="str">
        <f aca="false">IF(ISBLANK($C505),"",IF(L505=Constants!$B$2, TRUE(), IF(L505=Constants!$B$3, FALSE(), TRUE())))</f>
        <v/>
      </c>
      <c r="W505" s="91" t="str">
        <f aca="false">IF(ISBLANK($C505),"",IF(M505=Constants!$B$2, TRUE(), IF(M505=Constants!$B$3, FALSE(), FALSE())))</f>
        <v/>
      </c>
      <c r="X505" s="91" t="str">
        <f aca="false">IF(ISBLANK($C505),"",AND(Q505&lt;&gt;"",O505))</f>
        <v/>
      </c>
      <c r="Y505" s="91" t="str">
        <f aca="false">IF(ISBLANK($C505),"",AND(T505&lt;&gt;"",O505))</f>
        <v/>
      </c>
      <c r="Z505" s="91" t="str">
        <f aca="false">IF(ISBLANK($C505),"",IF(W505,Constants!$B$4,IF(COUNTA(E505:L505)=0,Constants!$B$5,IF(NOT(O505),Constants!$B$6,IF(AND(NOT(X505),NOT(Y505)),Constants!$B$6,Constants!$B$7)))))</f>
        <v/>
      </c>
      <c r="AA505" s="91" t="str">
        <f aca="false">IF(ISBLANK($C505),"",IF($Z505&lt;&gt;Constants!$B$7,$Z505,Constants!$B$20))</f>
        <v/>
      </c>
      <c r="AB505" s="91" t="str">
        <f aca="false">IF($Z505=Constants!$B$7,IF(X505,Q505,Constants!$B$13),"")</f>
        <v/>
      </c>
      <c r="AC505" s="91" t="str">
        <f aca="false">IF($Z505=Constants!$B$7,IF(X505,P505*IF(R505, 1, Constants!$B$11)*IF(S505, 1, Constants!$B$12),Constants!$B$13),"")</f>
        <v/>
      </c>
      <c r="AD505" s="91" t="str">
        <f aca="false">IF($Z505=Constants!$B$7,AB505*AC505,"")</f>
        <v/>
      </c>
      <c r="AE505" s="91" t="str">
        <f aca="false">IF($Z505=Constants!$B$7,IF(Y505,T505,Constants!$B$13),"")</f>
        <v/>
      </c>
      <c r="AF505" s="91" t="str">
        <f aca="false">IF($Z505=Constants!$B$7,IF(Y505,P505*IF(U505, 1, Constants!$B$11)*IF(V505, 1, Constants!$B$12),Constants!$B$13),"")</f>
        <v/>
      </c>
      <c r="AG505" s="91" t="str">
        <f aca="false">IF($Z505=Constants!$B$7,AE505*AF505,"")</f>
        <v/>
      </c>
      <c r="AH505" s="91" t="str">
        <f aca="false">IF($Z505=Constants!$B$7,IF(AG505&gt;AD505,2,1),"")</f>
        <v/>
      </c>
      <c r="AI505" s="91" t="str">
        <f aca="false">IF($Z505=Constants!$B$7,IF(AH505=1,2,1),"")</f>
        <v/>
      </c>
      <c r="AJ505" s="91" t="str">
        <f aca="false">IF(ISBLANK($C505),"",IF($Z505&lt;&gt;Constants!$B$7,$Z505,IF(AH505=1,AD505,AG505)))</f>
        <v/>
      </c>
      <c r="AK505" s="91" t="str">
        <f aca="false">IF(ISBLANK($C505),"",IF($Z505=Constants!$B$7,IF(ISNUMBER(AJ505),RANK(AJ505,$AJ$8:$AJ$507),Constants!$B$14),$Z505))</f>
        <v/>
      </c>
      <c r="AL505" s="91" t="str">
        <f aca="false">IF(ISBLANK($C505),"",IF($Z505=Constants!$B$7,IF(AI505=1,AD505,AG505),""))</f>
        <v/>
      </c>
      <c r="AM505" s="91" t="str">
        <f aca="false">IF(ISBLANK($C505),"",IF($Z505=Constants!$B$7,RANK(AL505,$AL$8:$AL$507),$Z505))</f>
        <v/>
      </c>
      <c r="AN505" s="91" t="str">
        <f aca="false">IF(ISBLANK($C505),"",IF($Z505=Constants!$B$7,IF(ISNUMBER(AK505),COUNTIFS($AK$8:$AK$507,"&lt;"&amp;$AK505)+COUNTIFS($AK$8:$AK$507,$AK505,$AM$8:$AM$507,"&lt;"&amp;$AM505)+1,Constants!$B$14),$Z505))</f>
        <v/>
      </c>
      <c r="AO505" s="91" t="str">
        <f aca="false">IF(ISBLANK($C505),"",IF($Z505=Constants!$B$7,IF(ISNUMBER(AK505),AK505-AN505,Constants!$B$14),$Z505))</f>
        <v/>
      </c>
      <c r="AP505" s="92"/>
      <c r="AQ505" s="93" t="str">
        <f aca="false">IF(ISBLANK($C505),"",IF($Z505&lt;&gt;Constants!$B$7,"",AH505))</f>
        <v/>
      </c>
      <c r="AR505" s="94" t="str">
        <f aca="false">IF(ISBLANK($C505),"",IF($Z505&lt;&gt;Constants!$B$7,"",IF(AH505=1,AB505,AE505)))</f>
        <v/>
      </c>
      <c r="AS505" s="95" t="str">
        <f aca="false">IF(ISBLANK($C505),"",IF($Z505&lt;&gt;Constants!$B$7,"",IF(AH505=1,AC505,AF505)))</f>
        <v/>
      </c>
      <c r="AT505" s="96" t="str">
        <f aca="false">IF(ISBLANK($C505),"",IF($Z505&lt;&gt;Constants!$B$7,$Z505,AJ505))</f>
        <v/>
      </c>
      <c r="AU505" s="97" t="str">
        <f aca="false">IF(ISBLANK($C505),"",IF($Z505&lt;&gt;Constants!$B$7,$Z505,AA505))</f>
        <v/>
      </c>
      <c r="AV505" s="98" t="str">
        <f aca="false">IF(ISBLANK($C505),"",AO505)</f>
        <v/>
      </c>
      <c r="AW505" s="98" t="str">
        <f aca="false">IF(ISBLANK($C505),"",AN505)</f>
        <v/>
      </c>
      <c r="AX505" s="99" t="str">
        <f aca="false">IF(ISBLANK($C505),"",IFERROR(_xlfn.SWITCH(AW505,Constants!$B$4,COUNTA($C$8:$C$507)+2,Constants!$B$5,COUNTA($C$8:$C$507)+1,Constants!$B$6,COUNTA($C$8:$C$507)),AW505))</f>
        <v/>
      </c>
      <c r="AY505" s="5"/>
      <c r="AZ505" s="100" t="n">
        <f aca="false">IF(OR(ISNUMBER(AW505),AW505=Constants!$B$4,AW505=Constants!$B$6,AW505=Constants!$B$5),1,0)</f>
        <v>0</v>
      </c>
      <c r="BA505" s="100" t="n">
        <v>498</v>
      </c>
      <c r="BB505" s="100" t="str">
        <f aca="false">IF(ISBLANK($C505),"",IF(ISNUMBER(AX505),AX505+ROW($B505)/1000,""))</f>
        <v/>
      </c>
      <c r="BC505" s="100" t="str">
        <f aca="false">IF(ISNUMBER(BB505),RANK(BB505,$BB$8:$BB$507,1),"")</f>
        <v/>
      </c>
      <c r="BD505" s="100" t="str">
        <f aca="false">IF(ISBLANK($C505),"",$B505)</f>
        <v/>
      </c>
      <c r="BE505" s="100" t="str">
        <f aca="false">IF(ISBLANK($C505),"",$C505)</f>
        <v/>
      </c>
      <c r="BF505" s="100" t="str">
        <f aca="false">IF(ISBLANK($C505),"",$D505)</f>
        <v/>
      </c>
      <c r="BG505" s="101" t="str">
        <f aca="false">AU505</f>
        <v/>
      </c>
      <c r="BH505" s="102" t="str">
        <f aca="false">AT505</f>
        <v/>
      </c>
      <c r="BI505" s="100" t="str">
        <f aca="false">IF(ISBLANK($C505),"",AW505)</f>
        <v/>
      </c>
      <c r="BJ505" s="103" t="str">
        <f aca="false">IF($BA505&gt;$AZ$7,"",VLOOKUP($BA505,$BC$8:$BI$507,7,FALSE()))</f>
        <v/>
      </c>
      <c r="BK505" s="104" t="str">
        <f aca="false">IF($BA505&gt;$AZ$7,"",VLOOKUP($BA505,$BC$8:$BI$507,2,FALSE()))</f>
        <v/>
      </c>
      <c r="BL505" s="104" t="str">
        <f aca="false">IF($BA505&gt;$AZ$7,"",VLOOKUP($BA505,$BC$8:$BI$507,3,FALSE()))</f>
        <v/>
      </c>
      <c r="BM505" s="104" t="str">
        <f aca="false">IF($BA505&gt;$AZ$7,"",VLOOKUP($BA505,$BC$8:$BI$507,4,FALSE()))</f>
        <v/>
      </c>
      <c r="BN505" s="104" t="str">
        <f aca="false">IF($BA505&gt;$AZ$7,"",VLOOKUP($BA505,$BC$8:$BI$507,5,FALSE()))</f>
        <v/>
      </c>
      <c r="BO505" s="105" t="str">
        <f aca="false">IF($BA505&gt;$AZ$7,"",VLOOKUP($BA505,$BC$8:$BI$507,6,FALSE()))</f>
        <v/>
      </c>
      <c r="BP505" s="52"/>
    </row>
    <row r="506" customFormat="false" ht="15.75" hidden="false" customHeight="false" outlineLevel="0" collapsed="false">
      <c r="A506" s="5"/>
      <c r="B506" s="118"/>
      <c r="C506" s="54"/>
      <c r="D506" s="55"/>
      <c r="E506" s="79"/>
      <c r="F506" s="57"/>
      <c r="G506" s="58"/>
      <c r="H506" s="58"/>
      <c r="I506" s="57"/>
      <c r="J506" s="58"/>
      <c r="K506" s="58"/>
      <c r="L506" s="57"/>
      <c r="M506" s="79"/>
      <c r="N506" s="60"/>
      <c r="O506" s="62" t="str">
        <f aca="false">IF(ISBLANK($C506),"",IF(E506=Constants!$B$2, TRUE(), IF(E506=Constants!$B$3, FALSE(), TRUE())))</f>
        <v/>
      </c>
      <c r="P506" s="62" t="str">
        <f aca="false">IF(ISBLANK($C506),"",IF(F506=Constants!$B$16,Constants!$B$9,IF(F506=Constants!$B$17,Constants!$B$10,Constants!$B$8)))</f>
        <v/>
      </c>
      <c r="Q506" s="62" t="str">
        <f aca="false">IF(ISBLANK($C506),"",IF(ISNUMBER(G506),IF(G506&gt;=0,G506,""),""))</f>
        <v/>
      </c>
      <c r="R506" s="62" t="str">
        <f aca="false">IF(ISBLANK($C506),"",IF(H506=Constants!$B$2, TRUE(), IF(H506=Constants!$B$3, FALSE(), TRUE())))</f>
        <v/>
      </c>
      <c r="S506" s="62" t="str">
        <f aca="false">IF(ISBLANK($C506),"",IF(I506=Constants!$B$2, TRUE(), IF(I506=Constants!$B$3, FALSE(), TRUE())))</f>
        <v/>
      </c>
      <c r="T506" s="62" t="str">
        <f aca="false">IF(ISBLANK($C506),"",IF(ISNUMBER(J506),IF(J506&gt;=0,J506,""),""))</f>
        <v/>
      </c>
      <c r="U506" s="62" t="str">
        <f aca="false">IF(ISBLANK($C506),"",IF(K506=Constants!$B$2, TRUE(), IF(K506=Constants!$B$3, FALSE(), TRUE())))</f>
        <v/>
      </c>
      <c r="V506" s="62" t="str">
        <f aca="false">IF(ISBLANK($C506),"",IF(L506=Constants!$B$2, TRUE(), IF(L506=Constants!$B$3, FALSE(), TRUE())))</f>
        <v/>
      </c>
      <c r="W506" s="62" t="str">
        <f aca="false">IF(ISBLANK($C506),"",IF(M506=Constants!$B$2, TRUE(), IF(M506=Constants!$B$3, FALSE(), FALSE())))</f>
        <v/>
      </c>
      <c r="X506" s="62" t="str">
        <f aca="false">IF(ISBLANK($C506),"",AND(Q506&lt;&gt;"",O506))</f>
        <v/>
      </c>
      <c r="Y506" s="62" t="str">
        <f aca="false">IF(ISBLANK($C506),"",AND(T506&lt;&gt;"",O506))</f>
        <v/>
      </c>
      <c r="Z506" s="62" t="str">
        <f aca="false">IF(ISBLANK($C506),"",IF(W506,Constants!$B$4,IF(COUNTA(E506:L506)=0,Constants!$B$5,IF(NOT(O506),Constants!$B$6,IF(AND(NOT(X506),NOT(Y506)),Constants!$B$6,Constants!$B$7)))))</f>
        <v/>
      </c>
      <c r="AA506" s="62" t="str">
        <f aca="false">IF(ISBLANK($C506),"",IF($Z506&lt;&gt;Constants!$B$7,$Z506,Constants!$B$20))</f>
        <v/>
      </c>
      <c r="AB506" s="62" t="str">
        <f aca="false">IF($Z506=Constants!$B$7,IF(X506,Q506,Constants!$B$13),"")</f>
        <v/>
      </c>
      <c r="AC506" s="62" t="str">
        <f aca="false">IF($Z506=Constants!$B$7,IF(X506,P506*IF(R506, 1, Constants!$B$11)*IF(S506, 1, Constants!$B$12),Constants!$B$13),"")</f>
        <v/>
      </c>
      <c r="AD506" s="62" t="str">
        <f aca="false">IF($Z506=Constants!$B$7,AB506*AC506,"")</f>
        <v/>
      </c>
      <c r="AE506" s="62" t="str">
        <f aca="false">IF($Z506=Constants!$B$7,IF(Y506,T506,Constants!$B$13),"")</f>
        <v/>
      </c>
      <c r="AF506" s="62" t="str">
        <f aca="false">IF($Z506=Constants!$B$7,IF(Y506,P506*IF(U506, 1, Constants!$B$11)*IF(V506, 1, Constants!$B$12),Constants!$B$13),"")</f>
        <v/>
      </c>
      <c r="AG506" s="62" t="str">
        <f aca="false">IF($Z506=Constants!$B$7,AE506*AF506,"")</f>
        <v/>
      </c>
      <c r="AH506" s="62" t="str">
        <f aca="false">IF($Z506=Constants!$B$7,IF(AG506&gt;AD506,2,1),"")</f>
        <v/>
      </c>
      <c r="AI506" s="62" t="str">
        <f aca="false">IF($Z506=Constants!$B$7,IF(AH506=1,2,1),"")</f>
        <v/>
      </c>
      <c r="AJ506" s="62" t="str">
        <f aca="false">IF(ISBLANK($C506),"",IF($Z506&lt;&gt;Constants!$B$7,$Z506,IF(AH506=1,AD506,AG506)))</f>
        <v/>
      </c>
      <c r="AK506" s="62" t="str">
        <f aca="false">IF(ISBLANK($C506),"",IF($Z506=Constants!$B$7,IF(ISNUMBER(AJ506),RANK(AJ506,$AJ$8:$AJ$507),Constants!$B$14),$Z506))</f>
        <v/>
      </c>
      <c r="AL506" s="62" t="str">
        <f aca="false">IF(ISBLANK($C506),"",IF($Z506=Constants!$B$7,IF(AI506=1,AD506,AG506),""))</f>
        <v/>
      </c>
      <c r="AM506" s="62" t="str">
        <f aca="false">IF(ISBLANK($C506),"",IF($Z506=Constants!$B$7,RANK(AL506,$AL$8:$AL$507),$Z506))</f>
        <v/>
      </c>
      <c r="AN506" s="62" t="str">
        <f aca="false">IF(ISBLANK($C506),"",IF($Z506=Constants!$B$7,IF(ISNUMBER(AK506),COUNTIFS($AK$8:$AK$507,"&lt;"&amp;$AK506)+COUNTIFS($AK$8:$AK$507,$AK506,$AM$8:$AM$507,"&lt;"&amp;$AM506)+1,Constants!$B$14),$Z506))</f>
        <v/>
      </c>
      <c r="AO506" s="62" t="str">
        <f aca="false">IF(ISBLANK($C506),"",IF($Z506=Constants!$B$7,IF(ISNUMBER(AK506),AK506-AN506,Constants!$B$14),$Z506))</f>
        <v/>
      </c>
      <c r="AP506" s="64"/>
      <c r="AQ506" s="65" t="str">
        <f aca="false">IF(ISBLANK($C506),"",IF($Z506&lt;&gt;Constants!$B$7,"",AH506))</f>
        <v/>
      </c>
      <c r="AR506" s="80" t="str">
        <f aca="false">IF(ISBLANK($C506),"",IF($Z506&lt;&gt;Constants!$B$7,"",IF(AH506=1,AB506,AE506)))</f>
        <v/>
      </c>
      <c r="AS506" s="67" t="str">
        <f aca="false">IF(ISBLANK($C506),"",IF($Z506&lt;&gt;Constants!$B$7,"",IF(AH506=1,AC506,AF506)))</f>
        <v/>
      </c>
      <c r="AT506" s="68" t="str">
        <f aca="false">IF(ISBLANK($C506),"",IF($Z506&lt;&gt;Constants!$B$7,$Z506,AJ506))</f>
        <v/>
      </c>
      <c r="AU506" s="69" t="str">
        <f aca="false">IF(ISBLANK($C506),"",IF($Z506&lt;&gt;Constants!$B$7,$Z506,AA506))</f>
        <v/>
      </c>
      <c r="AV506" s="70" t="str">
        <f aca="false">IF(ISBLANK($C506),"",AO506)</f>
        <v/>
      </c>
      <c r="AW506" s="70" t="str">
        <f aca="false">IF(ISBLANK($C506),"",AN506)</f>
        <v/>
      </c>
      <c r="AX506" s="71" t="str">
        <f aca="false">IF(ISBLANK($C506),"",IFERROR(_xlfn.SWITCH(AW506,Constants!$B$4,COUNTA($C$8:$C$507)+2,Constants!$B$5,COUNTA($C$8:$C$507)+1,Constants!$B$6,COUNTA($C$8:$C$507)),AW506))</f>
        <v/>
      </c>
      <c r="AY506" s="5"/>
      <c r="AZ506" s="72" t="n">
        <f aca="false">IF(OR(ISNUMBER(AW506),AW506=Constants!$B$4,AW506=Constants!$B$6,AW506=Constants!$B$5),1,0)</f>
        <v>0</v>
      </c>
      <c r="BA506" s="72" t="n">
        <v>499</v>
      </c>
      <c r="BB506" s="72" t="str">
        <f aca="false">IF(ISBLANK($C506),"",IF(ISNUMBER(AX506),AX506+ROW($B506)/1000,""))</f>
        <v/>
      </c>
      <c r="BC506" s="72" t="str">
        <f aca="false">IF(ISNUMBER(BB506),RANK(BB506,$BB$8:$BB$507,1),"")</f>
        <v/>
      </c>
      <c r="BD506" s="72" t="str">
        <f aca="false">IF(ISBLANK($C506),"",$B506)</f>
        <v/>
      </c>
      <c r="BE506" s="72" t="str">
        <f aca="false">IF(ISBLANK($C506),"",$C506)</f>
        <v/>
      </c>
      <c r="BF506" s="72" t="str">
        <f aca="false">IF(ISBLANK($C506),"",$D506)</f>
        <v/>
      </c>
      <c r="BG506" s="73" t="str">
        <f aca="false">AU506</f>
        <v/>
      </c>
      <c r="BH506" s="74" t="str">
        <f aca="false">AT506</f>
        <v/>
      </c>
      <c r="BI506" s="72" t="str">
        <f aca="false">IF(ISBLANK($C506),"",AW506)</f>
        <v/>
      </c>
      <c r="BJ506" s="75" t="str">
        <f aca="false">IF($BA506&gt;$AZ$7,"",VLOOKUP($BA506,$BC$8:$BI$507,7,FALSE()))</f>
        <v/>
      </c>
      <c r="BK506" s="76" t="str">
        <f aca="false">IF($BA506&gt;$AZ$7,"",VLOOKUP($BA506,$BC$8:$BI$507,2,FALSE()))</f>
        <v/>
      </c>
      <c r="BL506" s="76" t="str">
        <f aca="false">IF($BA506&gt;$AZ$7,"",VLOOKUP($BA506,$BC$8:$BI$507,3,FALSE()))</f>
        <v/>
      </c>
      <c r="BM506" s="76" t="str">
        <f aca="false">IF($BA506&gt;$AZ$7,"",VLOOKUP($BA506,$BC$8:$BI$507,4,FALSE()))</f>
        <v/>
      </c>
      <c r="BN506" s="76" t="str">
        <f aca="false">IF($BA506&gt;$AZ$7,"",VLOOKUP($BA506,$BC$8:$BI$507,5,FALSE()))</f>
        <v/>
      </c>
      <c r="BO506" s="77" t="str">
        <f aca="false">IF($BA506&gt;$AZ$7,"",VLOOKUP($BA506,$BC$8:$BI$507,6,FALSE()))</f>
        <v/>
      </c>
      <c r="BP506" s="52"/>
    </row>
    <row r="507" customFormat="false" ht="15.75" hidden="false" customHeight="false" outlineLevel="0" collapsed="false">
      <c r="A507" s="5"/>
      <c r="B507" s="118"/>
      <c r="C507" s="54"/>
      <c r="D507" s="55"/>
      <c r="E507" s="79"/>
      <c r="F507" s="57"/>
      <c r="G507" s="58"/>
      <c r="H507" s="58"/>
      <c r="I507" s="57"/>
      <c r="J507" s="58"/>
      <c r="K507" s="58"/>
      <c r="L507" s="57"/>
      <c r="M507" s="79"/>
      <c r="N507" s="60"/>
      <c r="O507" s="62" t="str">
        <f aca="false">IF(ISBLANK($C507),"",IF(E507=Constants!$B$2, TRUE(), IF(E507=Constants!$B$3, FALSE(), TRUE())))</f>
        <v/>
      </c>
      <c r="P507" s="62" t="str">
        <f aca="false">IF(ISBLANK($C507),"",IF(F507=Constants!$B$16,Constants!$B$9,IF(F507=Constants!$B$17,Constants!$B$10,Constants!$B$8)))</f>
        <v/>
      </c>
      <c r="Q507" s="62" t="str">
        <f aca="false">IF(ISBLANK($C507),"",IF(ISNUMBER(G507),IF(G507&gt;=0,G507,""),""))</f>
        <v/>
      </c>
      <c r="R507" s="62" t="str">
        <f aca="false">IF(ISBLANK($C507),"",IF(H507=Constants!$B$2, TRUE(), IF(H507=Constants!$B$3, FALSE(), TRUE())))</f>
        <v/>
      </c>
      <c r="S507" s="62" t="str">
        <f aca="false">IF(ISBLANK($C507),"",IF(I507=Constants!$B$2, TRUE(), IF(I507=Constants!$B$3, FALSE(), TRUE())))</f>
        <v/>
      </c>
      <c r="T507" s="62" t="str">
        <f aca="false">IF(ISBLANK($C507),"",IF(ISNUMBER(J507),IF(J507&gt;=0,J507,""),""))</f>
        <v/>
      </c>
      <c r="U507" s="62" t="str">
        <f aca="false">IF(ISBLANK($C507),"",IF(K507=Constants!$B$2, TRUE(), IF(K507=Constants!$B$3, FALSE(), TRUE())))</f>
        <v/>
      </c>
      <c r="V507" s="62" t="str">
        <f aca="false">IF(ISBLANK($C507),"",IF(L507=Constants!$B$2, TRUE(), IF(L507=Constants!$B$3, FALSE(), TRUE())))</f>
        <v/>
      </c>
      <c r="W507" s="62" t="str">
        <f aca="false">IF(ISBLANK($C507),"",IF(M507=Constants!$B$2, TRUE(), IF(M507=Constants!$B$3, FALSE(), FALSE())))</f>
        <v/>
      </c>
      <c r="X507" s="62" t="str">
        <f aca="false">IF(ISBLANK($C507),"",AND(Q507&lt;&gt;"",O507))</f>
        <v/>
      </c>
      <c r="Y507" s="62" t="str">
        <f aca="false">IF(ISBLANK($C507),"",AND(T507&lt;&gt;"",O507))</f>
        <v/>
      </c>
      <c r="Z507" s="62" t="str">
        <f aca="false">IF(ISBLANK($C507),"",IF(W507,Constants!$B$4,IF(COUNTA(E507:L507)=0,Constants!$B$5,IF(NOT(O507),Constants!$B$6,IF(AND(NOT(X507),NOT(Y507)),Constants!$B$6,Constants!$B$7)))))</f>
        <v/>
      </c>
      <c r="AA507" s="62" t="str">
        <f aca="false">IF(ISBLANK($C507),"",IF($Z507&lt;&gt;Constants!$B$7,$Z507,Constants!$B$20))</f>
        <v/>
      </c>
      <c r="AB507" s="62" t="str">
        <f aca="false">IF($Z507=Constants!$B$7,IF(X507,Q507,Constants!$B$13),"")</f>
        <v/>
      </c>
      <c r="AC507" s="62" t="str">
        <f aca="false">IF($Z507=Constants!$B$7,IF(X507,P507*IF(R507, 1, Constants!$B$11)*IF(S507, 1, Constants!$B$12),Constants!$B$13),"")</f>
        <v/>
      </c>
      <c r="AD507" s="62" t="str">
        <f aca="false">IF($Z507=Constants!$B$7,AB507*AC507,"")</f>
        <v/>
      </c>
      <c r="AE507" s="62" t="str">
        <f aca="false">IF($Z507=Constants!$B$7,IF(Y507,T507,Constants!$B$13),"")</f>
        <v/>
      </c>
      <c r="AF507" s="62" t="str">
        <f aca="false">IF($Z507=Constants!$B$7,IF(Y507,P507*IF(U507, 1, Constants!$B$11)*IF(V507, 1, Constants!$B$12),Constants!$B$13),"")</f>
        <v/>
      </c>
      <c r="AG507" s="62" t="str">
        <f aca="false">IF($Z507=Constants!$B$7,AE507*AF507,"")</f>
        <v/>
      </c>
      <c r="AH507" s="62" t="str">
        <f aca="false">IF($Z507=Constants!$B$7,IF(AG507&gt;AD507,2,1),"")</f>
        <v/>
      </c>
      <c r="AI507" s="62" t="str">
        <f aca="false">IF($Z507=Constants!$B$7,IF(AH507=1,2,1),"")</f>
        <v/>
      </c>
      <c r="AJ507" s="62" t="str">
        <f aca="false">IF(ISBLANK($C507),"",IF($Z507&lt;&gt;Constants!$B$7,$Z507,IF(AH507=1,AD507,AG507)))</f>
        <v/>
      </c>
      <c r="AK507" s="62" t="str">
        <f aca="false">IF(ISBLANK($C507),"",IF($Z507=Constants!$B$7,IF(ISNUMBER(AJ507),RANK(AJ507,$AJ$8:$AJ$507),Constants!$B$14),$Z507))</f>
        <v/>
      </c>
      <c r="AL507" s="62" t="str">
        <f aca="false">IF(ISBLANK($C507),"",IF($Z507=Constants!$B$7,IF(AI507=1,AD507,AG507),""))</f>
        <v/>
      </c>
      <c r="AM507" s="62" t="str">
        <f aca="false">IF(ISBLANK($C507),"",IF($Z507=Constants!$B$7,RANK(AL507,$AL$8:$AL$507),$Z507))</f>
        <v/>
      </c>
      <c r="AN507" s="62" t="str">
        <f aca="false">IF(ISBLANK($C507),"",IF($Z507=Constants!$B$7,IF(ISNUMBER(AK507),COUNTIFS($AK$8:$AK$507,"&lt;"&amp;$AK507)+COUNTIFS($AK$8:$AK$507,$AK507,$AM$8:$AM$507,"&lt;"&amp;$AM507)+1,Constants!$B$14),$Z507))</f>
        <v/>
      </c>
      <c r="AO507" s="62" t="str">
        <f aca="false">IF(ISBLANK($C507),"",IF($Z507=Constants!$B$7,IF(ISNUMBER(AK507),AK507-AN507,Constants!$B$14),$Z507))</f>
        <v/>
      </c>
      <c r="AP507" s="64"/>
      <c r="AQ507" s="65" t="str">
        <f aca="false">IF(ISBLANK($C507),"",IF($Z507&lt;&gt;Constants!$B$7,"",AH507))</f>
        <v/>
      </c>
      <c r="AR507" s="80" t="str">
        <f aca="false">IF(ISBLANK($C507),"",IF($Z507&lt;&gt;Constants!$B$7,"",IF(AH507=1,AB507,AE507)))</f>
        <v/>
      </c>
      <c r="AS507" s="67" t="str">
        <f aca="false">IF(ISBLANK($C507),"",IF($Z507&lt;&gt;Constants!$B$7,"",IF(AH507=1,AC507,AF507)))</f>
        <v/>
      </c>
      <c r="AT507" s="68" t="str">
        <f aca="false">IF(ISBLANK($C507),"",IF($Z507&lt;&gt;Constants!$B$7,$Z507,AJ507))</f>
        <v/>
      </c>
      <c r="AU507" s="69" t="str">
        <f aca="false">IF(ISBLANK($C507),"",IF($Z507&lt;&gt;Constants!$B$7,$Z507,AA507))</f>
        <v/>
      </c>
      <c r="AV507" s="70" t="str">
        <f aca="false">IF(ISBLANK($C507),"",AO507)</f>
        <v/>
      </c>
      <c r="AW507" s="70" t="str">
        <f aca="false">IF(ISBLANK($C507),"",AN507)</f>
        <v/>
      </c>
      <c r="AX507" s="71" t="str">
        <f aca="false">IF(ISBLANK($C507),"",IFERROR(_xlfn.SWITCH(AW507,Constants!$B$4,COUNTA($C$8:$C$507)+2,Constants!$B$5,COUNTA($C$8:$C$507)+1,Constants!$B$6,COUNTA($C$8:$C$507)),AW507))</f>
        <v/>
      </c>
      <c r="AY507" s="5"/>
      <c r="AZ507" s="72" t="n">
        <f aca="false">IF(OR(ISNUMBER(AW507),AW507=Constants!$B$4,AW507=Constants!$B$6,AW507=Constants!$B$5),1,0)</f>
        <v>0</v>
      </c>
      <c r="BA507" s="72" t="n">
        <v>500</v>
      </c>
      <c r="BB507" s="72" t="str">
        <f aca="false">IF(ISBLANK($C507),"",IF(ISNUMBER(AX507),AX507+ROW($B507)/1000,""))</f>
        <v/>
      </c>
      <c r="BC507" s="72" t="str">
        <f aca="false">IF(ISNUMBER(BB507),RANK(BB507,$BB$8:$BB$507,1),"")</f>
        <v/>
      </c>
      <c r="BD507" s="72" t="str">
        <f aca="false">IF(ISBLANK($C507),"",$B507)</f>
        <v/>
      </c>
      <c r="BE507" s="72" t="str">
        <f aca="false">IF(ISBLANK($C507),"",$C507)</f>
        <v/>
      </c>
      <c r="BF507" s="72" t="str">
        <f aca="false">IF(ISBLANK($C507),"",$D507)</f>
        <v/>
      </c>
      <c r="BG507" s="73" t="str">
        <f aca="false">AU507</f>
        <v/>
      </c>
      <c r="BH507" s="74" t="str">
        <f aca="false">AT507</f>
        <v/>
      </c>
      <c r="BI507" s="72" t="str">
        <f aca="false">IF(ISBLANK($C507),"",AW507)</f>
        <v/>
      </c>
      <c r="BJ507" s="75" t="str">
        <f aca="false">IF($BA507&gt;$AZ$7,"",VLOOKUP($BA507,$BC$8:$BI$507,7,FALSE()))</f>
        <v/>
      </c>
      <c r="BK507" s="76" t="str">
        <f aca="false">IF($BA507&gt;$AZ$7,"",VLOOKUP($BA507,$BC$8:$BI$507,2,FALSE()))</f>
        <v/>
      </c>
      <c r="BL507" s="76" t="str">
        <f aca="false">IF($BA507&gt;$AZ$7,"",VLOOKUP($BA507,$BC$8:$BI$507,3,FALSE()))</f>
        <v/>
      </c>
      <c r="BM507" s="76" t="str">
        <f aca="false">IF($BA507&gt;$AZ$7,"",VLOOKUP($BA507,$BC$8:$BI$507,4,FALSE()))</f>
        <v/>
      </c>
      <c r="BN507" s="76" t="str">
        <f aca="false">IF($BA507&gt;$AZ$7,"",VLOOKUP($BA507,$BC$8:$BI$507,5,FALSE()))</f>
        <v/>
      </c>
      <c r="BO507" s="77" t="str">
        <f aca="false">IF($BA507&gt;$AZ$7,"",VLOOKUP($BA507,$BC$8:$BI$507,6,FALSE()))</f>
        <v/>
      </c>
      <c r="BP507" s="52"/>
    </row>
  </sheetData>
  <mergeCells count="55">
    <mergeCell ref="B2:D3"/>
    <mergeCell ref="E2:F2"/>
    <mergeCell ref="G2:L2"/>
    <mergeCell ref="N2:N6"/>
    <mergeCell ref="AP2:AP6"/>
    <mergeCell ref="AQ2:AS2"/>
    <mergeCell ref="AT2:AX2"/>
    <mergeCell ref="BB2:BB7"/>
    <mergeCell ref="BC2:BC7"/>
    <mergeCell ref="BD2:BD7"/>
    <mergeCell ref="BE2:BE7"/>
    <mergeCell ref="BF2:BF7"/>
    <mergeCell ref="BG2:BG7"/>
    <mergeCell ref="BH2:BH7"/>
    <mergeCell ref="BI2:BI7"/>
    <mergeCell ref="BJ2:BO2"/>
    <mergeCell ref="E3:E7"/>
    <mergeCell ref="F3:F7"/>
    <mergeCell ref="G3:I3"/>
    <mergeCell ref="J3:L3"/>
    <mergeCell ref="M3:M7"/>
    <mergeCell ref="O3:O7"/>
    <mergeCell ref="P3:P7"/>
    <mergeCell ref="Q3:Q7"/>
    <mergeCell ref="R3:R7"/>
    <mergeCell ref="S3:S7"/>
    <mergeCell ref="T3:T7"/>
    <mergeCell ref="U3:U7"/>
    <mergeCell ref="V3:V7"/>
    <mergeCell ref="W3:W7"/>
    <mergeCell ref="AQ3:AQ7"/>
    <mergeCell ref="AR3:AR7"/>
    <mergeCell ref="AS3:AS7"/>
    <mergeCell ref="AT3:AT7"/>
    <mergeCell ref="AU3:AU7"/>
    <mergeCell ref="AV3:AV7"/>
    <mergeCell ref="AW3:AW7"/>
    <mergeCell ref="AX3:AX7"/>
    <mergeCell ref="BJ3:BJ7"/>
    <mergeCell ref="BK3:BK7"/>
    <mergeCell ref="BL3:BL7"/>
    <mergeCell ref="BM3:BM7"/>
    <mergeCell ref="BN3:BN7"/>
    <mergeCell ref="BO3:BO7"/>
    <mergeCell ref="B4:D4"/>
    <mergeCell ref="G4:G7"/>
    <mergeCell ref="H4:H7"/>
    <mergeCell ref="I4:I7"/>
    <mergeCell ref="J4:J7"/>
    <mergeCell ref="K4:K7"/>
    <mergeCell ref="L4:L7"/>
    <mergeCell ref="B5:D5"/>
    <mergeCell ref="B6:D6"/>
    <mergeCell ref="AB6:AD6"/>
    <mergeCell ref="AE6:AG6"/>
  </mergeCells>
  <conditionalFormatting sqref="E238:E507 H8:I507 K8:L507 E8:E236">
    <cfRule type="cellIs" priority="2" operator="equal" aboveAverage="0" equalAverage="0" bottom="0" percent="0" rank="0" text="" dxfId="0">
      <formula>Constants!$B$3</formula>
    </cfRule>
  </conditionalFormatting>
  <conditionalFormatting sqref="B4:D4">
    <cfRule type="containsText" priority="3" operator="containsText" aboveAverage="0" equalAverage="0" bottom="0" percent="0" rank="0" text="download" dxfId="1">
      <formula>NOT(ISERROR(SEARCH("download",B4)))</formula>
    </cfRule>
  </conditionalFormatting>
  <conditionalFormatting sqref="M8:M507">
    <cfRule type="cellIs" priority="4" operator="equal" aboveAverage="0" equalAverage="0" bottom="0" percent="0" rank="0" text="" dxfId="0">
      <formula>Constants!$B$2</formula>
    </cfRule>
  </conditionalFormatting>
  <conditionalFormatting sqref="F238:F507 F8:F236">
    <cfRule type="cellIs" priority="5" operator="equal" aboveAverage="0" equalAverage="0" bottom="0" percent="0" rank="0" text="" dxfId="0">
      <formula>Constants!$B$16</formula>
    </cfRule>
    <cfRule type="cellIs" priority="6" operator="equal" aboveAverage="0" equalAverage="0" bottom="0" percent="0" rank="0" text="" dxfId="0">
      <formula>Constants!$B$17</formula>
    </cfRule>
  </conditionalFormatting>
  <conditionalFormatting sqref="E237">
    <cfRule type="cellIs" priority="7" operator="equal" aboveAverage="0" equalAverage="0" bottom="0" percent="0" rank="0" text="" dxfId="0">
      <formula>Constants!$B$3</formula>
    </cfRule>
  </conditionalFormatting>
  <conditionalFormatting sqref="F237">
    <cfRule type="cellIs" priority="8" operator="equal" aboveAverage="0" equalAverage="0" bottom="0" percent="0" rank="0" text="" dxfId="0">
      <formula>Constants!$B$16</formula>
    </cfRule>
    <cfRule type="cellIs" priority="9" operator="equal" aboveAverage="0" equalAverage="0" bottom="0" percent="0" rank="0" text="" dxfId="0">
      <formula>Constants!$B$17</formula>
    </cfRule>
  </conditionalFormatting>
  <dataValidations count="3">
    <dataValidation allowBlank="true" errorStyle="stop" operator="between" prompt="True (T)/False (F)" showDropDown="false" showErrorMessage="true" showInputMessage="true" sqref="E8:E507 H8:I507 K8:M507" type="list">
      <formula1>"T,F"</formula1>
      <formula2>0</formula2>
    </dataValidation>
    <dataValidation allowBlank="true" errorStyle="stop" operator="greaterThanOrEqual" prompt="Seconds" showDropDown="false" showErrorMessage="true" showInputMessage="true" sqref="G8:G507 J8:J507" type="decimal">
      <formula1>0</formula1>
      <formula2>0</formula2>
    </dataValidation>
    <dataValidation allowBlank="true" errorStyle="stop" operator="between" prompt="Complete / Incomplete / Not present (blank = Not present)" showDropDown="false" showErrorMessage="true" showInputMessage="true" sqref="F8:F507" type="list">
      <formula1>Constants!$B$15:$B$17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B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3" activeCellId="0" sqref="A13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36.45"/>
  </cols>
  <sheetData>
    <row r="1" customFormat="false" ht="15.75" hidden="false" customHeight="false" outlineLevel="0" collapsed="false">
      <c r="A1" s="119" t="s">
        <v>50</v>
      </c>
      <c r="B1" s="119" t="s">
        <v>51</v>
      </c>
    </row>
    <row r="2" customFormat="false" ht="15.75" hidden="false" customHeight="false" outlineLevel="0" collapsed="false">
      <c r="A2" s="119" t="b">
        <f aca="false">TRUE()</f>
        <v>1</v>
      </c>
      <c r="B2" s="119" t="s">
        <v>52</v>
      </c>
    </row>
    <row r="3" customFormat="false" ht="15.75" hidden="false" customHeight="false" outlineLevel="0" collapsed="false">
      <c r="A3" s="119" t="b">
        <f aca="false">FALSE()</f>
        <v>0</v>
      </c>
      <c r="B3" s="119" t="s">
        <v>53</v>
      </c>
    </row>
    <row r="4" customFormat="false" ht="15.75" hidden="false" customHeight="false" outlineLevel="0" collapsed="false">
      <c r="A4" s="119" t="s">
        <v>54</v>
      </c>
      <c r="B4" s="119" t="s">
        <v>55</v>
      </c>
    </row>
    <row r="5" customFormat="false" ht="15.75" hidden="false" customHeight="false" outlineLevel="0" collapsed="false">
      <c r="A5" s="119" t="s">
        <v>56</v>
      </c>
      <c r="B5" s="119" t="s">
        <v>57</v>
      </c>
    </row>
    <row r="6" customFormat="false" ht="15.75" hidden="false" customHeight="false" outlineLevel="0" collapsed="false">
      <c r="A6" s="119" t="s">
        <v>58</v>
      </c>
      <c r="B6" s="119" t="s">
        <v>59</v>
      </c>
    </row>
    <row r="7" customFormat="false" ht="15.75" hidden="false" customHeight="false" outlineLevel="0" collapsed="false">
      <c r="A7" s="119" t="s">
        <v>60</v>
      </c>
      <c r="B7" s="119" t="s">
        <v>61</v>
      </c>
    </row>
    <row r="8" customFormat="false" ht="15.75" hidden="false" customHeight="false" outlineLevel="0" collapsed="false">
      <c r="A8" s="119" t="s">
        <v>62</v>
      </c>
      <c r="B8" s="119" t="n">
        <v>1</v>
      </c>
    </row>
    <row r="9" customFormat="false" ht="15.75" hidden="false" customHeight="false" outlineLevel="0" collapsed="false">
      <c r="A9" s="119" t="s">
        <v>63</v>
      </c>
      <c r="B9" s="119" t="n">
        <v>0.85</v>
      </c>
    </row>
    <row r="10" customFormat="false" ht="15.75" hidden="false" customHeight="false" outlineLevel="0" collapsed="false">
      <c r="A10" s="119" t="s">
        <v>64</v>
      </c>
      <c r="B10" s="119" t="n">
        <v>0.7</v>
      </c>
    </row>
    <row r="11" customFormat="false" ht="15.75" hidden="false" customHeight="false" outlineLevel="0" collapsed="false">
      <c r="A11" s="119" t="s">
        <v>65</v>
      </c>
      <c r="B11" s="119" t="n">
        <v>0.9</v>
      </c>
    </row>
    <row r="12" customFormat="false" ht="15.75" hidden="false" customHeight="false" outlineLevel="0" collapsed="false">
      <c r="A12" s="119" t="s">
        <v>66</v>
      </c>
      <c r="B12" s="119" t="n">
        <v>0.25</v>
      </c>
    </row>
    <row r="13" customFormat="false" ht="15.75" hidden="false" customHeight="false" outlineLevel="0" collapsed="false">
      <c r="A13" s="119" t="s">
        <v>67</v>
      </c>
      <c r="B13" s="119" t="n">
        <v>0</v>
      </c>
    </row>
    <row r="14" customFormat="false" ht="15.75" hidden="false" customHeight="false" outlineLevel="0" collapsed="false">
      <c r="A14" s="119" t="s">
        <v>68</v>
      </c>
      <c r="B14" s="119" t="s">
        <v>69</v>
      </c>
    </row>
    <row r="15" customFormat="false" ht="15.75" hidden="false" customHeight="false" outlineLevel="0" collapsed="false">
      <c r="A15" s="119" t="s">
        <v>70</v>
      </c>
      <c r="B15" s="119" t="s">
        <v>71</v>
      </c>
    </row>
    <row r="16" customFormat="false" ht="15.75" hidden="false" customHeight="false" outlineLevel="0" collapsed="false">
      <c r="A16" s="119" t="s">
        <v>72</v>
      </c>
      <c r="B16" s="119" t="s">
        <v>73</v>
      </c>
    </row>
    <row r="17" customFormat="false" ht="15.75" hidden="false" customHeight="false" outlineLevel="0" collapsed="false">
      <c r="A17" s="119" t="s">
        <v>74</v>
      </c>
      <c r="B17" s="119" t="s">
        <v>75</v>
      </c>
    </row>
    <row r="18" customFormat="false" ht="15.75" hidden="false" customHeight="false" outlineLevel="0" collapsed="false">
      <c r="A18" s="119" t="s">
        <v>76</v>
      </c>
      <c r="B18" s="119" t="s">
        <v>77</v>
      </c>
    </row>
    <row r="19" customFormat="false" ht="15.75" hidden="false" customHeight="false" outlineLevel="0" collapsed="false">
      <c r="A19" s="119" t="s">
        <v>78</v>
      </c>
      <c r="B19" s="119" t="s">
        <v>79</v>
      </c>
    </row>
    <row r="20" customFormat="false" ht="15.75" hidden="false" customHeight="true" outlineLevel="0" collapsed="false">
      <c r="A20" s="119" t="s">
        <v>80</v>
      </c>
      <c r="B20" s="119" t="n">
        <v>1</v>
      </c>
    </row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2" activeCellId="0" sqref="G2"/>
    </sheetView>
  </sheetViews>
  <sheetFormatPr defaultColWidth="12.6328125" defaultRowHeight="15.75" customHeight="true" zeroHeight="false" outlineLevelRow="0" outlineLevelCol="0"/>
  <sheetData>
    <row r="1" customFormat="false" ht="24.75" hidden="false" customHeight="true" outlineLevel="0" collapsed="false">
      <c r="A1" s="120" t="s">
        <v>25</v>
      </c>
      <c r="B1" s="120" t="s">
        <v>26</v>
      </c>
      <c r="C1" s="120" t="s">
        <v>27</v>
      </c>
      <c r="D1" s="120" t="s">
        <v>37</v>
      </c>
      <c r="E1" s="120" t="s">
        <v>20</v>
      </c>
      <c r="F1" s="120" t="s">
        <v>22</v>
      </c>
      <c r="G1" s="120" t="s">
        <v>21</v>
      </c>
      <c r="H1" s="120" t="s">
        <v>24</v>
      </c>
      <c r="I1" s="120" t="s">
        <v>23</v>
      </c>
    </row>
    <row r="2" customFormat="false" ht="15.75" hidden="false" customHeight="false" outlineLevel="0" collapsed="false">
      <c r="A2" s="121" t="n">
        <f aca="false">ExportRaw!$F2</f>
        <v>0</v>
      </c>
      <c r="B2" s="121" t="n">
        <f aca="false">ExportRaw!$C2</f>
        <v>0</v>
      </c>
      <c r="C2" s="121" t="n">
        <f aca="false">ExportRaw!$G2</f>
        <v>0</v>
      </c>
      <c r="D2" s="121" t="str">
        <f aca="false">ExportRaw!$E2</f>
        <v/>
      </c>
      <c r="E2" s="122" t="str">
        <f aca="false">ExportRaw!$D2</f>
        <v/>
      </c>
      <c r="F2" s="121" t="str">
        <f aca="false">ExportRaw!$H2</f>
        <v/>
      </c>
      <c r="G2" s="123" t="str">
        <f aca="false">ExportRaw!$I2</f>
        <v/>
      </c>
      <c r="H2" s="121" t="str">
        <f aca="false">ExportRaw!$A2</f>
        <v/>
      </c>
      <c r="I2" s="121" t="str">
        <f aca="false">ExportRaw!$B2</f>
        <v/>
      </c>
    </row>
    <row r="3" customFormat="false" ht="15.75" hidden="false" customHeight="false" outlineLevel="0" collapsed="false">
      <c r="A3" s="121" t="n">
        <f aca="false">ExportRaw!$F3</f>
        <v>0</v>
      </c>
      <c r="B3" s="121" t="n">
        <f aca="false">ExportRaw!$C3</f>
        <v>0</v>
      </c>
      <c r="C3" s="121" t="n">
        <f aca="false">ExportRaw!$G3</f>
        <v>0</v>
      </c>
      <c r="D3" s="121" t="str">
        <f aca="false">ExportRaw!$E3</f>
        <v/>
      </c>
      <c r="E3" s="122" t="str">
        <f aca="false">ExportRaw!$D3</f>
        <v/>
      </c>
      <c r="F3" s="121" t="str">
        <f aca="false">ExportRaw!$H3</f>
        <v/>
      </c>
      <c r="G3" s="123" t="str">
        <f aca="false">ExportRaw!$I3</f>
        <v/>
      </c>
      <c r="H3" s="121" t="str">
        <f aca="false">ExportRaw!$A3</f>
        <v/>
      </c>
      <c r="I3" s="121" t="str">
        <f aca="false">ExportRaw!$B3</f>
        <v/>
      </c>
    </row>
    <row r="4" customFormat="false" ht="15.75" hidden="false" customHeight="false" outlineLevel="0" collapsed="false">
      <c r="A4" s="121" t="n">
        <f aca="false">ExportRaw!$F4</f>
        <v>0</v>
      </c>
      <c r="B4" s="121" t="n">
        <f aca="false">ExportRaw!$C4</f>
        <v>0</v>
      </c>
      <c r="C4" s="121" t="n">
        <f aca="false">ExportRaw!$G4</f>
        <v>0</v>
      </c>
      <c r="D4" s="121" t="str">
        <f aca="false">ExportRaw!$E4</f>
        <v/>
      </c>
      <c r="E4" s="122" t="str">
        <f aca="false">ExportRaw!$D4</f>
        <v/>
      </c>
      <c r="F4" s="121" t="str">
        <f aca="false">ExportRaw!$H4</f>
        <v/>
      </c>
      <c r="G4" s="123" t="str">
        <f aca="false">ExportRaw!$I4</f>
        <v/>
      </c>
      <c r="H4" s="121" t="str">
        <f aca="false">ExportRaw!$A4</f>
        <v/>
      </c>
      <c r="I4" s="121" t="str">
        <f aca="false">ExportRaw!$B4</f>
        <v/>
      </c>
    </row>
    <row r="5" customFormat="false" ht="15.75" hidden="false" customHeight="false" outlineLevel="0" collapsed="false">
      <c r="A5" s="121" t="n">
        <f aca="false">ExportRaw!$F5</f>
        <v>0</v>
      </c>
      <c r="B5" s="121" t="n">
        <f aca="false">ExportRaw!$C5</f>
        <v>0</v>
      </c>
      <c r="C5" s="121" t="n">
        <f aca="false">ExportRaw!$G5</f>
        <v>0</v>
      </c>
      <c r="D5" s="121" t="str">
        <f aca="false">ExportRaw!$E5</f>
        <v/>
      </c>
      <c r="E5" s="122" t="str">
        <f aca="false">ExportRaw!$D5</f>
        <v/>
      </c>
      <c r="F5" s="121" t="str">
        <f aca="false">ExportRaw!$H5</f>
        <v/>
      </c>
      <c r="G5" s="123" t="str">
        <f aca="false">ExportRaw!$I5</f>
        <v/>
      </c>
      <c r="H5" s="121" t="str">
        <f aca="false">ExportRaw!$A5</f>
        <v/>
      </c>
      <c r="I5" s="121" t="str">
        <f aca="false">ExportRaw!$B5</f>
        <v/>
      </c>
    </row>
    <row r="6" customFormat="false" ht="15.75" hidden="false" customHeight="false" outlineLevel="0" collapsed="false">
      <c r="A6" s="121" t="n">
        <f aca="false">ExportRaw!$F6</f>
        <v>0</v>
      </c>
      <c r="B6" s="121" t="n">
        <f aca="false">ExportRaw!$C6</f>
        <v>0</v>
      </c>
      <c r="C6" s="121" t="n">
        <f aca="false">ExportRaw!$G6</f>
        <v>0</v>
      </c>
      <c r="D6" s="121" t="str">
        <f aca="false">ExportRaw!$E6</f>
        <v/>
      </c>
      <c r="E6" s="122" t="str">
        <f aca="false">ExportRaw!$D6</f>
        <v/>
      </c>
      <c r="F6" s="121" t="str">
        <f aca="false">ExportRaw!$H6</f>
        <v/>
      </c>
      <c r="G6" s="123" t="str">
        <f aca="false">ExportRaw!$I6</f>
        <v/>
      </c>
      <c r="H6" s="121" t="str">
        <f aca="false">ExportRaw!$A6</f>
        <v/>
      </c>
      <c r="I6" s="121" t="str">
        <f aca="false">ExportRaw!$B6</f>
        <v/>
      </c>
    </row>
    <row r="7" customFormat="false" ht="15.75" hidden="false" customHeight="false" outlineLevel="0" collapsed="false">
      <c r="A7" s="121" t="n">
        <f aca="false">ExportRaw!$F7</f>
        <v>0</v>
      </c>
      <c r="B7" s="121" t="n">
        <f aca="false">ExportRaw!$C7</f>
        <v>0</v>
      </c>
      <c r="C7" s="121" t="n">
        <f aca="false">ExportRaw!$G7</f>
        <v>0</v>
      </c>
      <c r="D7" s="121" t="str">
        <f aca="false">ExportRaw!$E7</f>
        <v/>
      </c>
      <c r="E7" s="122" t="str">
        <f aca="false">ExportRaw!$D7</f>
        <v/>
      </c>
      <c r="F7" s="121" t="str">
        <f aca="false">ExportRaw!$H7</f>
        <v/>
      </c>
      <c r="G7" s="123" t="str">
        <f aca="false">ExportRaw!$I7</f>
        <v/>
      </c>
      <c r="H7" s="121" t="str">
        <f aca="false">ExportRaw!$A7</f>
        <v/>
      </c>
      <c r="I7" s="121" t="str">
        <f aca="false">ExportRaw!$B7</f>
        <v/>
      </c>
    </row>
    <row r="8" customFormat="false" ht="15.75" hidden="false" customHeight="false" outlineLevel="0" collapsed="false">
      <c r="A8" s="121" t="n">
        <f aca="false">ExportRaw!$F8</f>
        <v>0</v>
      </c>
      <c r="B8" s="121" t="n">
        <f aca="false">ExportRaw!$C8</f>
        <v>0</v>
      </c>
      <c r="C8" s="121" t="n">
        <f aca="false">ExportRaw!$G8</f>
        <v>0</v>
      </c>
      <c r="D8" s="121" t="str">
        <f aca="false">ExportRaw!$E8</f>
        <v/>
      </c>
      <c r="E8" s="122" t="str">
        <f aca="false">ExportRaw!$D8</f>
        <v/>
      </c>
      <c r="F8" s="121" t="str">
        <f aca="false">ExportRaw!$H8</f>
        <v/>
      </c>
      <c r="G8" s="123" t="str">
        <f aca="false">ExportRaw!$I8</f>
        <v/>
      </c>
      <c r="H8" s="121" t="str">
        <f aca="false">ExportRaw!$A8</f>
        <v/>
      </c>
      <c r="I8" s="121" t="str">
        <f aca="false">ExportRaw!$B8</f>
        <v/>
      </c>
    </row>
    <row r="9" customFormat="false" ht="15.75" hidden="false" customHeight="false" outlineLevel="0" collapsed="false">
      <c r="A9" s="121" t="n">
        <f aca="false">ExportRaw!$F9</f>
        <v>0</v>
      </c>
      <c r="B9" s="121" t="n">
        <f aca="false">ExportRaw!$C9</f>
        <v>0</v>
      </c>
      <c r="C9" s="121" t="n">
        <f aca="false">ExportRaw!$G9</f>
        <v>0</v>
      </c>
      <c r="D9" s="121" t="str">
        <f aca="false">ExportRaw!$E9</f>
        <v/>
      </c>
      <c r="E9" s="122" t="str">
        <f aca="false">ExportRaw!$D9</f>
        <v/>
      </c>
      <c r="F9" s="121" t="str">
        <f aca="false">ExportRaw!$H9</f>
        <v/>
      </c>
      <c r="G9" s="123" t="str">
        <f aca="false">ExportRaw!$I9</f>
        <v/>
      </c>
      <c r="H9" s="121" t="str">
        <f aca="false">ExportRaw!$A9</f>
        <v/>
      </c>
      <c r="I9" s="121" t="str">
        <f aca="false">ExportRaw!$B9</f>
        <v/>
      </c>
    </row>
    <row r="10" customFormat="false" ht="15.75" hidden="false" customHeight="false" outlineLevel="0" collapsed="false">
      <c r="A10" s="121" t="n">
        <f aca="false">ExportRaw!$F10</f>
        <v>0</v>
      </c>
      <c r="B10" s="121" t="n">
        <f aca="false">ExportRaw!$C10</f>
        <v>0</v>
      </c>
      <c r="C10" s="121" t="n">
        <f aca="false">ExportRaw!$G10</f>
        <v>0</v>
      </c>
      <c r="D10" s="121" t="str">
        <f aca="false">ExportRaw!$E10</f>
        <v/>
      </c>
      <c r="E10" s="122" t="str">
        <f aca="false">ExportRaw!$D10</f>
        <v/>
      </c>
      <c r="F10" s="121" t="str">
        <f aca="false">ExportRaw!$H10</f>
        <v/>
      </c>
      <c r="G10" s="123" t="str">
        <f aca="false">ExportRaw!$I10</f>
        <v/>
      </c>
      <c r="H10" s="121" t="str">
        <f aca="false">ExportRaw!$A10</f>
        <v/>
      </c>
      <c r="I10" s="121" t="str">
        <f aca="false">ExportRaw!$B10</f>
        <v/>
      </c>
    </row>
    <row r="11" customFormat="false" ht="15.75" hidden="false" customHeight="false" outlineLevel="0" collapsed="false">
      <c r="A11" s="121" t="n">
        <f aca="false">ExportRaw!$F11</f>
        <v>0</v>
      </c>
      <c r="B11" s="121" t="n">
        <f aca="false">ExportRaw!$C11</f>
        <v>0</v>
      </c>
      <c r="C11" s="121" t="n">
        <f aca="false">ExportRaw!$G11</f>
        <v>0</v>
      </c>
      <c r="D11" s="121" t="str">
        <f aca="false">ExportRaw!$E11</f>
        <v/>
      </c>
      <c r="E11" s="122" t="str">
        <f aca="false">ExportRaw!$D11</f>
        <v/>
      </c>
      <c r="F11" s="121" t="str">
        <f aca="false">ExportRaw!$H11</f>
        <v/>
      </c>
      <c r="G11" s="123" t="str">
        <f aca="false">ExportRaw!$I11</f>
        <v/>
      </c>
      <c r="H11" s="121" t="str">
        <f aca="false">ExportRaw!$A11</f>
        <v/>
      </c>
      <c r="I11" s="121" t="str">
        <f aca="false">ExportRaw!$B11</f>
        <v/>
      </c>
    </row>
    <row r="12" customFormat="false" ht="15.75" hidden="false" customHeight="false" outlineLevel="0" collapsed="false">
      <c r="A12" s="121" t="n">
        <f aca="false">ExportRaw!$F12</f>
        <v>0</v>
      </c>
      <c r="B12" s="121" t="n">
        <f aca="false">ExportRaw!$C12</f>
        <v>0</v>
      </c>
      <c r="C12" s="121" t="n">
        <f aca="false">ExportRaw!$G12</f>
        <v>0</v>
      </c>
      <c r="D12" s="121" t="str">
        <f aca="false">ExportRaw!$E12</f>
        <v/>
      </c>
      <c r="E12" s="122" t="str">
        <f aca="false">ExportRaw!$D12</f>
        <v/>
      </c>
      <c r="F12" s="121" t="str">
        <f aca="false">ExportRaw!$H12</f>
        <v/>
      </c>
      <c r="G12" s="123" t="str">
        <f aca="false">ExportRaw!$I12</f>
        <v/>
      </c>
      <c r="H12" s="121" t="str">
        <f aca="false">ExportRaw!$A12</f>
        <v/>
      </c>
      <c r="I12" s="121" t="str">
        <f aca="false">ExportRaw!$B12</f>
        <v/>
      </c>
    </row>
    <row r="13" customFormat="false" ht="15.75" hidden="false" customHeight="false" outlineLevel="0" collapsed="false">
      <c r="A13" s="121" t="n">
        <f aca="false">ExportRaw!$F13</f>
        <v>0</v>
      </c>
      <c r="B13" s="121" t="n">
        <f aca="false">ExportRaw!$C13</f>
        <v>0</v>
      </c>
      <c r="C13" s="121" t="n">
        <f aca="false">ExportRaw!$G13</f>
        <v>0</v>
      </c>
      <c r="D13" s="121" t="str">
        <f aca="false">ExportRaw!$E13</f>
        <v/>
      </c>
      <c r="E13" s="122" t="str">
        <f aca="false">ExportRaw!$D13</f>
        <v/>
      </c>
      <c r="F13" s="121" t="str">
        <f aca="false">ExportRaw!$H13</f>
        <v/>
      </c>
      <c r="G13" s="123" t="str">
        <f aca="false">ExportRaw!$I13</f>
        <v/>
      </c>
      <c r="H13" s="121" t="str">
        <f aca="false">ExportRaw!$A13</f>
        <v/>
      </c>
      <c r="I13" s="121" t="str">
        <f aca="false">ExportRaw!$B13</f>
        <v/>
      </c>
    </row>
    <row r="14" customFormat="false" ht="15.75" hidden="false" customHeight="false" outlineLevel="0" collapsed="false">
      <c r="A14" s="121" t="n">
        <f aca="false">ExportRaw!$F14</f>
        <v>0</v>
      </c>
      <c r="B14" s="121" t="n">
        <f aca="false">ExportRaw!$C14</f>
        <v>0</v>
      </c>
      <c r="C14" s="121" t="n">
        <f aca="false">ExportRaw!$G14</f>
        <v>0</v>
      </c>
      <c r="D14" s="121" t="str">
        <f aca="false">ExportRaw!$E14</f>
        <v/>
      </c>
      <c r="E14" s="122" t="str">
        <f aca="false">ExportRaw!$D14</f>
        <v/>
      </c>
      <c r="F14" s="121" t="str">
        <f aca="false">ExportRaw!$H14</f>
        <v/>
      </c>
      <c r="G14" s="123" t="str">
        <f aca="false">ExportRaw!$I14</f>
        <v/>
      </c>
      <c r="H14" s="121" t="str">
        <f aca="false">ExportRaw!$A14</f>
        <v/>
      </c>
      <c r="I14" s="121" t="str">
        <f aca="false">ExportRaw!$B14</f>
        <v/>
      </c>
    </row>
    <row r="15" customFormat="false" ht="15.75" hidden="false" customHeight="false" outlineLevel="0" collapsed="false">
      <c r="A15" s="121" t="n">
        <f aca="false">ExportRaw!$F15</f>
        <v>0</v>
      </c>
      <c r="B15" s="121" t="n">
        <f aca="false">ExportRaw!$C15</f>
        <v>0</v>
      </c>
      <c r="C15" s="121" t="n">
        <f aca="false">ExportRaw!$G15</f>
        <v>0</v>
      </c>
      <c r="D15" s="121" t="str">
        <f aca="false">ExportRaw!$E15</f>
        <v/>
      </c>
      <c r="E15" s="122" t="str">
        <f aca="false">ExportRaw!$D15</f>
        <v/>
      </c>
      <c r="F15" s="121" t="str">
        <f aca="false">ExportRaw!$H15</f>
        <v/>
      </c>
      <c r="G15" s="123" t="str">
        <f aca="false">ExportRaw!$I15</f>
        <v/>
      </c>
      <c r="H15" s="121" t="str">
        <f aca="false">ExportRaw!$A15</f>
        <v/>
      </c>
      <c r="I15" s="121" t="str">
        <f aca="false">ExportRaw!$B15</f>
        <v/>
      </c>
    </row>
    <row r="16" customFormat="false" ht="15.75" hidden="false" customHeight="false" outlineLevel="0" collapsed="false">
      <c r="A16" s="121" t="n">
        <f aca="false">ExportRaw!$F16</f>
        <v>0</v>
      </c>
      <c r="B16" s="121" t="n">
        <f aca="false">ExportRaw!$C16</f>
        <v>0</v>
      </c>
      <c r="C16" s="121" t="n">
        <f aca="false">ExportRaw!$G16</f>
        <v>0</v>
      </c>
      <c r="D16" s="121" t="str">
        <f aca="false">ExportRaw!$E16</f>
        <v/>
      </c>
      <c r="E16" s="122" t="str">
        <f aca="false">ExportRaw!$D16</f>
        <v/>
      </c>
      <c r="F16" s="121" t="str">
        <f aca="false">ExportRaw!$H16</f>
        <v/>
      </c>
      <c r="G16" s="123" t="str">
        <f aca="false">ExportRaw!$I16</f>
        <v/>
      </c>
      <c r="H16" s="121" t="str">
        <f aca="false">ExportRaw!$A16</f>
        <v/>
      </c>
      <c r="I16" s="121" t="str">
        <f aca="false">ExportRaw!$B16</f>
        <v/>
      </c>
    </row>
    <row r="17" customFormat="false" ht="15.75" hidden="false" customHeight="false" outlineLevel="0" collapsed="false">
      <c r="A17" s="121" t="n">
        <f aca="false">ExportRaw!$F17</f>
        <v>0</v>
      </c>
      <c r="B17" s="121" t="n">
        <f aca="false">ExportRaw!$C17</f>
        <v>0</v>
      </c>
      <c r="C17" s="121" t="n">
        <f aca="false">ExportRaw!$G17</f>
        <v>0</v>
      </c>
      <c r="D17" s="121" t="str">
        <f aca="false">ExportRaw!$E17</f>
        <v/>
      </c>
      <c r="E17" s="122" t="str">
        <f aca="false">ExportRaw!$D17</f>
        <v/>
      </c>
      <c r="F17" s="121" t="str">
        <f aca="false">ExportRaw!$H17</f>
        <v/>
      </c>
      <c r="G17" s="123" t="str">
        <f aca="false">ExportRaw!$I17</f>
        <v/>
      </c>
      <c r="H17" s="121" t="str">
        <f aca="false">ExportRaw!$A17</f>
        <v/>
      </c>
      <c r="I17" s="121" t="str">
        <f aca="false">ExportRaw!$B17</f>
        <v/>
      </c>
    </row>
    <row r="18" customFormat="false" ht="15.75" hidden="false" customHeight="false" outlineLevel="0" collapsed="false">
      <c r="A18" s="121" t="n">
        <f aca="false">ExportRaw!$F18</f>
        <v>0</v>
      </c>
      <c r="B18" s="121" t="n">
        <f aca="false">ExportRaw!$C18</f>
        <v>0</v>
      </c>
      <c r="C18" s="121" t="n">
        <f aca="false">ExportRaw!$G18</f>
        <v>0</v>
      </c>
      <c r="D18" s="121" t="str">
        <f aca="false">ExportRaw!$E18</f>
        <v/>
      </c>
      <c r="E18" s="122" t="str">
        <f aca="false">ExportRaw!$D18</f>
        <v/>
      </c>
      <c r="F18" s="121" t="str">
        <f aca="false">ExportRaw!$H18</f>
        <v/>
      </c>
      <c r="G18" s="123" t="str">
        <f aca="false">ExportRaw!$I18</f>
        <v/>
      </c>
      <c r="H18" s="121" t="str">
        <f aca="false">ExportRaw!$A18</f>
        <v/>
      </c>
      <c r="I18" s="121" t="str">
        <f aca="false">ExportRaw!$B18</f>
        <v/>
      </c>
    </row>
    <row r="19" customFormat="false" ht="15.75" hidden="false" customHeight="false" outlineLevel="0" collapsed="false">
      <c r="A19" s="121" t="n">
        <f aca="false">ExportRaw!$F19</f>
        <v>0</v>
      </c>
      <c r="B19" s="121" t="n">
        <f aca="false">ExportRaw!$C19</f>
        <v>0</v>
      </c>
      <c r="C19" s="121" t="n">
        <f aca="false">ExportRaw!$G19</f>
        <v>0</v>
      </c>
      <c r="D19" s="121" t="str">
        <f aca="false">ExportRaw!$E19</f>
        <v/>
      </c>
      <c r="E19" s="122" t="str">
        <f aca="false">ExportRaw!$D19</f>
        <v/>
      </c>
      <c r="F19" s="121" t="str">
        <f aca="false">ExportRaw!$H19</f>
        <v/>
      </c>
      <c r="G19" s="123" t="str">
        <f aca="false">ExportRaw!$I19</f>
        <v/>
      </c>
      <c r="H19" s="121" t="str">
        <f aca="false">ExportRaw!$A19</f>
        <v/>
      </c>
      <c r="I19" s="121" t="str">
        <f aca="false">ExportRaw!$B19</f>
        <v/>
      </c>
    </row>
    <row r="20" customFormat="false" ht="15.75" hidden="false" customHeight="false" outlineLevel="0" collapsed="false">
      <c r="A20" s="121" t="n">
        <f aca="false">ExportRaw!$F20</f>
        <v>0</v>
      </c>
      <c r="B20" s="121" t="n">
        <f aca="false">ExportRaw!$C20</f>
        <v>0</v>
      </c>
      <c r="C20" s="121" t="n">
        <f aca="false">ExportRaw!$G20</f>
        <v>0</v>
      </c>
      <c r="D20" s="121" t="str">
        <f aca="false">ExportRaw!$E20</f>
        <v/>
      </c>
      <c r="E20" s="122" t="str">
        <f aca="false">ExportRaw!$D20</f>
        <v/>
      </c>
      <c r="F20" s="121" t="str">
        <f aca="false">ExportRaw!$H20</f>
        <v/>
      </c>
      <c r="G20" s="123" t="str">
        <f aca="false">ExportRaw!$I20</f>
        <v/>
      </c>
      <c r="H20" s="121" t="str">
        <f aca="false">ExportRaw!$A20</f>
        <v/>
      </c>
      <c r="I20" s="121" t="str">
        <f aca="false">ExportRaw!$B20</f>
        <v/>
      </c>
    </row>
    <row r="21" customFormat="false" ht="15.75" hidden="false" customHeight="false" outlineLevel="0" collapsed="false">
      <c r="A21" s="121" t="n">
        <f aca="false">ExportRaw!$F21</f>
        <v>0</v>
      </c>
      <c r="B21" s="121" t="n">
        <f aca="false">ExportRaw!$C21</f>
        <v>0</v>
      </c>
      <c r="C21" s="121" t="n">
        <f aca="false">ExportRaw!$G21</f>
        <v>0</v>
      </c>
      <c r="D21" s="121" t="str">
        <f aca="false">ExportRaw!$E21</f>
        <v/>
      </c>
      <c r="E21" s="122" t="str">
        <f aca="false">ExportRaw!$D21</f>
        <v/>
      </c>
      <c r="F21" s="121" t="str">
        <f aca="false">ExportRaw!$H21</f>
        <v/>
      </c>
      <c r="G21" s="123" t="str">
        <f aca="false">ExportRaw!$I21</f>
        <v/>
      </c>
      <c r="H21" s="121" t="str">
        <f aca="false">ExportRaw!$A21</f>
        <v/>
      </c>
      <c r="I21" s="121" t="str">
        <f aca="false">ExportRaw!$B21</f>
        <v/>
      </c>
    </row>
    <row r="22" customFormat="false" ht="15.75" hidden="false" customHeight="false" outlineLevel="0" collapsed="false">
      <c r="A22" s="121" t="n">
        <f aca="false">ExportRaw!$F22</f>
        <v>0</v>
      </c>
      <c r="B22" s="121" t="n">
        <f aca="false">ExportRaw!$C22</f>
        <v>0</v>
      </c>
      <c r="C22" s="121" t="n">
        <f aca="false">ExportRaw!$G22</f>
        <v>0</v>
      </c>
      <c r="D22" s="121" t="str">
        <f aca="false">ExportRaw!$E22</f>
        <v/>
      </c>
      <c r="E22" s="122" t="str">
        <f aca="false">ExportRaw!$D22</f>
        <v/>
      </c>
      <c r="F22" s="121" t="str">
        <f aca="false">ExportRaw!$H22</f>
        <v/>
      </c>
      <c r="G22" s="123" t="str">
        <f aca="false">ExportRaw!$I22</f>
        <v/>
      </c>
      <c r="H22" s="121" t="str">
        <f aca="false">ExportRaw!$A22</f>
        <v/>
      </c>
      <c r="I22" s="121" t="str">
        <f aca="false">ExportRaw!$B22</f>
        <v/>
      </c>
    </row>
    <row r="23" customFormat="false" ht="15.75" hidden="false" customHeight="false" outlineLevel="0" collapsed="false">
      <c r="A23" s="121" t="n">
        <f aca="false">ExportRaw!$F23</f>
        <v>0</v>
      </c>
      <c r="B23" s="121" t="n">
        <f aca="false">ExportRaw!$C23</f>
        <v>0</v>
      </c>
      <c r="C23" s="121" t="n">
        <f aca="false">ExportRaw!$G23</f>
        <v>0</v>
      </c>
      <c r="D23" s="121" t="str">
        <f aca="false">ExportRaw!$E23</f>
        <v/>
      </c>
      <c r="E23" s="122" t="str">
        <f aca="false">ExportRaw!$D23</f>
        <v/>
      </c>
      <c r="F23" s="121" t="str">
        <f aca="false">ExportRaw!$H23</f>
        <v/>
      </c>
      <c r="G23" s="123" t="str">
        <f aca="false">ExportRaw!$I23</f>
        <v/>
      </c>
      <c r="H23" s="121" t="str">
        <f aca="false">ExportRaw!$A23</f>
        <v/>
      </c>
      <c r="I23" s="121" t="str">
        <f aca="false">ExportRaw!$B23</f>
        <v/>
      </c>
    </row>
    <row r="24" customFormat="false" ht="15.75" hidden="false" customHeight="false" outlineLevel="0" collapsed="false">
      <c r="A24" s="121" t="n">
        <f aca="false">ExportRaw!$F24</f>
        <v>0</v>
      </c>
      <c r="B24" s="121" t="n">
        <f aca="false">ExportRaw!$C24</f>
        <v>0</v>
      </c>
      <c r="C24" s="121" t="n">
        <f aca="false">ExportRaw!$G24</f>
        <v>0</v>
      </c>
      <c r="D24" s="121" t="str">
        <f aca="false">ExportRaw!$E24</f>
        <v/>
      </c>
      <c r="E24" s="122" t="str">
        <f aca="false">ExportRaw!$D24</f>
        <v/>
      </c>
      <c r="F24" s="121" t="str">
        <f aca="false">ExportRaw!$H24</f>
        <v/>
      </c>
      <c r="G24" s="123" t="str">
        <f aca="false">ExportRaw!$I24</f>
        <v/>
      </c>
      <c r="H24" s="121" t="str">
        <f aca="false">ExportRaw!$A24</f>
        <v/>
      </c>
      <c r="I24" s="121" t="str">
        <f aca="false">ExportRaw!$B24</f>
        <v/>
      </c>
    </row>
    <row r="25" customFormat="false" ht="15.75" hidden="false" customHeight="false" outlineLevel="0" collapsed="false">
      <c r="A25" s="121" t="n">
        <f aca="false">ExportRaw!$F25</f>
        <v>0</v>
      </c>
      <c r="B25" s="121" t="n">
        <f aca="false">ExportRaw!$C25</f>
        <v>0</v>
      </c>
      <c r="C25" s="121" t="n">
        <f aca="false">ExportRaw!$G25</f>
        <v>0</v>
      </c>
      <c r="D25" s="121" t="str">
        <f aca="false">ExportRaw!$E25</f>
        <v/>
      </c>
      <c r="E25" s="122" t="str">
        <f aca="false">ExportRaw!$D25</f>
        <v/>
      </c>
      <c r="F25" s="121" t="str">
        <f aca="false">ExportRaw!$H25</f>
        <v/>
      </c>
      <c r="G25" s="123" t="str">
        <f aca="false">ExportRaw!$I25</f>
        <v/>
      </c>
      <c r="H25" s="121" t="str">
        <f aca="false">ExportRaw!$A25</f>
        <v/>
      </c>
      <c r="I25" s="121" t="str">
        <f aca="false">ExportRaw!$B25</f>
        <v/>
      </c>
    </row>
    <row r="26" customFormat="false" ht="15.75" hidden="false" customHeight="false" outlineLevel="0" collapsed="false">
      <c r="A26" s="121" t="n">
        <f aca="false">ExportRaw!$F26</f>
        <v>0</v>
      </c>
      <c r="B26" s="121" t="n">
        <f aca="false">ExportRaw!$C26</f>
        <v>0</v>
      </c>
      <c r="C26" s="121" t="n">
        <f aca="false">ExportRaw!$G26</f>
        <v>0</v>
      </c>
      <c r="D26" s="121" t="str">
        <f aca="false">ExportRaw!$E26</f>
        <v/>
      </c>
      <c r="E26" s="122" t="str">
        <f aca="false">ExportRaw!$D26</f>
        <v/>
      </c>
      <c r="F26" s="121" t="str">
        <f aca="false">ExportRaw!$H26</f>
        <v/>
      </c>
      <c r="G26" s="123" t="str">
        <f aca="false">ExportRaw!$I26</f>
        <v/>
      </c>
      <c r="H26" s="121" t="str">
        <f aca="false">ExportRaw!$A26</f>
        <v/>
      </c>
      <c r="I26" s="121" t="str">
        <f aca="false">ExportRaw!$B26</f>
        <v/>
      </c>
    </row>
    <row r="27" customFormat="false" ht="15.75" hidden="false" customHeight="false" outlineLevel="0" collapsed="false">
      <c r="A27" s="121" t="n">
        <f aca="false">ExportRaw!$F27</f>
        <v>0</v>
      </c>
      <c r="B27" s="121" t="n">
        <f aca="false">ExportRaw!$C27</f>
        <v>0</v>
      </c>
      <c r="C27" s="121" t="n">
        <f aca="false">ExportRaw!$G27</f>
        <v>0</v>
      </c>
      <c r="D27" s="121" t="str">
        <f aca="false">ExportRaw!$E27</f>
        <v/>
      </c>
      <c r="E27" s="122" t="str">
        <f aca="false">ExportRaw!$D27</f>
        <v/>
      </c>
      <c r="F27" s="121" t="str">
        <f aca="false">ExportRaw!$H27</f>
        <v/>
      </c>
      <c r="G27" s="123" t="str">
        <f aca="false">ExportRaw!$I27</f>
        <v/>
      </c>
      <c r="H27" s="121" t="str">
        <f aca="false">ExportRaw!$A27</f>
        <v/>
      </c>
      <c r="I27" s="121" t="str">
        <f aca="false">ExportRaw!$B27</f>
        <v/>
      </c>
    </row>
    <row r="28" customFormat="false" ht="15.75" hidden="false" customHeight="false" outlineLevel="0" collapsed="false">
      <c r="A28" s="121" t="n">
        <f aca="false">ExportRaw!$F28</f>
        <v>0</v>
      </c>
      <c r="B28" s="121" t="n">
        <f aca="false">ExportRaw!$C28</f>
        <v>0</v>
      </c>
      <c r="C28" s="121" t="n">
        <f aca="false">ExportRaw!$G28</f>
        <v>0</v>
      </c>
      <c r="D28" s="121" t="str">
        <f aca="false">ExportRaw!$E28</f>
        <v/>
      </c>
      <c r="E28" s="122" t="str">
        <f aca="false">ExportRaw!$D28</f>
        <v/>
      </c>
      <c r="F28" s="121" t="str">
        <f aca="false">ExportRaw!$H28</f>
        <v/>
      </c>
      <c r="G28" s="123" t="str">
        <f aca="false">ExportRaw!$I28</f>
        <v/>
      </c>
      <c r="H28" s="121" t="str">
        <f aca="false">ExportRaw!$A28</f>
        <v/>
      </c>
      <c r="I28" s="121" t="str">
        <f aca="false">ExportRaw!$B28</f>
        <v/>
      </c>
    </row>
    <row r="29" customFormat="false" ht="15.75" hidden="false" customHeight="false" outlineLevel="0" collapsed="false">
      <c r="A29" s="121" t="n">
        <f aca="false">ExportRaw!$F29</f>
        <v>0</v>
      </c>
      <c r="B29" s="121" t="n">
        <f aca="false">ExportRaw!$C29</f>
        <v>0</v>
      </c>
      <c r="C29" s="121" t="n">
        <f aca="false">ExportRaw!$G29</f>
        <v>0</v>
      </c>
      <c r="D29" s="121" t="str">
        <f aca="false">ExportRaw!$E29</f>
        <v/>
      </c>
      <c r="E29" s="122" t="str">
        <f aca="false">ExportRaw!$D29</f>
        <v/>
      </c>
      <c r="F29" s="121" t="str">
        <f aca="false">ExportRaw!$H29</f>
        <v/>
      </c>
      <c r="G29" s="123" t="str">
        <f aca="false">ExportRaw!$I29</f>
        <v/>
      </c>
      <c r="H29" s="121" t="str">
        <f aca="false">ExportRaw!$A29</f>
        <v/>
      </c>
      <c r="I29" s="121" t="str">
        <f aca="false">ExportRaw!$B29</f>
        <v/>
      </c>
    </row>
    <row r="30" customFormat="false" ht="15.75" hidden="false" customHeight="false" outlineLevel="0" collapsed="false">
      <c r="A30" s="121" t="n">
        <f aca="false">ExportRaw!$F30</f>
        <v>0</v>
      </c>
      <c r="B30" s="121" t="n">
        <f aca="false">ExportRaw!$C30</f>
        <v>0</v>
      </c>
      <c r="C30" s="121" t="n">
        <f aca="false">ExportRaw!$G30</f>
        <v>0</v>
      </c>
      <c r="D30" s="121" t="str">
        <f aca="false">ExportRaw!$E30</f>
        <v/>
      </c>
      <c r="E30" s="122" t="str">
        <f aca="false">ExportRaw!$D30</f>
        <v/>
      </c>
      <c r="F30" s="121" t="str">
        <f aca="false">ExportRaw!$H30</f>
        <v/>
      </c>
      <c r="G30" s="123" t="str">
        <f aca="false">ExportRaw!$I30</f>
        <v/>
      </c>
      <c r="H30" s="121" t="str">
        <f aca="false">ExportRaw!$A30</f>
        <v/>
      </c>
      <c r="I30" s="121" t="str">
        <f aca="false">ExportRaw!$B30</f>
        <v/>
      </c>
    </row>
    <row r="31" customFormat="false" ht="15.75" hidden="false" customHeight="false" outlineLevel="0" collapsed="false">
      <c r="A31" s="121" t="n">
        <f aca="false">ExportRaw!$F31</f>
        <v>0</v>
      </c>
      <c r="B31" s="121" t="n">
        <f aca="false">ExportRaw!$C31</f>
        <v>0</v>
      </c>
      <c r="C31" s="121" t="n">
        <f aca="false">ExportRaw!$G31</f>
        <v>0</v>
      </c>
      <c r="D31" s="121" t="str">
        <f aca="false">ExportRaw!$E31</f>
        <v/>
      </c>
      <c r="E31" s="122" t="str">
        <f aca="false">ExportRaw!$D31</f>
        <v/>
      </c>
      <c r="F31" s="121" t="str">
        <f aca="false">ExportRaw!$H31</f>
        <v/>
      </c>
      <c r="G31" s="123" t="str">
        <f aca="false">ExportRaw!$I31</f>
        <v/>
      </c>
      <c r="H31" s="121" t="str">
        <f aca="false">ExportRaw!$A31</f>
        <v/>
      </c>
      <c r="I31" s="121" t="str">
        <f aca="false">ExportRaw!$B31</f>
        <v/>
      </c>
    </row>
    <row r="32" customFormat="false" ht="15.75" hidden="false" customHeight="false" outlineLevel="0" collapsed="false">
      <c r="A32" s="121" t="n">
        <f aca="false">ExportRaw!$F32</f>
        <v>0</v>
      </c>
      <c r="B32" s="121" t="n">
        <f aca="false">ExportRaw!$C32</f>
        <v>0</v>
      </c>
      <c r="C32" s="121" t="n">
        <f aca="false">ExportRaw!$G32</f>
        <v>0</v>
      </c>
      <c r="D32" s="121" t="str">
        <f aca="false">ExportRaw!$E32</f>
        <v/>
      </c>
      <c r="E32" s="122" t="str">
        <f aca="false">ExportRaw!$D32</f>
        <v/>
      </c>
      <c r="F32" s="121" t="str">
        <f aca="false">ExportRaw!$H32</f>
        <v/>
      </c>
      <c r="G32" s="123" t="str">
        <f aca="false">ExportRaw!$I32</f>
        <v/>
      </c>
      <c r="H32" s="121" t="str">
        <f aca="false">ExportRaw!$A32</f>
        <v/>
      </c>
      <c r="I32" s="121" t="str">
        <f aca="false">ExportRaw!$B32</f>
        <v/>
      </c>
    </row>
    <row r="33" customFormat="false" ht="15.75" hidden="false" customHeight="false" outlineLevel="0" collapsed="false">
      <c r="A33" s="121" t="n">
        <f aca="false">ExportRaw!$F33</f>
        <v>0</v>
      </c>
      <c r="B33" s="121" t="n">
        <f aca="false">ExportRaw!$C33</f>
        <v>0</v>
      </c>
      <c r="C33" s="121" t="n">
        <f aca="false">ExportRaw!$G33</f>
        <v>0</v>
      </c>
      <c r="D33" s="121" t="str">
        <f aca="false">ExportRaw!$E33</f>
        <v/>
      </c>
      <c r="E33" s="122" t="str">
        <f aca="false">ExportRaw!$D33</f>
        <v/>
      </c>
      <c r="F33" s="121" t="str">
        <f aca="false">ExportRaw!$H33</f>
        <v/>
      </c>
      <c r="G33" s="123" t="str">
        <f aca="false">ExportRaw!$I33</f>
        <v/>
      </c>
      <c r="H33" s="121" t="str">
        <f aca="false">ExportRaw!$A33</f>
        <v/>
      </c>
      <c r="I33" s="121" t="str">
        <f aca="false">ExportRaw!$B33</f>
        <v/>
      </c>
    </row>
    <row r="34" customFormat="false" ht="15.75" hidden="false" customHeight="false" outlineLevel="0" collapsed="false">
      <c r="A34" s="121" t="n">
        <f aca="false">ExportRaw!$F34</f>
        <v>0</v>
      </c>
      <c r="B34" s="121" t="n">
        <f aca="false">ExportRaw!$C34</f>
        <v>0</v>
      </c>
      <c r="C34" s="121" t="n">
        <f aca="false">ExportRaw!$G34</f>
        <v>0</v>
      </c>
      <c r="D34" s="121" t="str">
        <f aca="false">ExportRaw!$E34</f>
        <v/>
      </c>
      <c r="E34" s="122" t="str">
        <f aca="false">ExportRaw!$D34</f>
        <v/>
      </c>
      <c r="F34" s="121" t="str">
        <f aca="false">ExportRaw!$H34</f>
        <v/>
      </c>
      <c r="G34" s="123" t="str">
        <f aca="false">ExportRaw!$I34</f>
        <v/>
      </c>
      <c r="H34" s="121" t="str">
        <f aca="false">ExportRaw!$A34</f>
        <v/>
      </c>
      <c r="I34" s="121" t="str">
        <f aca="false">ExportRaw!$B34</f>
        <v/>
      </c>
    </row>
    <row r="35" customFormat="false" ht="15.75" hidden="false" customHeight="false" outlineLevel="0" collapsed="false">
      <c r="A35" s="121" t="n">
        <f aca="false">ExportRaw!$F35</f>
        <v>0</v>
      </c>
      <c r="B35" s="121" t="n">
        <f aca="false">ExportRaw!$C35</f>
        <v>0</v>
      </c>
      <c r="C35" s="121" t="n">
        <f aca="false">ExportRaw!$G35</f>
        <v>0</v>
      </c>
      <c r="D35" s="121" t="str">
        <f aca="false">ExportRaw!$E35</f>
        <v/>
      </c>
      <c r="E35" s="122" t="str">
        <f aca="false">ExportRaw!$D35</f>
        <v/>
      </c>
      <c r="F35" s="121" t="str">
        <f aca="false">ExportRaw!$H35</f>
        <v/>
      </c>
      <c r="G35" s="123" t="str">
        <f aca="false">ExportRaw!$I35</f>
        <v/>
      </c>
      <c r="H35" s="121" t="str">
        <f aca="false">ExportRaw!$A35</f>
        <v/>
      </c>
      <c r="I35" s="121" t="str">
        <f aca="false">ExportRaw!$B35</f>
        <v/>
      </c>
    </row>
    <row r="36" customFormat="false" ht="15.75" hidden="false" customHeight="false" outlineLevel="0" collapsed="false">
      <c r="A36" s="121" t="n">
        <f aca="false">ExportRaw!$F36</f>
        <v>0</v>
      </c>
      <c r="B36" s="121" t="n">
        <f aca="false">ExportRaw!$C36</f>
        <v>0</v>
      </c>
      <c r="C36" s="121" t="n">
        <f aca="false">ExportRaw!$G36</f>
        <v>0</v>
      </c>
      <c r="D36" s="121" t="str">
        <f aca="false">ExportRaw!$E36</f>
        <v/>
      </c>
      <c r="E36" s="122" t="str">
        <f aca="false">ExportRaw!$D36</f>
        <v/>
      </c>
      <c r="F36" s="121" t="str">
        <f aca="false">ExportRaw!$H36</f>
        <v/>
      </c>
      <c r="G36" s="123" t="str">
        <f aca="false">ExportRaw!$I36</f>
        <v/>
      </c>
      <c r="H36" s="121" t="str">
        <f aca="false">ExportRaw!$A36</f>
        <v/>
      </c>
      <c r="I36" s="121" t="str">
        <f aca="false">ExportRaw!$B36</f>
        <v/>
      </c>
    </row>
    <row r="37" customFormat="false" ht="15.75" hidden="false" customHeight="false" outlineLevel="0" collapsed="false">
      <c r="A37" s="121" t="n">
        <f aca="false">ExportRaw!$F37</f>
        <v>0</v>
      </c>
      <c r="B37" s="121" t="n">
        <f aca="false">ExportRaw!$C37</f>
        <v>0</v>
      </c>
      <c r="C37" s="121" t="n">
        <f aca="false">ExportRaw!$G37</f>
        <v>0</v>
      </c>
      <c r="D37" s="121" t="str">
        <f aca="false">ExportRaw!$E37</f>
        <v/>
      </c>
      <c r="E37" s="122" t="str">
        <f aca="false">ExportRaw!$D37</f>
        <v/>
      </c>
      <c r="F37" s="121" t="str">
        <f aca="false">ExportRaw!$H37</f>
        <v/>
      </c>
      <c r="G37" s="123" t="str">
        <f aca="false">ExportRaw!$I37</f>
        <v/>
      </c>
      <c r="H37" s="121" t="str">
        <f aca="false">ExportRaw!$A37</f>
        <v/>
      </c>
      <c r="I37" s="121" t="str">
        <f aca="false">ExportRaw!$B37</f>
        <v/>
      </c>
    </row>
    <row r="38" customFormat="false" ht="15.75" hidden="false" customHeight="false" outlineLevel="0" collapsed="false">
      <c r="A38" s="121" t="n">
        <f aca="false">ExportRaw!$F38</f>
        <v>0</v>
      </c>
      <c r="B38" s="121" t="n">
        <f aca="false">ExportRaw!$C38</f>
        <v>0</v>
      </c>
      <c r="C38" s="121" t="n">
        <f aca="false">ExportRaw!$G38</f>
        <v>0</v>
      </c>
      <c r="D38" s="121" t="str">
        <f aca="false">ExportRaw!$E38</f>
        <v/>
      </c>
      <c r="E38" s="122" t="str">
        <f aca="false">ExportRaw!$D38</f>
        <v/>
      </c>
      <c r="F38" s="121" t="str">
        <f aca="false">ExportRaw!$H38</f>
        <v/>
      </c>
      <c r="G38" s="123" t="str">
        <f aca="false">ExportRaw!$I38</f>
        <v/>
      </c>
      <c r="H38" s="121" t="str">
        <f aca="false">ExportRaw!$A38</f>
        <v/>
      </c>
      <c r="I38" s="121" t="str">
        <f aca="false">ExportRaw!$B38</f>
        <v/>
      </c>
    </row>
    <row r="39" customFormat="false" ht="15.75" hidden="false" customHeight="false" outlineLevel="0" collapsed="false">
      <c r="A39" s="121" t="n">
        <f aca="false">ExportRaw!$F39</f>
        <v>0</v>
      </c>
      <c r="B39" s="121" t="n">
        <f aca="false">ExportRaw!$C39</f>
        <v>0</v>
      </c>
      <c r="C39" s="121" t="n">
        <f aca="false">ExportRaw!$G39</f>
        <v>0</v>
      </c>
      <c r="D39" s="121" t="str">
        <f aca="false">ExportRaw!$E39</f>
        <v/>
      </c>
      <c r="E39" s="122" t="str">
        <f aca="false">ExportRaw!$D39</f>
        <v/>
      </c>
      <c r="F39" s="121" t="str">
        <f aca="false">ExportRaw!$H39</f>
        <v/>
      </c>
      <c r="G39" s="123" t="str">
        <f aca="false">ExportRaw!$I39</f>
        <v/>
      </c>
      <c r="H39" s="121" t="str">
        <f aca="false">ExportRaw!$A39</f>
        <v/>
      </c>
      <c r="I39" s="121" t="str">
        <f aca="false">ExportRaw!$B39</f>
        <v/>
      </c>
    </row>
    <row r="40" customFormat="false" ht="15.75" hidden="false" customHeight="false" outlineLevel="0" collapsed="false">
      <c r="A40" s="121" t="n">
        <f aca="false">ExportRaw!$F40</f>
        <v>0</v>
      </c>
      <c r="B40" s="121" t="n">
        <f aca="false">ExportRaw!$C40</f>
        <v>0</v>
      </c>
      <c r="C40" s="121" t="n">
        <f aca="false">ExportRaw!$G40</f>
        <v>0</v>
      </c>
      <c r="D40" s="121" t="str">
        <f aca="false">ExportRaw!$E40</f>
        <v/>
      </c>
      <c r="E40" s="122" t="str">
        <f aca="false">ExportRaw!$D40</f>
        <v/>
      </c>
      <c r="F40" s="121" t="str">
        <f aca="false">ExportRaw!$H40</f>
        <v/>
      </c>
      <c r="G40" s="123" t="str">
        <f aca="false">ExportRaw!$I40</f>
        <v/>
      </c>
      <c r="H40" s="121" t="str">
        <f aca="false">ExportRaw!$A40</f>
        <v/>
      </c>
      <c r="I40" s="121" t="str">
        <f aca="false">ExportRaw!$B40</f>
        <v/>
      </c>
    </row>
    <row r="41" customFormat="false" ht="15.75" hidden="false" customHeight="false" outlineLevel="0" collapsed="false">
      <c r="A41" s="121" t="n">
        <f aca="false">ExportRaw!$F41</f>
        <v>0</v>
      </c>
      <c r="B41" s="121" t="n">
        <f aca="false">ExportRaw!$C41</f>
        <v>0</v>
      </c>
      <c r="C41" s="121" t="n">
        <f aca="false">ExportRaw!$G41</f>
        <v>0</v>
      </c>
      <c r="D41" s="121" t="str">
        <f aca="false">ExportRaw!$E41</f>
        <v/>
      </c>
      <c r="E41" s="122" t="str">
        <f aca="false">ExportRaw!$D41</f>
        <v/>
      </c>
      <c r="F41" s="121" t="str">
        <f aca="false">ExportRaw!$H41</f>
        <v/>
      </c>
      <c r="G41" s="123" t="str">
        <f aca="false">ExportRaw!$I41</f>
        <v/>
      </c>
      <c r="H41" s="121" t="str">
        <f aca="false">ExportRaw!$A41</f>
        <v/>
      </c>
      <c r="I41" s="121" t="str">
        <f aca="false">ExportRaw!$B41</f>
        <v/>
      </c>
    </row>
    <row r="42" customFormat="false" ht="15.75" hidden="false" customHeight="false" outlineLevel="0" collapsed="false">
      <c r="A42" s="121" t="n">
        <f aca="false">ExportRaw!$F42</f>
        <v>0</v>
      </c>
      <c r="B42" s="121" t="n">
        <f aca="false">ExportRaw!$C42</f>
        <v>0</v>
      </c>
      <c r="C42" s="121" t="n">
        <f aca="false">ExportRaw!$G42</f>
        <v>0</v>
      </c>
      <c r="D42" s="121" t="str">
        <f aca="false">ExportRaw!$E42</f>
        <v/>
      </c>
      <c r="E42" s="122" t="str">
        <f aca="false">ExportRaw!$D42</f>
        <v/>
      </c>
      <c r="F42" s="121" t="str">
        <f aca="false">ExportRaw!$H42</f>
        <v/>
      </c>
      <c r="G42" s="123" t="str">
        <f aca="false">ExportRaw!$I42</f>
        <v/>
      </c>
      <c r="H42" s="121" t="str">
        <f aca="false">ExportRaw!$A42</f>
        <v/>
      </c>
      <c r="I42" s="121" t="str">
        <f aca="false">ExportRaw!$B42</f>
        <v/>
      </c>
    </row>
    <row r="43" customFormat="false" ht="15.75" hidden="false" customHeight="false" outlineLevel="0" collapsed="false">
      <c r="A43" s="121" t="n">
        <f aca="false">ExportRaw!$F43</f>
        <v>0</v>
      </c>
      <c r="B43" s="121" t="n">
        <f aca="false">ExportRaw!$C43</f>
        <v>0</v>
      </c>
      <c r="C43" s="121" t="n">
        <f aca="false">ExportRaw!$G43</f>
        <v>0</v>
      </c>
      <c r="D43" s="121" t="str">
        <f aca="false">ExportRaw!$E43</f>
        <v/>
      </c>
      <c r="E43" s="122" t="str">
        <f aca="false">ExportRaw!$D43</f>
        <v/>
      </c>
      <c r="F43" s="121" t="str">
        <f aca="false">ExportRaw!$H43</f>
        <v/>
      </c>
      <c r="G43" s="123" t="str">
        <f aca="false">ExportRaw!$I43</f>
        <v/>
      </c>
      <c r="H43" s="121" t="str">
        <f aca="false">ExportRaw!$A43</f>
        <v/>
      </c>
      <c r="I43" s="121" t="str">
        <f aca="false">ExportRaw!$B43</f>
        <v/>
      </c>
    </row>
    <row r="44" customFormat="false" ht="15.75" hidden="false" customHeight="false" outlineLevel="0" collapsed="false">
      <c r="A44" s="121" t="n">
        <f aca="false">ExportRaw!$F44</f>
        <v>0</v>
      </c>
      <c r="B44" s="121" t="n">
        <f aca="false">ExportRaw!$C44</f>
        <v>0</v>
      </c>
      <c r="C44" s="121" t="n">
        <f aca="false">ExportRaw!$G44</f>
        <v>0</v>
      </c>
      <c r="D44" s="121" t="str">
        <f aca="false">ExportRaw!$E44</f>
        <v/>
      </c>
      <c r="E44" s="122" t="str">
        <f aca="false">ExportRaw!$D44</f>
        <v/>
      </c>
      <c r="F44" s="121" t="str">
        <f aca="false">ExportRaw!$H44</f>
        <v/>
      </c>
      <c r="G44" s="123" t="str">
        <f aca="false">ExportRaw!$I44</f>
        <v/>
      </c>
      <c r="H44" s="121" t="str">
        <f aca="false">ExportRaw!$A44</f>
        <v/>
      </c>
      <c r="I44" s="121" t="str">
        <f aca="false">ExportRaw!$B44</f>
        <v/>
      </c>
    </row>
    <row r="45" customFormat="false" ht="15.75" hidden="false" customHeight="false" outlineLevel="0" collapsed="false">
      <c r="A45" s="121" t="n">
        <f aca="false">ExportRaw!$F45</f>
        <v>0</v>
      </c>
      <c r="B45" s="121" t="n">
        <f aca="false">ExportRaw!$C45</f>
        <v>0</v>
      </c>
      <c r="C45" s="121" t="n">
        <f aca="false">ExportRaw!$G45</f>
        <v>0</v>
      </c>
      <c r="D45" s="121" t="str">
        <f aca="false">ExportRaw!$E45</f>
        <v/>
      </c>
      <c r="E45" s="122" t="str">
        <f aca="false">ExportRaw!$D45</f>
        <v/>
      </c>
      <c r="F45" s="121" t="str">
        <f aca="false">ExportRaw!$H45</f>
        <v/>
      </c>
      <c r="G45" s="123" t="str">
        <f aca="false">ExportRaw!$I45</f>
        <v/>
      </c>
      <c r="H45" s="121" t="str">
        <f aca="false">ExportRaw!$A45</f>
        <v/>
      </c>
      <c r="I45" s="121" t="str">
        <f aca="false">ExportRaw!$B45</f>
        <v/>
      </c>
    </row>
    <row r="46" customFormat="false" ht="15.75" hidden="false" customHeight="false" outlineLevel="0" collapsed="false">
      <c r="A46" s="121" t="n">
        <f aca="false">ExportRaw!$F46</f>
        <v>0</v>
      </c>
      <c r="B46" s="121" t="n">
        <f aca="false">ExportRaw!$C46</f>
        <v>0</v>
      </c>
      <c r="C46" s="121" t="n">
        <f aca="false">ExportRaw!$G46</f>
        <v>0</v>
      </c>
      <c r="D46" s="121" t="str">
        <f aca="false">ExportRaw!$E46</f>
        <v/>
      </c>
      <c r="E46" s="122" t="str">
        <f aca="false">ExportRaw!$D46</f>
        <v/>
      </c>
      <c r="F46" s="121" t="str">
        <f aca="false">ExportRaw!$H46</f>
        <v/>
      </c>
      <c r="G46" s="123" t="str">
        <f aca="false">ExportRaw!$I46</f>
        <v/>
      </c>
      <c r="H46" s="121" t="str">
        <f aca="false">ExportRaw!$A46</f>
        <v/>
      </c>
      <c r="I46" s="121" t="str">
        <f aca="false">ExportRaw!$B46</f>
        <v/>
      </c>
    </row>
    <row r="47" customFormat="false" ht="15.75" hidden="false" customHeight="false" outlineLevel="0" collapsed="false">
      <c r="A47" s="121" t="n">
        <f aca="false">ExportRaw!$F47</f>
        <v>0</v>
      </c>
      <c r="B47" s="121" t="n">
        <f aca="false">ExportRaw!$C47</f>
        <v>0</v>
      </c>
      <c r="C47" s="121" t="n">
        <f aca="false">ExportRaw!$G47</f>
        <v>0</v>
      </c>
      <c r="D47" s="121" t="str">
        <f aca="false">ExportRaw!$E47</f>
        <v/>
      </c>
      <c r="E47" s="122" t="str">
        <f aca="false">ExportRaw!$D47</f>
        <v/>
      </c>
      <c r="F47" s="121" t="str">
        <f aca="false">ExportRaw!$H47</f>
        <v/>
      </c>
      <c r="G47" s="123" t="str">
        <f aca="false">ExportRaw!$I47</f>
        <v/>
      </c>
      <c r="H47" s="121" t="str">
        <f aca="false">ExportRaw!$A47</f>
        <v/>
      </c>
      <c r="I47" s="121" t="str">
        <f aca="false">ExportRaw!$B47</f>
        <v/>
      </c>
    </row>
    <row r="48" customFormat="false" ht="15.75" hidden="false" customHeight="false" outlineLevel="0" collapsed="false">
      <c r="A48" s="121" t="n">
        <f aca="false">ExportRaw!$F48</f>
        <v>0</v>
      </c>
      <c r="B48" s="121" t="n">
        <f aca="false">ExportRaw!$C48</f>
        <v>0</v>
      </c>
      <c r="C48" s="121" t="n">
        <f aca="false">ExportRaw!$G48</f>
        <v>0</v>
      </c>
      <c r="D48" s="121" t="str">
        <f aca="false">ExportRaw!$E48</f>
        <v/>
      </c>
      <c r="E48" s="122" t="str">
        <f aca="false">ExportRaw!$D48</f>
        <v/>
      </c>
      <c r="F48" s="121" t="str">
        <f aca="false">ExportRaw!$H48</f>
        <v/>
      </c>
      <c r="G48" s="123" t="str">
        <f aca="false">ExportRaw!$I48</f>
        <v/>
      </c>
      <c r="H48" s="121" t="str">
        <f aca="false">ExportRaw!$A48</f>
        <v/>
      </c>
      <c r="I48" s="121" t="str">
        <f aca="false">ExportRaw!$B48</f>
        <v/>
      </c>
    </row>
    <row r="49" customFormat="false" ht="15.75" hidden="false" customHeight="false" outlineLevel="0" collapsed="false">
      <c r="A49" s="121" t="n">
        <f aca="false">ExportRaw!$F49</f>
        <v>0</v>
      </c>
      <c r="B49" s="121" t="n">
        <f aca="false">ExportRaw!$C49</f>
        <v>0</v>
      </c>
      <c r="C49" s="121" t="n">
        <f aca="false">ExportRaw!$G49</f>
        <v>0</v>
      </c>
      <c r="D49" s="121" t="str">
        <f aca="false">ExportRaw!$E49</f>
        <v/>
      </c>
      <c r="E49" s="122" t="str">
        <f aca="false">ExportRaw!$D49</f>
        <v/>
      </c>
      <c r="F49" s="121" t="str">
        <f aca="false">ExportRaw!$H49</f>
        <v/>
      </c>
      <c r="G49" s="123" t="str">
        <f aca="false">ExportRaw!$I49</f>
        <v/>
      </c>
      <c r="H49" s="121" t="str">
        <f aca="false">ExportRaw!$A49</f>
        <v/>
      </c>
      <c r="I49" s="121" t="str">
        <f aca="false">ExportRaw!$B49</f>
        <v/>
      </c>
    </row>
    <row r="50" customFormat="false" ht="15.75" hidden="false" customHeight="false" outlineLevel="0" collapsed="false">
      <c r="A50" s="121" t="n">
        <f aca="false">ExportRaw!$F50</f>
        <v>0</v>
      </c>
      <c r="B50" s="121" t="n">
        <f aca="false">ExportRaw!$C50</f>
        <v>0</v>
      </c>
      <c r="C50" s="121" t="n">
        <f aca="false">ExportRaw!$G50</f>
        <v>0</v>
      </c>
      <c r="D50" s="121" t="str">
        <f aca="false">ExportRaw!$E50</f>
        <v/>
      </c>
      <c r="E50" s="122" t="str">
        <f aca="false">ExportRaw!$D50</f>
        <v/>
      </c>
      <c r="F50" s="121" t="str">
        <f aca="false">ExportRaw!$H50</f>
        <v/>
      </c>
      <c r="G50" s="123" t="str">
        <f aca="false">ExportRaw!$I50</f>
        <v/>
      </c>
      <c r="H50" s="121" t="str">
        <f aca="false">ExportRaw!$A50</f>
        <v/>
      </c>
      <c r="I50" s="121" t="str">
        <f aca="false">ExportRaw!$B50</f>
        <v/>
      </c>
    </row>
    <row r="51" customFormat="false" ht="15.75" hidden="false" customHeight="false" outlineLevel="0" collapsed="false">
      <c r="A51" s="121" t="n">
        <f aca="false">ExportRaw!$F51</f>
        <v>0</v>
      </c>
      <c r="B51" s="121" t="n">
        <f aca="false">ExportRaw!$C51</f>
        <v>0</v>
      </c>
      <c r="C51" s="121" t="n">
        <f aca="false">ExportRaw!$G51</f>
        <v>0</v>
      </c>
      <c r="D51" s="121" t="str">
        <f aca="false">ExportRaw!$E51</f>
        <v/>
      </c>
      <c r="E51" s="122" t="str">
        <f aca="false">ExportRaw!$D51</f>
        <v/>
      </c>
      <c r="F51" s="121" t="str">
        <f aca="false">ExportRaw!$H51</f>
        <v/>
      </c>
      <c r="G51" s="123" t="str">
        <f aca="false">ExportRaw!$I51</f>
        <v/>
      </c>
      <c r="H51" s="121" t="str">
        <f aca="false">ExportRaw!$A51</f>
        <v/>
      </c>
      <c r="I51" s="121" t="str">
        <f aca="false">ExportRaw!$B51</f>
        <v/>
      </c>
    </row>
    <row r="52" customFormat="false" ht="15.75" hidden="false" customHeight="false" outlineLevel="0" collapsed="false">
      <c r="A52" s="121" t="n">
        <f aca="false">ExportRaw!$F52</f>
        <v>0</v>
      </c>
      <c r="B52" s="121" t="n">
        <f aca="false">ExportRaw!$C52</f>
        <v>0</v>
      </c>
      <c r="C52" s="121" t="n">
        <f aca="false">ExportRaw!$G52</f>
        <v>0</v>
      </c>
      <c r="D52" s="121" t="str">
        <f aca="false">ExportRaw!$E52</f>
        <v/>
      </c>
      <c r="E52" s="122" t="str">
        <f aca="false">ExportRaw!$D52</f>
        <v/>
      </c>
      <c r="F52" s="121" t="str">
        <f aca="false">ExportRaw!$H52</f>
        <v/>
      </c>
      <c r="G52" s="123" t="str">
        <f aca="false">ExportRaw!$I52</f>
        <v/>
      </c>
      <c r="H52" s="121" t="str">
        <f aca="false">ExportRaw!$A52</f>
        <v/>
      </c>
      <c r="I52" s="121" t="str">
        <f aca="false">ExportRaw!$B52</f>
        <v/>
      </c>
    </row>
    <row r="53" customFormat="false" ht="15.75" hidden="false" customHeight="false" outlineLevel="0" collapsed="false">
      <c r="A53" s="121" t="n">
        <f aca="false">ExportRaw!$F53</f>
        <v>0</v>
      </c>
      <c r="B53" s="121" t="n">
        <f aca="false">ExportRaw!$C53</f>
        <v>0</v>
      </c>
      <c r="C53" s="121" t="n">
        <f aca="false">ExportRaw!$G53</f>
        <v>0</v>
      </c>
      <c r="D53" s="121" t="str">
        <f aca="false">ExportRaw!$E53</f>
        <v/>
      </c>
      <c r="E53" s="122" t="str">
        <f aca="false">ExportRaw!$D53</f>
        <v/>
      </c>
      <c r="F53" s="121" t="str">
        <f aca="false">ExportRaw!$H53</f>
        <v/>
      </c>
      <c r="G53" s="123" t="str">
        <f aca="false">ExportRaw!$I53</f>
        <v/>
      </c>
      <c r="H53" s="121" t="str">
        <f aca="false">ExportRaw!$A53</f>
        <v/>
      </c>
      <c r="I53" s="121" t="str">
        <f aca="false">ExportRaw!$B53</f>
        <v/>
      </c>
    </row>
    <row r="54" customFormat="false" ht="15.75" hidden="false" customHeight="false" outlineLevel="0" collapsed="false">
      <c r="A54" s="121" t="n">
        <f aca="false">ExportRaw!$F54</f>
        <v>0</v>
      </c>
      <c r="B54" s="121" t="n">
        <f aca="false">ExportRaw!$C54</f>
        <v>0</v>
      </c>
      <c r="C54" s="121" t="n">
        <f aca="false">ExportRaw!$G54</f>
        <v>0</v>
      </c>
      <c r="D54" s="121" t="str">
        <f aca="false">ExportRaw!$E54</f>
        <v/>
      </c>
      <c r="E54" s="122" t="str">
        <f aca="false">ExportRaw!$D54</f>
        <v/>
      </c>
      <c r="F54" s="121" t="str">
        <f aca="false">ExportRaw!$H54</f>
        <v/>
      </c>
      <c r="G54" s="123" t="str">
        <f aca="false">ExportRaw!$I54</f>
        <v/>
      </c>
      <c r="H54" s="121" t="str">
        <f aca="false">ExportRaw!$A54</f>
        <v/>
      </c>
      <c r="I54" s="121" t="str">
        <f aca="false">ExportRaw!$B54</f>
        <v/>
      </c>
    </row>
    <row r="55" customFormat="false" ht="15.75" hidden="false" customHeight="false" outlineLevel="0" collapsed="false">
      <c r="A55" s="121" t="n">
        <f aca="false">ExportRaw!$F55</f>
        <v>0</v>
      </c>
      <c r="B55" s="121" t="n">
        <f aca="false">ExportRaw!$C55</f>
        <v>0</v>
      </c>
      <c r="C55" s="121" t="n">
        <f aca="false">ExportRaw!$G55</f>
        <v>0</v>
      </c>
      <c r="D55" s="121" t="str">
        <f aca="false">ExportRaw!$E55</f>
        <v/>
      </c>
      <c r="E55" s="122" t="str">
        <f aca="false">ExportRaw!$D55</f>
        <v/>
      </c>
      <c r="F55" s="121" t="str">
        <f aca="false">ExportRaw!$H55</f>
        <v/>
      </c>
      <c r="G55" s="123" t="str">
        <f aca="false">ExportRaw!$I55</f>
        <v/>
      </c>
      <c r="H55" s="121" t="str">
        <f aca="false">ExportRaw!$A55</f>
        <v/>
      </c>
      <c r="I55" s="121" t="str">
        <f aca="false">ExportRaw!$B55</f>
        <v/>
      </c>
    </row>
    <row r="56" customFormat="false" ht="15.75" hidden="false" customHeight="false" outlineLevel="0" collapsed="false">
      <c r="A56" s="121" t="n">
        <f aca="false">ExportRaw!$F56</f>
        <v>0</v>
      </c>
      <c r="B56" s="121" t="n">
        <f aca="false">ExportRaw!$C56</f>
        <v>0</v>
      </c>
      <c r="C56" s="121" t="n">
        <f aca="false">ExportRaw!$G56</f>
        <v>0</v>
      </c>
      <c r="D56" s="121" t="str">
        <f aca="false">ExportRaw!$E56</f>
        <v/>
      </c>
      <c r="E56" s="122" t="str">
        <f aca="false">ExportRaw!$D56</f>
        <v/>
      </c>
      <c r="F56" s="121" t="str">
        <f aca="false">ExportRaw!$H56</f>
        <v/>
      </c>
      <c r="G56" s="123" t="str">
        <f aca="false">ExportRaw!$I56</f>
        <v/>
      </c>
      <c r="H56" s="121" t="str">
        <f aca="false">ExportRaw!$A56</f>
        <v/>
      </c>
      <c r="I56" s="121" t="str">
        <f aca="false">ExportRaw!$B56</f>
        <v/>
      </c>
    </row>
    <row r="57" customFormat="false" ht="15.75" hidden="false" customHeight="false" outlineLevel="0" collapsed="false">
      <c r="A57" s="121" t="n">
        <f aca="false">ExportRaw!$F57</f>
        <v>0</v>
      </c>
      <c r="B57" s="121" t="n">
        <f aca="false">ExportRaw!$C57</f>
        <v>0</v>
      </c>
      <c r="C57" s="121" t="n">
        <f aca="false">ExportRaw!$G57</f>
        <v>0</v>
      </c>
      <c r="D57" s="121" t="str">
        <f aca="false">ExportRaw!$E57</f>
        <v/>
      </c>
      <c r="E57" s="122" t="str">
        <f aca="false">ExportRaw!$D57</f>
        <v/>
      </c>
      <c r="F57" s="121" t="str">
        <f aca="false">ExportRaw!$H57</f>
        <v/>
      </c>
      <c r="G57" s="123" t="str">
        <f aca="false">ExportRaw!$I57</f>
        <v/>
      </c>
      <c r="H57" s="121" t="str">
        <f aca="false">ExportRaw!$A57</f>
        <v/>
      </c>
      <c r="I57" s="121" t="str">
        <f aca="false">ExportRaw!$B57</f>
        <v/>
      </c>
    </row>
    <row r="58" customFormat="false" ht="15.75" hidden="false" customHeight="false" outlineLevel="0" collapsed="false">
      <c r="A58" s="121" t="n">
        <f aca="false">ExportRaw!$F58</f>
        <v>0</v>
      </c>
      <c r="B58" s="121" t="n">
        <f aca="false">ExportRaw!$C58</f>
        <v>0</v>
      </c>
      <c r="C58" s="121" t="n">
        <f aca="false">ExportRaw!$G58</f>
        <v>0</v>
      </c>
      <c r="D58" s="121" t="str">
        <f aca="false">ExportRaw!$E58</f>
        <v/>
      </c>
      <c r="E58" s="122" t="str">
        <f aca="false">ExportRaw!$D58</f>
        <v/>
      </c>
      <c r="F58" s="121" t="str">
        <f aca="false">ExportRaw!$H58</f>
        <v/>
      </c>
      <c r="G58" s="123" t="str">
        <f aca="false">ExportRaw!$I58</f>
        <v/>
      </c>
      <c r="H58" s="121" t="str">
        <f aca="false">ExportRaw!$A58</f>
        <v/>
      </c>
      <c r="I58" s="121" t="str">
        <f aca="false">ExportRaw!$B58</f>
        <v/>
      </c>
    </row>
    <row r="59" customFormat="false" ht="15.75" hidden="false" customHeight="false" outlineLevel="0" collapsed="false">
      <c r="A59" s="121" t="n">
        <f aca="false">ExportRaw!$F59</f>
        <v>0</v>
      </c>
      <c r="B59" s="121" t="n">
        <f aca="false">ExportRaw!$C59</f>
        <v>0</v>
      </c>
      <c r="C59" s="121" t="n">
        <f aca="false">ExportRaw!$G59</f>
        <v>0</v>
      </c>
      <c r="D59" s="121" t="str">
        <f aca="false">ExportRaw!$E59</f>
        <v/>
      </c>
      <c r="E59" s="122" t="str">
        <f aca="false">ExportRaw!$D59</f>
        <v/>
      </c>
      <c r="F59" s="121" t="str">
        <f aca="false">ExportRaw!$H59</f>
        <v/>
      </c>
      <c r="G59" s="123" t="str">
        <f aca="false">ExportRaw!$I59</f>
        <v/>
      </c>
      <c r="H59" s="121" t="str">
        <f aca="false">ExportRaw!$A59</f>
        <v/>
      </c>
      <c r="I59" s="121" t="str">
        <f aca="false">ExportRaw!$B59</f>
        <v/>
      </c>
    </row>
    <row r="60" customFormat="false" ht="15.75" hidden="false" customHeight="false" outlineLevel="0" collapsed="false">
      <c r="A60" s="121" t="n">
        <f aca="false">ExportRaw!$F60</f>
        <v>0</v>
      </c>
      <c r="B60" s="121" t="n">
        <f aca="false">ExportRaw!$C60</f>
        <v>0</v>
      </c>
      <c r="C60" s="121" t="n">
        <f aca="false">ExportRaw!$G60</f>
        <v>0</v>
      </c>
      <c r="D60" s="121" t="str">
        <f aca="false">ExportRaw!$E60</f>
        <v/>
      </c>
      <c r="E60" s="122" t="str">
        <f aca="false">ExportRaw!$D60</f>
        <v/>
      </c>
      <c r="F60" s="121" t="str">
        <f aca="false">ExportRaw!$H60</f>
        <v/>
      </c>
      <c r="G60" s="123" t="str">
        <f aca="false">ExportRaw!$I60</f>
        <v/>
      </c>
      <c r="H60" s="121" t="str">
        <f aca="false">ExportRaw!$A60</f>
        <v/>
      </c>
      <c r="I60" s="121" t="str">
        <f aca="false">ExportRaw!$B60</f>
        <v/>
      </c>
    </row>
    <row r="61" customFormat="false" ht="15.75" hidden="false" customHeight="false" outlineLevel="0" collapsed="false">
      <c r="A61" s="121" t="n">
        <f aca="false">ExportRaw!$F61</f>
        <v>0</v>
      </c>
      <c r="B61" s="121" t="n">
        <f aca="false">ExportRaw!$C61</f>
        <v>0</v>
      </c>
      <c r="C61" s="121" t="n">
        <f aca="false">ExportRaw!$G61</f>
        <v>0</v>
      </c>
      <c r="D61" s="121" t="str">
        <f aca="false">ExportRaw!$E61</f>
        <v/>
      </c>
      <c r="E61" s="122" t="str">
        <f aca="false">ExportRaw!$D61</f>
        <v/>
      </c>
      <c r="F61" s="121" t="str">
        <f aca="false">ExportRaw!$H61</f>
        <v/>
      </c>
      <c r="G61" s="123" t="str">
        <f aca="false">ExportRaw!$I61</f>
        <v/>
      </c>
      <c r="H61" s="121" t="str">
        <f aca="false">ExportRaw!$A61</f>
        <v/>
      </c>
      <c r="I61" s="121" t="str">
        <f aca="false">ExportRaw!$B61</f>
        <v/>
      </c>
    </row>
    <row r="62" customFormat="false" ht="15.75" hidden="false" customHeight="false" outlineLevel="0" collapsed="false">
      <c r="A62" s="121" t="n">
        <f aca="false">ExportRaw!$F62</f>
        <v>0</v>
      </c>
      <c r="B62" s="121" t="n">
        <f aca="false">ExportRaw!$C62</f>
        <v>0</v>
      </c>
      <c r="C62" s="121" t="n">
        <f aca="false">ExportRaw!$G62</f>
        <v>0</v>
      </c>
      <c r="D62" s="121" t="str">
        <f aca="false">ExportRaw!$E62</f>
        <v/>
      </c>
      <c r="E62" s="122" t="str">
        <f aca="false">ExportRaw!$D62</f>
        <v/>
      </c>
      <c r="F62" s="121" t="str">
        <f aca="false">ExportRaw!$H62</f>
        <v/>
      </c>
      <c r="G62" s="123" t="str">
        <f aca="false">ExportRaw!$I62</f>
        <v/>
      </c>
      <c r="H62" s="121" t="str">
        <f aca="false">ExportRaw!$A62</f>
        <v/>
      </c>
      <c r="I62" s="121" t="str">
        <f aca="false">ExportRaw!$B62</f>
        <v/>
      </c>
    </row>
    <row r="63" customFormat="false" ht="15.75" hidden="false" customHeight="false" outlineLevel="0" collapsed="false">
      <c r="A63" s="121" t="n">
        <f aca="false">ExportRaw!$F63</f>
        <v>0</v>
      </c>
      <c r="B63" s="121" t="n">
        <f aca="false">ExportRaw!$C63</f>
        <v>0</v>
      </c>
      <c r="C63" s="121" t="n">
        <f aca="false">ExportRaw!$G63</f>
        <v>0</v>
      </c>
      <c r="D63" s="121" t="str">
        <f aca="false">ExportRaw!$E63</f>
        <v/>
      </c>
      <c r="E63" s="122" t="str">
        <f aca="false">ExportRaw!$D63</f>
        <v/>
      </c>
      <c r="F63" s="121" t="str">
        <f aca="false">ExportRaw!$H63</f>
        <v/>
      </c>
      <c r="G63" s="123" t="str">
        <f aca="false">ExportRaw!$I63</f>
        <v/>
      </c>
      <c r="H63" s="121" t="str">
        <f aca="false">ExportRaw!$A63</f>
        <v/>
      </c>
      <c r="I63" s="121" t="str">
        <f aca="false">ExportRaw!$B63</f>
        <v/>
      </c>
    </row>
    <row r="64" customFormat="false" ht="15.75" hidden="false" customHeight="false" outlineLevel="0" collapsed="false">
      <c r="A64" s="121" t="n">
        <f aca="false">ExportRaw!$F64</f>
        <v>0</v>
      </c>
      <c r="B64" s="121" t="n">
        <f aca="false">ExportRaw!$C64</f>
        <v>0</v>
      </c>
      <c r="C64" s="121" t="n">
        <f aca="false">ExportRaw!$G64</f>
        <v>0</v>
      </c>
      <c r="D64" s="121" t="str">
        <f aca="false">ExportRaw!$E64</f>
        <v/>
      </c>
      <c r="E64" s="122" t="str">
        <f aca="false">ExportRaw!$D64</f>
        <v/>
      </c>
      <c r="F64" s="121" t="str">
        <f aca="false">ExportRaw!$H64</f>
        <v/>
      </c>
      <c r="G64" s="123" t="str">
        <f aca="false">ExportRaw!$I64</f>
        <v/>
      </c>
      <c r="H64" s="121" t="str">
        <f aca="false">ExportRaw!$A64</f>
        <v/>
      </c>
      <c r="I64" s="121" t="str">
        <f aca="false">ExportRaw!$B64</f>
        <v/>
      </c>
    </row>
    <row r="65" customFormat="false" ht="15.75" hidden="false" customHeight="false" outlineLevel="0" collapsed="false">
      <c r="A65" s="121" t="n">
        <f aca="false">ExportRaw!$F65</f>
        <v>0</v>
      </c>
      <c r="B65" s="121" t="n">
        <f aca="false">ExportRaw!$C65</f>
        <v>0</v>
      </c>
      <c r="C65" s="121" t="n">
        <f aca="false">ExportRaw!$G65</f>
        <v>0</v>
      </c>
      <c r="D65" s="121" t="str">
        <f aca="false">ExportRaw!$E65</f>
        <v/>
      </c>
      <c r="E65" s="122" t="str">
        <f aca="false">ExportRaw!$D65</f>
        <v/>
      </c>
      <c r="F65" s="121" t="str">
        <f aca="false">ExportRaw!$H65</f>
        <v/>
      </c>
      <c r="G65" s="123" t="str">
        <f aca="false">ExportRaw!$I65</f>
        <v/>
      </c>
      <c r="H65" s="121" t="str">
        <f aca="false">ExportRaw!$A65</f>
        <v/>
      </c>
      <c r="I65" s="121" t="str">
        <f aca="false">ExportRaw!$B65</f>
        <v/>
      </c>
    </row>
    <row r="66" customFormat="false" ht="15.75" hidden="false" customHeight="false" outlineLevel="0" collapsed="false">
      <c r="A66" s="121" t="n">
        <f aca="false">ExportRaw!$F66</f>
        <v>0</v>
      </c>
      <c r="B66" s="121" t="n">
        <f aca="false">ExportRaw!$C66</f>
        <v>0</v>
      </c>
      <c r="C66" s="121" t="n">
        <f aca="false">ExportRaw!$G66</f>
        <v>0</v>
      </c>
      <c r="D66" s="121" t="str">
        <f aca="false">ExportRaw!$E66</f>
        <v/>
      </c>
      <c r="E66" s="122" t="str">
        <f aca="false">ExportRaw!$D66</f>
        <v/>
      </c>
      <c r="F66" s="121" t="str">
        <f aca="false">ExportRaw!$H66</f>
        <v/>
      </c>
      <c r="G66" s="123" t="str">
        <f aca="false">ExportRaw!$I66</f>
        <v/>
      </c>
      <c r="H66" s="121" t="str">
        <f aca="false">ExportRaw!$A66</f>
        <v/>
      </c>
      <c r="I66" s="121" t="str">
        <f aca="false">ExportRaw!$B66</f>
        <v/>
      </c>
    </row>
    <row r="67" customFormat="false" ht="15.75" hidden="false" customHeight="false" outlineLevel="0" collapsed="false">
      <c r="A67" s="121" t="n">
        <f aca="false">ExportRaw!$F67</f>
        <v>0</v>
      </c>
      <c r="B67" s="121" t="n">
        <f aca="false">ExportRaw!$C67</f>
        <v>0</v>
      </c>
      <c r="C67" s="121" t="n">
        <f aca="false">ExportRaw!$G67</f>
        <v>0</v>
      </c>
      <c r="D67" s="121" t="str">
        <f aca="false">ExportRaw!$E67</f>
        <v/>
      </c>
      <c r="E67" s="122" t="str">
        <f aca="false">ExportRaw!$D67</f>
        <v/>
      </c>
      <c r="F67" s="121" t="str">
        <f aca="false">ExportRaw!$H67</f>
        <v/>
      </c>
      <c r="G67" s="123" t="str">
        <f aca="false">ExportRaw!$I67</f>
        <v/>
      </c>
      <c r="H67" s="121" t="str">
        <f aca="false">ExportRaw!$A67</f>
        <v/>
      </c>
      <c r="I67" s="121" t="str">
        <f aca="false">ExportRaw!$B67</f>
        <v/>
      </c>
    </row>
    <row r="68" customFormat="false" ht="15.75" hidden="false" customHeight="false" outlineLevel="0" collapsed="false">
      <c r="A68" s="121" t="n">
        <f aca="false">ExportRaw!$F68</f>
        <v>0</v>
      </c>
      <c r="B68" s="121" t="n">
        <f aca="false">ExportRaw!$C68</f>
        <v>0</v>
      </c>
      <c r="C68" s="121" t="n">
        <f aca="false">ExportRaw!$G68</f>
        <v>0</v>
      </c>
      <c r="D68" s="121" t="str">
        <f aca="false">ExportRaw!$E68</f>
        <v/>
      </c>
      <c r="E68" s="122" t="str">
        <f aca="false">ExportRaw!$D68</f>
        <v/>
      </c>
      <c r="F68" s="121" t="str">
        <f aca="false">ExportRaw!$H68</f>
        <v/>
      </c>
      <c r="G68" s="123" t="str">
        <f aca="false">ExportRaw!$I68</f>
        <v/>
      </c>
      <c r="H68" s="121" t="str">
        <f aca="false">ExportRaw!$A68</f>
        <v/>
      </c>
      <c r="I68" s="121" t="str">
        <f aca="false">ExportRaw!$B68</f>
        <v/>
      </c>
    </row>
    <row r="69" customFormat="false" ht="15.75" hidden="false" customHeight="false" outlineLevel="0" collapsed="false">
      <c r="A69" s="121" t="n">
        <f aca="false">ExportRaw!$F69</f>
        <v>0</v>
      </c>
      <c r="B69" s="121" t="n">
        <f aca="false">ExportRaw!$C69</f>
        <v>0</v>
      </c>
      <c r="C69" s="121" t="n">
        <f aca="false">ExportRaw!$G69</f>
        <v>0</v>
      </c>
      <c r="D69" s="121" t="str">
        <f aca="false">ExportRaw!$E69</f>
        <v/>
      </c>
      <c r="E69" s="122" t="str">
        <f aca="false">ExportRaw!$D69</f>
        <v/>
      </c>
      <c r="F69" s="121" t="str">
        <f aca="false">ExportRaw!$H69</f>
        <v/>
      </c>
      <c r="G69" s="123" t="str">
        <f aca="false">ExportRaw!$I69</f>
        <v/>
      </c>
      <c r="H69" s="121" t="str">
        <f aca="false">ExportRaw!$A69</f>
        <v/>
      </c>
      <c r="I69" s="121" t="str">
        <f aca="false">ExportRaw!$B69</f>
        <v/>
      </c>
    </row>
    <row r="70" customFormat="false" ht="15.75" hidden="false" customHeight="false" outlineLevel="0" collapsed="false">
      <c r="A70" s="121" t="n">
        <f aca="false">ExportRaw!$F70</f>
        <v>0</v>
      </c>
      <c r="B70" s="121" t="n">
        <f aca="false">ExportRaw!$C70</f>
        <v>0</v>
      </c>
      <c r="C70" s="121" t="n">
        <f aca="false">ExportRaw!$G70</f>
        <v>0</v>
      </c>
      <c r="D70" s="121" t="str">
        <f aca="false">ExportRaw!$E70</f>
        <v/>
      </c>
      <c r="E70" s="122" t="str">
        <f aca="false">ExportRaw!$D70</f>
        <v/>
      </c>
      <c r="F70" s="121" t="str">
        <f aca="false">ExportRaw!$H70</f>
        <v/>
      </c>
      <c r="G70" s="123" t="str">
        <f aca="false">ExportRaw!$I70</f>
        <v/>
      </c>
      <c r="H70" s="121" t="str">
        <f aca="false">ExportRaw!$A70</f>
        <v/>
      </c>
      <c r="I70" s="121" t="str">
        <f aca="false">ExportRaw!$B70</f>
        <v/>
      </c>
    </row>
    <row r="71" customFormat="false" ht="15.75" hidden="false" customHeight="false" outlineLevel="0" collapsed="false">
      <c r="A71" s="121" t="n">
        <f aca="false">ExportRaw!$F71</f>
        <v>0</v>
      </c>
      <c r="B71" s="121" t="n">
        <f aca="false">ExportRaw!$C71</f>
        <v>0</v>
      </c>
      <c r="C71" s="121" t="n">
        <f aca="false">ExportRaw!$G71</f>
        <v>0</v>
      </c>
      <c r="D71" s="121" t="str">
        <f aca="false">ExportRaw!$E71</f>
        <v/>
      </c>
      <c r="E71" s="122" t="str">
        <f aca="false">ExportRaw!$D71</f>
        <v/>
      </c>
      <c r="F71" s="121" t="str">
        <f aca="false">ExportRaw!$H71</f>
        <v/>
      </c>
      <c r="G71" s="123" t="str">
        <f aca="false">ExportRaw!$I71</f>
        <v/>
      </c>
      <c r="H71" s="121" t="str">
        <f aca="false">ExportRaw!$A71</f>
        <v/>
      </c>
      <c r="I71" s="121" t="str">
        <f aca="false">ExportRaw!$B71</f>
        <v/>
      </c>
    </row>
    <row r="72" customFormat="false" ht="15.75" hidden="false" customHeight="false" outlineLevel="0" collapsed="false">
      <c r="A72" s="121" t="n">
        <f aca="false">ExportRaw!$F72</f>
        <v>0</v>
      </c>
      <c r="B72" s="121" t="n">
        <f aca="false">ExportRaw!$C72</f>
        <v>0</v>
      </c>
      <c r="C72" s="121" t="n">
        <f aca="false">ExportRaw!$G72</f>
        <v>0</v>
      </c>
      <c r="D72" s="121" t="str">
        <f aca="false">ExportRaw!$E72</f>
        <v/>
      </c>
      <c r="E72" s="122" t="str">
        <f aca="false">ExportRaw!$D72</f>
        <v/>
      </c>
      <c r="F72" s="121" t="str">
        <f aca="false">ExportRaw!$H72</f>
        <v/>
      </c>
      <c r="G72" s="123" t="str">
        <f aca="false">ExportRaw!$I72</f>
        <v/>
      </c>
      <c r="H72" s="121" t="str">
        <f aca="false">ExportRaw!$A72</f>
        <v/>
      </c>
      <c r="I72" s="121" t="str">
        <f aca="false">ExportRaw!$B72</f>
        <v/>
      </c>
    </row>
    <row r="73" customFormat="false" ht="15.75" hidden="false" customHeight="false" outlineLevel="0" collapsed="false">
      <c r="A73" s="121" t="n">
        <f aca="false">ExportRaw!$F73</f>
        <v>0</v>
      </c>
      <c r="B73" s="121" t="n">
        <f aca="false">ExportRaw!$C73</f>
        <v>0</v>
      </c>
      <c r="C73" s="121" t="n">
        <f aca="false">ExportRaw!$G73</f>
        <v>0</v>
      </c>
      <c r="D73" s="121" t="str">
        <f aca="false">ExportRaw!$E73</f>
        <v/>
      </c>
      <c r="E73" s="122" t="str">
        <f aca="false">ExportRaw!$D73</f>
        <v/>
      </c>
      <c r="F73" s="121" t="str">
        <f aca="false">ExportRaw!$H73</f>
        <v/>
      </c>
      <c r="G73" s="123" t="str">
        <f aca="false">ExportRaw!$I73</f>
        <v/>
      </c>
      <c r="H73" s="121" t="str">
        <f aca="false">ExportRaw!$A73</f>
        <v/>
      </c>
      <c r="I73" s="121" t="str">
        <f aca="false">ExportRaw!$B73</f>
        <v/>
      </c>
    </row>
    <row r="74" customFormat="false" ht="15.75" hidden="false" customHeight="false" outlineLevel="0" collapsed="false">
      <c r="A74" s="121" t="n">
        <f aca="false">ExportRaw!$F74</f>
        <v>0</v>
      </c>
      <c r="B74" s="121" t="n">
        <f aca="false">ExportRaw!$C74</f>
        <v>0</v>
      </c>
      <c r="C74" s="121" t="n">
        <f aca="false">ExportRaw!$G74</f>
        <v>0</v>
      </c>
      <c r="D74" s="121" t="str">
        <f aca="false">ExportRaw!$E74</f>
        <v/>
      </c>
      <c r="E74" s="122" t="str">
        <f aca="false">ExportRaw!$D74</f>
        <v/>
      </c>
      <c r="F74" s="121" t="str">
        <f aca="false">ExportRaw!$H74</f>
        <v/>
      </c>
      <c r="G74" s="123" t="str">
        <f aca="false">ExportRaw!$I74</f>
        <v/>
      </c>
      <c r="H74" s="121" t="str">
        <f aca="false">ExportRaw!$A74</f>
        <v/>
      </c>
      <c r="I74" s="121" t="str">
        <f aca="false">ExportRaw!$B74</f>
        <v/>
      </c>
    </row>
    <row r="75" customFormat="false" ht="15.75" hidden="false" customHeight="false" outlineLevel="0" collapsed="false">
      <c r="A75" s="121" t="n">
        <f aca="false">ExportRaw!$F75</f>
        <v>0</v>
      </c>
      <c r="B75" s="121" t="n">
        <f aca="false">ExportRaw!$C75</f>
        <v>0</v>
      </c>
      <c r="C75" s="121" t="n">
        <f aca="false">ExportRaw!$G75</f>
        <v>0</v>
      </c>
      <c r="D75" s="121" t="str">
        <f aca="false">ExportRaw!$E75</f>
        <v/>
      </c>
      <c r="E75" s="122" t="str">
        <f aca="false">ExportRaw!$D75</f>
        <v/>
      </c>
      <c r="F75" s="121" t="str">
        <f aca="false">ExportRaw!$H75</f>
        <v/>
      </c>
      <c r="G75" s="123" t="str">
        <f aca="false">ExportRaw!$I75</f>
        <v/>
      </c>
      <c r="H75" s="121" t="str">
        <f aca="false">ExportRaw!$A75</f>
        <v/>
      </c>
      <c r="I75" s="121" t="str">
        <f aca="false">ExportRaw!$B75</f>
        <v/>
      </c>
    </row>
    <row r="76" customFormat="false" ht="15.75" hidden="false" customHeight="false" outlineLevel="0" collapsed="false">
      <c r="A76" s="121" t="n">
        <f aca="false">ExportRaw!$F76</f>
        <v>0</v>
      </c>
      <c r="B76" s="121" t="n">
        <f aca="false">ExportRaw!$C76</f>
        <v>0</v>
      </c>
      <c r="C76" s="121" t="n">
        <f aca="false">ExportRaw!$G76</f>
        <v>0</v>
      </c>
      <c r="D76" s="121" t="str">
        <f aca="false">ExportRaw!$E76</f>
        <v/>
      </c>
      <c r="E76" s="122" t="str">
        <f aca="false">ExportRaw!$D76</f>
        <v/>
      </c>
      <c r="F76" s="121" t="str">
        <f aca="false">ExportRaw!$H76</f>
        <v/>
      </c>
      <c r="G76" s="123" t="str">
        <f aca="false">ExportRaw!$I76</f>
        <v/>
      </c>
      <c r="H76" s="121" t="str">
        <f aca="false">ExportRaw!$A76</f>
        <v/>
      </c>
      <c r="I76" s="121" t="str">
        <f aca="false">ExportRaw!$B76</f>
        <v/>
      </c>
    </row>
    <row r="77" customFormat="false" ht="15.75" hidden="false" customHeight="false" outlineLevel="0" collapsed="false">
      <c r="A77" s="121" t="n">
        <f aca="false">ExportRaw!$F77</f>
        <v>0</v>
      </c>
      <c r="B77" s="121" t="n">
        <f aca="false">ExportRaw!$C77</f>
        <v>0</v>
      </c>
      <c r="C77" s="121" t="n">
        <f aca="false">ExportRaw!$G77</f>
        <v>0</v>
      </c>
      <c r="D77" s="121" t="str">
        <f aca="false">ExportRaw!$E77</f>
        <v/>
      </c>
      <c r="E77" s="122" t="str">
        <f aca="false">ExportRaw!$D77</f>
        <v/>
      </c>
      <c r="F77" s="121" t="str">
        <f aca="false">ExportRaw!$H77</f>
        <v/>
      </c>
      <c r="G77" s="123" t="str">
        <f aca="false">ExportRaw!$I77</f>
        <v/>
      </c>
      <c r="H77" s="121" t="str">
        <f aca="false">ExportRaw!$A77</f>
        <v/>
      </c>
      <c r="I77" s="121" t="str">
        <f aca="false">ExportRaw!$B77</f>
        <v/>
      </c>
    </row>
    <row r="78" customFormat="false" ht="15.75" hidden="false" customHeight="false" outlineLevel="0" collapsed="false">
      <c r="A78" s="121" t="n">
        <f aca="false">ExportRaw!$F78</f>
        <v>0</v>
      </c>
      <c r="B78" s="121" t="n">
        <f aca="false">ExportRaw!$C78</f>
        <v>0</v>
      </c>
      <c r="C78" s="121" t="n">
        <f aca="false">ExportRaw!$G78</f>
        <v>0</v>
      </c>
      <c r="D78" s="121" t="str">
        <f aca="false">ExportRaw!$E78</f>
        <v/>
      </c>
      <c r="E78" s="122" t="str">
        <f aca="false">ExportRaw!$D78</f>
        <v/>
      </c>
      <c r="F78" s="121" t="str">
        <f aca="false">ExportRaw!$H78</f>
        <v/>
      </c>
      <c r="G78" s="123" t="str">
        <f aca="false">ExportRaw!$I78</f>
        <v/>
      </c>
      <c r="H78" s="121" t="str">
        <f aca="false">ExportRaw!$A78</f>
        <v/>
      </c>
      <c r="I78" s="121" t="str">
        <f aca="false">ExportRaw!$B78</f>
        <v/>
      </c>
    </row>
    <row r="79" customFormat="false" ht="15.75" hidden="false" customHeight="false" outlineLevel="0" collapsed="false">
      <c r="A79" s="121" t="n">
        <f aca="false">ExportRaw!$F79</f>
        <v>0</v>
      </c>
      <c r="B79" s="121" t="n">
        <f aca="false">ExportRaw!$C79</f>
        <v>0</v>
      </c>
      <c r="C79" s="121" t="n">
        <f aca="false">ExportRaw!$G79</f>
        <v>0</v>
      </c>
      <c r="D79" s="121" t="str">
        <f aca="false">ExportRaw!$E79</f>
        <v/>
      </c>
      <c r="E79" s="122" t="str">
        <f aca="false">ExportRaw!$D79</f>
        <v/>
      </c>
      <c r="F79" s="121" t="str">
        <f aca="false">ExportRaw!$H79</f>
        <v/>
      </c>
      <c r="G79" s="123" t="str">
        <f aca="false">ExportRaw!$I79</f>
        <v/>
      </c>
      <c r="H79" s="121" t="str">
        <f aca="false">ExportRaw!$A79</f>
        <v/>
      </c>
      <c r="I79" s="121" t="str">
        <f aca="false">ExportRaw!$B79</f>
        <v/>
      </c>
    </row>
    <row r="80" customFormat="false" ht="15.75" hidden="false" customHeight="false" outlineLevel="0" collapsed="false">
      <c r="A80" s="121" t="n">
        <f aca="false">ExportRaw!$F80</f>
        <v>0</v>
      </c>
      <c r="B80" s="121" t="n">
        <f aca="false">ExportRaw!$C80</f>
        <v>0</v>
      </c>
      <c r="C80" s="121" t="n">
        <f aca="false">ExportRaw!$G80</f>
        <v>0</v>
      </c>
      <c r="D80" s="121" t="str">
        <f aca="false">ExportRaw!$E80</f>
        <v/>
      </c>
      <c r="E80" s="122" t="str">
        <f aca="false">ExportRaw!$D80</f>
        <v/>
      </c>
      <c r="F80" s="121" t="str">
        <f aca="false">ExportRaw!$H80</f>
        <v/>
      </c>
      <c r="G80" s="123" t="str">
        <f aca="false">ExportRaw!$I80</f>
        <v/>
      </c>
      <c r="H80" s="121" t="str">
        <f aca="false">ExportRaw!$A80</f>
        <v/>
      </c>
      <c r="I80" s="121" t="str">
        <f aca="false">ExportRaw!$B80</f>
        <v/>
      </c>
    </row>
    <row r="81" customFormat="false" ht="15.75" hidden="false" customHeight="false" outlineLevel="0" collapsed="false">
      <c r="A81" s="121" t="n">
        <f aca="false">ExportRaw!$F81</f>
        <v>0</v>
      </c>
      <c r="B81" s="121" t="n">
        <f aca="false">ExportRaw!$C81</f>
        <v>0</v>
      </c>
      <c r="C81" s="121" t="n">
        <f aca="false">ExportRaw!$G81</f>
        <v>0</v>
      </c>
      <c r="D81" s="121" t="str">
        <f aca="false">ExportRaw!$E81</f>
        <v/>
      </c>
      <c r="E81" s="122" t="str">
        <f aca="false">ExportRaw!$D81</f>
        <v/>
      </c>
      <c r="F81" s="121" t="str">
        <f aca="false">ExportRaw!$H81</f>
        <v/>
      </c>
      <c r="G81" s="123" t="str">
        <f aca="false">ExportRaw!$I81</f>
        <v/>
      </c>
      <c r="H81" s="121" t="str">
        <f aca="false">ExportRaw!$A81</f>
        <v/>
      </c>
      <c r="I81" s="121" t="str">
        <f aca="false">ExportRaw!$B81</f>
        <v/>
      </c>
    </row>
    <row r="82" customFormat="false" ht="15.75" hidden="false" customHeight="false" outlineLevel="0" collapsed="false">
      <c r="A82" s="121" t="n">
        <f aca="false">ExportRaw!$F82</f>
        <v>0</v>
      </c>
      <c r="B82" s="121" t="n">
        <f aca="false">ExportRaw!$C82</f>
        <v>0</v>
      </c>
      <c r="C82" s="121" t="n">
        <f aca="false">ExportRaw!$G82</f>
        <v>0</v>
      </c>
      <c r="D82" s="121" t="str">
        <f aca="false">ExportRaw!$E82</f>
        <v/>
      </c>
      <c r="E82" s="122" t="str">
        <f aca="false">ExportRaw!$D82</f>
        <v/>
      </c>
      <c r="F82" s="121" t="str">
        <f aca="false">ExportRaw!$H82</f>
        <v/>
      </c>
      <c r="G82" s="123" t="str">
        <f aca="false">ExportRaw!$I82</f>
        <v/>
      </c>
      <c r="H82" s="121" t="str">
        <f aca="false">ExportRaw!$A82</f>
        <v/>
      </c>
      <c r="I82" s="121" t="str">
        <f aca="false">ExportRaw!$B82</f>
        <v/>
      </c>
    </row>
    <row r="83" customFormat="false" ht="15.75" hidden="false" customHeight="false" outlineLevel="0" collapsed="false">
      <c r="A83" s="121" t="n">
        <f aca="false">ExportRaw!$F83</f>
        <v>0</v>
      </c>
      <c r="B83" s="121" t="n">
        <f aca="false">ExportRaw!$C83</f>
        <v>0</v>
      </c>
      <c r="C83" s="121" t="n">
        <f aca="false">ExportRaw!$G83</f>
        <v>0</v>
      </c>
      <c r="D83" s="121" t="str">
        <f aca="false">ExportRaw!$E83</f>
        <v/>
      </c>
      <c r="E83" s="122" t="str">
        <f aca="false">ExportRaw!$D83</f>
        <v/>
      </c>
      <c r="F83" s="121" t="str">
        <f aca="false">ExportRaw!$H83</f>
        <v/>
      </c>
      <c r="G83" s="123" t="str">
        <f aca="false">ExportRaw!$I83</f>
        <v/>
      </c>
      <c r="H83" s="121" t="str">
        <f aca="false">ExportRaw!$A83</f>
        <v/>
      </c>
      <c r="I83" s="121" t="str">
        <f aca="false">ExportRaw!$B83</f>
        <v/>
      </c>
    </row>
    <row r="84" customFormat="false" ht="15.75" hidden="false" customHeight="false" outlineLevel="0" collapsed="false">
      <c r="A84" s="121" t="n">
        <f aca="false">ExportRaw!$F84</f>
        <v>0</v>
      </c>
      <c r="B84" s="121" t="n">
        <f aca="false">ExportRaw!$C84</f>
        <v>0</v>
      </c>
      <c r="C84" s="121" t="n">
        <f aca="false">ExportRaw!$G84</f>
        <v>0</v>
      </c>
      <c r="D84" s="121" t="str">
        <f aca="false">ExportRaw!$E84</f>
        <v/>
      </c>
      <c r="E84" s="122" t="str">
        <f aca="false">ExportRaw!$D84</f>
        <v/>
      </c>
      <c r="F84" s="121" t="str">
        <f aca="false">ExportRaw!$H84</f>
        <v/>
      </c>
      <c r="G84" s="123" t="str">
        <f aca="false">ExportRaw!$I84</f>
        <v/>
      </c>
      <c r="H84" s="121" t="str">
        <f aca="false">ExportRaw!$A84</f>
        <v/>
      </c>
      <c r="I84" s="121" t="str">
        <f aca="false">ExportRaw!$B84</f>
        <v/>
      </c>
    </row>
    <row r="85" customFormat="false" ht="15.75" hidden="false" customHeight="false" outlineLevel="0" collapsed="false">
      <c r="A85" s="121" t="n">
        <f aca="false">ExportRaw!$F85</f>
        <v>0</v>
      </c>
      <c r="B85" s="121" t="n">
        <f aca="false">ExportRaw!$C85</f>
        <v>0</v>
      </c>
      <c r="C85" s="121" t="n">
        <f aca="false">ExportRaw!$G85</f>
        <v>0</v>
      </c>
      <c r="D85" s="121" t="str">
        <f aca="false">ExportRaw!$E85</f>
        <v/>
      </c>
      <c r="E85" s="122" t="str">
        <f aca="false">ExportRaw!$D85</f>
        <v/>
      </c>
      <c r="F85" s="121" t="str">
        <f aca="false">ExportRaw!$H85</f>
        <v/>
      </c>
      <c r="G85" s="123" t="str">
        <f aca="false">ExportRaw!$I85</f>
        <v/>
      </c>
      <c r="H85" s="121" t="str">
        <f aca="false">ExportRaw!$A85</f>
        <v/>
      </c>
      <c r="I85" s="121" t="str">
        <f aca="false">ExportRaw!$B85</f>
        <v/>
      </c>
    </row>
    <row r="86" customFormat="false" ht="15.75" hidden="false" customHeight="false" outlineLevel="0" collapsed="false">
      <c r="A86" s="121" t="n">
        <f aca="false">ExportRaw!$F86</f>
        <v>0</v>
      </c>
      <c r="B86" s="121" t="n">
        <f aca="false">ExportRaw!$C86</f>
        <v>0</v>
      </c>
      <c r="C86" s="121" t="n">
        <f aca="false">ExportRaw!$G86</f>
        <v>0</v>
      </c>
      <c r="D86" s="121" t="str">
        <f aca="false">ExportRaw!$E86</f>
        <v/>
      </c>
      <c r="E86" s="122" t="str">
        <f aca="false">ExportRaw!$D86</f>
        <v/>
      </c>
      <c r="F86" s="121" t="str">
        <f aca="false">ExportRaw!$H86</f>
        <v/>
      </c>
      <c r="G86" s="123" t="str">
        <f aca="false">ExportRaw!$I86</f>
        <v/>
      </c>
      <c r="H86" s="121" t="str">
        <f aca="false">ExportRaw!$A86</f>
        <v/>
      </c>
      <c r="I86" s="121" t="str">
        <f aca="false">ExportRaw!$B86</f>
        <v/>
      </c>
    </row>
    <row r="87" customFormat="false" ht="15.75" hidden="false" customHeight="false" outlineLevel="0" collapsed="false">
      <c r="A87" s="121" t="n">
        <f aca="false">ExportRaw!$F87</f>
        <v>0</v>
      </c>
      <c r="B87" s="121" t="n">
        <f aca="false">ExportRaw!$C87</f>
        <v>0</v>
      </c>
      <c r="C87" s="121" t="n">
        <f aca="false">ExportRaw!$G87</f>
        <v>0</v>
      </c>
      <c r="D87" s="121" t="str">
        <f aca="false">ExportRaw!$E87</f>
        <v/>
      </c>
      <c r="E87" s="122" t="str">
        <f aca="false">ExportRaw!$D87</f>
        <v/>
      </c>
      <c r="F87" s="121" t="str">
        <f aca="false">ExportRaw!$H87</f>
        <v/>
      </c>
      <c r="G87" s="123" t="str">
        <f aca="false">ExportRaw!$I87</f>
        <v/>
      </c>
      <c r="H87" s="121" t="str">
        <f aca="false">ExportRaw!$A87</f>
        <v/>
      </c>
      <c r="I87" s="121" t="str">
        <f aca="false">ExportRaw!$B87</f>
        <v/>
      </c>
    </row>
    <row r="88" customFormat="false" ht="15.75" hidden="false" customHeight="false" outlineLevel="0" collapsed="false">
      <c r="A88" s="121" t="n">
        <f aca="false">ExportRaw!$F88</f>
        <v>0</v>
      </c>
      <c r="B88" s="121" t="n">
        <f aca="false">ExportRaw!$C88</f>
        <v>0</v>
      </c>
      <c r="C88" s="121" t="n">
        <f aca="false">ExportRaw!$G88</f>
        <v>0</v>
      </c>
      <c r="D88" s="121" t="str">
        <f aca="false">ExportRaw!$E88</f>
        <v/>
      </c>
      <c r="E88" s="122" t="str">
        <f aca="false">ExportRaw!$D88</f>
        <v/>
      </c>
      <c r="F88" s="121" t="str">
        <f aca="false">ExportRaw!$H88</f>
        <v/>
      </c>
      <c r="G88" s="123" t="str">
        <f aca="false">ExportRaw!$I88</f>
        <v/>
      </c>
      <c r="H88" s="121" t="str">
        <f aca="false">ExportRaw!$A88</f>
        <v/>
      </c>
      <c r="I88" s="121" t="str">
        <f aca="false">ExportRaw!$B88</f>
        <v/>
      </c>
    </row>
    <row r="89" customFormat="false" ht="15.75" hidden="false" customHeight="false" outlineLevel="0" collapsed="false">
      <c r="A89" s="121" t="n">
        <f aca="false">ExportRaw!$F89</f>
        <v>0</v>
      </c>
      <c r="B89" s="121" t="n">
        <f aca="false">ExportRaw!$C89</f>
        <v>0</v>
      </c>
      <c r="C89" s="121" t="n">
        <f aca="false">ExportRaw!$G89</f>
        <v>0</v>
      </c>
      <c r="D89" s="121" t="str">
        <f aca="false">ExportRaw!$E89</f>
        <v/>
      </c>
      <c r="E89" s="122" t="str">
        <f aca="false">ExportRaw!$D89</f>
        <v/>
      </c>
      <c r="F89" s="121" t="str">
        <f aca="false">ExportRaw!$H89</f>
        <v/>
      </c>
      <c r="G89" s="123" t="str">
        <f aca="false">ExportRaw!$I89</f>
        <v/>
      </c>
      <c r="H89" s="121" t="str">
        <f aca="false">ExportRaw!$A89</f>
        <v/>
      </c>
      <c r="I89" s="121" t="str">
        <f aca="false">ExportRaw!$B89</f>
        <v/>
      </c>
    </row>
    <row r="90" customFormat="false" ht="15.75" hidden="false" customHeight="false" outlineLevel="0" collapsed="false">
      <c r="A90" s="121" t="n">
        <f aca="false">ExportRaw!$F90</f>
        <v>0</v>
      </c>
      <c r="B90" s="121" t="n">
        <f aca="false">ExportRaw!$C90</f>
        <v>0</v>
      </c>
      <c r="C90" s="121" t="n">
        <f aca="false">ExportRaw!$G90</f>
        <v>0</v>
      </c>
      <c r="D90" s="121" t="str">
        <f aca="false">ExportRaw!$E90</f>
        <v/>
      </c>
      <c r="E90" s="122" t="str">
        <f aca="false">ExportRaw!$D90</f>
        <v/>
      </c>
      <c r="F90" s="121" t="str">
        <f aca="false">ExportRaw!$H90</f>
        <v/>
      </c>
      <c r="G90" s="123" t="str">
        <f aca="false">ExportRaw!$I90</f>
        <v/>
      </c>
      <c r="H90" s="121" t="str">
        <f aca="false">ExportRaw!$A90</f>
        <v/>
      </c>
      <c r="I90" s="121" t="str">
        <f aca="false">ExportRaw!$B90</f>
        <v/>
      </c>
    </row>
    <row r="91" customFormat="false" ht="15.75" hidden="false" customHeight="false" outlineLevel="0" collapsed="false">
      <c r="A91" s="121" t="n">
        <f aca="false">ExportRaw!$F91</f>
        <v>0</v>
      </c>
      <c r="B91" s="121" t="n">
        <f aca="false">ExportRaw!$C91</f>
        <v>0</v>
      </c>
      <c r="C91" s="121" t="n">
        <f aca="false">ExportRaw!$G91</f>
        <v>0</v>
      </c>
      <c r="D91" s="121" t="str">
        <f aca="false">ExportRaw!$E91</f>
        <v/>
      </c>
      <c r="E91" s="122" t="str">
        <f aca="false">ExportRaw!$D91</f>
        <v/>
      </c>
      <c r="F91" s="121" t="str">
        <f aca="false">ExportRaw!$H91</f>
        <v/>
      </c>
      <c r="G91" s="123" t="str">
        <f aca="false">ExportRaw!$I91</f>
        <v/>
      </c>
      <c r="H91" s="121" t="str">
        <f aca="false">ExportRaw!$A91</f>
        <v/>
      </c>
      <c r="I91" s="121" t="str">
        <f aca="false">ExportRaw!$B91</f>
        <v/>
      </c>
    </row>
    <row r="92" customFormat="false" ht="15.75" hidden="false" customHeight="false" outlineLevel="0" collapsed="false">
      <c r="A92" s="121" t="n">
        <f aca="false">ExportRaw!$F92</f>
        <v>0</v>
      </c>
      <c r="B92" s="121" t="n">
        <f aca="false">ExportRaw!$C92</f>
        <v>0</v>
      </c>
      <c r="C92" s="121" t="n">
        <f aca="false">ExportRaw!$G92</f>
        <v>0</v>
      </c>
      <c r="D92" s="121" t="str">
        <f aca="false">ExportRaw!$E92</f>
        <v/>
      </c>
      <c r="E92" s="122" t="str">
        <f aca="false">ExportRaw!$D92</f>
        <v/>
      </c>
      <c r="F92" s="121" t="str">
        <f aca="false">ExportRaw!$H92</f>
        <v/>
      </c>
      <c r="G92" s="123" t="str">
        <f aca="false">ExportRaw!$I92</f>
        <v/>
      </c>
      <c r="H92" s="121" t="str">
        <f aca="false">ExportRaw!$A92</f>
        <v/>
      </c>
      <c r="I92" s="121" t="str">
        <f aca="false">ExportRaw!$B92</f>
        <v/>
      </c>
    </row>
    <row r="93" customFormat="false" ht="15.75" hidden="false" customHeight="false" outlineLevel="0" collapsed="false">
      <c r="A93" s="121" t="n">
        <f aca="false">ExportRaw!$F93</f>
        <v>0</v>
      </c>
      <c r="B93" s="121" t="n">
        <f aca="false">ExportRaw!$C93</f>
        <v>0</v>
      </c>
      <c r="C93" s="121" t="n">
        <f aca="false">ExportRaw!$G93</f>
        <v>0</v>
      </c>
      <c r="D93" s="121" t="str">
        <f aca="false">ExportRaw!$E93</f>
        <v/>
      </c>
      <c r="E93" s="122" t="str">
        <f aca="false">ExportRaw!$D93</f>
        <v/>
      </c>
      <c r="F93" s="121" t="str">
        <f aca="false">ExportRaw!$H93</f>
        <v/>
      </c>
      <c r="G93" s="123" t="str">
        <f aca="false">ExportRaw!$I93</f>
        <v/>
      </c>
      <c r="H93" s="121" t="str">
        <f aca="false">ExportRaw!$A93</f>
        <v/>
      </c>
      <c r="I93" s="121" t="str">
        <f aca="false">ExportRaw!$B93</f>
        <v/>
      </c>
    </row>
    <row r="94" customFormat="false" ht="15.75" hidden="false" customHeight="false" outlineLevel="0" collapsed="false">
      <c r="A94" s="121" t="n">
        <f aca="false">ExportRaw!$F94</f>
        <v>0</v>
      </c>
      <c r="B94" s="121" t="n">
        <f aca="false">ExportRaw!$C94</f>
        <v>0</v>
      </c>
      <c r="C94" s="121" t="n">
        <f aca="false">ExportRaw!$G94</f>
        <v>0</v>
      </c>
      <c r="D94" s="121" t="str">
        <f aca="false">ExportRaw!$E94</f>
        <v/>
      </c>
      <c r="E94" s="122" t="str">
        <f aca="false">ExportRaw!$D94</f>
        <v/>
      </c>
      <c r="F94" s="121" t="str">
        <f aca="false">ExportRaw!$H94</f>
        <v/>
      </c>
      <c r="G94" s="123" t="str">
        <f aca="false">ExportRaw!$I94</f>
        <v/>
      </c>
      <c r="H94" s="121" t="str">
        <f aca="false">ExportRaw!$A94</f>
        <v/>
      </c>
      <c r="I94" s="121" t="str">
        <f aca="false">ExportRaw!$B94</f>
        <v/>
      </c>
    </row>
    <row r="95" customFormat="false" ht="15.75" hidden="false" customHeight="false" outlineLevel="0" collapsed="false">
      <c r="A95" s="121" t="n">
        <f aca="false">ExportRaw!$F95</f>
        <v>0</v>
      </c>
      <c r="B95" s="121" t="n">
        <f aca="false">ExportRaw!$C95</f>
        <v>0</v>
      </c>
      <c r="C95" s="121" t="n">
        <f aca="false">ExportRaw!$G95</f>
        <v>0</v>
      </c>
      <c r="D95" s="121" t="str">
        <f aca="false">ExportRaw!$E95</f>
        <v/>
      </c>
      <c r="E95" s="122" t="str">
        <f aca="false">ExportRaw!$D95</f>
        <v/>
      </c>
      <c r="F95" s="121" t="str">
        <f aca="false">ExportRaw!$H95</f>
        <v/>
      </c>
      <c r="G95" s="123" t="str">
        <f aca="false">ExportRaw!$I95</f>
        <v/>
      </c>
      <c r="H95" s="121" t="str">
        <f aca="false">ExportRaw!$A95</f>
        <v/>
      </c>
      <c r="I95" s="121" t="str">
        <f aca="false">ExportRaw!$B95</f>
        <v/>
      </c>
    </row>
    <row r="96" customFormat="false" ht="15.75" hidden="false" customHeight="false" outlineLevel="0" collapsed="false">
      <c r="A96" s="121" t="n">
        <f aca="false">ExportRaw!$F96</f>
        <v>0</v>
      </c>
      <c r="B96" s="121" t="n">
        <f aca="false">ExportRaw!$C96</f>
        <v>0</v>
      </c>
      <c r="C96" s="121" t="n">
        <f aca="false">ExportRaw!$G96</f>
        <v>0</v>
      </c>
      <c r="D96" s="121" t="str">
        <f aca="false">ExportRaw!$E96</f>
        <v/>
      </c>
      <c r="E96" s="122" t="str">
        <f aca="false">ExportRaw!$D96</f>
        <v/>
      </c>
      <c r="F96" s="121" t="str">
        <f aca="false">ExportRaw!$H96</f>
        <v/>
      </c>
      <c r="G96" s="123" t="str">
        <f aca="false">ExportRaw!$I96</f>
        <v/>
      </c>
      <c r="H96" s="121" t="str">
        <f aca="false">ExportRaw!$A96</f>
        <v/>
      </c>
      <c r="I96" s="121" t="str">
        <f aca="false">ExportRaw!$B96</f>
        <v/>
      </c>
    </row>
    <row r="97" customFormat="false" ht="15.75" hidden="false" customHeight="false" outlineLevel="0" collapsed="false">
      <c r="A97" s="121" t="n">
        <f aca="false">ExportRaw!$F97</f>
        <v>0</v>
      </c>
      <c r="B97" s="121" t="n">
        <f aca="false">ExportRaw!$C97</f>
        <v>0</v>
      </c>
      <c r="C97" s="121" t="n">
        <f aca="false">ExportRaw!$G97</f>
        <v>0</v>
      </c>
      <c r="D97" s="121" t="str">
        <f aca="false">ExportRaw!$E97</f>
        <v/>
      </c>
      <c r="E97" s="122" t="str">
        <f aca="false">ExportRaw!$D97</f>
        <v/>
      </c>
      <c r="F97" s="121" t="str">
        <f aca="false">ExportRaw!$H97</f>
        <v/>
      </c>
      <c r="G97" s="123" t="str">
        <f aca="false">ExportRaw!$I97</f>
        <v/>
      </c>
      <c r="H97" s="121" t="str">
        <f aca="false">ExportRaw!$A97</f>
        <v/>
      </c>
      <c r="I97" s="121" t="str">
        <f aca="false">ExportRaw!$B97</f>
        <v/>
      </c>
    </row>
    <row r="98" customFormat="false" ht="15.75" hidden="false" customHeight="false" outlineLevel="0" collapsed="false">
      <c r="A98" s="121" t="n">
        <f aca="false">ExportRaw!$F98</f>
        <v>0</v>
      </c>
      <c r="B98" s="121" t="n">
        <f aca="false">ExportRaw!$C98</f>
        <v>0</v>
      </c>
      <c r="C98" s="121" t="n">
        <f aca="false">ExportRaw!$G98</f>
        <v>0</v>
      </c>
      <c r="D98" s="121" t="str">
        <f aca="false">ExportRaw!$E98</f>
        <v/>
      </c>
      <c r="E98" s="122" t="str">
        <f aca="false">ExportRaw!$D98</f>
        <v/>
      </c>
      <c r="F98" s="121" t="str">
        <f aca="false">ExportRaw!$H98</f>
        <v/>
      </c>
      <c r="G98" s="123" t="str">
        <f aca="false">ExportRaw!$I98</f>
        <v/>
      </c>
      <c r="H98" s="121" t="str">
        <f aca="false">ExportRaw!$A98</f>
        <v/>
      </c>
      <c r="I98" s="121" t="str">
        <f aca="false">ExportRaw!$B98</f>
        <v/>
      </c>
    </row>
    <row r="99" customFormat="false" ht="15.75" hidden="false" customHeight="false" outlineLevel="0" collapsed="false">
      <c r="A99" s="121" t="n">
        <f aca="false">ExportRaw!$F99</f>
        <v>0</v>
      </c>
      <c r="B99" s="121" t="n">
        <f aca="false">ExportRaw!$C99</f>
        <v>0</v>
      </c>
      <c r="C99" s="121" t="n">
        <f aca="false">ExportRaw!$G99</f>
        <v>0</v>
      </c>
      <c r="D99" s="121" t="str">
        <f aca="false">ExportRaw!$E99</f>
        <v/>
      </c>
      <c r="E99" s="122" t="str">
        <f aca="false">ExportRaw!$D99</f>
        <v/>
      </c>
      <c r="F99" s="121" t="str">
        <f aca="false">ExportRaw!$H99</f>
        <v/>
      </c>
      <c r="G99" s="123" t="str">
        <f aca="false">ExportRaw!$I99</f>
        <v/>
      </c>
      <c r="H99" s="121" t="str">
        <f aca="false">ExportRaw!$A99</f>
        <v/>
      </c>
      <c r="I99" s="121" t="str">
        <f aca="false">ExportRaw!$B99</f>
        <v/>
      </c>
    </row>
    <row r="100" customFormat="false" ht="15.75" hidden="false" customHeight="false" outlineLevel="0" collapsed="false">
      <c r="A100" s="121" t="n">
        <f aca="false">ExportRaw!$F100</f>
        <v>0</v>
      </c>
      <c r="B100" s="121" t="n">
        <f aca="false">ExportRaw!$C100</f>
        <v>0</v>
      </c>
      <c r="C100" s="121" t="n">
        <f aca="false">ExportRaw!$G100</f>
        <v>0</v>
      </c>
      <c r="D100" s="121" t="str">
        <f aca="false">ExportRaw!$E100</f>
        <v/>
      </c>
      <c r="E100" s="122" t="str">
        <f aca="false">ExportRaw!$D100</f>
        <v/>
      </c>
      <c r="F100" s="121" t="str">
        <f aca="false">ExportRaw!$H100</f>
        <v/>
      </c>
      <c r="G100" s="123" t="str">
        <f aca="false">ExportRaw!$I100</f>
        <v/>
      </c>
      <c r="H100" s="121" t="str">
        <f aca="false">ExportRaw!$A100</f>
        <v/>
      </c>
      <c r="I100" s="121" t="str">
        <f aca="false">ExportRaw!$B100</f>
        <v/>
      </c>
    </row>
    <row r="101" customFormat="false" ht="15.75" hidden="false" customHeight="false" outlineLevel="0" collapsed="false">
      <c r="A101" s="121" t="n">
        <f aca="false">ExportRaw!$F101</f>
        <v>0</v>
      </c>
      <c r="B101" s="121" t="n">
        <f aca="false">ExportRaw!$C101</f>
        <v>0</v>
      </c>
      <c r="C101" s="121" t="n">
        <f aca="false">ExportRaw!$G101</f>
        <v>0</v>
      </c>
      <c r="D101" s="121" t="str">
        <f aca="false">ExportRaw!$E101</f>
        <v/>
      </c>
      <c r="E101" s="122" t="str">
        <f aca="false">ExportRaw!$D101</f>
        <v/>
      </c>
      <c r="F101" s="121" t="str">
        <f aca="false">ExportRaw!$H101</f>
        <v/>
      </c>
      <c r="G101" s="123" t="str">
        <f aca="false">ExportRaw!$I101</f>
        <v/>
      </c>
      <c r="H101" s="121" t="str">
        <f aca="false">ExportRaw!$A101</f>
        <v/>
      </c>
      <c r="I101" s="121" t="str">
        <f aca="false">ExportRaw!$B101</f>
        <v/>
      </c>
    </row>
    <row r="102" customFormat="false" ht="15.75" hidden="false" customHeight="false" outlineLevel="0" collapsed="false">
      <c r="A102" s="121" t="n">
        <f aca="false">ExportRaw!$F102</f>
        <v>0</v>
      </c>
      <c r="B102" s="121" t="n">
        <f aca="false">ExportRaw!$C102</f>
        <v>0</v>
      </c>
      <c r="C102" s="121" t="n">
        <f aca="false">ExportRaw!$G102</f>
        <v>0</v>
      </c>
      <c r="D102" s="121" t="str">
        <f aca="false">ExportRaw!$E102</f>
        <v/>
      </c>
      <c r="E102" s="122" t="str">
        <f aca="false">ExportRaw!$D102</f>
        <v/>
      </c>
      <c r="F102" s="121" t="str">
        <f aca="false">ExportRaw!$H102</f>
        <v/>
      </c>
      <c r="G102" s="123" t="str">
        <f aca="false">ExportRaw!$I102</f>
        <v/>
      </c>
      <c r="H102" s="121" t="str">
        <f aca="false">ExportRaw!$A102</f>
        <v/>
      </c>
      <c r="I102" s="121" t="str">
        <f aca="false">ExportRaw!$B102</f>
        <v/>
      </c>
    </row>
    <row r="103" customFormat="false" ht="15.75" hidden="false" customHeight="false" outlineLevel="0" collapsed="false">
      <c r="A103" s="121" t="n">
        <f aca="false">ExportRaw!$F103</f>
        <v>0</v>
      </c>
      <c r="B103" s="121" t="n">
        <f aca="false">ExportRaw!$C103</f>
        <v>0</v>
      </c>
      <c r="C103" s="121" t="n">
        <f aca="false">ExportRaw!$G103</f>
        <v>0</v>
      </c>
      <c r="D103" s="121" t="str">
        <f aca="false">ExportRaw!$E103</f>
        <v/>
      </c>
      <c r="E103" s="122" t="str">
        <f aca="false">ExportRaw!$D103</f>
        <v/>
      </c>
      <c r="F103" s="121" t="str">
        <f aca="false">ExportRaw!$H103</f>
        <v/>
      </c>
      <c r="G103" s="123" t="str">
        <f aca="false">ExportRaw!$I103</f>
        <v/>
      </c>
      <c r="H103" s="121" t="str">
        <f aca="false">ExportRaw!$A103</f>
        <v/>
      </c>
      <c r="I103" s="121" t="str">
        <f aca="false">ExportRaw!$B103</f>
        <v/>
      </c>
    </row>
    <row r="104" customFormat="false" ht="15.75" hidden="false" customHeight="false" outlineLevel="0" collapsed="false">
      <c r="A104" s="121" t="n">
        <f aca="false">ExportRaw!$F104</f>
        <v>0</v>
      </c>
      <c r="B104" s="121" t="n">
        <f aca="false">ExportRaw!$C104</f>
        <v>0</v>
      </c>
      <c r="C104" s="121" t="n">
        <f aca="false">ExportRaw!$G104</f>
        <v>0</v>
      </c>
      <c r="D104" s="121" t="str">
        <f aca="false">ExportRaw!$E104</f>
        <v/>
      </c>
      <c r="E104" s="122" t="str">
        <f aca="false">ExportRaw!$D104</f>
        <v/>
      </c>
      <c r="F104" s="121" t="str">
        <f aca="false">ExportRaw!$H104</f>
        <v/>
      </c>
      <c r="G104" s="123" t="str">
        <f aca="false">ExportRaw!$I104</f>
        <v/>
      </c>
      <c r="H104" s="121" t="str">
        <f aca="false">ExportRaw!$A104</f>
        <v/>
      </c>
      <c r="I104" s="121" t="str">
        <f aca="false">ExportRaw!$B104</f>
        <v/>
      </c>
    </row>
    <row r="105" customFormat="false" ht="15.75" hidden="false" customHeight="false" outlineLevel="0" collapsed="false">
      <c r="A105" s="121" t="n">
        <f aca="false">ExportRaw!$F105</f>
        <v>0</v>
      </c>
      <c r="B105" s="121" t="n">
        <f aca="false">ExportRaw!$C105</f>
        <v>0</v>
      </c>
      <c r="C105" s="121" t="n">
        <f aca="false">ExportRaw!$G105</f>
        <v>0</v>
      </c>
      <c r="D105" s="121" t="str">
        <f aca="false">ExportRaw!$E105</f>
        <v/>
      </c>
      <c r="E105" s="122" t="str">
        <f aca="false">ExportRaw!$D105</f>
        <v/>
      </c>
      <c r="F105" s="121" t="str">
        <f aca="false">ExportRaw!$H105</f>
        <v/>
      </c>
      <c r="G105" s="123" t="str">
        <f aca="false">ExportRaw!$I105</f>
        <v/>
      </c>
      <c r="H105" s="121" t="str">
        <f aca="false">ExportRaw!$A105</f>
        <v/>
      </c>
      <c r="I105" s="121" t="str">
        <f aca="false">ExportRaw!$B105</f>
        <v/>
      </c>
    </row>
    <row r="106" customFormat="false" ht="15.75" hidden="false" customHeight="false" outlineLevel="0" collapsed="false">
      <c r="A106" s="121" t="n">
        <f aca="false">ExportRaw!$F106</f>
        <v>0</v>
      </c>
      <c r="B106" s="121" t="n">
        <f aca="false">ExportRaw!$C106</f>
        <v>0</v>
      </c>
      <c r="C106" s="121" t="n">
        <f aca="false">ExportRaw!$G106</f>
        <v>0</v>
      </c>
      <c r="D106" s="121" t="str">
        <f aca="false">ExportRaw!$E106</f>
        <v/>
      </c>
      <c r="E106" s="122" t="str">
        <f aca="false">ExportRaw!$D106</f>
        <v/>
      </c>
      <c r="F106" s="121" t="str">
        <f aca="false">ExportRaw!$H106</f>
        <v/>
      </c>
      <c r="G106" s="123" t="str">
        <f aca="false">ExportRaw!$I106</f>
        <v/>
      </c>
      <c r="H106" s="121" t="str">
        <f aca="false">ExportRaw!$A106</f>
        <v/>
      </c>
      <c r="I106" s="121" t="str">
        <f aca="false">ExportRaw!$B106</f>
        <v/>
      </c>
    </row>
    <row r="107" customFormat="false" ht="15.75" hidden="false" customHeight="false" outlineLevel="0" collapsed="false">
      <c r="A107" s="121" t="n">
        <f aca="false">ExportRaw!$F107</f>
        <v>0</v>
      </c>
      <c r="B107" s="121" t="n">
        <f aca="false">ExportRaw!$C107</f>
        <v>0</v>
      </c>
      <c r="C107" s="121" t="n">
        <f aca="false">ExportRaw!$G107</f>
        <v>0</v>
      </c>
      <c r="D107" s="121" t="str">
        <f aca="false">ExportRaw!$E107</f>
        <v/>
      </c>
      <c r="E107" s="122" t="str">
        <f aca="false">ExportRaw!$D107</f>
        <v/>
      </c>
      <c r="F107" s="121" t="str">
        <f aca="false">ExportRaw!$H107</f>
        <v/>
      </c>
      <c r="G107" s="123" t="str">
        <f aca="false">ExportRaw!$I107</f>
        <v/>
      </c>
      <c r="H107" s="121" t="str">
        <f aca="false">ExportRaw!$A107</f>
        <v/>
      </c>
      <c r="I107" s="121" t="str">
        <f aca="false">ExportRaw!$B107</f>
        <v/>
      </c>
    </row>
    <row r="108" customFormat="false" ht="15.75" hidden="false" customHeight="false" outlineLevel="0" collapsed="false">
      <c r="A108" s="121" t="n">
        <f aca="false">ExportRaw!$F108</f>
        <v>0</v>
      </c>
      <c r="B108" s="121" t="n">
        <f aca="false">ExportRaw!$C108</f>
        <v>0</v>
      </c>
      <c r="C108" s="121" t="n">
        <f aca="false">ExportRaw!$G108</f>
        <v>0</v>
      </c>
      <c r="D108" s="121" t="str">
        <f aca="false">ExportRaw!$E108</f>
        <v/>
      </c>
      <c r="E108" s="122" t="str">
        <f aca="false">ExportRaw!$D108</f>
        <v/>
      </c>
      <c r="F108" s="121" t="str">
        <f aca="false">ExportRaw!$H108</f>
        <v/>
      </c>
      <c r="G108" s="123" t="str">
        <f aca="false">ExportRaw!$I108</f>
        <v/>
      </c>
      <c r="H108" s="121" t="str">
        <f aca="false">ExportRaw!$A108</f>
        <v/>
      </c>
      <c r="I108" s="121" t="str">
        <f aca="false">ExportRaw!$B108</f>
        <v/>
      </c>
    </row>
    <row r="109" customFormat="false" ht="15.75" hidden="false" customHeight="false" outlineLevel="0" collapsed="false">
      <c r="A109" s="121" t="n">
        <f aca="false">ExportRaw!$F109</f>
        <v>0</v>
      </c>
      <c r="B109" s="121" t="n">
        <f aca="false">ExportRaw!$C109</f>
        <v>0</v>
      </c>
      <c r="C109" s="121" t="n">
        <f aca="false">ExportRaw!$G109</f>
        <v>0</v>
      </c>
      <c r="D109" s="121" t="str">
        <f aca="false">ExportRaw!$E109</f>
        <v/>
      </c>
      <c r="E109" s="122" t="str">
        <f aca="false">ExportRaw!$D109</f>
        <v/>
      </c>
      <c r="F109" s="121" t="str">
        <f aca="false">ExportRaw!$H109</f>
        <v/>
      </c>
      <c r="G109" s="123" t="str">
        <f aca="false">ExportRaw!$I109</f>
        <v/>
      </c>
      <c r="H109" s="121" t="str">
        <f aca="false">ExportRaw!$A109</f>
        <v/>
      </c>
      <c r="I109" s="121" t="str">
        <f aca="false">ExportRaw!$B109</f>
        <v/>
      </c>
    </row>
    <row r="110" customFormat="false" ht="15.75" hidden="false" customHeight="false" outlineLevel="0" collapsed="false">
      <c r="A110" s="121" t="n">
        <f aca="false">ExportRaw!$F110</f>
        <v>0</v>
      </c>
      <c r="B110" s="121" t="n">
        <f aca="false">ExportRaw!$C110</f>
        <v>0</v>
      </c>
      <c r="C110" s="121" t="n">
        <f aca="false">ExportRaw!$G110</f>
        <v>0</v>
      </c>
      <c r="D110" s="121" t="str">
        <f aca="false">ExportRaw!$E110</f>
        <v/>
      </c>
      <c r="E110" s="122" t="str">
        <f aca="false">ExportRaw!$D110</f>
        <v/>
      </c>
      <c r="F110" s="121" t="str">
        <f aca="false">ExportRaw!$H110</f>
        <v/>
      </c>
      <c r="G110" s="123" t="str">
        <f aca="false">ExportRaw!$I110</f>
        <v/>
      </c>
      <c r="H110" s="121" t="str">
        <f aca="false">ExportRaw!$A110</f>
        <v/>
      </c>
      <c r="I110" s="121" t="str">
        <f aca="false">ExportRaw!$B110</f>
        <v/>
      </c>
    </row>
    <row r="111" customFormat="false" ht="15.75" hidden="false" customHeight="false" outlineLevel="0" collapsed="false">
      <c r="A111" s="121" t="n">
        <f aca="false">ExportRaw!$F111</f>
        <v>0</v>
      </c>
      <c r="B111" s="121" t="n">
        <f aca="false">ExportRaw!$C111</f>
        <v>0</v>
      </c>
      <c r="C111" s="121" t="n">
        <f aca="false">ExportRaw!$G111</f>
        <v>0</v>
      </c>
      <c r="D111" s="121" t="str">
        <f aca="false">ExportRaw!$E111</f>
        <v/>
      </c>
      <c r="E111" s="122" t="str">
        <f aca="false">ExportRaw!$D111</f>
        <v/>
      </c>
      <c r="F111" s="121" t="str">
        <f aca="false">ExportRaw!$H111</f>
        <v/>
      </c>
      <c r="G111" s="123" t="str">
        <f aca="false">ExportRaw!$I111</f>
        <v/>
      </c>
      <c r="H111" s="121" t="str">
        <f aca="false">ExportRaw!$A111</f>
        <v/>
      </c>
      <c r="I111" s="121" t="str">
        <f aca="false">ExportRaw!$B111</f>
        <v/>
      </c>
    </row>
    <row r="112" customFormat="false" ht="15.75" hidden="false" customHeight="false" outlineLevel="0" collapsed="false">
      <c r="A112" s="121" t="n">
        <f aca="false">ExportRaw!$F112</f>
        <v>0</v>
      </c>
      <c r="B112" s="121" t="n">
        <f aca="false">ExportRaw!$C112</f>
        <v>0</v>
      </c>
      <c r="C112" s="121" t="n">
        <f aca="false">ExportRaw!$G112</f>
        <v>0</v>
      </c>
      <c r="D112" s="121" t="str">
        <f aca="false">ExportRaw!$E112</f>
        <v/>
      </c>
      <c r="E112" s="122" t="str">
        <f aca="false">ExportRaw!$D112</f>
        <v/>
      </c>
      <c r="F112" s="121" t="str">
        <f aca="false">ExportRaw!$H112</f>
        <v/>
      </c>
      <c r="G112" s="123" t="str">
        <f aca="false">ExportRaw!$I112</f>
        <v/>
      </c>
      <c r="H112" s="121" t="str">
        <f aca="false">ExportRaw!$A112</f>
        <v/>
      </c>
      <c r="I112" s="121" t="str">
        <f aca="false">ExportRaw!$B112</f>
        <v/>
      </c>
    </row>
    <row r="113" customFormat="false" ht="15.75" hidden="false" customHeight="false" outlineLevel="0" collapsed="false">
      <c r="A113" s="121" t="n">
        <f aca="false">ExportRaw!$F113</f>
        <v>0</v>
      </c>
      <c r="B113" s="121" t="n">
        <f aca="false">ExportRaw!$C113</f>
        <v>0</v>
      </c>
      <c r="C113" s="121" t="n">
        <f aca="false">ExportRaw!$G113</f>
        <v>0</v>
      </c>
      <c r="D113" s="121" t="str">
        <f aca="false">ExportRaw!$E113</f>
        <v/>
      </c>
      <c r="E113" s="122" t="str">
        <f aca="false">ExportRaw!$D113</f>
        <v/>
      </c>
      <c r="F113" s="121" t="str">
        <f aca="false">ExportRaw!$H113</f>
        <v/>
      </c>
      <c r="G113" s="123" t="str">
        <f aca="false">ExportRaw!$I113</f>
        <v/>
      </c>
      <c r="H113" s="121" t="str">
        <f aca="false">ExportRaw!$A113</f>
        <v/>
      </c>
      <c r="I113" s="121" t="str">
        <f aca="false">ExportRaw!$B113</f>
        <v/>
      </c>
    </row>
    <row r="114" customFormat="false" ht="15.75" hidden="false" customHeight="false" outlineLevel="0" collapsed="false">
      <c r="A114" s="121" t="n">
        <f aca="false">ExportRaw!$F114</f>
        <v>0</v>
      </c>
      <c r="B114" s="121" t="n">
        <f aca="false">ExportRaw!$C114</f>
        <v>0</v>
      </c>
      <c r="C114" s="121" t="n">
        <f aca="false">ExportRaw!$G114</f>
        <v>0</v>
      </c>
      <c r="D114" s="121" t="str">
        <f aca="false">ExportRaw!$E114</f>
        <v/>
      </c>
      <c r="E114" s="122" t="str">
        <f aca="false">ExportRaw!$D114</f>
        <v/>
      </c>
      <c r="F114" s="121" t="str">
        <f aca="false">ExportRaw!$H114</f>
        <v/>
      </c>
      <c r="G114" s="123" t="str">
        <f aca="false">ExportRaw!$I114</f>
        <v/>
      </c>
      <c r="H114" s="121" t="str">
        <f aca="false">ExportRaw!$A114</f>
        <v/>
      </c>
      <c r="I114" s="121" t="str">
        <f aca="false">ExportRaw!$B114</f>
        <v/>
      </c>
    </row>
    <row r="115" customFormat="false" ht="15.75" hidden="false" customHeight="false" outlineLevel="0" collapsed="false">
      <c r="A115" s="121" t="n">
        <f aca="false">ExportRaw!$F115</f>
        <v>0</v>
      </c>
      <c r="B115" s="121" t="n">
        <f aca="false">ExportRaw!$C115</f>
        <v>0</v>
      </c>
      <c r="C115" s="121" t="n">
        <f aca="false">ExportRaw!$G115</f>
        <v>0</v>
      </c>
      <c r="D115" s="121" t="str">
        <f aca="false">ExportRaw!$E115</f>
        <v/>
      </c>
      <c r="E115" s="122" t="str">
        <f aca="false">ExportRaw!$D115</f>
        <v/>
      </c>
      <c r="F115" s="121" t="str">
        <f aca="false">ExportRaw!$H115</f>
        <v/>
      </c>
      <c r="G115" s="123" t="str">
        <f aca="false">ExportRaw!$I115</f>
        <v/>
      </c>
      <c r="H115" s="121" t="str">
        <f aca="false">ExportRaw!$A115</f>
        <v/>
      </c>
      <c r="I115" s="121" t="str">
        <f aca="false">ExportRaw!$B115</f>
        <v/>
      </c>
    </row>
    <row r="116" customFormat="false" ht="15.75" hidden="false" customHeight="false" outlineLevel="0" collapsed="false">
      <c r="A116" s="121" t="n">
        <f aca="false">ExportRaw!$F116</f>
        <v>0</v>
      </c>
      <c r="B116" s="121" t="n">
        <f aca="false">ExportRaw!$C116</f>
        <v>0</v>
      </c>
      <c r="C116" s="121" t="n">
        <f aca="false">ExportRaw!$G116</f>
        <v>0</v>
      </c>
      <c r="D116" s="121" t="str">
        <f aca="false">ExportRaw!$E116</f>
        <v/>
      </c>
      <c r="E116" s="122" t="str">
        <f aca="false">ExportRaw!$D116</f>
        <v/>
      </c>
      <c r="F116" s="121" t="str">
        <f aca="false">ExportRaw!$H116</f>
        <v/>
      </c>
      <c r="G116" s="123" t="str">
        <f aca="false">ExportRaw!$I116</f>
        <v/>
      </c>
      <c r="H116" s="121" t="str">
        <f aca="false">ExportRaw!$A116</f>
        <v/>
      </c>
      <c r="I116" s="121" t="str">
        <f aca="false">ExportRaw!$B116</f>
        <v/>
      </c>
    </row>
    <row r="117" customFormat="false" ht="15.75" hidden="false" customHeight="false" outlineLevel="0" collapsed="false">
      <c r="A117" s="121" t="n">
        <f aca="false">ExportRaw!$F117</f>
        <v>0</v>
      </c>
      <c r="B117" s="121" t="n">
        <f aca="false">ExportRaw!$C117</f>
        <v>0</v>
      </c>
      <c r="C117" s="121" t="n">
        <f aca="false">ExportRaw!$G117</f>
        <v>0</v>
      </c>
      <c r="D117" s="121" t="str">
        <f aca="false">ExportRaw!$E117</f>
        <v/>
      </c>
      <c r="E117" s="122" t="str">
        <f aca="false">ExportRaw!$D117</f>
        <v/>
      </c>
      <c r="F117" s="121" t="str">
        <f aca="false">ExportRaw!$H117</f>
        <v/>
      </c>
      <c r="G117" s="123" t="str">
        <f aca="false">ExportRaw!$I117</f>
        <v/>
      </c>
      <c r="H117" s="121" t="str">
        <f aca="false">ExportRaw!$A117</f>
        <v/>
      </c>
      <c r="I117" s="121" t="str">
        <f aca="false">ExportRaw!$B117</f>
        <v/>
      </c>
    </row>
    <row r="118" customFormat="false" ht="15.75" hidden="false" customHeight="false" outlineLevel="0" collapsed="false">
      <c r="A118" s="121" t="n">
        <f aca="false">ExportRaw!$F118</f>
        <v>0</v>
      </c>
      <c r="B118" s="121" t="n">
        <f aca="false">ExportRaw!$C118</f>
        <v>0</v>
      </c>
      <c r="C118" s="121" t="n">
        <f aca="false">ExportRaw!$G118</f>
        <v>0</v>
      </c>
      <c r="D118" s="121" t="str">
        <f aca="false">ExportRaw!$E118</f>
        <v/>
      </c>
      <c r="E118" s="122" t="str">
        <f aca="false">ExportRaw!$D118</f>
        <v/>
      </c>
      <c r="F118" s="121" t="str">
        <f aca="false">ExportRaw!$H118</f>
        <v/>
      </c>
      <c r="G118" s="123" t="str">
        <f aca="false">ExportRaw!$I118</f>
        <v/>
      </c>
      <c r="H118" s="121" t="str">
        <f aca="false">ExportRaw!$A118</f>
        <v/>
      </c>
      <c r="I118" s="121" t="str">
        <f aca="false">ExportRaw!$B118</f>
        <v/>
      </c>
    </row>
    <row r="119" customFormat="false" ht="15.75" hidden="false" customHeight="false" outlineLevel="0" collapsed="false">
      <c r="A119" s="121" t="n">
        <f aca="false">ExportRaw!$F119</f>
        <v>0</v>
      </c>
      <c r="B119" s="121" t="n">
        <f aca="false">ExportRaw!$C119</f>
        <v>0</v>
      </c>
      <c r="C119" s="121" t="n">
        <f aca="false">ExportRaw!$G119</f>
        <v>0</v>
      </c>
      <c r="D119" s="121" t="str">
        <f aca="false">ExportRaw!$E119</f>
        <v/>
      </c>
      <c r="E119" s="122" t="str">
        <f aca="false">ExportRaw!$D119</f>
        <v/>
      </c>
      <c r="F119" s="121" t="str">
        <f aca="false">ExportRaw!$H119</f>
        <v/>
      </c>
      <c r="G119" s="123" t="str">
        <f aca="false">ExportRaw!$I119</f>
        <v/>
      </c>
      <c r="H119" s="121" t="str">
        <f aca="false">ExportRaw!$A119</f>
        <v/>
      </c>
      <c r="I119" s="121" t="str">
        <f aca="false">ExportRaw!$B119</f>
        <v/>
      </c>
    </row>
    <row r="120" customFormat="false" ht="15.75" hidden="false" customHeight="false" outlineLevel="0" collapsed="false">
      <c r="A120" s="121" t="n">
        <f aca="false">ExportRaw!$F120</f>
        <v>0</v>
      </c>
      <c r="B120" s="121" t="n">
        <f aca="false">ExportRaw!$C120</f>
        <v>0</v>
      </c>
      <c r="C120" s="121" t="n">
        <f aca="false">ExportRaw!$G120</f>
        <v>0</v>
      </c>
      <c r="D120" s="121" t="str">
        <f aca="false">ExportRaw!$E120</f>
        <v/>
      </c>
      <c r="E120" s="122" t="str">
        <f aca="false">ExportRaw!$D120</f>
        <v/>
      </c>
      <c r="F120" s="121" t="str">
        <f aca="false">ExportRaw!$H120</f>
        <v/>
      </c>
      <c r="G120" s="123" t="str">
        <f aca="false">ExportRaw!$I120</f>
        <v/>
      </c>
      <c r="H120" s="121" t="str">
        <f aca="false">ExportRaw!$A120</f>
        <v/>
      </c>
      <c r="I120" s="121" t="str">
        <f aca="false">ExportRaw!$B120</f>
        <v/>
      </c>
    </row>
    <row r="121" customFormat="false" ht="15.75" hidden="false" customHeight="false" outlineLevel="0" collapsed="false">
      <c r="A121" s="121" t="n">
        <f aca="false">ExportRaw!$F121</f>
        <v>0</v>
      </c>
      <c r="B121" s="121" t="n">
        <f aca="false">ExportRaw!$C121</f>
        <v>0</v>
      </c>
      <c r="C121" s="121" t="n">
        <f aca="false">ExportRaw!$G121</f>
        <v>0</v>
      </c>
      <c r="D121" s="121" t="str">
        <f aca="false">ExportRaw!$E121</f>
        <v/>
      </c>
      <c r="E121" s="122" t="str">
        <f aca="false">ExportRaw!$D121</f>
        <v/>
      </c>
      <c r="F121" s="121" t="str">
        <f aca="false">ExportRaw!$H121</f>
        <v/>
      </c>
      <c r="G121" s="123" t="str">
        <f aca="false">ExportRaw!$I121</f>
        <v/>
      </c>
      <c r="H121" s="121" t="str">
        <f aca="false">ExportRaw!$A121</f>
        <v/>
      </c>
      <c r="I121" s="121" t="str">
        <f aca="false">ExportRaw!$B121</f>
        <v/>
      </c>
    </row>
    <row r="122" customFormat="false" ht="15.75" hidden="false" customHeight="false" outlineLevel="0" collapsed="false">
      <c r="A122" s="121" t="n">
        <f aca="false">ExportRaw!$F122</f>
        <v>0</v>
      </c>
      <c r="B122" s="121" t="n">
        <f aca="false">ExportRaw!$C122</f>
        <v>0</v>
      </c>
      <c r="C122" s="121" t="n">
        <f aca="false">ExportRaw!$G122</f>
        <v>0</v>
      </c>
      <c r="D122" s="121" t="str">
        <f aca="false">ExportRaw!$E122</f>
        <v/>
      </c>
      <c r="E122" s="122" t="str">
        <f aca="false">ExportRaw!$D122</f>
        <v/>
      </c>
      <c r="F122" s="121" t="str">
        <f aca="false">ExportRaw!$H122</f>
        <v/>
      </c>
      <c r="G122" s="123" t="str">
        <f aca="false">ExportRaw!$I122</f>
        <v/>
      </c>
      <c r="H122" s="121" t="str">
        <f aca="false">ExportRaw!$A122</f>
        <v/>
      </c>
      <c r="I122" s="121" t="str">
        <f aca="false">ExportRaw!$B122</f>
        <v/>
      </c>
    </row>
    <row r="123" customFormat="false" ht="15.75" hidden="false" customHeight="false" outlineLevel="0" collapsed="false">
      <c r="A123" s="121" t="n">
        <f aca="false">ExportRaw!$F123</f>
        <v>0</v>
      </c>
      <c r="B123" s="121" t="n">
        <f aca="false">ExportRaw!$C123</f>
        <v>0</v>
      </c>
      <c r="C123" s="121" t="n">
        <f aca="false">ExportRaw!$G123</f>
        <v>0</v>
      </c>
      <c r="D123" s="121" t="str">
        <f aca="false">ExportRaw!$E123</f>
        <v/>
      </c>
      <c r="E123" s="122" t="str">
        <f aca="false">ExportRaw!$D123</f>
        <v/>
      </c>
      <c r="F123" s="121" t="str">
        <f aca="false">ExportRaw!$H123</f>
        <v/>
      </c>
      <c r="G123" s="123" t="str">
        <f aca="false">ExportRaw!$I123</f>
        <v/>
      </c>
      <c r="H123" s="121" t="str">
        <f aca="false">ExportRaw!$A123</f>
        <v/>
      </c>
      <c r="I123" s="121" t="str">
        <f aca="false">ExportRaw!$B123</f>
        <v/>
      </c>
    </row>
    <row r="124" customFormat="false" ht="15.75" hidden="false" customHeight="false" outlineLevel="0" collapsed="false">
      <c r="A124" s="121" t="n">
        <f aca="false">ExportRaw!$F124</f>
        <v>0</v>
      </c>
      <c r="B124" s="121" t="n">
        <f aca="false">ExportRaw!$C124</f>
        <v>0</v>
      </c>
      <c r="C124" s="121" t="n">
        <f aca="false">ExportRaw!$G124</f>
        <v>0</v>
      </c>
      <c r="D124" s="121" t="str">
        <f aca="false">ExportRaw!$E124</f>
        <v/>
      </c>
      <c r="E124" s="122" t="str">
        <f aca="false">ExportRaw!$D124</f>
        <v/>
      </c>
      <c r="F124" s="121" t="str">
        <f aca="false">ExportRaw!$H124</f>
        <v/>
      </c>
      <c r="G124" s="123" t="str">
        <f aca="false">ExportRaw!$I124</f>
        <v/>
      </c>
      <c r="H124" s="121" t="str">
        <f aca="false">ExportRaw!$A124</f>
        <v/>
      </c>
      <c r="I124" s="121" t="str">
        <f aca="false">ExportRaw!$B124</f>
        <v/>
      </c>
    </row>
    <row r="125" customFormat="false" ht="15.75" hidden="false" customHeight="false" outlineLevel="0" collapsed="false">
      <c r="A125" s="121" t="n">
        <f aca="false">ExportRaw!$F125</f>
        <v>0</v>
      </c>
      <c r="B125" s="121" t="n">
        <f aca="false">ExportRaw!$C125</f>
        <v>0</v>
      </c>
      <c r="C125" s="121" t="n">
        <f aca="false">ExportRaw!$G125</f>
        <v>0</v>
      </c>
      <c r="D125" s="121" t="str">
        <f aca="false">ExportRaw!$E125</f>
        <v/>
      </c>
      <c r="E125" s="122" t="str">
        <f aca="false">ExportRaw!$D125</f>
        <v/>
      </c>
      <c r="F125" s="121" t="str">
        <f aca="false">ExportRaw!$H125</f>
        <v/>
      </c>
      <c r="G125" s="123" t="str">
        <f aca="false">ExportRaw!$I125</f>
        <v/>
      </c>
      <c r="H125" s="121" t="str">
        <f aca="false">ExportRaw!$A125</f>
        <v/>
      </c>
      <c r="I125" s="121" t="str">
        <f aca="false">ExportRaw!$B125</f>
        <v/>
      </c>
    </row>
    <row r="126" customFormat="false" ht="15.75" hidden="false" customHeight="false" outlineLevel="0" collapsed="false">
      <c r="A126" s="121" t="n">
        <f aca="false">ExportRaw!$F126</f>
        <v>0</v>
      </c>
      <c r="B126" s="121" t="n">
        <f aca="false">ExportRaw!$C126</f>
        <v>0</v>
      </c>
      <c r="C126" s="121" t="n">
        <f aca="false">ExportRaw!$G126</f>
        <v>0</v>
      </c>
      <c r="D126" s="121" t="str">
        <f aca="false">ExportRaw!$E126</f>
        <v/>
      </c>
      <c r="E126" s="122" t="str">
        <f aca="false">ExportRaw!$D126</f>
        <v/>
      </c>
      <c r="F126" s="121" t="str">
        <f aca="false">ExportRaw!$H126</f>
        <v/>
      </c>
      <c r="G126" s="123" t="str">
        <f aca="false">ExportRaw!$I126</f>
        <v/>
      </c>
      <c r="H126" s="121" t="str">
        <f aca="false">ExportRaw!$A126</f>
        <v/>
      </c>
      <c r="I126" s="121" t="str">
        <f aca="false">ExportRaw!$B126</f>
        <v/>
      </c>
    </row>
    <row r="127" customFormat="false" ht="15.75" hidden="false" customHeight="false" outlineLevel="0" collapsed="false">
      <c r="A127" s="121" t="n">
        <f aca="false">ExportRaw!$F127</f>
        <v>0</v>
      </c>
      <c r="B127" s="121" t="n">
        <f aca="false">ExportRaw!$C127</f>
        <v>0</v>
      </c>
      <c r="C127" s="121" t="n">
        <f aca="false">ExportRaw!$G127</f>
        <v>0</v>
      </c>
      <c r="D127" s="121" t="str">
        <f aca="false">ExportRaw!$E127</f>
        <v/>
      </c>
      <c r="E127" s="122" t="str">
        <f aca="false">ExportRaw!$D127</f>
        <v/>
      </c>
      <c r="F127" s="121" t="str">
        <f aca="false">ExportRaw!$H127</f>
        <v/>
      </c>
      <c r="G127" s="123" t="str">
        <f aca="false">ExportRaw!$I127</f>
        <v/>
      </c>
      <c r="H127" s="121" t="str">
        <f aca="false">ExportRaw!$A127</f>
        <v/>
      </c>
      <c r="I127" s="121" t="str">
        <f aca="false">ExportRaw!$B127</f>
        <v/>
      </c>
    </row>
    <row r="128" customFormat="false" ht="15.75" hidden="false" customHeight="false" outlineLevel="0" collapsed="false">
      <c r="A128" s="121" t="n">
        <f aca="false">ExportRaw!$F128</f>
        <v>0</v>
      </c>
      <c r="B128" s="121" t="n">
        <f aca="false">ExportRaw!$C128</f>
        <v>0</v>
      </c>
      <c r="C128" s="121" t="n">
        <f aca="false">ExportRaw!$G128</f>
        <v>0</v>
      </c>
      <c r="D128" s="121" t="str">
        <f aca="false">ExportRaw!$E128</f>
        <v/>
      </c>
      <c r="E128" s="122" t="str">
        <f aca="false">ExportRaw!$D128</f>
        <v/>
      </c>
      <c r="F128" s="121" t="str">
        <f aca="false">ExportRaw!$H128</f>
        <v/>
      </c>
      <c r="G128" s="123" t="str">
        <f aca="false">ExportRaw!$I128</f>
        <v/>
      </c>
      <c r="H128" s="121" t="str">
        <f aca="false">ExportRaw!$A128</f>
        <v/>
      </c>
      <c r="I128" s="121" t="str">
        <f aca="false">ExportRaw!$B128</f>
        <v/>
      </c>
    </row>
    <row r="129" customFormat="false" ht="15.75" hidden="false" customHeight="false" outlineLevel="0" collapsed="false">
      <c r="A129" s="121" t="n">
        <f aca="false">ExportRaw!$F129</f>
        <v>0</v>
      </c>
      <c r="B129" s="121" t="n">
        <f aca="false">ExportRaw!$C129</f>
        <v>0</v>
      </c>
      <c r="C129" s="121" t="n">
        <f aca="false">ExportRaw!$G129</f>
        <v>0</v>
      </c>
      <c r="D129" s="121" t="str">
        <f aca="false">ExportRaw!$E129</f>
        <v/>
      </c>
      <c r="E129" s="122" t="str">
        <f aca="false">ExportRaw!$D129</f>
        <v/>
      </c>
      <c r="F129" s="121" t="str">
        <f aca="false">ExportRaw!$H129</f>
        <v/>
      </c>
      <c r="G129" s="123" t="str">
        <f aca="false">ExportRaw!$I129</f>
        <v/>
      </c>
      <c r="H129" s="121" t="str">
        <f aca="false">ExportRaw!$A129</f>
        <v/>
      </c>
      <c r="I129" s="121" t="str">
        <f aca="false">ExportRaw!$B129</f>
        <v/>
      </c>
    </row>
    <row r="130" customFormat="false" ht="15.75" hidden="false" customHeight="false" outlineLevel="0" collapsed="false">
      <c r="A130" s="121" t="n">
        <f aca="false">ExportRaw!$F130</f>
        <v>0</v>
      </c>
      <c r="B130" s="121" t="n">
        <f aca="false">ExportRaw!$C130</f>
        <v>0</v>
      </c>
      <c r="C130" s="121" t="n">
        <f aca="false">ExportRaw!$G130</f>
        <v>0</v>
      </c>
      <c r="D130" s="121" t="str">
        <f aca="false">ExportRaw!$E130</f>
        <v/>
      </c>
      <c r="E130" s="122" t="str">
        <f aca="false">ExportRaw!$D130</f>
        <v/>
      </c>
      <c r="F130" s="121" t="str">
        <f aca="false">ExportRaw!$H130</f>
        <v/>
      </c>
      <c r="G130" s="123" t="str">
        <f aca="false">ExportRaw!$I130</f>
        <v/>
      </c>
      <c r="H130" s="121" t="str">
        <f aca="false">ExportRaw!$A130</f>
        <v/>
      </c>
      <c r="I130" s="121" t="str">
        <f aca="false">ExportRaw!$B130</f>
        <v/>
      </c>
    </row>
    <row r="131" customFormat="false" ht="15.75" hidden="false" customHeight="false" outlineLevel="0" collapsed="false">
      <c r="A131" s="121" t="n">
        <f aca="false">ExportRaw!$F131</f>
        <v>0</v>
      </c>
      <c r="B131" s="121" t="n">
        <f aca="false">ExportRaw!$C131</f>
        <v>0</v>
      </c>
      <c r="C131" s="121" t="n">
        <f aca="false">ExportRaw!$G131</f>
        <v>0</v>
      </c>
      <c r="D131" s="121" t="str">
        <f aca="false">ExportRaw!$E131</f>
        <v/>
      </c>
      <c r="E131" s="122" t="str">
        <f aca="false">ExportRaw!$D131</f>
        <v/>
      </c>
      <c r="F131" s="121" t="str">
        <f aca="false">ExportRaw!$H131</f>
        <v/>
      </c>
      <c r="G131" s="123" t="str">
        <f aca="false">ExportRaw!$I131</f>
        <v/>
      </c>
      <c r="H131" s="121" t="str">
        <f aca="false">ExportRaw!$A131</f>
        <v/>
      </c>
      <c r="I131" s="121" t="str">
        <f aca="false">ExportRaw!$B131</f>
        <v/>
      </c>
    </row>
    <row r="132" customFormat="false" ht="15.75" hidden="false" customHeight="false" outlineLevel="0" collapsed="false">
      <c r="A132" s="121" t="n">
        <f aca="false">ExportRaw!$F132</f>
        <v>0</v>
      </c>
      <c r="B132" s="121" t="n">
        <f aca="false">ExportRaw!$C132</f>
        <v>0</v>
      </c>
      <c r="C132" s="121" t="n">
        <f aca="false">ExportRaw!$G132</f>
        <v>0</v>
      </c>
      <c r="D132" s="121" t="str">
        <f aca="false">ExportRaw!$E132</f>
        <v/>
      </c>
      <c r="E132" s="122" t="str">
        <f aca="false">ExportRaw!$D132</f>
        <v/>
      </c>
      <c r="F132" s="121" t="str">
        <f aca="false">ExportRaw!$H132</f>
        <v/>
      </c>
      <c r="G132" s="123" t="str">
        <f aca="false">ExportRaw!$I132</f>
        <v/>
      </c>
      <c r="H132" s="121" t="str">
        <f aca="false">ExportRaw!$A132</f>
        <v/>
      </c>
      <c r="I132" s="121" t="str">
        <f aca="false">ExportRaw!$B132</f>
        <v/>
      </c>
    </row>
    <row r="133" customFormat="false" ht="15.75" hidden="false" customHeight="false" outlineLevel="0" collapsed="false">
      <c r="A133" s="121" t="n">
        <f aca="false">ExportRaw!$F133</f>
        <v>0</v>
      </c>
      <c r="B133" s="121" t="n">
        <f aca="false">ExportRaw!$C133</f>
        <v>0</v>
      </c>
      <c r="C133" s="121" t="n">
        <f aca="false">ExportRaw!$G133</f>
        <v>0</v>
      </c>
      <c r="D133" s="121" t="str">
        <f aca="false">ExportRaw!$E133</f>
        <v/>
      </c>
      <c r="E133" s="122" t="str">
        <f aca="false">ExportRaw!$D133</f>
        <v/>
      </c>
      <c r="F133" s="121" t="str">
        <f aca="false">ExportRaw!$H133</f>
        <v/>
      </c>
      <c r="G133" s="123" t="str">
        <f aca="false">ExportRaw!$I133</f>
        <v/>
      </c>
      <c r="H133" s="121" t="str">
        <f aca="false">ExportRaw!$A133</f>
        <v/>
      </c>
      <c r="I133" s="121" t="str">
        <f aca="false">ExportRaw!$B133</f>
        <v/>
      </c>
    </row>
    <row r="134" customFormat="false" ht="15.75" hidden="false" customHeight="false" outlineLevel="0" collapsed="false">
      <c r="A134" s="121" t="n">
        <f aca="false">ExportRaw!$F134</f>
        <v>0</v>
      </c>
      <c r="B134" s="121" t="n">
        <f aca="false">ExportRaw!$C134</f>
        <v>0</v>
      </c>
      <c r="C134" s="121" t="n">
        <f aca="false">ExportRaw!$G134</f>
        <v>0</v>
      </c>
      <c r="D134" s="121" t="str">
        <f aca="false">ExportRaw!$E134</f>
        <v/>
      </c>
      <c r="E134" s="122" t="str">
        <f aca="false">ExportRaw!$D134</f>
        <v/>
      </c>
      <c r="F134" s="121" t="str">
        <f aca="false">ExportRaw!$H134</f>
        <v/>
      </c>
      <c r="G134" s="123" t="str">
        <f aca="false">ExportRaw!$I134</f>
        <v/>
      </c>
      <c r="H134" s="121" t="str">
        <f aca="false">ExportRaw!$A134</f>
        <v/>
      </c>
      <c r="I134" s="121" t="str">
        <f aca="false">ExportRaw!$B134</f>
        <v/>
      </c>
    </row>
    <row r="135" customFormat="false" ht="15.75" hidden="false" customHeight="false" outlineLevel="0" collapsed="false">
      <c r="A135" s="121" t="n">
        <f aca="false">ExportRaw!$F135</f>
        <v>0</v>
      </c>
      <c r="B135" s="121" t="n">
        <f aca="false">ExportRaw!$C135</f>
        <v>0</v>
      </c>
      <c r="C135" s="121" t="n">
        <f aca="false">ExportRaw!$G135</f>
        <v>0</v>
      </c>
      <c r="D135" s="121" t="str">
        <f aca="false">ExportRaw!$E135</f>
        <v/>
      </c>
      <c r="E135" s="122" t="str">
        <f aca="false">ExportRaw!$D135</f>
        <v/>
      </c>
      <c r="F135" s="121" t="str">
        <f aca="false">ExportRaw!$H135</f>
        <v/>
      </c>
      <c r="G135" s="123" t="str">
        <f aca="false">ExportRaw!$I135</f>
        <v/>
      </c>
      <c r="H135" s="121" t="str">
        <f aca="false">ExportRaw!$A135</f>
        <v/>
      </c>
      <c r="I135" s="121" t="str">
        <f aca="false">ExportRaw!$B135</f>
        <v/>
      </c>
    </row>
    <row r="136" customFormat="false" ht="15.75" hidden="false" customHeight="false" outlineLevel="0" collapsed="false">
      <c r="A136" s="121" t="n">
        <f aca="false">ExportRaw!$F136</f>
        <v>0</v>
      </c>
      <c r="B136" s="121" t="n">
        <f aca="false">ExportRaw!$C136</f>
        <v>0</v>
      </c>
      <c r="C136" s="121" t="n">
        <f aca="false">ExportRaw!$G136</f>
        <v>0</v>
      </c>
      <c r="D136" s="121" t="str">
        <f aca="false">ExportRaw!$E136</f>
        <v/>
      </c>
      <c r="E136" s="122" t="str">
        <f aca="false">ExportRaw!$D136</f>
        <v/>
      </c>
      <c r="F136" s="121" t="str">
        <f aca="false">ExportRaw!$H136</f>
        <v/>
      </c>
      <c r="G136" s="123" t="str">
        <f aca="false">ExportRaw!$I136</f>
        <v/>
      </c>
      <c r="H136" s="121" t="str">
        <f aca="false">ExportRaw!$A136</f>
        <v/>
      </c>
      <c r="I136" s="121" t="str">
        <f aca="false">ExportRaw!$B136</f>
        <v/>
      </c>
    </row>
    <row r="137" customFormat="false" ht="15.75" hidden="false" customHeight="false" outlineLevel="0" collapsed="false">
      <c r="A137" s="121" t="n">
        <f aca="false">ExportRaw!$F137</f>
        <v>0</v>
      </c>
      <c r="B137" s="121" t="n">
        <f aca="false">ExportRaw!$C137</f>
        <v>0</v>
      </c>
      <c r="C137" s="121" t="n">
        <f aca="false">ExportRaw!$G137</f>
        <v>0</v>
      </c>
      <c r="D137" s="121" t="str">
        <f aca="false">ExportRaw!$E137</f>
        <v/>
      </c>
      <c r="E137" s="122" t="str">
        <f aca="false">ExportRaw!$D137</f>
        <v/>
      </c>
      <c r="F137" s="121" t="str">
        <f aca="false">ExportRaw!$H137</f>
        <v/>
      </c>
      <c r="G137" s="123" t="str">
        <f aca="false">ExportRaw!$I137</f>
        <v/>
      </c>
      <c r="H137" s="121" t="str">
        <f aca="false">ExportRaw!$A137</f>
        <v/>
      </c>
      <c r="I137" s="121" t="str">
        <f aca="false">ExportRaw!$B137</f>
        <v/>
      </c>
    </row>
    <row r="138" customFormat="false" ht="15.75" hidden="false" customHeight="false" outlineLevel="0" collapsed="false">
      <c r="A138" s="121" t="n">
        <f aca="false">ExportRaw!$F138</f>
        <v>0</v>
      </c>
      <c r="B138" s="121" t="n">
        <f aca="false">ExportRaw!$C138</f>
        <v>0</v>
      </c>
      <c r="C138" s="121" t="n">
        <f aca="false">ExportRaw!$G138</f>
        <v>0</v>
      </c>
      <c r="D138" s="121" t="str">
        <f aca="false">ExportRaw!$E138</f>
        <v/>
      </c>
      <c r="E138" s="122" t="str">
        <f aca="false">ExportRaw!$D138</f>
        <v/>
      </c>
      <c r="F138" s="121" t="str">
        <f aca="false">ExportRaw!$H138</f>
        <v/>
      </c>
      <c r="G138" s="123" t="str">
        <f aca="false">ExportRaw!$I138</f>
        <v/>
      </c>
      <c r="H138" s="121" t="str">
        <f aca="false">ExportRaw!$A138</f>
        <v/>
      </c>
      <c r="I138" s="121" t="str">
        <f aca="false">ExportRaw!$B138</f>
        <v/>
      </c>
    </row>
    <row r="139" customFormat="false" ht="15.75" hidden="false" customHeight="false" outlineLevel="0" collapsed="false">
      <c r="A139" s="121" t="n">
        <f aca="false">ExportRaw!$F139</f>
        <v>0</v>
      </c>
      <c r="B139" s="121" t="n">
        <f aca="false">ExportRaw!$C139</f>
        <v>0</v>
      </c>
      <c r="C139" s="121" t="n">
        <f aca="false">ExportRaw!$G139</f>
        <v>0</v>
      </c>
      <c r="D139" s="121" t="str">
        <f aca="false">ExportRaw!$E139</f>
        <v/>
      </c>
      <c r="E139" s="122" t="str">
        <f aca="false">ExportRaw!$D139</f>
        <v/>
      </c>
      <c r="F139" s="121" t="str">
        <f aca="false">ExportRaw!$H139</f>
        <v/>
      </c>
      <c r="G139" s="123" t="str">
        <f aca="false">ExportRaw!$I139</f>
        <v/>
      </c>
      <c r="H139" s="121" t="str">
        <f aca="false">ExportRaw!$A139</f>
        <v/>
      </c>
      <c r="I139" s="121" t="str">
        <f aca="false">ExportRaw!$B139</f>
        <v/>
      </c>
    </row>
    <row r="140" customFormat="false" ht="15.75" hidden="false" customHeight="false" outlineLevel="0" collapsed="false">
      <c r="A140" s="121" t="n">
        <f aca="false">ExportRaw!$F140</f>
        <v>0</v>
      </c>
      <c r="B140" s="121" t="n">
        <f aca="false">ExportRaw!$C140</f>
        <v>0</v>
      </c>
      <c r="C140" s="121" t="n">
        <f aca="false">ExportRaw!$G140</f>
        <v>0</v>
      </c>
      <c r="D140" s="121" t="str">
        <f aca="false">ExportRaw!$E140</f>
        <v/>
      </c>
      <c r="E140" s="122" t="str">
        <f aca="false">ExportRaw!$D140</f>
        <v/>
      </c>
      <c r="F140" s="121" t="str">
        <f aca="false">ExportRaw!$H140</f>
        <v/>
      </c>
      <c r="G140" s="123" t="str">
        <f aca="false">ExportRaw!$I140</f>
        <v/>
      </c>
      <c r="H140" s="121" t="str">
        <f aca="false">ExportRaw!$A140</f>
        <v/>
      </c>
      <c r="I140" s="121" t="str">
        <f aca="false">ExportRaw!$B140</f>
        <v/>
      </c>
    </row>
    <row r="141" customFormat="false" ht="15.75" hidden="false" customHeight="false" outlineLevel="0" collapsed="false">
      <c r="A141" s="121" t="n">
        <f aca="false">ExportRaw!$F141</f>
        <v>0</v>
      </c>
      <c r="B141" s="121" t="n">
        <f aca="false">ExportRaw!$C141</f>
        <v>0</v>
      </c>
      <c r="C141" s="121" t="n">
        <f aca="false">ExportRaw!$G141</f>
        <v>0</v>
      </c>
      <c r="D141" s="121" t="str">
        <f aca="false">ExportRaw!$E141</f>
        <v/>
      </c>
      <c r="E141" s="122" t="str">
        <f aca="false">ExportRaw!$D141</f>
        <v/>
      </c>
      <c r="F141" s="121" t="str">
        <f aca="false">ExportRaw!$H141</f>
        <v/>
      </c>
      <c r="G141" s="123" t="str">
        <f aca="false">ExportRaw!$I141</f>
        <v/>
      </c>
      <c r="H141" s="121" t="str">
        <f aca="false">ExportRaw!$A141</f>
        <v/>
      </c>
      <c r="I141" s="121" t="str">
        <f aca="false">ExportRaw!$B141</f>
        <v/>
      </c>
    </row>
    <row r="142" customFormat="false" ht="15.75" hidden="false" customHeight="false" outlineLevel="0" collapsed="false">
      <c r="A142" s="121" t="n">
        <f aca="false">ExportRaw!$F142</f>
        <v>0</v>
      </c>
      <c r="B142" s="121" t="n">
        <f aca="false">ExportRaw!$C142</f>
        <v>0</v>
      </c>
      <c r="C142" s="121" t="n">
        <f aca="false">ExportRaw!$G142</f>
        <v>0</v>
      </c>
      <c r="D142" s="121" t="str">
        <f aca="false">ExportRaw!$E142</f>
        <v/>
      </c>
      <c r="E142" s="122" t="str">
        <f aca="false">ExportRaw!$D142</f>
        <v/>
      </c>
      <c r="F142" s="121" t="str">
        <f aca="false">ExportRaw!$H142</f>
        <v/>
      </c>
      <c r="G142" s="123" t="str">
        <f aca="false">ExportRaw!$I142</f>
        <v/>
      </c>
      <c r="H142" s="121" t="str">
        <f aca="false">ExportRaw!$A142</f>
        <v/>
      </c>
      <c r="I142" s="121" t="str">
        <f aca="false">ExportRaw!$B142</f>
        <v/>
      </c>
    </row>
    <row r="143" customFormat="false" ht="15.75" hidden="false" customHeight="false" outlineLevel="0" collapsed="false">
      <c r="A143" s="121" t="n">
        <f aca="false">ExportRaw!$F143</f>
        <v>0</v>
      </c>
      <c r="B143" s="121" t="n">
        <f aca="false">ExportRaw!$C143</f>
        <v>0</v>
      </c>
      <c r="C143" s="121" t="n">
        <f aca="false">ExportRaw!$G143</f>
        <v>0</v>
      </c>
      <c r="D143" s="121" t="str">
        <f aca="false">ExportRaw!$E143</f>
        <v/>
      </c>
      <c r="E143" s="122" t="str">
        <f aca="false">ExportRaw!$D143</f>
        <v/>
      </c>
      <c r="F143" s="121" t="str">
        <f aca="false">ExportRaw!$H143</f>
        <v/>
      </c>
      <c r="G143" s="123" t="str">
        <f aca="false">ExportRaw!$I143</f>
        <v/>
      </c>
      <c r="H143" s="121" t="str">
        <f aca="false">ExportRaw!$A143</f>
        <v/>
      </c>
      <c r="I143" s="121" t="str">
        <f aca="false">ExportRaw!$B143</f>
        <v/>
      </c>
    </row>
    <row r="144" customFormat="false" ht="15.75" hidden="false" customHeight="false" outlineLevel="0" collapsed="false">
      <c r="A144" s="121" t="n">
        <f aca="false">ExportRaw!$F144</f>
        <v>0</v>
      </c>
      <c r="B144" s="121" t="n">
        <f aca="false">ExportRaw!$C144</f>
        <v>0</v>
      </c>
      <c r="C144" s="121" t="n">
        <f aca="false">ExportRaw!$G144</f>
        <v>0</v>
      </c>
      <c r="D144" s="121" t="str">
        <f aca="false">ExportRaw!$E144</f>
        <v/>
      </c>
      <c r="E144" s="122" t="str">
        <f aca="false">ExportRaw!$D144</f>
        <v/>
      </c>
      <c r="F144" s="121" t="str">
        <f aca="false">ExportRaw!$H144</f>
        <v/>
      </c>
      <c r="G144" s="123" t="str">
        <f aca="false">ExportRaw!$I144</f>
        <v/>
      </c>
      <c r="H144" s="121" t="str">
        <f aca="false">ExportRaw!$A144</f>
        <v/>
      </c>
      <c r="I144" s="121" t="str">
        <f aca="false">ExportRaw!$B144</f>
        <v/>
      </c>
    </row>
    <row r="145" customFormat="false" ht="15.75" hidden="false" customHeight="false" outlineLevel="0" collapsed="false">
      <c r="A145" s="121" t="n">
        <f aca="false">ExportRaw!$F145</f>
        <v>0</v>
      </c>
      <c r="B145" s="121" t="n">
        <f aca="false">ExportRaw!$C145</f>
        <v>0</v>
      </c>
      <c r="C145" s="121" t="n">
        <f aca="false">ExportRaw!$G145</f>
        <v>0</v>
      </c>
      <c r="D145" s="121" t="str">
        <f aca="false">ExportRaw!$E145</f>
        <v/>
      </c>
      <c r="E145" s="122" t="str">
        <f aca="false">ExportRaw!$D145</f>
        <v/>
      </c>
      <c r="F145" s="121" t="str">
        <f aca="false">ExportRaw!$H145</f>
        <v/>
      </c>
      <c r="G145" s="123" t="str">
        <f aca="false">ExportRaw!$I145</f>
        <v/>
      </c>
      <c r="H145" s="121" t="str">
        <f aca="false">ExportRaw!$A145</f>
        <v/>
      </c>
      <c r="I145" s="121" t="str">
        <f aca="false">ExportRaw!$B145</f>
        <v/>
      </c>
    </row>
    <row r="146" customFormat="false" ht="15.75" hidden="false" customHeight="false" outlineLevel="0" collapsed="false">
      <c r="A146" s="121" t="n">
        <f aca="false">ExportRaw!$F146</f>
        <v>0</v>
      </c>
      <c r="B146" s="121" t="n">
        <f aca="false">ExportRaw!$C146</f>
        <v>0</v>
      </c>
      <c r="C146" s="121" t="n">
        <f aca="false">ExportRaw!$G146</f>
        <v>0</v>
      </c>
      <c r="D146" s="121" t="str">
        <f aca="false">ExportRaw!$E146</f>
        <v/>
      </c>
      <c r="E146" s="122" t="str">
        <f aca="false">ExportRaw!$D146</f>
        <v/>
      </c>
      <c r="F146" s="121" t="str">
        <f aca="false">ExportRaw!$H146</f>
        <v/>
      </c>
      <c r="G146" s="123" t="str">
        <f aca="false">ExportRaw!$I146</f>
        <v/>
      </c>
      <c r="H146" s="121" t="str">
        <f aca="false">ExportRaw!$A146</f>
        <v/>
      </c>
      <c r="I146" s="121" t="str">
        <f aca="false">ExportRaw!$B146</f>
        <v/>
      </c>
    </row>
    <row r="147" customFormat="false" ht="15.75" hidden="false" customHeight="false" outlineLevel="0" collapsed="false">
      <c r="A147" s="121" t="n">
        <f aca="false">ExportRaw!$F147</f>
        <v>0</v>
      </c>
      <c r="B147" s="121" t="n">
        <f aca="false">ExportRaw!$C147</f>
        <v>0</v>
      </c>
      <c r="C147" s="121" t="n">
        <f aca="false">ExportRaw!$G147</f>
        <v>0</v>
      </c>
      <c r="D147" s="121" t="str">
        <f aca="false">ExportRaw!$E147</f>
        <v/>
      </c>
      <c r="E147" s="122" t="str">
        <f aca="false">ExportRaw!$D147</f>
        <v/>
      </c>
      <c r="F147" s="121" t="str">
        <f aca="false">ExportRaw!$H147</f>
        <v/>
      </c>
      <c r="G147" s="123" t="str">
        <f aca="false">ExportRaw!$I147</f>
        <v/>
      </c>
      <c r="H147" s="121" t="str">
        <f aca="false">ExportRaw!$A147</f>
        <v/>
      </c>
      <c r="I147" s="121" t="str">
        <f aca="false">ExportRaw!$B147</f>
        <v/>
      </c>
    </row>
    <row r="148" customFormat="false" ht="15.75" hidden="false" customHeight="false" outlineLevel="0" collapsed="false">
      <c r="A148" s="121" t="n">
        <f aca="false">ExportRaw!$F148</f>
        <v>0</v>
      </c>
      <c r="B148" s="121" t="n">
        <f aca="false">ExportRaw!$C148</f>
        <v>0</v>
      </c>
      <c r="C148" s="121" t="n">
        <f aca="false">ExportRaw!$G148</f>
        <v>0</v>
      </c>
      <c r="D148" s="121" t="str">
        <f aca="false">ExportRaw!$E148</f>
        <v/>
      </c>
      <c r="E148" s="122" t="str">
        <f aca="false">ExportRaw!$D148</f>
        <v/>
      </c>
      <c r="F148" s="121" t="str">
        <f aca="false">ExportRaw!$H148</f>
        <v/>
      </c>
      <c r="G148" s="123" t="str">
        <f aca="false">ExportRaw!$I148</f>
        <v/>
      </c>
      <c r="H148" s="121" t="str">
        <f aca="false">ExportRaw!$A148</f>
        <v/>
      </c>
      <c r="I148" s="121" t="str">
        <f aca="false">ExportRaw!$B148</f>
        <v/>
      </c>
    </row>
    <row r="149" customFormat="false" ht="15.75" hidden="false" customHeight="false" outlineLevel="0" collapsed="false">
      <c r="A149" s="121" t="n">
        <f aca="false">ExportRaw!$F149</f>
        <v>0</v>
      </c>
      <c r="B149" s="121" t="n">
        <f aca="false">ExportRaw!$C149</f>
        <v>0</v>
      </c>
      <c r="C149" s="121" t="n">
        <f aca="false">ExportRaw!$G149</f>
        <v>0</v>
      </c>
      <c r="D149" s="121" t="str">
        <f aca="false">ExportRaw!$E149</f>
        <v/>
      </c>
      <c r="E149" s="122" t="str">
        <f aca="false">ExportRaw!$D149</f>
        <v/>
      </c>
      <c r="F149" s="121" t="str">
        <f aca="false">ExportRaw!$H149</f>
        <v/>
      </c>
      <c r="G149" s="123" t="str">
        <f aca="false">ExportRaw!$I149</f>
        <v/>
      </c>
      <c r="H149" s="121" t="str">
        <f aca="false">ExportRaw!$A149</f>
        <v/>
      </c>
      <c r="I149" s="121" t="str">
        <f aca="false">ExportRaw!$B149</f>
        <v/>
      </c>
    </row>
    <row r="150" customFormat="false" ht="15.75" hidden="false" customHeight="false" outlineLevel="0" collapsed="false">
      <c r="A150" s="121" t="n">
        <f aca="false">ExportRaw!$F150</f>
        <v>0</v>
      </c>
      <c r="B150" s="121" t="n">
        <f aca="false">ExportRaw!$C150</f>
        <v>0</v>
      </c>
      <c r="C150" s="121" t="n">
        <f aca="false">ExportRaw!$G150</f>
        <v>0</v>
      </c>
      <c r="D150" s="121" t="str">
        <f aca="false">ExportRaw!$E150</f>
        <v/>
      </c>
      <c r="E150" s="122" t="str">
        <f aca="false">ExportRaw!$D150</f>
        <v/>
      </c>
      <c r="F150" s="121" t="str">
        <f aca="false">ExportRaw!$H150</f>
        <v/>
      </c>
      <c r="G150" s="123" t="str">
        <f aca="false">ExportRaw!$I150</f>
        <v/>
      </c>
      <c r="H150" s="121" t="str">
        <f aca="false">ExportRaw!$A150</f>
        <v/>
      </c>
      <c r="I150" s="121" t="str">
        <f aca="false">ExportRaw!$B150</f>
        <v/>
      </c>
    </row>
    <row r="151" customFormat="false" ht="15.75" hidden="false" customHeight="false" outlineLevel="0" collapsed="false">
      <c r="A151" s="121" t="n">
        <f aca="false">ExportRaw!$F151</f>
        <v>0</v>
      </c>
      <c r="B151" s="121" t="n">
        <f aca="false">ExportRaw!$C151</f>
        <v>0</v>
      </c>
      <c r="C151" s="121" t="n">
        <f aca="false">ExportRaw!$G151</f>
        <v>0</v>
      </c>
      <c r="D151" s="121" t="str">
        <f aca="false">ExportRaw!$E151</f>
        <v/>
      </c>
      <c r="E151" s="122" t="str">
        <f aca="false">ExportRaw!$D151</f>
        <v/>
      </c>
      <c r="F151" s="121" t="str">
        <f aca="false">ExportRaw!$H151</f>
        <v/>
      </c>
      <c r="G151" s="123" t="str">
        <f aca="false">ExportRaw!$I151</f>
        <v/>
      </c>
      <c r="H151" s="121" t="str">
        <f aca="false">ExportRaw!$A151</f>
        <v/>
      </c>
      <c r="I151" s="121" t="str">
        <f aca="false">ExportRaw!$B151</f>
        <v/>
      </c>
    </row>
    <row r="152" customFormat="false" ht="15.75" hidden="false" customHeight="false" outlineLevel="0" collapsed="false">
      <c r="A152" s="121" t="n">
        <f aca="false">ExportRaw!$F152</f>
        <v>0</v>
      </c>
      <c r="B152" s="121" t="n">
        <f aca="false">ExportRaw!$C152</f>
        <v>0</v>
      </c>
      <c r="C152" s="121" t="n">
        <f aca="false">ExportRaw!$G152</f>
        <v>0</v>
      </c>
      <c r="D152" s="121" t="str">
        <f aca="false">ExportRaw!$E152</f>
        <v/>
      </c>
      <c r="E152" s="122" t="str">
        <f aca="false">ExportRaw!$D152</f>
        <v/>
      </c>
      <c r="F152" s="121" t="str">
        <f aca="false">ExportRaw!$H152</f>
        <v/>
      </c>
      <c r="G152" s="123" t="str">
        <f aca="false">ExportRaw!$I152</f>
        <v/>
      </c>
      <c r="H152" s="121" t="str">
        <f aca="false">ExportRaw!$A152</f>
        <v/>
      </c>
      <c r="I152" s="121" t="str">
        <f aca="false">ExportRaw!$B152</f>
        <v/>
      </c>
    </row>
    <row r="153" customFormat="false" ht="15.75" hidden="false" customHeight="false" outlineLevel="0" collapsed="false">
      <c r="A153" s="121" t="n">
        <f aca="false">ExportRaw!$F153</f>
        <v>0</v>
      </c>
      <c r="B153" s="121" t="n">
        <f aca="false">ExportRaw!$C153</f>
        <v>0</v>
      </c>
      <c r="C153" s="121" t="n">
        <f aca="false">ExportRaw!$G153</f>
        <v>0</v>
      </c>
      <c r="D153" s="121" t="str">
        <f aca="false">ExportRaw!$E153</f>
        <v/>
      </c>
      <c r="E153" s="122" t="str">
        <f aca="false">ExportRaw!$D153</f>
        <v/>
      </c>
      <c r="F153" s="121" t="str">
        <f aca="false">ExportRaw!$H153</f>
        <v/>
      </c>
      <c r="G153" s="123" t="str">
        <f aca="false">ExportRaw!$I153</f>
        <v/>
      </c>
      <c r="H153" s="121" t="str">
        <f aca="false">ExportRaw!$A153</f>
        <v/>
      </c>
      <c r="I153" s="121" t="str">
        <f aca="false">ExportRaw!$B153</f>
        <v/>
      </c>
    </row>
    <row r="154" customFormat="false" ht="15.75" hidden="false" customHeight="false" outlineLevel="0" collapsed="false">
      <c r="A154" s="121" t="n">
        <f aca="false">ExportRaw!$F154</f>
        <v>0</v>
      </c>
      <c r="B154" s="121" t="n">
        <f aca="false">ExportRaw!$C154</f>
        <v>0</v>
      </c>
      <c r="C154" s="121" t="n">
        <f aca="false">ExportRaw!$G154</f>
        <v>0</v>
      </c>
      <c r="D154" s="121" t="str">
        <f aca="false">ExportRaw!$E154</f>
        <v/>
      </c>
      <c r="E154" s="122" t="str">
        <f aca="false">ExportRaw!$D154</f>
        <v/>
      </c>
      <c r="F154" s="121" t="str">
        <f aca="false">ExportRaw!$H154</f>
        <v/>
      </c>
      <c r="G154" s="123" t="str">
        <f aca="false">ExportRaw!$I154</f>
        <v/>
      </c>
      <c r="H154" s="121" t="str">
        <f aca="false">ExportRaw!$A154</f>
        <v/>
      </c>
      <c r="I154" s="121" t="str">
        <f aca="false">ExportRaw!$B154</f>
        <v/>
      </c>
    </row>
    <row r="155" customFormat="false" ht="15.75" hidden="false" customHeight="false" outlineLevel="0" collapsed="false">
      <c r="A155" s="121" t="n">
        <f aca="false">ExportRaw!$F155</f>
        <v>0</v>
      </c>
      <c r="B155" s="121" t="n">
        <f aca="false">ExportRaw!$C155</f>
        <v>0</v>
      </c>
      <c r="C155" s="121" t="n">
        <f aca="false">ExportRaw!$G155</f>
        <v>0</v>
      </c>
      <c r="D155" s="121" t="str">
        <f aca="false">ExportRaw!$E155</f>
        <v/>
      </c>
      <c r="E155" s="122" t="str">
        <f aca="false">ExportRaw!$D155</f>
        <v/>
      </c>
      <c r="F155" s="121" t="str">
        <f aca="false">ExportRaw!$H155</f>
        <v/>
      </c>
      <c r="G155" s="123" t="str">
        <f aca="false">ExportRaw!$I155</f>
        <v/>
      </c>
      <c r="H155" s="121" t="str">
        <f aca="false">ExportRaw!$A155</f>
        <v/>
      </c>
      <c r="I155" s="121" t="str">
        <f aca="false">ExportRaw!$B155</f>
        <v/>
      </c>
    </row>
    <row r="156" customFormat="false" ht="15.75" hidden="false" customHeight="false" outlineLevel="0" collapsed="false">
      <c r="A156" s="121" t="n">
        <f aca="false">ExportRaw!$F156</f>
        <v>0</v>
      </c>
      <c r="B156" s="121" t="n">
        <f aca="false">ExportRaw!$C156</f>
        <v>0</v>
      </c>
      <c r="C156" s="121" t="n">
        <f aca="false">ExportRaw!$G156</f>
        <v>0</v>
      </c>
      <c r="D156" s="121" t="str">
        <f aca="false">ExportRaw!$E156</f>
        <v/>
      </c>
      <c r="E156" s="122" t="str">
        <f aca="false">ExportRaw!$D156</f>
        <v/>
      </c>
      <c r="F156" s="121" t="str">
        <f aca="false">ExportRaw!$H156</f>
        <v/>
      </c>
      <c r="G156" s="123" t="str">
        <f aca="false">ExportRaw!$I156</f>
        <v/>
      </c>
      <c r="H156" s="121" t="str">
        <f aca="false">ExportRaw!$A156</f>
        <v/>
      </c>
      <c r="I156" s="121" t="str">
        <f aca="false">ExportRaw!$B156</f>
        <v/>
      </c>
    </row>
    <row r="157" customFormat="false" ht="15.75" hidden="false" customHeight="false" outlineLevel="0" collapsed="false">
      <c r="A157" s="121" t="n">
        <f aca="false">ExportRaw!$F157</f>
        <v>0</v>
      </c>
      <c r="B157" s="121" t="n">
        <f aca="false">ExportRaw!$C157</f>
        <v>0</v>
      </c>
      <c r="C157" s="121" t="n">
        <f aca="false">ExportRaw!$G157</f>
        <v>0</v>
      </c>
      <c r="D157" s="121" t="str">
        <f aca="false">ExportRaw!$E157</f>
        <v/>
      </c>
      <c r="E157" s="122" t="str">
        <f aca="false">ExportRaw!$D157</f>
        <v/>
      </c>
      <c r="F157" s="121" t="str">
        <f aca="false">ExportRaw!$H157</f>
        <v/>
      </c>
      <c r="G157" s="123" t="str">
        <f aca="false">ExportRaw!$I157</f>
        <v/>
      </c>
      <c r="H157" s="121" t="str">
        <f aca="false">ExportRaw!$A157</f>
        <v/>
      </c>
      <c r="I157" s="121" t="str">
        <f aca="false">ExportRaw!$B157</f>
        <v/>
      </c>
    </row>
    <row r="158" customFormat="false" ht="15.75" hidden="false" customHeight="false" outlineLevel="0" collapsed="false">
      <c r="A158" s="121" t="n">
        <f aca="false">ExportRaw!$F158</f>
        <v>0</v>
      </c>
      <c r="B158" s="121" t="n">
        <f aca="false">ExportRaw!$C158</f>
        <v>0</v>
      </c>
      <c r="C158" s="121" t="n">
        <f aca="false">ExportRaw!$G158</f>
        <v>0</v>
      </c>
      <c r="D158" s="121" t="str">
        <f aca="false">ExportRaw!$E158</f>
        <v/>
      </c>
      <c r="E158" s="122" t="str">
        <f aca="false">ExportRaw!$D158</f>
        <v/>
      </c>
      <c r="F158" s="121" t="str">
        <f aca="false">ExportRaw!$H158</f>
        <v/>
      </c>
      <c r="G158" s="123" t="str">
        <f aca="false">ExportRaw!$I158</f>
        <v/>
      </c>
      <c r="H158" s="121" t="str">
        <f aca="false">ExportRaw!$A158</f>
        <v/>
      </c>
      <c r="I158" s="121" t="str">
        <f aca="false">ExportRaw!$B158</f>
        <v/>
      </c>
    </row>
    <row r="159" customFormat="false" ht="15.75" hidden="false" customHeight="false" outlineLevel="0" collapsed="false">
      <c r="A159" s="121" t="n">
        <f aca="false">ExportRaw!$F159</f>
        <v>0</v>
      </c>
      <c r="B159" s="121" t="n">
        <f aca="false">ExportRaw!$C159</f>
        <v>0</v>
      </c>
      <c r="C159" s="121" t="n">
        <f aca="false">ExportRaw!$G159</f>
        <v>0</v>
      </c>
      <c r="D159" s="121" t="str">
        <f aca="false">ExportRaw!$E159</f>
        <v/>
      </c>
      <c r="E159" s="122" t="str">
        <f aca="false">ExportRaw!$D159</f>
        <v/>
      </c>
      <c r="F159" s="121" t="str">
        <f aca="false">ExportRaw!$H159</f>
        <v/>
      </c>
      <c r="G159" s="123" t="str">
        <f aca="false">ExportRaw!$I159</f>
        <v/>
      </c>
      <c r="H159" s="121" t="str">
        <f aca="false">ExportRaw!$A159</f>
        <v/>
      </c>
      <c r="I159" s="121" t="str">
        <f aca="false">ExportRaw!$B159</f>
        <v/>
      </c>
    </row>
    <row r="160" customFormat="false" ht="15.75" hidden="false" customHeight="false" outlineLevel="0" collapsed="false">
      <c r="A160" s="121" t="n">
        <f aca="false">ExportRaw!$F160</f>
        <v>0</v>
      </c>
      <c r="B160" s="121" t="n">
        <f aca="false">ExportRaw!$C160</f>
        <v>0</v>
      </c>
      <c r="C160" s="121" t="n">
        <f aca="false">ExportRaw!$G160</f>
        <v>0</v>
      </c>
      <c r="D160" s="121" t="str">
        <f aca="false">ExportRaw!$E160</f>
        <v/>
      </c>
      <c r="E160" s="122" t="str">
        <f aca="false">ExportRaw!$D160</f>
        <v/>
      </c>
      <c r="F160" s="121" t="str">
        <f aca="false">ExportRaw!$H160</f>
        <v/>
      </c>
      <c r="G160" s="123" t="str">
        <f aca="false">ExportRaw!$I160</f>
        <v/>
      </c>
      <c r="H160" s="121" t="str">
        <f aca="false">ExportRaw!$A160</f>
        <v/>
      </c>
      <c r="I160" s="121" t="str">
        <f aca="false">ExportRaw!$B160</f>
        <v/>
      </c>
    </row>
    <row r="161" customFormat="false" ht="15.75" hidden="false" customHeight="false" outlineLevel="0" collapsed="false">
      <c r="A161" s="121" t="n">
        <f aca="false">ExportRaw!$F161</f>
        <v>0</v>
      </c>
      <c r="B161" s="121" t="n">
        <f aca="false">ExportRaw!$C161</f>
        <v>0</v>
      </c>
      <c r="C161" s="121" t="n">
        <f aca="false">ExportRaw!$G161</f>
        <v>0</v>
      </c>
      <c r="D161" s="121" t="str">
        <f aca="false">ExportRaw!$E161</f>
        <v/>
      </c>
      <c r="E161" s="122" t="str">
        <f aca="false">ExportRaw!$D161</f>
        <v/>
      </c>
      <c r="F161" s="121" t="str">
        <f aca="false">ExportRaw!$H161</f>
        <v/>
      </c>
      <c r="G161" s="123" t="str">
        <f aca="false">ExportRaw!$I161</f>
        <v/>
      </c>
      <c r="H161" s="121" t="str">
        <f aca="false">ExportRaw!$A161</f>
        <v/>
      </c>
      <c r="I161" s="121" t="str">
        <f aca="false">ExportRaw!$B161</f>
        <v/>
      </c>
    </row>
    <row r="162" customFormat="false" ht="15.75" hidden="false" customHeight="false" outlineLevel="0" collapsed="false">
      <c r="A162" s="121" t="n">
        <f aca="false">ExportRaw!$F162</f>
        <v>0</v>
      </c>
      <c r="B162" s="121" t="n">
        <f aca="false">ExportRaw!$C162</f>
        <v>0</v>
      </c>
      <c r="C162" s="121" t="n">
        <f aca="false">ExportRaw!$G162</f>
        <v>0</v>
      </c>
      <c r="D162" s="121" t="str">
        <f aca="false">ExportRaw!$E162</f>
        <v/>
      </c>
      <c r="E162" s="122" t="str">
        <f aca="false">ExportRaw!$D162</f>
        <v/>
      </c>
      <c r="F162" s="121" t="str">
        <f aca="false">ExportRaw!$H162</f>
        <v/>
      </c>
      <c r="G162" s="123" t="str">
        <f aca="false">ExportRaw!$I162</f>
        <v/>
      </c>
      <c r="H162" s="121" t="str">
        <f aca="false">ExportRaw!$A162</f>
        <v/>
      </c>
      <c r="I162" s="121" t="str">
        <f aca="false">ExportRaw!$B162</f>
        <v/>
      </c>
    </row>
    <row r="163" customFormat="false" ht="15.75" hidden="false" customHeight="false" outlineLevel="0" collapsed="false">
      <c r="A163" s="121" t="n">
        <f aca="false">ExportRaw!$F163</f>
        <v>0</v>
      </c>
      <c r="B163" s="121" t="n">
        <f aca="false">ExportRaw!$C163</f>
        <v>0</v>
      </c>
      <c r="C163" s="121" t="n">
        <f aca="false">ExportRaw!$G163</f>
        <v>0</v>
      </c>
      <c r="D163" s="121" t="str">
        <f aca="false">ExportRaw!$E163</f>
        <v/>
      </c>
      <c r="E163" s="122" t="str">
        <f aca="false">ExportRaw!$D163</f>
        <v/>
      </c>
      <c r="F163" s="121" t="str">
        <f aca="false">ExportRaw!$H163</f>
        <v/>
      </c>
      <c r="G163" s="123" t="str">
        <f aca="false">ExportRaw!$I163</f>
        <v/>
      </c>
      <c r="H163" s="121" t="str">
        <f aca="false">ExportRaw!$A163</f>
        <v/>
      </c>
      <c r="I163" s="121" t="str">
        <f aca="false">ExportRaw!$B163</f>
        <v/>
      </c>
    </row>
    <row r="164" customFormat="false" ht="15.75" hidden="false" customHeight="false" outlineLevel="0" collapsed="false">
      <c r="A164" s="121" t="n">
        <f aca="false">ExportRaw!$F164</f>
        <v>0</v>
      </c>
      <c r="B164" s="121" t="n">
        <f aca="false">ExportRaw!$C164</f>
        <v>0</v>
      </c>
      <c r="C164" s="121" t="n">
        <f aca="false">ExportRaw!$G164</f>
        <v>0</v>
      </c>
      <c r="D164" s="121" t="str">
        <f aca="false">ExportRaw!$E164</f>
        <v/>
      </c>
      <c r="E164" s="122" t="str">
        <f aca="false">ExportRaw!$D164</f>
        <v/>
      </c>
      <c r="F164" s="121" t="str">
        <f aca="false">ExportRaw!$H164</f>
        <v/>
      </c>
      <c r="G164" s="123" t="str">
        <f aca="false">ExportRaw!$I164</f>
        <v/>
      </c>
      <c r="H164" s="121" t="str">
        <f aca="false">ExportRaw!$A164</f>
        <v/>
      </c>
      <c r="I164" s="121" t="str">
        <f aca="false">ExportRaw!$B164</f>
        <v/>
      </c>
    </row>
    <row r="165" customFormat="false" ht="15.75" hidden="false" customHeight="false" outlineLevel="0" collapsed="false">
      <c r="A165" s="121" t="n">
        <f aca="false">ExportRaw!$F165</f>
        <v>0</v>
      </c>
      <c r="B165" s="121" t="n">
        <f aca="false">ExportRaw!$C165</f>
        <v>0</v>
      </c>
      <c r="C165" s="121" t="n">
        <f aca="false">ExportRaw!$G165</f>
        <v>0</v>
      </c>
      <c r="D165" s="121" t="str">
        <f aca="false">ExportRaw!$E165</f>
        <v/>
      </c>
      <c r="E165" s="122" t="str">
        <f aca="false">ExportRaw!$D165</f>
        <v/>
      </c>
      <c r="F165" s="121" t="str">
        <f aca="false">ExportRaw!$H165</f>
        <v/>
      </c>
      <c r="G165" s="123" t="str">
        <f aca="false">ExportRaw!$I165</f>
        <v/>
      </c>
      <c r="H165" s="121" t="str">
        <f aca="false">ExportRaw!$A165</f>
        <v/>
      </c>
      <c r="I165" s="121" t="str">
        <f aca="false">ExportRaw!$B165</f>
        <v/>
      </c>
    </row>
    <row r="166" customFormat="false" ht="15.75" hidden="false" customHeight="false" outlineLevel="0" collapsed="false">
      <c r="A166" s="121" t="n">
        <f aca="false">ExportRaw!$F166</f>
        <v>0</v>
      </c>
      <c r="B166" s="121" t="n">
        <f aca="false">ExportRaw!$C166</f>
        <v>0</v>
      </c>
      <c r="C166" s="121" t="n">
        <f aca="false">ExportRaw!$G166</f>
        <v>0</v>
      </c>
      <c r="D166" s="121" t="str">
        <f aca="false">ExportRaw!$E166</f>
        <v/>
      </c>
      <c r="E166" s="122" t="str">
        <f aca="false">ExportRaw!$D166</f>
        <v/>
      </c>
      <c r="F166" s="121" t="str">
        <f aca="false">ExportRaw!$H166</f>
        <v/>
      </c>
      <c r="G166" s="123" t="str">
        <f aca="false">ExportRaw!$I166</f>
        <v/>
      </c>
      <c r="H166" s="121" t="str">
        <f aca="false">ExportRaw!$A166</f>
        <v/>
      </c>
      <c r="I166" s="121" t="str">
        <f aca="false">ExportRaw!$B166</f>
        <v/>
      </c>
    </row>
    <row r="167" customFormat="false" ht="15.75" hidden="false" customHeight="false" outlineLevel="0" collapsed="false">
      <c r="A167" s="121" t="n">
        <f aca="false">ExportRaw!$F167</f>
        <v>0</v>
      </c>
      <c r="B167" s="121" t="n">
        <f aca="false">ExportRaw!$C167</f>
        <v>0</v>
      </c>
      <c r="C167" s="121" t="n">
        <f aca="false">ExportRaw!$G167</f>
        <v>0</v>
      </c>
      <c r="D167" s="121" t="str">
        <f aca="false">ExportRaw!$E167</f>
        <v/>
      </c>
      <c r="E167" s="122" t="str">
        <f aca="false">ExportRaw!$D167</f>
        <v/>
      </c>
      <c r="F167" s="121" t="str">
        <f aca="false">ExportRaw!$H167</f>
        <v/>
      </c>
      <c r="G167" s="123" t="str">
        <f aca="false">ExportRaw!$I167</f>
        <v/>
      </c>
      <c r="H167" s="121" t="str">
        <f aca="false">ExportRaw!$A167</f>
        <v/>
      </c>
      <c r="I167" s="121" t="str">
        <f aca="false">ExportRaw!$B167</f>
        <v/>
      </c>
    </row>
    <row r="168" customFormat="false" ht="15.75" hidden="false" customHeight="false" outlineLevel="0" collapsed="false">
      <c r="A168" s="121" t="n">
        <f aca="false">ExportRaw!$F168</f>
        <v>0</v>
      </c>
      <c r="B168" s="121" t="n">
        <f aca="false">ExportRaw!$C168</f>
        <v>0</v>
      </c>
      <c r="C168" s="121" t="n">
        <f aca="false">ExportRaw!$G168</f>
        <v>0</v>
      </c>
      <c r="D168" s="121" t="str">
        <f aca="false">ExportRaw!$E168</f>
        <v/>
      </c>
      <c r="E168" s="122" t="str">
        <f aca="false">ExportRaw!$D168</f>
        <v/>
      </c>
      <c r="F168" s="121" t="str">
        <f aca="false">ExportRaw!$H168</f>
        <v/>
      </c>
      <c r="G168" s="123" t="str">
        <f aca="false">ExportRaw!$I168</f>
        <v/>
      </c>
      <c r="H168" s="121" t="str">
        <f aca="false">ExportRaw!$A168</f>
        <v/>
      </c>
      <c r="I168" s="121" t="str">
        <f aca="false">ExportRaw!$B168</f>
        <v/>
      </c>
    </row>
    <row r="169" customFormat="false" ht="15.75" hidden="false" customHeight="false" outlineLevel="0" collapsed="false">
      <c r="A169" s="121" t="n">
        <f aca="false">ExportRaw!$F169</f>
        <v>0</v>
      </c>
      <c r="B169" s="121" t="n">
        <f aca="false">ExportRaw!$C169</f>
        <v>0</v>
      </c>
      <c r="C169" s="121" t="n">
        <f aca="false">ExportRaw!$G169</f>
        <v>0</v>
      </c>
      <c r="D169" s="121" t="str">
        <f aca="false">ExportRaw!$E169</f>
        <v/>
      </c>
      <c r="E169" s="122" t="str">
        <f aca="false">ExportRaw!$D169</f>
        <v/>
      </c>
      <c r="F169" s="121" t="str">
        <f aca="false">ExportRaw!$H169</f>
        <v/>
      </c>
      <c r="G169" s="123" t="str">
        <f aca="false">ExportRaw!$I169</f>
        <v/>
      </c>
      <c r="H169" s="121" t="str">
        <f aca="false">ExportRaw!$A169</f>
        <v/>
      </c>
      <c r="I169" s="121" t="str">
        <f aca="false">ExportRaw!$B169</f>
        <v/>
      </c>
    </row>
    <row r="170" customFormat="false" ht="15.75" hidden="false" customHeight="false" outlineLevel="0" collapsed="false">
      <c r="A170" s="121" t="n">
        <f aca="false">ExportRaw!$F170</f>
        <v>0</v>
      </c>
      <c r="B170" s="121" t="n">
        <f aca="false">ExportRaw!$C170</f>
        <v>0</v>
      </c>
      <c r="C170" s="121" t="n">
        <f aca="false">ExportRaw!$G170</f>
        <v>0</v>
      </c>
      <c r="D170" s="121" t="str">
        <f aca="false">ExportRaw!$E170</f>
        <v/>
      </c>
      <c r="E170" s="122" t="str">
        <f aca="false">ExportRaw!$D170</f>
        <v/>
      </c>
      <c r="F170" s="121" t="str">
        <f aca="false">ExportRaw!$H170</f>
        <v/>
      </c>
      <c r="G170" s="123" t="str">
        <f aca="false">ExportRaw!$I170</f>
        <v/>
      </c>
      <c r="H170" s="121" t="str">
        <f aca="false">ExportRaw!$A170</f>
        <v/>
      </c>
      <c r="I170" s="121" t="str">
        <f aca="false">ExportRaw!$B170</f>
        <v/>
      </c>
    </row>
    <row r="171" customFormat="false" ht="15.75" hidden="false" customHeight="false" outlineLevel="0" collapsed="false">
      <c r="A171" s="121" t="n">
        <f aca="false">ExportRaw!$F171</f>
        <v>0</v>
      </c>
      <c r="B171" s="121" t="n">
        <f aca="false">ExportRaw!$C171</f>
        <v>0</v>
      </c>
      <c r="C171" s="121" t="n">
        <f aca="false">ExportRaw!$G171</f>
        <v>0</v>
      </c>
      <c r="D171" s="121" t="str">
        <f aca="false">ExportRaw!$E171</f>
        <v/>
      </c>
      <c r="E171" s="122" t="str">
        <f aca="false">ExportRaw!$D171</f>
        <v/>
      </c>
      <c r="F171" s="121" t="str">
        <f aca="false">ExportRaw!$H171</f>
        <v/>
      </c>
      <c r="G171" s="123" t="str">
        <f aca="false">ExportRaw!$I171</f>
        <v/>
      </c>
      <c r="H171" s="121" t="str">
        <f aca="false">ExportRaw!$A171</f>
        <v/>
      </c>
      <c r="I171" s="121" t="str">
        <f aca="false">ExportRaw!$B171</f>
        <v/>
      </c>
    </row>
    <row r="172" customFormat="false" ht="15.75" hidden="false" customHeight="false" outlineLevel="0" collapsed="false">
      <c r="A172" s="121" t="n">
        <f aca="false">ExportRaw!$F172</f>
        <v>0</v>
      </c>
      <c r="B172" s="121" t="n">
        <f aca="false">ExportRaw!$C172</f>
        <v>0</v>
      </c>
      <c r="C172" s="121" t="n">
        <f aca="false">ExportRaw!$G172</f>
        <v>0</v>
      </c>
      <c r="D172" s="121" t="str">
        <f aca="false">ExportRaw!$E172</f>
        <v/>
      </c>
      <c r="E172" s="122" t="str">
        <f aca="false">ExportRaw!$D172</f>
        <v/>
      </c>
      <c r="F172" s="121" t="str">
        <f aca="false">ExportRaw!$H172</f>
        <v/>
      </c>
      <c r="G172" s="123" t="str">
        <f aca="false">ExportRaw!$I172</f>
        <v/>
      </c>
      <c r="H172" s="121" t="str">
        <f aca="false">ExportRaw!$A172</f>
        <v/>
      </c>
      <c r="I172" s="121" t="str">
        <f aca="false">ExportRaw!$B172</f>
        <v/>
      </c>
    </row>
    <row r="173" customFormat="false" ht="15.75" hidden="false" customHeight="false" outlineLevel="0" collapsed="false">
      <c r="A173" s="121" t="n">
        <f aca="false">ExportRaw!$F173</f>
        <v>0</v>
      </c>
      <c r="B173" s="121" t="n">
        <f aca="false">ExportRaw!$C173</f>
        <v>0</v>
      </c>
      <c r="C173" s="121" t="n">
        <f aca="false">ExportRaw!$G173</f>
        <v>0</v>
      </c>
      <c r="D173" s="121" t="str">
        <f aca="false">ExportRaw!$E173</f>
        <v/>
      </c>
      <c r="E173" s="122" t="str">
        <f aca="false">ExportRaw!$D173</f>
        <v/>
      </c>
      <c r="F173" s="121" t="str">
        <f aca="false">ExportRaw!$H173</f>
        <v/>
      </c>
      <c r="G173" s="123" t="str">
        <f aca="false">ExportRaw!$I173</f>
        <v/>
      </c>
      <c r="H173" s="121" t="str">
        <f aca="false">ExportRaw!$A173</f>
        <v/>
      </c>
      <c r="I173" s="121" t="str">
        <f aca="false">ExportRaw!$B173</f>
        <v/>
      </c>
    </row>
    <row r="174" customFormat="false" ht="15.75" hidden="false" customHeight="false" outlineLevel="0" collapsed="false">
      <c r="A174" s="121" t="n">
        <f aca="false">ExportRaw!$F174</f>
        <v>0</v>
      </c>
      <c r="B174" s="121" t="n">
        <f aca="false">ExportRaw!$C174</f>
        <v>0</v>
      </c>
      <c r="C174" s="121" t="n">
        <f aca="false">ExportRaw!$G174</f>
        <v>0</v>
      </c>
      <c r="D174" s="121" t="str">
        <f aca="false">ExportRaw!$E174</f>
        <v/>
      </c>
      <c r="E174" s="122" t="str">
        <f aca="false">ExportRaw!$D174</f>
        <v/>
      </c>
      <c r="F174" s="121" t="str">
        <f aca="false">ExportRaw!$H174</f>
        <v/>
      </c>
      <c r="G174" s="123" t="str">
        <f aca="false">ExportRaw!$I174</f>
        <v/>
      </c>
      <c r="H174" s="121" t="str">
        <f aca="false">ExportRaw!$A174</f>
        <v/>
      </c>
      <c r="I174" s="121" t="str">
        <f aca="false">ExportRaw!$B174</f>
        <v/>
      </c>
    </row>
    <row r="175" customFormat="false" ht="15.75" hidden="false" customHeight="false" outlineLevel="0" collapsed="false">
      <c r="A175" s="121" t="n">
        <f aca="false">ExportRaw!$F175</f>
        <v>0</v>
      </c>
      <c r="B175" s="121" t="n">
        <f aca="false">ExportRaw!$C175</f>
        <v>0</v>
      </c>
      <c r="C175" s="121" t="n">
        <f aca="false">ExportRaw!$G175</f>
        <v>0</v>
      </c>
      <c r="D175" s="121" t="str">
        <f aca="false">ExportRaw!$E175</f>
        <v/>
      </c>
      <c r="E175" s="122" t="str">
        <f aca="false">ExportRaw!$D175</f>
        <v/>
      </c>
      <c r="F175" s="121" t="str">
        <f aca="false">ExportRaw!$H175</f>
        <v/>
      </c>
      <c r="G175" s="123" t="str">
        <f aca="false">ExportRaw!$I175</f>
        <v/>
      </c>
      <c r="H175" s="121" t="str">
        <f aca="false">ExportRaw!$A175</f>
        <v/>
      </c>
      <c r="I175" s="121" t="str">
        <f aca="false">ExportRaw!$B175</f>
        <v/>
      </c>
    </row>
    <row r="176" customFormat="false" ht="15.75" hidden="false" customHeight="false" outlineLevel="0" collapsed="false">
      <c r="A176" s="121" t="n">
        <f aca="false">ExportRaw!$F176</f>
        <v>0</v>
      </c>
      <c r="B176" s="121" t="n">
        <f aca="false">ExportRaw!$C176</f>
        <v>0</v>
      </c>
      <c r="C176" s="121" t="n">
        <f aca="false">ExportRaw!$G176</f>
        <v>0</v>
      </c>
      <c r="D176" s="121" t="str">
        <f aca="false">ExportRaw!$E176</f>
        <v/>
      </c>
      <c r="E176" s="122" t="str">
        <f aca="false">ExportRaw!$D176</f>
        <v/>
      </c>
      <c r="F176" s="121" t="str">
        <f aca="false">ExportRaw!$H176</f>
        <v/>
      </c>
      <c r="G176" s="123" t="str">
        <f aca="false">ExportRaw!$I176</f>
        <v/>
      </c>
      <c r="H176" s="121" t="str">
        <f aca="false">ExportRaw!$A176</f>
        <v/>
      </c>
      <c r="I176" s="121" t="str">
        <f aca="false">ExportRaw!$B176</f>
        <v/>
      </c>
    </row>
    <row r="177" customFormat="false" ht="15.75" hidden="false" customHeight="false" outlineLevel="0" collapsed="false">
      <c r="A177" s="121" t="n">
        <f aca="false">ExportRaw!$F177</f>
        <v>0</v>
      </c>
      <c r="B177" s="121" t="n">
        <f aca="false">ExportRaw!$C177</f>
        <v>0</v>
      </c>
      <c r="C177" s="121" t="n">
        <f aca="false">ExportRaw!$G177</f>
        <v>0</v>
      </c>
      <c r="D177" s="121" t="str">
        <f aca="false">ExportRaw!$E177</f>
        <v/>
      </c>
      <c r="E177" s="122" t="str">
        <f aca="false">ExportRaw!$D177</f>
        <v/>
      </c>
      <c r="F177" s="121" t="str">
        <f aca="false">ExportRaw!$H177</f>
        <v/>
      </c>
      <c r="G177" s="123" t="str">
        <f aca="false">ExportRaw!$I177</f>
        <v/>
      </c>
      <c r="H177" s="121" t="str">
        <f aca="false">ExportRaw!$A177</f>
        <v/>
      </c>
      <c r="I177" s="121" t="str">
        <f aca="false">ExportRaw!$B177</f>
        <v/>
      </c>
    </row>
    <row r="178" customFormat="false" ht="15.75" hidden="false" customHeight="false" outlineLevel="0" collapsed="false">
      <c r="A178" s="121" t="n">
        <f aca="false">ExportRaw!$F178</f>
        <v>0</v>
      </c>
      <c r="B178" s="121" t="n">
        <f aca="false">ExportRaw!$C178</f>
        <v>0</v>
      </c>
      <c r="C178" s="121" t="n">
        <f aca="false">ExportRaw!$G178</f>
        <v>0</v>
      </c>
      <c r="D178" s="121" t="str">
        <f aca="false">ExportRaw!$E178</f>
        <v/>
      </c>
      <c r="E178" s="122" t="str">
        <f aca="false">ExportRaw!$D178</f>
        <v/>
      </c>
      <c r="F178" s="121" t="str">
        <f aca="false">ExportRaw!$H178</f>
        <v/>
      </c>
      <c r="G178" s="123" t="str">
        <f aca="false">ExportRaw!$I178</f>
        <v/>
      </c>
      <c r="H178" s="121" t="str">
        <f aca="false">ExportRaw!$A178</f>
        <v/>
      </c>
      <c r="I178" s="121" t="str">
        <f aca="false">ExportRaw!$B178</f>
        <v/>
      </c>
    </row>
    <row r="179" customFormat="false" ht="15.75" hidden="false" customHeight="false" outlineLevel="0" collapsed="false">
      <c r="A179" s="121" t="n">
        <f aca="false">ExportRaw!$F179</f>
        <v>0</v>
      </c>
      <c r="B179" s="121" t="n">
        <f aca="false">ExportRaw!$C179</f>
        <v>0</v>
      </c>
      <c r="C179" s="121" t="n">
        <f aca="false">ExportRaw!$G179</f>
        <v>0</v>
      </c>
      <c r="D179" s="121" t="str">
        <f aca="false">ExportRaw!$E179</f>
        <v/>
      </c>
      <c r="E179" s="122" t="str">
        <f aca="false">ExportRaw!$D179</f>
        <v/>
      </c>
      <c r="F179" s="121" t="str">
        <f aca="false">ExportRaw!$H179</f>
        <v/>
      </c>
      <c r="G179" s="123" t="str">
        <f aca="false">ExportRaw!$I179</f>
        <v/>
      </c>
      <c r="H179" s="121" t="str">
        <f aca="false">ExportRaw!$A179</f>
        <v/>
      </c>
      <c r="I179" s="121" t="str">
        <f aca="false">ExportRaw!$B179</f>
        <v/>
      </c>
    </row>
    <row r="180" customFormat="false" ht="15.75" hidden="false" customHeight="false" outlineLevel="0" collapsed="false">
      <c r="A180" s="121" t="n">
        <f aca="false">ExportRaw!$F180</f>
        <v>0</v>
      </c>
      <c r="B180" s="121" t="n">
        <f aca="false">ExportRaw!$C180</f>
        <v>0</v>
      </c>
      <c r="C180" s="121" t="n">
        <f aca="false">ExportRaw!$G180</f>
        <v>0</v>
      </c>
      <c r="D180" s="121" t="str">
        <f aca="false">ExportRaw!$E180</f>
        <v/>
      </c>
      <c r="E180" s="122" t="str">
        <f aca="false">ExportRaw!$D180</f>
        <v/>
      </c>
      <c r="F180" s="121" t="str">
        <f aca="false">ExportRaw!$H180</f>
        <v/>
      </c>
      <c r="G180" s="123" t="str">
        <f aca="false">ExportRaw!$I180</f>
        <v/>
      </c>
      <c r="H180" s="121" t="str">
        <f aca="false">ExportRaw!$A180</f>
        <v/>
      </c>
      <c r="I180" s="121" t="str">
        <f aca="false">ExportRaw!$B180</f>
        <v/>
      </c>
    </row>
    <row r="181" customFormat="false" ht="15.75" hidden="false" customHeight="false" outlineLevel="0" collapsed="false">
      <c r="A181" s="121" t="n">
        <f aca="false">ExportRaw!$F181</f>
        <v>0</v>
      </c>
      <c r="B181" s="121" t="n">
        <f aca="false">ExportRaw!$C181</f>
        <v>0</v>
      </c>
      <c r="C181" s="121" t="n">
        <f aca="false">ExportRaw!$G181</f>
        <v>0</v>
      </c>
      <c r="D181" s="121" t="str">
        <f aca="false">ExportRaw!$E181</f>
        <v/>
      </c>
      <c r="E181" s="122" t="str">
        <f aca="false">ExportRaw!$D181</f>
        <v/>
      </c>
      <c r="F181" s="121" t="str">
        <f aca="false">ExportRaw!$H181</f>
        <v/>
      </c>
      <c r="G181" s="123" t="str">
        <f aca="false">ExportRaw!$I181</f>
        <v/>
      </c>
      <c r="H181" s="121" t="str">
        <f aca="false">ExportRaw!$A181</f>
        <v/>
      </c>
      <c r="I181" s="121" t="str">
        <f aca="false">ExportRaw!$B181</f>
        <v/>
      </c>
    </row>
    <row r="182" customFormat="false" ht="15.75" hidden="false" customHeight="false" outlineLevel="0" collapsed="false">
      <c r="A182" s="121" t="n">
        <f aca="false">ExportRaw!$F182</f>
        <v>0</v>
      </c>
      <c r="B182" s="121" t="n">
        <f aca="false">ExportRaw!$C182</f>
        <v>0</v>
      </c>
      <c r="C182" s="121" t="n">
        <f aca="false">ExportRaw!$G182</f>
        <v>0</v>
      </c>
      <c r="D182" s="121" t="str">
        <f aca="false">ExportRaw!$E182</f>
        <v/>
      </c>
      <c r="E182" s="122" t="str">
        <f aca="false">ExportRaw!$D182</f>
        <v/>
      </c>
      <c r="F182" s="121" t="str">
        <f aca="false">ExportRaw!$H182</f>
        <v/>
      </c>
      <c r="G182" s="123" t="str">
        <f aca="false">ExportRaw!$I182</f>
        <v/>
      </c>
      <c r="H182" s="121" t="str">
        <f aca="false">ExportRaw!$A182</f>
        <v/>
      </c>
      <c r="I182" s="121" t="str">
        <f aca="false">ExportRaw!$B182</f>
        <v/>
      </c>
    </row>
    <row r="183" customFormat="false" ht="15.75" hidden="false" customHeight="false" outlineLevel="0" collapsed="false">
      <c r="A183" s="121" t="n">
        <f aca="false">ExportRaw!$F183</f>
        <v>0</v>
      </c>
      <c r="B183" s="121" t="n">
        <f aca="false">ExportRaw!$C183</f>
        <v>0</v>
      </c>
      <c r="C183" s="121" t="n">
        <f aca="false">ExportRaw!$G183</f>
        <v>0</v>
      </c>
      <c r="D183" s="121" t="str">
        <f aca="false">ExportRaw!$E183</f>
        <v/>
      </c>
      <c r="E183" s="122" t="str">
        <f aca="false">ExportRaw!$D183</f>
        <v/>
      </c>
      <c r="F183" s="121" t="str">
        <f aca="false">ExportRaw!$H183</f>
        <v/>
      </c>
      <c r="G183" s="123" t="str">
        <f aca="false">ExportRaw!$I183</f>
        <v/>
      </c>
      <c r="H183" s="121" t="str">
        <f aca="false">ExportRaw!$A183</f>
        <v/>
      </c>
      <c r="I183" s="121" t="str">
        <f aca="false">ExportRaw!$B183</f>
        <v/>
      </c>
    </row>
    <row r="184" customFormat="false" ht="15.75" hidden="false" customHeight="false" outlineLevel="0" collapsed="false">
      <c r="A184" s="121" t="n">
        <f aca="false">ExportRaw!$F184</f>
        <v>0</v>
      </c>
      <c r="B184" s="121" t="n">
        <f aca="false">ExportRaw!$C184</f>
        <v>0</v>
      </c>
      <c r="C184" s="121" t="n">
        <f aca="false">ExportRaw!$G184</f>
        <v>0</v>
      </c>
      <c r="D184" s="121" t="str">
        <f aca="false">ExportRaw!$E184</f>
        <v/>
      </c>
      <c r="E184" s="122" t="str">
        <f aca="false">ExportRaw!$D184</f>
        <v/>
      </c>
      <c r="F184" s="121" t="str">
        <f aca="false">ExportRaw!$H184</f>
        <v/>
      </c>
      <c r="G184" s="123" t="str">
        <f aca="false">ExportRaw!$I184</f>
        <v/>
      </c>
      <c r="H184" s="121" t="str">
        <f aca="false">ExportRaw!$A184</f>
        <v/>
      </c>
      <c r="I184" s="121" t="str">
        <f aca="false">ExportRaw!$B184</f>
        <v/>
      </c>
    </row>
    <row r="185" customFormat="false" ht="15.75" hidden="false" customHeight="false" outlineLevel="0" collapsed="false">
      <c r="A185" s="121" t="n">
        <f aca="false">ExportRaw!$F185</f>
        <v>0</v>
      </c>
      <c r="B185" s="121" t="n">
        <f aca="false">ExportRaw!$C185</f>
        <v>0</v>
      </c>
      <c r="C185" s="121" t="n">
        <f aca="false">ExportRaw!$G185</f>
        <v>0</v>
      </c>
      <c r="D185" s="121" t="str">
        <f aca="false">ExportRaw!$E185</f>
        <v/>
      </c>
      <c r="E185" s="122" t="str">
        <f aca="false">ExportRaw!$D185</f>
        <v/>
      </c>
      <c r="F185" s="121" t="str">
        <f aca="false">ExportRaw!$H185</f>
        <v/>
      </c>
      <c r="G185" s="123" t="str">
        <f aca="false">ExportRaw!$I185</f>
        <v/>
      </c>
      <c r="H185" s="121" t="str">
        <f aca="false">ExportRaw!$A185</f>
        <v/>
      </c>
      <c r="I185" s="121" t="str">
        <f aca="false">ExportRaw!$B185</f>
        <v/>
      </c>
    </row>
    <row r="186" customFormat="false" ht="15.75" hidden="false" customHeight="false" outlineLevel="0" collapsed="false">
      <c r="A186" s="121" t="n">
        <f aca="false">ExportRaw!$F186</f>
        <v>0</v>
      </c>
      <c r="B186" s="121" t="n">
        <f aca="false">ExportRaw!$C186</f>
        <v>0</v>
      </c>
      <c r="C186" s="121" t="n">
        <f aca="false">ExportRaw!$G186</f>
        <v>0</v>
      </c>
      <c r="D186" s="121" t="str">
        <f aca="false">ExportRaw!$E186</f>
        <v/>
      </c>
      <c r="E186" s="122" t="str">
        <f aca="false">ExportRaw!$D186</f>
        <v/>
      </c>
      <c r="F186" s="121" t="str">
        <f aca="false">ExportRaw!$H186</f>
        <v/>
      </c>
      <c r="G186" s="123" t="str">
        <f aca="false">ExportRaw!$I186</f>
        <v/>
      </c>
      <c r="H186" s="121" t="str">
        <f aca="false">ExportRaw!$A186</f>
        <v/>
      </c>
      <c r="I186" s="121" t="str">
        <f aca="false">ExportRaw!$B186</f>
        <v/>
      </c>
    </row>
    <row r="187" customFormat="false" ht="15.75" hidden="false" customHeight="false" outlineLevel="0" collapsed="false">
      <c r="A187" s="121" t="n">
        <f aca="false">ExportRaw!$F187</f>
        <v>0</v>
      </c>
      <c r="B187" s="121" t="n">
        <f aca="false">ExportRaw!$C187</f>
        <v>0</v>
      </c>
      <c r="C187" s="121" t="n">
        <f aca="false">ExportRaw!$G187</f>
        <v>0</v>
      </c>
      <c r="D187" s="121" t="str">
        <f aca="false">ExportRaw!$E187</f>
        <v/>
      </c>
      <c r="E187" s="122" t="str">
        <f aca="false">ExportRaw!$D187</f>
        <v/>
      </c>
      <c r="F187" s="121" t="str">
        <f aca="false">ExportRaw!$H187</f>
        <v/>
      </c>
      <c r="G187" s="123" t="str">
        <f aca="false">ExportRaw!$I187</f>
        <v/>
      </c>
      <c r="H187" s="121" t="str">
        <f aca="false">ExportRaw!$A187</f>
        <v/>
      </c>
      <c r="I187" s="121" t="str">
        <f aca="false">ExportRaw!$B187</f>
        <v/>
      </c>
    </row>
    <row r="188" customFormat="false" ht="15.75" hidden="false" customHeight="false" outlineLevel="0" collapsed="false">
      <c r="A188" s="121" t="n">
        <f aca="false">ExportRaw!$F188</f>
        <v>0</v>
      </c>
      <c r="B188" s="121" t="n">
        <f aca="false">ExportRaw!$C188</f>
        <v>0</v>
      </c>
      <c r="C188" s="121" t="n">
        <f aca="false">ExportRaw!$G188</f>
        <v>0</v>
      </c>
      <c r="D188" s="121" t="str">
        <f aca="false">ExportRaw!$E188</f>
        <v/>
      </c>
      <c r="E188" s="122" t="str">
        <f aca="false">ExportRaw!$D188</f>
        <v/>
      </c>
      <c r="F188" s="121" t="str">
        <f aca="false">ExportRaw!$H188</f>
        <v/>
      </c>
      <c r="G188" s="123" t="str">
        <f aca="false">ExportRaw!$I188</f>
        <v/>
      </c>
      <c r="H188" s="121" t="str">
        <f aca="false">ExportRaw!$A188</f>
        <v/>
      </c>
      <c r="I188" s="121" t="str">
        <f aca="false">ExportRaw!$B188</f>
        <v/>
      </c>
    </row>
    <row r="189" customFormat="false" ht="15.75" hidden="false" customHeight="false" outlineLevel="0" collapsed="false">
      <c r="A189" s="121" t="n">
        <f aca="false">ExportRaw!$F189</f>
        <v>0</v>
      </c>
      <c r="B189" s="121" t="n">
        <f aca="false">ExportRaw!$C189</f>
        <v>0</v>
      </c>
      <c r="C189" s="121" t="n">
        <f aca="false">ExportRaw!$G189</f>
        <v>0</v>
      </c>
      <c r="D189" s="121" t="str">
        <f aca="false">ExportRaw!$E189</f>
        <v/>
      </c>
      <c r="E189" s="122" t="str">
        <f aca="false">ExportRaw!$D189</f>
        <v/>
      </c>
      <c r="F189" s="121" t="str">
        <f aca="false">ExportRaw!$H189</f>
        <v/>
      </c>
      <c r="G189" s="123" t="str">
        <f aca="false">ExportRaw!$I189</f>
        <v/>
      </c>
      <c r="H189" s="121" t="str">
        <f aca="false">ExportRaw!$A189</f>
        <v/>
      </c>
      <c r="I189" s="121" t="str">
        <f aca="false">ExportRaw!$B189</f>
        <v/>
      </c>
    </row>
    <row r="190" customFormat="false" ht="15.75" hidden="false" customHeight="false" outlineLevel="0" collapsed="false">
      <c r="A190" s="121" t="n">
        <f aca="false">ExportRaw!$F190</f>
        <v>0</v>
      </c>
      <c r="B190" s="121" t="n">
        <f aca="false">ExportRaw!$C190</f>
        <v>0</v>
      </c>
      <c r="C190" s="121" t="n">
        <f aca="false">ExportRaw!$G190</f>
        <v>0</v>
      </c>
      <c r="D190" s="121" t="str">
        <f aca="false">ExportRaw!$E190</f>
        <v/>
      </c>
      <c r="E190" s="122" t="str">
        <f aca="false">ExportRaw!$D190</f>
        <v/>
      </c>
      <c r="F190" s="121" t="str">
        <f aca="false">ExportRaw!$H190</f>
        <v/>
      </c>
      <c r="G190" s="123" t="str">
        <f aca="false">ExportRaw!$I190</f>
        <v/>
      </c>
      <c r="H190" s="121" t="str">
        <f aca="false">ExportRaw!$A190</f>
        <v/>
      </c>
      <c r="I190" s="121" t="str">
        <f aca="false">ExportRaw!$B190</f>
        <v/>
      </c>
    </row>
    <row r="191" customFormat="false" ht="15.75" hidden="false" customHeight="false" outlineLevel="0" collapsed="false">
      <c r="A191" s="121" t="n">
        <f aca="false">ExportRaw!$F191</f>
        <v>0</v>
      </c>
      <c r="B191" s="121" t="n">
        <f aca="false">ExportRaw!$C191</f>
        <v>0</v>
      </c>
      <c r="C191" s="121" t="n">
        <f aca="false">ExportRaw!$G191</f>
        <v>0</v>
      </c>
      <c r="D191" s="121" t="str">
        <f aca="false">ExportRaw!$E191</f>
        <v/>
      </c>
      <c r="E191" s="122" t="str">
        <f aca="false">ExportRaw!$D191</f>
        <v/>
      </c>
      <c r="F191" s="121" t="str">
        <f aca="false">ExportRaw!$H191</f>
        <v/>
      </c>
      <c r="G191" s="123" t="str">
        <f aca="false">ExportRaw!$I191</f>
        <v/>
      </c>
      <c r="H191" s="121" t="str">
        <f aca="false">ExportRaw!$A191</f>
        <v/>
      </c>
      <c r="I191" s="121" t="str">
        <f aca="false">ExportRaw!$B191</f>
        <v/>
      </c>
    </row>
    <row r="192" customFormat="false" ht="15.75" hidden="false" customHeight="false" outlineLevel="0" collapsed="false">
      <c r="A192" s="121" t="n">
        <f aca="false">ExportRaw!$F192</f>
        <v>0</v>
      </c>
      <c r="B192" s="121" t="n">
        <f aca="false">ExportRaw!$C192</f>
        <v>0</v>
      </c>
      <c r="C192" s="121" t="n">
        <f aca="false">ExportRaw!$G192</f>
        <v>0</v>
      </c>
      <c r="D192" s="121" t="str">
        <f aca="false">ExportRaw!$E192</f>
        <v/>
      </c>
      <c r="E192" s="122" t="str">
        <f aca="false">ExportRaw!$D192</f>
        <v/>
      </c>
      <c r="F192" s="121" t="str">
        <f aca="false">ExportRaw!$H192</f>
        <v/>
      </c>
      <c r="G192" s="123" t="str">
        <f aca="false">ExportRaw!$I192</f>
        <v/>
      </c>
      <c r="H192" s="121" t="str">
        <f aca="false">ExportRaw!$A192</f>
        <v/>
      </c>
      <c r="I192" s="121" t="str">
        <f aca="false">ExportRaw!$B192</f>
        <v/>
      </c>
    </row>
    <row r="193" customFormat="false" ht="15.75" hidden="false" customHeight="false" outlineLevel="0" collapsed="false">
      <c r="A193" s="121" t="n">
        <f aca="false">ExportRaw!$F193</f>
        <v>0</v>
      </c>
      <c r="B193" s="121" t="n">
        <f aca="false">ExportRaw!$C193</f>
        <v>0</v>
      </c>
      <c r="C193" s="121" t="n">
        <f aca="false">ExportRaw!$G193</f>
        <v>0</v>
      </c>
      <c r="D193" s="121" t="str">
        <f aca="false">ExportRaw!$E193</f>
        <v/>
      </c>
      <c r="E193" s="122" t="str">
        <f aca="false">ExportRaw!$D193</f>
        <v/>
      </c>
      <c r="F193" s="121" t="str">
        <f aca="false">ExportRaw!$H193</f>
        <v/>
      </c>
      <c r="G193" s="123" t="str">
        <f aca="false">ExportRaw!$I193</f>
        <v/>
      </c>
      <c r="H193" s="121" t="str">
        <f aca="false">ExportRaw!$A193</f>
        <v/>
      </c>
      <c r="I193" s="121" t="str">
        <f aca="false">ExportRaw!$B193</f>
        <v/>
      </c>
    </row>
    <row r="194" customFormat="false" ht="15.75" hidden="false" customHeight="false" outlineLevel="0" collapsed="false">
      <c r="A194" s="121" t="n">
        <f aca="false">ExportRaw!$F194</f>
        <v>0</v>
      </c>
      <c r="B194" s="121" t="n">
        <f aca="false">ExportRaw!$C194</f>
        <v>0</v>
      </c>
      <c r="C194" s="121" t="n">
        <f aca="false">ExportRaw!$G194</f>
        <v>0</v>
      </c>
      <c r="D194" s="121" t="str">
        <f aca="false">ExportRaw!$E194</f>
        <v/>
      </c>
      <c r="E194" s="122" t="str">
        <f aca="false">ExportRaw!$D194</f>
        <v/>
      </c>
      <c r="F194" s="121" t="str">
        <f aca="false">ExportRaw!$H194</f>
        <v/>
      </c>
      <c r="G194" s="123" t="str">
        <f aca="false">ExportRaw!$I194</f>
        <v/>
      </c>
      <c r="H194" s="121" t="str">
        <f aca="false">ExportRaw!$A194</f>
        <v/>
      </c>
      <c r="I194" s="121" t="str">
        <f aca="false">ExportRaw!$B194</f>
        <v/>
      </c>
    </row>
    <row r="195" customFormat="false" ht="15.75" hidden="false" customHeight="false" outlineLevel="0" collapsed="false">
      <c r="A195" s="121" t="n">
        <f aca="false">ExportRaw!$F195</f>
        <v>0</v>
      </c>
      <c r="B195" s="121" t="n">
        <f aca="false">ExportRaw!$C195</f>
        <v>0</v>
      </c>
      <c r="C195" s="121" t="n">
        <f aca="false">ExportRaw!$G195</f>
        <v>0</v>
      </c>
      <c r="D195" s="121" t="str">
        <f aca="false">ExportRaw!$E195</f>
        <v/>
      </c>
      <c r="E195" s="122" t="str">
        <f aca="false">ExportRaw!$D195</f>
        <v/>
      </c>
      <c r="F195" s="121" t="str">
        <f aca="false">ExportRaw!$H195</f>
        <v/>
      </c>
      <c r="G195" s="123" t="str">
        <f aca="false">ExportRaw!$I195</f>
        <v/>
      </c>
      <c r="H195" s="121" t="str">
        <f aca="false">ExportRaw!$A195</f>
        <v/>
      </c>
      <c r="I195" s="121" t="str">
        <f aca="false">ExportRaw!$B195</f>
        <v/>
      </c>
    </row>
    <row r="196" customFormat="false" ht="15.75" hidden="false" customHeight="false" outlineLevel="0" collapsed="false">
      <c r="A196" s="121" t="n">
        <f aca="false">ExportRaw!$F196</f>
        <v>0</v>
      </c>
      <c r="B196" s="121" t="n">
        <f aca="false">ExportRaw!$C196</f>
        <v>0</v>
      </c>
      <c r="C196" s="121" t="n">
        <f aca="false">ExportRaw!$G196</f>
        <v>0</v>
      </c>
      <c r="D196" s="121" t="str">
        <f aca="false">ExportRaw!$E196</f>
        <v/>
      </c>
      <c r="E196" s="122" t="str">
        <f aca="false">ExportRaw!$D196</f>
        <v/>
      </c>
      <c r="F196" s="121" t="str">
        <f aca="false">ExportRaw!$H196</f>
        <v/>
      </c>
      <c r="G196" s="123" t="str">
        <f aca="false">ExportRaw!$I196</f>
        <v/>
      </c>
      <c r="H196" s="121" t="str">
        <f aca="false">ExportRaw!$A196</f>
        <v/>
      </c>
      <c r="I196" s="121" t="str">
        <f aca="false">ExportRaw!$B196</f>
        <v/>
      </c>
    </row>
    <row r="197" customFormat="false" ht="15.75" hidden="false" customHeight="false" outlineLevel="0" collapsed="false">
      <c r="A197" s="121" t="n">
        <f aca="false">ExportRaw!$F197</f>
        <v>0</v>
      </c>
      <c r="B197" s="121" t="n">
        <f aca="false">ExportRaw!$C197</f>
        <v>0</v>
      </c>
      <c r="C197" s="121" t="n">
        <f aca="false">ExportRaw!$G197</f>
        <v>0</v>
      </c>
      <c r="D197" s="121" t="str">
        <f aca="false">ExportRaw!$E197</f>
        <v/>
      </c>
      <c r="E197" s="122" t="str">
        <f aca="false">ExportRaw!$D197</f>
        <v/>
      </c>
      <c r="F197" s="121" t="str">
        <f aca="false">ExportRaw!$H197</f>
        <v/>
      </c>
      <c r="G197" s="123" t="str">
        <f aca="false">ExportRaw!$I197</f>
        <v/>
      </c>
      <c r="H197" s="121" t="str">
        <f aca="false">ExportRaw!$A197</f>
        <v/>
      </c>
      <c r="I197" s="121" t="str">
        <f aca="false">ExportRaw!$B197</f>
        <v/>
      </c>
    </row>
    <row r="198" customFormat="false" ht="15.75" hidden="false" customHeight="false" outlineLevel="0" collapsed="false">
      <c r="A198" s="121" t="n">
        <f aca="false">ExportRaw!$F198</f>
        <v>0</v>
      </c>
      <c r="B198" s="121" t="n">
        <f aca="false">ExportRaw!$C198</f>
        <v>0</v>
      </c>
      <c r="C198" s="121" t="n">
        <f aca="false">ExportRaw!$G198</f>
        <v>0</v>
      </c>
      <c r="D198" s="121" t="str">
        <f aca="false">ExportRaw!$E198</f>
        <v/>
      </c>
      <c r="E198" s="122" t="str">
        <f aca="false">ExportRaw!$D198</f>
        <v/>
      </c>
      <c r="F198" s="121" t="str">
        <f aca="false">ExportRaw!$H198</f>
        <v/>
      </c>
      <c r="G198" s="123" t="str">
        <f aca="false">ExportRaw!$I198</f>
        <v/>
      </c>
      <c r="H198" s="121" t="str">
        <f aca="false">ExportRaw!$A198</f>
        <v/>
      </c>
      <c r="I198" s="121" t="str">
        <f aca="false">ExportRaw!$B198</f>
        <v/>
      </c>
    </row>
    <row r="199" customFormat="false" ht="15.75" hidden="false" customHeight="false" outlineLevel="0" collapsed="false">
      <c r="A199" s="121" t="n">
        <f aca="false">ExportRaw!$F199</f>
        <v>0</v>
      </c>
      <c r="B199" s="121" t="n">
        <f aca="false">ExportRaw!$C199</f>
        <v>0</v>
      </c>
      <c r="C199" s="121" t="n">
        <f aca="false">ExportRaw!$G199</f>
        <v>0</v>
      </c>
      <c r="D199" s="121" t="str">
        <f aca="false">ExportRaw!$E199</f>
        <v/>
      </c>
      <c r="E199" s="122" t="str">
        <f aca="false">ExportRaw!$D199</f>
        <v/>
      </c>
      <c r="F199" s="121" t="str">
        <f aca="false">ExportRaw!$H199</f>
        <v/>
      </c>
      <c r="G199" s="123" t="str">
        <f aca="false">ExportRaw!$I199</f>
        <v/>
      </c>
      <c r="H199" s="121" t="str">
        <f aca="false">ExportRaw!$A199</f>
        <v/>
      </c>
      <c r="I199" s="121" t="str">
        <f aca="false">ExportRaw!$B199</f>
        <v/>
      </c>
    </row>
    <row r="200" customFormat="false" ht="15.75" hidden="false" customHeight="false" outlineLevel="0" collapsed="false">
      <c r="A200" s="121" t="n">
        <f aca="false">ExportRaw!$F200</f>
        <v>0</v>
      </c>
      <c r="B200" s="121" t="n">
        <f aca="false">ExportRaw!$C200</f>
        <v>0</v>
      </c>
      <c r="C200" s="121" t="n">
        <f aca="false">ExportRaw!$G200</f>
        <v>0</v>
      </c>
      <c r="D200" s="121" t="str">
        <f aca="false">ExportRaw!$E200</f>
        <v/>
      </c>
      <c r="E200" s="122" t="str">
        <f aca="false">ExportRaw!$D200</f>
        <v/>
      </c>
      <c r="F200" s="121" t="str">
        <f aca="false">ExportRaw!$H200</f>
        <v/>
      </c>
      <c r="G200" s="123" t="str">
        <f aca="false">ExportRaw!$I200</f>
        <v/>
      </c>
      <c r="H200" s="121" t="str">
        <f aca="false">ExportRaw!$A200</f>
        <v/>
      </c>
      <c r="I200" s="121" t="str">
        <f aca="false">ExportRaw!$B200</f>
        <v/>
      </c>
    </row>
    <row r="201" customFormat="false" ht="15.75" hidden="false" customHeight="false" outlineLevel="0" collapsed="false">
      <c r="A201" s="121" t="n">
        <f aca="false">ExportRaw!$F201</f>
        <v>0</v>
      </c>
      <c r="B201" s="121" t="n">
        <f aca="false">ExportRaw!$C201</f>
        <v>0</v>
      </c>
      <c r="C201" s="121" t="n">
        <f aca="false">ExportRaw!$G201</f>
        <v>0</v>
      </c>
      <c r="D201" s="121" t="str">
        <f aca="false">ExportRaw!$E201</f>
        <v/>
      </c>
      <c r="E201" s="122" t="str">
        <f aca="false">ExportRaw!$D201</f>
        <v/>
      </c>
      <c r="F201" s="121" t="str">
        <f aca="false">ExportRaw!$H201</f>
        <v/>
      </c>
      <c r="G201" s="123" t="str">
        <f aca="false">ExportRaw!$I201</f>
        <v/>
      </c>
      <c r="H201" s="121" t="str">
        <f aca="false">ExportRaw!$A201</f>
        <v/>
      </c>
      <c r="I201" s="121" t="str">
        <f aca="false">ExportRaw!$B201</f>
        <v/>
      </c>
    </row>
    <row r="202" customFormat="false" ht="15.75" hidden="false" customHeight="false" outlineLevel="0" collapsed="false">
      <c r="A202" s="121" t="n">
        <f aca="false">ExportRaw!$F202</f>
        <v>0</v>
      </c>
      <c r="B202" s="121" t="n">
        <f aca="false">ExportRaw!$C202</f>
        <v>0</v>
      </c>
      <c r="C202" s="121" t="n">
        <f aca="false">ExportRaw!$G202</f>
        <v>0</v>
      </c>
      <c r="D202" s="121" t="str">
        <f aca="false">ExportRaw!$E202</f>
        <v/>
      </c>
      <c r="E202" s="122" t="str">
        <f aca="false">ExportRaw!$D202</f>
        <v/>
      </c>
      <c r="F202" s="121" t="str">
        <f aca="false">ExportRaw!$H202</f>
        <v/>
      </c>
      <c r="G202" s="123" t="str">
        <f aca="false">ExportRaw!$I202</f>
        <v/>
      </c>
      <c r="H202" s="121" t="str">
        <f aca="false">ExportRaw!$A202</f>
        <v/>
      </c>
      <c r="I202" s="121" t="str">
        <f aca="false">ExportRaw!$B202</f>
        <v/>
      </c>
    </row>
    <row r="203" customFormat="false" ht="15.75" hidden="false" customHeight="false" outlineLevel="0" collapsed="false">
      <c r="A203" s="121" t="n">
        <f aca="false">ExportRaw!$F203</f>
        <v>0</v>
      </c>
      <c r="B203" s="121" t="n">
        <f aca="false">ExportRaw!$C203</f>
        <v>0</v>
      </c>
      <c r="C203" s="121" t="n">
        <f aca="false">ExportRaw!$G203</f>
        <v>0</v>
      </c>
      <c r="D203" s="121" t="str">
        <f aca="false">ExportRaw!$E203</f>
        <v/>
      </c>
      <c r="E203" s="122" t="str">
        <f aca="false">ExportRaw!$D203</f>
        <v/>
      </c>
      <c r="F203" s="121" t="str">
        <f aca="false">ExportRaw!$H203</f>
        <v/>
      </c>
      <c r="G203" s="123" t="str">
        <f aca="false">ExportRaw!$I203</f>
        <v/>
      </c>
      <c r="H203" s="121" t="str">
        <f aca="false">ExportRaw!$A203</f>
        <v/>
      </c>
      <c r="I203" s="121" t="str">
        <f aca="false">ExportRaw!$B203</f>
        <v/>
      </c>
    </row>
    <row r="204" customFormat="false" ht="15.75" hidden="false" customHeight="false" outlineLevel="0" collapsed="false">
      <c r="A204" s="121" t="n">
        <f aca="false">ExportRaw!$F204</f>
        <v>0</v>
      </c>
      <c r="B204" s="121" t="n">
        <f aca="false">ExportRaw!$C204</f>
        <v>0</v>
      </c>
      <c r="C204" s="121" t="n">
        <f aca="false">ExportRaw!$G204</f>
        <v>0</v>
      </c>
      <c r="D204" s="121" t="str">
        <f aca="false">ExportRaw!$E204</f>
        <v/>
      </c>
      <c r="E204" s="122" t="str">
        <f aca="false">ExportRaw!$D204</f>
        <v/>
      </c>
      <c r="F204" s="121" t="str">
        <f aca="false">ExportRaw!$H204</f>
        <v/>
      </c>
      <c r="G204" s="123" t="str">
        <f aca="false">ExportRaw!$I204</f>
        <v/>
      </c>
      <c r="H204" s="121" t="str">
        <f aca="false">ExportRaw!$A204</f>
        <v/>
      </c>
      <c r="I204" s="121" t="str">
        <f aca="false">ExportRaw!$B204</f>
        <v/>
      </c>
    </row>
    <row r="205" customFormat="false" ht="15.75" hidden="false" customHeight="false" outlineLevel="0" collapsed="false">
      <c r="A205" s="121" t="n">
        <f aca="false">ExportRaw!$F205</f>
        <v>0</v>
      </c>
      <c r="B205" s="121" t="n">
        <f aca="false">ExportRaw!$C205</f>
        <v>0</v>
      </c>
      <c r="C205" s="121" t="n">
        <f aca="false">ExportRaw!$G205</f>
        <v>0</v>
      </c>
      <c r="D205" s="121" t="str">
        <f aca="false">ExportRaw!$E205</f>
        <v/>
      </c>
      <c r="E205" s="122" t="str">
        <f aca="false">ExportRaw!$D205</f>
        <v/>
      </c>
      <c r="F205" s="121" t="str">
        <f aca="false">ExportRaw!$H205</f>
        <v/>
      </c>
      <c r="G205" s="123" t="str">
        <f aca="false">ExportRaw!$I205</f>
        <v/>
      </c>
      <c r="H205" s="121" t="str">
        <f aca="false">ExportRaw!$A205</f>
        <v/>
      </c>
      <c r="I205" s="121" t="str">
        <f aca="false">ExportRaw!$B205</f>
        <v/>
      </c>
    </row>
    <row r="206" customFormat="false" ht="15.75" hidden="false" customHeight="false" outlineLevel="0" collapsed="false">
      <c r="A206" s="121" t="n">
        <f aca="false">ExportRaw!$F206</f>
        <v>0</v>
      </c>
      <c r="B206" s="121" t="n">
        <f aca="false">ExportRaw!$C206</f>
        <v>0</v>
      </c>
      <c r="C206" s="121" t="n">
        <f aca="false">ExportRaw!$G206</f>
        <v>0</v>
      </c>
      <c r="D206" s="121" t="str">
        <f aca="false">ExportRaw!$E206</f>
        <v/>
      </c>
      <c r="E206" s="122" t="str">
        <f aca="false">ExportRaw!$D206</f>
        <v/>
      </c>
      <c r="F206" s="121" t="str">
        <f aca="false">ExportRaw!$H206</f>
        <v/>
      </c>
      <c r="G206" s="123" t="str">
        <f aca="false">ExportRaw!$I206</f>
        <v/>
      </c>
      <c r="H206" s="121" t="str">
        <f aca="false">ExportRaw!$A206</f>
        <v/>
      </c>
      <c r="I206" s="121" t="str">
        <f aca="false">ExportRaw!$B206</f>
        <v/>
      </c>
    </row>
    <row r="207" customFormat="false" ht="15.75" hidden="false" customHeight="false" outlineLevel="0" collapsed="false">
      <c r="A207" s="121" t="n">
        <f aca="false">ExportRaw!$F207</f>
        <v>0</v>
      </c>
      <c r="B207" s="121" t="n">
        <f aca="false">ExportRaw!$C207</f>
        <v>0</v>
      </c>
      <c r="C207" s="121" t="n">
        <f aca="false">ExportRaw!$G207</f>
        <v>0</v>
      </c>
      <c r="D207" s="121" t="str">
        <f aca="false">ExportRaw!$E207</f>
        <v/>
      </c>
      <c r="E207" s="122" t="str">
        <f aca="false">ExportRaw!$D207</f>
        <v/>
      </c>
      <c r="F207" s="121" t="str">
        <f aca="false">ExportRaw!$H207</f>
        <v/>
      </c>
      <c r="G207" s="123" t="str">
        <f aca="false">ExportRaw!$I207</f>
        <v/>
      </c>
      <c r="H207" s="121" t="str">
        <f aca="false">ExportRaw!$A207</f>
        <v/>
      </c>
      <c r="I207" s="121" t="str">
        <f aca="false">ExportRaw!$B207</f>
        <v/>
      </c>
    </row>
    <row r="208" customFormat="false" ht="15.75" hidden="false" customHeight="false" outlineLevel="0" collapsed="false">
      <c r="A208" s="121" t="n">
        <f aca="false">ExportRaw!$F208</f>
        <v>0</v>
      </c>
      <c r="B208" s="121" t="n">
        <f aca="false">ExportRaw!$C208</f>
        <v>0</v>
      </c>
      <c r="C208" s="121" t="n">
        <f aca="false">ExportRaw!$G208</f>
        <v>0</v>
      </c>
      <c r="D208" s="121" t="str">
        <f aca="false">ExportRaw!$E208</f>
        <v/>
      </c>
      <c r="E208" s="122" t="str">
        <f aca="false">ExportRaw!$D208</f>
        <v/>
      </c>
      <c r="F208" s="121" t="str">
        <f aca="false">ExportRaw!$H208</f>
        <v/>
      </c>
      <c r="G208" s="123" t="str">
        <f aca="false">ExportRaw!$I208</f>
        <v/>
      </c>
      <c r="H208" s="121" t="str">
        <f aca="false">ExportRaw!$A208</f>
        <v/>
      </c>
      <c r="I208" s="121" t="str">
        <f aca="false">ExportRaw!$B208</f>
        <v/>
      </c>
    </row>
    <row r="209" customFormat="false" ht="15.75" hidden="false" customHeight="false" outlineLevel="0" collapsed="false">
      <c r="A209" s="121" t="n">
        <f aca="false">ExportRaw!$F209</f>
        <v>0</v>
      </c>
      <c r="B209" s="121" t="n">
        <f aca="false">ExportRaw!$C209</f>
        <v>0</v>
      </c>
      <c r="C209" s="121" t="n">
        <f aca="false">ExportRaw!$G209</f>
        <v>0</v>
      </c>
      <c r="D209" s="121" t="str">
        <f aca="false">ExportRaw!$E209</f>
        <v/>
      </c>
      <c r="E209" s="122" t="str">
        <f aca="false">ExportRaw!$D209</f>
        <v/>
      </c>
      <c r="F209" s="121" t="str">
        <f aca="false">ExportRaw!$H209</f>
        <v/>
      </c>
      <c r="G209" s="123" t="str">
        <f aca="false">ExportRaw!$I209</f>
        <v/>
      </c>
      <c r="H209" s="121" t="str">
        <f aca="false">ExportRaw!$A209</f>
        <v/>
      </c>
      <c r="I209" s="121" t="str">
        <f aca="false">ExportRaw!$B209</f>
        <v/>
      </c>
    </row>
    <row r="210" customFormat="false" ht="15.75" hidden="false" customHeight="false" outlineLevel="0" collapsed="false">
      <c r="A210" s="121" t="n">
        <f aca="false">ExportRaw!$F210</f>
        <v>0</v>
      </c>
      <c r="B210" s="121" t="n">
        <f aca="false">ExportRaw!$C210</f>
        <v>0</v>
      </c>
      <c r="C210" s="121" t="n">
        <f aca="false">ExportRaw!$G210</f>
        <v>0</v>
      </c>
      <c r="D210" s="121" t="str">
        <f aca="false">ExportRaw!$E210</f>
        <v/>
      </c>
      <c r="E210" s="122" t="str">
        <f aca="false">ExportRaw!$D210</f>
        <v/>
      </c>
      <c r="F210" s="121" t="str">
        <f aca="false">ExportRaw!$H210</f>
        <v/>
      </c>
      <c r="G210" s="123" t="str">
        <f aca="false">ExportRaw!$I210</f>
        <v/>
      </c>
      <c r="H210" s="121" t="str">
        <f aca="false">ExportRaw!$A210</f>
        <v/>
      </c>
      <c r="I210" s="121" t="str">
        <f aca="false">ExportRaw!$B210</f>
        <v/>
      </c>
    </row>
    <row r="211" customFormat="false" ht="15.75" hidden="false" customHeight="false" outlineLevel="0" collapsed="false">
      <c r="A211" s="121" t="n">
        <f aca="false">ExportRaw!$F211</f>
        <v>0</v>
      </c>
      <c r="B211" s="121" t="n">
        <f aca="false">ExportRaw!$C211</f>
        <v>0</v>
      </c>
      <c r="C211" s="121" t="n">
        <f aca="false">ExportRaw!$G211</f>
        <v>0</v>
      </c>
      <c r="D211" s="121" t="str">
        <f aca="false">ExportRaw!$E211</f>
        <v/>
      </c>
      <c r="E211" s="122" t="str">
        <f aca="false">ExportRaw!$D211</f>
        <v/>
      </c>
      <c r="F211" s="121" t="str">
        <f aca="false">ExportRaw!$H211</f>
        <v/>
      </c>
      <c r="G211" s="123" t="str">
        <f aca="false">ExportRaw!$I211</f>
        <v/>
      </c>
      <c r="H211" s="121" t="str">
        <f aca="false">ExportRaw!$A211</f>
        <v/>
      </c>
      <c r="I211" s="121" t="str">
        <f aca="false">ExportRaw!$B211</f>
        <v/>
      </c>
    </row>
    <row r="212" customFormat="false" ht="15.75" hidden="false" customHeight="false" outlineLevel="0" collapsed="false">
      <c r="A212" s="121" t="n">
        <f aca="false">ExportRaw!$F212</f>
        <v>0</v>
      </c>
      <c r="B212" s="121" t="n">
        <f aca="false">ExportRaw!$C212</f>
        <v>0</v>
      </c>
      <c r="C212" s="121" t="n">
        <f aca="false">ExportRaw!$G212</f>
        <v>0</v>
      </c>
      <c r="D212" s="121" t="str">
        <f aca="false">ExportRaw!$E212</f>
        <v/>
      </c>
      <c r="E212" s="122" t="str">
        <f aca="false">ExportRaw!$D212</f>
        <v/>
      </c>
      <c r="F212" s="121" t="str">
        <f aca="false">ExportRaw!$H212</f>
        <v/>
      </c>
      <c r="G212" s="123" t="str">
        <f aca="false">ExportRaw!$I212</f>
        <v/>
      </c>
      <c r="H212" s="121" t="str">
        <f aca="false">ExportRaw!$A212</f>
        <v/>
      </c>
      <c r="I212" s="121" t="str">
        <f aca="false">ExportRaw!$B212</f>
        <v/>
      </c>
    </row>
    <row r="213" customFormat="false" ht="15.75" hidden="false" customHeight="false" outlineLevel="0" collapsed="false">
      <c r="A213" s="121" t="n">
        <f aca="false">ExportRaw!$F213</f>
        <v>0</v>
      </c>
      <c r="B213" s="121" t="n">
        <f aca="false">ExportRaw!$C213</f>
        <v>0</v>
      </c>
      <c r="C213" s="121" t="n">
        <f aca="false">ExportRaw!$G213</f>
        <v>0</v>
      </c>
      <c r="D213" s="121" t="str">
        <f aca="false">ExportRaw!$E213</f>
        <v/>
      </c>
      <c r="E213" s="122" t="str">
        <f aca="false">ExportRaw!$D213</f>
        <v/>
      </c>
      <c r="F213" s="121" t="str">
        <f aca="false">ExportRaw!$H213</f>
        <v/>
      </c>
      <c r="G213" s="123" t="str">
        <f aca="false">ExportRaw!$I213</f>
        <v/>
      </c>
      <c r="H213" s="121" t="str">
        <f aca="false">ExportRaw!$A213</f>
        <v/>
      </c>
      <c r="I213" s="121" t="str">
        <f aca="false">ExportRaw!$B213</f>
        <v/>
      </c>
    </row>
    <row r="214" customFormat="false" ht="15.75" hidden="false" customHeight="false" outlineLevel="0" collapsed="false">
      <c r="A214" s="121" t="n">
        <f aca="false">ExportRaw!$F214</f>
        <v>0</v>
      </c>
      <c r="B214" s="121" t="n">
        <f aca="false">ExportRaw!$C214</f>
        <v>0</v>
      </c>
      <c r="C214" s="121" t="n">
        <f aca="false">ExportRaw!$G214</f>
        <v>0</v>
      </c>
      <c r="D214" s="121" t="str">
        <f aca="false">ExportRaw!$E214</f>
        <v/>
      </c>
      <c r="E214" s="122" t="str">
        <f aca="false">ExportRaw!$D214</f>
        <v/>
      </c>
      <c r="F214" s="121" t="str">
        <f aca="false">ExportRaw!$H214</f>
        <v/>
      </c>
      <c r="G214" s="123" t="str">
        <f aca="false">ExportRaw!$I214</f>
        <v/>
      </c>
      <c r="H214" s="121" t="str">
        <f aca="false">ExportRaw!$A214</f>
        <v/>
      </c>
      <c r="I214" s="121" t="str">
        <f aca="false">ExportRaw!$B214</f>
        <v/>
      </c>
    </row>
    <row r="215" customFormat="false" ht="15.75" hidden="false" customHeight="false" outlineLevel="0" collapsed="false">
      <c r="A215" s="121" t="n">
        <f aca="false">ExportRaw!$F215</f>
        <v>0</v>
      </c>
      <c r="B215" s="121" t="n">
        <f aca="false">ExportRaw!$C215</f>
        <v>0</v>
      </c>
      <c r="C215" s="121" t="n">
        <f aca="false">ExportRaw!$G215</f>
        <v>0</v>
      </c>
      <c r="D215" s="121" t="str">
        <f aca="false">ExportRaw!$E215</f>
        <v/>
      </c>
      <c r="E215" s="122" t="str">
        <f aca="false">ExportRaw!$D215</f>
        <v/>
      </c>
      <c r="F215" s="121" t="str">
        <f aca="false">ExportRaw!$H215</f>
        <v/>
      </c>
      <c r="G215" s="123" t="str">
        <f aca="false">ExportRaw!$I215</f>
        <v/>
      </c>
      <c r="H215" s="121" t="str">
        <f aca="false">ExportRaw!$A215</f>
        <v/>
      </c>
      <c r="I215" s="121" t="str">
        <f aca="false">ExportRaw!$B215</f>
        <v/>
      </c>
    </row>
    <row r="216" customFormat="false" ht="15.75" hidden="false" customHeight="false" outlineLevel="0" collapsed="false">
      <c r="A216" s="121" t="n">
        <f aca="false">ExportRaw!$F216</f>
        <v>0</v>
      </c>
      <c r="B216" s="121" t="n">
        <f aca="false">ExportRaw!$C216</f>
        <v>0</v>
      </c>
      <c r="C216" s="121" t="n">
        <f aca="false">ExportRaw!$G216</f>
        <v>0</v>
      </c>
      <c r="D216" s="121" t="str">
        <f aca="false">ExportRaw!$E216</f>
        <v/>
      </c>
      <c r="E216" s="122" t="str">
        <f aca="false">ExportRaw!$D216</f>
        <v/>
      </c>
      <c r="F216" s="121" t="str">
        <f aca="false">ExportRaw!$H216</f>
        <v/>
      </c>
      <c r="G216" s="123" t="str">
        <f aca="false">ExportRaw!$I216</f>
        <v/>
      </c>
      <c r="H216" s="121" t="str">
        <f aca="false">ExportRaw!$A216</f>
        <v/>
      </c>
      <c r="I216" s="121" t="str">
        <f aca="false">ExportRaw!$B216</f>
        <v/>
      </c>
    </row>
    <row r="217" customFormat="false" ht="15.75" hidden="false" customHeight="false" outlineLevel="0" collapsed="false">
      <c r="A217" s="121" t="n">
        <f aca="false">ExportRaw!$F217</f>
        <v>0</v>
      </c>
      <c r="B217" s="121" t="n">
        <f aca="false">ExportRaw!$C217</f>
        <v>0</v>
      </c>
      <c r="C217" s="121" t="n">
        <f aca="false">ExportRaw!$G217</f>
        <v>0</v>
      </c>
      <c r="D217" s="121" t="str">
        <f aca="false">ExportRaw!$E217</f>
        <v/>
      </c>
      <c r="E217" s="122" t="str">
        <f aca="false">ExportRaw!$D217</f>
        <v/>
      </c>
      <c r="F217" s="121" t="str">
        <f aca="false">ExportRaw!$H217</f>
        <v/>
      </c>
      <c r="G217" s="123" t="str">
        <f aca="false">ExportRaw!$I217</f>
        <v/>
      </c>
      <c r="H217" s="121" t="str">
        <f aca="false">ExportRaw!$A217</f>
        <v/>
      </c>
      <c r="I217" s="121" t="str">
        <f aca="false">ExportRaw!$B217</f>
        <v/>
      </c>
    </row>
    <row r="218" customFormat="false" ht="15.75" hidden="false" customHeight="false" outlineLevel="0" collapsed="false">
      <c r="A218" s="121" t="n">
        <f aca="false">ExportRaw!$F218</f>
        <v>0</v>
      </c>
      <c r="B218" s="121" t="n">
        <f aca="false">ExportRaw!$C218</f>
        <v>0</v>
      </c>
      <c r="C218" s="121" t="n">
        <f aca="false">ExportRaw!$G218</f>
        <v>0</v>
      </c>
      <c r="D218" s="121" t="str">
        <f aca="false">ExportRaw!$E218</f>
        <v/>
      </c>
      <c r="E218" s="122" t="str">
        <f aca="false">ExportRaw!$D218</f>
        <v/>
      </c>
      <c r="F218" s="121" t="str">
        <f aca="false">ExportRaw!$H218</f>
        <v/>
      </c>
      <c r="G218" s="123" t="str">
        <f aca="false">ExportRaw!$I218</f>
        <v/>
      </c>
      <c r="H218" s="121" t="str">
        <f aca="false">ExportRaw!$A218</f>
        <v/>
      </c>
      <c r="I218" s="121" t="str">
        <f aca="false">ExportRaw!$B218</f>
        <v/>
      </c>
    </row>
    <row r="219" customFormat="false" ht="15.75" hidden="false" customHeight="false" outlineLevel="0" collapsed="false">
      <c r="A219" s="121" t="n">
        <f aca="false">ExportRaw!$F219</f>
        <v>0</v>
      </c>
      <c r="B219" s="121" t="n">
        <f aca="false">ExportRaw!$C219</f>
        <v>0</v>
      </c>
      <c r="C219" s="121" t="n">
        <f aca="false">ExportRaw!$G219</f>
        <v>0</v>
      </c>
      <c r="D219" s="121" t="str">
        <f aca="false">ExportRaw!$E219</f>
        <v/>
      </c>
      <c r="E219" s="122" t="str">
        <f aca="false">ExportRaw!$D219</f>
        <v/>
      </c>
      <c r="F219" s="121" t="str">
        <f aca="false">ExportRaw!$H219</f>
        <v/>
      </c>
      <c r="G219" s="123" t="str">
        <f aca="false">ExportRaw!$I219</f>
        <v/>
      </c>
      <c r="H219" s="121" t="str">
        <f aca="false">ExportRaw!$A219</f>
        <v/>
      </c>
      <c r="I219" s="121" t="str">
        <f aca="false">ExportRaw!$B219</f>
        <v/>
      </c>
    </row>
    <row r="220" customFormat="false" ht="15.75" hidden="false" customHeight="false" outlineLevel="0" collapsed="false">
      <c r="A220" s="121" t="n">
        <f aca="false">ExportRaw!$F220</f>
        <v>0</v>
      </c>
      <c r="B220" s="121" t="n">
        <f aca="false">ExportRaw!$C220</f>
        <v>0</v>
      </c>
      <c r="C220" s="121" t="n">
        <f aca="false">ExportRaw!$G220</f>
        <v>0</v>
      </c>
      <c r="D220" s="121" t="str">
        <f aca="false">ExportRaw!$E220</f>
        <v/>
      </c>
      <c r="E220" s="122" t="str">
        <f aca="false">ExportRaw!$D220</f>
        <v/>
      </c>
      <c r="F220" s="121" t="str">
        <f aca="false">ExportRaw!$H220</f>
        <v/>
      </c>
      <c r="G220" s="123" t="str">
        <f aca="false">ExportRaw!$I220</f>
        <v/>
      </c>
      <c r="H220" s="121" t="str">
        <f aca="false">ExportRaw!$A220</f>
        <v/>
      </c>
      <c r="I220" s="121" t="str">
        <f aca="false">ExportRaw!$B220</f>
        <v/>
      </c>
    </row>
    <row r="221" customFormat="false" ht="15.75" hidden="false" customHeight="false" outlineLevel="0" collapsed="false">
      <c r="A221" s="121" t="n">
        <f aca="false">ExportRaw!$F221</f>
        <v>0</v>
      </c>
      <c r="B221" s="121" t="n">
        <f aca="false">ExportRaw!$C221</f>
        <v>0</v>
      </c>
      <c r="C221" s="121" t="n">
        <f aca="false">ExportRaw!$G221</f>
        <v>0</v>
      </c>
      <c r="D221" s="121" t="str">
        <f aca="false">ExportRaw!$E221</f>
        <v/>
      </c>
      <c r="E221" s="122" t="str">
        <f aca="false">ExportRaw!$D221</f>
        <v/>
      </c>
      <c r="F221" s="121" t="str">
        <f aca="false">ExportRaw!$H221</f>
        <v/>
      </c>
      <c r="G221" s="123" t="str">
        <f aca="false">ExportRaw!$I221</f>
        <v/>
      </c>
      <c r="H221" s="121" t="str">
        <f aca="false">ExportRaw!$A221</f>
        <v/>
      </c>
      <c r="I221" s="121" t="str">
        <f aca="false">ExportRaw!$B221</f>
        <v/>
      </c>
    </row>
    <row r="222" customFormat="false" ht="15.75" hidden="false" customHeight="false" outlineLevel="0" collapsed="false">
      <c r="A222" s="121" t="n">
        <f aca="false">ExportRaw!$F222</f>
        <v>0</v>
      </c>
      <c r="B222" s="121" t="n">
        <f aca="false">ExportRaw!$C222</f>
        <v>0</v>
      </c>
      <c r="C222" s="121" t="n">
        <f aca="false">ExportRaw!$G222</f>
        <v>0</v>
      </c>
      <c r="D222" s="121" t="str">
        <f aca="false">ExportRaw!$E222</f>
        <v/>
      </c>
      <c r="E222" s="122" t="str">
        <f aca="false">ExportRaw!$D222</f>
        <v/>
      </c>
      <c r="F222" s="121" t="str">
        <f aca="false">ExportRaw!$H222</f>
        <v/>
      </c>
      <c r="G222" s="123" t="str">
        <f aca="false">ExportRaw!$I222</f>
        <v/>
      </c>
      <c r="H222" s="121" t="str">
        <f aca="false">ExportRaw!$A222</f>
        <v/>
      </c>
      <c r="I222" s="121" t="str">
        <f aca="false">ExportRaw!$B222</f>
        <v/>
      </c>
    </row>
    <row r="223" customFormat="false" ht="15.75" hidden="false" customHeight="false" outlineLevel="0" collapsed="false">
      <c r="A223" s="121" t="n">
        <f aca="false">ExportRaw!$F223</f>
        <v>0</v>
      </c>
      <c r="B223" s="121" t="n">
        <f aca="false">ExportRaw!$C223</f>
        <v>0</v>
      </c>
      <c r="C223" s="121" t="n">
        <f aca="false">ExportRaw!$G223</f>
        <v>0</v>
      </c>
      <c r="D223" s="121" t="str">
        <f aca="false">ExportRaw!$E223</f>
        <v/>
      </c>
      <c r="E223" s="122" t="str">
        <f aca="false">ExportRaw!$D223</f>
        <v/>
      </c>
      <c r="F223" s="121" t="str">
        <f aca="false">ExportRaw!$H223</f>
        <v/>
      </c>
      <c r="G223" s="123" t="str">
        <f aca="false">ExportRaw!$I223</f>
        <v/>
      </c>
      <c r="H223" s="121" t="str">
        <f aca="false">ExportRaw!$A223</f>
        <v/>
      </c>
      <c r="I223" s="121" t="str">
        <f aca="false">ExportRaw!$B223</f>
        <v/>
      </c>
    </row>
    <row r="224" customFormat="false" ht="15.75" hidden="false" customHeight="false" outlineLevel="0" collapsed="false">
      <c r="A224" s="121" t="n">
        <f aca="false">ExportRaw!$F224</f>
        <v>0</v>
      </c>
      <c r="B224" s="121" t="n">
        <f aca="false">ExportRaw!$C224</f>
        <v>0</v>
      </c>
      <c r="C224" s="121" t="n">
        <f aca="false">ExportRaw!$G224</f>
        <v>0</v>
      </c>
      <c r="D224" s="121" t="str">
        <f aca="false">ExportRaw!$E224</f>
        <v/>
      </c>
      <c r="E224" s="122" t="str">
        <f aca="false">ExportRaw!$D224</f>
        <v/>
      </c>
      <c r="F224" s="121" t="str">
        <f aca="false">ExportRaw!$H224</f>
        <v/>
      </c>
      <c r="G224" s="123" t="str">
        <f aca="false">ExportRaw!$I224</f>
        <v/>
      </c>
      <c r="H224" s="121" t="str">
        <f aca="false">ExportRaw!$A224</f>
        <v/>
      </c>
      <c r="I224" s="121" t="str">
        <f aca="false">ExportRaw!$B224</f>
        <v/>
      </c>
    </row>
    <row r="225" customFormat="false" ht="15.75" hidden="false" customHeight="false" outlineLevel="0" collapsed="false">
      <c r="A225" s="121" t="n">
        <f aca="false">ExportRaw!$F225</f>
        <v>0</v>
      </c>
      <c r="B225" s="121" t="n">
        <f aca="false">ExportRaw!$C225</f>
        <v>0</v>
      </c>
      <c r="C225" s="121" t="n">
        <f aca="false">ExportRaw!$G225</f>
        <v>0</v>
      </c>
      <c r="D225" s="121" t="str">
        <f aca="false">ExportRaw!$E225</f>
        <v/>
      </c>
      <c r="E225" s="122" t="str">
        <f aca="false">ExportRaw!$D225</f>
        <v/>
      </c>
      <c r="F225" s="121" t="str">
        <f aca="false">ExportRaw!$H225</f>
        <v/>
      </c>
      <c r="G225" s="123" t="str">
        <f aca="false">ExportRaw!$I225</f>
        <v/>
      </c>
      <c r="H225" s="121" t="str">
        <f aca="false">ExportRaw!$A225</f>
        <v/>
      </c>
      <c r="I225" s="121" t="str">
        <f aca="false">ExportRaw!$B225</f>
        <v/>
      </c>
    </row>
    <row r="226" customFormat="false" ht="15.75" hidden="false" customHeight="false" outlineLevel="0" collapsed="false">
      <c r="A226" s="121" t="n">
        <f aca="false">ExportRaw!$F226</f>
        <v>0</v>
      </c>
      <c r="B226" s="121" t="n">
        <f aca="false">ExportRaw!$C226</f>
        <v>0</v>
      </c>
      <c r="C226" s="121" t="n">
        <f aca="false">ExportRaw!$G226</f>
        <v>0</v>
      </c>
      <c r="D226" s="121" t="str">
        <f aca="false">ExportRaw!$E226</f>
        <v/>
      </c>
      <c r="E226" s="122" t="str">
        <f aca="false">ExportRaw!$D226</f>
        <v/>
      </c>
      <c r="F226" s="121" t="str">
        <f aca="false">ExportRaw!$H226</f>
        <v/>
      </c>
      <c r="G226" s="123" t="str">
        <f aca="false">ExportRaw!$I226</f>
        <v/>
      </c>
      <c r="H226" s="121" t="str">
        <f aca="false">ExportRaw!$A226</f>
        <v/>
      </c>
      <c r="I226" s="121" t="str">
        <f aca="false">ExportRaw!$B226</f>
        <v/>
      </c>
    </row>
    <row r="227" customFormat="false" ht="15.75" hidden="false" customHeight="false" outlineLevel="0" collapsed="false">
      <c r="A227" s="121" t="n">
        <f aca="false">ExportRaw!$F227</f>
        <v>0</v>
      </c>
      <c r="B227" s="121" t="n">
        <f aca="false">ExportRaw!$C227</f>
        <v>0</v>
      </c>
      <c r="C227" s="121" t="n">
        <f aca="false">ExportRaw!$G227</f>
        <v>0</v>
      </c>
      <c r="D227" s="121" t="str">
        <f aca="false">ExportRaw!$E227</f>
        <v/>
      </c>
      <c r="E227" s="122" t="str">
        <f aca="false">ExportRaw!$D227</f>
        <v/>
      </c>
      <c r="F227" s="121" t="str">
        <f aca="false">ExportRaw!$H227</f>
        <v/>
      </c>
      <c r="G227" s="123" t="str">
        <f aca="false">ExportRaw!$I227</f>
        <v/>
      </c>
      <c r="H227" s="121" t="str">
        <f aca="false">ExportRaw!$A227</f>
        <v/>
      </c>
      <c r="I227" s="121" t="str">
        <f aca="false">ExportRaw!$B227</f>
        <v/>
      </c>
    </row>
    <row r="228" customFormat="false" ht="15.75" hidden="false" customHeight="false" outlineLevel="0" collapsed="false">
      <c r="A228" s="121" t="n">
        <f aca="false">ExportRaw!$F228</f>
        <v>0</v>
      </c>
      <c r="B228" s="121" t="n">
        <f aca="false">ExportRaw!$C228</f>
        <v>0</v>
      </c>
      <c r="C228" s="121" t="n">
        <f aca="false">ExportRaw!$G228</f>
        <v>0</v>
      </c>
      <c r="D228" s="121" t="str">
        <f aca="false">ExportRaw!$E228</f>
        <v/>
      </c>
      <c r="E228" s="122" t="str">
        <f aca="false">ExportRaw!$D228</f>
        <v/>
      </c>
      <c r="F228" s="121" t="str">
        <f aca="false">ExportRaw!$H228</f>
        <v/>
      </c>
      <c r="G228" s="123" t="str">
        <f aca="false">ExportRaw!$I228</f>
        <v/>
      </c>
      <c r="H228" s="121" t="str">
        <f aca="false">ExportRaw!$A228</f>
        <v/>
      </c>
      <c r="I228" s="121" t="str">
        <f aca="false">ExportRaw!$B228</f>
        <v/>
      </c>
    </row>
    <row r="229" customFormat="false" ht="15.75" hidden="false" customHeight="false" outlineLevel="0" collapsed="false">
      <c r="A229" s="121" t="n">
        <f aca="false">ExportRaw!$F229</f>
        <v>0</v>
      </c>
      <c r="B229" s="121" t="n">
        <f aca="false">ExportRaw!$C229</f>
        <v>0</v>
      </c>
      <c r="C229" s="121" t="n">
        <f aca="false">ExportRaw!$G229</f>
        <v>0</v>
      </c>
      <c r="D229" s="121" t="str">
        <f aca="false">ExportRaw!$E229</f>
        <v/>
      </c>
      <c r="E229" s="122" t="str">
        <f aca="false">ExportRaw!$D229</f>
        <v/>
      </c>
      <c r="F229" s="121" t="str">
        <f aca="false">ExportRaw!$H229</f>
        <v/>
      </c>
      <c r="G229" s="123" t="str">
        <f aca="false">ExportRaw!$I229</f>
        <v/>
      </c>
      <c r="H229" s="121" t="str">
        <f aca="false">ExportRaw!$A229</f>
        <v/>
      </c>
      <c r="I229" s="121" t="str">
        <f aca="false">ExportRaw!$B229</f>
        <v/>
      </c>
    </row>
    <row r="230" customFormat="false" ht="15.75" hidden="false" customHeight="false" outlineLevel="0" collapsed="false">
      <c r="A230" s="121" t="n">
        <f aca="false">ExportRaw!$F230</f>
        <v>0</v>
      </c>
      <c r="B230" s="121" t="n">
        <f aca="false">ExportRaw!$C230</f>
        <v>0</v>
      </c>
      <c r="C230" s="121" t="n">
        <f aca="false">ExportRaw!$G230</f>
        <v>0</v>
      </c>
      <c r="D230" s="121" t="str">
        <f aca="false">ExportRaw!$E230</f>
        <v/>
      </c>
      <c r="E230" s="122" t="str">
        <f aca="false">ExportRaw!$D230</f>
        <v/>
      </c>
      <c r="F230" s="121" t="str">
        <f aca="false">ExportRaw!$H230</f>
        <v/>
      </c>
      <c r="G230" s="123" t="str">
        <f aca="false">ExportRaw!$I230</f>
        <v/>
      </c>
      <c r="H230" s="121" t="str">
        <f aca="false">ExportRaw!$A230</f>
        <v/>
      </c>
      <c r="I230" s="121" t="str">
        <f aca="false">ExportRaw!$B230</f>
        <v/>
      </c>
    </row>
    <row r="231" customFormat="false" ht="15.75" hidden="false" customHeight="false" outlineLevel="0" collapsed="false">
      <c r="A231" s="121" t="n">
        <f aca="false">ExportRaw!$F231</f>
        <v>0</v>
      </c>
      <c r="B231" s="121" t="n">
        <f aca="false">ExportRaw!$C231</f>
        <v>0</v>
      </c>
      <c r="C231" s="121" t="n">
        <f aca="false">ExportRaw!$G231</f>
        <v>0</v>
      </c>
      <c r="D231" s="121" t="str">
        <f aca="false">ExportRaw!$E231</f>
        <v/>
      </c>
      <c r="E231" s="122" t="str">
        <f aca="false">ExportRaw!$D231</f>
        <v/>
      </c>
      <c r="F231" s="121" t="str">
        <f aca="false">ExportRaw!$H231</f>
        <v/>
      </c>
      <c r="G231" s="123" t="str">
        <f aca="false">ExportRaw!$I231</f>
        <v/>
      </c>
      <c r="H231" s="121" t="str">
        <f aca="false">ExportRaw!$A231</f>
        <v/>
      </c>
      <c r="I231" s="121" t="str">
        <f aca="false">ExportRaw!$B231</f>
        <v/>
      </c>
    </row>
    <row r="232" customFormat="false" ht="15.75" hidden="false" customHeight="false" outlineLevel="0" collapsed="false">
      <c r="A232" s="121" t="n">
        <f aca="false">ExportRaw!$F232</f>
        <v>0</v>
      </c>
      <c r="B232" s="121" t="n">
        <f aca="false">ExportRaw!$C232</f>
        <v>0</v>
      </c>
      <c r="C232" s="121" t="n">
        <f aca="false">ExportRaw!$G232</f>
        <v>0</v>
      </c>
      <c r="D232" s="121" t="str">
        <f aca="false">ExportRaw!$E232</f>
        <v/>
      </c>
      <c r="E232" s="122" t="str">
        <f aca="false">ExportRaw!$D232</f>
        <v/>
      </c>
      <c r="F232" s="121" t="str">
        <f aca="false">ExportRaw!$H232</f>
        <v/>
      </c>
      <c r="G232" s="123" t="str">
        <f aca="false">ExportRaw!$I232</f>
        <v/>
      </c>
      <c r="H232" s="121" t="str">
        <f aca="false">ExportRaw!$A232</f>
        <v/>
      </c>
      <c r="I232" s="121" t="str">
        <f aca="false">ExportRaw!$B232</f>
        <v/>
      </c>
    </row>
    <row r="233" customFormat="false" ht="15.75" hidden="false" customHeight="false" outlineLevel="0" collapsed="false">
      <c r="A233" s="121" t="n">
        <f aca="false">ExportRaw!$F233</f>
        <v>0</v>
      </c>
      <c r="B233" s="121" t="n">
        <f aca="false">ExportRaw!$C233</f>
        <v>0</v>
      </c>
      <c r="C233" s="121" t="n">
        <f aca="false">ExportRaw!$G233</f>
        <v>0</v>
      </c>
      <c r="D233" s="121" t="str">
        <f aca="false">ExportRaw!$E233</f>
        <v/>
      </c>
      <c r="E233" s="122" t="str">
        <f aca="false">ExportRaw!$D233</f>
        <v/>
      </c>
      <c r="F233" s="121" t="str">
        <f aca="false">ExportRaw!$H233</f>
        <v/>
      </c>
      <c r="G233" s="123" t="str">
        <f aca="false">ExportRaw!$I233</f>
        <v/>
      </c>
      <c r="H233" s="121" t="str">
        <f aca="false">ExportRaw!$A233</f>
        <v/>
      </c>
      <c r="I233" s="121" t="str">
        <f aca="false">ExportRaw!$B233</f>
        <v/>
      </c>
    </row>
    <row r="234" customFormat="false" ht="15.75" hidden="false" customHeight="false" outlineLevel="0" collapsed="false">
      <c r="A234" s="121" t="n">
        <f aca="false">ExportRaw!$F234</f>
        <v>0</v>
      </c>
      <c r="B234" s="121" t="n">
        <f aca="false">ExportRaw!$C234</f>
        <v>0</v>
      </c>
      <c r="C234" s="121" t="n">
        <f aca="false">ExportRaw!$G234</f>
        <v>0</v>
      </c>
      <c r="D234" s="121" t="str">
        <f aca="false">ExportRaw!$E234</f>
        <v/>
      </c>
      <c r="E234" s="122" t="str">
        <f aca="false">ExportRaw!$D234</f>
        <v/>
      </c>
      <c r="F234" s="121" t="str">
        <f aca="false">ExportRaw!$H234</f>
        <v/>
      </c>
      <c r="G234" s="123" t="str">
        <f aca="false">ExportRaw!$I234</f>
        <v/>
      </c>
      <c r="H234" s="121" t="str">
        <f aca="false">ExportRaw!$A234</f>
        <v/>
      </c>
      <c r="I234" s="121" t="str">
        <f aca="false">ExportRaw!$B234</f>
        <v/>
      </c>
    </row>
    <row r="235" customFormat="false" ht="15.75" hidden="false" customHeight="false" outlineLevel="0" collapsed="false">
      <c r="A235" s="121" t="n">
        <f aca="false">ExportRaw!$F235</f>
        <v>0</v>
      </c>
      <c r="B235" s="121" t="n">
        <f aca="false">ExportRaw!$C235</f>
        <v>0</v>
      </c>
      <c r="C235" s="121" t="n">
        <f aca="false">ExportRaw!$G235</f>
        <v>0</v>
      </c>
      <c r="D235" s="121" t="str">
        <f aca="false">ExportRaw!$E235</f>
        <v/>
      </c>
      <c r="E235" s="122" t="str">
        <f aca="false">ExportRaw!$D235</f>
        <v/>
      </c>
      <c r="F235" s="121" t="str">
        <f aca="false">ExportRaw!$H235</f>
        <v/>
      </c>
      <c r="G235" s="123" t="str">
        <f aca="false">ExportRaw!$I235</f>
        <v/>
      </c>
      <c r="H235" s="121" t="str">
        <f aca="false">ExportRaw!$A235</f>
        <v/>
      </c>
      <c r="I235" s="121" t="str">
        <f aca="false">ExportRaw!$B235</f>
        <v/>
      </c>
    </row>
    <row r="236" customFormat="false" ht="15.75" hidden="false" customHeight="false" outlineLevel="0" collapsed="false">
      <c r="A236" s="121" t="n">
        <f aca="false">ExportRaw!$F236</f>
        <v>0</v>
      </c>
      <c r="B236" s="121" t="n">
        <f aca="false">ExportRaw!$C236</f>
        <v>0</v>
      </c>
      <c r="C236" s="121" t="n">
        <f aca="false">ExportRaw!$G236</f>
        <v>0</v>
      </c>
      <c r="D236" s="121" t="str">
        <f aca="false">ExportRaw!$E236</f>
        <v/>
      </c>
      <c r="E236" s="122" t="str">
        <f aca="false">ExportRaw!$D236</f>
        <v/>
      </c>
      <c r="F236" s="121" t="str">
        <f aca="false">ExportRaw!$H236</f>
        <v/>
      </c>
      <c r="G236" s="123" t="str">
        <f aca="false">ExportRaw!$I236</f>
        <v/>
      </c>
      <c r="H236" s="121" t="str">
        <f aca="false">ExportRaw!$A236</f>
        <v/>
      </c>
      <c r="I236" s="121" t="str">
        <f aca="false">ExportRaw!$B236</f>
        <v/>
      </c>
    </row>
    <row r="237" customFormat="false" ht="15.75" hidden="false" customHeight="false" outlineLevel="0" collapsed="false">
      <c r="A237" s="121" t="n">
        <f aca="false">ExportRaw!$F237</f>
        <v>0</v>
      </c>
      <c r="B237" s="121" t="n">
        <f aca="false">ExportRaw!$C237</f>
        <v>0</v>
      </c>
      <c r="C237" s="121" t="n">
        <f aca="false">ExportRaw!$G237</f>
        <v>0</v>
      </c>
      <c r="D237" s="121" t="str">
        <f aca="false">ExportRaw!$E237</f>
        <v/>
      </c>
      <c r="E237" s="122" t="str">
        <f aca="false">ExportRaw!$D237</f>
        <v/>
      </c>
      <c r="F237" s="121" t="str">
        <f aca="false">ExportRaw!$H237</f>
        <v/>
      </c>
      <c r="G237" s="123" t="str">
        <f aca="false">ExportRaw!$I237</f>
        <v/>
      </c>
      <c r="H237" s="121" t="str">
        <f aca="false">ExportRaw!$A237</f>
        <v/>
      </c>
      <c r="I237" s="121" t="str">
        <f aca="false">ExportRaw!$B237</f>
        <v/>
      </c>
    </row>
    <row r="238" customFormat="false" ht="15.75" hidden="false" customHeight="false" outlineLevel="0" collapsed="false">
      <c r="A238" s="121" t="n">
        <f aca="false">ExportRaw!$F238</f>
        <v>0</v>
      </c>
      <c r="B238" s="121" t="n">
        <f aca="false">ExportRaw!$C238</f>
        <v>0</v>
      </c>
      <c r="C238" s="121" t="n">
        <f aca="false">ExportRaw!$G238</f>
        <v>0</v>
      </c>
      <c r="D238" s="121" t="str">
        <f aca="false">ExportRaw!$E238</f>
        <v/>
      </c>
      <c r="E238" s="122" t="str">
        <f aca="false">ExportRaw!$D238</f>
        <v/>
      </c>
      <c r="F238" s="121" t="str">
        <f aca="false">ExportRaw!$H238</f>
        <v/>
      </c>
      <c r="G238" s="123" t="str">
        <f aca="false">ExportRaw!$I238</f>
        <v/>
      </c>
      <c r="H238" s="121" t="str">
        <f aca="false">ExportRaw!$A238</f>
        <v/>
      </c>
      <c r="I238" s="121" t="str">
        <f aca="false">ExportRaw!$B238</f>
        <v/>
      </c>
    </row>
    <row r="239" customFormat="false" ht="15.75" hidden="false" customHeight="false" outlineLevel="0" collapsed="false">
      <c r="A239" s="121" t="n">
        <f aca="false">ExportRaw!$F239</f>
        <v>0</v>
      </c>
      <c r="B239" s="121" t="n">
        <f aca="false">ExportRaw!$C239</f>
        <v>0</v>
      </c>
      <c r="C239" s="121" t="n">
        <f aca="false">ExportRaw!$G239</f>
        <v>0</v>
      </c>
      <c r="D239" s="121" t="str">
        <f aca="false">ExportRaw!$E239</f>
        <v/>
      </c>
      <c r="E239" s="122" t="str">
        <f aca="false">ExportRaw!$D239</f>
        <v/>
      </c>
      <c r="F239" s="121" t="str">
        <f aca="false">ExportRaw!$H239</f>
        <v/>
      </c>
      <c r="G239" s="123" t="str">
        <f aca="false">ExportRaw!$I239</f>
        <v/>
      </c>
      <c r="H239" s="121" t="str">
        <f aca="false">ExportRaw!$A239</f>
        <v/>
      </c>
      <c r="I239" s="121" t="str">
        <f aca="false">ExportRaw!$B239</f>
        <v/>
      </c>
    </row>
    <row r="240" customFormat="false" ht="15.75" hidden="false" customHeight="false" outlineLevel="0" collapsed="false">
      <c r="A240" s="121" t="n">
        <f aca="false">ExportRaw!$F240</f>
        <v>0</v>
      </c>
      <c r="B240" s="121" t="n">
        <f aca="false">ExportRaw!$C240</f>
        <v>0</v>
      </c>
      <c r="C240" s="121" t="n">
        <f aca="false">ExportRaw!$G240</f>
        <v>0</v>
      </c>
      <c r="D240" s="121" t="str">
        <f aca="false">ExportRaw!$E240</f>
        <v/>
      </c>
      <c r="E240" s="122" t="str">
        <f aca="false">ExportRaw!$D240</f>
        <v/>
      </c>
      <c r="F240" s="121" t="str">
        <f aca="false">ExportRaw!$H240</f>
        <v/>
      </c>
      <c r="G240" s="123" t="str">
        <f aca="false">ExportRaw!$I240</f>
        <v/>
      </c>
      <c r="H240" s="121" t="str">
        <f aca="false">ExportRaw!$A240</f>
        <v/>
      </c>
      <c r="I240" s="121" t="str">
        <f aca="false">ExportRaw!$B240</f>
        <v/>
      </c>
    </row>
    <row r="241" customFormat="false" ht="15.75" hidden="false" customHeight="false" outlineLevel="0" collapsed="false">
      <c r="A241" s="121" t="n">
        <f aca="false">ExportRaw!$F241</f>
        <v>0</v>
      </c>
      <c r="B241" s="121" t="n">
        <f aca="false">ExportRaw!$C241</f>
        <v>0</v>
      </c>
      <c r="C241" s="121" t="n">
        <f aca="false">ExportRaw!$G241</f>
        <v>0</v>
      </c>
      <c r="D241" s="121" t="str">
        <f aca="false">ExportRaw!$E241</f>
        <v/>
      </c>
      <c r="E241" s="122" t="str">
        <f aca="false">ExportRaw!$D241</f>
        <v/>
      </c>
      <c r="F241" s="121" t="str">
        <f aca="false">ExportRaw!$H241</f>
        <v/>
      </c>
      <c r="G241" s="123" t="str">
        <f aca="false">ExportRaw!$I241</f>
        <v/>
      </c>
      <c r="H241" s="121" t="str">
        <f aca="false">ExportRaw!$A241</f>
        <v/>
      </c>
      <c r="I241" s="121" t="str">
        <f aca="false">ExportRaw!$B241</f>
        <v/>
      </c>
    </row>
    <row r="242" customFormat="false" ht="15.75" hidden="false" customHeight="false" outlineLevel="0" collapsed="false">
      <c r="A242" s="121" t="n">
        <f aca="false">ExportRaw!$F242</f>
        <v>0</v>
      </c>
      <c r="B242" s="121" t="n">
        <f aca="false">ExportRaw!$C242</f>
        <v>0</v>
      </c>
      <c r="C242" s="121" t="n">
        <f aca="false">ExportRaw!$G242</f>
        <v>0</v>
      </c>
      <c r="D242" s="121" t="str">
        <f aca="false">ExportRaw!$E242</f>
        <v/>
      </c>
      <c r="E242" s="122" t="str">
        <f aca="false">ExportRaw!$D242</f>
        <v/>
      </c>
      <c r="F242" s="121" t="str">
        <f aca="false">ExportRaw!$H242</f>
        <v/>
      </c>
      <c r="G242" s="123" t="str">
        <f aca="false">ExportRaw!$I242</f>
        <v/>
      </c>
      <c r="H242" s="121" t="str">
        <f aca="false">ExportRaw!$A242</f>
        <v/>
      </c>
      <c r="I242" s="121" t="str">
        <f aca="false">ExportRaw!$B242</f>
        <v/>
      </c>
    </row>
    <row r="243" customFormat="false" ht="15.75" hidden="false" customHeight="false" outlineLevel="0" collapsed="false">
      <c r="A243" s="121" t="n">
        <f aca="false">ExportRaw!$F243</f>
        <v>0</v>
      </c>
      <c r="B243" s="121" t="n">
        <f aca="false">ExportRaw!$C243</f>
        <v>0</v>
      </c>
      <c r="C243" s="121" t="n">
        <f aca="false">ExportRaw!$G243</f>
        <v>0</v>
      </c>
      <c r="D243" s="121" t="str">
        <f aca="false">ExportRaw!$E243</f>
        <v/>
      </c>
      <c r="E243" s="122" t="str">
        <f aca="false">ExportRaw!$D243</f>
        <v/>
      </c>
      <c r="F243" s="121" t="str">
        <f aca="false">ExportRaw!$H243</f>
        <v/>
      </c>
      <c r="G243" s="123" t="str">
        <f aca="false">ExportRaw!$I243</f>
        <v/>
      </c>
      <c r="H243" s="121" t="str">
        <f aca="false">ExportRaw!$A243</f>
        <v/>
      </c>
      <c r="I243" s="121" t="str">
        <f aca="false">ExportRaw!$B243</f>
        <v/>
      </c>
    </row>
    <row r="244" customFormat="false" ht="15.75" hidden="false" customHeight="false" outlineLevel="0" collapsed="false">
      <c r="A244" s="121" t="n">
        <f aca="false">ExportRaw!$F244</f>
        <v>0</v>
      </c>
      <c r="B244" s="121" t="n">
        <f aca="false">ExportRaw!$C244</f>
        <v>0</v>
      </c>
      <c r="C244" s="121" t="n">
        <f aca="false">ExportRaw!$G244</f>
        <v>0</v>
      </c>
      <c r="D244" s="121" t="str">
        <f aca="false">ExportRaw!$E244</f>
        <v/>
      </c>
      <c r="E244" s="122" t="str">
        <f aca="false">ExportRaw!$D244</f>
        <v/>
      </c>
      <c r="F244" s="121" t="str">
        <f aca="false">ExportRaw!$H244</f>
        <v/>
      </c>
      <c r="G244" s="123" t="str">
        <f aca="false">ExportRaw!$I244</f>
        <v/>
      </c>
      <c r="H244" s="121" t="str">
        <f aca="false">ExportRaw!$A244</f>
        <v/>
      </c>
      <c r="I244" s="121" t="str">
        <f aca="false">ExportRaw!$B244</f>
        <v/>
      </c>
    </row>
    <row r="245" customFormat="false" ht="15.75" hidden="false" customHeight="false" outlineLevel="0" collapsed="false">
      <c r="A245" s="121" t="n">
        <f aca="false">ExportRaw!$F245</f>
        <v>0</v>
      </c>
      <c r="B245" s="121" t="n">
        <f aca="false">ExportRaw!$C245</f>
        <v>0</v>
      </c>
      <c r="C245" s="121" t="n">
        <f aca="false">ExportRaw!$G245</f>
        <v>0</v>
      </c>
      <c r="D245" s="121" t="str">
        <f aca="false">ExportRaw!$E245</f>
        <v/>
      </c>
      <c r="E245" s="122" t="str">
        <f aca="false">ExportRaw!$D245</f>
        <v/>
      </c>
      <c r="F245" s="121" t="str">
        <f aca="false">ExportRaw!$H245</f>
        <v/>
      </c>
      <c r="G245" s="123" t="str">
        <f aca="false">ExportRaw!$I245</f>
        <v/>
      </c>
      <c r="H245" s="121" t="str">
        <f aca="false">ExportRaw!$A245</f>
        <v/>
      </c>
      <c r="I245" s="121" t="str">
        <f aca="false">ExportRaw!$B245</f>
        <v/>
      </c>
    </row>
    <row r="246" customFormat="false" ht="15.75" hidden="false" customHeight="false" outlineLevel="0" collapsed="false">
      <c r="A246" s="121" t="n">
        <f aca="false">ExportRaw!$F246</f>
        <v>0</v>
      </c>
      <c r="B246" s="121" t="n">
        <f aca="false">ExportRaw!$C246</f>
        <v>0</v>
      </c>
      <c r="C246" s="121" t="n">
        <f aca="false">ExportRaw!$G246</f>
        <v>0</v>
      </c>
      <c r="D246" s="121" t="str">
        <f aca="false">ExportRaw!$E246</f>
        <v/>
      </c>
      <c r="E246" s="122" t="str">
        <f aca="false">ExportRaw!$D246</f>
        <v/>
      </c>
      <c r="F246" s="121" t="str">
        <f aca="false">ExportRaw!$H246</f>
        <v/>
      </c>
      <c r="G246" s="123" t="str">
        <f aca="false">ExportRaw!$I246</f>
        <v/>
      </c>
      <c r="H246" s="121" t="str">
        <f aca="false">ExportRaw!$A246</f>
        <v/>
      </c>
      <c r="I246" s="121" t="str">
        <f aca="false">ExportRaw!$B246</f>
        <v/>
      </c>
    </row>
    <row r="247" customFormat="false" ht="15.75" hidden="false" customHeight="false" outlineLevel="0" collapsed="false">
      <c r="A247" s="121" t="n">
        <f aca="false">ExportRaw!$F247</f>
        <v>0</v>
      </c>
      <c r="B247" s="121" t="n">
        <f aca="false">ExportRaw!$C247</f>
        <v>0</v>
      </c>
      <c r="C247" s="121" t="n">
        <f aca="false">ExportRaw!$G247</f>
        <v>0</v>
      </c>
      <c r="D247" s="121" t="str">
        <f aca="false">ExportRaw!$E247</f>
        <v/>
      </c>
      <c r="E247" s="122" t="str">
        <f aca="false">ExportRaw!$D247</f>
        <v/>
      </c>
      <c r="F247" s="121" t="str">
        <f aca="false">ExportRaw!$H247</f>
        <v/>
      </c>
      <c r="G247" s="123" t="str">
        <f aca="false">ExportRaw!$I247</f>
        <v/>
      </c>
      <c r="H247" s="121" t="str">
        <f aca="false">ExportRaw!$A247</f>
        <v/>
      </c>
      <c r="I247" s="121" t="str">
        <f aca="false">ExportRaw!$B247</f>
        <v/>
      </c>
    </row>
    <row r="248" customFormat="false" ht="15.75" hidden="false" customHeight="false" outlineLevel="0" collapsed="false">
      <c r="A248" s="121" t="n">
        <f aca="false">ExportRaw!$F248</f>
        <v>0</v>
      </c>
      <c r="B248" s="121" t="n">
        <f aca="false">ExportRaw!$C248</f>
        <v>0</v>
      </c>
      <c r="C248" s="121" t="n">
        <f aca="false">ExportRaw!$G248</f>
        <v>0</v>
      </c>
      <c r="D248" s="121" t="str">
        <f aca="false">ExportRaw!$E248</f>
        <v/>
      </c>
      <c r="E248" s="122" t="str">
        <f aca="false">ExportRaw!$D248</f>
        <v/>
      </c>
      <c r="F248" s="121" t="str">
        <f aca="false">ExportRaw!$H248</f>
        <v/>
      </c>
      <c r="G248" s="123" t="str">
        <f aca="false">ExportRaw!$I248</f>
        <v/>
      </c>
      <c r="H248" s="121" t="str">
        <f aca="false">ExportRaw!$A248</f>
        <v/>
      </c>
      <c r="I248" s="121" t="str">
        <f aca="false">ExportRaw!$B248</f>
        <v/>
      </c>
    </row>
    <row r="249" customFormat="false" ht="15.75" hidden="false" customHeight="false" outlineLevel="0" collapsed="false">
      <c r="A249" s="121" t="n">
        <f aca="false">ExportRaw!$F249</f>
        <v>0</v>
      </c>
      <c r="B249" s="121" t="n">
        <f aca="false">ExportRaw!$C249</f>
        <v>0</v>
      </c>
      <c r="C249" s="121" t="n">
        <f aca="false">ExportRaw!$G249</f>
        <v>0</v>
      </c>
      <c r="D249" s="121" t="str">
        <f aca="false">ExportRaw!$E249</f>
        <v/>
      </c>
      <c r="E249" s="122" t="str">
        <f aca="false">ExportRaw!$D249</f>
        <v/>
      </c>
      <c r="F249" s="121" t="str">
        <f aca="false">ExportRaw!$H249</f>
        <v/>
      </c>
      <c r="G249" s="123" t="str">
        <f aca="false">ExportRaw!$I249</f>
        <v/>
      </c>
      <c r="H249" s="121" t="str">
        <f aca="false">ExportRaw!$A249</f>
        <v/>
      </c>
      <c r="I249" s="121" t="str">
        <f aca="false">ExportRaw!$B249</f>
        <v/>
      </c>
    </row>
    <row r="250" customFormat="false" ht="15.75" hidden="false" customHeight="false" outlineLevel="0" collapsed="false">
      <c r="A250" s="121" t="n">
        <f aca="false">ExportRaw!$F250</f>
        <v>0</v>
      </c>
      <c r="B250" s="121" t="n">
        <f aca="false">ExportRaw!$C250</f>
        <v>0</v>
      </c>
      <c r="C250" s="121" t="n">
        <f aca="false">ExportRaw!$G250</f>
        <v>0</v>
      </c>
      <c r="D250" s="121" t="str">
        <f aca="false">ExportRaw!$E250</f>
        <v/>
      </c>
      <c r="E250" s="122" t="str">
        <f aca="false">ExportRaw!$D250</f>
        <v/>
      </c>
      <c r="F250" s="121" t="str">
        <f aca="false">ExportRaw!$H250</f>
        <v/>
      </c>
      <c r="G250" s="123" t="str">
        <f aca="false">ExportRaw!$I250</f>
        <v/>
      </c>
      <c r="H250" s="121" t="str">
        <f aca="false">ExportRaw!$A250</f>
        <v/>
      </c>
      <c r="I250" s="121" t="str">
        <f aca="false">ExportRaw!$B250</f>
        <v/>
      </c>
    </row>
    <row r="251" customFormat="false" ht="15.75" hidden="false" customHeight="false" outlineLevel="0" collapsed="false">
      <c r="A251" s="121" t="n">
        <f aca="false">ExportRaw!$F251</f>
        <v>0</v>
      </c>
      <c r="B251" s="121" t="n">
        <f aca="false">ExportRaw!$C251</f>
        <v>0</v>
      </c>
      <c r="C251" s="121" t="n">
        <f aca="false">ExportRaw!$G251</f>
        <v>0</v>
      </c>
      <c r="D251" s="121" t="str">
        <f aca="false">ExportRaw!$E251</f>
        <v/>
      </c>
      <c r="E251" s="122" t="str">
        <f aca="false">ExportRaw!$D251</f>
        <v/>
      </c>
      <c r="F251" s="121" t="str">
        <f aca="false">ExportRaw!$H251</f>
        <v/>
      </c>
      <c r="G251" s="123" t="str">
        <f aca="false">ExportRaw!$I251</f>
        <v/>
      </c>
      <c r="H251" s="121" t="str">
        <f aca="false">ExportRaw!$A251</f>
        <v/>
      </c>
      <c r="I251" s="121" t="str">
        <f aca="false">ExportRaw!$B251</f>
        <v/>
      </c>
    </row>
    <row r="252" customFormat="false" ht="15.75" hidden="false" customHeight="false" outlineLevel="0" collapsed="false">
      <c r="A252" s="121" t="n">
        <f aca="false">ExportRaw!$F252</f>
        <v>0</v>
      </c>
      <c r="B252" s="121" t="n">
        <f aca="false">ExportRaw!$C252</f>
        <v>0</v>
      </c>
      <c r="C252" s="121" t="n">
        <f aca="false">ExportRaw!$G252</f>
        <v>0</v>
      </c>
      <c r="D252" s="121" t="str">
        <f aca="false">ExportRaw!$E252</f>
        <v/>
      </c>
      <c r="E252" s="122" t="str">
        <f aca="false">ExportRaw!$D252</f>
        <v/>
      </c>
      <c r="F252" s="121" t="str">
        <f aca="false">ExportRaw!$H252</f>
        <v/>
      </c>
      <c r="G252" s="123" t="str">
        <f aca="false">ExportRaw!$I252</f>
        <v/>
      </c>
      <c r="H252" s="121" t="str">
        <f aca="false">ExportRaw!$A252</f>
        <v/>
      </c>
      <c r="I252" s="121" t="str">
        <f aca="false">ExportRaw!$B252</f>
        <v/>
      </c>
    </row>
    <row r="253" customFormat="false" ht="15.75" hidden="false" customHeight="false" outlineLevel="0" collapsed="false">
      <c r="A253" s="121" t="n">
        <f aca="false">ExportRaw!$F253</f>
        <v>0</v>
      </c>
      <c r="B253" s="121" t="n">
        <f aca="false">ExportRaw!$C253</f>
        <v>0</v>
      </c>
      <c r="C253" s="121" t="n">
        <f aca="false">ExportRaw!$G253</f>
        <v>0</v>
      </c>
      <c r="D253" s="121" t="str">
        <f aca="false">ExportRaw!$E253</f>
        <v/>
      </c>
      <c r="E253" s="122" t="str">
        <f aca="false">ExportRaw!$D253</f>
        <v/>
      </c>
      <c r="F253" s="121" t="str">
        <f aca="false">ExportRaw!$H253</f>
        <v/>
      </c>
      <c r="G253" s="123" t="str">
        <f aca="false">ExportRaw!$I253</f>
        <v/>
      </c>
      <c r="H253" s="121" t="str">
        <f aca="false">ExportRaw!$A253</f>
        <v/>
      </c>
      <c r="I253" s="121" t="str">
        <f aca="false">ExportRaw!$B253</f>
        <v/>
      </c>
    </row>
    <row r="254" customFormat="false" ht="15.75" hidden="false" customHeight="false" outlineLevel="0" collapsed="false">
      <c r="A254" s="121" t="n">
        <f aca="false">ExportRaw!$F254</f>
        <v>0</v>
      </c>
      <c r="B254" s="121" t="n">
        <f aca="false">ExportRaw!$C254</f>
        <v>0</v>
      </c>
      <c r="C254" s="121" t="n">
        <f aca="false">ExportRaw!$G254</f>
        <v>0</v>
      </c>
      <c r="D254" s="121" t="str">
        <f aca="false">ExportRaw!$E254</f>
        <v/>
      </c>
      <c r="E254" s="122" t="str">
        <f aca="false">ExportRaw!$D254</f>
        <v/>
      </c>
      <c r="F254" s="121" t="str">
        <f aca="false">ExportRaw!$H254</f>
        <v/>
      </c>
      <c r="G254" s="123" t="str">
        <f aca="false">ExportRaw!$I254</f>
        <v/>
      </c>
      <c r="H254" s="121" t="str">
        <f aca="false">ExportRaw!$A254</f>
        <v/>
      </c>
      <c r="I254" s="121" t="str">
        <f aca="false">ExportRaw!$B254</f>
        <v/>
      </c>
    </row>
    <row r="255" customFormat="false" ht="15.75" hidden="false" customHeight="false" outlineLevel="0" collapsed="false">
      <c r="A255" s="121" t="n">
        <f aca="false">ExportRaw!$F255</f>
        <v>0</v>
      </c>
      <c r="B255" s="121" t="n">
        <f aca="false">ExportRaw!$C255</f>
        <v>0</v>
      </c>
      <c r="C255" s="121" t="n">
        <f aca="false">ExportRaw!$G255</f>
        <v>0</v>
      </c>
      <c r="D255" s="121" t="str">
        <f aca="false">ExportRaw!$E255</f>
        <v/>
      </c>
      <c r="E255" s="122" t="str">
        <f aca="false">ExportRaw!$D255</f>
        <v/>
      </c>
      <c r="F255" s="121" t="str">
        <f aca="false">ExportRaw!$H255</f>
        <v/>
      </c>
      <c r="G255" s="123" t="str">
        <f aca="false">ExportRaw!$I255</f>
        <v/>
      </c>
      <c r="H255" s="121" t="str">
        <f aca="false">ExportRaw!$A255</f>
        <v/>
      </c>
      <c r="I255" s="121" t="str">
        <f aca="false">ExportRaw!$B255</f>
        <v/>
      </c>
    </row>
    <row r="256" customFormat="false" ht="15.75" hidden="false" customHeight="false" outlineLevel="0" collapsed="false">
      <c r="A256" s="121" t="n">
        <f aca="false">ExportRaw!$F256</f>
        <v>0</v>
      </c>
      <c r="B256" s="121" t="n">
        <f aca="false">ExportRaw!$C256</f>
        <v>0</v>
      </c>
      <c r="C256" s="121" t="n">
        <f aca="false">ExportRaw!$G256</f>
        <v>0</v>
      </c>
      <c r="D256" s="121" t="str">
        <f aca="false">ExportRaw!$E256</f>
        <v/>
      </c>
      <c r="E256" s="122" t="str">
        <f aca="false">ExportRaw!$D256</f>
        <v/>
      </c>
      <c r="F256" s="121" t="str">
        <f aca="false">ExportRaw!$H256</f>
        <v/>
      </c>
      <c r="G256" s="123" t="str">
        <f aca="false">ExportRaw!$I256</f>
        <v/>
      </c>
      <c r="H256" s="121" t="str">
        <f aca="false">ExportRaw!$A256</f>
        <v/>
      </c>
      <c r="I256" s="121" t="str">
        <f aca="false">ExportRaw!$B256</f>
        <v/>
      </c>
    </row>
    <row r="257" customFormat="false" ht="15.75" hidden="false" customHeight="false" outlineLevel="0" collapsed="false">
      <c r="A257" s="121" t="n">
        <f aca="false">ExportRaw!$F257</f>
        <v>0</v>
      </c>
      <c r="B257" s="121" t="n">
        <f aca="false">ExportRaw!$C257</f>
        <v>0</v>
      </c>
      <c r="C257" s="121" t="n">
        <f aca="false">ExportRaw!$G257</f>
        <v>0</v>
      </c>
      <c r="D257" s="121" t="str">
        <f aca="false">ExportRaw!$E257</f>
        <v/>
      </c>
      <c r="E257" s="122" t="str">
        <f aca="false">ExportRaw!$D257</f>
        <v/>
      </c>
      <c r="F257" s="121" t="str">
        <f aca="false">ExportRaw!$H257</f>
        <v/>
      </c>
      <c r="G257" s="123" t="str">
        <f aca="false">ExportRaw!$I257</f>
        <v/>
      </c>
      <c r="H257" s="121" t="str">
        <f aca="false">ExportRaw!$A257</f>
        <v/>
      </c>
      <c r="I257" s="121" t="str">
        <f aca="false">ExportRaw!$B257</f>
        <v/>
      </c>
    </row>
    <row r="258" customFormat="false" ht="15.75" hidden="false" customHeight="false" outlineLevel="0" collapsed="false">
      <c r="A258" s="121" t="n">
        <f aca="false">ExportRaw!$F258</f>
        <v>0</v>
      </c>
      <c r="B258" s="121" t="n">
        <f aca="false">ExportRaw!$C258</f>
        <v>0</v>
      </c>
      <c r="C258" s="121" t="n">
        <f aca="false">ExportRaw!$G258</f>
        <v>0</v>
      </c>
      <c r="D258" s="121" t="str">
        <f aca="false">ExportRaw!$E258</f>
        <v/>
      </c>
      <c r="E258" s="122" t="str">
        <f aca="false">ExportRaw!$D258</f>
        <v/>
      </c>
      <c r="F258" s="121" t="str">
        <f aca="false">ExportRaw!$H258</f>
        <v/>
      </c>
      <c r="G258" s="123" t="str">
        <f aca="false">ExportRaw!$I258</f>
        <v/>
      </c>
      <c r="H258" s="121" t="str">
        <f aca="false">ExportRaw!$A258</f>
        <v/>
      </c>
      <c r="I258" s="121" t="str">
        <f aca="false">ExportRaw!$B258</f>
        <v/>
      </c>
    </row>
    <row r="259" customFormat="false" ht="15.75" hidden="false" customHeight="false" outlineLevel="0" collapsed="false">
      <c r="A259" s="121" t="n">
        <f aca="false">ExportRaw!$F259</f>
        <v>0</v>
      </c>
      <c r="B259" s="121" t="n">
        <f aca="false">ExportRaw!$C259</f>
        <v>0</v>
      </c>
      <c r="C259" s="121" t="n">
        <f aca="false">ExportRaw!$G259</f>
        <v>0</v>
      </c>
      <c r="D259" s="121" t="str">
        <f aca="false">ExportRaw!$E259</f>
        <v/>
      </c>
      <c r="E259" s="122" t="str">
        <f aca="false">ExportRaw!$D259</f>
        <v/>
      </c>
      <c r="F259" s="121" t="str">
        <f aca="false">ExportRaw!$H259</f>
        <v/>
      </c>
      <c r="G259" s="123" t="str">
        <f aca="false">ExportRaw!$I259</f>
        <v/>
      </c>
      <c r="H259" s="121" t="str">
        <f aca="false">ExportRaw!$A259</f>
        <v/>
      </c>
      <c r="I259" s="121" t="str">
        <f aca="false">ExportRaw!$B259</f>
        <v/>
      </c>
    </row>
    <row r="260" customFormat="false" ht="15.75" hidden="false" customHeight="false" outlineLevel="0" collapsed="false">
      <c r="A260" s="121" t="n">
        <f aca="false">ExportRaw!$F260</f>
        <v>0</v>
      </c>
      <c r="B260" s="121" t="n">
        <f aca="false">ExportRaw!$C260</f>
        <v>0</v>
      </c>
      <c r="C260" s="121" t="n">
        <f aca="false">ExportRaw!$G260</f>
        <v>0</v>
      </c>
      <c r="D260" s="121" t="str">
        <f aca="false">ExportRaw!$E260</f>
        <v/>
      </c>
      <c r="E260" s="122" t="str">
        <f aca="false">ExportRaw!$D260</f>
        <v/>
      </c>
      <c r="F260" s="121" t="str">
        <f aca="false">ExportRaw!$H260</f>
        <v/>
      </c>
      <c r="G260" s="123" t="str">
        <f aca="false">ExportRaw!$I260</f>
        <v/>
      </c>
      <c r="H260" s="121" t="str">
        <f aca="false">ExportRaw!$A260</f>
        <v/>
      </c>
      <c r="I260" s="121" t="str">
        <f aca="false">ExportRaw!$B260</f>
        <v/>
      </c>
    </row>
    <row r="261" customFormat="false" ht="15.75" hidden="false" customHeight="false" outlineLevel="0" collapsed="false">
      <c r="A261" s="121" t="n">
        <f aca="false">ExportRaw!$F261</f>
        <v>0</v>
      </c>
      <c r="B261" s="121" t="n">
        <f aca="false">ExportRaw!$C261</f>
        <v>0</v>
      </c>
      <c r="C261" s="121" t="n">
        <f aca="false">ExportRaw!$G261</f>
        <v>0</v>
      </c>
      <c r="D261" s="121" t="str">
        <f aca="false">ExportRaw!$E261</f>
        <v/>
      </c>
      <c r="E261" s="122" t="str">
        <f aca="false">ExportRaw!$D261</f>
        <v/>
      </c>
      <c r="F261" s="121" t="str">
        <f aca="false">ExportRaw!$H261</f>
        <v/>
      </c>
      <c r="G261" s="123" t="str">
        <f aca="false">ExportRaw!$I261</f>
        <v/>
      </c>
      <c r="H261" s="121" t="str">
        <f aca="false">ExportRaw!$A261</f>
        <v/>
      </c>
      <c r="I261" s="121" t="str">
        <f aca="false">ExportRaw!$B261</f>
        <v/>
      </c>
    </row>
    <row r="262" customFormat="false" ht="15.75" hidden="false" customHeight="false" outlineLevel="0" collapsed="false">
      <c r="A262" s="121" t="n">
        <f aca="false">ExportRaw!$F262</f>
        <v>0</v>
      </c>
      <c r="B262" s="121" t="n">
        <f aca="false">ExportRaw!$C262</f>
        <v>0</v>
      </c>
      <c r="C262" s="121" t="n">
        <f aca="false">ExportRaw!$G262</f>
        <v>0</v>
      </c>
      <c r="D262" s="121" t="str">
        <f aca="false">ExportRaw!$E262</f>
        <v/>
      </c>
      <c r="E262" s="122" t="str">
        <f aca="false">ExportRaw!$D262</f>
        <v/>
      </c>
      <c r="F262" s="121" t="str">
        <f aca="false">ExportRaw!$H262</f>
        <v/>
      </c>
      <c r="G262" s="123" t="str">
        <f aca="false">ExportRaw!$I262</f>
        <v/>
      </c>
      <c r="H262" s="121" t="str">
        <f aca="false">ExportRaw!$A262</f>
        <v/>
      </c>
      <c r="I262" s="121" t="str">
        <f aca="false">ExportRaw!$B262</f>
        <v/>
      </c>
    </row>
    <row r="263" customFormat="false" ht="15.75" hidden="false" customHeight="false" outlineLevel="0" collapsed="false">
      <c r="A263" s="121" t="n">
        <f aca="false">ExportRaw!$F263</f>
        <v>0</v>
      </c>
      <c r="B263" s="121" t="n">
        <f aca="false">ExportRaw!$C263</f>
        <v>0</v>
      </c>
      <c r="C263" s="121" t="n">
        <f aca="false">ExportRaw!$G263</f>
        <v>0</v>
      </c>
      <c r="D263" s="121" t="str">
        <f aca="false">ExportRaw!$E263</f>
        <v/>
      </c>
      <c r="E263" s="122" t="str">
        <f aca="false">ExportRaw!$D263</f>
        <v/>
      </c>
      <c r="F263" s="121" t="str">
        <f aca="false">ExportRaw!$H263</f>
        <v/>
      </c>
      <c r="G263" s="123" t="str">
        <f aca="false">ExportRaw!$I263</f>
        <v/>
      </c>
      <c r="H263" s="121" t="str">
        <f aca="false">ExportRaw!$A263</f>
        <v/>
      </c>
      <c r="I263" s="121" t="str">
        <f aca="false">ExportRaw!$B263</f>
        <v/>
      </c>
    </row>
    <row r="264" customFormat="false" ht="15.75" hidden="false" customHeight="false" outlineLevel="0" collapsed="false">
      <c r="A264" s="121" t="n">
        <f aca="false">ExportRaw!$F264</f>
        <v>0</v>
      </c>
      <c r="B264" s="121" t="n">
        <f aca="false">ExportRaw!$C264</f>
        <v>0</v>
      </c>
      <c r="C264" s="121" t="n">
        <f aca="false">ExportRaw!$G264</f>
        <v>0</v>
      </c>
      <c r="D264" s="121" t="str">
        <f aca="false">ExportRaw!$E264</f>
        <v/>
      </c>
      <c r="E264" s="122" t="str">
        <f aca="false">ExportRaw!$D264</f>
        <v/>
      </c>
      <c r="F264" s="121" t="str">
        <f aca="false">ExportRaw!$H264</f>
        <v/>
      </c>
      <c r="G264" s="123" t="str">
        <f aca="false">ExportRaw!$I264</f>
        <v/>
      </c>
      <c r="H264" s="121" t="str">
        <f aca="false">ExportRaw!$A264</f>
        <v/>
      </c>
      <c r="I264" s="121" t="str">
        <f aca="false">ExportRaw!$B264</f>
        <v/>
      </c>
    </row>
    <row r="265" customFormat="false" ht="15.75" hidden="false" customHeight="false" outlineLevel="0" collapsed="false">
      <c r="A265" s="121" t="n">
        <f aca="false">ExportRaw!$F265</f>
        <v>0</v>
      </c>
      <c r="B265" s="121" t="n">
        <f aca="false">ExportRaw!$C265</f>
        <v>0</v>
      </c>
      <c r="C265" s="121" t="n">
        <f aca="false">ExportRaw!$G265</f>
        <v>0</v>
      </c>
      <c r="D265" s="121" t="str">
        <f aca="false">ExportRaw!$E265</f>
        <v/>
      </c>
      <c r="E265" s="122" t="str">
        <f aca="false">ExportRaw!$D265</f>
        <v/>
      </c>
      <c r="F265" s="121" t="str">
        <f aca="false">ExportRaw!$H265</f>
        <v/>
      </c>
      <c r="G265" s="123" t="str">
        <f aca="false">ExportRaw!$I265</f>
        <v/>
      </c>
      <c r="H265" s="121" t="str">
        <f aca="false">ExportRaw!$A265</f>
        <v/>
      </c>
      <c r="I265" s="121" t="str">
        <f aca="false">ExportRaw!$B265</f>
        <v/>
      </c>
    </row>
    <row r="266" customFormat="false" ht="15.75" hidden="false" customHeight="false" outlineLevel="0" collapsed="false">
      <c r="A266" s="121" t="n">
        <f aca="false">ExportRaw!$F266</f>
        <v>0</v>
      </c>
      <c r="B266" s="121" t="n">
        <f aca="false">ExportRaw!$C266</f>
        <v>0</v>
      </c>
      <c r="C266" s="121" t="n">
        <f aca="false">ExportRaw!$G266</f>
        <v>0</v>
      </c>
      <c r="D266" s="121" t="str">
        <f aca="false">ExportRaw!$E266</f>
        <v/>
      </c>
      <c r="E266" s="122" t="str">
        <f aca="false">ExportRaw!$D266</f>
        <v/>
      </c>
      <c r="F266" s="121" t="str">
        <f aca="false">ExportRaw!$H266</f>
        <v/>
      </c>
      <c r="G266" s="123" t="str">
        <f aca="false">ExportRaw!$I266</f>
        <v/>
      </c>
      <c r="H266" s="121" t="str">
        <f aca="false">ExportRaw!$A266</f>
        <v/>
      </c>
      <c r="I266" s="121" t="str">
        <f aca="false">ExportRaw!$B266</f>
        <v/>
      </c>
    </row>
    <row r="267" customFormat="false" ht="15.75" hidden="false" customHeight="false" outlineLevel="0" collapsed="false">
      <c r="A267" s="121" t="n">
        <f aca="false">ExportRaw!$F267</f>
        <v>0</v>
      </c>
      <c r="B267" s="121" t="n">
        <f aca="false">ExportRaw!$C267</f>
        <v>0</v>
      </c>
      <c r="C267" s="121" t="n">
        <f aca="false">ExportRaw!$G267</f>
        <v>0</v>
      </c>
      <c r="D267" s="121" t="str">
        <f aca="false">ExportRaw!$E267</f>
        <v/>
      </c>
      <c r="E267" s="122" t="str">
        <f aca="false">ExportRaw!$D267</f>
        <v/>
      </c>
      <c r="F267" s="121" t="str">
        <f aca="false">ExportRaw!$H267</f>
        <v/>
      </c>
      <c r="G267" s="123" t="str">
        <f aca="false">ExportRaw!$I267</f>
        <v/>
      </c>
      <c r="H267" s="121" t="str">
        <f aca="false">ExportRaw!$A267</f>
        <v/>
      </c>
      <c r="I267" s="121" t="str">
        <f aca="false">ExportRaw!$B267</f>
        <v/>
      </c>
    </row>
    <row r="268" customFormat="false" ht="15.75" hidden="false" customHeight="false" outlineLevel="0" collapsed="false">
      <c r="A268" s="121" t="n">
        <f aca="false">ExportRaw!$F268</f>
        <v>0</v>
      </c>
      <c r="B268" s="121" t="n">
        <f aca="false">ExportRaw!$C268</f>
        <v>0</v>
      </c>
      <c r="C268" s="121" t="n">
        <f aca="false">ExportRaw!$G268</f>
        <v>0</v>
      </c>
      <c r="D268" s="121" t="str">
        <f aca="false">ExportRaw!$E268</f>
        <v/>
      </c>
      <c r="E268" s="122" t="str">
        <f aca="false">ExportRaw!$D268</f>
        <v/>
      </c>
      <c r="F268" s="121" t="str">
        <f aca="false">ExportRaw!$H268</f>
        <v/>
      </c>
      <c r="G268" s="123" t="str">
        <f aca="false">ExportRaw!$I268</f>
        <v/>
      </c>
      <c r="H268" s="121" t="str">
        <f aca="false">ExportRaw!$A268</f>
        <v/>
      </c>
      <c r="I268" s="121" t="str">
        <f aca="false">ExportRaw!$B268</f>
        <v/>
      </c>
    </row>
    <row r="269" customFormat="false" ht="15.75" hidden="false" customHeight="false" outlineLevel="0" collapsed="false">
      <c r="A269" s="121" t="n">
        <f aca="false">ExportRaw!$F269</f>
        <v>0</v>
      </c>
      <c r="B269" s="121" t="n">
        <f aca="false">ExportRaw!$C269</f>
        <v>0</v>
      </c>
      <c r="C269" s="121" t="n">
        <f aca="false">ExportRaw!$G269</f>
        <v>0</v>
      </c>
      <c r="D269" s="121" t="str">
        <f aca="false">ExportRaw!$E269</f>
        <v/>
      </c>
      <c r="E269" s="122" t="str">
        <f aca="false">ExportRaw!$D269</f>
        <v/>
      </c>
      <c r="F269" s="121" t="str">
        <f aca="false">ExportRaw!$H269</f>
        <v/>
      </c>
      <c r="G269" s="123" t="str">
        <f aca="false">ExportRaw!$I269</f>
        <v/>
      </c>
      <c r="H269" s="121" t="str">
        <f aca="false">ExportRaw!$A269</f>
        <v/>
      </c>
      <c r="I269" s="121" t="str">
        <f aca="false">ExportRaw!$B269</f>
        <v/>
      </c>
    </row>
    <row r="270" customFormat="false" ht="15.75" hidden="false" customHeight="false" outlineLevel="0" collapsed="false">
      <c r="A270" s="121" t="n">
        <f aca="false">ExportRaw!$F270</f>
        <v>0</v>
      </c>
      <c r="B270" s="121" t="n">
        <f aca="false">ExportRaw!$C270</f>
        <v>0</v>
      </c>
      <c r="C270" s="121" t="n">
        <f aca="false">ExportRaw!$G270</f>
        <v>0</v>
      </c>
      <c r="D270" s="121" t="str">
        <f aca="false">ExportRaw!$E270</f>
        <v/>
      </c>
      <c r="E270" s="122" t="str">
        <f aca="false">ExportRaw!$D270</f>
        <v/>
      </c>
      <c r="F270" s="121" t="str">
        <f aca="false">ExportRaw!$H270</f>
        <v/>
      </c>
      <c r="G270" s="123" t="str">
        <f aca="false">ExportRaw!$I270</f>
        <v/>
      </c>
      <c r="H270" s="121" t="str">
        <f aca="false">ExportRaw!$A270</f>
        <v/>
      </c>
      <c r="I270" s="121" t="str">
        <f aca="false">ExportRaw!$B270</f>
        <v/>
      </c>
    </row>
    <row r="271" customFormat="false" ht="15.75" hidden="false" customHeight="false" outlineLevel="0" collapsed="false">
      <c r="A271" s="121" t="n">
        <f aca="false">ExportRaw!$F271</f>
        <v>0</v>
      </c>
      <c r="B271" s="121" t="n">
        <f aca="false">ExportRaw!$C271</f>
        <v>0</v>
      </c>
      <c r="C271" s="121" t="n">
        <f aca="false">ExportRaw!$G271</f>
        <v>0</v>
      </c>
      <c r="D271" s="121" t="str">
        <f aca="false">ExportRaw!$E271</f>
        <v/>
      </c>
      <c r="E271" s="122" t="str">
        <f aca="false">ExportRaw!$D271</f>
        <v/>
      </c>
      <c r="F271" s="121" t="str">
        <f aca="false">ExportRaw!$H271</f>
        <v/>
      </c>
      <c r="G271" s="123" t="str">
        <f aca="false">ExportRaw!$I271</f>
        <v/>
      </c>
      <c r="H271" s="121" t="str">
        <f aca="false">ExportRaw!$A271</f>
        <v/>
      </c>
      <c r="I271" s="121" t="str">
        <f aca="false">ExportRaw!$B271</f>
        <v/>
      </c>
    </row>
    <row r="272" customFormat="false" ht="15.75" hidden="false" customHeight="false" outlineLevel="0" collapsed="false">
      <c r="A272" s="121" t="n">
        <f aca="false">ExportRaw!$F272</f>
        <v>0</v>
      </c>
      <c r="B272" s="121" t="n">
        <f aca="false">ExportRaw!$C272</f>
        <v>0</v>
      </c>
      <c r="C272" s="121" t="n">
        <f aca="false">ExportRaw!$G272</f>
        <v>0</v>
      </c>
      <c r="D272" s="121" t="str">
        <f aca="false">ExportRaw!$E272</f>
        <v/>
      </c>
      <c r="E272" s="122" t="str">
        <f aca="false">ExportRaw!$D272</f>
        <v/>
      </c>
      <c r="F272" s="121" t="str">
        <f aca="false">ExportRaw!$H272</f>
        <v/>
      </c>
      <c r="G272" s="123" t="str">
        <f aca="false">ExportRaw!$I272</f>
        <v/>
      </c>
      <c r="H272" s="121" t="str">
        <f aca="false">ExportRaw!$A272</f>
        <v/>
      </c>
      <c r="I272" s="121" t="str">
        <f aca="false">ExportRaw!$B272</f>
        <v/>
      </c>
    </row>
    <row r="273" customFormat="false" ht="15.75" hidden="false" customHeight="false" outlineLevel="0" collapsed="false">
      <c r="A273" s="121" t="n">
        <f aca="false">ExportRaw!$F273</f>
        <v>0</v>
      </c>
      <c r="B273" s="121" t="n">
        <f aca="false">ExportRaw!$C273</f>
        <v>0</v>
      </c>
      <c r="C273" s="121" t="n">
        <f aca="false">ExportRaw!$G273</f>
        <v>0</v>
      </c>
      <c r="D273" s="121" t="str">
        <f aca="false">ExportRaw!$E273</f>
        <v/>
      </c>
      <c r="E273" s="122" t="str">
        <f aca="false">ExportRaw!$D273</f>
        <v/>
      </c>
      <c r="F273" s="121" t="str">
        <f aca="false">ExportRaw!$H273</f>
        <v/>
      </c>
      <c r="G273" s="123" t="str">
        <f aca="false">ExportRaw!$I273</f>
        <v/>
      </c>
      <c r="H273" s="121" t="str">
        <f aca="false">ExportRaw!$A273</f>
        <v/>
      </c>
      <c r="I273" s="121" t="str">
        <f aca="false">ExportRaw!$B273</f>
        <v/>
      </c>
    </row>
    <row r="274" customFormat="false" ht="15.75" hidden="false" customHeight="false" outlineLevel="0" collapsed="false">
      <c r="A274" s="121" t="n">
        <f aca="false">ExportRaw!$F274</f>
        <v>0</v>
      </c>
      <c r="B274" s="121" t="n">
        <f aca="false">ExportRaw!$C274</f>
        <v>0</v>
      </c>
      <c r="C274" s="121" t="n">
        <f aca="false">ExportRaw!$G274</f>
        <v>0</v>
      </c>
      <c r="D274" s="121" t="str">
        <f aca="false">ExportRaw!$E274</f>
        <v/>
      </c>
      <c r="E274" s="122" t="str">
        <f aca="false">ExportRaw!$D274</f>
        <v/>
      </c>
      <c r="F274" s="121" t="str">
        <f aca="false">ExportRaw!$H274</f>
        <v/>
      </c>
      <c r="G274" s="123" t="str">
        <f aca="false">ExportRaw!$I274</f>
        <v/>
      </c>
      <c r="H274" s="121" t="str">
        <f aca="false">ExportRaw!$A274</f>
        <v/>
      </c>
      <c r="I274" s="121" t="str">
        <f aca="false">ExportRaw!$B274</f>
        <v/>
      </c>
    </row>
    <row r="275" customFormat="false" ht="15.75" hidden="false" customHeight="false" outlineLevel="0" collapsed="false">
      <c r="A275" s="121" t="n">
        <f aca="false">ExportRaw!$F275</f>
        <v>0</v>
      </c>
      <c r="B275" s="121" t="n">
        <f aca="false">ExportRaw!$C275</f>
        <v>0</v>
      </c>
      <c r="C275" s="121" t="n">
        <f aca="false">ExportRaw!$G275</f>
        <v>0</v>
      </c>
      <c r="D275" s="121" t="str">
        <f aca="false">ExportRaw!$E275</f>
        <v/>
      </c>
      <c r="E275" s="122" t="str">
        <f aca="false">ExportRaw!$D275</f>
        <v/>
      </c>
      <c r="F275" s="121" t="str">
        <f aca="false">ExportRaw!$H275</f>
        <v/>
      </c>
      <c r="G275" s="123" t="str">
        <f aca="false">ExportRaw!$I275</f>
        <v/>
      </c>
      <c r="H275" s="121" t="str">
        <f aca="false">ExportRaw!$A275</f>
        <v/>
      </c>
      <c r="I275" s="121" t="str">
        <f aca="false">ExportRaw!$B275</f>
        <v/>
      </c>
    </row>
    <row r="276" customFormat="false" ht="15.75" hidden="false" customHeight="false" outlineLevel="0" collapsed="false">
      <c r="A276" s="121" t="n">
        <f aca="false">ExportRaw!$F276</f>
        <v>0</v>
      </c>
      <c r="B276" s="121" t="n">
        <f aca="false">ExportRaw!$C276</f>
        <v>0</v>
      </c>
      <c r="C276" s="121" t="n">
        <f aca="false">ExportRaw!$G276</f>
        <v>0</v>
      </c>
      <c r="D276" s="121" t="str">
        <f aca="false">ExportRaw!$E276</f>
        <v/>
      </c>
      <c r="E276" s="122" t="str">
        <f aca="false">ExportRaw!$D276</f>
        <v/>
      </c>
      <c r="F276" s="121" t="str">
        <f aca="false">ExportRaw!$H276</f>
        <v/>
      </c>
      <c r="G276" s="123" t="str">
        <f aca="false">ExportRaw!$I276</f>
        <v/>
      </c>
      <c r="H276" s="121" t="str">
        <f aca="false">ExportRaw!$A276</f>
        <v/>
      </c>
      <c r="I276" s="121" t="str">
        <f aca="false">ExportRaw!$B276</f>
        <v/>
      </c>
    </row>
    <row r="277" customFormat="false" ht="15.75" hidden="false" customHeight="false" outlineLevel="0" collapsed="false">
      <c r="A277" s="121" t="n">
        <f aca="false">ExportRaw!$F277</f>
        <v>0</v>
      </c>
      <c r="B277" s="121" t="n">
        <f aca="false">ExportRaw!$C277</f>
        <v>0</v>
      </c>
      <c r="C277" s="121" t="n">
        <f aca="false">ExportRaw!$G277</f>
        <v>0</v>
      </c>
      <c r="D277" s="121" t="str">
        <f aca="false">ExportRaw!$E277</f>
        <v/>
      </c>
      <c r="E277" s="122" t="str">
        <f aca="false">ExportRaw!$D277</f>
        <v/>
      </c>
      <c r="F277" s="121" t="str">
        <f aca="false">ExportRaw!$H277</f>
        <v/>
      </c>
      <c r="G277" s="123" t="str">
        <f aca="false">ExportRaw!$I277</f>
        <v/>
      </c>
      <c r="H277" s="121" t="str">
        <f aca="false">ExportRaw!$A277</f>
        <v/>
      </c>
      <c r="I277" s="121" t="str">
        <f aca="false">ExportRaw!$B277</f>
        <v/>
      </c>
    </row>
    <row r="278" customFormat="false" ht="15.75" hidden="false" customHeight="false" outlineLevel="0" collapsed="false">
      <c r="A278" s="121" t="n">
        <f aca="false">ExportRaw!$F278</f>
        <v>0</v>
      </c>
      <c r="B278" s="121" t="n">
        <f aca="false">ExportRaw!$C278</f>
        <v>0</v>
      </c>
      <c r="C278" s="121" t="n">
        <f aca="false">ExportRaw!$G278</f>
        <v>0</v>
      </c>
      <c r="D278" s="121" t="str">
        <f aca="false">ExportRaw!$E278</f>
        <v/>
      </c>
      <c r="E278" s="122" t="str">
        <f aca="false">ExportRaw!$D278</f>
        <v/>
      </c>
      <c r="F278" s="121" t="str">
        <f aca="false">ExportRaw!$H278</f>
        <v/>
      </c>
      <c r="G278" s="123" t="str">
        <f aca="false">ExportRaw!$I278</f>
        <v/>
      </c>
      <c r="H278" s="121" t="str">
        <f aca="false">ExportRaw!$A278</f>
        <v/>
      </c>
      <c r="I278" s="121" t="str">
        <f aca="false">ExportRaw!$B278</f>
        <v/>
      </c>
    </row>
    <row r="279" customFormat="false" ht="15.75" hidden="false" customHeight="false" outlineLevel="0" collapsed="false">
      <c r="A279" s="121" t="n">
        <f aca="false">ExportRaw!$F279</f>
        <v>0</v>
      </c>
      <c r="B279" s="121" t="n">
        <f aca="false">ExportRaw!$C279</f>
        <v>0</v>
      </c>
      <c r="C279" s="121" t="n">
        <f aca="false">ExportRaw!$G279</f>
        <v>0</v>
      </c>
      <c r="D279" s="121" t="str">
        <f aca="false">ExportRaw!$E279</f>
        <v/>
      </c>
      <c r="E279" s="122" t="str">
        <f aca="false">ExportRaw!$D279</f>
        <v/>
      </c>
      <c r="F279" s="121" t="str">
        <f aca="false">ExportRaw!$H279</f>
        <v/>
      </c>
      <c r="G279" s="123" t="str">
        <f aca="false">ExportRaw!$I279</f>
        <v/>
      </c>
      <c r="H279" s="121" t="str">
        <f aca="false">ExportRaw!$A279</f>
        <v/>
      </c>
      <c r="I279" s="121" t="str">
        <f aca="false">ExportRaw!$B279</f>
        <v/>
      </c>
    </row>
    <row r="280" customFormat="false" ht="15.75" hidden="false" customHeight="false" outlineLevel="0" collapsed="false">
      <c r="A280" s="121" t="n">
        <f aca="false">ExportRaw!$F280</f>
        <v>0</v>
      </c>
      <c r="B280" s="121" t="n">
        <f aca="false">ExportRaw!$C280</f>
        <v>0</v>
      </c>
      <c r="C280" s="121" t="n">
        <f aca="false">ExportRaw!$G280</f>
        <v>0</v>
      </c>
      <c r="D280" s="121" t="str">
        <f aca="false">ExportRaw!$E280</f>
        <v/>
      </c>
      <c r="E280" s="122" t="str">
        <f aca="false">ExportRaw!$D280</f>
        <v/>
      </c>
      <c r="F280" s="121" t="str">
        <f aca="false">ExportRaw!$H280</f>
        <v/>
      </c>
      <c r="G280" s="123" t="str">
        <f aca="false">ExportRaw!$I280</f>
        <v/>
      </c>
      <c r="H280" s="121" t="str">
        <f aca="false">ExportRaw!$A280</f>
        <v/>
      </c>
      <c r="I280" s="121" t="str">
        <f aca="false">ExportRaw!$B280</f>
        <v/>
      </c>
    </row>
    <row r="281" customFormat="false" ht="15.75" hidden="false" customHeight="false" outlineLevel="0" collapsed="false">
      <c r="A281" s="121" t="n">
        <f aca="false">ExportRaw!$F281</f>
        <v>0</v>
      </c>
      <c r="B281" s="121" t="n">
        <f aca="false">ExportRaw!$C281</f>
        <v>0</v>
      </c>
      <c r="C281" s="121" t="n">
        <f aca="false">ExportRaw!$G281</f>
        <v>0</v>
      </c>
      <c r="D281" s="121" t="str">
        <f aca="false">ExportRaw!$E281</f>
        <v/>
      </c>
      <c r="E281" s="122" t="str">
        <f aca="false">ExportRaw!$D281</f>
        <v/>
      </c>
      <c r="F281" s="121" t="str">
        <f aca="false">ExportRaw!$H281</f>
        <v/>
      </c>
      <c r="G281" s="123" t="str">
        <f aca="false">ExportRaw!$I281</f>
        <v/>
      </c>
      <c r="H281" s="121" t="str">
        <f aca="false">ExportRaw!$A281</f>
        <v/>
      </c>
      <c r="I281" s="121" t="str">
        <f aca="false">ExportRaw!$B281</f>
        <v/>
      </c>
    </row>
    <row r="282" customFormat="false" ht="15.75" hidden="false" customHeight="false" outlineLevel="0" collapsed="false">
      <c r="A282" s="121" t="n">
        <f aca="false">ExportRaw!$F282</f>
        <v>0</v>
      </c>
      <c r="B282" s="121" t="n">
        <f aca="false">ExportRaw!$C282</f>
        <v>0</v>
      </c>
      <c r="C282" s="121" t="n">
        <f aca="false">ExportRaw!$G282</f>
        <v>0</v>
      </c>
      <c r="D282" s="121" t="str">
        <f aca="false">ExportRaw!$E282</f>
        <v/>
      </c>
      <c r="E282" s="122" t="str">
        <f aca="false">ExportRaw!$D282</f>
        <v/>
      </c>
      <c r="F282" s="121" t="str">
        <f aca="false">ExportRaw!$H282</f>
        <v/>
      </c>
      <c r="G282" s="123" t="str">
        <f aca="false">ExportRaw!$I282</f>
        <v/>
      </c>
      <c r="H282" s="121" t="str">
        <f aca="false">ExportRaw!$A282</f>
        <v/>
      </c>
      <c r="I282" s="121" t="str">
        <f aca="false">ExportRaw!$B282</f>
        <v/>
      </c>
    </row>
    <row r="283" customFormat="false" ht="15.75" hidden="false" customHeight="false" outlineLevel="0" collapsed="false">
      <c r="A283" s="121" t="n">
        <f aca="false">ExportRaw!$F283</f>
        <v>0</v>
      </c>
      <c r="B283" s="121" t="n">
        <f aca="false">ExportRaw!$C283</f>
        <v>0</v>
      </c>
      <c r="C283" s="121" t="n">
        <f aca="false">ExportRaw!$G283</f>
        <v>0</v>
      </c>
      <c r="D283" s="121" t="str">
        <f aca="false">ExportRaw!$E283</f>
        <v/>
      </c>
      <c r="E283" s="122" t="str">
        <f aca="false">ExportRaw!$D283</f>
        <v/>
      </c>
      <c r="F283" s="121" t="str">
        <f aca="false">ExportRaw!$H283</f>
        <v/>
      </c>
      <c r="G283" s="123" t="str">
        <f aca="false">ExportRaw!$I283</f>
        <v/>
      </c>
      <c r="H283" s="121" t="str">
        <f aca="false">ExportRaw!$A283</f>
        <v/>
      </c>
      <c r="I283" s="121" t="str">
        <f aca="false">ExportRaw!$B283</f>
        <v/>
      </c>
    </row>
    <row r="284" customFormat="false" ht="15.75" hidden="false" customHeight="false" outlineLevel="0" collapsed="false">
      <c r="A284" s="121" t="n">
        <f aca="false">ExportRaw!$F284</f>
        <v>0</v>
      </c>
      <c r="B284" s="121" t="n">
        <f aca="false">ExportRaw!$C284</f>
        <v>0</v>
      </c>
      <c r="C284" s="121" t="n">
        <f aca="false">ExportRaw!$G284</f>
        <v>0</v>
      </c>
      <c r="D284" s="121" t="str">
        <f aca="false">ExportRaw!$E284</f>
        <v/>
      </c>
      <c r="E284" s="122" t="str">
        <f aca="false">ExportRaw!$D284</f>
        <v/>
      </c>
      <c r="F284" s="121" t="str">
        <f aca="false">ExportRaw!$H284</f>
        <v/>
      </c>
      <c r="G284" s="123" t="str">
        <f aca="false">ExportRaw!$I284</f>
        <v/>
      </c>
      <c r="H284" s="121" t="str">
        <f aca="false">ExportRaw!$A284</f>
        <v/>
      </c>
      <c r="I284" s="121" t="str">
        <f aca="false">ExportRaw!$B284</f>
        <v/>
      </c>
    </row>
    <row r="285" customFormat="false" ht="15.75" hidden="false" customHeight="false" outlineLevel="0" collapsed="false">
      <c r="A285" s="121" t="n">
        <f aca="false">ExportRaw!$F285</f>
        <v>0</v>
      </c>
      <c r="B285" s="121" t="n">
        <f aca="false">ExportRaw!$C285</f>
        <v>0</v>
      </c>
      <c r="C285" s="121" t="n">
        <f aca="false">ExportRaw!$G285</f>
        <v>0</v>
      </c>
      <c r="D285" s="121" t="str">
        <f aca="false">ExportRaw!$E285</f>
        <v/>
      </c>
      <c r="E285" s="122" t="str">
        <f aca="false">ExportRaw!$D285</f>
        <v/>
      </c>
      <c r="F285" s="121" t="str">
        <f aca="false">ExportRaw!$H285</f>
        <v/>
      </c>
      <c r="G285" s="123" t="str">
        <f aca="false">ExportRaw!$I285</f>
        <v/>
      </c>
      <c r="H285" s="121" t="str">
        <f aca="false">ExportRaw!$A285</f>
        <v/>
      </c>
      <c r="I285" s="121" t="str">
        <f aca="false">ExportRaw!$B285</f>
        <v/>
      </c>
    </row>
    <row r="286" customFormat="false" ht="15.75" hidden="false" customHeight="false" outlineLevel="0" collapsed="false">
      <c r="A286" s="121" t="n">
        <f aca="false">ExportRaw!$F286</f>
        <v>0</v>
      </c>
      <c r="B286" s="121" t="n">
        <f aca="false">ExportRaw!$C286</f>
        <v>0</v>
      </c>
      <c r="C286" s="121" t="n">
        <f aca="false">ExportRaw!$G286</f>
        <v>0</v>
      </c>
      <c r="D286" s="121" t="str">
        <f aca="false">ExportRaw!$E286</f>
        <v/>
      </c>
      <c r="E286" s="122" t="str">
        <f aca="false">ExportRaw!$D286</f>
        <v/>
      </c>
      <c r="F286" s="121" t="str">
        <f aca="false">ExportRaw!$H286</f>
        <v/>
      </c>
      <c r="G286" s="123" t="str">
        <f aca="false">ExportRaw!$I286</f>
        <v/>
      </c>
      <c r="H286" s="121" t="str">
        <f aca="false">ExportRaw!$A286</f>
        <v/>
      </c>
      <c r="I286" s="121" t="str">
        <f aca="false">ExportRaw!$B286</f>
        <v/>
      </c>
    </row>
    <row r="287" customFormat="false" ht="15.75" hidden="false" customHeight="false" outlineLevel="0" collapsed="false">
      <c r="A287" s="121" t="n">
        <f aca="false">ExportRaw!$F287</f>
        <v>0</v>
      </c>
      <c r="B287" s="121" t="n">
        <f aca="false">ExportRaw!$C287</f>
        <v>0</v>
      </c>
      <c r="C287" s="121" t="n">
        <f aca="false">ExportRaw!$G287</f>
        <v>0</v>
      </c>
      <c r="D287" s="121" t="str">
        <f aca="false">ExportRaw!$E287</f>
        <v/>
      </c>
      <c r="E287" s="122" t="str">
        <f aca="false">ExportRaw!$D287</f>
        <v/>
      </c>
      <c r="F287" s="121" t="str">
        <f aca="false">ExportRaw!$H287</f>
        <v/>
      </c>
      <c r="G287" s="123" t="str">
        <f aca="false">ExportRaw!$I287</f>
        <v/>
      </c>
      <c r="H287" s="121" t="str">
        <f aca="false">ExportRaw!$A287</f>
        <v/>
      </c>
      <c r="I287" s="121" t="str">
        <f aca="false">ExportRaw!$B287</f>
        <v/>
      </c>
    </row>
    <row r="288" customFormat="false" ht="15.75" hidden="false" customHeight="false" outlineLevel="0" collapsed="false">
      <c r="A288" s="121" t="n">
        <f aca="false">ExportRaw!$F288</f>
        <v>0</v>
      </c>
      <c r="B288" s="121" t="n">
        <f aca="false">ExportRaw!$C288</f>
        <v>0</v>
      </c>
      <c r="C288" s="121" t="n">
        <f aca="false">ExportRaw!$G288</f>
        <v>0</v>
      </c>
      <c r="D288" s="121" t="str">
        <f aca="false">ExportRaw!$E288</f>
        <v/>
      </c>
      <c r="E288" s="122" t="str">
        <f aca="false">ExportRaw!$D288</f>
        <v/>
      </c>
      <c r="F288" s="121" t="str">
        <f aca="false">ExportRaw!$H288</f>
        <v/>
      </c>
      <c r="G288" s="123" t="str">
        <f aca="false">ExportRaw!$I288</f>
        <v/>
      </c>
      <c r="H288" s="121" t="str">
        <f aca="false">ExportRaw!$A288</f>
        <v/>
      </c>
      <c r="I288" s="121" t="str">
        <f aca="false">ExportRaw!$B288</f>
        <v/>
      </c>
    </row>
    <row r="289" customFormat="false" ht="15.75" hidden="false" customHeight="false" outlineLevel="0" collapsed="false">
      <c r="A289" s="121" t="n">
        <f aca="false">ExportRaw!$F289</f>
        <v>0</v>
      </c>
      <c r="B289" s="121" t="n">
        <f aca="false">ExportRaw!$C289</f>
        <v>0</v>
      </c>
      <c r="C289" s="121" t="n">
        <f aca="false">ExportRaw!$G289</f>
        <v>0</v>
      </c>
      <c r="D289" s="121" t="str">
        <f aca="false">ExportRaw!$E289</f>
        <v/>
      </c>
      <c r="E289" s="122" t="str">
        <f aca="false">ExportRaw!$D289</f>
        <v/>
      </c>
      <c r="F289" s="121" t="str">
        <f aca="false">ExportRaw!$H289</f>
        <v/>
      </c>
      <c r="G289" s="123" t="str">
        <f aca="false">ExportRaw!$I289</f>
        <v/>
      </c>
      <c r="H289" s="121" t="str">
        <f aca="false">ExportRaw!$A289</f>
        <v/>
      </c>
      <c r="I289" s="121" t="str">
        <f aca="false">ExportRaw!$B289</f>
        <v/>
      </c>
    </row>
    <row r="290" customFormat="false" ht="15.75" hidden="false" customHeight="false" outlineLevel="0" collapsed="false">
      <c r="A290" s="121" t="n">
        <f aca="false">ExportRaw!$F290</f>
        <v>0</v>
      </c>
      <c r="B290" s="121" t="n">
        <f aca="false">ExportRaw!$C290</f>
        <v>0</v>
      </c>
      <c r="C290" s="121" t="n">
        <f aca="false">ExportRaw!$G290</f>
        <v>0</v>
      </c>
      <c r="D290" s="121" t="str">
        <f aca="false">ExportRaw!$E290</f>
        <v/>
      </c>
      <c r="E290" s="122" t="str">
        <f aca="false">ExportRaw!$D290</f>
        <v/>
      </c>
      <c r="F290" s="121" t="str">
        <f aca="false">ExportRaw!$H290</f>
        <v/>
      </c>
      <c r="G290" s="123" t="str">
        <f aca="false">ExportRaw!$I290</f>
        <v/>
      </c>
      <c r="H290" s="121" t="str">
        <f aca="false">ExportRaw!$A290</f>
        <v/>
      </c>
      <c r="I290" s="121" t="str">
        <f aca="false">ExportRaw!$B290</f>
        <v/>
      </c>
    </row>
    <row r="291" customFormat="false" ht="15.75" hidden="false" customHeight="false" outlineLevel="0" collapsed="false">
      <c r="A291" s="121" t="n">
        <f aca="false">ExportRaw!$F291</f>
        <v>0</v>
      </c>
      <c r="B291" s="121" t="n">
        <f aca="false">ExportRaw!$C291</f>
        <v>0</v>
      </c>
      <c r="C291" s="121" t="n">
        <f aca="false">ExportRaw!$G291</f>
        <v>0</v>
      </c>
      <c r="D291" s="121" t="str">
        <f aca="false">ExportRaw!$E291</f>
        <v/>
      </c>
      <c r="E291" s="122" t="str">
        <f aca="false">ExportRaw!$D291</f>
        <v/>
      </c>
      <c r="F291" s="121" t="str">
        <f aca="false">ExportRaw!$H291</f>
        <v/>
      </c>
      <c r="G291" s="123" t="str">
        <f aca="false">ExportRaw!$I291</f>
        <v/>
      </c>
      <c r="H291" s="121" t="str">
        <f aca="false">ExportRaw!$A291</f>
        <v/>
      </c>
      <c r="I291" s="121" t="str">
        <f aca="false">ExportRaw!$B291</f>
        <v/>
      </c>
    </row>
    <row r="292" customFormat="false" ht="15.75" hidden="false" customHeight="false" outlineLevel="0" collapsed="false">
      <c r="A292" s="121" t="n">
        <f aca="false">ExportRaw!$F292</f>
        <v>0</v>
      </c>
      <c r="B292" s="121" t="n">
        <f aca="false">ExportRaw!$C292</f>
        <v>0</v>
      </c>
      <c r="C292" s="121" t="n">
        <f aca="false">ExportRaw!$G292</f>
        <v>0</v>
      </c>
      <c r="D292" s="121" t="str">
        <f aca="false">ExportRaw!$E292</f>
        <v/>
      </c>
      <c r="E292" s="122" t="str">
        <f aca="false">ExportRaw!$D292</f>
        <v/>
      </c>
      <c r="F292" s="121" t="str">
        <f aca="false">ExportRaw!$H292</f>
        <v/>
      </c>
      <c r="G292" s="123" t="str">
        <f aca="false">ExportRaw!$I292</f>
        <v/>
      </c>
      <c r="H292" s="121" t="str">
        <f aca="false">ExportRaw!$A292</f>
        <v/>
      </c>
      <c r="I292" s="121" t="str">
        <f aca="false">ExportRaw!$B292</f>
        <v/>
      </c>
    </row>
    <row r="293" customFormat="false" ht="15.75" hidden="false" customHeight="false" outlineLevel="0" collapsed="false">
      <c r="A293" s="121" t="n">
        <f aca="false">ExportRaw!$F293</f>
        <v>0</v>
      </c>
      <c r="B293" s="121" t="n">
        <f aca="false">ExportRaw!$C293</f>
        <v>0</v>
      </c>
      <c r="C293" s="121" t="n">
        <f aca="false">ExportRaw!$G293</f>
        <v>0</v>
      </c>
      <c r="D293" s="121" t="str">
        <f aca="false">ExportRaw!$E293</f>
        <v/>
      </c>
      <c r="E293" s="122" t="str">
        <f aca="false">ExportRaw!$D293</f>
        <v/>
      </c>
      <c r="F293" s="121" t="str">
        <f aca="false">ExportRaw!$H293</f>
        <v/>
      </c>
      <c r="G293" s="123" t="str">
        <f aca="false">ExportRaw!$I293</f>
        <v/>
      </c>
      <c r="H293" s="121" t="str">
        <f aca="false">ExportRaw!$A293</f>
        <v/>
      </c>
      <c r="I293" s="121" t="str">
        <f aca="false">ExportRaw!$B293</f>
        <v/>
      </c>
    </row>
    <row r="294" customFormat="false" ht="15.75" hidden="false" customHeight="false" outlineLevel="0" collapsed="false">
      <c r="A294" s="121" t="n">
        <f aca="false">ExportRaw!$F294</f>
        <v>0</v>
      </c>
      <c r="B294" s="121" t="n">
        <f aca="false">ExportRaw!$C294</f>
        <v>0</v>
      </c>
      <c r="C294" s="121" t="n">
        <f aca="false">ExportRaw!$G294</f>
        <v>0</v>
      </c>
      <c r="D294" s="121" t="str">
        <f aca="false">ExportRaw!$E294</f>
        <v/>
      </c>
      <c r="E294" s="122" t="str">
        <f aca="false">ExportRaw!$D294</f>
        <v/>
      </c>
      <c r="F294" s="121" t="str">
        <f aca="false">ExportRaw!$H294</f>
        <v/>
      </c>
      <c r="G294" s="123" t="str">
        <f aca="false">ExportRaw!$I294</f>
        <v/>
      </c>
      <c r="H294" s="121" t="str">
        <f aca="false">ExportRaw!$A294</f>
        <v/>
      </c>
      <c r="I294" s="121" t="str">
        <f aca="false">ExportRaw!$B294</f>
        <v/>
      </c>
    </row>
    <row r="295" customFormat="false" ht="15.75" hidden="false" customHeight="false" outlineLevel="0" collapsed="false">
      <c r="A295" s="121" t="n">
        <f aca="false">ExportRaw!$F295</f>
        <v>0</v>
      </c>
      <c r="B295" s="121" t="n">
        <f aca="false">ExportRaw!$C295</f>
        <v>0</v>
      </c>
      <c r="C295" s="121" t="n">
        <f aca="false">ExportRaw!$G295</f>
        <v>0</v>
      </c>
      <c r="D295" s="121" t="str">
        <f aca="false">ExportRaw!$E295</f>
        <v/>
      </c>
      <c r="E295" s="122" t="str">
        <f aca="false">ExportRaw!$D295</f>
        <v/>
      </c>
      <c r="F295" s="121" t="str">
        <f aca="false">ExportRaw!$H295</f>
        <v/>
      </c>
      <c r="G295" s="123" t="str">
        <f aca="false">ExportRaw!$I295</f>
        <v/>
      </c>
      <c r="H295" s="121" t="str">
        <f aca="false">ExportRaw!$A295</f>
        <v/>
      </c>
      <c r="I295" s="121" t="str">
        <f aca="false">ExportRaw!$B295</f>
        <v/>
      </c>
    </row>
    <row r="296" customFormat="false" ht="15.75" hidden="false" customHeight="false" outlineLevel="0" collapsed="false">
      <c r="A296" s="121" t="n">
        <f aca="false">ExportRaw!$F296</f>
        <v>0</v>
      </c>
      <c r="B296" s="121" t="n">
        <f aca="false">ExportRaw!$C296</f>
        <v>0</v>
      </c>
      <c r="C296" s="121" t="n">
        <f aca="false">ExportRaw!$G296</f>
        <v>0</v>
      </c>
      <c r="D296" s="121" t="str">
        <f aca="false">ExportRaw!$E296</f>
        <v/>
      </c>
      <c r="E296" s="122" t="str">
        <f aca="false">ExportRaw!$D296</f>
        <v/>
      </c>
      <c r="F296" s="121" t="str">
        <f aca="false">ExportRaw!$H296</f>
        <v/>
      </c>
      <c r="G296" s="123" t="str">
        <f aca="false">ExportRaw!$I296</f>
        <v/>
      </c>
      <c r="H296" s="121" t="str">
        <f aca="false">ExportRaw!$A296</f>
        <v/>
      </c>
      <c r="I296" s="121" t="str">
        <f aca="false">ExportRaw!$B296</f>
        <v/>
      </c>
    </row>
    <row r="297" customFormat="false" ht="15.75" hidden="false" customHeight="false" outlineLevel="0" collapsed="false">
      <c r="A297" s="121" t="n">
        <f aca="false">ExportRaw!$F297</f>
        <v>0</v>
      </c>
      <c r="B297" s="121" t="n">
        <f aca="false">ExportRaw!$C297</f>
        <v>0</v>
      </c>
      <c r="C297" s="121" t="n">
        <f aca="false">ExportRaw!$G297</f>
        <v>0</v>
      </c>
      <c r="D297" s="121" t="str">
        <f aca="false">ExportRaw!$E297</f>
        <v/>
      </c>
      <c r="E297" s="122" t="str">
        <f aca="false">ExportRaw!$D297</f>
        <v/>
      </c>
      <c r="F297" s="121" t="str">
        <f aca="false">ExportRaw!$H297</f>
        <v/>
      </c>
      <c r="G297" s="123" t="str">
        <f aca="false">ExportRaw!$I297</f>
        <v/>
      </c>
      <c r="H297" s="121" t="str">
        <f aca="false">ExportRaw!$A297</f>
        <v/>
      </c>
      <c r="I297" s="121" t="str">
        <f aca="false">ExportRaw!$B297</f>
        <v/>
      </c>
    </row>
    <row r="298" customFormat="false" ht="15.75" hidden="false" customHeight="false" outlineLevel="0" collapsed="false">
      <c r="A298" s="121" t="n">
        <f aca="false">ExportRaw!$F298</f>
        <v>0</v>
      </c>
      <c r="B298" s="121" t="n">
        <f aca="false">ExportRaw!$C298</f>
        <v>0</v>
      </c>
      <c r="C298" s="121" t="n">
        <f aca="false">ExportRaw!$G298</f>
        <v>0</v>
      </c>
      <c r="D298" s="121" t="str">
        <f aca="false">ExportRaw!$E298</f>
        <v/>
      </c>
      <c r="E298" s="122" t="str">
        <f aca="false">ExportRaw!$D298</f>
        <v/>
      </c>
      <c r="F298" s="121" t="str">
        <f aca="false">ExportRaw!$H298</f>
        <v/>
      </c>
      <c r="G298" s="123" t="str">
        <f aca="false">ExportRaw!$I298</f>
        <v/>
      </c>
      <c r="H298" s="121" t="str">
        <f aca="false">ExportRaw!$A298</f>
        <v/>
      </c>
      <c r="I298" s="121" t="str">
        <f aca="false">ExportRaw!$B298</f>
        <v/>
      </c>
    </row>
    <row r="299" customFormat="false" ht="15.75" hidden="false" customHeight="false" outlineLevel="0" collapsed="false">
      <c r="A299" s="121" t="n">
        <f aca="false">ExportRaw!$F299</f>
        <v>0</v>
      </c>
      <c r="B299" s="121" t="n">
        <f aca="false">ExportRaw!$C299</f>
        <v>0</v>
      </c>
      <c r="C299" s="121" t="n">
        <f aca="false">ExportRaw!$G299</f>
        <v>0</v>
      </c>
      <c r="D299" s="121" t="str">
        <f aca="false">ExportRaw!$E299</f>
        <v/>
      </c>
      <c r="E299" s="122" t="str">
        <f aca="false">ExportRaw!$D299</f>
        <v/>
      </c>
      <c r="F299" s="121" t="str">
        <f aca="false">ExportRaw!$H299</f>
        <v/>
      </c>
      <c r="G299" s="123" t="str">
        <f aca="false">ExportRaw!$I299</f>
        <v/>
      </c>
      <c r="H299" s="121" t="str">
        <f aca="false">ExportRaw!$A299</f>
        <v/>
      </c>
      <c r="I299" s="121" t="str">
        <f aca="false">ExportRaw!$B299</f>
        <v/>
      </c>
    </row>
    <row r="300" customFormat="false" ht="15.75" hidden="false" customHeight="false" outlineLevel="0" collapsed="false">
      <c r="A300" s="121" t="n">
        <f aca="false">ExportRaw!$F300</f>
        <v>0</v>
      </c>
      <c r="B300" s="121" t="n">
        <f aca="false">ExportRaw!$C300</f>
        <v>0</v>
      </c>
      <c r="C300" s="121" t="n">
        <f aca="false">ExportRaw!$G300</f>
        <v>0</v>
      </c>
      <c r="D300" s="121" t="str">
        <f aca="false">ExportRaw!$E300</f>
        <v/>
      </c>
      <c r="E300" s="122" t="str">
        <f aca="false">ExportRaw!$D300</f>
        <v/>
      </c>
      <c r="F300" s="121" t="str">
        <f aca="false">ExportRaw!$H300</f>
        <v/>
      </c>
      <c r="G300" s="123" t="str">
        <f aca="false">ExportRaw!$I300</f>
        <v/>
      </c>
      <c r="H300" s="121" t="str">
        <f aca="false">ExportRaw!$A300</f>
        <v/>
      </c>
      <c r="I300" s="121" t="str">
        <f aca="false">ExportRaw!$B300</f>
        <v/>
      </c>
    </row>
    <row r="301" customFormat="false" ht="15.75" hidden="false" customHeight="false" outlineLevel="0" collapsed="false">
      <c r="A301" s="121" t="n">
        <f aca="false">ExportRaw!$F301</f>
        <v>0</v>
      </c>
      <c r="B301" s="121" t="n">
        <f aca="false">ExportRaw!$C301</f>
        <v>0</v>
      </c>
      <c r="C301" s="121" t="n">
        <f aca="false">ExportRaw!$G301</f>
        <v>0</v>
      </c>
      <c r="D301" s="121" t="str">
        <f aca="false">ExportRaw!$E301</f>
        <v/>
      </c>
      <c r="E301" s="122" t="str">
        <f aca="false">ExportRaw!$D301</f>
        <v/>
      </c>
      <c r="F301" s="121" t="str">
        <f aca="false">ExportRaw!$H301</f>
        <v/>
      </c>
      <c r="G301" s="123" t="str">
        <f aca="false">ExportRaw!$I301</f>
        <v/>
      </c>
      <c r="H301" s="121" t="str">
        <f aca="false">ExportRaw!$A301</f>
        <v/>
      </c>
      <c r="I301" s="121" t="str">
        <f aca="false">ExportRaw!$B301</f>
        <v/>
      </c>
    </row>
    <row r="302" customFormat="false" ht="15.75" hidden="false" customHeight="false" outlineLevel="0" collapsed="false">
      <c r="A302" s="121" t="n">
        <f aca="false">ExportRaw!$F302</f>
        <v>0</v>
      </c>
      <c r="B302" s="121" t="n">
        <f aca="false">ExportRaw!$C302</f>
        <v>0</v>
      </c>
      <c r="C302" s="121" t="n">
        <f aca="false">ExportRaw!$G302</f>
        <v>0</v>
      </c>
      <c r="D302" s="121" t="str">
        <f aca="false">ExportRaw!$E302</f>
        <v/>
      </c>
      <c r="E302" s="122" t="str">
        <f aca="false">ExportRaw!$D302</f>
        <v/>
      </c>
      <c r="F302" s="121" t="str">
        <f aca="false">ExportRaw!$H302</f>
        <v/>
      </c>
      <c r="G302" s="123" t="str">
        <f aca="false">ExportRaw!$I302</f>
        <v/>
      </c>
      <c r="H302" s="121" t="str">
        <f aca="false">ExportRaw!$A302</f>
        <v/>
      </c>
      <c r="I302" s="121" t="str">
        <f aca="false">ExportRaw!$B302</f>
        <v/>
      </c>
    </row>
    <row r="303" customFormat="false" ht="15.75" hidden="false" customHeight="false" outlineLevel="0" collapsed="false">
      <c r="A303" s="121" t="n">
        <f aca="false">ExportRaw!$F303</f>
        <v>0</v>
      </c>
      <c r="B303" s="121" t="n">
        <f aca="false">ExportRaw!$C303</f>
        <v>0</v>
      </c>
      <c r="C303" s="121" t="n">
        <f aca="false">ExportRaw!$G303</f>
        <v>0</v>
      </c>
      <c r="D303" s="121" t="str">
        <f aca="false">ExportRaw!$E303</f>
        <v/>
      </c>
      <c r="E303" s="122" t="str">
        <f aca="false">ExportRaw!$D303</f>
        <v/>
      </c>
      <c r="F303" s="121" t="str">
        <f aca="false">ExportRaw!$H303</f>
        <v/>
      </c>
      <c r="G303" s="123" t="str">
        <f aca="false">ExportRaw!$I303</f>
        <v/>
      </c>
      <c r="H303" s="121" t="str">
        <f aca="false">ExportRaw!$A303</f>
        <v/>
      </c>
      <c r="I303" s="121" t="str">
        <f aca="false">ExportRaw!$B303</f>
        <v/>
      </c>
    </row>
    <row r="304" customFormat="false" ht="15.75" hidden="false" customHeight="false" outlineLevel="0" collapsed="false">
      <c r="A304" s="121" t="n">
        <f aca="false">ExportRaw!$F304</f>
        <v>0</v>
      </c>
      <c r="B304" s="121" t="n">
        <f aca="false">ExportRaw!$C304</f>
        <v>0</v>
      </c>
      <c r="C304" s="121" t="n">
        <f aca="false">ExportRaw!$G304</f>
        <v>0</v>
      </c>
      <c r="D304" s="121" t="str">
        <f aca="false">ExportRaw!$E304</f>
        <v/>
      </c>
      <c r="E304" s="122" t="str">
        <f aca="false">ExportRaw!$D304</f>
        <v/>
      </c>
      <c r="F304" s="121" t="str">
        <f aca="false">ExportRaw!$H304</f>
        <v/>
      </c>
      <c r="G304" s="123" t="str">
        <f aca="false">ExportRaw!$I304</f>
        <v/>
      </c>
      <c r="H304" s="121" t="str">
        <f aca="false">ExportRaw!$A304</f>
        <v/>
      </c>
      <c r="I304" s="121" t="str">
        <f aca="false">ExportRaw!$B304</f>
        <v/>
      </c>
    </row>
    <row r="305" customFormat="false" ht="15.75" hidden="false" customHeight="false" outlineLevel="0" collapsed="false">
      <c r="A305" s="121" t="n">
        <f aca="false">ExportRaw!$F305</f>
        <v>0</v>
      </c>
      <c r="B305" s="121" t="n">
        <f aca="false">ExportRaw!$C305</f>
        <v>0</v>
      </c>
      <c r="C305" s="121" t="n">
        <f aca="false">ExportRaw!$G305</f>
        <v>0</v>
      </c>
      <c r="D305" s="121" t="str">
        <f aca="false">ExportRaw!$E305</f>
        <v/>
      </c>
      <c r="E305" s="122" t="str">
        <f aca="false">ExportRaw!$D305</f>
        <v/>
      </c>
      <c r="F305" s="121" t="str">
        <f aca="false">ExportRaw!$H305</f>
        <v/>
      </c>
      <c r="G305" s="123" t="str">
        <f aca="false">ExportRaw!$I305</f>
        <v/>
      </c>
      <c r="H305" s="121" t="str">
        <f aca="false">ExportRaw!$A305</f>
        <v/>
      </c>
      <c r="I305" s="121" t="str">
        <f aca="false">ExportRaw!$B305</f>
        <v/>
      </c>
    </row>
    <row r="306" customFormat="false" ht="15.75" hidden="false" customHeight="false" outlineLevel="0" collapsed="false">
      <c r="A306" s="121" t="n">
        <f aca="false">ExportRaw!$F306</f>
        <v>0</v>
      </c>
      <c r="B306" s="121" t="n">
        <f aca="false">ExportRaw!$C306</f>
        <v>0</v>
      </c>
      <c r="C306" s="121" t="n">
        <f aca="false">ExportRaw!$G306</f>
        <v>0</v>
      </c>
      <c r="D306" s="121" t="str">
        <f aca="false">ExportRaw!$E306</f>
        <v/>
      </c>
      <c r="E306" s="122" t="str">
        <f aca="false">ExportRaw!$D306</f>
        <v/>
      </c>
      <c r="F306" s="121" t="str">
        <f aca="false">ExportRaw!$H306</f>
        <v/>
      </c>
      <c r="G306" s="123" t="str">
        <f aca="false">ExportRaw!$I306</f>
        <v/>
      </c>
      <c r="H306" s="121" t="str">
        <f aca="false">ExportRaw!$A306</f>
        <v/>
      </c>
      <c r="I306" s="121" t="str">
        <f aca="false">ExportRaw!$B306</f>
        <v/>
      </c>
    </row>
    <row r="307" customFormat="false" ht="15.75" hidden="false" customHeight="false" outlineLevel="0" collapsed="false">
      <c r="A307" s="121" t="n">
        <f aca="false">ExportRaw!$F307</f>
        <v>0</v>
      </c>
      <c r="B307" s="121" t="n">
        <f aca="false">ExportRaw!$C307</f>
        <v>0</v>
      </c>
      <c r="C307" s="121" t="n">
        <f aca="false">ExportRaw!$G307</f>
        <v>0</v>
      </c>
      <c r="D307" s="121" t="str">
        <f aca="false">ExportRaw!$E307</f>
        <v/>
      </c>
      <c r="E307" s="122" t="str">
        <f aca="false">ExportRaw!$D307</f>
        <v/>
      </c>
      <c r="F307" s="121" t="str">
        <f aca="false">ExportRaw!$H307</f>
        <v/>
      </c>
      <c r="G307" s="123" t="str">
        <f aca="false">ExportRaw!$I307</f>
        <v/>
      </c>
      <c r="H307" s="121" t="str">
        <f aca="false">ExportRaw!$A307</f>
        <v/>
      </c>
      <c r="I307" s="121" t="str">
        <f aca="false">ExportRaw!$B307</f>
        <v/>
      </c>
    </row>
    <row r="308" customFormat="false" ht="15.75" hidden="false" customHeight="false" outlineLevel="0" collapsed="false">
      <c r="A308" s="121" t="n">
        <f aca="false">ExportRaw!$F308</f>
        <v>0</v>
      </c>
      <c r="B308" s="121" t="n">
        <f aca="false">ExportRaw!$C308</f>
        <v>0</v>
      </c>
      <c r="C308" s="121" t="n">
        <f aca="false">ExportRaw!$G308</f>
        <v>0</v>
      </c>
      <c r="D308" s="121" t="str">
        <f aca="false">ExportRaw!$E308</f>
        <v/>
      </c>
      <c r="E308" s="122" t="str">
        <f aca="false">ExportRaw!$D308</f>
        <v/>
      </c>
      <c r="F308" s="121" t="str">
        <f aca="false">ExportRaw!$H308</f>
        <v/>
      </c>
      <c r="G308" s="123" t="str">
        <f aca="false">ExportRaw!$I308</f>
        <v/>
      </c>
      <c r="H308" s="121" t="str">
        <f aca="false">ExportRaw!$A308</f>
        <v/>
      </c>
      <c r="I308" s="121" t="str">
        <f aca="false">ExportRaw!$B308</f>
        <v/>
      </c>
    </row>
    <row r="309" customFormat="false" ht="15.75" hidden="false" customHeight="false" outlineLevel="0" collapsed="false">
      <c r="A309" s="121" t="n">
        <f aca="false">ExportRaw!$F309</f>
        <v>0</v>
      </c>
      <c r="B309" s="121" t="n">
        <f aca="false">ExportRaw!$C309</f>
        <v>0</v>
      </c>
      <c r="C309" s="121" t="n">
        <f aca="false">ExportRaw!$G309</f>
        <v>0</v>
      </c>
      <c r="D309" s="121" t="str">
        <f aca="false">ExportRaw!$E309</f>
        <v/>
      </c>
      <c r="E309" s="122" t="str">
        <f aca="false">ExportRaw!$D309</f>
        <v/>
      </c>
      <c r="F309" s="121" t="str">
        <f aca="false">ExportRaw!$H309</f>
        <v/>
      </c>
      <c r="G309" s="123" t="str">
        <f aca="false">ExportRaw!$I309</f>
        <v/>
      </c>
      <c r="H309" s="121" t="str">
        <f aca="false">ExportRaw!$A309</f>
        <v/>
      </c>
      <c r="I309" s="121" t="str">
        <f aca="false">ExportRaw!$B309</f>
        <v/>
      </c>
    </row>
    <row r="310" customFormat="false" ht="15.75" hidden="false" customHeight="false" outlineLevel="0" collapsed="false">
      <c r="A310" s="121" t="n">
        <f aca="false">ExportRaw!$F310</f>
        <v>0</v>
      </c>
      <c r="B310" s="121" t="n">
        <f aca="false">ExportRaw!$C310</f>
        <v>0</v>
      </c>
      <c r="C310" s="121" t="n">
        <f aca="false">ExportRaw!$G310</f>
        <v>0</v>
      </c>
      <c r="D310" s="121" t="str">
        <f aca="false">ExportRaw!$E310</f>
        <v/>
      </c>
      <c r="E310" s="122" t="str">
        <f aca="false">ExportRaw!$D310</f>
        <v/>
      </c>
      <c r="F310" s="121" t="str">
        <f aca="false">ExportRaw!$H310</f>
        <v/>
      </c>
      <c r="G310" s="123" t="str">
        <f aca="false">ExportRaw!$I310</f>
        <v/>
      </c>
      <c r="H310" s="121" t="str">
        <f aca="false">ExportRaw!$A310</f>
        <v/>
      </c>
      <c r="I310" s="121" t="str">
        <f aca="false">ExportRaw!$B310</f>
        <v/>
      </c>
    </row>
    <row r="311" customFormat="false" ht="15.75" hidden="false" customHeight="false" outlineLevel="0" collapsed="false">
      <c r="A311" s="121" t="n">
        <f aca="false">ExportRaw!$F311</f>
        <v>0</v>
      </c>
      <c r="B311" s="121" t="n">
        <f aca="false">ExportRaw!$C311</f>
        <v>0</v>
      </c>
      <c r="C311" s="121" t="n">
        <f aca="false">ExportRaw!$G311</f>
        <v>0</v>
      </c>
      <c r="D311" s="121" t="str">
        <f aca="false">ExportRaw!$E311</f>
        <v/>
      </c>
      <c r="E311" s="122" t="str">
        <f aca="false">ExportRaw!$D311</f>
        <v/>
      </c>
      <c r="F311" s="121" t="str">
        <f aca="false">ExportRaw!$H311</f>
        <v/>
      </c>
      <c r="G311" s="123" t="str">
        <f aca="false">ExportRaw!$I311</f>
        <v/>
      </c>
      <c r="H311" s="121" t="str">
        <f aca="false">ExportRaw!$A311</f>
        <v/>
      </c>
      <c r="I311" s="121" t="str">
        <f aca="false">ExportRaw!$B311</f>
        <v/>
      </c>
    </row>
    <row r="312" customFormat="false" ht="15.75" hidden="false" customHeight="false" outlineLevel="0" collapsed="false">
      <c r="A312" s="121" t="n">
        <f aca="false">ExportRaw!$F312</f>
        <v>0</v>
      </c>
      <c r="B312" s="121" t="n">
        <f aca="false">ExportRaw!$C312</f>
        <v>0</v>
      </c>
      <c r="C312" s="121" t="n">
        <f aca="false">ExportRaw!$G312</f>
        <v>0</v>
      </c>
      <c r="D312" s="121" t="str">
        <f aca="false">ExportRaw!$E312</f>
        <v/>
      </c>
      <c r="E312" s="122" t="str">
        <f aca="false">ExportRaw!$D312</f>
        <v/>
      </c>
      <c r="F312" s="121" t="str">
        <f aca="false">ExportRaw!$H312</f>
        <v/>
      </c>
      <c r="G312" s="123" t="str">
        <f aca="false">ExportRaw!$I312</f>
        <v/>
      </c>
      <c r="H312" s="121" t="str">
        <f aca="false">ExportRaw!$A312</f>
        <v/>
      </c>
      <c r="I312" s="121" t="str">
        <f aca="false">ExportRaw!$B312</f>
        <v/>
      </c>
    </row>
    <row r="313" customFormat="false" ht="15.75" hidden="false" customHeight="false" outlineLevel="0" collapsed="false">
      <c r="A313" s="121" t="n">
        <f aca="false">ExportRaw!$F313</f>
        <v>0</v>
      </c>
      <c r="B313" s="121" t="n">
        <f aca="false">ExportRaw!$C313</f>
        <v>0</v>
      </c>
      <c r="C313" s="121" t="n">
        <f aca="false">ExportRaw!$G313</f>
        <v>0</v>
      </c>
      <c r="D313" s="121" t="str">
        <f aca="false">ExportRaw!$E313</f>
        <v/>
      </c>
      <c r="E313" s="122" t="str">
        <f aca="false">ExportRaw!$D313</f>
        <v/>
      </c>
      <c r="F313" s="121" t="str">
        <f aca="false">ExportRaw!$H313</f>
        <v/>
      </c>
      <c r="G313" s="123" t="str">
        <f aca="false">ExportRaw!$I313</f>
        <v/>
      </c>
      <c r="H313" s="121" t="str">
        <f aca="false">ExportRaw!$A313</f>
        <v/>
      </c>
      <c r="I313" s="121" t="str">
        <f aca="false">ExportRaw!$B313</f>
        <v/>
      </c>
    </row>
    <row r="314" customFormat="false" ht="15.75" hidden="false" customHeight="false" outlineLevel="0" collapsed="false">
      <c r="A314" s="121" t="n">
        <f aca="false">ExportRaw!$F314</f>
        <v>0</v>
      </c>
      <c r="B314" s="121" t="n">
        <f aca="false">ExportRaw!$C314</f>
        <v>0</v>
      </c>
      <c r="C314" s="121" t="n">
        <f aca="false">ExportRaw!$G314</f>
        <v>0</v>
      </c>
      <c r="D314" s="121" t="str">
        <f aca="false">ExportRaw!$E314</f>
        <v/>
      </c>
      <c r="E314" s="122" t="str">
        <f aca="false">ExportRaw!$D314</f>
        <v/>
      </c>
      <c r="F314" s="121" t="str">
        <f aca="false">ExportRaw!$H314</f>
        <v/>
      </c>
      <c r="G314" s="123" t="str">
        <f aca="false">ExportRaw!$I314</f>
        <v/>
      </c>
      <c r="H314" s="121" t="str">
        <f aca="false">ExportRaw!$A314</f>
        <v/>
      </c>
      <c r="I314" s="121" t="str">
        <f aca="false">ExportRaw!$B314</f>
        <v/>
      </c>
    </row>
    <row r="315" customFormat="false" ht="15.75" hidden="false" customHeight="false" outlineLevel="0" collapsed="false">
      <c r="A315" s="121" t="n">
        <f aca="false">ExportRaw!$F315</f>
        <v>0</v>
      </c>
      <c r="B315" s="121" t="n">
        <f aca="false">ExportRaw!$C315</f>
        <v>0</v>
      </c>
      <c r="C315" s="121" t="n">
        <f aca="false">ExportRaw!$G315</f>
        <v>0</v>
      </c>
      <c r="D315" s="121" t="str">
        <f aca="false">ExportRaw!$E315</f>
        <v/>
      </c>
      <c r="E315" s="122" t="str">
        <f aca="false">ExportRaw!$D315</f>
        <v/>
      </c>
      <c r="F315" s="121" t="str">
        <f aca="false">ExportRaw!$H315</f>
        <v/>
      </c>
      <c r="G315" s="123" t="str">
        <f aca="false">ExportRaw!$I315</f>
        <v/>
      </c>
      <c r="H315" s="121" t="str">
        <f aca="false">ExportRaw!$A315</f>
        <v/>
      </c>
      <c r="I315" s="121" t="str">
        <f aca="false">ExportRaw!$B315</f>
        <v/>
      </c>
    </row>
    <row r="316" customFormat="false" ht="15.75" hidden="false" customHeight="false" outlineLevel="0" collapsed="false">
      <c r="A316" s="121" t="n">
        <f aca="false">ExportRaw!$F316</f>
        <v>0</v>
      </c>
      <c r="B316" s="121" t="n">
        <f aca="false">ExportRaw!$C316</f>
        <v>0</v>
      </c>
      <c r="C316" s="121" t="n">
        <f aca="false">ExportRaw!$G316</f>
        <v>0</v>
      </c>
      <c r="D316" s="121" t="str">
        <f aca="false">ExportRaw!$E316</f>
        <v/>
      </c>
      <c r="E316" s="122" t="str">
        <f aca="false">ExportRaw!$D316</f>
        <v/>
      </c>
      <c r="F316" s="121" t="str">
        <f aca="false">ExportRaw!$H316</f>
        <v/>
      </c>
      <c r="G316" s="123" t="str">
        <f aca="false">ExportRaw!$I316</f>
        <v/>
      </c>
      <c r="H316" s="121" t="str">
        <f aca="false">ExportRaw!$A316</f>
        <v/>
      </c>
      <c r="I316" s="121" t="str">
        <f aca="false">ExportRaw!$B316</f>
        <v/>
      </c>
    </row>
    <row r="317" customFormat="false" ht="15.75" hidden="false" customHeight="false" outlineLevel="0" collapsed="false">
      <c r="A317" s="121" t="n">
        <f aca="false">ExportRaw!$F317</f>
        <v>0</v>
      </c>
      <c r="B317" s="121" t="n">
        <f aca="false">ExportRaw!$C317</f>
        <v>0</v>
      </c>
      <c r="C317" s="121" t="n">
        <f aca="false">ExportRaw!$G317</f>
        <v>0</v>
      </c>
      <c r="D317" s="121" t="str">
        <f aca="false">ExportRaw!$E317</f>
        <v/>
      </c>
      <c r="E317" s="122" t="str">
        <f aca="false">ExportRaw!$D317</f>
        <v/>
      </c>
      <c r="F317" s="121" t="str">
        <f aca="false">ExportRaw!$H317</f>
        <v/>
      </c>
      <c r="G317" s="123" t="str">
        <f aca="false">ExportRaw!$I317</f>
        <v/>
      </c>
      <c r="H317" s="121" t="str">
        <f aca="false">ExportRaw!$A317</f>
        <v/>
      </c>
      <c r="I317" s="121" t="str">
        <f aca="false">ExportRaw!$B317</f>
        <v/>
      </c>
    </row>
    <row r="318" customFormat="false" ht="15.75" hidden="false" customHeight="false" outlineLevel="0" collapsed="false">
      <c r="A318" s="121" t="n">
        <f aca="false">ExportRaw!$F318</f>
        <v>0</v>
      </c>
      <c r="B318" s="121" t="n">
        <f aca="false">ExportRaw!$C318</f>
        <v>0</v>
      </c>
      <c r="C318" s="121" t="n">
        <f aca="false">ExportRaw!$G318</f>
        <v>0</v>
      </c>
      <c r="D318" s="121" t="str">
        <f aca="false">ExportRaw!$E318</f>
        <v/>
      </c>
      <c r="E318" s="122" t="str">
        <f aca="false">ExportRaw!$D318</f>
        <v/>
      </c>
      <c r="F318" s="121" t="str">
        <f aca="false">ExportRaw!$H318</f>
        <v/>
      </c>
      <c r="G318" s="123" t="str">
        <f aca="false">ExportRaw!$I318</f>
        <v/>
      </c>
      <c r="H318" s="121" t="str">
        <f aca="false">ExportRaw!$A318</f>
        <v/>
      </c>
      <c r="I318" s="121" t="str">
        <f aca="false">ExportRaw!$B318</f>
        <v/>
      </c>
    </row>
    <row r="319" customFormat="false" ht="15.75" hidden="false" customHeight="false" outlineLevel="0" collapsed="false">
      <c r="A319" s="121" t="n">
        <f aca="false">ExportRaw!$F319</f>
        <v>0</v>
      </c>
      <c r="B319" s="121" t="n">
        <f aca="false">ExportRaw!$C319</f>
        <v>0</v>
      </c>
      <c r="C319" s="121" t="n">
        <f aca="false">ExportRaw!$G319</f>
        <v>0</v>
      </c>
      <c r="D319" s="121" t="str">
        <f aca="false">ExportRaw!$E319</f>
        <v/>
      </c>
      <c r="E319" s="122" t="str">
        <f aca="false">ExportRaw!$D319</f>
        <v/>
      </c>
      <c r="F319" s="121" t="str">
        <f aca="false">ExportRaw!$H319</f>
        <v/>
      </c>
      <c r="G319" s="123" t="str">
        <f aca="false">ExportRaw!$I319</f>
        <v/>
      </c>
      <c r="H319" s="121" t="str">
        <f aca="false">ExportRaw!$A319</f>
        <v/>
      </c>
      <c r="I319" s="121" t="str">
        <f aca="false">ExportRaw!$B319</f>
        <v/>
      </c>
    </row>
    <row r="320" customFormat="false" ht="15.75" hidden="false" customHeight="false" outlineLevel="0" collapsed="false">
      <c r="A320" s="121" t="n">
        <f aca="false">ExportRaw!$F320</f>
        <v>0</v>
      </c>
      <c r="B320" s="121" t="n">
        <f aca="false">ExportRaw!$C320</f>
        <v>0</v>
      </c>
      <c r="C320" s="121" t="n">
        <f aca="false">ExportRaw!$G320</f>
        <v>0</v>
      </c>
      <c r="D320" s="121" t="str">
        <f aca="false">ExportRaw!$E320</f>
        <v/>
      </c>
      <c r="E320" s="122" t="str">
        <f aca="false">ExportRaw!$D320</f>
        <v/>
      </c>
      <c r="F320" s="121" t="str">
        <f aca="false">ExportRaw!$H320</f>
        <v/>
      </c>
      <c r="G320" s="123" t="str">
        <f aca="false">ExportRaw!$I320</f>
        <v/>
      </c>
      <c r="H320" s="121" t="str">
        <f aca="false">ExportRaw!$A320</f>
        <v/>
      </c>
      <c r="I320" s="121" t="str">
        <f aca="false">ExportRaw!$B320</f>
        <v/>
      </c>
    </row>
    <row r="321" customFormat="false" ht="15.75" hidden="false" customHeight="false" outlineLevel="0" collapsed="false">
      <c r="A321" s="121" t="n">
        <f aca="false">ExportRaw!$F321</f>
        <v>0</v>
      </c>
      <c r="B321" s="121" t="n">
        <f aca="false">ExportRaw!$C321</f>
        <v>0</v>
      </c>
      <c r="C321" s="121" t="n">
        <f aca="false">ExportRaw!$G321</f>
        <v>0</v>
      </c>
      <c r="D321" s="121" t="str">
        <f aca="false">ExportRaw!$E321</f>
        <v/>
      </c>
      <c r="E321" s="122" t="str">
        <f aca="false">ExportRaw!$D321</f>
        <v/>
      </c>
      <c r="F321" s="121" t="str">
        <f aca="false">ExportRaw!$H321</f>
        <v/>
      </c>
      <c r="G321" s="123" t="str">
        <f aca="false">ExportRaw!$I321</f>
        <v/>
      </c>
      <c r="H321" s="121" t="str">
        <f aca="false">ExportRaw!$A321</f>
        <v/>
      </c>
      <c r="I321" s="121" t="str">
        <f aca="false">ExportRaw!$B321</f>
        <v/>
      </c>
    </row>
    <row r="322" customFormat="false" ht="15.75" hidden="false" customHeight="false" outlineLevel="0" collapsed="false">
      <c r="A322" s="121" t="n">
        <f aca="false">ExportRaw!$F322</f>
        <v>0</v>
      </c>
      <c r="B322" s="121" t="n">
        <f aca="false">ExportRaw!$C322</f>
        <v>0</v>
      </c>
      <c r="C322" s="121" t="n">
        <f aca="false">ExportRaw!$G322</f>
        <v>0</v>
      </c>
      <c r="D322" s="121" t="str">
        <f aca="false">ExportRaw!$E322</f>
        <v/>
      </c>
      <c r="E322" s="122" t="str">
        <f aca="false">ExportRaw!$D322</f>
        <v/>
      </c>
      <c r="F322" s="121" t="str">
        <f aca="false">ExportRaw!$H322</f>
        <v/>
      </c>
      <c r="G322" s="123" t="str">
        <f aca="false">ExportRaw!$I322</f>
        <v/>
      </c>
      <c r="H322" s="121" t="str">
        <f aca="false">ExportRaw!$A322</f>
        <v/>
      </c>
      <c r="I322" s="121" t="str">
        <f aca="false">ExportRaw!$B322</f>
        <v/>
      </c>
    </row>
    <row r="323" customFormat="false" ht="15.75" hidden="false" customHeight="false" outlineLevel="0" collapsed="false">
      <c r="A323" s="121" t="n">
        <f aca="false">ExportRaw!$F323</f>
        <v>0</v>
      </c>
      <c r="B323" s="121" t="n">
        <f aca="false">ExportRaw!$C323</f>
        <v>0</v>
      </c>
      <c r="C323" s="121" t="n">
        <f aca="false">ExportRaw!$G323</f>
        <v>0</v>
      </c>
      <c r="D323" s="121" t="str">
        <f aca="false">ExportRaw!$E323</f>
        <v/>
      </c>
      <c r="E323" s="122" t="str">
        <f aca="false">ExportRaw!$D323</f>
        <v/>
      </c>
      <c r="F323" s="121" t="str">
        <f aca="false">ExportRaw!$H323</f>
        <v/>
      </c>
      <c r="G323" s="123" t="str">
        <f aca="false">ExportRaw!$I323</f>
        <v/>
      </c>
      <c r="H323" s="121" t="str">
        <f aca="false">ExportRaw!$A323</f>
        <v/>
      </c>
      <c r="I323" s="121" t="str">
        <f aca="false">ExportRaw!$B323</f>
        <v/>
      </c>
    </row>
    <row r="324" customFormat="false" ht="15.75" hidden="false" customHeight="false" outlineLevel="0" collapsed="false">
      <c r="A324" s="121" t="n">
        <f aca="false">ExportRaw!$F324</f>
        <v>0</v>
      </c>
      <c r="B324" s="121" t="n">
        <f aca="false">ExportRaw!$C324</f>
        <v>0</v>
      </c>
      <c r="C324" s="121" t="n">
        <f aca="false">ExportRaw!$G324</f>
        <v>0</v>
      </c>
      <c r="D324" s="121" t="str">
        <f aca="false">ExportRaw!$E324</f>
        <v/>
      </c>
      <c r="E324" s="122" t="str">
        <f aca="false">ExportRaw!$D324</f>
        <v/>
      </c>
      <c r="F324" s="121" t="str">
        <f aca="false">ExportRaw!$H324</f>
        <v/>
      </c>
      <c r="G324" s="123" t="str">
        <f aca="false">ExportRaw!$I324</f>
        <v/>
      </c>
      <c r="H324" s="121" t="str">
        <f aca="false">ExportRaw!$A324</f>
        <v/>
      </c>
      <c r="I324" s="121" t="str">
        <f aca="false">ExportRaw!$B324</f>
        <v/>
      </c>
    </row>
    <row r="325" customFormat="false" ht="15.75" hidden="false" customHeight="false" outlineLevel="0" collapsed="false">
      <c r="A325" s="121" t="n">
        <f aca="false">ExportRaw!$F325</f>
        <v>0</v>
      </c>
      <c r="B325" s="121" t="n">
        <f aca="false">ExportRaw!$C325</f>
        <v>0</v>
      </c>
      <c r="C325" s="121" t="n">
        <f aca="false">ExportRaw!$G325</f>
        <v>0</v>
      </c>
      <c r="D325" s="121" t="str">
        <f aca="false">ExportRaw!$E325</f>
        <v/>
      </c>
      <c r="E325" s="122" t="str">
        <f aca="false">ExportRaw!$D325</f>
        <v/>
      </c>
      <c r="F325" s="121" t="str">
        <f aca="false">ExportRaw!$H325</f>
        <v/>
      </c>
      <c r="G325" s="123" t="str">
        <f aca="false">ExportRaw!$I325</f>
        <v/>
      </c>
      <c r="H325" s="121" t="str">
        <f aca="false">ExportRaw!$A325</f>
        <v/>
      </c>
      <c r="I325" s="121" t="str">
        <f aca="false">ExportRaw!$B325</f>
        <v/>
      </c>
    </row>
    <row r="326" customFormat="false" ht="15.75" hidden="false" customHeight="false" outlineLevel="0" collapsed="false">
      <c r="A326" s="121" t="n">
        <f aca="false">ExportRaw!$F326</f>
        <v>0</v>
      </c>
      <c r="B326" s="121" t="n">
        <f aca="false">ExportRaw!$C326</f>
        <v>0</v>
      </c>
      <c r="C326" s="121" t="n">
        <f aca="false">ExportRaw!$G326</f>
        <v>0</v>
      </c>
      <c r="D326" s="121" t="str">
        <f aca="false">ExportRaw!$E326</f>
        <v/>
      </c>
      <c r="E326" s="122" t="str">
        <f aca="false">ExportRaw!$D326</f>
        <v/>
      </c>
      <c r="F326" s="121" t="str">
        <f aca="false">ExportRaw!$H326</f>
        <v/>
      </c>
      <c r="G326" s="123" t="str">
        <f aca="false">ExportRaw!$I326</f>
        <v/>
      </c>
      <c r="H326" s="121" t="str">
        <f aca="false">ExportRaw!$A326</f>
        <v/>
      </c>
      <c r="I326" s="121" t="str">
        <f aca="false">ExportRaw!$B326</f>
        <v/>
      </c>
    </row>
    <row r="327" customFormat="false" ht="15.75" hidden="false" customHeight="false" outlineLevel="0" collapsed="false">
      <c r="A327" s="121" t="n">
        <f aca="false">ExportRaw!$F327</f>
        <v>0</v>
      </c>
      <c r="B327" s="121" t="n">
        <f aca="false">ExportRaw!$C327</f>
        <v>0</v>
      </c>
      <c r="C327" s="121" t="n">
        <f aca="false">ExportRaw!$G327</f>
        <v>0</v>
      </c>
      <c r="D327" s="121" t="str">
        <f aca="false">ExportRaw!$E327</f>
        <v/>
      </c>
      <c r="E327" s="122" t="str">
        <f aca="false">ExportRaw!$D327</f>
        <v/>
      </c>
      <c r="F327" s="121" t="str">
        <f aca="false">ExportRaw!$H327</f>
        <v/>
      </c>
      <c r="G327" s="123" t="str">
        <f aca="false">ExportRaw!$I327</f>
        <v/>
      </c>
      <c r="H327" s="121" t="str">
        <f aca="false">ExportRaw!$A327</f>
        <v/>
      </c>
      <c r="I327" s="121" t="str">
        <f aca="false">ExportRaw!$B327</f>
        <v/>
      </c>
    </row>
    <row r="328" customFormat="false" ht="15.75" hidden="false" customHeight="false" outlineLevel="0" collapsed="false">
      <c r="A328" s="121" t="n">
        <f aca="false">ExportRaw!$F328</f>
        <v>0</v>
      </c>
      <c r="B328" s="121" t="n">
        <f aca="false">ExportRaw!$C328</f>
        <v>0</v>
      </c>
      <c r="C328" s="121" t="n">
        <f aca="false">ExportRaw!$G328</f>
        <v>0</v>
      </c>
      <c r="D328" s="121" t="str">
        <f aca="false">ExportRaw!$E328</f>
        <v/>
      </c>
      <c r="E328" s="122" t="str">
        <f aca="false">ExportRaw!$D328</f>
        <v/>
      </c>
      <c r="F328" s="121" t="str">
        <f aca="false">ExportRaw!$H328</f>
        <v/>
      </c>
      <c r="G328" s="123" t="str">
        <f aca="false">ExportRaw!$I328</f>
        <v/>
      </c>
      <c r="H328" s="121" t="str">
        <f aca="false">ExportRaw!$A328</f>
        <v/>
      </c>
      <c r="I328" s="121" t="str">
        <f aca="false">ExportRaw!$B328</f>
        <v/>
      </c>
    </row>
    <row r="329" customFormat="false" ht="15.75" hidden="false" customHeight="false" outlineLevel="0" collapsed="false">
      <c r="A329" s="121" t="n">
        <f aca="false">ExportRaw!$F329</f>
        <v>0</v>
      </c>
      <c r="B329" s="121" t="n">
        <f aca="false">ExportRaw!$C329</f>
        <v>0</v>
      </c>
      <c r="C329" s="121" t="n">
        <f aca="false">ExportRaw!$G329</f>
        <v>0</v>
      </c>
      <c r="D329" s="121" t="str">
        <f aca="false">ExportRaw!$E329</f>
        <v/>
      </c>
      <c r="E329" s="122" t="str">
        <f aca="false">ExportRaw!$D329</f>
        <v/>
      </c>
      <c r="F329" s="121" t="str">
        <f aca="false">ExportRaw!$H329</f>
        <v/>
      </c>
      <c r="G329" s="123" t="str">
        <f aca="false">ExportRaw!$I329</f>
        <v/>
      </c>
      <c r="H329" s="121" t="str">
        <f aca="false">ExportRaw!$A329</f>
        <v/>
      </c>
      <c r="I329" s="121" t="str">
        <f aca="false">ExportRaw!$B329</f>
        <v/>
      </c>
    </row>
    <row r="330" customFormat="false" ht="15.75" hidden="false" customHeight="false" outlineLevel="0" collapsed="false">
      <c r="A330" s="121" t="n">
        <f aca="false">ExportRaw!$F330</f>
        <v>0</v>
      </c>
      <c r="B330" s="121" t="n">
        <f aca="false">ExportRaw!$C330</f>
        <v>0</v>
      </c>
      <c r="C330" s="121" t="n">
        <f aca="false">ExportRaw!$G330</f>
        <v>0</v>
      </c>
      <c r="D330" s="121" t="str">
        <f aca="false">ExportRaw!$E330</f>
        <v/>
      </c>
      <c r="E330" s="122" t="str">
        <f aca="false">ExportRaw!$D330</f>
        <v/>
      </c>
      <c r="F330" s="121" t="str">
        <f aca="false">ExportRaw!$H330</f>
        <v/>
      </c>
      <c r="G330" s="123" t="str">
        <f aca="false">ExportRaw!$I330</f>
        <v/>
      </c>
      <c r="H330" s="121" t="str">
        <f aca="false">ExportRaw!$A330</f>
        <v/>
      </c>
      <c r="I330" s="121" t="str">
        <f aca="false">ExportRaw!$B330</f>
        <v/>
      </c>
    </row>
    <row r="331" customFormat="false" ht="15.75" hidden="false" customHeight="false" outlineLevel="0" collapsed="false">
      <c r="A331" s="121" t="n">
        <f aca="false">ExportRaw!$F331</f>
        <v>0</v>
      </c>
      <c r="B331" s="121" t="n">
        <f aca="false">ExportRaw!$C331</f>
        <v>0</v>
      </c>
      <c r="C331" s="121" t="n">
        <f aca="false">ExportRaw!$G331</f>
        <v>0</v>
      </c>
      <c r="D331" s="121" t="str">
        <f aca="false">ExportRaw!$E331</f>
        <v/>
      </c>
      <c r="E331" s="122" t="str">
        <f aca="false">ExportRaw!$D331</f>
        <v/>
      </c>
      <c r="F331" s="121" t="str">
        <f aca="false">ExportRaw!$H331</f>
        <v/>
      </c>
      <c r="G331" s="123" t="str">
        <f aca="false">ExportRaw!$I331</f>
        <v/>
      </c>
      <c r="H331" s="121" t="str">
        <f aca="false">ExportRaw!$A331</f>
        <v/>
      </c>
      <c r="I331" s="121" t="str">
        <f aca="false">ExportRaw!$B331</f>
        <v/>
      </c>
    </row>
    <row r="332" customFormat="false" ht="15.75" hidden="false" customHeight="false" outlineLevel="0" collapsed="false">
      <c r="A332" s="121" t="n">
        <f aca="false">ExportRaw!$F332</f>
        <v>0</v>
      </c>
      <c r="B332" s="121" t="n">
        <f aca="false">ExportRaw!$C332</f>
        <v>0</v>
      </c>
      <c r="C332" s="121" t="n">
        <f aca="false">ExportRaw!$G332</f>
        <v>0</v>
      </c>
      <c r="D332" s="121" t="str">
        <f aca="false">ExportRaw!$E332</f>
        <v/>
      </c>
      <c r="E332" s="122" t="str">
        <f aca="false">ExportRaw!$D332</f>
        <v/>
      </c>
      <c r="F332" s="121" t="str">
        <f aca="false">ExportRaw!$H332</f>
        <v/>
      </c>
      <c r="G332" s="123" t="str">
        <f aca="false">ExportRaw!$I332</f>
        <v/>
      </c>
      <c r="H332" s="121" t="str">
        <f aca="false">ExportRaw!$A332</f>
        <v/>
      </c>
      <c r="I332" s="121" t="str">
        <f aca="false">ExportRaw!$B332</f>
        <v/>
      </c>
    </row>
    <row r="333" customFormat="false" ht="15.75" hidden="false" customHeight="false" outlineLevel="0" collapsed="false">
      <c r="A333" s="121" t="n">
        <f aca="false">ExportRaw!$F333</f>
        <v>0</v>
      </c>
      <c r="B333" s="121" t="n">
        <f aca="false">ExportRaw!$C333</f>
        <v>0</v>
      </c>
      <c r="C333" s="121" t="n">
        <f aca="false">ExportRaw!$G333</f>
        <v>0</v>
      </c>
      <c r="D333" s="121" t="str">
        <f aca="false">ExportRaw!$E333</f>
        <v/>
      </c>
      <c r="E333" s="122" t="str">
        <f aca="false">ExportRaw!$D333</f>
        <v/>
      </c>
      <c r="F333" s="121" t="str">
        <f aca="false">ExportRaw!$H333</f>
        <v/>
      </c>
      <c r="G333" s="123" t="str">
        <f aca="false">ExportRaw!$I333</f>
        <v/>
      </c>
      <c r="H333" s="121" t="str">
        <f aca="false">ExportRaw!$A333</f>
        <v/>
      </c>
      <c r="I333" s="121" t="str">
        <f aca="false">ExportRaw!$B333</f>
        <v/>
      </c>
    </row>
    <row r="334" customFormat="false" ht="15.75" hidden="false" customHeight="false" outlineLevel="0" collapsed="false">
      <c r="A334" s="121" t="n">
        <f aca="false">ExportRaw!$F334</f>
        <v>0</v>
      </c>
      <c r="B334" s="121" t="n">
        <f aca="false">ExportRaw!$C334</f>
        <v>0</v>
      </c>
      <c r="C334" s="121" t="n">
        <f aca="false">ExportRaw!$G334</f>
        <v>0</v>
      </c>
      <c r="D334" s="121" t="str">
        <f aca="false">ExportRaw!$E334</f>
        <v/>
      </c>
      <c r="E334" s="122" t="str">
        <f aca="false">ExportRaw!$D334</f>
        <v/>
      </c>
      <c r="F334" s="121" t="str">
        <f aca="false">ExportRaw!$H334</f>
        <v/>
      </c>
      <c r="G334" s="123" t="str">
        <f aca="false">ExportRaw!$I334</f>
        <v/>
      </c>
      <c r="H334" s="121" t="str">
        <f aca="false">ExportRaw!$A334</f>
        <v/>
      </c>
      <c r="I334" s="121" t="str">
        <f aca="false">ExportRaw!$B334</f>
        <v/>
      </c>
    </row>
    <row r="335" customFormat="false" ht="15.75" hidden="false" customHeight="false" outlineLevel="0" collapsed="false">
      <c r="A335" s="121" t="n">
        <f aca="false">ExportRaw!$F335</f>
        <v>0</v>
      </c>
      <c r="B335" s="121" t="n">
        <f aca="false">ExportRaw!$C335</f>
        <v>0</v>
      </c>
      <c r="C335" s="121" t="n">
        <f aca="false">ExportRaw!$G335</f>
        <v>0</v>
      </c>
      <c r="D335" s="121" t="str">
        <f aca="false">ExportRaw!$E335</f>
        <v/>
      </c>
      <c r="E335" s="122" t="str">
        <f aca="false">ExportRaw!$D335</f>
        <v/>
      </c>
      <c r="F335" s="121" t="str">
        <f aca="false">ExportRaw!$H335</f>
        <v/>
      </c>
      <c r="G335" s="123" t="str">
        <f aca="false">ExportRaw!$I335</f>
        <v/>
      </c>
      <c r="H335" s="121" t="str">
        <f aca="false">ExportRaw!$A335</f>
        <v/>
      </c>
      <c r="I335" s="121" t="str">
        <f aca="false">ExportRaw!$B335</f>
        <v/>
      </c>
    </row>
    <row r="336" customFormat="false" ht="15.75" hidden="false" customHeight="false" outlineLevel="0" collapsed="false">
      <c r="A336" s="121" t="n">
        <f aca="false">ExportRaw!$F336</f>
        <v>0</v>
      </c>
      <c r="B336" s="121" t="n">
        <f aca="false">ExportRaw!$C336</f>
        <v>0</v>
      </c>
      <c r="C336" s="121" t="n">
        <f aca="false">ExportRaw!$G336</f>
        <v>0</v>
      </c>
      <c r="D336" s="121" t="str">
        <f aca="false">ExportRaw!$E336</f>
        <v/>
      </c>
      <c r="E336" s="122" t="str">
        <f aca="false">ExportRaw!$D336</f>
        <v/>
      </c>
      <c r="F336" s="121" t="str">
        <f aca="false">ExportRaw!$H336</f>
        <v/>
      </c>
      <c r="G336" s="123" t="str">
        <f aca="false">ExportRaw!$I336</f>
        <v/>
      </c>
      <c r="H336" s="121" t="str">
        <f aca="false">ExportRaw!$A336</f>
        <v/>
      </c>
      <c r="I336" s="121" t="str">
        <f aca="false">ExportRaw!$B336</f>
        <v/>
      </c>
    </row>
    <row r="337" customFormat="false" ht="15.75" hidden="false" customHeight="false" outlineLevel="0" collapsed="false">
      <c r="A337" s="121" t="n">
        <f aca="false">ExportRaw!$F337</f>
        <v>0</v>
      </c>
      <c r="B337" s="121" t="n">
        <f aca="false">ExportRaw!$C337</f>
        <v>0</v>
      </c>
      <c r="C337" s="121" t="n">
        <f aca="false">ExportRaw!$G337</f>
        <v>0</v>
      </c>
      <c r="D337" s="121" t="str">
        <f aca="false">ExportRaw!$E337</f>
        <v/>
      </c>
      <c r="E337" s="122" t="str">
        <f aca="false">ExportRaw!$D337</f>
        <v/>
      </c>
      <c r="F337" s="121" t="str">
        <f aca="false">ExportRaw!$H337</f>
        <v/>
      </c>
      <c r="G337" s="123" t="str">
        <f aca="false">ExportRaw!$I337</f>
        <v/>
      </c>
      <c r="H337" s="121" t="str">
        <f aca="false">ExportRaw!$A337</f>
        <v/>
      </c>
      <c r="I337" s="121" t="str">
        <f aca="false">ExportRaw!$B337</f>
        <v/>
      </c>
    </row>
    <row r="338" customFormat="false" ht="15.75" hidden="false" customHeight="false" outlineLevel="0" collapsed="false">
      <c r="A338" s="121" t="n">
        <f aca="false">ExportRaw!$F338</f>
        <v>0</v>
      </c>
      <c r="B338" s="121" t="n">
        <f aca="false">ExportRaw!$C338</f>
        <v>0</v>
      </c>
      <c r="C338" s="121" t="n">
        <f aca="false">ExportRaw!$G338</f>
        <v>0</v>
      </c>
      <c r="D338" s="121" t="str">
        <f aca="false">ExportRaw!$E338</f>
        <v/>
      </c>
      <c r="E338" s="122" t="str">
        <f aca="false">ExportRaw!$D338</f>
        <v/>
      </c>
      <c r="F338" s="121" t="str">
        <f aca="false">ExportRaw!$H338</f>
        <v/>
      </c>
      <c r="G338" s="123" t="str">
        <f aca="false">ExportRaw!$I338</f>
        <v/>
      </c>
      <c r="H338" s="121" t="str">
        <f aca="false">ExportRaw!$A338</f>
        <v/>
      </c>
      <c r="I338" s="121" t="str">
        <f aca="false">ExportRaw!$B338</f>
        <v/>
      </c>
    </row>
    <row r="339" customFormat="false" ht="15.75" hidden="false" customHeight="false" outlineLevel="0" collapsed="false">
      <c r="A339" s="121" t="n">
        <f aca="false">ExportRaw!$F339</f>
        <v>0</v>
      </c>
      <c r="B339" s="121" t="n">
        <f aca="false">ExportRaw!$C339</f>
        <v>0</v>
      </c>
      <c r="C339" s="121" t="n">
        <f aca="false">ExportRaw!$G339</f>
        <v>0</v>
      </c>
      <c r="D339" s="121" t="str">
        <f aca="false">ExportRaw!$E339</f>
        <v/>
      </c>
      <c r="E339" s="122" t="str">
        <f aca="false">ExportRaw!$D339</f>
        <v/>
      </c>
      <c r="F339" s="121" t="str">
        <f aca="false">ExportRaw!$H339</f>
        <v/>
      </c>
      <c r="G339" s="123" t="str">
        <f aca="false">ExportRaw!$I339</f>
        <v/>
      </c>
      <c r="H339" s="121" t="str">
        <f aca="false">ExportRaw!$A339</f>
        <v/>
      </c>
      <c r="I339" s="121" t="str">
        <f aca="false">ExportRaw!$B339</f>
        <v/>
      </c>
    </row>
    <row r="340" customFormat="false" ht="15.75" hidden="false" customHeight="false" outlineLevel="0" collapsed="false">
      <c r="A340" s="121" t="n">
        <f aca="false">ExportRaw!$F340</f>
        <v>0</v>
      </c>
      <c r="B340" s="121" t="n">
        <f aca="false">ExportRaw!$C340</f>
        <v>0</v>
      </c>
      <c r="C340" s="121" t="n">
        <f aca="false">ExportRaw!$G340</f>
        <v>0</v>
      </c>
      <c r="D340" s="121" t="str">
        <f aca="false">ExportRaw!$E340</f>
        <v/>
      </c>
      <c r="E340" s="122" t="str">
        <f aca="false">ExportRaw!$D340</f>
        <v/>
      </c>
      <c r="F340" s="121" t="str">
        <f aca="false">ExportRaw!$H340</f>
        <v/>
      </c>
      <c r="G340" s="123" t="str">
        <f aca="false">ExportRaw!$I340</f>
        <v/>
      </c>
      <c r="H340" s="121" t="str">
        <f aca="false">ExportRaw!$A340</f>
        <v/>
      </c>
      <c r="I340" s="121" t="str">
        <f aca="false">ExportRaw!$B340</f>
        <v/>
      </c>
    </row>
    <row r="341" customFormat="false" ht="15.75" hidden="false" customHeight="false" outlineLevel="0" collapsed="false">
      <c r="A341" s="121" t="n">
        <f aca="false">ExportRaw!$F341</f>
        <v>0</v>
      </c>
      <c r="B341" s="121" t="n">
        <f aca="false">ExportRaw!$C341</f>
        <v>0</v>
      </c>
      <c r="C341" s="121" t="n">
        <f aca="false">ExportRaw!$G341</f>
        <v>0</v>
      </c>
      <c r="D341" s="121" t="str">
        <f aca="false">ExportRaw!$E341</f>
        <v/>
      </c>
      <c r="E341" s="122" t="str">
        <f aca="false">ExportRaw!$D341</f>
        <v/>
      </c>
      <c r="F341" s="121" t="str">
        <f aca="false">ExportRaw!$H341</f>
        <v/>
      </c>
      <c r="G341" s="123" t="str">
        <f aca="false">ExportRaw!$I341</f>
        <v/>
      </c>
      <c r="H341" s="121" t="str">
        <f aca="false">ExportRaw!$A341</f>
        <v/>
      </c>
      <c r="I341" s="121" t="str">
        <f aca="false">ExportRaw!$B341</f>
        <v/>
      </c>
    </row>
    <row r="342" customFormat="false" ht="15.75" hidden="false" customHeight="false" outlineLevel="0" collapsed="false">
      <c r="A342" s="121" t="n">
        <f aca="false">ExportRaw!$F342</f>
        <v>0</v>
      </c>
      <c r="B342" s="121" t="n">
        <f aca="false">ExportRaw!$C342</f>
        <v>0</v>
      </c>
      <c r="C342" s="121" t="n">
        <f aca="false">ExportRaw!$G342</f>
        <v>0</v>
      </c>
      <c r="D342" s="121" t="str">
        <f aca="false">ExportRaw!$E342</f>
        <v/>
      </c>
      <c r="E342" s="122" t="str">
        <f aca="false">ExportRaw!$D342</f>
        <v/>
      </c>
      <c r="F342" s="121" t="str">
        <f aca="false">ExportRaw!$H342</f>
        <v/>
      </c>
      <c r="G342" s="123" t="str">
        <f aca="false">ExportRaw!$I342</f>
        <v/>
      </c>
      <c r="H342" s="121" t="str">
        <f aca="false">ExportRaw!$A342</f>
        <v/>
      </c>
      <c r="I342" s="121" t="str">
        <f aca="false">ExportRaw!$B342</f>
        <v/>
      </c>
    </row>
    <row r="343" customFormat="false" ht="15.75" hidden="false" customHeight="false" outlineLevel="0" collapsed="false">
      <c r="A343" s="121" t="n">
        <f aca="false">ExportRaw!$F343</f>
        <v>0</v>
      </c>
      <c r="B343" s="121" t="n">
        <f aca="false">ExportRaw!$C343</f>
        <v>0</v>
      </c>
      <c r="C343" s="121" t="n">
        <f aca="false">ExportRaw!$G343</f>
        <v>0</v>
      </c>
      <c r="D343" s="121" t="str">
        <f aca="false">ExportRaw!$E343</f>
        <v/>
      </c>
      <c r="E343" s="122" t="str">
        <f aca="false">ExportRaw!$D343</f>
        <v/>
      </c>
      <c r="F343" s="121" t="str">
        <f aca="false">ExportRaw!$H343</f>
        <v/>
      </c>
      <c r="G343" s="123" t="str">
        <f aca="false">ExportRaw!$I343</f>
        <v/>
      </c>
      <c r="H343" s="121" t="str">
        <f aca="false">ExportRaw!$A343</f>
        <v/>
      </c>
      <c r="I343" s="121" t="str">
        <f aca="false">ExportRaw!$B343</f>
        <v/>
      </c>
    </row>
    <row r="344" customFormat="false" ht="15.75" hidden="false" customHeight="false" outlineLevel="0" collapsed="false">
      <c r="A344" s="121" t="n">
        <f aca="false">ExportRaw!$F344</f>
        <v>0</v>
      </c>
      <c r="B344" s="121" t="n">
        <f aca="false">ExportRaw!$C344</f>
        <v>0</v>
      </c>
      <c r="C344" s="121" t="n">
        <f aca="false">ExportRaw!$G344</f>
        <v>0</v>
      </c>
      <c r="D344" s="121" t="str">
        <f aca="false">ExportRaw!$E344</f>
        <v/>
      </c>
      <c r="E344" s="122" t="str">
        <f aca="false">ExportRaw!$D344</f>
        <v/>
      </c>
      <c r="F344" s="121" t="str">
        <f aca="false">ExportRaw!$H344</f>
        <v/>
      </c>
      <c r="G344" s="123" t="str">
        <f aca="false">ExportRaw!$I344</f>
        <v/>
      </c>
      <c r="H344" s="121" t="str">
        <f aca="false">ExportRaw!$A344</f>
        <v/>
      </c>
      <c r="I344" s="121" t="str">
        <f aca="false">ExportRaw!$B344</f>
        <v/>
      </c>
    </row>
    <row r="345" customFormat="false" ht="15.75" hidden="false" customHeight="false" outlineLevel="0" collapsed="false">
      <c r="A345" s="121" t="n">
        <f aca="false">ExportRaw!$F345</f>
        <v>0</v>
      </c>
      <c r="B345" s="121" t="n">
        <f aca="false">ExportRaw!$C345</f>
        <v>0</v>
      </c>
      <c r="C345" s="121" t="n">
        <f aca="false">ExportRaw!$G345</f>
        <v>0</v>
      </c>
      <c r="D345" s="121" t="str">
        <f aca="false">ExportRaw!$E345</f>
        <v/>
      </c>
      <c r="E345" s="122" t="str">
        <f aca="false">ExportRaw!$D345</f>
        <v/>
      </c>
      <c r="F345" s="121" t="str">
        <f aca="false">ExportRaw!$H345</f>
        <v/>
      </c>
      <c r="G345" s="123" t="str">
        <f aca="false">ExportRaw!$I345</f>
        <v/>
      </c>
      <c r="H345" s="121" t="str">
        <f aca="false">ExportRaw!$A345</f>
        <v/>
      </c>
      <c r="I345" s="121" t="str">
        <f aca="false">ExportRaw!$B345</f>
        <v/>
      </c>
    </row>
    <row r="346" customFormat="false" ht="15.75" hidden="false" customHeight="false" outlineLevel="0" collapsed="false">
      <c r="A346" s="121" t="n">
        <f aca="false">ExportRaw!$F346</f>
        <v>0</v>
      </c>
      <c r="B346" s="121" t="n">
        <f aca="false">ExportRaw!$C346</f>
        <v>0</v>
      </c>
      <c r="C346" s="121" t="n">
        <f aca="false">ExportRaw!$G346</f>
        <v>0</v>
      </c>
      <c r="D346" s="121" t="str">
        <f aca="false">ExportRaw!$E346</f>
        <v/>
      </c>
      <c r="E346" s="122" t="str">
        <f aca="false">ExportRaw!$D346</f>
        <v/>
      </c>
      <c r="F346" s="121" t="str">
        <f aca="false">ExportRaw!$H346</f>
        <v/>
      </c>
      <c r="G346" s="123" t="str">
        <f aca="false">ExportRaw!$I346</f>
        <v/>
      </c>
      <c r="H346" s="121" t="str">
        <f aca="false">ExportRaw!$A346</f>
        <v/>
      </c>
      <c r="I346" s="121" t="str">
        <f aca="false">ExportRaw!$B346</f>
        <v/>
      </c>
    </row>
    <row r="347" customFormat="false" ht="15.75" hidden="false" customHeight="false" outlineLevel="0" collapsed="false">
      <c r="A347" s="121" t="n">
        <f aca="false">ExportRaw!$F347</f>
        <v>0</v>
      </c>
      <c r="B347" s="121" t="n">
        <f aca="false">ExportRaw!$C347</f>
        <v>0</v>
      </c>
      <c r="C347" s="121" t="n">
        <f aca="false">ExportRaw!$G347</f>
        <v>0</v>
      </c>
      <c r="D347" s="121" t="str">
        <f aca="false">ExportRaw!$E347</f>
        <v/>
      </c>
      <c r="E347" s="122" t="str">
        <f aca="false">ExportRaw!$D347</f>
        <v/>
      </c>
      <c r="F347" s="121" t="str">
        <f aca="false">ExportRaw!$H347</f>
        <v/>
      </c>
      <c r="G347" s="123" t="str">
        <f aca="false">ExportRaw!$I347</f>
        <v/>
      </c>
      <c r="H347" s="121" t="str">
        <f aca="false">ExportRaw!$A347</f>
        <v/>
      </c>
      <c r="I347" s="121" t="str">
        <f aca="false">ExportRaw!$B347</f>
        <v/>
      </c>
    </row>
    <row r="348" customFormat="false" ht="15.75" hidden="false" customHeight="false" outlineLevel="0" collapsed="false">
      <c r="A348" s="121" t="n">
        <f aca="false">ExportRaw!$F348</f>
        <v>0</v>
      </c>
      <c r="B348" s="121" t="n">
        <f aca="false">ExportRaw!$C348</f>
        <v>0</v>
      </c>
      <c r="C348" s="121" t="n">
        <f aca="false">ExportRaw!$G348</f>
        <v>0</v>
      </c>
      <c r="D348" s="121" t="str">
        <f aca="false">ExportRaw!$E348</f>
        <v/>
      </c>
      <c r="E348" s="122" t="str">
        <f aca="false">ExportRaw!$D348</f>
        <v/>
      </c>
      <c r="F348" s="121" t="str">
        <f aca="false">ExportRaw!$H348</f>
        <v/>
      </c>
      <c r="G348" s="123" t="str">
        <f aca="false">ExportRaw!$I348</f>
        <v/>
      </c>
      <c r="H348" s="121" t="str">
        <f aca="false">ExportRaw!$A348</f>
        <v/>
      </c>
      <c r="I348" s="121" t="str">
        <f aca="false">ExportRaw!$B348</f>
        <v/>
      </c>
    </row>
    <row r="349" customFormat="false" ht="15.75" hidden="false" customHeight="false" outlineLevel="0" collapsed="false">
      <c r="A349" s="121" t="n">
        <f aca="false">ExportRaw!$F349</f>
        <v>0</v>
      </c>
      <c r="B349" s="121" t="n">
        <f aca="false">ExportRaw!$C349</f>
        <v>0</v>
      </c>
      <c r="C349" s="121" t="n">
        <f aca="false">ExportRaw!$G349</f>
        <v>0</v>
      </c>
      <c r="D349" s="121" t="str">
        <f aca="false">ExportRaw!$E349</f>
        <v/>
      </c>
      <c r="E349" s="122" t="str">
        <f aca="false">ExportRaw!$D349</f>
        <v/>
      </c>
      <c r="F349" s="121" t="str">
        <f aca="false">ExportRaw!$H349</f>
        <v/>
      </c>
      <c r="G349" s="123" t="str">
        <f aca="false">ExportRaw!$I349</f>
        <v/>
      </c>
      <c r="H349" s="121" t="str">
        <f aca="false">ExportRaw!$A349</f>
        <v/>
      </c>
      <c r="I349" s="121" t="str">
        <f aca="false">ExportRaw!$B349</f>
        <v/>
      </c>
    </row>
    <row r="350" customFormat="false" ht="15.75" hidden="false" customHeight="false" outlineLevel="0" collapsed="false">
      <c r="A350" s="121" t="n">
        <f aca="false">ExportRaw!$F350</f>
        <v>0</v>
      </c>
      <c r="B350" s="121" t="n">
        <f aca="false">ExportRaw!$C350</f>
        <v>0</v>
      </c>
      <c r="C350" s="121" t="n">
        <f aca="false">ExportRaw!$G350</f>
        <v>0</v>
      </c>
      <c r="D350" s="121" t="str">
        <f aca="false">ExportRaw!$E350</f>
        <v/>
      </c>
      <c r="E350" s="122" t="str">
        <f aca="false">ExportRaw!$D350</f>
        <v/>
      </c>
      <c r="F350" s="121" t="str">
        <f aca="false">ExportRaw!$H350</f>
        <v/>
      </c>
      <c r="G350" s="123" t="str">
        <f aca="false">ExportRaw!$I350</f>
        <v/>
      </c>
      <c r="H350" s="121" t="str">
        <f aca="false">ExportRaw!$A350</f>
        <v/>
      </c>
      <c r="I350" s="121" t="str">
        <f aca="false">ExportRaw!$B350</f>
        <v/>
      </c>
    </row>
    <row r="351" customFormat="false" ht="15.75" hidden="false" customHeight="false" outlineLevel="0" collapsed="false">
      <c r="A351" s="121" t="n">
        <f aca="false">ExportRaw!$F351</f>
        <v>0</v>
      </c>
      <c r="B351" s="121" t="n">
        <f aca="false">ExportRaw!$C351</f>
        <v>0</v>
      </c>
      <c r="C351" s="121" t="n">
        <f aca="false">ExportRaw!$G351</f>
        <v>0</v>
      </c>
      <c r="D351" s="121" t="str">
        <f aca="false">ExportRaw!$E351</f>
        <v/>
      </c>
      <c r="E351" s="122" t="str">
        <f aca="false">ExportRaw!$D351</f>
        <v/>
      </c>
      <c r="F351" s="121" t="str">
        <f aca="false">ExportRaw!$H351</f>
        <v/>
      </c>
      <c r="G351" s="123" t="str">
        <f aca="false">ExportRaw!$I351</f>
        <v/>
      </c>
      <c r="H351" s="121" t="str">
        <f aca="false">ExportRaw!$A351</f>
        <v/>
      </c>
      <c r="I351" s="121" t="str">
        <f aca="false">ExportRaw!$B351</f>
        <v/>
      </c>
    </row>
    <row r="352" customFormat="false" ht="15.75" hidden="false" customHeight="false" outlineLevel="0" collapsed="false">
      <c r="A352" s="121" t="n">
        <f aca="false">ExportRaw!$F352</f>
        <v>0</v>
      </c>
      <c r="B352" s="121" t="n">
        <f aca="false">ExportRaw!$C352</f>
        <v>0</v>
      </c>
      <c r="C352" s="121" t="n">
        <f aca="false">ExportRaw!$G352</f>
        <v>0</v>
      </c>
      <c r="D352" s="121" t="str">
        <f aca="false">ExportRaw!$E352</f>
        <v/>
      </c>
      <c r="E352" s="122" t="str">
        <f aca="false">ExportRaw!$D352</f>
        <v/>
      </c>
      <c r="F352" s="121" t="str">
        <f aca="false">ExportRaw!$H352</f>
        <v/>
      </c>
      <c r="G352" s="123" t="str">
        <f aca="false">ExportRaw!$I352</f>
        <v/>
      </c>
      <c r="H352" s="121" t="str">
        <f aca="false">ExportRaw!$A352</f>
        <v/>
      </c>
      <c r="I352" s="121" t="str">
        <f aca="false">ExportRaw!$B352</f>
        <v/>
      </c>
    </row>
    <row r="353" customFormat="false" ht="15.75" hidden="false" customHeight="false" outlineLevel="0" collapsed="false">
      <c r="A353" s="121" t="n">
        <f aca="false">ExportRaw!$F353</f>
        <v>0</v>
      </c>
      <c r="B353" s="121" t="n">
        <f aca="false">ExportRaw!$C353</f>
        <v>0</v>
      </c>
      <c r="C353" s="121" t="n">
        <f aca="false">ExportRaw!$G353</f>
        <v>0</v>
      </c>
      <c r="D353" s="121" t="str">
        <f aca="false">ExportRaw!$E353</f>
        <v/>
      </c>
      <c r="E353" s="122" t="str">
        <f aca="false">ExportRaw!$D353</f>
        <v/>
      </c>
      <c r="F353" s="121" t="str">
        <f aca="false">ExportRaw!$H353</f>
        <v/>
      </c>
      <c r="G353" s="123" t="str">
        <f aca="false">ExportRaw!$I353</f>
        <v/>
      </c>
      <c r="H353" s="121" t="str">
        <f aca="false">ExportRaw!$A353</f>
        <v/>
      </c>
      <c r="I353" s="121" t="str">
        <f aca="false">ExportRaw!$B353</f>
        <v/>
      </c>
    </row>
    <row r="354" customFormat="false" ht="15.75" hidden="false" customHeight="false" outlineLevel="0" collapsed="false">
      <c r="A354" s="121" t="n">
        <f aca="false">ExportRaw!$F354</f>
        <v>0</v>
      </c>
      <c r="B354" s="121" t="n">
        <f aca="false">ExportRaw!$C354</f>
        <v>0</v>
      </c>
      <c r="C354" s="121" t="n">
        <f aca="false">ExportRaw!$G354</f>
        <v>0</v>
      </c>
      <c r="D354" s="121" t="str">
        <f aca="false">ExportRaw!$E354</f>
        <v/>
      </c>
      <c r="E354" s="122" t="str">
        <f aca="false">ExportRaw!$D354</f>
        <v/>
      </c>
      <c r="F354" s="121" t="str">
        <f aca="false">ExportRaw!$H354</f>
        <v/>
      </c>
      <c r="G354" s="123" t="str">
        <f aca="false">ExportRaw!$I354</f>
        <v/>
      </c>
      <c r="H354" s="121" t="str">
        <f aca="false">ExportRaw!$A354</f>
        <v/>
      </c>
      <c r="I354" s="121" t="str">
        <f aca="false">ExportRaw!$B354</f>
        <v/>
      </c>
    </row>
    <row r="355" customFormat="false" ht="15.75" hidden="false" customHeight="false" outlineLevel="0" collapsed="false">
      <c r="A355" s="121" t="n">
        <f aca="false">ExportRaw!$F355</f>
        <v>0</v>
      </c>
      <c r="B355" s="121" t="n">
        <f aca="false">ExportRaw!$C355</f>
        <v>0</v>
      </c>
      <c r="C355" s="121" t="n">
        <f aca="false">ExportRaw!$G355</f>
        <v>0</v>
      </c>
      <c r="D355" s="121" t="str">
        <f aca="false">ExportRaw!$E355</f>
        <v/>
      </c>
      <c r="E355" s="122" t="str">
        <f aca="false">ExportRaw!$D355</f>
        <v/>
      </c>
      <c r="F355" s="121" t="str">
        <f aca="false">ExportRaw!$H355</f>
        <v/>
      </c>
      <c r="G355" s="123" t="str">
        <f aca="false">ExportRaw!$I355</f>
        <v/>
      </c>
      <c r="H355" s="121" t="str">
        <f aca="false">ExportRaw!$A355</f>
        <v/>
      </c>
      <c r="I355" s="121" t="str">
        <f aca="false">ExportRaw!$B355</f>
        <v/>
      </c>
    </row>
    <row r="356" customFormat="false" ht="15.75" hidden="false" customHeight="false" outlineLevel="0" collapsed="false">
      <c r="A356" s="121" t="n">
        <f aca="false">ExportRaw!$F356</f>
        <v>0</v>
      </c>
      <c r="B356" s="121" t="n">
        <f aca="false">ExportRaw!$C356</f>
        <v>0</v>
      </c>
      <c r="C356" s="121" t="n">
        <f aca="false">ExportRaw!$G356</f>
        <v>0</v>
      </c>
      <c r="D356" s="121" t="str">
        <f aca="false">ExportRaw!$E356</f>
        <v/>
      </c>
      <c r="E356" s="122" t="str">
        <f aca="false">ExportRaw!$D356</f>
        <v/>
      </c>
      <c r="F356" s="121" t="str">
        <f aca="false">ExportRaw!$H356</f>
        <v/>
      </c>
      <c r="G356" s="123" t="str">
        <f aca="false">ExportRaw!$I356</f>
        <v/>
      </c>
      <c r="H356" s="121" t="str">
        <f aca="false">ExportRaw!$A356</f>
        <v/>
      </c>
      <c r="I356" s="121" t="str">
        <f aca="false">ExportRaw!$B356</f>
        <v/>
      </c>
    </row>
    <row r="357" customFormat="false" ht="15.75" hidden="false" customHeight="false" outlineLevel="0" collapsed="false">
      <c r="A357" s="121" t="n">
        <f aca="false">ExportRaw!$F357</f>
        <v>0</v>
      </c>
      <c r="B357" s="121" t="n">
        <f aca="false">ExportRaw!$C357</f>
        <v>0</v>
      </c>
      <c r="C357" s="121" t="n">
        <f aca="false">ExportRaw!$G357</f>
        <v>0</v>
      </c>
      <c r="D357" s="121" t="str">
        <f aca="false">ExportRaw!$E357</f>
        <v/>
      </c>
      <c r="E357" s="122" t="str">
        <f aca="false">ExportRaw!$D357</f>
        <v/>
      </c>
      <c r="F357" s="121" t="str">
        <f aca="false">ExportRaw!$H357</f>
        <v/>
      </c>
      <c r="G357" s="123" t="str">
        <f aca="false">ExportRaw!$I357</f>
        <v/>
      </c>
      <c r="H357" s="121" t="str">
        <f aca="false">ExportRaw!$A357</f>
        <v/>
      </c>
      <c r="I357" s="121" t="str">
        <f aca="false">ExportRaw!$B357</f>
        <v/>
      </c>
    </row>
    <row r="358" customFormat="false" ht="15.75" hidden="false" customHeight="false" outlineLevel="0" collapsed="false">
      <c r="A358" s="121" t="n">
        <f aca="false">ExportRaw!$F358</f>
        <v>0</v>
      </c>
      <c r="B358" s="121" t="n">
        <f aca="false">ExportRaw!$C358</f>
        <v>0</v>
      </c>
      <c r="C358" s="121" t="n">
        <f aca="false">ExportRaw!$G358</f>
        <v>0</v>
      </c>
      <c r="D358" s="121" t="str">
        <f aca="false">ExportRaw!$E358</f>
        <v/>
      </c>
      <c r="E358" s="122" t="str">
        <f aca="false">ExportRaw!$D358</f>
        <v/>
      </c>
      <c r="F358" s="121" t="str">
        <f aca="false">ExportRaw!$H358</f>
        <v/>
      </c>
      <c r="G358" s="123" t="str">
        <f aca="false">ExportRaw!$I358</f>
        <v/>
      </c>
      <c r="H358" s="121" t="str">
        <f aca="false">ExportRaw!$A358</f>
        <v/>
      </c>
      <c r="I358" s="121" t="str">
        <f aca="false">ExportRaw!$B358</f>
        <v/>
      </c>
    </row>
    <row r="359" customFormat="false" ht="15.75" hidden="false" customHeight="false" outlineLevel="0" collapsed="false">
      <c r="A359" s="121" t="n">
        <f aca="false">ExportRaw!$F359</f>
        <v>0</v>
      </c>
      <c r="B359" s="121" t="n">
        <f aca="false">ExportRaw!$C359</f>
        <v>0</v>
      </c>
      <c r="C359" s="121" t="n">
        <f aca="false">ExportRaw!$G359</f>
        <v>0</v>
      </c>
      <c r="D359" s="121" t="str">
        <f aca="false">ExportRaw!$E359</f>
        <v/>
      </c>
      <c r="E359" s="122" t="str">
        <f aca="false">ExportRaw!$D359</f>
        <v/>
      </c>
      <c r="F359" s="121" t="str">
        <f aca="false">ExportRaw!$H359</f>
        <v/>
      </c>
      <c r="G359" s="123" t="str">
        <f aca="false">ExportRaw!$I359</f>
        <v/>
      </c>
      <c r="H359" s="121" t="str">
        <f aca="false">ExportRaw!$A359</f>
        <v/>
      </c>
      <c r="I359" s="121" t="str">
        <f aca="false">ExportRaw!$B359</f>
        <v/>
      </c>
    </row>
    <row r="360" customFormat="false" ht="15.75" hidden="false" customHeight="false" outlineLevel="0" collapsed="false">
      <c r="A360" s="121" t="n">
        <f aca="false">ExportRaw!$F360</f>
        <v>0</v>
      </c>
      <c r="B360" s="121" t="n">
        <f aca="false">ExportRaw!$C360</f>
        <v>0</v>
      </c>
      <c r="C360" s="121" t="n">
        <f aca="false">ExportRaw!$G360</f>
        <v>0</v>
      </c>
      <c r="D360" s="121" t="str">
        <f aca="false">ExportRaw!$E360</f>
        <v/>
      </c>
      <c r="E360" s="122" t="str">
        <f aca="false">ExportRaw!$D360</f>
        <v/>
      </c>
      <c r="F360" s="121" t="str">
        <f aca="false">ExportRaw!$H360</f>
        <v/>
      </c>
      <c r="G360" s="123" t="str">
        <f aca="false">ExportRaw!$I360</f>
        <v/>
      </c>
      <c r="H360" s="121" t="str">
        <f aca="false">ExportRaw!$A360</f>
        <v/>
      </c>
      <c r="I360" s="121" t="str">
        <f aca="false">ExportRaw!$B360</f>
        <v/>
      </c>
    </row>
    <row r="361" customFormat="false" ht="15.75" hidden="false" customHeight="false" outlineLevel="0" collapsed="false">
      <c r="A361" s="121" t="n">
        <f aca="false">ExportRaw!$F361</f>
        <v>0</v>
      </c>
      <c r="B361" s="121" t="n">
        <f aca="false">ExportRaw!$C361</f>
        <v>0</v>
      </c>
      <c r="C361" s="121" t="n">
        <f aca="false">ExportRaw!$G361</f>
        <v>0</v>
      </c>
      <c r="D361" s="121" t="str">
        <f aca="false">ExportRaw!$E361</f>
        <v/>
      </c>
      <c r="E361" s="122" t="str">
        <f aca="false">ExportRaw!$D361</f>
        <v/>
      </c>
      <c r="F361" s="121" t="str">
        <f aca="false">ExportRaw!$H361</f>
        <v/>
      </c>
      <c r="G361" s="123" t="str">
        <f aca="false">ExportRaw!$I361</f>
        <v/>
      </c>
      <c r="H361" s="121" t="str">
        <f aca="false">ExportRaw!$A361</f>
        <v/>
      </c>
      <c r="I361" s="121" t="str">
        <f aca="false">ExportRaw!$B361</f>
        <v/>
      </c>
    </row>
    <row r="362" customFormat="false" ht="15.75" hidden="false" customHeight="false" outlineLevel="0" collapsed="false">
      <c r="A362" s="121" t="n">
        <f aca="false">ExportRaw!$F362</f>
        <v>0</v>
      </c>
      <c r="B362" s="121" t="n">
        <f aca="false">ExportRaw!$C362</f>
        <v>0</v>
      </c>
      <c r="C362" s="121" t="n">
        <f aca="false">ExportRaw!$G362</f>
        <v>0</v>
      </c>
      <c r="D362" s="121" t="str">
        <f aca="false">ExportRaw!$E362</f>
        <v/>
      </c>
      <c r="E362" s="122" t="str">
        <f aca="false">ExportRaw!$D362</f>
        <v/>
      </c>
      <c r="F362" s="121" t="str">
        <f aca="false">ExportRaw!$H362</f>
        <v/>
      </c>
      <c r="G362" s="123" t="str">
        <f aca="false">ExportRaw!$I362</f>
        <v/>
      </c>
      <c r="H362" s="121" t="str">
        <f aca="false">ExportRaw!$A362</f>
        <v/>
      </c>
      <c r="I362" s="121" t="str">
        <f aca="false">ExportRaw!$B362</f>
        <v/>
      </c>
    </row>
    <row r="363" customFormat="false" ht="15.75" hidden="false" customHeight="false" outlineLevel="0" collapsed="false">
      <c r="A363" s="121" t="n">
        <f aca="false">ExportRaw!$F363</f>
        <v>0</v>
      </c>
      <c r="B363" s="121" t="n">
        <f aca="false">ExportRaw!$C363</f>
        <v>0</v>
      </c>
      <c r="C363" s="121" t="n">
        <f aca="false">ExportRaw!$G363</f>
        <v>0</v>
      </c>
      <c r="D363" s="121" t="str">
        <f aca="false">ExportRaw!$E363</f>
        <v/>
      </c>
      <c r="E363" s="122" t="str">
        <f aca="false">ExportRaw!$D363</f>
        <v/>
      </c>
      <c r="F363" s="121" t="str">
        <f aca="false">ExportRaw!$H363</f>
        <v/>
      </c>
      <c r="G363" s="123" t="str">
        <f aca="false">ExportRaw!$I363</f>
        <v/>
      </c>
      <c r="H363" s="121" t="str">
        <f aca="false">ExportRaw!$A363</f>
        <v/>
      </c>
      <c r="I363" s="121" t="str">
        <f aca="false">ExportRaw!$B363</f>
        <v/>
      </c>
    </row>
    <row r="364" customFormat="false" ht="15.75" hidden="false" customHeight="false" outlineLevel="0" collapsed="false">
      <c r="A364" s="121" t="n">
        <f aca="false">ExportRaw!$F364</f>
        <v>0</v>
      </c>
      <c r="B364" s="121" t="n">
        <f aca="false">ExportRaw!$C364</f>
        <v>0</v>
      </c>
      <c r="C364" s="121" t="n">
        <f aca="false">ExportRaw!$G364</f>
        <v>0</v>
      </c>
      <c r="D364" s="121" t="str">
        <f aca="false">ExportRaw!$E364</f>
        <v/>
      </c>
      <c r="E364" s="122" t="str">
        <f aca="false">ExportRaw!$D364</f>
        <v/>
      </c>
      <c r="F364" s="121" t="str">
        <f aca="false">ExportRaw!$H364</f>
        <v/>
      </c>
      <c r="G364" s="123" t="str">
        <f aca="false">ExportRaw!$I364</f>
        <v/>
      </c>
      <c r="H364" s="121" t="str">
        <f aca="false">ExportRaw!$A364</f>
        <v/>
      </c>
      <c r="I364" s="121" t="str">
        <f aca="false">ExportRaw!$B364</f>
        <v/>
      </c>
    </row>
    <row r="365" customFormat="false" ht="15.75" hidden="false" customHeight="false" outlineLevel="0" collapsed="false">
      <c r="A365" s="121" t="n">
        <f aca="false">ExportRaw!$F365</f>
        <v>0</v>
      </c>
      <c r="B365" s="121" t="n">
        <f aca="false">ExportRaw!$C365</f>
        <v>0</v>
      </c>
      <c r="C365" s="121" t="n">
        <f aca="false">ExportRaw!$G365</f>
        <v>0</v>
      </c>
      <c r="D365" s="121" t="str">
        <f aca="false">ExportRaw!$E365</f>
        <v/>
      </c>
      <c r="E365" s="122" t="str">
        <f aca="false">ExportRaw!$D365</f>
        <v/>
      </c>
      <c r="F365" s="121" t="str">
        <f aca="false">ExportRaw!$H365</f>
        <v/>
      </c>
      <c r="G365" s="123" t="str">
        <f aca="false">ExportRaw!$I365</f>
        <v/>
      </c>
      <c r="H365" s="121" t="str">
        <f aca="false">ExportRaw!$A365</f>
        <v/>
      </c>
      <c r="I365" s="121" t="str">
        <f aca="false">ExportRaw!$B365</f>
        <v/>
      </c>
    </row>
    <row r="366" customFormat="false" ht="15.75" hidden="false" customHeight="false" outlineLevel="0" collapsed="false">
      <c r="A366" s="121" t="n">
        <f aca="false">ExportRaw!$F366</f>
        <v>0</v>
      </c>
      <c r="B366" s="121" t="n">
        <f aca="false">ExportRaw!$C366</f>
        <v>0</v>
      </c>
      <c r="C366" s="121" t="n">
        <f aca="false">ExportRaw!$G366</f>
        <v>0</v>
      </c>
      <c r="D366" s="121" t="str">
        <f aca="false">ExportRaw!$E366</f>
        <v/>
      </c>
      <c r="E366" s="122" t="str">
        <f aca="false">ExportRaw!$D366</f>
        <v/>
      </c>
      <c r="F366" s="121" t="str">
        <f aca="false">ExportRaw!$H366</f>
        <v/>
      </c>
      <c r="G366" s="123" t="str">
        <f aca="false">ExportRaw!$I366</f>
        <v/>
      </c>
      <c r="H366" s="121" t="str">
        <f aca="false">ExportRaw!$A366</f>
        <v/>
      </c>
      <c r="I366" s="121" t="str">
        <f aca="false">ExportRaw!$B366</f>
        <v/>
      </c>
    </row>
    <row r="367" customFormat="false" ht="15.75" hidden="false" customHeight="false" outlineLevel="0" collapsed="false">
      <c r="A367" s="121" t="n">
        <f aca="false">ExportRaw!$F367</f>
        <v>0</v>
      </c>
      <c r="B367" s="121" t="n">
        <f aca="false">ExportRaw!$C367</f>
        <v>0</v>
      </c>
      <c r="C367" s="121" t="n">
        <f aca="false">ExportRaw!$G367</f>
        <v>0</v>
      </c>
      <c r="D367" s="121" t="str">
        <f aca="false">ExportRaw!$E367</f>
        <v/>
      </c>
      <c r="E367" s="122" t="str">
        <f aca="false">ExportRaw!$D367</f>
        <v/>
      </c>
      <c r="F367" s="121" t="str">
        <f aca="false">ExportRaw!$H367</f>
        <v/>
      </c>
      <c r="G367" s="123" t="str">
        <f aca="false">ExportRaw!$I367</f>
        <v/>
      </c>
      <c r="H367" s="121" t="str">
        <f aca="false">ExportRaw!$A367</f>
        <v/>
      </c>
      <c r="I367" s="121" t="str">
        <f aca="false">ExportRaw!$B367</f>
        <v/>
      </c>
    </row>
    <row r="368" customFormat="false" ht="15.75" hidden="false" customHeight="false" outlineLevel="0" collapsed="false">
      <c r="A368" s="121" t="n">
        <f aca="false">ExportRaw!$F368</f>
        <v>0</v>
      </c>
      <c r="B368" s="121" t="n">
        <f aca="false">ExportRaw!$C368</f>
        <v>0</v>
      </c>
      <c r="C368" s="121" t="n">
        <f aca="false">ExportRaw!$G368</f>
        <v>0</v>
      </c>
      <c r="D368" s="121" t="str">
        <f aca="false">ExportRaw!$E368</f>
        <v/>
      </c>
      <c r="E368" s="122" t="str">
        <f aca="false">ExportRaw!$D368</f>
        <v/>
      </c>
      <c r="F368" s="121" t="str">
        <f aca="false">ExportRaw!$H368</f>
        <v/>
      </c>
      <c r="G368" s="123" t="str">
        <f aca="false">ExportRaw!$I368</f>
        <v/>
      </c>
      <c r="H368" s="121" t="str">
        <f aca="false">ExportRaw!$A368</f>
        <v/>
      </c>
      <c r="I368" s="121" t="str">
        <f aca="false">ExportRaw!$B368</f>
        <v/>
      </c>
    </row>
    <row r="369" customFormat="false" ht="15.75" hidden="false" customHeight="false" outlineLevel="0" collapsed="false">
      <c r="A369" s="121" t="n">
        <f aca="false">ExportRaw!$F369</f>
        <v>0</v>
      </c>
      <c r="B369" s="121" t="n">
        <f aca="false">ExportRaw!$C369</f>
        <v>0</v>
      </c>
      <c r="C369" s="121" t="n">
        <f aca="false">ExportRaw!$G369</f>
        <v>0</v>
      </c>
      <c r="D369" s="121" t="str">
        <f aca="false">ExportRaw!$E369</f>
        <v/>
      </c>
      <c r="E369" s="122" t="str">
        <f aca="false">ExportRaw!$D369</f>
        <v/>
      </c>
      <c r="F369" s="121" t="str">
        <f aca="false">ExportRaw!$H369</f>
        <v/>
      </c>
      <c r="G369" s="123" t="str">
        <f aca="false">ExportRaw!$I369</f>
        <v/>
      </c>
      <c r="H369" s="121" t="str">
        <f aca="false">ExportRaw!$A369</f>
        <v/>
      </c>
      <c r="I369" s="121" t="str">
        <f aca="false">ExportRaw!$B369</f>
        <v/>
      </c>
    </row>
    <row r="370" customFormat="false" ht="15.75" hidden="false" customHeight="false" outlineLevel="0" collapsed="false">
      <c r="A370" s="121" t="n">
        <f aca="false">ExportRaw!$F370</f>
        <v>0</v>
      </c>
      <c r="B370" s="121" t="n">
        <f aca="false">ExportRaw!$C370</f>
        <v>0</v>
      </c>
      <c r="C370" s="121" t="n">
        <f aca="false">ExportRaw!$G370</f>
        <v>0</v>
      </c>
      <c r="D370" s="121" t="str">
        <f aca="false">ExportRaw!$E370</f>
        <v/>
      </c>
      <c r="E370" s="122" t="str">
        <f aca="false">ExportRaw!$D370</f>
        <v/>
      </c>
      <c r="F370" s="121" t="str">
        <f aca="false">ExportRaw!$H370</f>
        <v/>
      </c>
      <c r="G370" s="123" t="str">
        <f aca="false">ExportRaw!$I370</f>
        <v/>
      </c>
      <c r="H370" s="121" t="str">
        <f aca="false">ExportRaw!$A370</f>
        <v/>
      </c>
      <c r="I370" s="121" t="str">
        <f aca="false">ExportRaw!$B370</f>
        <v/>
      </c>
    </row>
    <row r="371" customFormat="false" ht="15.75" hidden="false" customHeight="false" outlineLevel="0" collapsed="false">
      <c r="A371" s="121" t="n">
        <f aca="false">ExportRaw!$F371</f>
        <v>0</v>
      </c>
      <c r="B371" s="121" t="n">
        <f aca="false">ExportRaw!$C371</f>
        <v>0</v>
      </c>
      <c r="C371" s="121" t="n">
        <f aca="false">ExportRaw!$G371</f>
        <v>0</v>
      </c>
      <c r="D371" s="121" t="str">
        <f aca="false">ExportRaw!$E371</f>
        <v/>
      </c>
      <c r="E371" s="122" t="str">
        <f aca="false">ExportRaw!$D371</f>
        <v/>
      </c>
      <c r="F371" s="121" t="str">
        <f aca="false">ExportRaw!$H371</f>
        <v/>
      </c>
      <c r="G371" s="123" t="str">
        <f aca="false">ExportRaw!$I371</f>
        <v/>
      </c>
      <c r="H371" s="121" t="str">
        <f aca="false">ExportRaw!$A371</f>
        <v/>
      </c>
      <c r="I371" s="121" t="str">
        <f aca="false">ExportRaw!$B371</f>
        <v/>
      </c>
    </row>
    <row r="372" customFormat="false" ht="15.75" hidden="false" customHeight="false" outlineLevel="0" collapsed="false">
      <c r="A372" s="121" t="n">
        <f aca="false">ExportRaw!$F372</f>
        <v>0</v>
      </c>
      <c r="B372" s="121" t="n">
        <f aca="false">ExportRaw!$C372</f>
        <v>0</v>
      </c>
      <c r="C372" s="121" t="n">
        <f aca="false">ExportRaw!$G372</f>
        <v>0</v>
      </c>
      <c r="D372" s="121" t="str">
        <f aca="false">ExportRaw!$E372</f>
        <v/>
      </c>
      <c r="E372" s="122" t="str">
        <f aca="false">ExportRaw!$D372</f>
        <v/>
      </c>
      <c r="F372" s="121" t="str">
        <f aca="false">ExportRaw!$H372</f>
        <v/>
      </c>
      <c r="G372" s="123" t="str">
        <f aca="false">ExportRaw!$I372</f>
        <v/>
      </c>
      <c r="H372" s="121" t="str">
        <f aca="false">ExportRaw!$A372</f>
        <v/>
      </c>
      <c r="I372" s="121" t="str">
        <f aca="false">ExportRaw!$B372</f>
        <v/>
      </c>
    </row>
    <row r="373" customFormat="false" ht="15.75" hidden="false" customHeight="false" outlineLevel="0" collapsed="false">
      <c r="A373" s="121" t="n">
        <f aca="false">ExportRaw!$F373</f>
        <v>0</v>
      </c>
      <c r="B373" s="121" t="n">
        <f aca="false">ExportRaw!$C373</f>
        <v>0</v>
      </c>
      <c r="C373" s="121" t="n">
        <f aca="false">ExportRaw!$G373</f>
        <v>0</v>
      </c>
      <c r="D373" s="121" t="str">
        <f aca="false">ExportRaw!$E373</f>
        <v/>
      </c>
      <c r="E373" s="122" t="str">
        <f aca="false">ExportRaw!$D373</f>
        <v/>
      </c>
      <c r="F373" s="121" t="str">
        <f aca="false">ExportRaw!$H373</f>
        <v/>
      </c>
      <c r="G373" s="123" t="str">
        <f aca="false">ExportRaw!$I373</f>
        <v/>
      </c>
      <c r="H373" s="121" t="str">
        <f aca="false">ExportRaw!$A373</f>
        <v/>
      </c>
      <c r="I373" s="121" t="str">
        <f aca="false">ExportRaw!$B373</f>
        <v/>
      </c>
    </row>
    <row r="374" customFormat="false" ht="15.75" hidden="false" customHeight="false" outlineLevel="0" collapsed="false">
      <c r="A374" s="121" t="n">
        <f aca="false">ExportRaw!$F374</f>
        <v>0</v>
      </c>
      <c r="B374" s="121" t="n">
        <f aca="false">ExportRaw!$C374</f>
        <v>0</v>
      </c>
      <c r="C374" s="121" t="n">
        <f aca="false">ExportRaw!$G374</f>
        <v>0</v>
      </c>
      <c r="D374" s="121" t="str">
        <f aca="false">ExportRaw!$E374</f>
        <v/>
      </c>
      <c r="E374" s="122" t="str">
        <f aca="false">ExportRaw!$D374</f>
        <v/>
      </c>
      <c r="F374" s="121" t="str">
        <f aca="false">ExportRaw!$H374</f>
        <v/>
      </c>
      <c r="G374" s="123" t="str">
        <f aca="false">ExportRaw!$I374</f>
        <v/>
      </c>
      <c r="H374" s="121" t="str">
        <f aca="false">ExportRaw!$A374</f>
        <v/>
      </c>
      <c r="I374" s="121" t="str">
        <f aca="false">ExportRaw!$B374</f>
        <v/>
      </c>
    </row>
    <row r="375" customFormat="false" ht="15.75" hidden="false" customHeight="false" outlineLevel="0" collapsed="false">
      <c r="A375" s="121" t="n">
        <f aca="false">ExportRaw!$F375</f>
        <v>0</v>
      </c>
      <c r="B375" s="121" t="n">
        <f aca="false">ExportRaw!$C375</f>
        <v>0</v>
      </c>
      <c r="C375" s="121" t="n">
        <f aca="false">ExportRaw!$G375</f>
        <v>0</v>
      </c>
      <c r="D375" s="121" t="str">
        <f aca="false">ExportRaw!$E375</f>
        <v/>
      </c>
      <c r="E375" s="122" t="str">
        <f aca="false">ExportRaw!$D375</f>
        <v/>
      </c>
      <c r="F375" s="121" t="str">
        <f aca="false">ExportRaw!$H375</f>
        <v/>
      </c>
      <c r="G375" s="123" t="str">
        <f aca="false">ExportRaw!$I375</f>
        <v/>
      </c>
      <c r="H375" s="121" t="str">
        <f aca="false">ExportRaw!$A375</f>
        <v/>
      </c>
      <c r="I375" s="121" t="str">
        <f aca="false">ExportRaw!$B375</f>
        <v/>
      </c>
    </row>
    <row r="376" customFormat="false" ht="15.75" hidden="false" customHeight="false" outlineLevel="0" collapsed="false">
      <c r="A376" s="121" t="n">
        <f aca="false">ExportRaw!$F376</f>
        <v>0</v>
      </c>
      <c r="B376" s="121" t="n">
        <f aca="false">ExportRaw!$C376</f>
        <v>0</v>
      </c>
      <c r="C376" s="121" t="n">
        <f aca="false">ExportRaw!$G376</f>
        <v>0</v>
      </c>
      <c r="D376" s="121" t="str">
        <f aca="false">ExportRaw!$E376</f>
        <v/>
      </c>
      <c r="E376" s="122" t="str">
        <f aca="false">ExportRaw!$D376</f>
        <v/>
      </c>
      <c r="F376" s="121" t="str">
        <f aca="false">ExportRaw!$H376</f>
        <v/>
      </c>
      <c r="G376" s="123" t="str">
        <f aca="false">ExportRaw!$I376</f>
        <v/>
      </c>
      <c r="H376" s="121" t="str">
        <f aca="false">ExportRaw!$A376</f>
        <v/>
      </c>
      <c r="I376" s="121" t="str">
        <f aca="false">ExportRaw!$B376</f>
        <v/>
      </c>
    </row>
    <row r="377" customFormat="false" ht="15.75" hidden="false" customHeight="false" outlineLevel="0" collapsed="false">
      <c r="A377" s="121" t="n">
        <f aca="false">ExportRaw!$F377</f>
        <v>0</v>
      </c>
      <c r="B377" s="121" t="n">
        <f aca="false">ExportRaw!$C377</f>
        <v>0</v>
      </c>
      <c r="C377" s="121" t="n">
        <f aca="false">ExportRaw!$G377</f>
        <v>0</v>
      </c>
      <c r="D377" s="121" t="str">
        <f aca="false">ExportRaw!$E377</f>
        <v/>
      </c>
      <c r="E377" s="122" t="str">
        <f aca="false">ExportRaw!$D377</f>
        <v/>
      </c>
      <c r="F377" s="121" t="str">
        <f aca="false">ExportRaw!$H377</f>
        <v/>
      </c>
      <c r="G377" s="123" t="str">
        <f aca="false">ExportRaw!$I377</f>
        <v/>
      </c>
      <c r="H377" s="121" t="str">
        <f aca="false">ExportRaw!$A377</f>
        <v/>
      </c>
      <c r="I377" s="121" t="str">
        <f aca="false">ExportRaw!$B377</f>
        <v/>
      </c>
    </row>
    <row r="378" customFormat="false" ht="15.75" hidden="false" customHeight="false" outlineLevel="0" collapsed="false">
      <c r="A378" s="121" t="n">
        <f aca="false">ExportRaw!$F378</f>
        <v>0</v>
      </c>
      <c r="B378" s="121" t="n">
        <f aca="false">ExportRaw!$C378</f>
        <v>0</v>
      </c>
      <c r="C378" s="121" t="n">
        <f aca="false">ExportRaw!$G378</f>
        <v>0</v>
      </c>
      <c r="D378" s="121" t="str">
        <f aca="false">ExportRaw!$E378</f>
        <v/>
      </c>
      <c r="E378" s="122" t="str">
        <f aca="false">ExportRaw!$D378</f>
        <v/>
      </c>
      <c r="F378" s="121" t="str">
        <f aca="false">ExportRaw!$H378</f>
        <v/>
      </c>
      <c r="G378" s="123" t="str">
        <f aca="false">ExportRaw!$I378</f>
        <v/>
      </c>
      <c r="H378" s="121" t="str">
        <f aca="false">ExportRaw!$A378</f>
        <v/>
      </c>
      <c r="I378" s="121" t="str">
        <f aca="false">ExportRaw!$B378</f>
        <v/>
      </c>
    </row>
    <row r="379" customFormat="false" ht="15.75" hidden="false" customHeight="false" outlineLevel="0" collapsed="false">
      <c r="A379" s="121" t="n">
        <f aca="false">ExportRaw!$F379</f>
        <v>0</v>
      </c>
      <c r="B379" s="121" t="n">
        <f aca="false">ExportRaw!$C379</f>
        <v>0</v>
      </c>
      <c r="C379" s="121" t="n">
        <f aca="false">ExportRaw!$G379</f>
        <v>0</v>
      </c>
      <c r="D379" s="121" t="str">
        <f aca="false">ExportRaw!$E379</f>
        <v/>
      </c>
      <c r="E379" s="122" t="str">
        <f aca="false">ExportRaw!$D379</f>
        <v/>
      </c>
      <c r="F379" s="121" t="str">
        <f aca="false">ExportRaw!$H379</f>
        <v/>
      </c>
      <c r="G379" s="123" t="str">
        <f aca="false">ExportRaw!$I379</f>
        <v/>
      </c>
      <c r="H379" s="121" t="str">
        <f aca="false">ExportRaw!$A379</f>
        <v/>
      </c>
      <c r="I379" s="121" t="str">
        <f aca="false">ExportRaw!$B379</f>
        <v/>
      </c>
    </row>
    <row r="380" customFormat="false" ht="15.75" hidden="false" customHeight="false" outlineLevel="0" collapsed="false">
      <c r="A380" s="121" t="n">
        <f aca="false">ExportRaw!$F380</f>
        <v>0</v>
      </c>
      <c r="B380" s="121" t="n">
        <f aca="false">ExportRaw!$C380</f>
        <v>0</v>
      </c>
      <c r="C380" s="121" t="n">
        <f aca="false">ExportRaw!$G380</f>
        <v>0</v>
      </c>
      <c r="D380" s="121" t="str">
        <f aca="false">ExportRaw!$E380</f>
        <v/>
      </c>
      <c r="E380" s="122" t="str">
        <f aca="false">ExportRaw!$D380</f>
        <v/>
      </c>
      <c r="F380" s="121" t="str">
        <f aca="false">ExportRaw!$H380</f>
        <v/>
      </c>
      <c r="G380" s="123" t="str">
        <f aca="false">ExportRaw!$I380</f>
        <v/>
      </c>
      <c r="H380" s="121" t="str">
        <f aca="false">ExportRaw!$A380</f>
        <v/>
      </c>
      <c r="I380" s="121" t="str">
        <f aca="false">ExportRaw!$B380</f>
        <v/>
      </c>
    </row>
    <row r="381" customFormat="false" ht="15.75" hidden="false" customHeight="false" outlineLevel="0" collapsed="false">
      <c r="A381" s="121" t="n">
        <f aca="false">ExportRaw!$F381</f>
        <v>0</v>
      </c>
      <c r="B381" s="121" t="n">
        <f aca="false">ExportRaw!$C381</f>
        <v>0</v>
      </c>
      <c r="C381" s="121" t="n">
        <f aca="false">ExportRaw!$G381</f>
        <v>0</v>
      </c>
      <c r="D381" s="121" t="str">
        <f aca="false">ExportRaw!$E381</f>
        <v/>
      </c>
      <c r="E381" s="122" t="str">
        <f aca="false">ExportRaw!$D381</f>
        <v/>
      </c>
      <c r="F381" s="121" t="str">
        <f aca="false">ExportRaw!$H381</f>
        <v/>
      </c>
      <c r="G381" s="123" t="str">
        <f aca="false">ExportRaw!$I381</f>
        <v/>
      </c>
      <c r="H381" s="121" t="str">
        <f aca="false">ExportRaw!$A381</f>
        <v/>
      </c>
      <c r="I381" s="121" t="str">
        <f aca="false">ExportRaw!$B381</f>
        <v/>
      </c>
    </row>
    <row r="382" customFormat="false" ht="15.75" hidden="false" customHeight="false" outlineLevel="0" collapsed="false">
      <c r="A382" s="121" t="n">
        <f aca="false">ExportRaw!$F382</f>
        <v>0</v>
      </c>
      <c r="B382" s="121" t="n">
        <f aca="false">ExportRaw!$C382</f>
        <v>0</v>
      </c>
      <c r="C382" s="121" t="n">
        <f aca="false">ExportRaw!$G382</f>
        <v>0</v>
      </c>
      <c r="D382" s="121" t="str">
        <f aca="false">ExportRaw!$E382</f>
        <v/>
      </c>
      <c r="E382" s="122" t="str">
        <f aca="false">ExportRaw!$D382</f>
        <v/>
      </c>
      <c r="F382" s="121" t="str">
        <f aca="false">ExportRaw!$H382</f>
        <v/>
      </c>
      <c r="G382" s="123" t="str">
        <f aca="false">ExportRaw!$I382</f>
        <v/>
      </c>
      <c r="H382" s="121" t="str">
        <f aca="false">ExportRaw!$A382</f>
        <v/>
      </c>
      <c r="I382" s="121" t="str">
        <f aca="false">ExportRaw!$B382</f>
        <v/>
      </c>
    </row>
    <row r="383" customFormat="false" ht="15.75" hidden="false" customHeight="false" outlineLevel="0" collapsed="false">
      <c r="A383" s="121" t="n">
        <f aca="false">ExportRaw!$F383</f>
        <v>0</v>
      </c>
      <c r="B383" s="121" t="n">
        <f aca="false">ExportRaw!$C383</f>
        <v>0</v>
      </c>
      <c r="C383" s="121" t="n">
        <f aca="false">ExportRaw!$G383</f>
        <v>0</v>
      </c>
      <c r="D383" s="121" t="str">
        <f aca="false">ExportRaw!$E383</f>
        <v/>
      </c>
      <c r="E383" s="122" t="str">
        <f aca="false">ExportRaw!$D383</f>
        <v/>
      </c>
      <c r="F383" s="121" t="str">
        <f aca="false">ExportRaw!$H383</f>
        <v/>
      </c>
      <c r="G383" s="123" t="str">
        <f aca="false">ExportRaw!$I383</f>
        <v/>
      </c>
      <c r="H383" s="121" t="str">
        <f aca="false">ExportRaw!$A383</f>
        <v/>
      </c>
      <c r="I383" s="121" t="str">
        <f aca="false">ExportRaw!$B383</f>
        <v/>
      </c>
    </row>
    <row r="384" customFormat="false" ht="15.75" hidden="false" customHeight="false" outlineLevel="0" collapsed="false">
      <c r="A384" s="121" t="n">
        <f aca="false">ExportRaw!$F384</f>
        <v>0</v>
      </c>
      <c r="B384" s="121" t="n">
        <f aca="false">ExportRaw!$C384</f>
        <v>0</v>
      </c>
      <c r="C384" s="121" t="n">
        <f aca="false">ExportRaw!$G384</f>
        <v>0</v>
      </c>
      <c r="D384" s="121" t="str">
        <f aca="false">ExportRaw!$E384</f>
        <v/>
      </c>
      <c r="E384" s="122" t="str">
        <f aca="false">ExportRaw!$D384</f>
        <v/>
      </c>
      <c r="F384" s="121" t="str">
        <f aca="false">ExportRaw!$H384</f>
        <v/>
      </c>
      <c r="G384" s="123" t="str">
        <f aca="false">ExportRaw!$I384</f>
        <v/>
      </c>
      <c r="H384" s="121" t="str">
        <f aca="false">ExportRaw!$A384</f>
        <v/>
      </c>
      <c r="I384" s="121" t="str">
        <f aca="false">ExportRaw!$B384</f>
        <v/>
      </c>
    </row>
    <row r="385" customFormat="false" ht="15.75" hidden="false" customHeight="false" outlineLevel="0" collapsed="false">
      <c r="A385" s="121" t="n">
        <f aca="false">ExportRaw!$F385</f>
        <v>0</v>
      </c>
      <c r="B385" s="121" t="n">
        <f aca="false">ExportRaw!$C385</f>
        <v>0</v>
      </c>
      <c r="C385" s="121" t="n">
        <f aca="false">ExportRaw!$G385</f>
        <v>0</v>
      </c>
      <c r="D385" s="121" t="str">
        <f aca="false">ExportRaw!$E385</f>
        <v/>
      </c>
      <c r="E385" s="122" t="str">
        <f aca="false">ExportRaw!$D385</f>
        <v/>
      </c>
      <c r="F385" s="121" t="str">
        <f aca="false">ExportRaw!$H385</f>
        <v/>
      </c>
      <c r="G385" s="123" t="str">
        <f aca="false">ExportRaw!$I385</f>
        <v/>
      </c>
      <c r="H385" s="121" t="str">
        <f aca="false">ExportRaw!$A385</f>
        <v/>
      </c>
      <c r="I385" s="121" t="str">
        <f aca="false">ExportRaw!$B385</f>
        <v/>
      </c>
    </row>
    <row r="386" customFormat="false" ht="15.75" hidden="false" customHeight="false" outlineLevel="0" collapsed="false">
      <c r="A386" s="121" t="n">
        <f aca="false">ExportRaw!$F386</f>
        <v>0</v>
      </c>
      <c r="B386" s="121" t="n">
        <f aca="false">ExportRaw!$C386</f>
        <v>0</v>
      </c>
      <c r="C386" s="121" t="n">
        <f aca="false">ExportRaw!$G386</f>
        <v>0</v>
      </c>
      <c r="D386" s="121" t="str">
        <f aca="false">ExportRaw!$E386</f>
        <v/>
      </c>
      <c r="E386" s="122" t="str">
        <f aca="false">ExportRaw!$D386</f>
        <v/>
      </c>
      <c r="F386" s="121" t="str">
        <f aca="false">ExportRaw!$H386</f>
        <v/>
      </c>
      <c r="G386" s="123" t="str">
        <f aca="false">ExportRaw!$I386</f>
        <v/>
      </c>
      <c r="H386" s="121" t="str">
        <f aca="false">ExportRaw!$A386</f>
        <v/>
      </c>
      <c r="I386" s="121" t="str">
        <f aca="false">ExportRaw!$B386</f>
        <v/>
      </c>
    </row>
    <row r="387" customFormat="false" ht="15.75" hidden="false" customHeight="false" outlineLevel="0" collapsed="false">
      <c r="A387" s="121" t="n">
        <f aca="false">ExportRaw!$F387</f>
        <v>0</v>
      </c>
      <c r="B387" s="121" t="n">
        <f aca="false">ExportRaw!$C387</f>
        <v>0</v>
      </c>
      <c r="C387" s="121" t="n">
        <f aca="false">ExportRaw!$G387</f>
        <v>0</v>
      </c>
      <c r="D387" s="121" t="str">
        <f aca="false">ExportRaw!$E387</f>
        <v/>
      </c>
      <c r="E387" s="122" t="str">
        <f aca="false">ExportRaw!$D387</f>
        <v/>
      </c>
      <c r="F387" s="121" t="str">
        <f aca="false">ExportRaw!$H387</f>
        <v/>
      </c>
      <c r="G387" s="123" t="str">
        <f aca="false">ExportRaw!$I387</f>
        <v/>
      </c>
      <c r="H387" s="121" t="str">
        <f aca="false">ExportRaw!$A387</f>
        <v/>
      </c>
      <c r="I387" s="121" t="str">
        <f aca="false">ExportRaw!$B387</f>
        <v/>
      </c>
    </row>
    <row r="388" customFormat="false" ht="15.75" hidden="false" customHeight="false" outlineLevel="0" collapsed="false">
      <c r="A388" s="121" t="n">
        <f aca="false">ExportRaw!$F388</f>
        <v>0</v>
      </c>
      <c r="B388" s="121" t="n">
        <f aca="false">ExportRaw!$C388</f>
        <v>0</v>
      </c>
      <c r="C388" s="121" t="n">
        <f aca="false">ExportRaw!$G388</f>
        <v>0</v>
      </c>
      <c r="D388" s="121" t="str">
        <f aca="false">ExportRaw!$E388</f>
        <v/>
      </c>
      <c r="E388" s="122" t="str">
        <f aca="false">ExportRaw!$D388</f>
        <v/>
      </c>
      <c r="F388" s="121" t="str">
        <f aca="false">ExportRaw!$H388</f>
        <v/>
      </c>
      <c r="G388" s="123" t="str">
        <f aca="false">ExportRaw!$I388</f>
        <v/>
      </c>
      <c r="H388" s="121" t="str">
        <f aca="false">ExportRaw!$A388</f>
        <v/>
      </c>
      <c r="I388" s="121" t="str">
        <f aca="false">ExportRaw!$B388</f>
        <v/>
      </c>
    </row>
    <row r="389" customFormat="false" ht="15.75" hidden="false" customHeight="false" outlineLevel="0" collapsed="false">
      <c r="A389" s="121" t="n">
        <f aca="false">ExportRaw!$F389</f>
        <v>0</v>
      </c>
      <c r="B389" s="121" t="n">
        <f aca="false">ExportRaw!$C389</f>
        <v>0</v>
      </c>
      <c r="C389" s="121" t="n">
        <f aca="false">ExportRaw!$G389</f>
        <v>0</v>
      </c>
      <c r="D389" s="121" t="str">
        <f aca="false">ExportRaw!$E389</f>
        <v/>
      </c>
      <c r="E389" s="122" t="str">
        <f aca="false">ExportRaw!$D389</f>
        <v/>
      </c>
      <c r="F389" s="121" t="str">
        <f aca="false">ExportRaw!$H389</f>
        <v/>
      </c>
      <c r="G389" s="123" t="str">
        <f aca="false">ExportRaw!$I389</f>
        <v/>
      </c>
      <c r="H389" s="121" t="str">
        <f aca="false">ExportRaw!$A389</f>
        <v/>
      </c>
      <c r="I389" s="121" t="str">
        <f aca="false">ExportRaw!$B389</f>
        <v/>
      </c>
    </row>
    <row r="390" customFormat="false" ht="15.75" hidden="false" customHeight="false" outlineLevel="0" collapsed="false">
      <c r="A390" s="121" t="n">
        <f aca="false">ExportRaw!$F390</f>
        <v>0</v>
      </c>
      <c r="B390" s="121" t="n">
        <f aca="false">ExportRaw!$C390</f>
        <v>0</v>
      </c>
      <c r="C390" s="121" t="n">
        <f aca="false">ExportRaw!$G390</f>
        <v>0</v>
      </c>
      <c r="D390" s="121" t="str">
        <f aca="false">ExportRaw!$E390</f>
        <v/>
      </c>
      <c r="E390" s="122" t="str">
        <f aca="false">ExportRaw!$D390</f>
        <v/>
      </c>
      <c r="F390" s="121" t="str">
        <f aca="false">ExportRaw!$H390</f>
        <v/>
      </c>
      <c r="G390" s="123" t="str">
        <f aca="false">ExportRaw!$I390</f>
        <v/>
      </c>
      <c r="H390" s="121" t="str">
        <f aca="false">ExportRaw!$A390</f>
        <v/>
      </c>
      <c r="I390" s="121" t="str">
        <f aca="false">ExportRaw!$B390</f>
        <v/>
      </c>
    </row>
    <row r="391" customFormat="false" ht="15.75" hidden="false" customHeight="false" outlineLevel="0" collapsed="false">
      <c r="A391" s="121" t="n">
        <f aca="false">ExportRaw!$F391</f>
        <v>0</v>
      </c>
      <c r="B391" s="121" t="n">
        <f aca="false">ExportRaw!$C391</f>
        <v>0</v>
      </c>
      <c r="C391" s="121" t="n">
        <f aca="false">ExportRaw!$G391</f>
        <v>0</v>
      </c>
      <c r="D391" s="121" t="str">
        <f aca="false">ExportRaw!$E391</f>
        <v/>
      </c>
      <c r="E391" s="122" t="str">
        <f aca="false">ExportRaw!$D391</f>
        <v/>
      </c>
      <c r="F391" s="121" t="str">
        <f aca="false">ExportRaw!$H391</f>
        <v/>
      </c>
      <c r="G391" s="123" t="str">
        <f aca="false">ExportRaw!$I391</f>
        <v/>
      </c>
      <c r="H391" s="121" t="str">
        <f aca="false">ExportRaw!$A391</f>
        <v/>
      </c>
      <c r="I391" s="121" t="str">
        <f aca="false">ExportRaw!$B391</f>
        <v/>
      </c>
    </row>
    <row r="392" customFormat="false" ht="15.75" hidden="false" customHeight="false" outlineLevel="0" collapsed="false">
      <c r="A392" s="121" t="n">
        <f aca="false">ExportRaw!$F392</f>
        <v>0</v>
      </c>
      <c r="B392" s="121" t="n">
        <f aca="false">ExportRaw!$C392</f>
        <v>0</v>
      </c>
      <c r="C392" s="121" t="n">
        <f aca="false">ExportRaw!$G392</f>
        <v>0</v>
      </c>
      <c r="D392" s="121" t="str">
        <f aca="false">ExportRaw!$E392</f>
        <v/>
      </c>
      <c r="E392" s="122" t="str">
        <f aca="false">ExportRaw!$D392</f>
        <v/>
      </c>
      <c r="F392" s="121" t="str">
        <f aca="false">ExportRaw!$H392</f>
        <v/>
      </c>
      <c r="G392" s="123" t="str">
        <f aca="false">ExportRaw!$I392</f>
        <v/>
      </c>
      <c r="H392" s="121" t="str">
        <f aca="false">ExportRaw!$A392</f>
        <v/>
      </c>
      <c r="I392" s="121" t="str">
        <f aca="false">ExportRaw!$B392</f>
        <v/>
      </c>
    </row>
    <row r="393" customFormat="false" ht="15.75" hidden="false" customHeight="false" outlineLevel="0" collapsed="false">
      <c r="A393" s="121" t="n">
        <f aca="false">ExportRaw!$F393</f>
        <v>0</v>
      </c>
      <c r="B393" s="121" t="n">
        <f aca="false">ExportRaw!$C393</f>
        <v>0</v>
      </c>
      <c r="C393" s="121" t="n">
        <f aca="false">ExportRaw!$G393</f>
        <v>0</v>
      </c>
      <c r="D393" s="121" t="str">
        <f aca="false">ExportRaw!$E393</f>
        <v/>
      </c>
      <c r="E393" s="122" t="str">
        <f aca="false">ExportRaw!$D393</f>
        <v/>
      </c>
      <c r="F393" s="121" t="str">
        <f aca="false">ExportRaw!$H393</f>
        <v/>
      </c>
      <c r="G393" s="123" t="str">
        <f aca="false">ExportRaw!$I393</f>
        <v/>
      </c>
      <c r="H393" s="121" t="str">
        <f aca="false">ExportRaw!$A393</f>
        <v/>
      </c>
      <c r="I393" s="121" t="str">
        <f aca="false">ExportRaw!$B393</f>
        <v/>
      </c>
    </row>
    <row r="394" customFormat="false" ht="15.75" hidden="false" customHeight="false" outlineLevel="0" collapsed="false">
      <c r="A394" s="121" t="n">
        <f aca="false">ExportRaw!$F394</f>
        <v>0</v>
      </c>
      <c r="B394" s="121" t="n">
        <f aca="false">ExportRaw!$C394</f>
        <v>0</v>
      </c>
      <c r="C394" s="121" t="n">
        <f aca="false">ExportRaw!$G394</f>
        <v>0</v>
      </c>
      <c r="D394" s="121" t="str">
        <f aca="false">ExportRaw!$E394</f>
        <v/>
      </c>
      <c r="E394" s="122" t="str">
        <f aca="false">ExportRaw!$D394</f>
        <v/>
      </c>
      <c r="F394" s="121" t="str">
        <f aca="false">ExportRaw!$H394</f>
        <v/>
      </c>
      <c r="G394" s="123" t="str">
        <f aca="false">ExportRaw!$I394</f>
        <v/>
      </c>
      <c r="H394" s="121" t="str">
        <f aca="false">ExportRaw!$A394</f>
        <v/>
      </c>
      <c r="I394" s="121" t="str">
        <f aca="false">ExportRaw!$B394</f>
        <v/>
      </c>
    </row>
    <row r="395" customFormat="false" ht="15.75" hidden="false" customHeight="false" outlineLevel="0" collapsed="false">
      <c r="A395" s="121" t="n">
        <f aca="false">ExportRaw!$F395</f>
        <v>0</v>
      </c>
      <c r="B395" s="121" t="n">
        <f aca="false">ExportRaw!$C395</f>
        <v>0</v>
      </c>
      <c r="C395" s="121" t="n">
        <f aca="false">ExportRaw!$G395</f>
        <v>0</v>
      </c>
      <c r="D395" s="121" t="str">
        <f aca="false">ExportRaw!$E395</f>
        <v/>
      </c>
      <c r="E395" s="122" t="str">
        <f aca="false">ExportRaw!$D395</f>
        <v/>
      </c>
      <c r="F395" s="121" t="str">
        <f aca="false">ExportRaw!$H395</f>
        <v/>
      </c>
      <c r="G395" s="123" t="str">
        <f aca="false">ExportRaw!$I395</f>
        <v/>
      </c>
      <c r="H395" s="121" t="str">
        <f aca="false">ExportRaw!$A395</f>
        <v/>
      </c>
      <c r="I395" s="121" t="str">
        <f aca="false">ExportRaw!$B395</f>
        <v/>
      </c>
    </row>
    <row r="396" customFormat="false" ht="15.75" hidden="false" customHeight="false" outlineLevel="0" collapsed="false">
      <c r="A396" s="121" t="n">
        <f aca="false">ExportRaw!$F396</f>
        <v>0</v>
      </c>
      <c r="B396" s="121" t="n">
        <f aca="false">ExportRaw!$C396</f>
        <v>0</v>
      </c>
      <c r="C396" s="121" t="n">
        <f aca="false">ExportRaw!$G396</f>
        <v>0</v>
      </c>
      <c r="D396" s="121" t="str">
        <f aca="false">ExportRaw!$E396</f>
        <v/>
      </c>
      <c r="E396" s="122" t="str">
        <f aca="false">ExportRaw!$D396</f>
        <v/>
      </c>
      <c r="F396" s="121" t="str">
        <f aca="false">ExportRaw!$H396</f>
        <v/>
      </c>
      <c r="G396" s="123" t="str">
        <f aca="false">ExportRaw!$I396</f>
        <v/>
      </c>
      <c r="H396" s="121" t="str">
        <f aca="false">ExportRaw!$A396</f>
        <v/>
      </c>
      <c r="I396" s="121" t="str">
        <f aca="false">ExportRaw!$B396</f>
        <v/>
      </c>
    </row>
    <row r="397" customFormat="false" ht="15.75" hidden="false" customHeight="false" outlineLevel="0" collapsed="false">
      <c r="A397" s="121" t="n">
        <f aca="false">ExportRaw!$F397</f>
        <v>0</v>
      </c>
      <c r="B397" s="121" t="n">
        <f aca="false">ExportRaw!$C397</f>
        <v>0</v>
      </c>
      <c r="C397" s="121" t="n">
        <f aca="false">ExportRaw!$G397</f>
        <v>0</v>
      </c>
      <c r="D397" s="121" t="str">
        <f aca="false">ExportRaw!$E397</f>
        <v/>
      </c>
      <c r="E397" s="122" t="str">
        <f aca="false">ExportRaw!$D397</f>
        <v/>
      </c>
      <c r="F397" s="121" t="str">
        <f aca="false">ExportRaw!$H397</f>
        <v/>
      </c>
      <c r="G397" s="123" t="str">
        <f aca="false">ExportRaw!$I397</f>
        <v/>
      </c>
      <c r="H397" s="121" t="str">
        <f aca="false">ExportRaw!$A397</f>
        <v/>
      </c>
      <c r="I397" s="121" t="str">
        <f aca="false">ExportRaw!$B397</f>
        <v/>
      </c>
    </row>
    <row r="398" customFormat="false" ht="15.75" hidden="false" customHeight="false" outlineLevel="0" collapsed="false">
      <c r="A398" s="121" t="n">
        <f aca="false">ExportRaw!$F398</f>
        <v>0</v>
      </c>
      <c r="B398" s="121" t="n">
        <f aca="false">ExportRaw!$C398</f>
        <v>0</v>
      </c>
      <c r="C398" s="121" t="n">
        <f aca="false">ExportRaw!$G398</f>
        <v>0</v>
      </c>
      <c r="D398" s="121" t="str">
        <f aca="false">ExportRaw!$E398</f>
        <v/>
      </c>
      <c r="E398" s="122" t="str">
        <f aca="false">ExportRaw!$D398</f>
        <v/>
      </c>
      <c r="F398" s="121" t="str">
        <f aca="false">ExportRaw!$H398</f>
        <v/>
      </c>
      <c r="G398" s="123" t="str">
        <f aca="false">ExportRaw!$I398</f>
        <v/>
      </c>
      <c r="H398" s="121" t="str">
        <f aca="false">ExportRaw!$A398</f>
        <v/>
      </c>
      <c r="I398" s="121" t="str">
        <f aca="false">ExportRaw!$B398</f>
        <v/>
      </c>
    </row>
    <row r="399" customFormat="false" ht="15.75" hidden="false" customHeight="false" outlineLevel="0" collapsed="false">
      <c r="A399" s="121" t="n">
        <f aca="false">ExportRaw!$F399</f>
        <v>0</v>
      </c>
      <c r="B399" s="121" t="n">
        <f aca="false">ExportRaw!$C399</f>
        <v>0</v>
      </c>
      <c r="C399" s="121" t="n">
        <f aca="false">ExportRaw!$G399</f>
        <v>0</v>
      </c>
      <c r="D399" s="121" t="str">
        <f aca="false">ExportRaw!$E399</f>
        <v/>
      </c>
      <c r="E399" s="122" t="str">
        <f aca="false">ExportRaw!$D399</f>
        <v/>
      </c>
      <c r="F399" s="121" t="str">
        <f aca="false">ExportRaw!$H399</f>
        <v/>
      </c>
      <c r="G399" s="123" t="str">
        <f aca="false">ExportRaw!$I399</f>
        <v/>
      </c>
      <c r="H399" s="121" t="str">
        <f aca="false">ExportRaw!$A399</f>
        <v/>
      </c>
      <c r="I399" s="121" t="str">
        <f aca="false">ExportRaw!$B399</f>
        <v/>
      </c>
    </row>
    <row r="400" customFormat="false" ht="15.75" hidden="false" customHeight="false" outlineLevel="0" collapsed="false">
      <c r="A400" s="121" t="n">
        <f aca="false">ExportRaw!$F400</f>
        <v>0</v>
      </c>
      <c r="B400" s="121" t="n">
        <f aca="false">ExportRaw!$C400</f>
        <v>0</v>
      </c>
      <c r="C400" s="121" t="n">
        <f aca="false">ExportRaw!$G400</f>
        <v>0</v>
      </c>
      <c r="D400" s="121" t="str">
        <f aca="false">ExportRaw!$E400</f>
        <v/>
      </c>
      <c r="E400" s="122" t="str">
        <f aca="false">ExportRaw!$D400</f>
        <v/>
      </c>
      <c r="F400" s="121" t="str">
        <f aca="false">ExportRaw!$H400</f>
        <v/>
      </c>
      <c r="G400" s="123" t="str">
        <f aca="false">ExportRaw!$I400</f>
        <v/>
      </c>
      <c r="H400" s="121" t="str">
        <f aca="false">ExportRaw!$A400</f>
        <v/>
      </c>
      <c r="I400" s="121" t="str">
        <f aca="false">ExportRaw!$B400</f>
        <v/>
      </c>
    </row>
    <row r="401" customFormat="false" ht="15.75" hidden="false" customHeight="false" outlineLevel="0" collapsed="false">
      <c r="A401" s="121" t="n">
        <f aca="false">ExportRaw!$F401</f>
        <v>0</v>
      </c>
      <c r="B401" s="121" t="n">
        <f aca="false">ExportRaw!$C401</f>
        <v>0</v>
      </c>
      <c r="C401" s="121" t="n">
        <f aca="false">ExportRaw!$G401</f>
        <v>0</v>
      </c>
      <c r="D401" s="121" t="str">
        <f aca="false">ExportRaw!$E401</f>
        <v/>
      </c>
      <c r="E401" s="122" t="str">
        <f aca="false">ExportRaw!$D401</f>
        <v/>
      </c>
      <c r="F401" s="121" t="str">
        <f aca="false">ExportRaw!$H401</f>
        <v/>
      </c>
      <c r="G401" s="123" t="str">
        <f aca="false">ExportRaw!$I401</f>
        <v/>
      </c>
      <c r="H401" s="121" t="str">
        <f aca="false">ExportRaw!$A401</f>
        <v/>
      </c>
      <c r="I401" s="121" t="str">
        <f aca="false">ExportRaw!$B401</f>
        <v/>
      </c>
    </row>
    <row r="402" customFormat="false" ht="15.75" hidden="false" customHeight="false" outlineLevel="0" collapsed="false">
      <c r="A402" s="121" t="n">
        <f aca="false">ExportRaw!$F402</f>
        <v>0</v>
      </c>
      <c r="B402" s="121" t="n">
        <f aca="false">ExportRaw!$C402</f>
        <v>0</v>
      </c>
      <c r="C402" s="121" t="n">
        <f aca="false">ExportRaw!$G402</f>
        <v>0</v>
      </c>
      <c r="D402" s="121" t="str">
        <f aca="false">ExportRaw!$E402</f>
        <v/>
      </c>
      <c r="E402" s="122" t="str">
        <f aca="false">ExportRaw!$D402</f>
        <v/>
      </c>
      <c r="F402" s="121" t="str">
        <f aca="false">ExportRaw!$H402</f>
        <v/>
      </c>
      <c r="G402" s="123" t="str">
        <f aca="false">ExportRaw!$I402</f>
        <v/>
      </c>
      <c r="H402" s="121" t="str">
        <f aca="false">ExportRaw!$A402</f>
        <v/>
      </c>
      <c r="I402" s="121" t="str">
        <f aca="false">ExportRaw!$B402</f>
        <v/>
      </c>
    </row>
    <row r="403" customFormat="false" ht="15.75" hidden="false" customHeight="false" outlineLevel="0" collapsed="false">
      <c r="A403" s="121" t="n">
        <f aca="false">ExportRaw!$F403</f>
        <v>0</v>
      </c>
      <c r="B403" s="121" t="n">
        <f aca="false">ExportRaw!$C403</f>
        <v>0</v>
      </c>
      <c r="C403" s="121" t="n">
        <f aca="false">ExportRaw!$G403</f>
        <v>0</v>
      </c>
      <c r="D403" s="121" t="str">
        <f aca="false">ExportRaw!$E403</f>
        <v/>
      </c>
      <c r="E403" s="122" t="str">
        <f aca="false">ExportRaw!$D403</f>
        <v/>
      </c>
      <c r="F403" s="121" t="str">
        <f aca="false">ExportRaw!$H403</f>
        <v/>
      </c>
      <c r="G403" s="123" t="str">
        <f aca="false">ExportRaw!$I403</f>
        <v/>
      </c>
      <c r="H403" s="121" t="str">
        <f aca="false">ExportRaw!$A403</f>
        <v/>
      </c>
      <c r="I403" s="121" t="str">
        <f aca="false">ExportRaw!$B403</f>
        <v/>
      </c>
    </row>
    <row r="404" customFormat="false" ht="15.75" hidden="false" customHeight="false" outlineLevel="0" collapsed="false">
      <c r="A404" s="121" t="n">
        <f aca="false">ExportRaw!$F404</f>
        <v>0</v>
      </c>
      <c r="B404" s="121" t="n">
        <f aca="false">ExportRaw!$C404</f>
        <v>0</v>
      </c>
      <c r="C404" s="121" t="n">
        <f aca="false">ExportRaw!$G404</f>
        <v>0</v>
      </c>
      <c r="D404" s="121" t="str">
        <f aca="false">ExportRaw!$E404</f>
        <v/>
      </c>
      <c r="E404" s="122" t="str">
        <f aca="false">ExportRaw!$D404</f>
        <v/>
      </c>
      <c r="F404" s="121" t="str">
        <f aca="false">ExportRaw!$H404</f>
        <v/>
      </c>
      <c r="G404" s="123" t="str">
        <f aca="false">ExportRaw!$I404</f>
        <v/>
      </c>
      <c r="H404" s="121" t="str">
        <f aca="false">ExportRaw!$A404</f>
        <v/>
      </c>
      <c r="I404" s="121" t="str">
        <f aca="false">ExportRaw!$B404</f>
        <v/>
      </c>
    </row>
    <row r="405" customFormat="false" ht="15.75" hidden="false" customHeight="false" outlineLevel="0" collapsed="false">
      <c r="A405" s="121" t="n">
        <f aca="false">ExportRaw!$F405</f>
        <v>0</v>
      </c>
      <c r="B405" s="121" t="n">
        <f aca="false">ExportRaw!$C405</f>
        <v>0</v>
      </c>
      <c r="C405" s="121" t="n">
        <f aca="false">ExportRaw!$G405</f>
        <v>0</v>
      </c>
      <c r="D405" s="121" t="str">
        <f aca="false">ExportRaw!$E405</f>
        <v/>
      </c>
      <c r="E405" s="122" t="str">
        <f aca="false">ExportRaw!$D405</f>
        <v/>
      </c>
      <c r="F405" s="121" t="str">
        <f aca="false">ExportRaw!$H405</f>
        <v/>
      </c>
      <c r="G405" s="123" t="str">
        <f aca="false">ExportRaw!$I405</f>
        <v/>
      </c>
      <c r="H405" s="121" t="str">
        <f aca="false">ExportRaw!$A405</f>
        <v/>
      </c>
      <c r="I405" s="121" t="str">
        <f aca="false">ExportRaw!$B405</f>
        <v/>
      </c>
    </row>
    <row r="406" customFormat="false" ht="15.75" hidden="false" customHeight="false" outlineLevel="0" collapsed="false">
      <c r="A406" s="121" t="n">
        <f aca="false">ExportRaw!$F406</f>
        <v>0</v>
      </c>
      <c r="B406" s="121" t="n">
        <f aca="false">ExportRaw!$C406</f>
        <v>0</v>
      </c>
      <c r="C406" s="121" t="n">
        <f aca="false">ExportRaw!$G406</f>
        <v>0</v>
      </c>
      <c r="D406" s="121" t="str">
        <f aca="false">ExportRaw!$E406</f>
        <v/>
      </c>
      <c r="E406" s="122" t="str">
        <f aca="false">ExportRaw!$D406</f>
        <v/>
      </c>
      <c r="F406" s="121" t="str">
        <f aca="false">ExportRaw!$H406</f>
        <v/>
      </c>
      <c r="G406" s="123" t="str">
        <f aca="false">ExportRaw!$I406</f>
        <v/>
      </c>
      <c r="H406" s="121" t="str">
        <f aca="false">ExportRaw!$A406</f>
        <v/>
      </c>
      <c r="I406" s="121" t="str">
        <f aca="false">ExportRaw!$B406</f>
        <v/>
      </c>
    </row>
    <row r="407" customFormat="false" ht="15.75" hidden="false" customHeight="false" outlineLevel="0" collapsed="false">
      <c r="A407" s="121" t="n">
        <f aca="false">ExportRaw!$F407</f>
        <v>0</v>
      </c>
      <c r="B407" s="121" t="n">
        <f aca="false">ExportRaw!$C407</f>
        <v>0</v>
      </c>
      <c r="C407" s="121" t="n">
        <f aca="false">ExportRaw!$G407</f>
        <v>0</v>
      </c>
      <c r="D407" s="121" t="str">
        <f aca="false">ExportRaw!$E407</f>
        <v/>
      </c>
      <c r="E407" s="122" t="str">
        <f aca="false">ExportRaw!$D407</f>
        <v/>
      </c>
      <c r="F407" s="121" t="str">
        <f aca="false">ExportRaw!$H407</f>
        <v/>
      </c>
      <c r="G407" s="123" t="str">
        <f aca="false">ExportRaw!$I407</f>
        <v/>
      </c>
      <c r="H407" s="121" t="str">
        <f aca="false">ExportRaw!$A407</f>
        <v/>
      </c>
      <c r="I407" s="121" t="str">
        <f aca="false">ExportRaw!$B407</f>
        <v/>
      </c>
    </row>
    <row r="408" customFormat="false" ht="15.75" hidden="false" customHeight="false" outlineLevel="0" collapsed="false">
      <c r="A408" s="121" t="n">
        <f aca="false">ExportRaw!$F408</f>
        <v>0</v>
      </c>
      <c r="B408" s="121" t="n">
        <f aca="false">ExportRaw!$C408</f>
        <v>0</v>
      </c>
      <c r="C408" s="121" t="n">
        <f aca="false">ExportRaw!$G408</f>
        <v>0</v>
      </c>
      <c r="D408" s="121" t="str">
        <f aca="false">ExportRaw!$E408</f>
        <v/>
      </c>
      <c r="E408" s="122" t="str">
        <f aca="false">ExportRaw!$D408</f>
        <v/>
      </c>
      <c r="F408" s="121" t="str">
        <f aca="false">ExportRaw!$H408</f>
        <v/>
      </c>
      <c r="G408" s="123" t="str">
        <f aca="false">ExportRaw!$I408</f>
        <v/>
      </c>
      <c r="H408" s="121" t="str">
        <f aca="false">ExportRaw!$A408</f>
        <v/>
      </c>
      <c r="I408" s="121" t="str">
        <f aca="false">ExportRaw!$B408</f>
        <v/>
      </c>
    </row>
    <row r="409" customFormat="false" ht="15.75" hidden="false" customHeight="false" outlineLevel="0" collapsed="false">
      <c r="A409" s="121" t="n">
        <f aca="false">ExportRaw!$F409</f>
        <v>0</v>
      </c>
      <c r="B409" s="121" t="n">
        <f aca="false">ExportRaw!$C409</f>
        <v>0</v>
      </c>
      <c r="C409" s="121" t="n">
        <f aca="false">ExportRaw!$G409</f>
        <v>0</v>
      </c>
      <c r="D409" s="121" t="str">
        <f aca="false">ExportRaw!$E409</f>
        <v/>
      </c>
      <c r="E409" s="122" t="str">
        <f aca="false">ExportRaw!$D409</f>
        <v/>
      </c>
      <c r="F409" s="121" t="str">
        <f aca="false">ExportRaw!$H409</f>
        <v/>
      </c>
      <c r="G409" s="123" t="str">
        <f aca="false">ExportRaw!$I409</f>
        <v/>
      </c>
      <c r="H409" s="121" t="str">
        <f aca="false">ExportRaw!$A409</f>
        <v/>
      </c>
      <c r="I409" s="121" t="str">
        <f aca="false">ExportRaw!$B409</f>
        <v/>
      </c>
    </row>
    <row r="410" customFormat="false" ht="15.75" hidden="false" customHeight="false" outlineLevel="0" collapsed="false">
      <c r="A410" s="121" t="n">
        <f aca="false">ExportRaw!$F410</f>
        <v>0</v>
      </c>
      <c r="B410" s="121" t="n">
        <f aca="false">ExportRaw!$C410</f>
        <v>0</v>
      </c>
      <c r="C410" s="121" t="n">
        <f aca="false">ExportRaw!$G410</f>
        <v>0</v>
      </c>
      <c r="D410" s="121" t="str">
        <f aca="false">ExportRaw!$E410</f>
        <v/>
      </c>
      <c r="E410" s="122" t="str">
        <f aca="false">ExportRaw!$D410</f>
        <v/>
      </c>
      <c r="F410" s="121" t="str">
        <f aca="false">ExportRaw!$H410</f>
        <v/>
      </c>
      <c r="G410" s="123" t="str">
        <f aca="false">ExportRaw!$I410</f>
        <v/>
      </c>
      <c r="H410" s="121" t="str">
        <f aca="false">ExportRaw!$A410</f>
        <v/>
      </c>
      <c r="I410" s="121" t="str">
        <f aca="false">ExportRaw!$B410</f>
        <v/>
      </c>
    </row>
    <row r="411" customFormat="false" ht="15.75" hidden="false" customHeight="false" outlineLevel="0" collapsed="false">
      <c r="A411" s="121" t="n">
        <f aca="false">ExportRaw!$F411</f>
        <v>0</v>
      </c>
      <c r="B411" s="121" t="n">
        <f aca="false">ExportRaw!$C411</f>
        <v>0</v>
      </c>
      <c r="C411" s="121" t="n">
        <f aca="false">ExportRaw!$G411</f>
        <v>0</v>
      </c>
      <c r="D411" s="121" t="str">
        <f aca="false">ExportRaw!$E411</f>
        <v/>
      </c>
      <c r="E411" s="122" t="str">
        <f aca="false">ExportRaw!$D411</f>
        <v/>
      </c>
      <c r="F411" s="121" t="str">
        <f aca="false">ExportRaw!$H411</f>
        <v/>
      </c>
      <c r="G411" s="123" t="str">
        <f aca="false">ExportRaw!$I411</f>
        <v/>
      </c>
      <c r="H411" s="121" t="str">
        <f aca="false">ExportRaw!$A411</f>
        <v/>
      </c>
      <c r="I411" s="121" t="str">
        <f aca="false">ExportRaw!$B411</f>
        <v/>
      </c>
    </row>
    <row r="412" customFormat="false" ht="15.75" hidden="false" customHeight="false" outlineLevel="0" collapsed="false">
      <c r="A412" s="121" t="n">
        <f aca="false">ExportRaw!$F412</f>
        <v>0</v>
      </c>
      <c r="B412" s="121" t="n">
        <f aca="false">ExportRaw!$C412</f>
        <v>0</v>
      </c>
      <c r="C412" s="121" t="n">
        <f aca="false">ExportRaw!$G412</f>
        <v>0</v>
      </c>
      <c r="D412" s="121" t="str">
        <f aca="false">ExportRaw!$E412</f>
        <v/>
      </c>
      <c r="E412" s="122" t="str">
        <f aca="false">ExportRaw!$D412</f>
        <v/>
      </c>
      <c r="F412" s="121" t="str">
        <f aca="false">ExportRaw!$H412</f>
        <v/>
      </c>
      <c r="G412" s="123" t="str">
        <f aca="false">ExportRaw!$I412</f>
        <v/>
      </c>
      <c r="H412" s="121" t="str">
        <f aca="false">ExportRaw!$A412</f>
        <v/>
      </c>
      <c r="I412" s="121" t="str">
        <f aca="false">ExportRaw!$B412</f>
        <v/>
      </c>
    </row>
    <row r="413" customFormat="false" ht="15.75" hidden="false" customHeight="false" outlineLevel="0" collapsed="false">
      <c r="A413" s="121" t="n">
        <f aca="false">ExportRaw!$F413</f>
        <v>0</v>
      </c>
      <c r="B413" s="121" t="n">
        <f aca="false">ExportRaw!$C413</f>
        <v>0</v>
      </c>
      <c r="C413" s="121" t="n">
        <f aca="false">ExportRaw!$G413</f>
        <v>0</v>
      </c>
      <c r="D413" s="121" t="str">
        <f aca="false">ExportRaw!$E413</f>
        <v/>
      </c>
      <c r="E413" s="122" t="str">
        <f aca="false">ExportRaw!$D413</f>
        <v/>
      </c>
      <c r="F413" s="121" t="str">
        <f aca="false">ExportRaw!$H413</f>
        <v/>
      </c>
      <c r="G413" s="123" t="str">
        <f aca="false">ExportRaw!$I413</f>
        <v/>
      </c>
      <c r="H413" s="121" t="str">
        <f aca="false">ExportRaw!$A413</f>
        <v/>
      </c>
      <c r="I413" s="121" t="str">
        <f aca="false">ExportRaw!$B413</f>
        <v/>
      </c>
    </row>
    <row r="414" customFormat="false" ht="15.75" hidden="false" customHeight="false" outlineLevel="0" collapsed="false">
      <c r="A414" s="121" t="n">
        <f aca="false">ExportRaw!$F414</f>
        <v>0</v>
      </c>
      <c r="B414" s="121" t="n">
        <f aca="false">ExportRaw!$C414</f>
        <v>0</v>
      </c>
      <c r="C414" s="121" t="n">
        <f aca="false">ExportRaw!$G414</f>
        <v>0</v>
      </c>
      <c r="D414" s="121" t="str">
        <f aca="false">ExportRaw!$E414</f>
        <v/>
      </c>
      <c r="E414" s="122" t="str">
        <f aca="false">ExportRaw!$D414</f>
        <v/>
      </c>
      <c r="F414" s="121" t="str">
        <f aca="false">ExportRaw!$H414</f>
        <v/>
      </c>
      <c r="G414" s="123" t="str">
        <f aca="false">ExportRaw!$I414</f>
        <v/>
      </c>
      <c r="H414" s="121" t="str">
        <f aca="false">ExportRaw!$A414</f>
        <v/>
      </c>
      <c r="I414" s="121" t="str">
        <f aca="false">ExportRaw!$B414</f>
        <v/>
      </c>
    </row>
    <row r="415" customFormat="false" ht="15.75" hidden="false" customHeight="false" outlineLevel="0" collapsed="false">
      <c r="A415" s="121" t="n">
        <f aca="false">ExportRaw!$F415</f>
        <v>0</v>
      </c>
      <c r="B415" s="121" t="n">
        <f aca="false">ExportRaw!$C415</f>
        <v>0</v>
      </c>
      <c r="C415" s="121" t="n">
        <f aca="false">ExportRaw!$G415</f>
        <v>0</v>
      </c>
      <c r="D415" s="121" t="str">
        <f aca="false">ExportRaw!$E415</f>
        <v/>
      </c>
      <c r="E415" s="122" t="str">
        <f aca="false">ExportRaw!$D415</f>
        <v/>
      </c>
      <c r="F415" s="121" t="str">
        <f aca="false">ExportRaw!$H415</f>
        <v/>
      </c>
      <c r="G415" s="123" t="str">
        <f aca="false">ExportRaw!$I415</f>
        <v/>
      </c>
      <c r="H415" s="121" t="str">
        <f aca="false">ExportRaw!$A415</f>
        <v/>
      </c>
      <c r="I415" s="121" t="str">
        <f aca="false">ExportRaw!$B415</f>
        <v/>
      </c>
    </row>
    <row r="416" customFormat="false" ht="15.75" hidden="false" customHeight="false" outlineLevel="0" collapsed="false">
      <c r="A416" s="121" t="n">
        <f aca="false">ExportRaw!$F416</f>
        <v>0</v>
      </c>
      <c r="B416" s="121" t="n">
        <f aca="false">ExportRaw!$C416</f>
        <v>0</v>
      </c>
      <c r="C416" s="121" t="n">
        <f aca="false">ExportRaw!$G416</f>
        <v>0</v>
      </c>
      <c r="D416" s="121" t="str">
        <f aca="false">ExportRaw!$E416</f>
        <v/>
      </c>
      <c r="E416" s="122" t="str">
        <f aca="false">ExportRaw!$D416</f>
        <v/>
      </c>
      <c r="F416" s="121" t="str">
        <f aca="false">ExportRaw!$H416</f>
        <v/>
      </c>
      <c r="G416" s="123" t="str">
        <f aca="false">ExportRaw!$I416</f>
        <v/>
      </c>
      <c r="H416" s="121" t="str">
        <f aca="false">ExportRaw!$A416</f>
        <v/>
      </c>
      <c r="I416" s="121" t="str">
        <f aca="false">ExportRaw!$B416</f>
        <v/>
      </c>
    </row>
    <row r="417" customFormat="false" ht="15.75" hidden="false" customHeight="false" outlineLevel="0" collapsed="false">
      <c r="A417" s="121" t="n">
        <f aca="false">ExportRaw!$F417</f>
        <v>0</v>
      </c>
      <c r="B417" s="121" t="n">
        <f aca="false">ExportRaw!$C417</f>
        <v>0</v>
      </c>
      <c r="C417" s="121" t="n">
        <f aca="false">ExportRaw!$G417</f>
        <v>0</v>
      </c>
      <c r="D417" s="121" t="str">
        <f aca="false">ExportRaw!$E417</f>
        <v/>
      </c>
      <c r="E417" s="122" t="str">
        <f aca="false">ExportRaw!$D417</f>
        <v/>
      </c>
      <c r="F417" s="121" t="str">
        <f aca="false">ExportRaw!$H417</f>
        <v/>
      </c>
      <c r="G417" s="123" t="str">
        <f aca="false">ExportRaw!$I417</f>
        <v/>
      </c>
      <c r="H417" s="121" t="str">
        <f aca="false">ExportRaw!$A417</f>
        <v/>
      </c>
      <c r="I417" s="121" t="str">
        <f aca="false">ExportRaw!$B417</f>
        <v/>
      </c>
    </row>
    <row r="418" customFormat="false" ht="15.75" hidden="false" customHeight="false" outlineLevel="0" collapsed="false">
      <c r="A418" s="121" t="n">
        <f aca="false">ExportRaw!$F418</f>
        <v>0</v>
      </c>
      <c r="B418" s="121" t="n">
        <f aca="false">ExportRaw!$C418</f>
        <v>0</v>
      </c>
      <c r="C418" s="121" t="n">
        <f aca="false">ExportRaw!$G418</f>
        <v>0</v>
      </c>
      <c r="D418" s="121" t="str">
        <f aca="false">ExportRaw!$E418</f>
        <v/>
      </c>
      <c r="E418" s="122" t="str">
        <f aca="false">ExportRaw!$D418</f>
        <v/>
      </c>
      <c r="F418" s="121" t="str">
        <f aca="false">ExportRaw!$H418</f>
        <v/>
      </c>
      <c r="G418" s="123" t="str">
        <f aca="false">ExportRaw!$I418</f>
        <v/>
      </c>
      <c r="H418" s="121" t="str">
        <f aca="false">ExportRaw!$A418</f>
        <v/>
      </c>
      <c r="I418" s="121" t="str">
        <f aca="false">ExportRaw!$B418</f>
        <v/>
      </c>
    </row>
    <row r="419" customFormat="false" ht="15.75" hidden="false" customHeight="false" outlineLevel="0" collapsed="false">
      <c r="A419" s="121" t="n">
        <f aca="false">ExportRaw!$F419</f>
        <v>0</v>
      </c>
      <c r="B419" s="121" t="n">
        <f aca="false">ExportRaw!$C419</f>
        <v>0</v>
      </c>
      <c r="C419" s="121" t="n">
        <f aca="false">ExportRaw!$G419</f>
        <v>0</v>
      </c>
      <c r="D419" s="121" t="str">
        <f aca="false">ExportRaw!$E419</f>
        <v/>
      </c>
      <c r="E419" s="122" t="str">
        <f aca="false">ExportRaw!$D419</f>
        <v/>
      </c>
      <c r="F419" s="121" t="str">
        <f aca="false">ExportRaw!$H419</f>
        <v/>
      </c>
      <c r="G419" s="123" t="str">
        <f aca="false">ExportRaw!$I419</f>
        <v/>
      </c>
      <c r="H419" s="121" t="str">
        <f aca="false">ExportRaw!$A419</f>
        <v/>
      </c>
      <c r="I419" s="121" t="str">
        <f aca="false">ExportRaw!$B419</f>
        <v/>
      </c>
    </row>
    <row r="420" customFormat="false" ht="15.75" hidden="false" customHeight="false" outlineLevel="0" collapsed="false">
      <c r="A420" s="121" t="n">
        <f aca="false">ExportRaw!$F420</f>
        <v>0</v>
      </c>
      <c r="B420" s="121" t="n">
        <f aca="false">ExportRaw!$C420</f>
        <v>0</v>
      </c>
      <c r="C420" s="121" t="n">
        <f aca="false">ExportRaw!$G420</f>
        <v>0</v>
      </c>
      <c r="D420" s="121" t="str">
        <f aca="false">ExportRaw!$E420</f>
        <v/>
      </c>
      <c r="E420" s="122" t="str">
        <f aca="false">ExportRaw!$D420</f>
        <v/>
      </c>
      <c r="F420" s="121" t="str">
        <f aca="false">ExportRaw!$H420</f>
        <v/>
      </c>
      <c r="G420" s="123" t="str">
        <f aca="false">ExportRaw!$I420</f>
        <v/>
      </c>
      <c r="H420" s="121" t="str">
        <f aca="false">ExportRaw!$A420</f>
        <v/>
      </c>
      <c r="I420" s="121" t="str">
        <f aca="false">ExportRaw!$B420</f>
        <v/>
      </c>
    </row>
    <row r="421" customFormat="false" ht="15.75" hidden="false" customHeight="false" outlineLevel="0" collapsed="false">
      <c r="A421" s="121" t="n">
        <f aca="false">ExportRaw!$F421</f>
        <v>0</v>
      </c>
      <c r="B421" s="121" t="n">
        <f aca="false">ExportRaw!$C421</f>
        <v>0</v>
      </c>
      <c r="C421" s="121" t="n">
        <f aca="false">ExportRaw!$G421</f>
        <v>0</v>
      </c>
      <c r="D421" s="121" t="str">
        <f aca="false">ExportRaw!$E421</f>
        <v/>
      </c>
      <c r="E421" s="122" t="str">
        <f aca="false">ExportRaw!$D421</f>
        <v/>
      </c>
      <c r="F421" s="121" t="str">
        <f aca="false">ExportRaw!$H421</f>
        <v/>
      </c>
      <c r="G421" s="123" t="str">
        <f aca="false">ExportRaw!$I421</f>
        <v/>
      </c>
      <c r="H421" s="121" t="str">
        <f aca="false">ExportRaw!$A421</f>
        <v/>
      </c>
      <c r="I421" s="121" t="str">
        <f aca="false">ExportRaw!$B421</f>
        <v/>
      </c>
    </row>
    <row r="422" customFormat="false" ht="15.75" hidden="false" customHeight="false" outlineLevel="0" collapsed="false">
      <c r="A422" s="121" t="n">
        <f aca="false">ExportRaw!$F422</f>
        <v>0</v>
      </c>
      <c r="B422" s="121" t="n">
        <f aca="false">ExportRaw!$C422</f>
        <v>0</v>
      </c>
      <c r="C422" s="121" t="n">
        <f aca="false">ExportRaw!$G422</f>
        <v>0</v>
      </c>
      <c r="D422" s="121" t="str">
        <f aca="false">ExportRaw!$E422</f>
        <v/>
      </c>
      <c r="E422" s="122" t="str">
        <f aca="false">ExportRaw!$D422</f>
        <v/>
      </c>
      <c r="F422" s="121" t="str">
        <f aca="false">ExportRaw!$H422</f>
        <v/>
      </c>
      <c r="G422" s="123" t="str">
        <f aca="false">ExportRaw!$I422</f>
        <v/>
      </c>
      <c r="H422" s="121" t="str">
        <f aca="false">ExportRaw!$A422</f>
        <v/>
      </c>
      <c r="I422" s="121" t="str">
        <f aca="false">ExportRaw!$B422</f>
        <v/>
      </c>
    </row>
    <row r="423" customFormat="false" ht="15.75" hidden="false" customHeight="false" outlineLevel="0" collapsed="false">
      <c r="A423" s="121" t="n">
        <f aca="false">ExportRaw!$F423</f>
        <v>0</v>
      </c>
      <c r="B423" s="121" t="n">
        <f aca="false">ExportRaw!$C423</f>
        <v>0</v>
      </c>
      <c r="C423" s="121" t="n">
        <f aca="false">ExportRaw!$G423</f>
        <v>0</v>
      </c>
      <c r="D423" s="121" t="str">
        <f aca="false">ExportRaw!$E423</f>
        <v/>
      </c>
      <c r="E423" s="122" t="str">
        <f aca="false">ExportRaw!$D423</f>
        <v/>
      </c>
      <c r="F423" s="121" t="str">
        <f aca="false">ExportRaw!$H423</f>
        <v/>
      </c>
      <c r="G423" s="123" t="str">
        <f aca="false">ExportRaw!$I423</f>
        <v/>
      </c>
      <c r="H423" s="121" t="str">
        <f aca="false">ExportRaw!$A423</f>
        <v/>
      </c>
      <c r="I423" s="121" t="str">
        <f aca="false">ExportRaw!$B423</f>
        <v/>
      </c>
    </row>
    <row r="424" customFormat="false" ht="15.75" hidden="false" customHeight="false" outlineLevel="0" collapsed="false">
      <c r="A424" s="121" t="n">
        <f aca="false">ExportRaw!$F424</f>
        <v>0</v>
      </c>
      <c r="B424" s="121" t="n">
        <f aca="false">ExportRaw!$C424</f>
        <v>0</v>
      </c>
      <c r="C424" s="121" t="n">
        <f aca="false">ExportRaw!$G424</f>
        <v>0</v>
      </c>
      <c r="D424" s="121" t="str">
        <f aca="false">ExportRaw!$E424</f>
        <v/>
      </c>
      <c r="E424" s="122" t="str">
        <f aca="false">ExportRaw!$D424</f>
        <v/>
      </c>
      <c r="F424" s="121" t="str">
        <f aca="false">ExportRaw!$H424</f>
        <v/>
      </c>
      <c r="G424" s="123" t="str">
        <f aca="false">ExportRaw!$I424</f>
        <v/>
      </c>
      <c r="H424" s="121" t="str">
        <f aca="false">ExportRaw!$A424</f>
        <v/>
      </c>
      <c r="I424" s="121" t="str">
        <f aca="false">ExportRaw!$B424</f>
        <v/>
      </c>
    </row>
    <row r="425" customFormat="false" ht="15.75" hidden="false" customHeight="false" outlineLevel="0" collapsed="false">
      <c r="A425" s="121" t="n">
        <f aca="false">ExportRaw!$F425</f>
        <v>0</v>
      </c>
      <c r="B425" s="121" t="n">
        <f aca="false">ExportRaw!$C425</f>
        <v>0</v>
      </c>
      <c r="C425" s="121" t="n">
        <f aca="false">ExportRaw!$G425</f>
        <v>0</v>
      </c>
      <c r="D425" s="121" t="str">
        <f aca="false">ExportRaw!$E425</f>
        <v/>
      </c>
      <c r="E425" s="122" t="str">
        <f aca="false">ExportRaw!$D425</f>
        <v/>
      </c>
      <c r="F425" s="121" t="str">
        <f aca="false">ExportRaw!$H425</f>
        <v/>
      </c>
      <c r="G425" s="123" t="str">
        <f aca="false">ExportRaw!$I425</f>
        <v/>
      </c>
      <c r="H425" s="121" t="str">
        <f aca="false">ExportRaw!$A425</f>
        <v/>
      </c>
      <c r="I425" s="121" t="str">
        <f aca="false">ExportRaw!$B425</f>
        <v/>
      </c>
    </row>
    <row r="426" customFormat="false" ht="15.75" hidden="false" customHeight="false" outlineLevel="0" collapsed="false">
      <c r="A426" s="121" t="n">
        <f aca="false">ExportRaw!$F426</f>
        <v>0</v>
      </c>
      <c r="B426" s="121" t="n">
        <f aca="false">ExportRaw!$C426</f>
        <v>0</v>
      </c>
      <c r="C426" s="121" t="n">
        <f aca="false">ExportRaw!$G426</f>
        <v>0</v>
      </c>
      <c r="D426" s="121" t="str">
        <f aca="false">ExportRaw!$E426</f>
        <v/>
      </c>
      <c r="E426" s="122" t="str">
        <f aca="false">ExportRaw!$D426</f>
        <v/>
      </c>
      <c r="F426" s="121" t="str">
        <f aca="false">ExportRaw!$H426</f>
        <v/>
      </c>
      <c r="G426" s="123" t="str">
        <f aca="false">ExportRaw!$I426</f>
        <v/>
      </c>
      <c r="H426" s="121" t="str">
        <f aca="false">ExportRaw!$A426</f>
        <v/>
      </c>
      <c r="I426" s="121" t="str">
        <f aca="false">ExportRaw!$B426</f>
        <v/>
      </c>
    </row>
    <row r="427" customFormat="false" ht="15.75" hidden="false" customHeight="false" outlineLevel="0" collapsed="false">
      <c r="A427" s="121" t="n">
        <f aca="false">ExportRaw!$F427</f>
        <v>0</v>
      </c>
      <c r="B427" s="121" t="n">
        <f aca="false">ExportRaw!$C427</f>
        <v>0</v>
      </c>
      <c r="C427" s="121" t="n">
        <f aca="false">ExportRaw!$G427</f>
        <v>0</v>
      </c>
      <c r="D427" s="121" t="str">
        <f aca="false">ExportRaw!$E427</f>
        <v/>
      </c>
      <c r="E427" s="122" t="str">
        <f aca="false">ExportRaw!$D427</f>
        <v/>
      </c>
      <c r="F427" s="121" t="str">
        <f aca="false">ExportRaw!$H427</f>
        <v/>
      </c>
      <c r="G427" s="123" t="str">
        <f aca="false">ExportRaw!$I427</f>
        <v/>
      </c>
      <c r="H427" s="121" t="str">
        <f aca="false">ExportRaw!$A427</f>
        <v/>
      </c>
      <c r="I427" s="121" t="str">
        <f aca="false">ExportRaw!$B427</f>
        <v/>
      </c>
    </row>
    <row r="428" customFormat="false" ht="15.75" hidden="false" customHeight="false" outlineLevel="0" collapsed="false">
      <c r="A428" s="121" t="n">
        <f aca="false">ExportRaw!$F428</f>
        <v>0</v>
      </c>
      <c r="B428" s="121" t="n">
        <f aca="false">ExportRaw!$C428</f>
        <v>0</v>
      </c>
      <c r="C428" s="121" t="n">
        <f aca="false">ExportRaw!$G428</f>
        <v>0</v>
      </c>
      <c r="D428" s="121" t="str">
        <f aca="false">ExportRaw!$E428</f>
        <v/>
      </c>
      <c r="E428" s="122" t="str">
        <f aca="false">ExportRaw!$D428</f>
        <v/>
      </c>
      <c r="F428" s="121" t="str">
        <f aca="false">ExportRaw!$H428</f>
        <v/>
      </c>
      <c r="G428" s="123" t="str">
        <f aca="false">ExportRaw!$I428</f>
        <v/>
      </c>
      <c r="H428" s="121" t="str">
        <f aca="false">ExportRaw!$A428</f>
        <v/>
      </c>
      <c r="I428" s="121" t="str">
        <f aca="false">ExportRaw!$B428</f>
        <v/>
      </c>
    </row>
    <row r="429" customFormat="false" ht="15.75" hidden="false" customHeight="false" outlineLevel="0" collapsed="false">
      <c r="A429" s="121" t="n">
        <f aca="false">ExportRaw!$F429</f>
        <v>0</v>
      </c>
      <c r="B429" s="121" t="n">
        <f aca="false">ExportRaw!$C429</f>
        <v>0</v>
      </c>
      <c r="C429" s="121" t="n">
        <f aca="false">ExportRaw!$G429</f>
        <v>0</v>
      </c>
      <c r="D429" s="121" t="str">
        <f aca="false">ExportRaw!$E429</f>
        <v/>
      </c>
      <c r="E429" s="122" t="str">
        <f aca="false">ExportRaw!$D429</f>
        <v/>
      </c>
      <c r="F429" s="121" t="str">
        <f aca="false">ExportRaw!$H429</f>
        <v/>
      </c>
      <c r="G429" s="123" t="str">
        <f aca="false">ExportRaw!$I429</f>
        <v/>
      </c>
      <c r="H429" s="121" t="str">
        <f aca="false">ExportRaw!$A429</f>
        <v/>
      </c>
      <c r="I429" s="121" t="str">
        <f aca="false">ExportRaw!$B429</f>
        <v/>
      </c>
    </row>
    <row r="430" customFormat="false" ht="15.75" hidden="false" customHeight="false" outlineLevel="0" collapsed="false">
      <c r="A430" s="121" t="n">
        <f aca="false">ExportRaw!$F430</f>
        <v>0</v>
      </c>
      <c r="B430" s="121" t="n">
        <f aca="false">ExportRaw!$C430</f>
        <v>0</v>
      </c>
      <c r="C430" s="121" t="n">
        <f aca="false">ExportRaw!$G430</f>
        <v>0</v>
      </c>
      <c r="D430" s="121" t="str">
        <f aca="false">ExportRaw!$E430</f>
        <v/>
      </c>
      <c r="E430" s="122" t="str">
        <f aca="false">ExportRaw!$D430</f>
        <v/>
      </c>
      <c r="F430" s="121" t="str">
        <f aca="false">ExportRaw!$H430</f>
        <v/>
      </c>
      <c r="G430" s="123" t="str">
        <f aca="false">ExportRaw!$I430</f>
        <v/>
      </c>
      <c r="H430" s="121" t="str">
        <f aca="false">ExportRaw!$A430</f>
        <v/>
      </c>
      <c r="I430" s="121" t="str">
        <f aca="false">ExportRaw!$B430</f>
        <v/>
      </c>
    </row>
    <row r="431" customFormat="false" ht="15.75" hidden="false" customHeight="false" outlineLevel="0" collapsed="false">
      <c r="A431" s="121" t="n">
        <f aca="false">ExportRaw!$F431</f>
        <v>0</v>
      </c>
      <c r="B431" s="121" t="n">
        <f aca="false">ExportRaw!$C431</f>
        <v>0</v>
      </c>
      <c r="C431" s="121" t="n">
        <f aca="false">ExportRaw!$G431</f>
        <v>0</v>
      </c>
      <c r="D431" s="121" t="str">
        <f aca="false">ExportRaw!$E431</f>
        <v/>
      </c>
      <c r="E431" s="122" t="str">
        <f aca="false">ExportRaw!$D431</f>
        <v/>
      </c>
      <c r="F431" s="121" t="str">
        <f aca="false">ExportRaw!$H431</f>
        <v/>
      </c>
      <c r="G431" s="123" t="str">
        <f aca="false">ExportRaw!$I431</f>
        <v/>
      </c>
      <c r="H431" s="121" t="str">
        <f aca="false">ExportRaw!$A431</f>
        <v/>
      </c>
      <c r="I431" s="121" t="str">
        <f aca="false">ExportRaw!$B431</f>
        <v/>
      </c>
    </row>
    <row r="432" customFormat="false" ht="15.75" hidden="false" customHeight="false" outlineLevel="0" collapsed="false">
      <c r="A432" s="121" t="n">
        <f aca="false">ExportRaw!$F432</f>
        <v>0</v>
      </c>
      <c r="B432" s="121" t="n">
        <f aca="false">ExportRaw!$C432</f>
        <v>0</v>
      </c>
      <c r="C432" s="121" t="n">
        <f aca="false">ExportRaw!$G432</f>
        <v>0</v>
      </c>
      <c r="D432" s="121" t="str">
        <f aca="false">ExportRaw!$E432</f>
        <v/>
      </c>
      <c r="E432" s="122" t="str">
        <f aca="false">ExportRaw!$D432</f>
        <v/>
      </c>
      <c r="F432" s="121" t="str">
        <f aca="false">ExportRaw!$H432</f>
        <v/>
      </c>
      <c r="G432" s="123" t="str">
        <f aca="false">ExportRaw!$I432</f>
        <v/>
      </c>
      <c r="H432" s="121" t="str">
        <f aca="false">ExportRaw!$A432</f>
        <v/>
      </c>
      <c r="I432" s="121" t="str">
        <f aca="false">ExportRaw!$B432</f>
        <v/>
      </c>
    </row>
    <row r="433" customFormat="false" ht="15.75" hidden="false" customHeight="false" outlineLevel="0" collapsed="false">
      <c r="A433" s="121" t="n">
        <f aca="false">ExportRaw!$F433</f>
        <v>0</v>
      </c>
      <c r="B433" s="121" t="n">
        <f aca="false">ExportRaw!$C433</f>
        <v>0</v>
      </c>
      <c r="C433" s="121" t="n">
        <f aca="false">ExportRaw!$G433</f>
        <v>0</v>
      </c>
      <c r="D433" s="121" t="str">
        <f aca="false">ExportRaw!$E433</f>
        <v/>
      </c>
      <c r="E433" s="122" t="str">
        <f aca="false">ExportRaw!$D433</f>
        <v/>
      </c>
      <c r="F433" s="121" t="str">
        <f aca="false">ExportRaw!$H433</f>
        <v/>
      </c>
      <c r="G433" s="123" t="str">
        <f aca="false">ExportRaw!$I433</f>
        <v/>
      </c>
      <c r="H433" s="121" t="str">
        <f aca="false">ExportRaw!$A433</f>
        <v/>
      </c>
      <c r="I433" s="121" t="str">
        <f aca="false">ExportRaw!$B433</f>
        <v/>
      </c>
    </row>
    <row r="434" customFormat="false" ht="15.75" hidden="false" customHeight="false" outlineLevel="0" collapsed="false">
      <c r="A434" s="121" t="n">
        <f aca="false">ExportRaw!$F434</f>
        <v>0</v>
      </c>
      <c r="B434" s="121" t="n">
        <f aca="false">ExportRaw!$C434</f>
        <v>0</v>
      </c>
      <c r="C434" s="121" t="n">
        <f aca="false">ExportRaw!$G434</f>
        <v>0</v>
      </c>
      <c r="D434" s="121" t="str">
        <f aca="false">ExportRaw!$E434</f>
        <v/>
      </c>
      <c r="E434" s="122" t="str">
        <f aca="false">ExportRaw!$D434</f>
        <v/>
      </c>
      <c r="F434" s="121" t="str">
        <f aca="false">ExportRaw!$H434</f>
        <v/>
      </c>
      <c r="G434" s="123" t="str">
        <f aca="false">ExportRaw!$I434</f>
        <v/>
      </c>
      <c r="H434" s="121" t="str">
        <f aca="false">ExportRaw!$A434</f>
        <v/>
      </c>
      <c r="I434" s="121" t="str">
        <f aca="false">ExportRaw!$B434</f>
        <v/>
      </c>
    </row>
    <row r="435" customFormat="false" ht="15.75" hidden="false" customHeight="false" outlineLevel="0" collapsed="false">
      <c r="A435" s="121" t="n">
        <f aca="false">ExportRaw!$F435</f>
        <v>0</v>
      </c>
      <c r="B435" s="121" t="n">
        <f aca="false">ExportRaw!$C435</f>
        <v>0</v>
      </c>
      <c r="C435" s="121" t="n">
        <f aca="false">ExportRaw!$G435</f>
        <v>0</v>
      </c>
      <c r="D435" s="121" t="str">
        <f aca="false">ExportRaw!$E435</f>
        <v/>
      </c>
      <c r="E435" s="122" t="str">
        <f aca="false">ExportRaw!$D435</f>
        <v/>
      </c>
      <c r="F435" s="121" t="str">
        <f aca="false">ExportRaw!$H435</f>
        <v/>
      </c>
      <c r="G435" s="123" t="str">
        <f aca="false">ExportRaw!$I435</f>
        <v/>
      </c>
      <c r="H435" s="121" t="str">
        <f aca="false">ExportRaw!$A435</f>
        <v/>
      </c>
      <c r="I435" s="121" t="str">
        <f aca="false">ExportRaw!$B435</f>
        <v/>
      </c>
    </row>
    <row r="436" customFormat="false" ht="15.75" hidden="false" customHeight="false" outlineLevel="0" collapsed="false">
      <c r="A436" s="121" t="n">
        <f aca="false">ExportRaw!$F436</f>
        <v>0</v>
      </c>
      <c r="B436" s="121" t="n">
        <f aca="false">ExportRaw!$C436</f>
        <v>0</v>
      </c>
      <c r="C436" s="121" t="n">
        <f aca="false">ExportRaw!$G436</f>
        <v>0</v>
      </c>
      <c r="D436" s="121" t="str">
        <f aca="false">ExportRaw!$E436</f>
        <v/>
      </c>
      <c r="E436" s="122" t="str">
        <f aca="false">ExportRaw!$D436</f>
        <v/>
      </c>
      <c r="F436" s="121" t="str">
        <f aca="false">ExportRaw!$H436</f>
        <v/>
      </c>
      <c r="G436" s="123" t="str">
        <f aca="false">ExportRaw!$I436</f>
        <v/>
      </c>
      <c r="H436" s="121" t="str">
        <f aca="false">ExportRaw!$A436</f>
        <v/>
      </c>
      <c r="I436" s="121" t="str">
        <f aca="false">ExportRaw!$B436</f>
        <v/>
      </c>
    </row>
    <row r="437" customFormat="false" ht="15.75" hidden="false" customHeight="false" outlineLevel="0" collapsed="false">
      <c r="A437" s="121" t="n">
        <f aca="false">ExportRaw!$F437</f>
        <v>0</v>
      </c>
      <c r="B437" s="121" t="n">
        <f aca="false">ExportRaw!$C437</f>
        <v>0</v>
      </c>
      <c r="C437" s="121" t="n">
        <f aca="false">ExportRaw!$G437</f>
        <v>0</v>
      </c>
      <c r="D437" s="121" t="str">
        <f aca="false">ExportRaw!$E437</f>
        <v/>
      </c>
      <c r="E437" s="122" t="str">
        <f aca="false">ExportRaw!$D437</f>
        <v/>
      </c>
      <c r="F437" s="121" t="str">
        <f aca="false">ExportRaw!$H437</f>
        <v/>
      </c>
      <c r="G437" s="123" t="str">
        <f aca="false">ExportRaw!$I437</f>
        <v/>
      </c>
      <c r="H437" s="121" t="str">
        <f aca="false">ExportRaw!$A437</f>
        <v/>
      </c>
      <c r="I437" s="121" t="str">
        <f aca="false">ExportRaw!$B437</f>
        <v/>
      </c>
    </row>
    <row r="438" customFormat="false" ht="15.75" hidden="false" customHeight="false" outlineLevel="0" collapsed="false">
      <c r="A438" s="121" t="n">
        <f aca="false">ExportRaw!$F438</f>
        <v>0</v>
      </c>
      <c r="B438" s="121" t="n">
        <f aca="false">ExportRaw!$C438</f>
        <v>0</v>
      </c>
      <c r="C438" s="121" t="n">
        <f aca="false">ExportRaw!$G438</f>
        <v>0</v>
      </c>
      <c r="D438" s="121" t="str">
        <f aca="false">ExportRaw!$E438</f>
        <v/>
      </c>
      <c r="E438" s="122" t="str">
        <f aca="false">ExportRaw!$D438</f>
        <v/>
      </c>
      <c r="F438" s="121" t="str">
        <f aca="false">ExportRaw!$H438</f>
        <v/>
      </c>
      <c r="G438" s="123" t="str">
        <f aca="false">ExportRaw!$I438</f>
        <v/>
      </c>
      <c r="H438" s="121" t="str">
        <f aca="false">ExportRaw!$A438</f>
        <v/>
      </c>
      <c r="I438" s="121" t="str">
        <f aca="false">ExportRaw!$B438</f>
        <v/>
      </c>
    </row>
    <row r="439" customFormat="false" ht="15.75" hidden="false" customHeight="false" outlineLevel="0" collapsed="false">
      <c r="A439" s="121" t="n">
        <f aca="false">ExportRaw!$F439</f>
        <v>0</v>
      </c>
      <c r="B439" s="121" t="n">
        <f aca="false">ExportRaw!$C439</f>
        <v>0</v>
      </c>
      <c r="C439" s="121" t="n">
        <f aca="false">ExportRaw!$G439</f>
        <v>0</v>
      </c>
      <c r="D439" s="121" t="str">
        <f aca="false">ExportRaw!$E439</f>
        <v/>
      </c>
      <c r="E439" s="122" t="str">
        <f aca="false">ExportRaw!$D439</f>
        <v/>
      </c>
      <c r="F439" s="121" t="str">
        <f aca="false">ExportRaw!$H439</f>
        <v/>
      </c>
      <c r="G439" s="123" t="str">
        <f aca="false">ExportRaw!$I439</f>
        <v/>
      </c>
      <c r="H439" s="121" t="str">
        <f aca="false">ExportRaw!$A439</f>
        <v/>
      </c>
      <c r="I439" s="121" t="str">
        <f aca="false">ExportRaw!$B439</f>
        <v/>
      </c>
    </row>
    <row r="440" customFormat="false" ht="15.75" hidden="false" customHeight="false" outlineLevel="0" collapsed="false">
      <c r="A440" s="121" t="n">
        <f aca="false">ExportRaw!$F440</f>
        <v>0</v>
      </c>
      <c r="B440" s="121" t="n">
        <f aca="false">ExportRaw!$C440</f>
        <v>0</v>
      </c>
      <c r="C440" s="121" t="n">
        <f aca="false">ExportRaw!$G440</f>
        <v>0</v>
      </c>
      <c r="D440" s="121" t="str">
        <f aca="false">ExportRaw!$E440</f>
        <v/>
      </c>
      <c r="E440" s="122" t="str">
        <f aca="false">ExportRaw!$D440</f>
        <v/>
      </c>
      <c r="F440" s="121" t="str">
        <f aca="false">ExportRaw!$H440</f>
        <v/>
      </c>
      <c r="G440" s="123" t="str">
        <f aca="false">ExportRaw!$I440</f>
        <v/>
      </c>
      <c r="H440" s="121" t="str">
        <f aca="false">ExportRaw!$A440</f>
        <v/>
      </c>
      <c r="I440" s="121" t="str">
        <f aca="false">ExportRaw!$B440</f>
        <v/>
      </c>
    </row>
    <row r="441" customFormat="false" ht="15.75" hidden="false" customHeight="false" outlineLevel="0" collapsed="false">
      <c r="A441" s="121" t="n">
        <f aca="false">ExportRaw!$F441</f>
        <v>0</v>
      </c>
      <c r="B441" s="121" t="n">
        <f aca="false">ExportRaw!$C441</f>
        <v>0</v>
      </c>
      <c r="C441" s="121" t="n">
        <f aca="false">ExportRaw!$G441</f>
        <v>0</v>
      </c>
      <c r="D441" s="121" t="str">
        <f aca="false">ExportRaw!$E441</f>
        <v/>
      </c>
      <c r="E441" s="122" t="str">
        <f aca="false">ExportRaw!$D441</f>
        <v/>
      </c>
      <c r="F441" s="121" t="str">
        <f aca="false">ExportRaw!$H441</f>
        <v/>
      </c>
      <c r="G441" s="123" t="str">
        <f aca="false">ExportRaw!$I441</f>
        <v/>
      </c>
      <c r="H441" s="121" t="str">
        <f aca="false">ExportRaw!$A441</f>
        <v/>
      </c>
      <c r="I441" s="121" t="str">
        <f aca="false">ExportRaw!$B441</f>
        <v/>
      </c>
    </row>
    <row r="442" customFormat="false" ht="15.75" hidden="false" customHeight="false" outlineLevel="0" collapsed="false">
      <c r="A442" s="121" t="n">
        <f aca="false">ExportRaw!$F442</f>
        <v>0</v>
      </c>
      <c r="B442" s="121" t="n">
        <f aca="false">ExportRaw!$C442</f>
        <v>0</v>
      </c>
      <c r="C442" s="121" t="n">
        <f aca="false">ExportRaw!$G442</f>
        <v>0</v>
      </c>
      <c r="D442" s="121" t="str">
        <f aca="false">ExportRaw!$E442</f>
        <v/>
      </c>
      <c r="E442" s="122" t="str">
        <f aca="false">ExportRaw!$D442</f>
        <v/>
      </c>
      <c r="F442" s="121" t="str">
        <f aca="false">ExportRaw!$H442</f>
        <v/>
      </c>
      <c r="G442" s="123" t="str">
        <f aca="false">ExportRaw!$I442</f>
        <v/>
      </c>
      <c r="H442" s="121" t="str">
        <f aca="false">ExportRaw!$A442</f>
        <v/>
      </c>
      <c r="I442" s="121" t="str">
        <f aca="false">ExportRaw!$B442</f>
        <v/>
      </c>
    </row>
    <row r="443" customFormat="false" ht="15.75" hidden="false" customHeight="false" outlineLevel="0" collapsed="false">
      <c r="A443" s="121" t="n">
        <f aca="false">ExportRaw!$F443</f>
        <v>0</v>
      </c>
      <c r="B443" s="121" t="n">
        <f aca="false">ExportRaw!$C443</f>
        <v>0</v>
      </c>
      <c r="C443" s="121" t="n">
        <f aca="false">ExportRaw!$G443</f>
        <v>0</v>
      </c>
      <c r="D443" s="121" t="str">
        <f aca="false">ExportRaw!$E443</f>
        <v/>
      </c>
      <c r="E443" s="122" t="str">
        <f aca="false">ExportRaw!$D443</f>
        <v/>
      </c>
      <c r="F443" s="121" t="str">
        <f aca="false">ExportRaw!$H443</f>
        <v/>
      </c>
      <c r="G443" s="123" t="str">
        <f aca="false">ExportRaw!$I443</f>
        <v/>
      </c>
      <c r="H443" s="121" t="str">
        <f aca="false">ExportRaw!$A443</f>
        <v/>
      </c>
      <c r="I443" s="121" t="str">
        <f aca="false">ExportRaw!$B443</f>
        <v/>
      </c>
    </row>
    <row r="444" customFormat="false" ht="15.75" hidden="false" customHeight="false" outlineLevel="0" collapsed="false">
      <c r="A444" s="121" t="n">
        <f aca="false">ExportRaw!$F444</f>
        <v>0</v>
      </c>
      <c r="B444" s="121" t="n">
        <f aca="false">ExportRaw!$C444</f>
        <v>0</v>
      </c>
      <c r="C444" s="121" t="n">
        <f aca="false">ExportRaw!$G444</f>
        <v>0</v>
      </c>
      <c r="D444" s="121" t="str">
        <f aca="false">ExportRaw!$E444</f>
        <v/>
      </c>
      <c r="E444" s="122" t="str">
        <f aca="false">ExportRaw!$D444</f>
        <v/>
      </c>
      <c r="F444" s="121" t="str">
        <f aca="false">ExportRaw!$H444</f>
        <v/>
      </c>
      <c r="G444" s="123" t="str">
        <f aca="false">ExportRaw!$I444</f>
        <v/>
      </c>
      <c r="H444" s="121" t="str">
        <f aca="false">ExportRaw!$A444</f>
        <v/>
      </c>
      <c r="I444" s="121" t="str">
        <f aca="false">ExportRaw!$B444</f>
        <v/>
      </c>
    </row>
    <row r="445" customFormat="false" ht="15.75" hidden="false" customHeight="false" outlineLevel="0" collapsed="false">
      <c r="A445" s="121" t="n">
        <f aca="false">ExportRaw!$F445</f>
        <v>0</v>
      </c>
      <c r="B445" s="121" t="n">
        <f aca="false">ExportRaw!$C445</f>
        <v>0</v>
      </c>
      <c r="C445" s="121" t="n">
        <f aca="false">ExportRaw!$G445</f>
        <v>0</v>
      </c>
      <c r="D445" s="121" t="str">
        <f aca="false">ExportRaw!$E445</f>
        <v/>
      </c>
      <c r="E445" s="122" t="str">
        <f aca="false">ExportRaw!$D445</f>
        <v/>
      </c>
      <c r="F445" s="121" t="str">
        <f aca="false">ExportRaw!$H445</f>
        <v/>
      </c>
      <c r="G445" s="123" t="str">
        <f aca="false">ExportRaw!$I445</f>
        <v/>
      </c>
      <c r="H445" s="121" t="str">
        <f aca="false">ExportRaw!$A445</f>
        <v/>
      </c>
      <c r="I445" s="121" t="str">
        <f aca="false">ExportRaw!$B445</f>
        <v/>
      </c>
    </row>
    <row r="446" customFormat="false" ht="15.75" hidden="false" customHeight="false" outlineLevel="0" collapsed="false">
      <c r="A446" s="121" t="n">
        <f aca="false">ExportRaw!$F446</f>
        <v>0</v>
      </c>
      <c r="B446" s="121" t="n">
        <f aca="false">ExportRaw!$C446</f>
        <v>0</v>
      </c>
      <c r="C446" s="121" t="n">
        <f aca="false">ExportRaw!$G446</f>
        <v>0</v>
      </c>
      <c r="D446" s="121" t="str">
        <f aca="false">ExportRaw!$E446</f>
        <v/>
      </c>
      <c r="E446" s="122" t="str">
        <f aca="false">ExportRaw!$D446</f>
        <v/>
      </c>
      <c r="F446" s="121" t="str">
        <f aca="false">ExportRaw!$H446</f>
        <v/>
      </c>
      <c r="G446" s="123" t="str">
        <f aca="false">ExportRaw!$I446</f>
        <v/>
      </c>
      <c r="H446" s="121" t="str">
        <f aca="false">ExportRaw!$A446</f>
        <v/>
      </c>
      <c r="I446" s="121" t="str">
        <f aca="false">ExportRaw!$B446</f>
        <v/>
      </c>
    </row>
    <row r="447" customFormat="false" ht="15.75" hidden="false" customHeight="false" outlineLevel="0" collapsed="false">
      <c r="A447" s="121" t="n">
        <f aca="false">ExportRaw!$F447</f>
        <v>0</v>
      </c>
      <c r="B447" s="121" t="n">
        <f aca="false">ExportRaw!$C447</f>
        <v>0</v>
      </c>
      <c r="C447" s="121" t="n">
        <f aca="false">ExportRaw!$G447</f>
        <v>0</v>
      </c>
      <c r="D447" s="121" t="str">
        <f aca="false">ExportRaw!$E447</f>
        <v/>
      </c>
      <c r="E447" s="122" t="str">
        <f aca="false">ExportRaw!$D447</f>
        <v/>
      </c>
      <c r="F447" s="121" t="str">
        <f aca="false">ExportRaw!$H447</f>
        <v/>
      </c>
      <c r="G447" s="123" t="str">
        <f aca="false">ExportRaw!$I447</f>
        <v/>
      </c>
      <c r="H447" s="121" t="str">
        <f aca="false">ExportRaw!$A447</f>
        <v/>
      </c>
      <c r="I447" s="121" t="str">
        <f aca="false">ExportRaw!$B447</f>
        <v/>
      </c>
    </row>
    <row r="448" customFormat="false" ht="15.75" hidden="false" customHeight="false" outlineLevel="0" collapsed="false">
      <c r="A448" s="121" t="n">
        <f aca="false">ExportRaw!$F448</f>
        <v>0</v>
      </c>
      <c r="B448" s="121" t="n">
        <f aca="false">ExportRaw!$C448</f>
        <v>0</v>
      </c>
      <c r="C448" s="121" t="n">
        <f aca="false">ExportRaw!$G448</f>
        <v>0</v>
      </c>
      <c r="D448" s="121" t="str">
        <f aca="false">ExportRaw!$E448</f>
        <v/>
      </c>
      <c r="E448" s="122" t="str">
        <f aca="false">ExportRaw!$D448</f>
        <v/>
      </c>
      <c r="F448" s="121" t="str">
        <f aca="false">ExportRaw!$H448</f>
        <v/>
      </c>
      <c r="G448" s="123" t="str">
        <f aca="false">ExportRaw!$I448</f>
        <v/>
      </c>
      <c r="H448" s="121" t="str">
        <f aca="false">ExportRaw!$A448</f>
        <v/>
      </c>
      <c r="I448" s="121" t="str">
        <f aca="false">ExportRaw!$B448</f>
        <v/>
      </c>
    </row>
    <row r="449" customFormat="false" ht="15.75" hidden="false" customHeight="false" outlineLevel="0" collapsed="false">
      <c r="A449" s="121" t="n">
        <f aca="false">ExportRaw!$F449</f>
        <v>0</v>
      </c>
      <c r="B449" s="121" t="n">
        <f aca="false">ExportRaw!$C449</f>
        <v>0</v>
      </c>
      <c r="C449" s="121" t="n">
        <f aca="false">ExportRaw!$G449</f>
        <v>0</v>
      </c>
      <c r="D449" s="121" t="str">
        <f aca="false">ExportRaw!$E449</f>
        <v/>
      </c>
      <c r="E449" s="122" t="str">
        <f aca="false">ExportRaw!$D449</f>
        <v/>
      </c>
      <c r="F449" s="121" t="str">
        <f aca="false">ExportRaw!$H449</f>
        <v/>
      </c>
      <c r="G449" s="123" t="str">
        <f aca="false">ExportRaw!$I449</f>
        <v/>
      </c>
      <c r="H449" s="121" t="str">
        <f aca="false">ExportRaw!$A449</f>
        <v/>
      </c>
      <c r="I449" s="121" t="str">
        <f aca="false">ExportRaw!$B449</f>
        <v/>
      </c>
    </row>
    <row r="450" customFormat="false" ht="15.75" hidden="false" customHeight="false" outlineLevel="0" collapsed="false">
      <c r="A450" s="121" t="n">
        <f aca="false">ExportRaw!$F450</f>
        <v>0</v>
      </c>
      <c r="B450" s="121" t="n">
        <f aca="false">ExportRaw!$C450</f>
        <v>0</v>
      </c>
      <c r="C450" s="121" t="n">
        <f aca="false">ExportRaw!$G450</f>
        <v>0</v>
      </c>
      <c r="D450" s="121" t="str">
        <f aca="false">ExportRaw!$E450</f>
        <v/>
      </c>
      <c r="E450" s="122" t="str">
        <f aca="false">ExportRaw!$D450</f>
        <v/>
      </c>
      <c r="F450" s="121" t="str">
        <f aca="false">ExportRaw!$H450</f>
        <v/>
      </c>
      <c r="G450" s="123" t="str">
        <f aca="false">ExportRaw!$I450</f>
        <v/>
      </c>
      <c r="H450" s="121" t="str">
        <f aca="false">ExportRaw!$A450</f>
        <v/>
      </c>
      <c r="I450" s="121" t="str">
        <f aca="false">ExportRaw!$B450</f>
        <v/>
      </c>
    </row>
    <row r="451" customFormat="false" ht="15.75" hidden="false" customHeight="false" outlineLevel="0" collapsed="false">
      <c r="A451" s="121" t="n">
        <f aca="false">ExportRaw!$F451</f>
        <v>0</v>
      </c>
      <c r="B451" s="121" t="n">
        <f aca="false">ExportRaw!$C451</f>
        <v>0</v>
      </c>
      <c r="C451" s="121" t="n">
        <f aca="false">ExportRaw!$G451</f>
        <v>0</v>
      </c>
      <c r="D451" s="121" t="str">
        <f aca="false">ExportRaw!$E451</f>
        <v/>
      </c>
      <c r="E451" s="122" t="str">
        <f aca="false">ExportRaw!$D451</f>
        <v/>
      </c>
      <c r="F451" s="121" t="str">
        <f aca="false">ExportRaw!$H451</f>
        <v/>
      </c>
      <c r="G451" s="123" t="str">
        <f aca="false">ExportRaw!$I451</f>
        <v/>
      </c>
      <c r="H451" s="121" t="str">
        <f aca="false">ExportRaw!$A451</f>
        <v/>
      </c>
      <c r="I451" s="121" t="str">
        <f aca="false">ExportRaw!$B451</f>
        <v/>
      </c>
    </row>
    <row r="452" customFormat="false" ht="15.75" hidden="false" customHeight="false" outlineLevel="0" collapsed="false">
      <c r="A452" s="121" t="n">
        <f aca="false">ExportRaw!$F452</f>
        <v>0</v>
      </c>
      <c r="B452" s="121" t="n">
        <f aca="false">ExportRaw!$C452</f>
        <v>0</v>
      </c>
      <c r="C452" s="121" t="n">
        <f aca="false">ExportRaw!$G452</f>
        <v>0</v>
      </c>
      <c r="D452" s="121" t="str">
        <f aca="false">ExportRaw!$E452</f>
        <v/>
      </c>
      <c r="E452" s="122" t="str">
        <f aca="false">ExportRaw!$D452</f>
        <v/>
      </c>
      <c r="F452" s="121" t="str">
        <f aca="false">ExportRaw!$H452</f>
        <v/>
      </c>
      <c r="G452" s="123" t="str">
        <f aca="false">ExportRaw!$I452</f>
        <v/>
      </c>
      <c r="H452" s="121" t="str">
        <f aca="false">ExportRaw!$A452</f>
        <v/>
      </c>
      <c r="I452" s="121" t="str">
        <f aca="false">ExportRaw!$B452</f>
        <v/>
      </c>
    </row>
    <row r="453" customFormat="false" ht="15.75" hidden="false" customHeight="false" outlineLevel="0" collapsed="false">
      <c r="A453" s="121" t="n">
        <f aca="false">ExportRaw!$F453</f>
        <v>0</v>
      </c>
      <c r="B453" s="121" t="n">
        <f aca="false">ExportRaw!$C453</f>
        <v>0</v>
      </c>
      <c r="C453" s="121" t="n">
        <f aca="false">ExportRaw!$G453</f>
        <v>0</v>
      </c>
      <c r="D453" s="121" t="str">
        <f aca="false">ExportRaw!$E453</f>
        <v/>
      </c>
      <c r="E453" s="122" t="str">
        <f aca="false">ExportRaw!$D453</f>
        <v/>
      </c>
      <c r="F453" s="121" t="str">
        <f aca="false">ExportRaw!$H453</f>
        <v/>
      </c>
      <c r="G453" s="123" t="str">
        <f aca="false">ExportRaw!$I453</f>
        <v/>
      </c>
      <c r="H453" s="121" t="str">
        <f aca="false">ExportRaw!$A453</f>
        <v/>
      </c>
      <c r="I453" s="121" t="str">
        <f aca="false">ExportRaw!$B453</f>
        <v/>
      </c>
    </row>
    <row r="454" customFormat="false" ht="15.75" hidden="false" customHeight="false" outlineLevel="0" collapsed="false">
      <c r="A454" s="121" t="n">
        <f aca="false">ExportRaw!$F454</f>
        <v>0</v>
      </c>
      <c r="B454" s="121" t="n">
        <f aca="false">ExportRaw!$C454</f>
        <v>0</v>
      </c>
      <c r="C454" s="121" t="n">
        <f aca="false">ExportRaw!$G454</f>
        <v>0</v>
      </c>
      <c r="D454" s="121" t="str">
        <f aca="false">ExportRaw!$E454</f>
        <v/>
      </c>
      <c r="E454" s="122" t="str">
        <f aca="false">ExportRaw!$D454</f>
        <v/>
      </c>
      <c r="F454" s="121" t="str">
        <f aca="false">ExportRaw!$H454</f>
        <v/>
      </c>
      <c r="G454" s="123" t="str">
        <f aca="false">ExportRaw!$I454</f>
        <v/>
      </c>
      <c r="H454" s="121" t="str">
        <f aca="false">ExportRaw!$A454</f>
        <v/>
      </c>
      <c r="I454" s="121" t="str">
        <f aca="false">ExportRaw!$B454</f>
        <v/>
      </c>
    </row>
    <row r="455" customFormat="false" ht="15.75" hidden="false" customHeight="false" outlineLevel="0" collapsed="false">
      <c r="A455" s="121" t="n">
        <f aca="false">ExportRaw!$F455</f>
        <v>0</v>
      </c>
      <c r="B455" s="121" t="n">
        <f aca="false">ExportRaw!$C455</f>
        <v>0</v>
      </c>
      <c r="C455" s="121" t="n">
        <f aca="false">ExportRaw!$G455</f>
        <v>0</v>
      </c>
      <c r="D455" s="121" t="str">
        <f aca="false">ExportRaw!$E455</f>
        <v/>
      </c>
      <c r="E455" s="122" t="str">
        <f aca="false">ExportRaw!$D455</f>
        <v/>
      </c>
      <c r="F455" s="121" t="str">
        <f aca="false">ExportRaw!$H455</f>
        <v/>
      </c>
      <c r="G455" s="123" t="str">
        <f aca="false">ExportRaw!$I455</f>
        <v/>
      </c>
      <c r="H455" s="121" t="str">
        <f aca="false">ExportRaw!$A455</f>
        <v/>
      </c>
      <c r="I455" s="121" t="str">
        <f aca="false">ExportRaw!$B455</f>
        <v/>
      </c>
    </row>
    <row r="456" customFormat="false" ht="15.75" hidden="false" customHeight="false" outlineLevel="0" collapsed="false">
      <c r="A456" s="121" t="n">
        <f aca="false">ExportRaw!$F456</f>
        <v>0</v>
      </c>
      <c r="B456" s="121" t="n">
        <f aca="false">ExportRaw!$C456</f>
        <v>0</v>
      </c>
      <c r="C456" s="121" t="n">
        <f aca="false">ExportRaw!$G456</f>
        <v>0</v>
      </c>
      <c r="D456" s="121" t="str">
        <f aca="false">ExportRaw!$E456</f>
        <v/>
      </c>
      <c r="E456" s="122" t="str">
        <f aca="false">ExportRaw!$D456</f>
        <v/>
      </c>
      <c r="F456" s="121" t="str">
        <f aca="false">ExportRaw!$H456</f>
        <v/>
      </c>
      <c r="G456" s="123" t="str">
        <f aca="false">ExportRaw!$I456</f>
        <v/>
      </c>
      <c r="H456" s="121" t="str">
        <f aca="false">ExportRaw!$A456</f>
        <v/>
      </c>
      <c r="I456" s="121" t="str">
        <f aca="false">ExportRaw!$B456</f>
        <v/>
      </c>
    </row>
    <row r="457" customFormat="false" ht="15.75" hidden="false" customHeight="false" outlineLevel="0" collapsed="false">
      <c r="A457" s="121" t="n">
        <f aca="false">ExportRaw!$F457</f>
        <v>0</v>
      </c>
      <c r="B457" s="121" t="n">
        <f aca="false">ExportRaw!$C457</f>
        <v>0</v>
      </c>
      <c r="C457" s="121" t="n">
        <f aca="false">ExportRaw!$G457</f>
        <v>0</v>
      </c>
      <c r="D457" s="121" t="str">
        <f aca="false">ExportRaw!$E457</f>
        <v/>
      </c>
      <c r="E457" s="122" t="str">
        <f aca="false">ExportRaw!$D457</f>
        <v/>
      </c>
      <c r="F457" s="121" t="str">
        <f aca="false">ExportRaw!$H457</f>
        <v/>
      </c>
      <c r="G457" s="123" t="str">
        <f aca="false">ExportRaw!$I457</f>
        <v/>
      </c>
      <c r="H457" s="121" t="str">
        <f aca="false">ExportRaw!$A457</f>
        <v/>
      </c>
      <c r="I457" s="121" t="str">
        <f aca="false">ExportRaw!$B457</f>
        <v/>
      </c>
    </row>
    <row r="458" customFormat="false" ht="15.75" hidden="false" customHeight="false" outlineLevel="0" collapsed="false">
      <c r="A458" s="121" t="n">
        <f aca="false">ExportRaw!$F458</f>
        <v>0</v>
      </c>
      <c r="B458" s="121" t="n">
        <f aca="false">ExportRaw!$C458</f>
        <v>0</v>
      </c>
      <c r="C458" s="121" t="n">
        <f aca="false">ExportRaw!$G458</f>
        <v>0</v>
      </c>
      <c r="D458" s="121" t="str">
        <f aca="false">ExportRaw!$E458</f>
        <v/>
      </c>
      <c r="E458" s="122" t="str">
        <f aca="false">ExportRaw!$D458</f>
        <v/>
      </c>
      <c r="F458" s="121" t="str">
        <f aca="false">ExportRaw!$H458</f>
        <v/>
      </c>
      <c r="G458" s="123" t="str">
        <f aca="false">ExportRaw!$I458</f>
        <v/>
      </c>
      <c r="H458" s="121" t="str">
        <f aca="false">ExportRaw!$A458</f>
        <v/>
      </c>
      <c r="I458" s="121" t="str">
        <f aca="false">ExportRaw!$B458</f>
        <v/>
      </c>
    </row>
    <row r="459" customFormat="false" ht="15.75" hidden="false" customHeight="false" outlineLevel="0" collapsed="false">
      <c r="A459" s="121" t="n">
        <f aca="false">ExportRaw!$F459</f>
        <v>0</v>
      </c>
      <c r="B459" s="121" t="n">
        <f aca="false">ExportRaw!$C459</f>
        <v>0</v>
      </c>
      <c r="C459" s="121" t="n">
        <f aca="false">ExportRaw!$G459</f>
        <v>0</v>
      </c>
      <c r="D459" s="121" t="str">
        <f aca="false">ExportRaw!$E459</f>
        <v/>
      </c>
      <c r="E459" s="122" t="str">
        <f aca="false">ExportRaw!$D459</f>
        <v/>
      </c>
      <c r="F459" s="121" t="str">
        <f aca="false">ExportRaw!$H459</f>
        <v/>
      </c>
      <c r="G459" s="123" t="str">
        <f aca="false">ExportRaw!$I459</f>
        <v/>
      </c>
      <c r="H459" s="121" t="str">
        <f aca="false">ExportRaw!$A459</f>
        <v/>
      </c>
      <c r="I459" s="121" t="str">
        <f aca="false">ExportRaw!$B459</f>
        <v/>
      </c>
    </row>
    <row r="460" customFormat="false" ht="15.75" hidden="false" customHeight="false" outlineLevel="0" collapsed="false">
      <c r="A460" s="121" t="n">
        <f aca="false">ExportRaw!$F460</f>
        <v>0</v>
      </c>
      <c r="B460" s="121" t="n">
        <f aca="false">ExportRaw!$C460</f>
        <v>0</v>
      </c>
      <c r="C460" s="121" t="n">
        <f aca="false">ExportRaw!$G460</f>
        <v>0</v>
      </c>
      <c r="D460" s="121" t="str">
        <f aca="false">ExportRaw!$E460</f>
        <v/>
      </c>
      <c r="E460" s="122" t="str">
        <f aca="false">ExportRaw!$D460</f>
        <v/>
      </c>
      <c r="F460" s="121" t="str">
        <f aca="false">ExportRaw!$H460</f>
        <v/>
      </c>
      <c r="G460" s="123" t="str">
        <f aca="false">ExportRaw!$I460</f>
        <v/>
      </c>
      <c r="H460" s="121" t="str">
        <f aca="false">ExportRaw!$A460</f>
        <v/>
      </c>
      <c r="I460" s="121" t="str">
        <f aca="false">ExportRaw!$B460</f>
        <v/>
      </c>
    </row>
    <row r="461" customFormat="false" ht="15.75" hidden="false" customHeight="false" outlineLevel="0" collapsed="false">
      <c r="A461" s="121" t="n">
        <f aca="false">ExportRaw!$F461</f>
        <v>0</v>
      </c>
      <c r="B461" s="121" t="n">
        <f aca="false">ExportRaw!$C461</f>
        <v>0</v>
      </c>
      <c r="C461" s="121" t="n">
        <f aca="false">ExportRaw!$G461</f>
        <v>0</v>
      </c>
      <c r="D461" s="121" t="str">
        <f aca="false">ExportRaw!$E461</f>
        <v/>
      </c>
      <c r="E461" s="122" t="str">
        <f aca="false">ExportRaw!$D461</f>
        <v/>
      </c>
      <c r="F461" s="121" t="str">
        <f aca="false">ExportRaw!$H461</f>
        <v/>
      </c>
      <c r="G461" s="123" t="str">
        <f aca="false">ExportRaw!$I461</f>
        <v/>
      </c>
      <c r="H461" s="121" t="str">
        <f aca="false">ExportRaw!$A461</f>
        <v/>
      </c>
      <c r="I461" s="121" t="str">
        <f aca="false">ExportRaw!$B461</f>
        <v/>
      </c>
    </row>
    <row r="462" customFormat="false" ht="15.75" hidden="false" customHeight="false" outlineLevel="0" collapsed="false">
      <c r="A462" s="121" t="n">
        <f aca="false">ExportRaw!$F462</f>
        <v>0</v>
      </c>
      <c r="B462" s="121" t="n">
        <f aca="false">ExportRaw!$C462</f>
        <v>0</v>
      </c>
      <c r="C462" s="121" t="n">
        <f aca="false">ExportRaw!$G462</f>
        <v>0</v>
      </c>
      <c r="D462" s="121" t="str">
        <f aca="false">ExportRaw!$E462</f>
        <v/>
      </c>
      <c r="E462" s="122" t="str">
        <f aca="false">ExportRaw!$D462</f>
        <v/>
      </c>
      <c r="F462" s="121" t="str">
        <f aca="false">ExportRaw!$H462</f>
        <v/>
      </c>
      <c r="G462" s="123" t="str">
        <f aca="false">ExportRaw!$I462</f>
        <v/>
      </c>
      <c r="H462" s="121" t="str">
        <f aca="false">ExportRaw!$A462</f>
        <v/>
      </c>
      <c r="I462" s="121" t="str">
        <f aca="false">ExportRaw!$B462</f>
        <v/>
      </c>
    </row>
    <row r="463" customFormat="false" ht="15.75" hidden="false" customHeight="false" outlineLevel="0" collapsed="false">
      <c r="A463" s="121" t="n">
        <f aca="false">ExportRaw!$F463</f>
        <v>0</v>
      </c>
      <c r="B463" s="121" t="n">
        <f aca="false">ExportRaw!$C463</f>
        <v>0</v>
      </c>
      <c r="C463" s="121" t="n">
        <f aca="false">ExportRaw!$G463</f>
        <v>0</v>
      </c>
      <c r="D463" s="121" t="str">
        <f aca="false">ExportRaw!$E463</f>
        <v/>
      </c>
      <c r="E463" s="122" t="str">
        <f aca="false">ExportRaw!$D463</f>
        <v/>
      </c>
      <c r="F463" s="121" t="str">
        <f aca="false">ExportRaw!$H463</f>
        <v/>
      </c>
      <c r="G463" s="123" t="str">
        <f aca="false">ExportRaw!$I463</f>
        <v/>
      </c>
      <c r="H463" s="121" t="str">
        <f aca="false">ExportRaw!$A463</f>
        <v/>
      </c>
      <c r="I463" s="121" t="str">
        <f aca="false">ExportRaw!$B463</f>
        <v/>
      </c>
    </row>
    <row r="464" customFormat="false" ht="15.75" hidden="false" customHeight="false" outlineLevel="0" collapsed="false">
      <c r="A464" s="121" t="n">
        <f aca="false">ExportRaw!$F464</f>
        <v>0</v>
      </c>
      <c r="B464" s="121" t="n">
        <f aca="false">ExportRaw!$C464</f>
        <v>0</v>
      </c>
      <c r="C464" s="121" t="n">
        <f aca="false">ExportRaw!$G464</f>
        <v>0</v>
      </c>
      <c r="D464" s="121" t="str">
        <f aca="false">ExportRaw!$E464</f>
        <v/>
      </c>
      <c r="E464" s="122" t="str">
        <f aca="false">ExportRaw!$D464</f>
        <v/>
      </c>
      <c r="F464" s="121" t="str">
        <f aca="false">ExportRaw!$H464</f>
        <v/>
      </c>
      <c r="G464" s="123" t="str">
        <f aca="false">ExportRaw!$I464</f>
        <v/>
      </c>
      <c r="H464" s="121" t="str">
        <f aca="false">ExportRaw!$A464</f>
        <v/>
      </c>
      <c r="I464" s="121" t="str">
        <f aca="false">ExportRaw!$B464</f>
        <v/>
      </c>
    </row>
    <row r="465" customFormat="false" ht="15.75" hidden="false" customHeight="false" outlineLevel="0" collapsed="false">
      <c r="A465" s="121" t="n">
        <f aca="false">ExportRaw!$F465</f>
        <v>0</v>
      </c>
      <c r="B465" s="121" t="n">
        <f aca="false">ExportRaw!$C465</f>
        <v>0</v>
      </c>
      <c r="C465" s="121" t="n">
        <f aca="false">ExportRaw!$G465</f>
        <v>0</v>
      </c>
      <c r="D465" s="121" t="str">
        <f aca="false">ExportRaw!$E465</f>
        <v/>
      </c>
      <c r="E465" s="122" t="str">
        <f aca="false">ExportRaw!$D465</f>
        <v/>
      </c>
      <c r="F465" s="121" t="str">
        <f aca="false">ExportRaw!$H465</f>
        <v/>
      </c>
      <c r="G465" s="123" t="str">
        <f aca="false">ExportRaw!$I465</f>
        <v/>
      </c>
      <c r="H465" s="121" t="str">
        <f aca="false">ExportRaw!$A465</f>
        <v/>
      </c>
      <c r="I465" s="121" t="str">
        <f aca="false">ExportRaw!$B465</f>
        <v/>
      </c>
    </row>
    <row r="466" customFormat="false" ht="15.75" hidden="false" customHeight="false" outlineLevel="0" collapsed="false">
      <c r="A466" s="121" t="n">
        <f aca="false">ExportRaw!$F466</f>
        <v>0</v>
      </c>
      <c r="B466" s="121" t="n">
        <f aca="false">ExportRaw!$C466</f>
        <v>0</v>
      </c>
      <c r="C466" s="121" t="n">
        <f aca="false">ExportRaw!$G466</f>
        <v>0</v>
      </c>
      <c r="D466" s="121" t="str">
        <f aca="false">ExportRaw!$E466</f>
        <v/>
      </c>
      <c r="E466" s="122" t="str">
        <f aca="false">ExportRaw!$D466</f>
        <v/>
      </c>
      <c r="F466" s="121" t="str">
        <f aca="false">ExportRaw!$H466</f>
        <v/>
      </c>
      <c r="G466" s="123" t="str">
        <f aca="false">ExportRaw!$I466</f>
        <v/>
      </c>
      <c r="H466" s="121" t="str">
        <f aca="false">ExportRaw!$A466</f>
        <v/>
      </c>
      <c r="I466" s="121" t="str">
        <f aca="false">ExportRaw!$B466</f>
        <v/>
      </c>
    </row>
    <row r="467" customFormat="false" ht="15.75" hidden="false" customHeight="false" outlineLevel="0" collapsed="false">
      <c r="A467" s="121" t="n">
        <f aca="false">ExportRaw!$F467</f>
        <v>0</v>
      </c>
      <c r="B467" s="121" t="n">
        <f aca="false">ExportRaw!$C467</f>
        <v>0</v>
      </c>
      <c r="C467" s="121" t="n">
        <f aca="false">ExportRaw!$G467</f>
        <v>0</v>
      </c>
      <c r="D467" s="121" t="str">
        <f aca="false">ExportRaw!$E467</f>
        <v/>
      </c>
      <c r="E467" s="122" t="str">
        <f aca="false">ExportRaw!$D467</f>
        <v/>
      </c>
      <c r="F467" s="121" t="str">
        <f aca="false">ExportRaw!$H467</f>
        <v/>
      </c>
      <c r="G467" s="123" t="str">
        <f aca="false">ExportRaw!$I467</f>
        <v/>
      </c>
      <c r="H467" s="121" t="str">
        <f aca="false">ExportRaw!$A467</f>
        <v/>
      </c>
      <c r="I467" s="121" t="str">
        <f aca="false">ExportRaw!$B467</f>
        <v/>
      </c>
    </row>
    <row r="468" customFormat="false" ht="15.75" hidden="false" customHeight="false" outlineLevel="0" collapsed="false">
      <c r="A468" s="121" t="n">
        <f aca="false">ExportRaw!$F468</f>
        <v>0</v>
      </c>
      <c r="B468" s="121" t="n">
        <f aca="false">ExportRaw!$C468</f>
        <v>0</v>
      </c>
      <c r="C468" s="121" t="n">
        <f aca="false">ExportRaw!$G468</f>
        <v>0</v>
      </c>
      <c r="D468" s="121" t="str">
        <f aca="false">ExportRaw!$E468</f>
        <v/>
      </c>
      <c r="E468" s="122" t="str">
        <f aca="false">ExportRaw!$D468</f>
        <v/>
      </c>
      <c r="F468" s="121" t="str">
        <f aca="false">ExportRaw!$H468</f>
        <v/>
      </c>
      <c r="G468" s="123" t="str">
        <f aca="false">ExportRaw!$I468</f>
        <v/>
      </c>
      <c r="H468" s="121" t="str">
        <f aca="false">ExportRaw!$A468</f>
        <v/>
      </c>
      <c r="I468" s="121" t="str">
        <f aca="false">ExportRaw!$B468</f>
        <v/>
      </c>
    </row>
    <row r="469" customFormat="false" ht="15.75" hidden="false" customHeight="false" outlineLevel="0" collapsed="false">
      <c r="A469" s="121" t="n">
        <f aca="false">ExportRaw!$F469</f>
        <v>0</v>
      </c>
      <c r="B469" s="121" t="n">
        <f aca="false">ExportRaw!$C469</f>
        <v>0</v>
      </c>
      <c r="C469" s="121" t="n">
        <f aca="false">ExportRaw!$G469</f>
        <v>0</v>
      </c>
      <c r="D469" s="121" t="str">
        <f aca="false">ExportRaw!$E469</f>
        <v/>
      </c>
      <c r="E469" s="122" t="str">
        <f aca="false">ExportRaw!$D469</f>
        <v/>
      </c>
      <c r="F469" s="121" t="str">
        <f aca="false">ExportRaw!$H469</f>
        <v/>
      </c>
      <c r="G469" s="123" t="str">
        <f aca="false">ExportRaw!$I469</f>
        <v/>
      </c>
      <c r="H469" s="121" t="str">
        <f aca="false">ExportRaw!$A469</f>
        <v/>
      </c>
      <c r="I469" s="121" t="str">
        <f aca="false">ExportRaw!$B469</f>
        <v/>
      </c>
    </row>
    <row r="470" customFormat="false" ht="15.75" hidden="false" customHeight="false" outlineLevel="0" collapsed="false">
      <c r="A470" s="121" t="n">
        <f aca="false">ExportRaw!$F470</f>
        <v>0</v>
      </c>
      <c r="B470" s="121" t="n">
        <f aca="false">ExportRaw!$C470</f>
        <v>0</v>
      </c>
      <c r="C470" s="121" t="n">
        <f aca="false">ExportRaw!$G470</f>
        <v>0</v>
      </c>
      <c r="D470" s="121" t="str">
        <f aca="false">ExportRaw!$E470</f>
        <v/>
      </c>
      <c r="E470" s="122" t="str">
        <f aca="false">ExportRaw!$D470</f>
        <v/>
      </c>
      <c r="F470" s="121" t="str">
        <f aca="false">ExportRaw!$H470</f>
        <v/>
      </c>
      <c r="G470" s="123" t="str">
        <f aca="false">ExportRaw!$I470</f>
        <v/>
      </c>
      <c r="H470" s="121" t="str">
        <f aca="false">ExportRaw!$A470</f>
        <v/>
      </c>
      <c r="I470" s="121" t="str">
        <f aca="false">ExportRaw!$B470</f>
        <v/>
      </c>
    </row>
    <row r="471" customFormat="false" ht="15.75" hidden="false" customHeight="false" outlineLevel="0" collapsed="false">
      <c r="A471" s="121" t="n">
        <f aca="false">ExportRaw!$F471</f>
        <v>0</v>
      </c>
      <c r="B471" s="121" t="n">
        <f aca="false">ExportRaw!$C471</f>
        <v>0</v>
      </c>
      <c r="C471" s="121" t="n">
        <f aca="false">ExportRaw!$G471</f>
        <v>0</v>
      </c>
      <c r="D471" s="121" t="str">
        <f aca="false">ExportRaw!$E471</f>
        <v/>
      </c>
      <c r="E471" s="122" t="str">
        <f aca="false">ExportRaw!$D471</f>
        <v/>
      </c>
      <c r="F471" s="121" t="str">
        <f aca="false">ExportRaw!$H471</f>
        <v/>
      </c>
      <c r="G471" s="123" t="str">
        <f aca="false">ExportRaw!$I471</f>
        <v/>
      </c>
      <c r="H471" s="121" t="str">
        <f aca="false">ExportRaw!$A471</f>
        <v/>
      </c>
      <c r="I471" s="121" t="str">
        <f aca="false">ExportRaw!$B471</f>
        <v/>
      </c>
    </row>
    <row r="472" customFormat="false" ht="15.75" hidden="false" customHeight="false" outlineLevel="0" collapsed="false">
      <c r="A472" s="121" t="n">
        <f aca="false">ExportRaw!$F472</f>
        <v>0</v>
      </c>
      <c r="B472" s="121" t="n">
        <f aca="false">ExportRaw!$C472</f>
        <v>0</v>
      </c>
      <c r="C472" s="121" t="n">
        <f aca="false">ExportRaw!$G472</f>
        <v>0</v>
      </c>
      <c r="D472" s="121" t="str">
        <f aca="false">ExportRaw!$E472</f>
        <v/>
      </c>
      <c r="E472" s="122" t="str">
        <f aca="false">ExportRaw!$D472</f>
        <v/>
      </c>
      <c r="F472" s="121" t="str">
        <f aca="false">ExportRaw!$H472</f>
        <v/>
      </c>
      <c r="G472" s="123" t="str">
        <f aca="false">ExportRaw!$I472</f>
        <v/>
      </c>
      <c r="H472" s="121" t="str">
        <f aca="false">ExportRaw!$A472</f>
        <v/>
      </c>
      <c r="I472" s="121" t="str">
        <f aca="false">ExportRaw!$B472</f>
        <v/>
      </c>
    </row>
    <row r="473" customFormat="false" ht="15.75" hidden="false" customHeight="false" outlineLevel="0" collapsed="false">
      <c r="A473" s="121" t="n">
        <f aca="false">ExportRaw!$F473</f>
        <v>0</v>
      </c>
      <c r="B473" s="121" t="n">
        <f aca="false">ExportRaw!$C473</f>
        <v>0</v>
      </c>
      <c r="C473" s="121" t="n">
        <f aca="false">ExportRaw!$G473</f>
        <v>0</v>
      </c>
      <c r="D473" s="121" t="str">
        <f aca="false">ExportRaw!$E473</f>
        <v/>
      </c>
      <c r="E473" s="122" t="str">
        <f aca="false">ExportRaw!$D473</f>
        <v/>
      </c>
      <c r="F473" s="121" t="str">
        <f aca="false">ExportRaw!$H473</f>
        <v/>
      </c>
      <c r="G473" s="123" t="str">
        <f aca="false">ExportRaw!$I473</f>
        <v/>
      </c>
      <c r="H473" s="121" t="str">
        <f aca="false">ExportRaw!$A473</f>
        <v/>
      </c>
      <c r="I473" s="121" t="str">
        <f aca="false">ExportRaw!$B473</f>
        <v/>
      </c>
    </row>
    <row r="474" customFormat="false" ht="15.75" hidden="false" customHeight="false" outlineLevel="0" collapsed="false">
      <c r="A474" s="121" t="n">
        <f aca="false">ExportRaw!$F474</f>
        <v>0</v>
      </c>
      <c r="B474" s="121" t="n">
        <f aca="false">ExportRaw!$C474</f>
        <v>0</v>
      </c>
      <c r="C474" s="121" t="n">
        <f aca="false">ExportRaw!$G474</f>
        <v>0</v>
      </c>
      <c r="D474" s="121" t="str">
        <f aca="false">ExportRaw!$E474</f>
        <v/>
      </c>
      <c r="E474" s="122" t="str">
        <f aca="false">ExportRaw!$D474</f>
        <v/>
      </c>
      <c r="F474" s="121" t="str">
        <f aca="false">ExportRaw!$H474</f>
        <v/>
      </c>
      <c r="G474" s="123" t="str">
        <f aca="false">ExportRaw!$I474</f>
        <v/>
      </c>
      <c r="H474" s="121" t="str">
        <f aca="false">ExportRaw!$A474</f>
        <v/>
      </c>
      <c r="I474" s="121" t="str">
        <f aca="false">ExportRaw!$B474</f>
        <v/>
      </c>
    </row>
    <row r="475" customFormat="false" ht="15.75" hidden="false" customHeight="false" outlineLevel="0" collapsed="false">
      <c r="A475" s="121" t="n">
        <f aca="false">ExportRaw!$F475</f>
        <v>0</v>
      </c>
      <c r="B475" s="121" t="n">
        <f aca="false">ExportRaw!$C475</f>
        <v>0</v>
      </c>
      <c r="C475" s="121" t="n">
        <f aca="false">ExportRaw!$G475</f>
        <v>0</v>
      </c>
      <c r="D475" s="121" t="str">
        <f aca="false">ExportRaw!$E475</f>
        <v/>
      </c>
      <c r="E475" s="122" t="str">
        <f aca="false">ExportRaw!$D475</f>
        <v/>
      </c>
      <c r="F475" s="121" t="str">
        <f aca="false">ExportRaw!$H475</f>
        <v/>
      </c>
      <c r="G475" s="123" t="str">
        <f aca="false">ExportRaw!$I475</f>
        <v/>
      </c>
      <c r="H475" s="121" t="str">
        <f aca="false">ExportRaw!$A475</f>
        <v/>
      </c>
      <c r="I475" s="121" t="str">
        <f aca="false">ExportRaw!$B475</f>
        <v/>
      </c>
    </row>
    <row r="476" customFormat="false" ht="15.75" hidden="false" customHeight="false" outlineLevel="0" collapsed="false">
      <c r="A476" s="121" t="n">
        <f aca="false">ExportRaw!$F476</f>
        <v>0</v>
      </c>
      <c r="B476" s="121" t="n">
        <f aca="false">ExportRaw!$C476</f>
        <v>0</v>
      </c>
      <c r="C476" s="121" t="n">
        <f aca="false">ExportRaw!$G476</f>
        <v>0</v>
      </c>
      <c r="D476" s="121" t="str">
        <f aca="false">ExportRaw!$E476</f>
        <v/>
      </c>
      <c r="E476" s="122" t="str">
        <f aca="false">ExportRaw!$D476</f>
        <v/>
      </c>
      <c r="F476" s="121" t="str">
        <f aca="false">ExportRaw!$H476</f>
        <v/>
      </c>
      <c r="G476" s="123" t="str">
        <f aca="false">ExportRaw!$I476</f>
        <v/>
      </c>
      <c r="H476" s="121" t="str">
        <f aca="false">ExportRaw!$A476</f>
        <v/>
      </c>
      <c r="I476" s="121" t="str">
        <f aca="false">ExportRaw!$B476</f>
        <v/>
      </c>
    </row>
    <row r="477" customFormat="false" ht="15.75" hidden="false" customHeight="false" outlineLevel="0" collapsed="false">
      <c r="A477" s="121" t="n">
        <f aca="false">ExportRaw!$F477</f>
        <v>0</v>
      </c>
      <c r="B477" s="121" t="n">
        <f aca="false">ExportRaw!$C477</f>
        <v>0</v>
      </c>
      <c r="C477" s="121" t="n">
        <f aca="false">ExportRaw!$G477</f>
        <v>0</v>
      </c>
      <c r="D477" s="121" t="str">
        <f aca="false">ExportRaw!$E477</f>
        <v/>
      </c>
      <c r="E477" s="122" t="str">
        <f aca="false">ExportRaw!$D477</f>
        <v/>
      </c>
      <c r="F477" s="121" t="str">
        <f aca="false">ExportRaw!$H477</f>
        <v/>
      </c>
      <c r="G477" s="123" t="str">
        <f aca="false">ExportRaw!$I477</f>
        <v/>
      </c>
      <c r="H477" s="121" t="str">
        <f aca="false">ExportRaw!$A477</f>
        <v/>
      </c>
      <c r="I477" s="121" t="str">
        <f aca="false">ExportRaw!$B477</f>
        <v/>
      </c>
    </row>
    <row r="478" customFormat="false" ht="15.75" hidden="false" customHeight="false" outlineLevel="0" collapsed="false">
      <c r="A478" s="121" t="n">
        <f aca="false">ExportRaw!$F478</f>
        <v>0</v>
      </c>
      <c r="B478" s="121" t="n">
        <f aca="false">ExportRaw!$C478</f>
        <v>0</v>
      </c>
      <c r="C478" s="121" t="n">
        <f aca="false">ExportRaw!$G478</f>
        <v>0</v>
      </c>
      <c r="D478" s="121" t="str">
        <f aca="false">ExportRaw!$E478</f>
        <v/>
      </c>
      <c r="E478" s="122" t="str">
        <f aca="false">ExportRaw!$D478</f>
        <v/>
      </c>
      <c r="F478" s="121" t="str">
        <f aca="false">ExportRaw!$H478</f>
        <v/>
      </c>
      <c r="G478" s="123" t="str">
        <f aca="false">ExportRaw!$I478</f>
        <v/>
      </c>
      <c r="H478" s="121" t="str">
        <f aca="false">ExportRaw!$A478</f>
        <v/>
      </c>
      <c r="I478" s="121" t="str">
        <f aca="false">ExportRaw!$B478</f>
        <v/>
      </c>
    </row>
    <row r="479" customFormat="false" ht="15.75" hidden="false" customHeight="false" outlineLevel="0" collapsed="false">
      <c r="A479" s="121" t="n">
        <f aca="false">ExportRaw!$F479</f>
        <v>0</v>
      </c>
      <c r="B479" s="121" t="n">
        <f aca="false">ExportRaw!$C479</f>
        <v>0</v>
      </c>
      <c r="C479" s="121" t="n">
        <f aca="false">ExportRaw!$G479</f>
        <v>0</v>
      </c>
      <c r="D479" s="121" t="str">
        <f aca="false">ExportRaw!$E479</f>
        <v/>
      </c>
      <c r="E479" s="122" t="str">
        <f aca="false">ExportRaw!$D479</f>
        <v/>
      </c>
      <c r="F479" s="121" t="str">
        <f aca="false">ExportRaw!$H479</f>
        <v/>
      </c>
      <c r="G479" s="123" t="str">
        <f aca="false">ExportRaw!$I479</f>
        <v/>
      </c>
      <c r="H479" s="121" t="str">
        <f aca="false">ExportRaw!$A479</f>
        <v/>
      </c>
      <c r="I479" s="121" t="str">
        <f aca="false">ExportRaw!$B479</f>
        <v/>
      </c>
    </row>
    <row r="480" customFormat="false" ht="15.75" hidden="false" customHeight="false" outlineLevel="0" collapsed="false">
      <c r="A480" s="121" t="n">
        <f aca="false">ExportRaw!$F480</f>
        <v>0</v>
      </c>
      <c r="B480" s="121" t="n">
        <f aca="false">ExportRaw!$C480</f>
        <v>0</v>
      </c>
      <c r="C480" s="121" t="n">
        <f aca="false">ExportRaw!$G480</f>
        <v>0</v>
      </c>
      <c r="D480" s="121" t="str">
        <f aca="false">ExportRaw!$E480</f>
        <v/>
      </c>
      <c r="E480" s="122" t="str">
        <f aca="false">ExportRaw!$D480</f>
        <v/>
      </c>
      <c r="F480" s="121" t="str">
        <f aca="false">ExportRaw!$H480</f>
        <v/>
      </c>
      <c r="G480" s="123" t="str">
        <f aca="false">ExportRaw!$I480</f>
        <v/>
      </c>
      <c r="H480" s="121" t="str">
        <f aca="false">ExportRaw!$A480</f>
        <v/>
      </c>
      <c r="I480" s="121" t="str">
        <f aca="false">ExportRaw!$B480</f>
        <v/>
      </c>
    </row>
    <row r="481" customFormat="false" ht="15.75" hidden="false" customHeight="false" outlineLevel="0" collapsed="false">
      <c r="A481" s="121" t="n">
        <f aca="false">ExportRaw!$F481</f>
        <v>0</v>
      </c>
      <c r="B481" s="121" t="n">
        <f aca="false">ExportRaw!$C481</f>
        <v>0</v>
      </c>
      <c r="C481" s="121" t="n">
        <f aca="false">ExportRaw!$G481</f>
        <v>0</v>
      </c>
      <c r="D481" s="121" t="str">
        <f aca="false">ExportRaw!$E481</f>
        <v/>
      </c>
      <c r="E481" s="122" t="str">
        <f aca="false">ExportRaw!$D481</f>
        <v/>
      </c>
      <c r="F481" s="121" t="str">
        <f aca="false">ExportRaw!$H481</f>
        <v/>
      </c>
      <c r="G481" s="123" t="str">
        <f aca="false">ExportRaw!$I481</f>
        <v/>
      </c>
      <c r="H481" s="121" t="str">
        <f aca="false">ExportRaw!$A481</f>
        <v/>
      </c>
      <c r="I481" s="121" t="str">
        <f aca="false">ExportRaw!$B481</f>
        <v/>
      </c>
    </row>
    <row r="482" customFormat="false" ht="15.75" hidden="false" customHeight="false" outlineLevel="0" collapsed="false">
      <c r="A482" s="121" t="n">
        <f aca="false">ExportRaw!$F482</f>
        <v>0</v>
      </c>
      <c r="B482" s="121" t="n">
        <f aca="false">ExportRaw!$C482</f>
        <v>0</v>
      </c>
      <c r="C482" s="121" t="n">
        <f aca="false">ExportRaw!$G482</f>
        <v>0</v>
      </c>
      <c r="D482" s="121" t="str">
        <f aca="false">ExportRaw!$E482</f>
        <v/>
      </c>
      <c r="E482" s="122" t="str">
        <f aca="false">ExportRaw!$D482</f>
        <v/>
      </c>
      <c r="F482" s="121" t="str">
        <f aca="false">ExportRaw!$H482</f>
        <v/>
      </c>
      <c r="G482" s="123" t="str">
        <f aca="false">ExportRaw!$I482</f>
        <v/>
      </c>
      <c r="H482" s="121" t="str">
        <f aca="false">ExportRaw!$A482</f>
        <v/>
      </c>
      <c r="I482" s="121" t="str">
        <f aca="false">ExportRaw!$B482</f>
        <v/>
      </c>
    </row>
    <row r="483" customFormat="false" ht="15.75" hidden="false" customHeight="false" outlineLevel="0" collapsed="false">
      <c r="A483" s="121" t="n">
        <f aca="false">ExportRaw!$F483</f>
        <v>0</v>
      </c>
      <c r="B483" s="121" t="n">
        <f aca="false">ExportRaw!$C483</f>
        <v>0</v>
      </c>
      <c r="C483" s="121" t="n">
        <f aca="false">ExportRaw!$G483</f>
        <v>0</v>
      </c>
      <c r="D483" s="121" t="str">
        <f aca="false">ExportRaw!$E483</f>
        <v/>
      </c>
      <c r="E483" s="122" t="str">
        <f aca="false">ExportRaw!$D483</f>
        <v/>
      </c>
      <c r="F483" s="121" t="str">
        <f aca="false">ExportRaw!$H483</f>
        <v/>
      </c>
      <c r="G483" s="123" t="str">
        <f aca="false">ExportRaw!$I483</f>
        <v/>
      </c>
      <c r="H483" s="121" t="str">
        <f aca="false">ExportRaw!$A483</f>
        <v/>
      </c>
      <c r="I483" s="121" t="str">
        <f aca="false">ExportRaw!$B483</f>
        <v/>
      </c>
    </row>
    <row r="484" customFormat="false" ht="15.75" hidden="false" customHeight="false" outlineLevel="0" collapsed="false">
      <c r="A484" s="121" t="n">
        <f aca="false">ExportRaw!$F484</f>
        <v>0</v>
      </c>
      <c r="B484" s="121" t="n">
        <f aca="false">ExportRaw!$C484</f>
        <v>0</v>
      </c>
      <c r="C484" s="121" t="n">
        <f aca="false">ExportRaw!$G484</f>
        <v>0</v>
      </c>
      <c r="D484" s="121" t="str">
        <f aca="false">ExportRaw!$E484</f>
        <v/>
      </c>
      <c r="E484" s="122" t="str">
        <f aca="false">ExportRaw!$D484</f>
        <v/>
      </c>
      <c r="F484" s="121" t="str">
        <f aca="false">ExportRaw!$H484</f>
        <v/>
      </c>
      <c r="G484" s="123" t="str">
        <f aca="false">ExportRaw!$I484</f>
        <v/>
      </c>
      <c r="H484" s="121" t="str">
        <f aca="false">ExportRaw!$A484</f>
        <v/>
      </c>
      <c r="I484" s="121" t="str">
        <f aca="false">ExportRaw!$B484</f>
        <v/>
      </c>
    </row>
    <row r="485" customFormat="false" ht="15.75" hidden="false" customHeight="false" outlineLevel="0" collapsed="false">
      <c r="A485" s="121" t="n">
        <f aca="false">ExportRaw!$F485</f>
        <v>0</v>
      </c>
      <c r="B485" s="121" t="n">
        <f aca="false">ExportRaw!$C485</f>
        <v>0</v>
      </c>
      <c r="C485" s="121" t="n">
        <f aca="false">ExportRaw!$G485</f>
        <v>0</v>
      </c>
      <c r="D485" s="121" t="str">
        <f aca="false">ExportRaw!$E485</f>
        <v/>
      </c>
      <c r="E485" s="122" t="str">
        <f aca="false">ExportRaw!$D485</f>
        <v/>
      </c>
      <c r="F485" s="121" t="str">
        <f aca="false">ExportRaw!$H485</f>
        <v/>
      </c>
      <c r="G485" s="123" t="str">
        <f aca="false">ExportRaw!$I485</f>
        <v/>
      </c>
      <c r="H485" s="121" t="str">
        <f aca="false">ExportRaw!$A485</f>
        <v/>
      </c>
      <c r="I485" s="121" t="str">
        <f aca="false">ExportRaw!$B485</f>
        <v/>
      </c>
    </row>
    <row r="486" customFormat="false" ht="15.75" hidden="false" customHeight="false" outlineLevel="0" collapsed="false">
      <c r="A486" s="121" t="n">
        <f aca="false">ExportRaw!$F486</f>
        <v>0</v>
      </c>
      <c r="B486" s="121" t="n">
        <f aca="false">ExportRaw!$C486</f>
        <v>0</v>
      </c>
      <c r="C486" s="121" t="n">
        <f aca="false">ExportRaw!$G486</f>
        <v>0</v>
      </c>
      <c r="D486" s="121" t="str">
        <f aca="false">ExportRaw!$E486</f>
        <v/>
      </c>
      <c r="E486" s="122" t="str">
        <f aca="false">ExportRaw!$D486</f>
        <v/>
      </c>
      <c r="F486" s="121" t="str">
        <f aca="false">ExportRaw!$H486</f>
        <v/>
      </c>
      <c r="G486" s="123" t="str">
        <f aca="false">ExportRaw!$I486</f>
        <v/>
      </c>
      <c r="H486" s="121" t="str">
        <f aca="false">ExportRaw!$A486</f>
        <v/>
      </c>
      <c r="I486" s="121" t="str">
        <f aca="false">ExportRaw!$B486</f>
        <v/>
      </c>
    </row>
    <row r="487" customFormat="false" ht="15.75" hidden="false" customHeight="false" outlineLevel="0" collapsed="false">
      <c r="A487" s="121" t="n">
        <f aca="false">ExportRaw!$F487</f>
        <v>0</v>
      </c>
      <c r="B487" s="121" t="n">
        <f aca="false">ExportRaw!$C487</f>
        <v>0</v>
      </c>
      <c r="C487" s="121" t="n">
        <f aca="false">ExportRaw!$G487</f>
        <v>0</v>
      </c>
      <c r="D487" s="121" t="str">
        <f aca="false">ExportRaw!$E487</f>
        <v/>
      </c>
      <c r="E487" s="122" t="str">
        <f aca="false">ExportRaw!$D487</f>
        <v/>
      </c>
      <c r="F487" s="121" t="str">
        <f aca="false">ExportRaw!$H487</f>
        <v/>
      </c>
      <c r="G487" s="123" t="str">
        <f aca="false">ExportRaw!$I487</f>
        <v/>
      </c>
      <c r="H487" s="121" t="str">
        <f aca="false">ExportRaw!$A487</f>
        <v/>
      </c>
      <c r="I487" s="121" t="str">
        <f aca="false">ExportRaw!$B487</f>
        <v/>
      </c>
    </row>
    <row r="488" customFormat="false" ht="15.75" hidden="false" customHeight="false" outlineLevel="0" collapsed="false">
      <c r="A488" s="121" t="n">
        <f aca="false">ExportRaw!$F488</f>
        <v>0</v>
      </c>
      <c r="B488" s="121" t="n">
        <f aca="false">ExportRaw!$C488</f>
        <v>0</v>
      </c>
      <c r="C488" s="121" t="n">
        <f aca="false">ExportRaw!$G488</f>
        <v>0</v>
      </c>
      <c r="D488" s="121" t="str">
        <f aca="false">ExportRaw!$E488</f>
        <v/>
      </c>
      <c r="E488" s="122" t="str">
        <f aca="false">ExportRaw!$D488</f>
        <v/>
      </c>
      <c r="F488" s="121" t="str">
        <f aca="false">ExportRaw!$H488</f>
        <v/>
      </c>
      <c r="G488" s="123" t="str">
        <f aca="false">ExportRaw!$I488</f>
        <v/>
      </c>
      <c r="H488" s="121" t="str">
        <f aca="false">ExportRaw!$A488</f>
        <v/>
      </c>
      <c r="I488" s="121" t="str">
        <f aca="false">ExportRaw!$B488</f>
        <v/>
      </c>
    </row>
    <row r="489" customFormat="false" ht="15.75" hidden="false" customHeight="false" outlineLevel="0" collapsed="false">
      <c r="A489" s="121" t="n">
        <f aca="false">ExportRaw!$F489</f>
        <v>0</v>
      </c>
      <c r="B489" s="121" t="n">
        <f aca="false">ExportRaw!$C489</f>
        <v>0</v>
      </c>
      <c r="C489" s="121" t="n">
        <f aca="false">ExportRaw!$G489</f>
        <v>0</v>
      </c>
      <c r="D489" s="121" t="str">
        <f aca="false">ExportRaw!$E489</f>
        <v/>
      </c>
      <c r="E489" s="122" t="str">
        <f aca="false">ExportRaw!$D489</f>
        <v/>
      </c>
      <c r="F489" s="121" t="str">
        <f aca="false">ExportRaw!$H489</f>
        <v/>
      </c>
      <c r="G489" s="123" t="str">
        <f aca="false">ExportRaw!$I489</f>
        <v/>
      </c>
      <c r="H489" s="121" t="str">
        <f aca="false">ExportRaw!$A489</f>
        <v/>
      </c>
      <c r="I489" s="121" t="str">
        <f aca="false">ExportRaw!$B489</f>
        <v/>
      </c>
    </row>
    <row r="490" customFormat="false" ht="15.75" hidden="false" customHeight="false" outlineLevel="0" collapsed="false">
      <c r="A490" s="121" t="n">
        <f aca="false">ExportRaw!$F490</f>
        <v>0</v>
      </c>
      <c r="B490" s="121" t="n">
        <f aca="false">ExportRaw!$C490</f>
        <v>0</v>
      </c>
      <c r="C490" s="121" t="n">
        <f aca="false">ExportRaw!$G490</f>
        <v>0</v>
      </c>
      <c r="D490" s="121" t="str">
        <f aca="false">ExportRaw!$E490</f>
        <v/>
      </c>
      <c r="E490" s="122" t="str">
        <f aca="false">ExportRaw!$D490</f>
        <v/>
      </c>
      <c r="F490" s="121" t="str">
        <f aca="false">ExportRaw!$H490</f>
        <v/>
      </c>
      <c r="G490" s="123" t="str">
        <f aca="false">ExportRaw!$I490</f>
        <v/>
      </c>
      <c r="H490" s="121" t="str">
        <f aca="false">ExportRaw!$A490</f>
        <v/>
      </c>
      <c r="I490" s="121" t="str">
        <f aca="false">ExportRaw!$B490</f>
        <v/>
      </c>
    </row>
    <row r="491" customFormat="false" ht="15.75" hidden="false" customHeight="false" outlineLevel="0" collapsed="false">
      <c r="A491" s="121" t="n">
        <f aca="false">ExportRaw!$F491</f>
        <v>0</v>
      </c>
      <c r="B491" s="121" t="n">
        <f aca="false">ExportRaw!$C491</f>
        <v>0</v>
      </c>
      <c r="C491" s="121" t="n">
        <f aca="false">ExportRaw!$G491</f>
        <v>0</v>
      </c>
      <c r="D491" s="121" t="str">
        <f aca="false">ExportRaw!$E491</f>
        <v/>
      </c>
      <c r="E491" s="122" t="str">
        <f aca="false">ExportRaw!$D491</f>
        <v/>
      </c>
      <c r="F491" s="121" t="str">
        <f aca="false">ExportRaw!$H491</f>
        <v/>
      </c>
      <c r="G491" s="123" t="str">
        <f aca="false">ExportRaw!$I491</f>
        <v/>
      </c>
      <c r="H491" s="121" t="str">
        <f aca="false">ExportRaw!$A491</f>
        <v/>
      </c>
      <c r="I491" s="121" t="str">
        <f aca="false">ExportRaw!$B491</f>
        <v/>
      </c>
    </row>
    <row r="492" customFormat="false" ht="15.75" hidden="false" customHeight="false" outlineLevel="0" collapsed="false">
      <c r="A492" s="121" t="n">
        <f aca="false">ExportRaw!$F492</f>
        <v>0</v>
      </c>
      <c r="B492" s="121" t="n">
        <f aca="false">ExportRaw!$C492</f>
        <v>0</v>
      </c>
      <c r="C492" s="121" t="n">
        <f aca="false">ExportRaw!$G492</f>
        <v>0</v>
      </c>
      <c r="D492" s="121" t="str">
        <f aca="false">ExportRaw!$E492</f>
        <v/>
      </c>
      <c r="E492" s="122" t="str">
        <f aca="false">ExportRaw!$D492</f>
        <v/>
      </c>
      <c r="F492" s="121" t="str">
        <f aca="false">ExportRaw!$H492</f>
        <v/>
      </c>
      <c r="G492" s="123" t="str">
        <f aca="false">ExportRaw!$I492</f>
        <v/>
      </c>
      <c r="H492" s="121" t="str">
        <f aca="false">ExportRaw!$A492</f>
        <v/>
      </c>
      <c r="I492" s="121" t="str">
        <f aca="false">ExportRaw!$B492</f>
        <v/>
      </c>
    </row>
    <row r="493" customFormat="false" ht="15.75" hidden="false" customHeight="false" outlineLevel="0" collapsed="false">
      <c r="A493" s="121" t="n">
        <f aca="false">ExportRaw!$F493</f>
        <v>0</v>
      </c>
      <c r="B493" s="121" t="n">
        <f aca="false">ExportRaw!$C493</f>
        <v>0</v>
      </c>
      <c r="C493" s="121" t="n">
        <f aca="false">ExportRaw!$G493</f>
        <v>0</v>
      </c>
      <c r="D493" s="121" t="str">
        <f aca="false">ExportRaw!$E493</f>
        <v/>
      </c>
      <c r="E493" s="122" t="str">
        <f aca="false">ExportRaw!$D493</f>
        <v/>
      </c>
      <c r="F493" s="121" t="str">
        <f aca="false">ExportRaw!$H493</f>
        <v/>
      </c>
      <c r="G493" s="123" t="str">
        <f aca="false">ExportRaw!$I493</f>
        <v/>
      </c>
      <c r="H493" s="121" t="str">
        <f aca="false">ExportRaw!$A493</f>
        <v/>
      </c>
      <c r="I493" s="121" t="str">
        <f aca="false">ExportRaw!$B493</f>
        <v/>
      </c>
    </row>
    <row r="494" customFormat="false" ht="15.75" hidden="false" customHeight="false" outlineLevel="0" collapsed="false">
      <c r="A494" s="121" t="n">
        <f aca="false">ExportRaw!$F494</f>
        <v>0</v>
      </c>
      <c r="B494" s="121" t="n">
        <f aca="false">ExportRaw!$C494</f>
        <v>0</v>
      </c>
      <c r="C494" s="121" t="n">
        <f aca="false">ExportRaw!$G494</f>
        <v>0</v>
      </c>
      <c r="D494" s="121" t="str">
        <f aca="false">ExportRaw!$E494</f>
        <v/>
      </c>
      <c r="E494" s="122" t="str">
        <f aca="false">ExportRaw!$D494</f>
        <v/>
      </c>
      <c r="F494" s="121" t="str">
        <f aca="false">ExportRaw!$H494</f>
        <v/>
      </c>
      <c r="G494" s="123" t="str">
        <f aca="false">ExportRaw!$I494</f>
        <v/>
      </c>
      <c r="H494" s="121" t="str">
        <f aca="false">ExportRaw!$A494</f>
        <v/>
      </c>
      <c r="I494" s="121" t="str">
        <f aca="false">ExportRaw!$B494</f>
        <v/>
      </c>
    </row>
    <row r="495" customFormat="false" ht="15.75" hidden="false" customHeight="false" outlineLevel="0" collapsed="false">
      <c r="A495" s="121" t="n">
        <f aca="false">ExportRaw!$F495</f>
        <v>0</v>
      </c>
      <c r="B495" s="121" t="n">
        <f aca="false">ExportRaw!$C495</f>
        <v>0</v>
      </c>
      <c r="C495" s="121" t="n">
        <f aca="false">ExportRaw!$G495</f>
        <v>0</v>
      </c>
      <c r="D495" s="121" t="str">
        <f aca="false">ExportRaw!$E495</f>
        <v/>
      </c>
      <c r="E495" s="122" t="str">
        <f aca="false">ExportRaw!$D495</f>
        <v/>
      </c>
      <c r="F495" s="121" t="str">
        <f aca="false">ExportRaw!$H495</f>
        <v/>
      </c>
      <c r="G495" s="123" t="str">
        <f aca="false">ExportRaw!$I495</f>
        <v/>
      </c>
      <c r="H495" s="121" t="str">
        <f aca="false">ExportRaw!$A495</f>
        <v/>
      </c>
      <c r="I495" s="121" t="str">
        <f aca="false">ExportRaw!$B495</f>
        <v/>
      </c>
    </row>
    <row r="496" customFormat="false" ht="15.75" hidden="false" customHeight="false" outlineLevel="0" collapsed="false">
      <c r="A496" s="121" t="n">
        <f aca="false">ExportRaw!$F496</f>
        <v>0</v>
      </c>
      <c r="B496" s="121" t="n">
        <f aca="false">ExportRaw!$C496</f>
        <v>0</v>
      </c>
      <c r="C496" s="121" t="n">
        <f aca="false">ExportRaw!$G496</f>
        <v>0</v>
      </c>
      <c r="D496" s="121" t="str">
        <f aca="false">ExportRaw!$E496</f>
        <v/>
      </c>
      <c r="E496" s="122" t="str">
        <f aca="false">ExportRaw!$D496</f>
        <v/>
      </c>
      <c r="F496" s="121" t="str">
        <f aca="false">ExportRaw!$H496</f>
        <v/>
      </c>
      <c r="G496" s="123" t="str">
        <f aca="false">ExportRaw!$I496</f>
        <v/>
      </c>
      <c r="H496" s="121" t="str">
        <f aca="false">ExportRaw!$A496</f>
        <v/>
      </c>
      <c r="I496" s="121" t="str">
        <f aca="false">ExportRaw!$B496</f>
        <v/>
      </c>
    </row>
    <row r="497" customFormat="false" ht="15.75" hidden="false" customHeight="false" outlineLevel="0" collapsed="false">
      <c r="A497" s="121" t="n">
        <f aca="false">ExportRaw!$F497</f>
        <v>0</v>
      </c>
      <c r="B497" s="121" t="n">
        <f aca="false">ExportRaw!$C497</f>
        <v>0</v>
      </c>
      <c r="C497" s="121" t="n">
        <f aca="false">ExportRaw!$G497</f>
        <v>0</v>
      </c>
      <c r="D497" s="121" t="str">
        <f aca="false">ExportRaw!$E497</f>
        <v/>
      </c>
      <c r="E497" s="122" t="str">
        <f aca="false">ExportRaw!$D497</f>
        <v/>
      </c>
      <c r="F497" s="121" t="str">
        <f aca="false">ExportRaw!$H497</f>
        <v/>
      </c>
      <c r="G497" s="123" t="str">
        <f aca="false">ExportRaw!$I497</f>
        <v/>
      </c>
      <c r="H497" s="121" t="str">
        <f aca="false">ExportRaw!$A497</f>
        <v/>
      </c>
      <c r="I497" s="121" t="str">
        <f aca="false">ExportRaw!$B497</f>
        <v/>
      </c>
    </row>
    <row r="498" customFormat="false" ht="15.75" hidden="false" customHeight="false" outlineLevel="0" collapsed="false">
      <c r="A498" s="121" t="n">
        <f aca="false">ExportRaw!$F498</f>
        <v>0</v>
      </c>
      <c r="B498" s="121" t="n">
        <f aca="false">ExportRaw!$C498</f>
        <v>0</v>
      </c>
      <c r="C498" s="121" t="n">
        <f aca="false">ExportRaw!$G498</f>
        <v>0</v>
      </c>
      <c r="D498" s="121" t="str">
        <f aca="false">ExportRaw!$E498</f>
        <v/>
      </c>
      <c r="E498" s="122" t="str">
        <f aca="false">ExportRaw!$D498</f>
        <v/>
      </c>
      <c r="F498" s="121" t="str">
        <f aca="false">ExportRaw!$H498</f>
        <v/>
      </c>
      <c r="G498" s="123" t="str">
        <f aca="false">ExportRaw!$I498</f>
        <v/>
      </c>
      <c r="H498" s="121" t="str">
        <f aca="false">ExportRaw!$A498</f>
        <v/>
      </c>
      <c r="I498" s="121" t="str">
        <f aca="false">ExportRaw!$B498</f>
        <v/>
      </c>
    </row>
    <row r="499" customFormat="false" ht="15.75" hidden="false" customHeight="false" outlineLevel="0" collapsed="false">
      <c r="A499" s="121" t="n">
        <f aca="false">ExportRaw!$F499</f>
        <v>0</v>
      </c>
      <c r="B499" s="121" t="n">
        <f aca="false">ExportRaw!$C499</f>
        <v>0</v>
      </c>
      <c r="C499" s="121" t="n">
        <f aca="false">ExportRaw!$G499</f>
        <v>0</v>
      </c>
      <c r="D499" s="121" t="str">
        <f aca="false">ExportRaw!$E499</f>
        <v/>
      </c>
      <c r="E499" s="122" t="str">
        <f aca="false">ExportRaw!$D499</f>
        <v/>
      </c>
      <c r="F499" s="121" t="str">
        <f aca="false">ExportRaw!$H499</f>
        <v/>
      </c>
      <c r="G499" s="123" t="str">
        <f aca="false">ExportRaw!$I499</f>
        <v/>
      </c>
      <c r="H499" s="121" t="str">
        <f aca="false">ExportRaw!$A499</f>
        <v/>
      </c>
      <c r="I499" s="121" t="str">
        <f aca="false">ExportRaw!$B499</f>
        <v/>
      </c>
    </row>
    <row r="500" customFormat="false" ht="15.75" hidden="false" customHeight="false" outlineLevel="0" collapsed="false">
      <c r="A500" s="121" t="n">
        <f aca="false">ExportRaw!$F500</f>
        <v>0</v>
      </c>
      <c r="B500" s="121" t="n">
        <f aca="false">ExportRaw!$C500</f>
        <v>0</v>
      </c>
      <c r="C500" s="121" t="n">
        <f aca="false">ExportRaw!$G500</f>
        <v>0</v>
      </c>
      <c r="D500" s="121" t="str">
        <f aca="false">ExportRaw!$E500</f>
        <v/>
      </c>
      <c r="E500" s="122" t="str">
        <f aca="false">ExportRaw!$D500</f>
        <v/>
      </c>
      <c r="F500" s="121" t="str">
        <f aca="false">ExportRaw!$H500</f>
        <v/>
      </c>
      <c r="G500" s="123" t="str">
        <f aca="false">ExportRaw!$I500</f>
        <v/>
      </c>
      <c r="H500" s="121" t="str">
        <f aca="false">ExportRaw!$A500</f>
        <v/>
      </c>
      <c r="I500" s="121" t="str">
        <f aca="false">ExportRaw!$B500</f>
        <v/>
      </c>
    </row>
    <row r="501" customFormat="false" ht="15.75" hidden="false" customHeight="false" outlineLevel="0" collapsed="false">
      <c r="A501" s="121" t="n">
        <f aca="false">ExportRaw!$F501</f>
        <v>0</v>
      </c>
      <c r="B501" s="121" t="n">
        <f aca="false">ExportRaw!$C501</f>
        <v>0</v>
      </c>
      <c r="C501" s="121" t="n">
        <f aca="false">ExportRaw!$G501</f>
        <v>0</v>
      </c>
      <c r="D501" s="121" t="str">
        <f aca="false">ExportRaw!$E501</f>
        <v/>
      </c>
      <c r="E501" s="122" t="str">
        <f aca="false">ExportRaw!$D501</f>
        <v/>
      </c>
      <c r="F501" s="121" t="str">
        <f aca="false">ExportRaw!$H501</f>
        <v/>
      </c>
      <c r="G501" s="123" t="str">
        <f aca="false">ExportRaw!$I501</f>
        <v/>
      </c>
      <c r="H501" s="121" t="str">
        <f aca="false">ExportRaw!$A501</f>
        <v/>
      </c>
      <c r="I501" s="121" t="str">
        <f aca="false">ExportRaw!$B501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9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C18" activeCellId="0" sqref="C18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6.27"/>
    <col collapsed="false" customWidth="true" hidden="false" outlineLevel="0" max="3" min="3" style="1" width="104.88"/>
  </cols>
  <sheetData>
    <row r="1" customFormat="false" ht="15.75" hidden="false" customHeight="false" outlineLevel="0" collapsed="false">
      <c r="A1" s="120" t="s">
        <v>81</v>
      </c>
      <c r="B1" s="120" t="s">
        <v>82</v>
      </c>
      <c r="C1" s="120" t="s">
        <v>83</v>
      </c>
      <c r="D1" s="120"/>
      <c r="E1" s="120"/>
      <c r="F1" s="120"/>
      <c r="G1" s="120"/>
      <c r="H1" s="120"/>
      <c r="I1" s="120"/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0"/>
      <c r="V1" s="120"/>
      <c r="W1" s="120"/>
      <c r="X1" s="120"/>
      <c r="Y1" s="120"/>
      <c r="Z1" s="120"/>
    </row>
    <row r="2" customFormat="false" ht="15.75" hidden="false" customHeight="false" outlineLevel="0" collapsed="false">
      <c r="A2" s="124" t="n">
        <v>46288</v>
      </c>
      <c r="B2" s="121" t="s">
        <v>84</v>
      </c>
      <c r="C2" s="121" t="s">
        <v>85</v>
      </c>
      <c r="D2" s="121"/>
      <c r="E2" s="121"/>
      <c r="F2" s="121"/>
      <c r="G2" s="121"/>
      <c r="H2" s="121"/>
      <c r="I2" s="121"/>
      <c r="J2" s="121"/>
      <c r="K2" s="121"/>
      <c r="L2" s="121"/>
      <c r="M2" s="121"/>
      <c r="N2" s="121"/>
      <c r="O2" s="121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</row>
    <row r="3" customFormat="false" ht="15.75" hidden="false" customHeight="false" outlineLevel="0" collapsed="false">
      <c r="A3" s="124"/>
      <c r="B3" s="121"/>
      <c r="C3" s="121"/>
      <c r="D3" s="121"/>
      <c r="E3" s="121"/>
      <c r="F3" s="121"/>
      <c r="G3" s="121"/>
      <c r="H3" s="121"/>
      <c r="I3" s="121"/>
      <c r="J3" s="121"/>
      <c r="K3" s="121"/>
      <c r="L3" s="121"/>
      <c r="M3" s="121"/>
      <c r="N3" s="121"/>
      <c r="O3" s="121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</row>
    <row r="4" customFormat="false" ht="15.75" hidden="false" customHeight="false" outlineLevel="0" collapsed="false">
      <c r="A4" s="124"/>
      <c r="B4" s="121"/>
      <c r="C4" s="121"/>
      <c r="D4" s="121"/>
      <c r="E4" s="121"/>
      <c r="F4" s="121"/>
      <c r="G4" s="121"/>
      <c r="H4" s="121"/>
      <c r="I4" s="121"/>
      <c r="J4" s="121"/>
      <c r="K4" s="121"/>
      <c r="L4" s="121"/>
      <c r="M4" s="121"/>
      <c r="N4" s="121"/>
      <c r="O4" s="121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</row>
    <row r="5" customFormat="false" ht="15.75" hidden="false" customHeight="false" outlineLevel="0" collapsed="false">
      <c r="A5" s="125"/>
      <c r="B5" s="121"/>
      <c r="C5" s="121"/>
      <c r="D5" s="121"/>
      <c r="E5" s="121"/>
      <c r="F5" s="121"/>
      <c r="G5" s="121"/>
      <c r="H5" s="121"/>
      <c r="I5" s="121"/>
      <c r="J5" s="121"/>
      <c r="K5" s="121"/>
      <c r="L5" s="121"/>
      <c r="M5" s="121"/>
      <c r="N5" s="121"/>
      <c r="O5" s="121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</row>
    <row r="6" customFormat="false" ht="15.75" hidden="false" customHeight="false" outlineLevel="0" collapsed="false">
      <c r="A6" s="125"/>
      <c r="B6" s="121"/>
      <c r="C6" s="121"/>
      <c r="D6" s="121"/>
      <c r="E6" s="121"/>
      <c r="F6" s="121"/>
      <c r="G6" s="121"/>
      <c r="H6" s="121"/>
      <c r="I6" s="121"/>
      <c r="J6" s="121"/>
      <c r="K6" s="121"/>
      <c r="L6" s="121"/>
      <c r="M6" s="121"/>
      <c r="N6" s="121"/>
      <c r="O6" s="121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</row>
    <row r="7" customFormat="false" ht="15.75" hidden="false" customHeight="false" outlineLevel="0" collapsed="false">
      <c r="A7" s="125"/>
      <c r="B7" s="121"/>
      <c r="C7" s="121"/>
      <c r="D7" s="121"/>
      <c r="E7" s="121"/>
      <c r="F7" s="121"/>
      <c r="G7" s="121"/>
      <c r="H7" s="121"/>
      <c r="I7" s="121"/>
      <c r="J7" s="121"/>
      <c r="K7" s="121"/>
      <c r="L7" s="121"/>
      <c r="M7" s="121"/>
      <c r="N7" s="121"/>
      <c r="O7" s="121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</row>
    <row r="8" customFormat="false" ht="15.75" hidden="false" customHeight="false" outlineLevel="0" collapsed="false">
      <c r="A8" s="121"/>
      <c r="B8" s="121"/>
      <c r="C8" s="121"/>
      <c r="D8" s="121"/>
      <c r="E8" s="121"/>
      <c r="F8" s="121"/>
      <c r="G8" s="121"/>
      <c r="H8" s="121"/>
      <c r="I8" s="121"/>
      <c r="J8" s="121"/>
      <c r="K8" s="121"/>
      <c r="L8" s="121"/>
      <c r="M8" s="121"/>
      <c r="N8" s="121"/>
      <c r="O8" s="121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</row>
    <row r="9" customFormat="false" ht="15.75" hidden="false" customHeight="false" outlineLevel="0" collapsed="false">
      <c r="A9" s="121"/>
      <c r="B9" s="121"/>
      <c r="C9" s="121"/>
      <c r="D9" s="121"/>
      <c r="E9" s="121"/>
      <c r="F9" s="121"/>
      <c r="G9" s="121"/>
      <c r="H9" s="121"/>
      <c r="I9" s="121"/>
      <c r="J9" s="121"/>
      <c r="K9" s="121"/>
      <c r="L9" s="121"/>
      <c r="M9" s="121"/>
      <c r="N9" s="121"/>
      <c r="O9" s="121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</row>
    <row r="10" customFormat="false" ht="15.75" hidden="false" customHeight="false" outlineLevel="0" collapsed="false">
      <c r="A10" s="121"/>
      <c r="B10" s="121"/>
      <c r="C10" s="121"/>
      <c r="D10" s="121"/>
      <c r="E10" s="121"/>
      <c r="F10" s="121"/>
      <c r="G10" s="121"/>
      <c r="H10" s="121"/>
      <c r="I10" s="121"/>
      <c r="J10" s="121"/>
      <c r="K10" s="121"/>
      <c r="L10" s="121"/>
      <c r="M10" s="121"/>
      <c r="N10" s="121"/>
      <c r="O10" s="121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1"/>
    </row>
    <row r="11" customFormat="false" ht="15.75" hidden="false" customHeight="false" outlineLevel="0" collapsed="false">
      <c r="A11" s="121"/>
      <c r="B11" s="121"/>
      <c r="C11" s="121"/>
      <c r="D11" s="121"/>
      <c r="E11" s="121"/>
      <c r="F11" s="121"/>
      <c r="G11" s="121"/>
      <c r="H11" s="121"/>
      <c r="I11" s="121"/>
      <c r="J11" s="121"/>
      <c r="K11" s="121"/>
      <c r="L11" s="121"/>
      <c r="M11" s="121"/>
      <c r="N11" s="121"/>
      <c r="O11" s="121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</row>
    <row r="12" customFormat="false" ht="15.75" hidden="false" customHeight="false" outlineLevel="0" collapsed="false">
      <c r="A12" s="121"/>
      <c r="B12" s="121"/>
      <c r="C12" s="121"/>
      <c r="D12" s="121"/>
      <c r="E12" s="121"/>
      <c r="F12" s="121"/>
      <c r="G12" s="121"/>
      <c r="H12" s="121"/>
      <c r="I12" s="121"/>
      <c r="J12" s="121"/>
      <c r="K12" s="121"/>
      <c r="L12" s="121"/>
      <c r="M12" s="121"/>
      <c r="N12" s="121"/>
      <c r="O12" s="121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</row>
    <row r="13" customFormat="false" ht="15.75" hidden="false" customHeight="false" outlineLevel="0" collapsed="false">
      <c r="A13" s="121"/>
      <c r="B13" s="121"/>
      <c r="C13" s="121"/>
      <c r="D13" s="121"/>
      <c r="E13" s="121"/>
      <c r="F13" s="121"/>
      <c r="G13" s="121"/>
      <c r="H13" s="121"/>
      <c r="I13" s="121"/>
      <c r="J13" s="121"/>
      <c r="K13" s="121"/>
      <c r="L13" s="121"/>
      <c r="M13" s="121"/>
      <c r="N13" s="121"/>
      <c r="O13" s="121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</row>
    <row r="14" customFormat="false" ht="15.75" hidden="false" customHeight="false" outlineLevel="0" collapsed="false">
      <c r="A14" s="121"/>
      <c r="B14" s="121"/>
      <c r="C14" s="121"/>
      <c r="D14" s="121"/>
      <c r="E14" s="121"/>
      <c r="F14" s="121"/>
      <c r="G14" s="121"/>
      <c r="H14" s="121"/>
      <c r="I14" s="121"/>
      <c r="J14" s="121"/>
      <c r="K14" s="121"/>
      <c r="L14" s="121"/>
      <c r="M14" s="121"/>
      <c r="N14" s="121"/>
      <c r="O14" s="121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</row>
    <row r="15" customFormat="false" ht="15.75" hidden="false" customHeight="false" outlineLevel="0" collapsed="false">
      <c r="A15" s="121"/>
      <c r="B15" s="121"/>
      <c r="C15" s="121"/>
      <c r="D15" s="121"/>
      <c r="E15" s="121"/>
      <c r="F15" s="121"/>
      <c r="G15" s="121"/>
      <c r="H15" s="121"/>
      <c r="I15" s="121"/>
      <c r="J15" s="121"/>
      <c r="K15" s="121"/>
      <c r="L15" s="121"/>
      <c r="M15" s="121"/>
      <c r="N15" s="121"/>
      <c r="O15" s="121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</row>
    <row r="16" customFormat="false" ht="15.75" hidden="false" customHeight="false" outlineLevel="0" collapsed="false">
      <c r="A16" s="121"/>
      <c r="B16" s="121"/>
      <c r="C16" s="121"/>
      <c r="D16" s="121"/>
      <c r="E16" s="121"/>
      <c r="F16" s="121"/>
      <c r="G16" s="121"/>
      <c r="H16" s="121"/>
      <c r="I16" s="121"/>
      <c r="J16" s="121"/>
      <c r="K16" s="121"/>
      <c r="L16" s="121"/>
      <c r="M16" s="121"/>
      <c r="N16" s="121"/>
      <c r="O16" s="121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</row>
    <row r="17" customFormat="false" ht="15.75" hidden="false" customHeight="false" outlineLevel="0" collapsed="false">
      <c r="A17" s="121"/>
      <c r="B17" s="121"/>
      <c r="C17" s="121"/>
      <c r="D17" s="121"/>
      <c r="E17" s="121"/>
      <c r="F17" s="121"/>
      <c r="G17" s="121"/>
      <c r="H17" s="121"/>
      <c r="I17" s="121"/>
      <c r="J17" s="121"/>
      <c r="K17" s="121"/>
      <c r="L17" s="121"/>
      <c r="M17" s="121"/>
      <c r="N17" s="121"/>
      <c r="O17" s="121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</row>
    <row r="18" customFormat="false" ht="15.75" hidden="false" customHeight="false" outlineLevel="0" collapsed="false">
      <c r="A18" s="121"/>
      <c r="B18" s="121"/>
      <c r="C18" s="121"/>
      <c r="D18" s="121"/>
      <c r="E18" s="121"/>
      <c r="F18" s="121"/>
      <c r="G18" s="121"/>
      <c r="H18" s="121"/>
      <c r="I18" s="121"/>
      <c r="J18" s="121"/>
      <c r="K18" s="121"/>
      <c r="L18" s="121"/>
      <c r="M18" s="121"/>
      <c r="N18" s="121"/>
      <c r="O18" s="121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</row>
    <row r="19" customFormat="false" ht="15.75" hidden="false" customHeight="false" outlineLevel="0" collapsed="false">
      <c r="A19" s="121"/>
      <c r="B19" s="121"/>
      <c r="C19" s="121"/>
      <c r="D19" s="121"/>
      <c r="E19" s="121"/>
      <c r="F19" s="121"/>
      <c r="G19" s="121"/>
      <c r="H19" s="121"/>
      <c r="I19" s="121"/>
      <c r="J19" s="121"/>
      <c r="K19" s="121"/>
      <c r="L19" s="121"/>
      <c r="M19" s="121"/>
      <c r="N19" s="121"/>
      <c r="O19" s="121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</row>
    <row r="20" customFormat="false" ht="15.75" hidden="false" customHeight="false" outlineLevel="0" collapsed="false">
      <c r="A20" s="121"/>
      <c r="B20" s="121"/>
      <c r="C20" s="121"/>
      <c r="D20" s="121"/>
      <c r="E20" s="121"/>
      <c r="F20" s="121"/>
      <c r="G20" s="121"/>
      <c r="H20" s="121"/>
      <c r="I20" s="121"/>
      <c r="J20" s="121"/>
      <c r="K20" s="121"/>
      <c r="L20" s="121"/>
      <c r="M20" s="121"/>
      <c r="N20" s="121"/>
      <c r="O20" s="121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</row>
    <row r="21" customFormat="false" ht="15.75" hidden="false" customHeight="false" outlineLevel="0" collapsed="false">
      <c r="A21" s="121"/>
      <c r="B21" s="121"/>
      <c r="C21" s="121"/>
      <c r="D21" s="121"/>
      <c r="E21" s="121"/>
      <c r="F21" s="121"/>
      <c r="G21" s="121"/>
      <c r="H21" s="121"/>
      <c r="I21" s="121"/>
      <c r="J21" s="121"/>
      <c r="K21" s="121"/>
      <c r="L21" s="121"/>
      <c r="M21" s="121"/>
      <c r="N21" s="121"/>
      <c r="O21" s="121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</row>
    <row r="22" customFormat="false" ht="15.75" hidden="false" customHeight="false" outlineLevel="0" collapsed="false">
      <c r="A22" s="121"/>
      <c r="B22" s="121"/>
      <c r="C22" s="121"/>
      <c r="D22" s="121"/>
      <c r="E22" s="121"/>
      <c r="F22" s="121"/>
      <c r="G22" s="121"/>
      <c r="H22" s="121"/>
      <c r="I22" s="121"/>
      <c r="J22" s="121"/>
      <c r="K22" s="121"/>
      <c r="L22" s="121"/>
      <c r="M22" s="121"/>
      <c r="N22" s="121"/>
      <c r="O22" s="121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</row>
    <row r="23" customFormat="false" ht="15.75" hidden="false" customHeight="false" outlineLevel="0" collapsed="false">
      <c r="A23" s="121"/>
      <c r="B23" s="121"/>
      <c r="C23" s="121"/>
      <c r="D23" s="121"/>
      <c r="E23" s="121"/>
      <c r="F23" s="121"/>
      <c r="G23" s="121"/>
      <c r="H23" s="121"/>
      <c r="I23" s="121"/>
      <c r="J23" s="121"/>
      <c r="K23" s="121"/>
      <c r="L23" s="121"/>
      <c r="M23" s="121"/>
      <c r="N23" s="121"/>
      <c r="O23" s="121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</row>
    <row r="24" customFormat="false" ht="15.75" hidden="false" customHeight="false" outlineLevel="0" collapsed="false">
      <c r="A24" s="121"/>
      <c r="B24" s="121"/>
      <c r="C24" s="121"/>
      <c r="D24" s="121"/>
      <c r="E24" s="121"/>
      <c r="F24" s="121"/>
      <c r="G24" s="121"/>
      <c r="H24" s="121"/>
      <c r="I24" s="121"/>
      <c r="J24" s="121"/>
      <c r="K24" s="121"/>
      <c r="L24" s="121"/>
      <c r="M24" s="121"/>
      <c r="N24" s="121"/>
      <c r="O24" s="121"/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</row>
    <row r="25" customFormat="false" ht="15.75" hidden="false" customHeight="false" outlineLevel="0" collapsed="false">
      <c r="A25" s="121"/>
      <c r="B25" s="121"/>
      <c r="C25" s="121"/>
      <c r="D25" s="121"/>
      <c r="E25" s="121"/>
      <c r="F25" s="121"/>
      <c r="G25" s="121"/>
      <c r="H25" s="121"/>
      <c r="I25" s="121"/>
      <c r="J25" s="121"/>
      <c r="K25" s="121"/>
      <c r="L25" s="121"/>
      <c r="M25" s="121"/>
      <c r="N25" s="121"/>
      <c r="O25" s="121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</row>
    <row r="26" customFormat="false" ht="15.75" hidden="false" customHeight="false" outlineLevel="0" collapsed="false">
      <c r="A26" s="121"/>
      <c r="B26" s="121"/>
      <c r="C26" s="121"/>
      <c r="D26" s="121"/>
      <c r="E26" s="121"/>
      <c r="F26" s="121"/>
      <c r="G26" s="121"/>
      <c r="H26" s="121"/>
      <c r="I26" s="121"/>
      <c r="J26" s="121"/>
      <c r="K26" s="121"/>
      <c r="L26" s="121"/>
      <c r="M26" s="121"/>
      <c r="N26" s="121"/>
      <c r="O26" s="121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</row>
    <row r="27" customFormat="false" ht="15.75" hidden="false" customHeight="false" outlineLevel="0" collapsed="false">
      <c r="A27" s="121"/>
      <c r="B27" s="121"/>
      <c r="C27" s="121"/>
      <c r="D27" s="121"/>
      <c r="E27" s="121"/>
      <c r="F27" s="121"/>
      <c r="G27" s="121"/>
      <c r="H27" s="121"/>
      <c r="I27" s="121"/>
      <c r="J27" s="121"/>
      <c r="K27" s="121"/>
      <c r="L27" s="121"/>
      <c r="M27" s="121"/>
      <c r="N27" s="121"/>
      <c r="O27" s="121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</row>
    <row r="28" customFormat="false" ht="15.75" hidden="false" customHeight="false" outlineLevel="0" collapsed="false">
      <c r="A28" s="121"/>
      <c r="B28" s="121"/>
      <c r="C28" s="121"/>
      <c r="D28" s="121"/>
      <c r="E28" s="121"/>
      <c r="F28" s="121"/>
      <c r="G28" s="121"/>
      <c r="H28" s="121"/>
      <c r="I28" s="121"/>
      <c r="J28" s="121"/>
      <c r="K28" s="121"/>
      <c r="L28" s="121"/>
      <c r="M28" s="121"/>
      <c r="N28" s="121"/>
      <c r="O28" s="121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</row>
    <row r="29" customFormat="false" ht="15.75" hidden="false" customHeight="false" outlineLevel="0" collapsed="false">
      <c r="A29" s="121"/>
      <c r="B29" s="121"/>
      <c r="C29" s="121"/>
      <c r="D29" s="121"/>
      <c r="E29" s="121"/>
      <c r="F29" s="121"/>
      <c r="G29" s="121"/>
      <c r="H29" s="121"/>
      <c r="I29" s="121"/>
      <c r="J29" s="121"/>
      <c r="K29" s="121"/>
      <c r="L29" s="121"/>
      <c r="M29" s="121"/>
      <c r="N29" s="121"/>
      <c r="O29" s="121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</row>
    <row r="30" customFormat="false" ht="15.75" hidden="false" customHeight="false" outlineLevel="0" collapsed="false">
      <c r="A30" s="121"/>
      <c r="B30" s="121"/>
      <c r="C30" s="121"/>
      <c r="D30" s="121"/>
      <c r="E30" s="121"/>
      <c r="F30" s="121"/>
      <c r="G30" s="121"/>
      <c r="H30" s="121"/>
      <c r="I30" s="121"/>
      <c r="J30" s="121"/>
      <c r="K30" s="121"/>
      <c r="L30" s="121"/>
      <c r="M30" s="121"/>
      <c r="N30" s="121"/>
      <c r="O30" s="121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</row>
    <row r="31" customFormat="false" ht="15.75" hidden="false" customHeight="false" outlineLevel="0" collapsed="false">
      <c r="A31" s="121"/>
      <c r="B31" s="121"/>
      <c r="C31" s="121"/>
      <c r="D31" s="121"/>
      <c r="E31" s="121"/>
      <c r="F31" s="121"/>
      <c r="G31" s="121"/>
      <c r="H31" s="121"/>
      <c r="I31" s="121"/>
      <c r="J31" s="121"/>
      <c r="K31" s="121"/>
      <c r="L31" s="121"/>
      <c r="M31" s="121"/>
      <c r="N31" s="121"/>
      <c r="O31" s="121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</row>
    <row r="32" customFormat="false" ht="15.75" hidden="false" customHeight="false" outlineLevel="0" collapsed="false">
      <c r="A32" s="121"/>
      <c r="B32" s="121"/>
      <c r="C32" s="121"/>
      <c r="D32" s="121"/>
      <c r="E32" s="121"/>
      <c r="F32" s="121"/>
      <c r="G32" s="121"/>
      <c r="H32" s="121"/>
      <c r="I32" s="121"/>
      <c r="J32" s="121"/>
      <c r="K32" s="121"/>
      <c r="L32" s="121"/>
      <c r="M32" s="121"/>
      <c r="N32" s="121"/>
      <c r="O32" s="121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</row>
    <row r="33" customFormat="false" ht="15.75" hidden="false" customHeight="false" outlineLevel="0" collapsed="false">
      <c r="A33" s="121"/>
      <c r="B33" s="121"/>
      <c r="C33" s="121"/>
      <c r="D33" s="121"/>
      <c r="E33" s="121"/>
      <c r="F33" s="121"/>
      <c r="G33" s="121"/>
      <c r="H33" s="121"/>
      <c r="I33" s="121"/>
      <c r="J33" s="121"/>
      <c r="K33" s="121"/>
      <c r="L33" s="121"/>
      <c r="M33" s="121"/>
      <c r="N33" s="121"/>
      <c r="O33" s="121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</row>
    <row r="34" customFormat="false" ht="15.75" hidden="false" customHeight="false" outlineLevel="0" collapsed="false">
      <c r="A34" s="121"/>
      <c r="B34" s="121"/>
      <c r="C34" s="121"/>
      <c r="D34" s="121"/>
      <c r="E34" s="121"/>
      <c r="F34" s="121"/>
      <c r="G34" s="121"/>
      <c r="H34" s="121"/>
      <c r="I34" s="121"/>
      <c r="J34" s="121"/>
      <c r="K34" s="121"/>
      <c r="L34" s="121"/>
      <c r="M34" s="121"/>
      <c r="N34" s="121"/>
      <c r="O34" s="121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</row>
    <row r="35" customFormat="false" ht="15.75" hidden="false" customHeight="false" outlineLevel="0" collapsed="false">
      <c r="A35" s="121"/>
      <c r="B35" s="121"/>
      <c r="C35" s="121"/>
      <c r="D35" s="121"/>
      <c r="E35" s="121"/>
      <c r="F35" s="121"/>
      <c r="G35" s="121"/>
      <c r="H35" s="121"/>
      <c r="I35" s="121"/>
      <c r="J35" s="121"/>
      <c r="K35" s="121"/>
      <c r="L35" s="121"/>
      <c r="M35" s="121"/>
      <c r="N35" s="121"/>
      <c r="O35" s="121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</row>
    <row r="36" customFormat="false" ht="15.75" hidden="false" customHeight="false" outlineLevel="0" collapsed="false">
      <c r="A36" s="121"/>
      <c r="B36" s="121"/>
      <c r="C36" s="121"/>
      <c r="D36" s="121"/>
      <c r="E36" s="121"/>
      <c r="F36" s="121"/>
      <c r="G36" s="121"/>
      <c r="H36" s="121"/>
      <c r="I36" s="121"/>
      <c r="J36" s="121"/>
      <c r="K36" s="121"/>
      <c r="L36" s="121"/>
      <c r="M36" s="121"/>
      <c r="N36" s="121"/>
      <c r="O36" s="121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</row>
    <row r="37" customFormat="false" ht="15.75" hidden="false" customHeight="false" outlineLevel="0" collapsed="false">
      <c r="A37" s="121"/>
      <c r="B37" s="121"/>
      <c r="C37" s="121"/>
      <c r="D37" s="121"/>
      <c r="E37" s="121"/>
      <c r="F37" s="121"/>
      <c r="G37" s="121"/>
      <c r="H37" s="121"/>
      <c r="I37" s="121"/>
      <c r="J37" s="121"/>
      <c r="K37" s="121"/>
      <c r="L37" s="121"/>
      <c r="M37" s="121"/>
      <c r="N37" s="121"/>
      <c r="O37" s="121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</row>
    <row r="38" customFormat="false" ht="15.75" hidden="false" customHeight="false" outlineLevel="0" collapsed="false">
      <c r="A38" s="121"/>
      <c r="B38" s="121"/>
      <c r="C38" s="121"/>
      <c r="D38" s="121"/>
      <c r="E38" s="121"/>
      <c r="F38" s="121"/>
      <c r="G38" s="121"/>
      <c r="H38" s="121"/>
      <c r="I38" s="121"/>
      <c r="J38" s="121"/>
      <c r="K38" s="121"/>
      <c r="L38" s="121"/>
      <c r="M38" s="121"/>
      <c r="N38" s="121"/>
      <c r="O38" s="121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</row>
    <row r="39" customFormat="false" ht="15.75" hidden="false" customHeight="false" outlineLevel="0" collapsed="false">
      <c r="A39" s="121"/>
      <c r="B39" s="121"/>
      <c r="C39" s="121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1"/>
      <c r="O39" s="121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</row>
    <row r="40" customFormat="false" ht="15.75" hidden="false" customHeight="false" outlineLevel="0" collapsed="false">
      <c r="A40" s="121"/>
      <c r="B40" s="121"/>
      <c r="C40" s="121"/>
      <c r="D40" s="121"/>
      <c r="E40" s="121"/>
      <c r="F40" s="121"/>
      <c r="G40" s="121"/>
      <c r="H40" s="121"/>
      <c r="I40" s="121"/>
      <c r="J40" s="121"/>
      <c r="K40" s="121"/>
      <c r="L40" s="121"/>
      <c r="M40" s="121"/>
      <c r="N40" s="121"/>
      <c r="O40" s="121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</row>
    <row r="41" customFormat="false" ht="15.75" hidden="false" customHeight="false" outlineLevel="0" collapsed="false">
      <c r="A41" s="121"/>
      <c r="B41" s="121"/>
      <c r="C41" s="121"/>
      <c r="D41" s="121"/>
      <c r="E41" s="121"/>
      <c r="F41" s="121"/>
      <c r="G41" s="121"/>
      <c r="H41" s="121"/>
      <c r="I41" s="121"/>
      <c r="J41" s="121"/>
      <c r="K41" s="121"/>
      <c r="L41" s="121"/>
      <c r="M41" s="121"/>
      <c r="N41" s="121"/>
      <c r="O41" s="121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</row>
    <row r="42" customFormat="false" ht="15.75" hidden="false" customHeight="false" outlineLevel="0" collapsed="false">
      <c r="A42" s="121"/>
      <c r="B42" s="121"/>
      <c r="C42" s="121"/>
      <c r="D42" s="121"/>
      <c r="E42" s="121"/>
      <c r="F42" s="121"/>
      <c r="G42" s="121"/>
      <c r="H42" s="121"/>
      <c r="I42" s="121"/>
      <c r="J42" s="121"/>
      <c r="K42" s="121"/>
      <c r="L42" s="121"/>
      <c r="M42" s="121"/>
      <c r="N42" s="121"/>
      <c r="O42" s="121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</row>
    <row r="43" customFormat="false" ht="15.75" hidden="false" customHeight="false" outlineLevel="0" collapsed="false">
      <c r="A43" s="121"/>
      <c r="B43" s="121"/>
      <c r="C43" s="121"/>
      <c r="D43" s="121"/>
      <c r="E43" s="121"/>
      <c r="F43" s="121"/>
      <c r="G43" s="121"/>
      <c r="H43" s="121"/>
      <c r="I43" s="121"/>
      <c r="J43" s="121"/>
      <c r="K43" s="121"/>
      <c r="L43" s="121"/>
      <c r="M43" s="121"/>
      <c r="N43" s="121"/>
      <c r="O43" s="121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</row>
    <row r="44" customFormat="false" ht="15.75" hidden="false" customHeight="false" outlineLevel="0" collapsed="false">
      <c r="A44" s="121"/>
      <c r="B44" s="121"/>
      <c r="C44" s="121"/>
      <c r="D44" s="121"/>
      <c r="E44" s="121"/>
      <c r="F44" s="121"/>
      <c r="G44" s="121"/>
      <c r="H44" s="121"/>
      <c r="I44" s="121"/>
      <c r="J44" s="121"/>
      <c r="K44" s="121"/>
      <c r="L44" s="121"/>
      <c r="M44" s="121"/>
      <c r="N44" s="121"/>
      <c r="O44" s="121"/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</row>
    <row r="45" customFormat="false" ht="15.75" hidden="false" customHeight="false" outlineLevel="0" collapsed="false">
      <c r="A45" s="121"/>
      <c r="B45" s="121"/>
      <c r="C45" s="121"/>
      <c r="D45" s="121"/>
      <c r="E45" s="121"/>
      <c r="F45" s="121"/>
      <c r="G45" s="121"/>
      <c r="H45" s="121"/>
      <c r="I45" s="121"/>
      <c r="J45" s="121"/>
      <c r="K45" s="121"/>
      <c r="L45" s="121"/>
      <c r="M45" s="121"/>
      <c r="N45" s="121"/>
      <c r="O45" s="121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</row>
    <row r="46" customFormat="false" ht="15.75" hidden="false" customHeight="false" outlineLevel="0" collapsed="false">
      <c r="A46" s="121"/>
      <c r="B46" s="121"/>
      <c r="C46" s="121"/>
      <c r="D46" s="121"/>
      <c r="E46" s="121"/>
      <c r="F46" s="121"/>
      <c r="G46" s="121"/>
      <c r="H46" s="121"/>
      <c r="I46" s="121"/>
      <c r="J46" s="121"/>
      <c r="K46" s="121"/>
      <c r="L46" s="121"/>
      <c r="M46" s="121"/>
      <c r="N46" s="121"/>
      <c r="O46" s="121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</row>
    <row r="47" customFormat="false" ht="15.75" hidden="false" customHeight="false" outlineLevel="0" collapsed="false">
      <c r="A47" s="121"/>
      <c r="B47" s="121"/>
      <c r="C47" s="121"/>
      <c r="D47" s="121"/>
      <c r="E47" s="121"/>
      <c r="F47" s="121"/>
      <c r="G47" s="121"/>
      <c r="H47" s="121"/>
      <c r="I47" s="121"/>
      <c r="J47" s="121"/>
      <c r="K47" s="121"/>
      <c r="L47" s="121"/>
      <c r="M47" s="121"/>
      <c r="N47" s="121"/>
      <c r="O47" s="121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</row>
    <row r="48" customFormat="false" ht="15.75" hidden="false" customHeight="false" outlineLevel="0" collapsed="false">
      <c r="A48" s="121"/>
      <c r="B48" s="121"/>
      <c r="C48" s="121"/>
      <c r="D48" s="121"/>
      <c r="E48" s="121"/>
      <c r="F48" s="121"/>
      <c r="G48" s="121"/>
      <c r="H48" s="121"/>
      <c r="I48" s="121"/>
      <c r="J48" s="121"/>
      <c r="K48" s="121"/>
      <c r="L48" s="121"/>
      <c r="M48" s="121"/>
      <c r="N48" s="121"/>
      <c r="O48" s="121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</row>
    <row r="49" customFormat="false" ht="15.75" hidden="false" customHeight="false" outlineLevel="0" collapsed="false">
      <c r="A49" s="121"/>
      <c r="B49" s="121"/>
      <c r="C49" s="121"/>
      <c r="D49" s="121"/>
      <c r="E49" s="121"/>
      <c r="F49" s="121"/>
      <c r="G49" s="121"/>
      <c r="H49" s="121"/>
      <c r="I49" s="121"/>
      <c r="J49" s="121"/>
      <c r="K49" s="121"/>
      <c r="L49" s="121"/>
      <c r="M49" s="121"/>
      <c r="N49" s="121"/>
      <c r="O49" s="121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</row>
    <row r="50" customFormat="false" ht="15.75" hidden="false" customHeight="false" outlineLevel="0" collapsed="false">
      <c r="A50" s="121"/>
      <c r="B50" s="121"/>
      <c r="C50" s="121"/>
      <c r="D50" s="121"/>
      <c r="E50" s="121"/>
      <c r="F50" s="121"/>
      <c r="G50" s="121"/>
      <c r="H50" s="121"/>
      <c r="I50" s="121"/>
      <c r="J50" s="121"/>
      <c r="K50" s="121"/>
      <c r="L50" s="121"/>
      <c r="M50" s="121"/>
      <c r="N50" s="121"/>
      <c r="O50" s="121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</row>
    <row r="51" customFormat="false" ht="15.75" hidden="false" customHeight="false" outlineLevel="0" collapsed="false">
      <c r="A51" s="121"/>
      <c r="B51" s="121"/>
      <c r="C51" s="121"/>
      <c r="D51" s="121"/>
      <c r="E51" s="121"/>
      <c r="F51" s="121"/>
      <c r="G51" s="121"/>
      <c r="H51" s="121"/>
      <c r="I51" s="121"/>
      <c r="J51" s="121"/>
      <c r="K51" s="121"/>
      <c r="L51" s="121"/>
      <c r="M51" s="121"/>
      <c r="N51" s="121"/>
      <c r="O51" s="121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</row>
    <row r="52" customFormat="false" ht="15.75" hidden="false" customHeight="false" outlineLevel="0" collapsed="false">
      <c r="A52" s="121"/>
      <c r="B52" s="121"/>
      <c r="C52" s="121"/>
      <c r="D52" s="121"/>
      <c r="E52" s="121"/>
      <c r="F52" s="121"/>
      <c r="G52" s="121"/>
      <c r="H52" s="121"/>
      <c r="I52" s="121"/>
      <c r="J52" s="121"/>
      <c r="K52" s="121"/>
      <c r="L52" s="121"/>
      <c r="M52" s="121"/>
      <c r="N52" s="121"/>
      <c r="O52" s="121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</row>
    <row r="53" customFormat="false" ht="15.75" hidden="false" customHeight="false" outlineLevel="0" collapsed="false">
      <c r="A53" s="121"/>
      <c r="B53" s="121"/>
      <c r="C53" s="121"/>
      <c r="D53" s="121"/>
      <c r="E53" s="121"/>
      <c r="F53" s="121"/>
      <c r="G53" s="121"/>
      <c r="H53" s="121"/>
      <c r="I53" s="121"/>
      <c r="J53" s="121"/>
      <c r="K53" s="121"/>
      <c r="L53" s="121"/>
      <c r="M53" s="121"/>
      <c r="N53" s="121"/>
      <c r="O53" s="121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</row>
    <row r="54" customFormat="false" ht="15.75" hidden="false" customHeight="false" outlineLevel="0" collapsed="false">
      <c r="A54" s="121"/>
      <c r="B54" s="121"/>
      <c r="C54" s="121"/>
      <c r="D54" s="121"/>
      <c r="E54" s="121"/>
      <c r="F54" s="121"/>
      <c r="G54" s="121"/>
      <c r="H54" s="121"/>
      <c r="I54" s="121"/>
      <c r="J54" s="121"/>
      <c r="K54" s="121"/>
      <c r="L54" s="121"/>
      <c r="M54" s="121"/>
      <c r="N54" s="121"/>
      <c r="O54" s="121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</row>
    <row r="55" customFormat="false" ht="15.75" hidden="false" customHeight="false" outlineLevel="0" collapsed="false">
      <c r="A55" s="121"/>
      <c r="B55" s="121"/>
      <c r="C55" s="121"/>
      <c r="D55" s="121"/>
      <c r="E55" s="121"/>
      <c r="F55" s="121"/>
      <c r="G55" s="121"/>
      <c r="H55" s="121"/>
      <c r="I55" s="121"/>
      <c r="J55" s="121"/>
      <c r="K55" s="121"/>
      <c r="L55" s="121"/>
      <c r="M55" s="121"/>
      <c r="N55" s="121"/>
      <c r="O55" s="121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</row>
    <row r="56" customFormat="false" ht="15.75" hidden="false" customHeight="false" outlineLevel="0" collapsed="false">
      <c r="A56" s="121"/>
      <c r="B56" s="121"/>
      <c r="C56" s="121"/>
      <c r="D56" s="121"/>
      <c r="E56" s="121"/>
      <c r="F56" s="121"/>
      <c r="G56" s="121"/>
      <c r="H56" s="121"/>
      <c r="I56" s="121"/>
      <c r="J56" s="121"/>
      <c r="K56" s="121"/>
      <c r="L56" s="121"/>
      <c r="M56" s="121"/>
      <c r="N56" s="121"/>
      <c r="O56" s="121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</row>
    <row r="57" customFormat="false" ht="15.75" hidden="false" customHeight="false" outlineLevel="0" collapsed="false">
      <c r="A57" s="121"/>
      <c r="B57" s="121"/>
      <c r="C57" s="121"/>
      <c r="D57" s="121"/>
      <c r="E57" s="121"/>
      <c r="F57" s="121"/>
      <c r="G57" s="121"/>
      <c r="H57" s="121"/>
      <c r="I57" s="121"/>
      <c r="J57" s="121"/>
      <c r="K57" s="121"/>
      <c r="L57" s="121"/>
      <c r="M57" s="121"/>
      <c r="N57" s="121"/>
      <c r="O57" s="121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</row>
    <row r="58" customFormat="false" ht="15.75" hidden="false" customHeight="false" outlineLevel="0" collapsed="false">
      <c r="A58" s="121"/>
      <c r="B58" s="121"/>
      <c r="C58" s="121"/>
      <c r="D58" s="121"/>
      <c r="E58" s="121"/>
      <c r="F58" s="121"/>
      <c r="G58" s="121"/>
      <c r="H58" s="121"/>
      <c r="I58" s="121"/>
      <c r="J58" s="121"/>
      <c r="K58" s="121"/>
      <c r="L58" s="121"/>
      <c r="M58" s="121"/>
      <c r="N58" s="121"/>
      <c r="O58" s="121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</row>
    <row r="59" customFormat="false" ht="15.75" hidden="false" customHeight="false" outlineLevel="0" collapsed="false">
      <c r="A59" s="121"/>
      <c r="B59" s="121"/>
      <c r="C59" s="121"/>
      <c r="D59" s="121"/>
      <c r="E59" s="121"/>
      <c r="F59" s="121"/>
      <c r="G59" s="121"/>
      <c r="H59" s="121"/>
      <c r="I59" s="121"/>
      <c r="J59" s="121"/>
      <c r="K59" s="121"/>
      <c r="L59" s="121"/>
      <c r="M59" s="121"/>
      <c r="N59" s="121"/>
      <c r="O59" s="121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</row>
    <row r="60" customFormat="false" ht="15.75" hidden="false" customHeight="false" outlineLevel="0" collapsed="false">
      <c r="A60" s="121"/>
      <c r="B60" s="121"/>
      <c r="C60" s="121"/>
      <c r="D60" s="121"/>
      <c r="E60" s="121"/>
      <c r="F60" s="121"/>
      <c r="G60" s="121"/>
      <c r="H60" s="121"/>
      <c r="I60" s="121"/>
      <c r="J60" s="121"/>
      <c r="K60" s="121"/>
      <c r="L60" s="121"/>
      <c r="M60" s="121"/>
      <c r="N60" s="121"/>
      <c r="O60" s="121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</row>
    <row r="61" customFormat="false" ht="15.75" hidden="false" customHeight="false" outlineLevel="0" collapsed="false">
      <c r="A61" s="121"/>
      <c r="B61" s="121"/>
      <c r="C61" s="121"/>
      <c r="D61" s="121"/>
      <c r="E61" s="121"/>
      <c r="F61" s="121"/>
      <c r="G61" s="121"/>
      <c r="H61" s="121"/>
      <c r="I61" s="121"/>
      <c r="J61" s="121"/>
      <c r="K61" s="121"/>
      <c r="L61" s="121"/>
      <c r="M61" s="121"/>
      <c r="N61" s="121"/>
      <c r="O61" s="121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</row>
    <row r="62" customFormat="false" ht="15.75" hidden="false" customHeight="false" outlineLevel="0" collapsed="false">
      <c r="A62" s="121"/>
      <c r="B62" s="121"/>
      <c r="C62" s="121"/>
      <c r="D62" s="121"/>
      <c r="E62" s="121"/>
      <c r="F62" s="121"/>
      <c r="G62" s="121"/>
      <c r="H62" s="121"/>
      <c r="I62" s="121"/>
      <c r="J62" s="121"/>
      <c r="K62" s="121"/>
      <c r="L62" s="121"/>
      <c r="M62" s="121"/>
      <c r="N62" s="121"/>
      <c r="O62" s="121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</row>
    <row r="63" customFormat="false" ht="15.75" hidden="false" customHeight="false" outlineLevel="0" collapsed="false">
      <c r="A63" s="121"/>
      <c r="B63" s="121"/>
      <c r="C63" s="121"/>
      <c r="D63" s="121"/>
      <c r="E63" s="121"/>
      <c r="F63" s="121"/>
      <c r="G63" s="121"/>
      <c r="H63" s="121"/>
      <c r="I63" s="121"/>
      <c r="J63" s="121"/>
      <c r="K63" s="121"/>
      <c r="L63" s="121"/>
      <c r="M63" s="121"/>
      <c r="N63" s="121"/>
      <c r="O63" s="121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</row>
    <row r="64" customFormat="false" ht="15.75" hidden="false" customHeight="false" outlineLevel="0" collapsed="false">
      <c r="A64" s="121"/>
      <c r="B64" s="121"/>
      <c r="C64" s="121"/>
      <c r="D64" s="121"/>
      <c r="E64" s="121"/>
      <c r="F64" s="121"/>
      <c r="G64" s="121"/>
      <c r="H64" s="121"/>
      <c r="I64" s="121"/>
      <c r="J64" s="121"/>
      <c r="K64" s="121"/>
      <c r="L64" s="121"/>
      <c r="M64" s="121"/>
      <c r="N64" s="121"/>
      <c r="O64" s="121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</row>
    <row r="65" customFormat="false" ht="15.75" hidden="false" customHeight="false" outlineLevel="0" collapsed="false">
      <c r="A65" s="121"/>
      <c r="B65" s="121"/>
      <c r="C65" s="121"/>
      <c r="D65" s="121"/>
      <c r="E65" s="121"/>
      <c r="F65" s="121"/>
      <c r="G65" s="121"/>
      <c r="H65" s="121"/>
      <c r="I65" s="121"/>
      <c r="J65" s="121"/>
      <c r="K65" s="121"/>
      <c r="L65" s="121"/>
      <c r="M65" s="121"/>
      <c r="N65" s="121"/>
      <c r="O65" s="121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</row>
    <row r="66" customFormat="false" ht="15.75" hidden="false" customHeight="false" outlineLevel="0" collapsed="false">
      <c r="A66" s="121"/>
      <c r="B66" s="121"/>
      <c r="C66" s="121"/>
      <c r="D66" s="121"/>
      <c r="E66" s="121"/>
      <c r="F66" s="121"/>
      <c r="G66" s="121"/>
      <c r="H66" s="121"/>
      <c r="I66" s="121"/>
      <c r="J66" s="121"/>
      <c r="K66" s="121"/>
      <c r="L66" s="121"/>
      <c r="M66" s="121"/>
      <c r="N66" s="121"/>
      <c r="O66" s="121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</row>
    <row r="67" customFormat="false" ht="15.75" hidden="false" customHeight="false" outlineLevel="0" collapsed="false">
      <c r="A67" s="121"/>
      <c r="B67" s="121"/>
      <c r="C67" s="121"/>
      <c r="D67" s="121"/>
      <c r="E67" s="121"/>
      <c r="F67" s="121"/>
      <c r="G67" s="121"/>
      <c r="H67" s="121"/>
      <c r="I67" s="121"/>
      <c r="J67" s="121"/>
      <c r="K67" s="121"/>
      <c r="L67" s="121"/>
      <c r="M67" s="121"/>
      <c r="N67" s="121"/>
      <c r="O67" s="121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</row>
    <row r="68" customFormat="false" ht="15.75" hidden="false" customHeight="false" outlineLevel="0" collapsed="false">
      <c r="A68" s="121"/>
      <c r="B68" s="121"/>
      <c r="C68" s="121"/>
      <c r="D68" s="121"/>
      <c r="E68" s="121"/>
      <c r="F68" s="121"/>
      <c r="G68" s="121"/>
      <c r="H68" s="121"/>
      <c r="I68" s="121"/>
      <c r="J68" s="121"/>
      <c r="K68" s="121"/>
      <c r="L68" s="121"/>
      <c r="M68" s="121"/>
      <c r="N68" s="121"/>
      <c r="O68" s="121"/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</row>
    <row r="69" customFormat="false" ht="15.75" hidden="false" customHeight="false" outlineLevel="0" collapsed="false">
      <c r="A69" s="121"/>
      <c r="B69" s="121"/>
      <c r="C69" s="121"/>
      <c r="D69" s="121"/>
      <c r="E69" s="121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</row>
    <row r="70" customFormat="false" ht="15.75" hidden="false" customHeight="false" outlineLevel="0" collapsed="false">
      <c r="A70" s="121"/>
      <c r="B70" s="121"/>
      <c r="C70" s="121"/>
      <c r="D70" s="121"/>
      <c r="E70" s="121"/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</row>
    <row r="71" customFormat="false" ht="15.75" hidden="false" customHeight="false" outlineLevel="0" collapsed="false">
      <c r="A71" s="121"/>
      <c r="B71" s="121"/>
      <c r="C71" s="121"/>
      <c r="D71" s="121"/>
      <c r="E71" s="121"/>
      <c r="F71" s="121"/>
      <c r="G71" s="121"/>
      <c r="H71" s="121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</row>
    <row r="72" customFormat="false" ht="15.75" hidden="false" customHeight="false" outlineLevel="0" collapsed="false">
      <c r="A72" s="121"/>
      <c r="B72" s="121"/>
      <c r="C72" s="121"/>
      <c r="D72" s="121"/>
      <c r="E72" s="121"/>
      <c r="F72" s="121"/>
      <c r="G72" s="121"/>
      <c r="H72" s="121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</row>
    <row r="73" customFormat="false" ht="15.75" hidden="false" customHeight="false" outlineLevel="0" collapsed="false">
      <c r="A73" s="121"/>
      <c r="B73" s="121"/>
      <c r="C73" s="121"/>
      <c r="D73" s="121"/>
      <c r="E73" s="121"/>
      <c r="F73" s="121"/>
      <c r="G73" s="121"/>
      <c r="H73" s="121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</row>
    <row r="74" customFormat="false" ht="15.75" hidden="false" customHeight="false" outlineLevel="0" collapsed="false">
      <c r="A74" s="121"/>
      <c r="B74" s="121"/>
      <c r="C74" s="121"/>
      <c r="D74" s="121"/>
      <c r="E74" s="121"/>
      <c r="F74" s="121"/>
      <c r="G74" s="121"/>
      <c r="H74" s="121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</row>
    <row r="75" customFormat="false" ht="15.75" hidden="false" customHeight="false" outlineLevel="0" collapsed="false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</row>
    <row r="76" customFormat="false" ht="15.75" hidden="false" customHeight="false" outlineLevel="0" collapsed="false">
      <c r="A76" s="121"/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</row>
    <row r="77" customFormat="false" ht="15.75" hidden="false" customHeight="false" outlineLevel="0" collapsed="false">
      <c r="A77" s="121"/>
      <c r="B77" s="121"/>
      <c r="C77" s="121"/>
      <c r="D77" s="121"/>
      <c r="E77" s="121"/>
      <c r="F77" s="121"/>
      <c r="G77" s="121"/>
      <c r="H77" s="121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</row>
    <row r="78" customFormat="false" ht="15.75" hidden="false" customHeight="false" outlineLevel="0" collapsed="false">
      <c r="A78" s="121"/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</row>
    <row r="79" customFormat="false" ht="15.75" hidden="false" customHeight="false" outlineLevel="0" collapsed="false">
      <c r="A79" s="121"/>
      <c r="B79" s="121"/>
      <c r="C79" s="121"/>
      <c r="D79" s="121"/>
      <c r="E79" s="121"/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</row>
    <row r="80" customFormat="false" ht="15.75" hidden="false" customHeight="false" outlineLevel="0" collapsed="false">
      <c r="A80" s="121"/>
      <c r="B80" s="121"/>
      <c r="C80" s="121"/>
      <c r="D80" s="121"/>
      <c r="E80" s="121"/>
      <c r="F80" s="121"/>
      <c r="G80" s="121"/>
      <c r="H80" s="121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</row>
    <row r="81" customFormat="false" ht="15.75" hidden="false" customHeight="false" outlineLevel="0" collapsed="false">
      <c r="A81" s="121"/>
      <c r="B81" s="121"/>
      <c r="C81" s="121"/>
      <c r="D81" s="121"/>
      <c r="E81" s="121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</row>
    <row r="82" customFormat="false" ht="15.75" hidden="false" customHeight="false" outlineLevel="0" collapsed="false">
      <c r="A82" s="121"/>
      <c r="B82" s="121"/>
      <c r="C82" s="121"/>
      <c r="D82" s="121"/>
      <c r="E82" s="121"/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</row>
    <row r="83" customFormat="false" ht="15.75" hidden="false" customHeight="false" outlineLevel="0" collapsed="false">
      <c r="A83" s="121"/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</row>
    <row r="84" customFormat="false" ht="15.75" hidden="false" customHeight="false" outlineLevel="0" collapsed="false">
      <c r="A84" s="121"/>
      <c r="B84" s="121"/>
      <c r="C84" s="121"/>
      <c r="D84" s="121"/>
      <c r="E84" s="121"/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</row>
    <row r="85" customFormat="false" ht="15.75" hidden="false" customHeight="false" outlineLevel="0" collapsed="false">
      <c r="A85" s="121"/>
      <c r="B85" s="121"/>
      <c r="C85" s="121"/>
      <c r="D85" s="121"/>
      <c r="E85" s="121"/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</row>
    <row r="86" customFormat="false" ht="15.75" hidden="false" customHeight="false" outlineLevel="0" collapsed="false">
      <c r="A86" s="121"/>
      <c r="B86" s="121"/>
      <c r="C86" s="121"/>
      <c r="D86" s="121"/>
      <c r="E86" s="121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</row>
    <row r="87" customFormat="false" ht="15.75" hidden="false" customHeight="false" outlineLevel="0" collapsed="false">
      <c r="A87" s="121"/>
      <c r="B87" s="121"/>
      <c r="C87" s="121"/>
      <c r="D87" s="121"/>
      <c r="E87" s="121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</row>
    <row r="88" customFormat="false" ht="15.75" hidden="false" customHeight="false" outlineLevel="0" collapsed="false">
      <c r="A88" s="121"/>
      <c r="B88" s="121"/>
      <c r="C88" s="121"/>
      <c r="D88" s="121"/>
      <c r="E88" s="121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</row>
    <row r="89" customFormat="false" ht="15.75" hidden="false" customHeight="false" outlineLevel="0" collapsed="false">
      <c r="A89" s="121"/>
      <c r="B89" s="121"/>
      <c r="C89" s="121"/>
      <c r="D89" s="121"/>
      <c r="E89" s="121"/>
      <c r="F89" s="121"/>
      <c r="G89" s="121"/>
      <c r="H89" s="121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</row>
    <row r="90" customFormat="false" ht="15.75" hidden="false" customHeight="false" outlineLevel="0" collapsed="false">
      <c r="A90" s="121"/>
      <c r="B90" s="121"/>
      <c r="C90" s="121"/>
      <c r="D90" s="121"/>
      <c r="E90" s="121"/>
      <c r="F90" s="121"/>
      <c r="G90" s="121"/>
      <c r="H90" s="121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</row>
    <row r="91" customFormat="false" ht="15.75" hidden="false" customHeight="false" outlineLevel="0" collapsed="false">
      <c r="A91" s="121"/>
      <c r="B91" s="121"/>
      <c r="C91" s="121"/>
      <c r="D91" s="121"/>
      <c r="E91" s="121"/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</row>
    <row r="92" customFormat="false" ht="15.75" hidden="false" customHeight="false" outlineLevel="0" collapsed="false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</row>
    <row r="93" customFormat="false" ht="15.75" hidden="false" customHeight="false" outlineLevel="0" collapsed="false">
      <c r="A93" s="121"/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</row>
    <row r="94" customFormat="false" ht="15.75" hidden="false" customHeight="false" outlineLevel="0" collapsed="false">
      <c r="A94" s="121"/>
      <c r="B94" s="121"/>
      <c r="C94" s="121"/>
      <c r="D94" s="121"/>
      <c r="E94" s="121"/>
      <c r="F94" s="121"/>
      <c r="G94" s="121"/>
      <c r="H94" s="121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</row>
    <row r="95" customFormat="false" ht="15.75" hidden="false" customHeight="false" outlineLevel="0" collapsed="false">
      <c r="A95" s="121"/>
      <c r="B95" s="121"/>
      <c r="C95" s="121"/>
      <c r="D95" s="121"/>
      <c r="E95" s="121"/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</row>
    <row r="96" customFormat="false" ht="15.75" hidden="false" customHeight="false" outlineLevel="0" collapsed="false">
      <c r="A96" s="121"/>
      <c r="B96" s="121"/>
      <c r="C96" s="121"/>
      <c r="D96" s="121"/>
      <c r="E96" s="121"/>
      <c r="F96" s="121"/>
      <c r="G96" s="121"/>
      <c r="H96" s="121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</row>
    <row r="97" customFormat="false" ht="15.75" hidden="false" customHeight="false" outlineLevel="0" collapsed="false">
      <c r="A97" s="121"/>
      <c r="B97" s="121"/>
      <c r="C97" s="121"/>
      <c r="D97" s="121"/>
      <c r="E97" s="121"/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</row>
    <row r="98" customFormat="false" ht="15.75" hidden="false" customHeight="false" outlineLevel="0" collapsed="false">
      <c r="A98" s="121"/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</row>
    <row r="99" customFormat="false" ht="15.75" hidden="false" customHeight="false" outlineLevel="0" collapsed="false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</row>
    <row r="100" customFormat="false" ht="15.75" hidden="false" customHeight="false" outlineLevel="0" collapsed="false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</row>
    <row r="101" customFormat="false" ht="15.75" hidden="false" customHeight="false" outlineLevel="0" collapsed="false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</row>
    <row r="102" customFormat="false" ht="15.75" hidden="false" customHeight="false" outlineLevel="0" collapsed="false">
      <c r="A102" s="121"/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</row>
    <row r="103" customFormat="false" ht="15.75" hidden="false" customHeight="false" outlineLevel="0" collapsed="false">
      <c r="A103" s="121"/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</row>
    <row r="104" customFormat="false" ht="15.75" hidden="false" customHeight="false" outlineLevel="0" collapsed="false">
      <c r="A104" s="121"/>
      <c r="B104" s="121"/>
      <c r="C104" s="121"/>
      <c r="D104" s="121"/>
      <c r="E104" s="121"/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</row>
    <row r="105" customFormat="false" ht="15.75" hidden="false" customHeight="false" outlineLevel="0" collapsed="false">
      <c r="A105" s="121"/>
      <c r="B105" s="121"/>
      <c r="C105" s="121"/>
      <c r="D105" s="121"/>
      <c r="E105" s="121"/>
      <c r="F105" s="121"/>
      <c r="G105" s="121"/>
      <c r="H105" s="121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</row>
    <row r="106" customFormat="false" ht="15.75" hidden="false" customHeight="false" outlineLevel="0" collapsed="false">
      <c r="A106" s="121"/>
      <c r="B106" s="121"/>
      <c r="C106" s="121"/>
      <c r="D106" s="121"/>
      <c r="E106" s="121"/>
      <c r="F106" s="121"/>
      <c r="G106" s="121"/>
      <c r="H106" s="121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</row>
    <row r="107" customFormat="false" ht="15.75" hidden="false" customHeight="false" outlineLevel="0" collapsed="false">
      <c r="A107" s="121"/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</row>
    <row r="108" customFormat="false" ht="15.75" hidden="false" customHeight="false" outlineLevel="0" collapsed="false">
      <c r="A108" s="121"/>
      <c r="B108" s="121"/>
      <c r="C108" s="121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</row>
    <row r="109" customFormat="false" ht="15.75" hidden="false" customHeight="false" outlineLevel="0" collapsed="false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</row>
    <row r="110" customFormat="false" ht="15.75" hidden="false" customHeight="false" outlineLevel="0" collapsed="false">
      <c r="A110" s="121"/>
      <c r="B110" s="121"/>
      <c r="C110" s="121"/>
      <c r="D110" s="121"/>
      <c r="E110" s="121"/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</row>
    <row r="111" customFormat="false" ht="15.75" hidden="false" customHeight="false" outlineLevel="0" collapsed="false">
      <c r="A111" s="121"/>
      <c r="B111" s="121"/>
      <c r="C111" s="121"/>
      <c r="D111" s="121"/>
      <c r="E111" s="121"/>
      <c r="F111" s="121"/>
      <c r="G111" s="121"/>
      <c r="H111" s="121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</row>
    <row r="112" customFormat="false" ht="15.75" hidden="false" customHeight="false" outlineLevel="0" collapsed="false">
      <c r="A112" s="121"/>
      <c r="B112" s="121"/>
      <c r="C112" s="121"/>
      <c r="D112" s="121"/>
      <c r="E112" s="121"/>
      <c r="F112" s="121"/>
      <c r="G112" s="121"/>
      <c r="H112" s="121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</row>
    <row r="113" customFormat="false" ht="15.75" hidden="false" customHeight="false" outlineLevel="0" collapsed="false">
      <c r="A113" s="121"/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</row>
    <row r="114" customFormat="false" ht="15.75" hidden="false" customHeight="false" outlineLevel="0" collapsed="false">
      <c r="A114" s="121"/>
      <c r="B114" s="121"/>
      <c r="C114" s="121"/>
      <c r="D114" s="121"/>
      <c r="E114" s="121"/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</row>
    <row r="115" customFormat="false" ht="15.75" hidden="false" customHeight="false" outlineLevel="0" collapsed="false">
      <c r="A115" s="121"/>
      <c r="B115" s="121"/>
      <c r="C115" s="121"/>
      <c r="D115" s="121"/>
      <c r="E115" s="121"/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</row>
    <row r="116" customFormat="false" ht="15.75" hidden="false" customHeight="false" outlineLevel="0" collapsed="false">
      <c r="A116" s="121"/>
      <c r="B116" s="121"/>
      <c r="C116" s="121"/>
      <c r="D116" s="121"/>
      <c r="E116" s="121"/>
      <c r="F116" s="121"/>
      <c r="G116" s="121"/>
      <c r="H116" s="121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</row>
    <row r="117" customFormat="false" ht="15.75" hidden="false" customHeight="false" outlineLevel="0" collapsed="false">
      <c r="A117" s="121"/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</row>
    <row r="118" customFormat="false" ht="15.75" hidden="false" customHeight="false" outlineLevel="0" collapsed="false">
      <c r="A118" s="121"/>
      <c r="B118" s="121"/>
      <c r="C118" s="121"/>
      <c r="D118" s="121"/>
      <c r="E118" s="121"/>
      <c r="F118" s="121"/>
      <c r="G118" s="121"/>
      <c r="H118" s="121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</row>
    <row r="119" customFormat="false" ht="15.75" hidden="false" customHeight="false" outlineLevel="0" collapsed="false">
      <c r="A119" s="121"/>
      <c r="B119" s="121"/>
      <c r="C119" s="121"/>
      <c r="D119" s="121"/>
      <c r="E119" s="121"/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</row>
    <row r="120" customFormat="false" ht="15.75" hidden="false" customHeight="false" outlineLevel="0" collapsed="false">
      <c r="A120" s="121"/>
      <c r="B120" s="121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</row>
    <row r="121" customFormat="false" ht="15.75" hidden="false" customHeight="false" outlineLevel="0" collapsed="false">
      <c r="A121" s="121"/>
      <c r="B121" s="121"/>
      <c r="C121" s="121"/>
      <c r="D121" s="121"/>
      <c r="E121" s="121"/>
      <c r="F121" s="121"/>
      <c r="G121" s="121"/>
      <c r="H121" s="121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</row>
    <row r="122" customFormat="false" ht="15.75" hidden="false" customHeight="false" outlineLevel="0" collapsed="false">
      <c r="A122" s="121"/>
      <c r="B122" s="121"/>
      <c r="C122" s="121"/>
      <c r="D122" s="121"/>
      <c r="E122" s="121"/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</row>
    <row r="123" customFormat="false" ht="15.75" hidden="false" customHeight="false" outlineLevel="0" collapsed="false">
      <c r="A123" s="121"/>
      <c r="B123" s="121"/>
      <c r="C123" s="121"/>
      <c r="D123" s="121"/>
      <c r="E123" s="121"/>
      <c r="F123" s="121"/>
      <c r="G123" s="121"/>
      <c r="H123" s="121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</row>
    <row r="124" customFormat="false" ht="15.75" hidden="false" customHeight="false" outlineLevel="0" collapsed="false">
      <c r="A124" s="121"/>
      <c r="B124" s="121"/>
      <c r="C124" s="121"/>
      <c r="D124" s="121"/>
      <c r="E124" s="121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</row>
    <row r="125" customFormat="false" ht="15.75" hidden="false" customHeight="false" outlineLevel="0" collapsed="false">
      <c r="A125" s="121"/>
      <c r="B125" s="121"/>
      <c r="C125" s="121"/>
      <c r="D125" s="121"/>
      <c r="E125" s="121"/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</row>
    <row r="126" customFormat="false" ht="15.75" hidden="false" customHeight="false" outlineLevel="0" collapsed="false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</row>
    <row r="127" customFormat="false" ht="15.75" hidden="false" customHeight="false" outlineLevel="0" collapsed="false">
      <c r="A127" s="121"/>
      <c r="B127" s="121"/>
      <c r="C127" s="121"/>
      <c r="D127" s="121"/>
      <c r="E127" s="121"/>
      <c r="F127" s="121"/>
      <c r="G127" s="121"/>
      <c r="H127" s="121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</row>
    <row r="128" customFormat="false" ht="15.75" hidden="false" customHeight="false" outlineLevel="0" collapsed="false">
      <c r="A128" s="121"/>
      <c r="B128" s="121"/>
      <c r="C128" s="121"/>
      <c r="D128" s="121"/>
      <c r="E128" s="121"/>
      <c r="F128" s="121"/>
      <c r="G128" s="121"/>
      <c r="H128" s="121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</row>
    <row r="129" customFormat="false" ht="15.75" hidden="false" customHeight="false" outlineLevel="0" collapsed="false">
      <c r="A129" s="121"/>
      <c r="B129" s="121"/>
      <c r="C129" s="121"/>
      <c r="D129" s="121"/>
      <c r="E129" s="121"/>
      <c r="F129" s="121"/>
      <c r="G129" s="121"/>
      <c r="H129" s="121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</row>
    <row r="130" customFormat="false" ht="15.75" hidden="false" customHeight="false" outlineLevel="0" collapsed="false">
      <c r="A130" s="121"/>
      <c r="B130" s="121"/>
      <c r="C130" s="121"/>
      <c r="D130" s="121"/>
      <c r="E130" s="121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</row>
    <row r="131" customFormat="false" ht="15.75" hidden="false" customHeight="false" outlineLevel="0" collapsed="false">
      <c r="A131" s="121"/>
      <c r="B131" s="121"/>
      <c r="C131" s="121"/>
      <c r="D131" s="121"/>
      <c r="E131" s="121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</row>
    <row r="132" customFormat="false" ht="15.75" hidden="false" customHeight="false" outlineLevel="0" collapsed="false">
      <c r="A132" s="121"/>
      <c r="B132" s="121"/>
      <c r="C132" s="121"/>
      <c r="D132" s="121"/>
      <c r="E132" s="121"/>
      <c r="F132" s="121"/>
      <c r="G132" s="121"/>
      <c r="H132" s="121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</row>
    <row r="133" customFormat="false" ht="15.75" hidden="false" customHeight="false" outlineLevel="0" collapsed="false">
      <c r="A133" s="121"/>
      <c r="B133" s="121"/>
      <c r="C133" s="121"/>
      <c r="D133" s="121"/>
      <c r="E133" s="121"/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</row>
    <row r="134" customFormat="false" ht="15.75" hidden="false" customHeight="false" outlineLevel="0" collapsed="false">
      <c r="A134" s="121"/>
      <c r="B134" s="121"/>
      <c r="C134" s="121"/>
      <c r="D134" s="121"/>
      <c r="E134" s="121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</row>
    <row r="135" customFormat="false" ht="15.75" hidden="false" customHeight="false" outlineLevel="0" collapsed="false">
      <c r="A135" s="121"/>
      <c r="B135" s="121"/>
      <c r="C135" s="121"/>
      <c r="D135" s="121"/>
      <c r="E135" s="121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</row>
    <row r="136" customFormat="false" ht="15.75" hidden="false" customHeight="false" outlineLevel="0" collapsed="false">
      <c r="A136" s="121"/>
      <c r="B136" s="121"/>
      <c r="C136" s="121"/>
      <c r="D136" s="121"/>
      <c r="E136" s="121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</row>
    <row r="137" customFormat="false" ht="15.75" hidden="false" customHeight="false" outlineLevel="0" collapsed="false">
      <c r="A137" s="121"/>
      <c r="B137" s="121"/>
      <c r="C137" s="121"/>
      <c r="D137" s="121"/>
      <c r="E137" s="121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</row>
    <row r="138" customFormat="false" ht="15.75" hidden="false" customHeight="false" outlineLevel="0" collapsed="false">
      <c r="A138" s="121"/>
      <c r="B138" s="121"/>
      <c r="C138" s="121"/>
      <c r="D138" s="121"/>
      <c r="E138" s="121"/>
      <c r="F138" s="121"/>
      <c r="G138" s="121"/>
      <c r="H138" s="121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</row>
    <row r="139" customFormat="false" ht="15.75" hidden="false" customHeight="false" outlineLevel="0" collapsed="false">
      <c r="A139" s="121"/>
      <c r="B139" s="121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</row>
    <row r="140" customFormat="false" ht="15.75" hidden="false" customHeight="false" outlineLevel="0" collapsed="false">
      <c r="A140" s="121"/>
      <c r="B140" s="121"/>
      <c r="C140" s="121"/>
      <c r="D140" s="121"/>
      <c r="E140" s="121"/>
      <c r="F140" s="121"/>
      <c r="G140" s="121"/>
      <c r="H140" s="121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</row>
    <row r="141" customFormat="false" ht="15.75" hidden="false" customHeight="false" outlineLevel="0" collapsed="false">
      <c r="A141" s="121"/>
      <c r="B141" s="121"/>
      <c r="C141" s="121"/>
      <c r="D141" s="121"/>
      <c r="E141" s="121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</row>
    <row r="142" customFormat="false" ht="15.75" hidden="false" customHeight="false" outlineLevel="0" collapsed="false">
      <c r="A142" s="121"/>
      <c r="B142" s="121"/>
      <c r="C142" s="121"/>
      <c r="D142" s="121"/>
      <c r="E142" s="121"/>
      <c r="F142" s="121"/>
      <c r="G142" s="121"/>
      <c r="H142" s="121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</row>
    <row r="143" customFormat="false" ht="15.75" hidden="false" customHeight="false" outlineLevel="0" collapsed="false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</row>
    <row r="144" customFormat="false" ht="15.75" hidden="false" customHeight="false" outlineLevel="0" collapsed="false">
      <c r="A144" s="121"/>
      <c r="B144" s="121"/>
      <c r="C144" s="121"/>
      <c r="D144" s="121"/>
      <c r="E144" s="121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</row>
    <row r="145" customFormat="false" ht="15.75" hidden="false" customHeight="false" outlineLevel="0" collapsed="false">
      <c r="A145" s="121"/>
      <c r="B145" s="121"/>
      <c r="C145" s="121"/>
      <c r="D145" s="121"/>
      <c r="E145" s="121"/>
      <c r="F145" s="121"/>
      <c r="G145" s="121"/>
      <c r="H145" s="121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</row>
    <row r="146" customFormat="false" ht="15.75" hidden="false" customHeight="false" outlineLevel="0" collapsed="false">
      <c r="A146" s="121"/>
      <c r="B146" s="121"/>
      <c r="C146" s="121"/>
      <c r="D146" s="121"/>
      <c r="E146" s="121"/>
      <c r="F146" s="121"/>
      <c r="G146" s="121"/>
      <c r="H146" s="121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</row>
    <row r="147" customFormat="false" ht="15.75" hidden="false" customHeight="false" outlineLevel="0" collapsed="false">
      <c r="A147" s="121"/>
      <c r="B147" s="121"/>
      <c r="C147" s="121"/>
      <c r="D147" s="121"/>
      <c r="E147" s="121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</row>
    <row r="148" customFormat="false" ht="15.75" hidden="false" customHeight="false" outlineLevel="0" collapsed="false">
      <c r="A148" s="121"/>
      <c r="B148" s="121"/>
      <c r="C148" s="121"/>
      <c r="D148" s="121"/>
      <c r="E148" s="121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</row>
    <row r="149" customFormat="false" ht="15.75" hidden="false" customHeight="false" outlineLevel="0" collapsed="false">
      <c r="A149" s="121"/>
      <c r="B149" s="121"/>
      <c r="C149" s="121"/>
      <c r="D149" s="121"/>
      <c r="E149" s="121"/>
      <c r="F149" s="121"/>
      <c r="G149" s="121"/>
      <c r="H149" s="121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</row>
    <row r="150" customFormat="false" ht="15.75" hidden="false" customHeight="false" outlineLevel="0" collapsed="false">
      <c r="A150" s="121"/>
      <c r="B150" s="121"/>
      <c r="C150" s="121"/>
      <c r="D150" s="121"/>
      <c r="E150" s="121"/>
      <c r="F150" s="121"/>
      <c r="G150" s="121"/>
      <c r="H150" s="121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</row>
    <row r="151" customFormat="false" ht="15.75" hidden="false" customHeight="false" outlineLevel="0" collapsed="false">
      <c r="A151" s="121"/>
      <c r="B151" s="121"/>
      <c r="C151" s="121"/>
      <c r="D151" s="121"/>
      <c r="E151" s="121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</row>
    <row r="152" customFormat="false" ht="15.75" hidden="false" customHeight="false" outlineLevel="0" collapsed="false">
      <c r="A152" s="121"/>
      <c r="B152" s="121"/>
      <c r="C152" s="121"/>
      <c r="D152" s="121"/>
      <c r="E152" s="121"/>
      <c r="F152" s="121"/>
      <c r="G152" s="121"/>
      <c r="H152" s="121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</row>
    <row r="153" customFormat="false" ht="15.75" hidden="false" customHeight="false" outlineLevel="0" collapsed="false">
      <c r="A153" s="121"/>
      <c r="B153" s="121"/>
      <c r="C153" s="121"/>
      <c r="D153" s="121"/>
      <c r="E153" s="121"/>
      <c r="F153" s="121"/>
      <c r="G153" s="121"/>
      <c r="H153" s="121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</row>
    <row r="154" customFormat="false" ht="15.75" hidden="false" customHeight="false" outlineLevel="0" collapsed="false">
      <c r="A154" s="121"/>
      <c r="B154" s="121"/>
      <c r="C154" s="121"/>
      <c r="D154" s="121"/>
      <c r="E154" s="121"/>
      <c r="F154" s="121"/>
      <c r="G154" s="121"/>
      <c r="H154" s="121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</row>
    <row r="155" customFormat="false" ht="15.75" hidden="false" customHeight="false" outlineLevel="0" collapsed="false">
      <c r="A155" s="121"/>
      <c r="B155" s="121"/>
      <c r="C155" s="121"/>
      <c r="D155" s="121"/>
      <c r="E155" s="121"/>
      <c r="F155" s="121"/>
      <c r="G155" s="121"/>
      <c r="H155" s="121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</row>
    <row r="156" customFormat="false" ht="15.75" hidden="false" customHeight="false" outlineLevel="0" collapsed="false">
      <c r="A156" s="121"/>
      <c r="B156" s="121"/>
      <c r="C156" s="121"/>
      <c r="D156" s="121"/>
      <c r="E156" s="121"/>
      <c r="F156" s="121"/>
      <c r="G156" s="121"/>
      <c r="H156" s="121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</row>
    <row r="157" customFormat="false" ht="15.75" hidden="false" customHeight="false" outlineLevel="0" collapsed="false">
      <c r="A157" s="121"/>
      <c r="B157" s="121"/>
      <c r="C157" s="121"/>
      <c r="D157" s="121"/>
      <c r="E157" s="121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</row>
    <row r="158" customFormat="false" ht="15.75" hidden="false" customHeight="false" outlineLevel="0" collapsed="false">
      <c r="A158" s="121"/>
      <c r="B158" s="121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</row>
    <row r="159" customFormat="false" ht="15.75" hidden="false" customHeight="false" outlineLevel="0" collapsed="false">
      <c r="A159" s="121"/>
      <c r="B159" s="121"/>
      <c r="C159" s="121"/>
      <c r="D159" s="121"/>
      <c r="E159" s="121"/>
      <c r="F159" s="121"/>
      <c r="G159" s="121"/>
      <c r="H159" s="121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</row>
    <row r="160" customFormat="false" ht="15.75" hidden="false" customHeight="false" outlineLevel="0" collapsed="false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</row>
    <row r="161" customFormat="false" ht="15.75" hidden="false" customHeight="false" outlineLevel="0" collapsed="false">
      <c r="A161" s="121"/>
      <c r="B161" s="121"/>
      <c r="C161" s="121"/>
      <c r="D161" s="121"/>
      <c r="E161" s="121"/>
      <c r="F161" s="121"/>
      <c r="G161" s="121"/>
      <c r="H161" s="121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</row>
    <row r="162" customFormat="false" ht="15.75" hidden="false" customHeight="false" outlineLevel="0" collapsed="false">
      <c r="A162" s="121"/>
      <c r="B162" s="121"/>
      <c r="C162" s="121"/>
      <c r="D162" s="121"/>
      <c r="E162" s="121"/>
      <c r="F162" s="121"/>
      <c r="G162" s="121"/>
      <c r="H162" s="121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</row>
    <row r="163" customFormat="false" ht="15.75" hidden="false" customHeight="false" outlineLevel="0" collapsed="false">
      <c r="A163" s="121"/>
      <c r="B163" s="121"/>
      <c r="C163" s="121"/>
      <c r="D163" s="121"/>
      <c r="E163" s="121"/>
      <c r="F163" s="121"/>
      <c r="G163" s="121"/>
      <c r="H163" s="121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</row>
    <row r="164" customFormat="false" ht="15.75" hidden="false" customHeight="false" outlineLevel="0" collapsed="false">
      <c r="A164" s="121"/>
      <c r="B164" s="121"/>
      <c r="C164" s="121"/>
      <c r="D164" s="121"/>
      <c r="E164" s="121"/>
      <c r="F164" s="121"/>
      <c r="G164" s="121"/>
      <c r="H164" s="121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</row>
    <row r="165" customFormat="false" ht="15.75" hidden="false" customHeight="false" outlineLevel="0" collapsed="false">
      <c r="A165" s="121"/>
      <c r="B165" s="121"/>
      <c r="C165" s="121"/>
      <c r="D165" s="121"/>
      <c r="E165" s="121"/>
      <c r="F165" s="121"/>
      <c r="G165" s="121"/>
      <c r="H165" s="121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</row>
    <row r="166" customFormat="false" ht="15.75" hidden="false" customHeight="false" outlineLevel="0" collapsed="false">
      <c r="A166" s="121"/>
      <c r="B166" s="121"/>
      <c r="C166" s="121"/>
      <c r="D166" s="121"/>
      <c r="E166" s="121"/>
      <c r="F166" s="121"/>
      <c r="G166" s="121"/>
      <c r="H166" s="121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</row>
    <row r="167" customFormat="false" ht="15.75" hidden="false" customHeight="false" outlineLevel="0" collapsed="false">
      <c r="A167" s="121"/>
      <c r="B167" s="121"/>
      <c r="C167" s="121"/>
      <c r="D167" s="121"/>
      <c r="E167" s="121"/>
      <c r="F167" s="121"/>
      <c r="G167" s="121"/>
      <c r="H167" s="121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</row>
    <row r="168" customFormat="false" ht="15.75" hidden="false" customHeight="false" outlineLevel="0" collapsed="false">
      <c r="A168" s="121"/>
      <c r="B168" s="121"/>
      <c r="C168" s="121"/>
      <c r="D168" s="121"/>
      <c r="E168" s="121"/>
      <c r="F168" s="121"/>
      <c r="G168" s="121"/>
      <c r="H168" s="121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</row>
    <row r="169" customFormat="false" ht="15.75" hidden="false" customHeight="false" outlineLevel="0" collapsed="false">
      <c r="A169" s="121"/>
      <c r="B169" s="121"/>
      <c r="C169" s="121"/>
      <c r="D169" s="121"/>
      <c r="E169" s="121"/>
      <c r="F169" s="121"/>
      <c r="G169" s="121"/>
      <c r="H169" s="121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</row>
    <row r="170" customFormat="false" ht="15.75" hidden="false" customHeight="false" outlineLevel="0" collapsed="false">
      <c r="A170" s="121"/>
      <c r="B170" s="121"/>
      <c r="C170" s="121"/>
      <c r="D170" s="121"/>
      <c r="E170" s="121"/>
      <c r="F170" s="121"/>
      <c r="G170" s="121"/>
      <c r="H170" s="121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</row>
    <row r="171" customFormat="false" ht="15.75" hidden="false" customHeight="false" outlineLevel="0" collapsed="false">
      <c r="A171" s="121"/>
      <c r="B171" s="121"/>
      <c r="C171" s="121"/>
      <c r="D171" s="121"/>
      <c r="E171" s="121"/>
      <c r="F171" s="121"/>
      <c r="G171" s="121"/>
      <c r="H171" s="121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</row>
    <row r="172" customFormat="false" ht="15.75" hidden="false" customHeight="false" outlineLevel="0" collapsed="false">
      <c r="A172" s="121"/>
      <c r="B172" s="121"/>
      <c r="C172" s="121"/>
      <c r="D172" s="121"/>
      <c r="E172" s="121"/>
      <c r="F172" s="121"/>
      <c r="G172" s="121"/>
      <c r="H172" s="121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</row>
    <row r="173" customFormat="false" ht="15.75" hidden="false" customHeight="false" outlineLevel="0" collapsed="false">
      <c r="A173" s="121"/>
      <c r="B173" s="121"/>
      <c r="C173" s="121"/>
      <c r="D173" s="121"/>
      <c r="E173" s="121"/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</row>
    <row r="174" customFormat="false" ht="15.75" hidden="false" customHeight="false" outlineLevel="0" collapsed="false">
      <c r="A174" s="121"/>
      <c r="B174" s="121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</row>
    <row r="175" customFormat="false" ht="15.75" hidden="false" customHeight="false" outlineLevel="0" collapsed="false">
      <c r="A175" s="121"/>
      <c r="B175" s="121"/>
      <c r="C175" s="121"/>
      <c r="D175" s="121"/>
      <c r="E175" s="121"/>
      <c r="F175" s="121"/>
      <c r="G175" s="121"/>
      <c r="H175" s="121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</row>
    <row r="176" customFormat="false" ht="15.75" hidden="false" customHeight="false" outlineLevel="0" collapsed="false">
      <c r="A176" s="121"/>
      <c r="B176" s="121"/>
      <c r="C176" s="121"/>
      <c r="D176" s="121"/>
      <c r="E176" s="121"/>
      <c r="F176" s="121"/>
      <c r="G176" s="121"/>
      <c r="H176" s="121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</row>
    <row r="177" customFormat="false" ht="15.75" hidden="false" customHeight="false" outlineLevel="0" collapsed="false">
      <c r="A177" s="121"/>
      <c r="B177" s="121"/>
      <c r="C177" s="121"/>
      <c r="D177" s="121"/>
      <c r="E177" s="121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</row>
    <row r="178" customFormat="false" ht="15.75" hidden="false" customHeight="false" outlineLevel="0" collapsed="false">
      <c r="A178" s="121"/>
      <c r="B178" s="121"/>
      <c r="C178" s="121"/>
      <c r="D178" s="121"/>
      <c r="E178" s="121"/>
      <c r="F178" s="121"/>
      <c r="G178" s="121"/>
      <c r="H178" s="121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</row>
    <row r="179" customFormat="false" ht="15.75" hidden="false" customHeight="false" outlineLevel="0" collapsed="false">
      <c r="A179" s="121"/>
      <c r="B179" s="121"/>
      <c r="C179" s="121"/>
      <c r="D179" s="121"/>
      <c r="E179" s="121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</row>
    <row r="180" customFormat="false" ht="15.75" hidden="false" customHeight="false" outlineLevel="0" collapsed="false">
      <c r="A180" s="121"/>
      <c r="B180" s="121"/>
      <c r="C180" s="121"/>
      <c r="D180" s="121"/>
      <c r="E180" s="121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</row>
    <row r="181" customFormat="false" ht="15.75" hidden="false" customHeight="false" outlineLevel="0" collapsed="false">
      <c r="A181" s="121"/>
      <c r="B181" s="121"/>
      <c r="C181" s="121"/>
      <c r="D181" s="121"/>
      <c r="E181" s="121"/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</row>
    <row r="182" customFormat="false" ht="15.75" hidden="false" customHeight="false" outlineLevel="0" collapsed="false">
      <c r="A182" s="121"/>
      <c r="B182" s="121"/>
      <c r="C182" s="121"/>
      <c r="D182" s="121"/>
      <c r="E182" s="121"/>
      <c r="F182" s="121"/>
      <c r="G182" s="121"/>
      <c r="H182" s="121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</row>
    <row r="183" customFormat="false" ht="15.75" hidden="false" customHeight="false" outlineLevel="0" collapsed="false">
      <c r="A183" s="121"/>
      <c r="B183" s="121"/>
      <c r="C183" s="121"/>
      <c r="D183" s="121"/>
      <c r="E183" s="121"/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</row>
    <row r="184" customFormat="false" ht="15.75" hidden="false" customHeight="false" outlineLevel="0" collapsed="false">
      <c r="A184" s="121"/>
      <c r="B184" s="121"/>
      <c r="C184" s="121"/>
      <c r="D184" s="121"/>
      <c r="E184" s="121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</row>
    <row r="185" customFormat="false" ht="15.75" hidden="false" customHeight="false" outlineLevel="0" collapsed="false">
      <c r="A185" s="121"/>
      <c r="B185" s="121"/>
      <c r="C185" s="121"/>
      <c r="D185" s="121"/>
      <c r="E185" s="121"/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</row>
    <row r="186" customFormat="false" ht="15.75" hidden="false" customHeight="false" outlineLevel="0" collapsed="false">
      <c r="A186" s="121"/>
      <c r="B186" s="121"/>
      <c r="C186" s="121"/>
      <c r="D186" s="121"/>
      <c r="E186" s="121"/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</row>
    <row r="187" customFormat="false" ht="15.75" hidden="false" customHeight="false" outlineLevel="0" collapsed="false">
      <c r="A187" s="121"/>
      <c r="B187" s="121"/>
      <c r="C187" s="121"/>
      <c r="D187" s="121"/>
      <c r="E187" s="121"/>
      <c r="F187" s="121"/>
      <c r="G187" s="121"/>
      <c r="H187" s="121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</row>
    <row r="188" customFormat="false" ht="15.75" hidden="false" customHeight="false" outlineLevel="0" collapsed="false">
      <c r="A188" s="121"/>
      <c r="B188" s="121"/>
      <c r="C188" s="121"/>
      <c r="D188" s="121"/>
      <c r="E188" s="121"/>
      <c r="F188" s="121"/>
      <c r="G188" s="121"/>
      <c r="H188" s="121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</row>
    <row r="189" customFormat="false" ht="15.75" hidden="false" customHeight="false" outlineLevel="0" collapsed="false">
      <c r="A189" s="121"/>
      <c r="B189" s="121"/>
      <c r="C189" s="121"/>
      <c r="D189" s="121"/>
      <c r="E189" s="121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</row>
    <row r="190" customFormat="false" ht="15.75" hidden="false" customHeight="false" outlineLevel="0" collapsed="false">
      <c r="A190" s="121"/>
      <c r="B190" s="121"/>
      <c r="C190" s="121"/>
      <c r="D190" s="121"/>
      <c r="E190" s="121"/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</row>
    <row r="191" customFormat="false" ht="15.75" hidden="false" customHeight="false" outlineLevel="0" collapsed="false">
      <c r="A191" s="121"/>
      <c r="B191" s="121"/>
      <c r="C191" s="121"/>
      <c r="D191" s="121"/>
      <c r="E191" s="121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</row>
    <row r="192" customFormat="false" ht="15.75" hidden="false" customHeight="false" outlineLevel="0" collapsed="false">
      <c r="A192" s="121"/>
      <c r="B192" s="121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</row>
    <row r="193" customFormat="false" ht="15.75" hidden="false" customHeight="false" outlineLevel="0" collapsed="false">
      <c r="A193" s="121"/>
      <c r="B193" s="121"/>
      <c r="C193" s="121"/>
      <c r="D193" s="121"/>
      <c r="E193" s="121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</row>
    <row r="194" customFormat="false" ht="15.75" hidden="false" customHeight="false" outlineLevel="0" collapsed="false">
      <c r="A194" s="121"/>
      <c r="B194" s="121"/>
      <c r="C194" s="121"/>
      <c r="D194" s="121"/>
      <c r="E194" s="121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</row>
    <row r="195" customFormat="false" ht="15.75" hidden="false" customHeight="false" outlineLevel="0" collapsed="false">
      <c r="A195" s="121"/>
      <c r="B195" s="121"/>
      <c r="C195" s="121"/>
      <c r="D195" s="121"/>
      <c r="E195" s="121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</row>
    <row r="196" customFormat="false" ht="15.75" hidden="false" customHeight="false" outlineLevel="0" collapsed="false">
      <c r="A196" s="121"/>
      <c r="B196" s="121"/>
      <c r="C196" s="121"/>
      <c r="D196" s="121"/>
      <c r="E196" s="121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</row>
    <row r="197" customFormat="false" ht="15.75" hidden="false" customHeight="false" outlineLevel="0" collapsed="false">
      <c r="A197" s="121"/>
      <c r="B197" s="121"/>
      <c r="C197" s="121"/>
      <c r="D197" s="121"/>
      <c r="E197" s="121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</row>
    <row r="198" customFormat="false" ht="15.75" hidden="false" customHeight="false" outlineLevel="0" collapsed="false">
      <c r="A198" s="121"/>
      <c r="B198" s="121"/>
      <c r="C198" s="121"/>
      <c r="D198" s="121"/>
      <c r="E198" s="121"/>
      <c r="F198" s="121"/>
      <c r="G198" s="121"/>
      <c r="H198" s="121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</row>
    <row r="199" customFormat="false" ht="15.75" hidden="false" customHeight="false" outlineLevel="0" collapsed="false">
      <c r="A199" s="121"/>
      <c r="B199" s="121"/>
      <c r="C199" s="121"/>
      <c r="D199" s="121"/>
      <c r="E199" s="121"/>
      <c r="F199" s="121"/>
      <c r="G199" s="121"/>
      <c r="H199" s="121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</row>
    <row r="200" customFormat="false" ht="15.75" hidden="false" customHeight="false" outlineLevel="0" collapsed="false">
      <c r="A200" s="121"/>
      <c r="B200" s="121"/>
      <c r="C200" s="121"/>
      <c r="D200" s="121"/>
      <c r="E200" s="121"/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</row>
    <row r="201" customFormat="false" ht="15.75" hidden="false" customHeight="false" outlineLevel="0" collapsed="false">
      <c r="A201" s="121"/>
      <c r="B201" s="121"/>
      <c r="C201" s="121"/>
      <c r="D201" s="121"/>
      <c r="E201" s="121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</row>
    <row r="202" customFormat="false" ht="15.75" hidden="false" customHeight="false" outlineLevel="0" collapsed="false">
      <c r="A202" s="121"/>
      <c r="B202" s="121"/>
      <c r="C202" s="121"/>
      <c r="D202" s="121"/>
      <c r="E202" s="121"/>
      <c r="F202" s="121"/>
      <c r="G202" s="121"/>
      <c r="H202" s="121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</row>
    <row r="203" customFormat="false" ht="15.75" hidden="false" customHeight="false" outlineLevel="0" collapsed="false">
      <c r="A203" s="121"/>
      <c r="B203" s="121"/>
      <c r="C203" s="121"/>
      <c r="D203" s="121"/>
      <c r="E203" s="121"/>
      <c r="F203" s="121"/>
      <c r="G203" s="121"/>
      <c r="H203" s="121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</row>
    <row r="204" customFormat="false" ht="15.75" hidden="false" customHeight="false" outlineLevel="0" collapsed="false">
      <c r="A204" s="121"/>
      <c r="B204" s="121"/>
      <c r="C204" s="121"/>
      <c r="D204" s="121"/>
      <c r="E204" s="121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</row>
    <row r="205" customFormat="false" ht="15.75" hidden="false" customHeight="false" outlineLevel="0" collapsed="false">
      <c r="A205" s="121"/>
      <c r="B205" s="121"/>
      <c r="C205" s="121"/>
      <c r="D205" s="121"/>
      <c r="E205" s="121"/>
      <c r="F205" s="121"/>
      <c r="G205" s="121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</row>
    <row r="206" customFormat="false" ht="15.75" hidden="false" customHeight="false" outlineLevel="0" collapsed="false">
      <c r="A206" s="121"/>
      <c r="B206" s="121"/>
      <c r="C206" s="121"/>
      <c r="D206" s="121"/>
      <c r="E206" s="121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</row>
    <row r="207" customFormat="false" ht="15.75" hidden="false" customHeight="false" outlineLevel="0" collapsed="false">
      <c r="A207" s="121"/>
      <c r="B207" s="121"/>
      <c r="C207" s="121"/>
      <c r="D207" s="121"/>
      <c r="E207" s="121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</row>
    <row r="208" customFormat="false" ht="15.75" hidden="false" customHeight="false" outlineLevel="0" collapsed="false">
      <c r="A208" s="121"/>
      <c r="B208" s="121"/>
      <c r="C208" s="121"/>
      <c r="D208" s="121"/>
      <c r="E208" s="121"/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</row>
    <row r="209" customFormat="false" ht="15.75" hidden="false" customHeight="false" outlineLevel="0" collapsed="false">
      <c r="A209" s="121"/>
      <c r="B209" s="121"/>
      <c r="C209" s="121"/>
      <c r="D209" s="121"/>
      <c r="E209" s="121"/>
      <c r="F209" s="121"/>
      <c r="G209" s="121"/>
      <c r="H209" s="121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</row>
    <row r="210" customFormat="false" ht="15.75" hidden="false" customHeight="false" outlineLevel="0" collapsed="false">
      <c r="A210" s="121"/>
      <c r="B210" s="121"/>
      <c r="C210" s="121"/>
      <c r="D210" s="121"/>
      <c r="E210" s="121"/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</row>
    <row r="211" customFormat="false" ht="15.75" hidden="false" customHeight="false" outlineLevel="0" collapsed="false">
      <c r="A211" s="121"/>
      <c r="B211" s="121"/>
      <c r="C211" s="121"/>
      <c r="D211" s="121"/>
      <c r="E211" s="121"/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</row>
    <row r="212" customFormat="false" ht="15.75" hidden="false" customHeight="false" outlineLevel="0" collapsed="false">
      <c r="A212" s="121"/>
      <c r="B212" s="121"/>
      <c r="C212" s="121"/>
      <c r="D212" s="121"/>
      <c r="E212" s="121"/>
      <c r="F212" s="121"/>
      <c r="G212" s="121"/>
      <c r="H212" s="121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</row>
    <row r="213" customFormat="false" ht="15.75" hidden="false" customHeight="false" outlineLevel="0" collapsed="false">
      <c r="A213" s="121"/>
      <c r="B213" s="121"/>
      <c r="C213" s="121"/>
      <c r="D213" s="121"/>
      <c r="E213" s="121"/>
      <c r="F213" s="121"/>
      <c r="G213" s="121"/>
      <c r="H213" s="121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</row>
    <row r="214" customFormat="false" ht="15.75" hidden="false" customHeight="false" outlineLevel="0" collapsed="false">
      <c r="A214" s="121"/>
      <c r="B214" s="121"/>
      <c r="C214" s="121"/>
      <c r="D214" s="121"/>
      <c r="E214" s="121"/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</row>
    <row r="215" customFormat="false" ht="15.75" hidden="false" customHeight="false" outlineLevel="0" collapsed="false">
      <c r="A215" s="121"/>
      <c r="B215" s="121"/>
      <c r="C215" s="121"/>
      <c r="D215" s="121"/>
      <c r="E215" s="121"/>
      <c r="F215" s="121"/>
      <c r="G215" s="121"/>
      <c r="H215" s="121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</row>
    <row r="216" customFormat="false" ht="15.75" hidden="false" customHeight="false" outlineLevel="0" collapsed="false">
      <c r="A216" s="121"/>
      <c r="B216" s="121"/>
      <c r="C216" s="121"/>
      <c r="D216" s="121"/>
      <c r="E216" s="121"/>
      <c r="F216" s="121"/>
      <c r="G216" s="121"/>
      <c r="H216" s="121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</row>
    <row r="217" customFormat="false" ht="15.75" hidden="false" customHeight="false" outlineLevel="0" collapsed="false">
      <c r="A217" s="121"/>
      <c r="B217" s="121"/>
      <c r="C217" s="121"/>
      <c r="D217" s="121"/>
      <c r="E217" s="121"/>
      <c r="F217" s="121"/>
      <c r="G217" s="121"/>
      <c r="H217" s="121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</row>
    <row r="218" customFormat="false" ht="15.75" hidden="false" customHeight="false" outlineLevel="0" collapsed="false">
      <c r="A218" s="121"/>
      <c r="B218" s="121"/>
      <c r="C218" s="121"/>
      <c r="D218" s="121"/>
      <c r="E218" s="121"/>
      <c r="F218" s="121"/>
      <c r="G218" s="121"/>
      <c r="H218" s="121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</row>
    <row r="219" customFormat="false" ht="15.75" hidden="false" customHeight="false" outlineLevel="0" collapsed="false">
      <c r="A219" s="121"/>
      <c r="B219" s="121"/>
      <c r="C219" s="121"/>
      <c r="D219" s="121"/>
      <c r="E219" s="121"/>
      <c r="F219" s="121"/>
      <c r="G219" s="121"/>
      <c r="H219" s="121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</row>
    <row r="220" customFormat="false" ht="15.75" hidden="false" customHeight="false" outlineLevel="0" collapsed="false">
      <c r="A220" s="121"/>
      <c r="B220" s="121"/>
      <c r="C220" s="121"/>
      <c r="D220" s="121"/>
      <c r="E220" s="121"/>
      <c r="F220" s="121"/>
      <c r="G220" s="121"/>
      <c r="H220" s="121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21"/>
      <c r="T220" s="121"/>
      <c r="U220" s="121"/>
      <c r="V220" s="121"/>
      <c r="W220" s="121"/>
      <c r="X220" s="121"/>
      <c r="Y220" s="121"/>
      <c r="Z220" s="121"/>
    </row>
    <row r="221" customFormat="false" ht="15.75" hidden="false" customHeight="false" outlineLevel="0" collapsed="false">
      <c r="A221" s="121"/>
      <c r="B221" s="121"/>
      <c r="C221" s="121"/>
      <c r="D221" s="121"/>
      <c r="E221" s="121"/>
      <c r="F221" s="121"/>
      <c r="G221" s="121"/>
      <c r="H221" s="121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21"/>
      <c r="T221" s="121"/>
      <c r="U221" s="121"/>
      <c r="V221" s="121"/>
      <c r="W221" s="121"/>
      <c r="X221" s="121"/>
      <c r="Y221" s="121"/>
      <c r="Z221" s="121"/>
    </row>
    <row r="222" customFormat="false" ht="15.75" hidden="false" customHeight="false" outlineLevel="0" collapsed="false">
      <c r="A222" s="121"/>
      <c r="B222" s="121"/>
      <c r="C222" s="121"/>
      <c r="D222" s="121"/>
      <c r="E222" s="121"/>
      <c r="F222" s="121"/>
      <c r="G222" s="121"/>
      <c r="H222" s="121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21"/>
      <c r="T222" s="121"/>
      <c r="U222" s="121"/>
      <c r="V222" s="121"/>
      <c r="W222" s="121"/>
      <c r="X222" s="121"/>
      <c r="Y222" s="121"/>
      <c r="Z222" s="121"/>
    </row>
    <row r="223" customFormat="false" ht="15.75" hidden="false" customHeight="false" outlineLevel="0" collapsed="false">
      <c r="A223" s="121"/>
      <c r="B223" s="121"/>
      <c r="C223" s="121"/>
      <c r="D223" s="121"/>
      <c r="E223" s="121"/>
      <c r="F223" s="121"/>
      <c r="G223" s="121"/>
      <c r="H223" s="121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21"/>
      <c r="T223" s="121"/>
      <c r="U223" s="121"/>
      <c r="V223" s="121"/>
      <c r="W223" s="121"/>
      <c r="X223" s="121"/>
      <c r="Y223" s="121"/>
      <c r="Z223" s="121"/>
    </row>
    <row r="224" customFormat="false" ht="15.75" hidden="false" customHeight="false" outlineLevel="0" collapsed="false">
      <c r="A224" s="121"/>
      <c r="B224" s="121"/>
      <c r="C224" s="121"/>
      <c r="D224" s="121"/>
      <c r="E224" s="121"/>
      <c r="F224" s="121"/>
      <c r="G224" s="121"/>
      <c r="H224" s="121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</row>
    <row r="225" customFormat="false" ht="15.75" hidden="false" customHeight="false" outlineLevel="0" collapsed="false">
      <c r="A225" s="121"/>
      <c r="B225" s="121"/>
      <c r="C225" s="121"/>
      <c r="D225" s="121"/>
      <c r="E225" s="121"/>
      <c r="F225" s="121"/>
      <c r="G225" s="121"/>
      <c r="H225" s="121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</row>
    <row r="226" customFormat="false" ht="15.75" hidden="false" customHeight="false" outlineLevel="0" collapsed="false">
      <c r="A226" s="121"/>
      <c r="B226" s="121"/>
      <c r="C226" s="121"/>
      <c r="D226" s="121"/>
      <c r="E226" s="121"/>
      <c r="F226" s="121"/>
      <c r="G226" s="121"/>
      <c r="H226" s="121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</row>
    <row r="227" customFormat="false" ht="15.75" hidden="false" customHeight="false" outlineLevel="0" collapsed="false">
      <c r="A227" s="121"/>
      <c r="B227" s="121"/>
      <c r="C227" s="121"/>
      <c r="D227" s="121"/>
      <c r="E227" s="121"/>
      <c r="F227" s="121"/>
      <c r="G227" s="121"/>
      <c r="H227" s="121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</row>
    <row r="228" customFormat="false" ht="15.75" hidden="false" customHeight="false" outlineLevel="0" collapsed="false">
      <c r="A228" s="121"/>
      <c r="B228" s="121"/>
      <c r="C228" s="121"/>
      <c r="D228" s="121"/>
      <c r="E228" s="121"/>
      <c r="F228" s="121"/>
      <c r="G228" s="121"/>
      <c r="H228" s="121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</row>
    <row r="229" customFormat="false" ht="15.75" hidden="false" customHeight="false" outlineLevel="0" collapsed="false">
      <c r="A229" s="121"/>
      <c r="B229" s="121"/>
      <c r="C229" s="121"/>
      <c r="D229" s="121"/>
      <c r="E229" s="121"/>
      <c r="F229" s="121"/>
      <c r="G229" s="121"/>
      <c r="H229" s="121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</row>
    <row r="230" customFormat="false" ht="15.75" hidden="false" customHeight="false" outlineLevel="0" collapsed="false">
      <c r="A230" s="121"/>
      <c r="B230" s="121"/>
      <c r="C230" s="121"/>
      <c r="D230" s="121"/>
      <c r="E230" s="121"/>
      <c r="F230" s="121"/>
      <c r="G230" s="121"/>
      <c r="H230" s="121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</row>
    <row r="231" customFormat="false" ht="15.75" hidden="false" customHeight="false" outlineLevel="0" collapsed="false">
      <c r="A231" s="121"/>
      <c r="B231" s="121"/>
      <c r="C231" s="121"/>
      <c r="D231" s="121"/>
      <c r="E231" s="121"/>
      <c r="F231" s="121"/>
      <c r="G231" s="121"/>
      <c r="H231" s="121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21"/>
      <c r="T231" s="121"/>
      <c r="U231" s="121"/>
      <c r="V231" s="121"/>
      <c r="W231" s="121"/>
      <c r="X231" s="121"/>
      <c r="Y231" s="121"/>
      <c r="Z231" s="121"/>
    </row>
    <row r="232" customFormat="false" ht="15.75" hidden="false" customHeight="false" outlineLevel="0" collapsed="false">
      <c r="A232" s="121"/>
      <c r="B232" s="121"/>
      <c r="C232" s="121"/>
      <c r="D232" s="121"/>
      <c r="E232" s="121"/>
      <c r="F232" s="121"/>
      <c r="G232" s="121"/>
      <c r="H232" s="121"/>
      <c r="I232" s="121"/>
      <c r="J232" s="121"/>
      <c r="K232" s="121"/>
      <c r="L232" s="121"/>
      <c r="M232" s="121"/>
      <c r="N232" s="121"/>
      <c r="O232" s="121"/>
      <c r="P232" s="121"/>
      <c r="Q232" s="121"/>
      <c r="R232" s="121"/>
      <c r="S232" s="121"/>
      <c r="T232" s="121"/>
      <c r="U232" s="121"/>
      <c r="V232" s="121"/>
      <c r="W232" s="121"/>
      <c r="X232" s="121"/>
      <c r="Y232" s="121"/>
      <c r="Z232" s="121"/>
    </row>
    <row r="233" customFormat="false" ht="15.75" hidden="false" customHeight="false" outlineLevel="0" collapsed="false">
      <c r="A233" s="121"/>
      <c r="B233" s="121"/>
      <c r="C233" s="121"/>
      <c r="D233" s="121"/>
      <c r="E233" s="121"/>
      <c r="F233" s="121"/>
      <c r="G233" s="121"/>
      <c r="H233" s="121"/>
      <c r="I233" s="121"/>
      <c r="J233" s="121"/>
      <c r="K233" s="121"/>
      <c r="L233" s="121"/>
      <c r="M233" s="121"/>
      <c r="N233" s="121"/>
      <c r="O233" s="121"/>
      <c r="P233" s="121"/>
      <c r="Q233" s="121"/>
      <c r="R233" s="121"/>
      <c r="S233" s="121"/>
      <c r="T233" s="121"/>
      <c r="U233" s="121"/>
      <c r="V233" s="121"/>
      <c r="W233" s="121"/>
      <c r="X233" s="121"/>
      <c r="Y233" s="121"/>
      <c r="Z233" s="121"/>
    </row>
    <row r="234" customFormat="false" ht="15.75" hidden="false" customHeight="false" outlineLevel="0" collapsed="false">
      <c r="A234" s="121"/>
      <c r="B234" s="121"/>
      <c r="C234" s="121"/>
      <c r="D234" s="121"/>
      <c r="E234" s="121"/>
      <c r="F234" s="121"/>
      <c r="G234" s="121"/>
      <c r="H234" s="121"/>
      <c r="I234" s="121"/>
      <c r="J234" s="121"/>
      <c r="K234" s="121"/>
      <c r="L234" s="121"/>
      <c r="M234" s="121"/>
      <c r="N234" s="121"/>
      <c r="O234" s="121"/>
      <c r="P234" s="121"/>
      <c r="Q234" s="121"/>
      <c r="R234" s="121"/>
      <c r="S234" s="121"/>
      <c r="T234" s="121"/>
      <c r="U234" s="121"/>
      <c r="V234" s="121"/>
      <c r="W234" s="121"/>
      <c r="X234" s="121"/>
      <c r="Y234" s="121"/>
      <c r="Z234" s="121"/>
    </row>
    <row r="235" customFormat="false" ht="15.75" hidden="false" customHeight="false" outlineLevel="0" collapsed="false">
      <c r="A235" s="121"/>
      <c r="B235" s="121"/>
      <c r="C235" s="121"/>
      <c r="D235" s="121"/>
      <c r="E235" s="121"/>
      <c r="F235" s="121"/>
      <c r="G235" s="121"/>
      <c r="H235" s="121"/>
      <c r="I235" s="121"/>
      <c r="J235" s="121"/>
      <c r="K235" s="121"/>
      <c r="L235" s="121"/>
      <c r="M235" s="121"/>
      <c r="N235" s="121"/>
      <c r="O235" s="121"/>
      <c r="P235" s="121"/>
      <c r="Q235" s="121"/>
      <c r="R235" s="121"/>
      <c r="S235" s="121"/>
      <c r="T235" s="121"/>
      <c r="U235" s="121"/>
      <c r="V235" s="121"/>
      <c r="W235" s="121"/>
      <c r="X235" s="121"/>
      <c r="Y235" s="121"/>
      <c r="Z235" s="121"/>
    </row>
    <row r="236" customFormat="false" ht="15.75" hidden="false" customHeight="false" outlineLevel="0" collapsed="false">
      <c r="A236" s="121"/>
      <c r="B236" s="121"/>
      <c r="C236" s="121"/>
      <c r="D236" s="121"/>
      <c r="E236" s="121"/>
      <c r="F236" s="121"/>
      <c r="G236" s="121"/>
      <c r="H236" s="121"/>
      <c r="I236" s="121"/>
      <c r="J236" s="121"/>
      <c r="K236" s="121"/>
      <c r="L236" s="121"/>
      <c r="M236" s="121"/>
      <c r="N236" s="121"/>
      <c r="O236" s="121"/>
      <c r="P236" s="121"/>
      <c r="Q236" s="121"/>
      <c r="R236" s="121"/>
      <c r="S236" s="121"/>
      <c r="T236" s="121"/>
      <c r="U236" s="121"/>
      <c r="V236" s="121"/>
      <c r="W236" s="121"/>
      <c r="X236" s="121"/>
      <c r="Y236" s="121"/>
      <c r="Z236" s="121"/>
    </row>
    <row r="237" customFormat="false" ht="15.75" hidden="false" customHeight="false" outlineLevel="0" collapsed="false">
      <c r="A237" s="121"/>
      <c r="B237" s="121"/>
      <c r="C237" s="121"/>
      <c r="D237" s="121"/>
      <c r="E237" s="121"/>
      <c r="F237" s="121"/>
      <c r="G237" s="121"/>
      <c r="H237" s="121"/>
      <c r="I237" s="121"/>
      <c r="J237" s="121"/>
      <c r="K237" s="121"/>
      <c r="L237" s="121"/>
      <c r="M237" s="121"/>
      <c r="N237" s="121"/>
      <c r="O237" s="121"/>
      <c r="P237" s="121"/>
      <c r="Q237" s="121"/>
      <c r="R237" s="121"/>
      <c r="S237" s="121"/>
      <c r="T237" s="121"/>
      <c r="U237" s="121"/>
      <c r="V237" s="121"/>
      <c r="W237" s="121"/>
      <c r="X237" s="121"/>
      <c r="Y237" s="121"/>
      <c r="Z237" s="121"/>
    </row>
    <row r="238" customFormat="false" ht="15.75" hidden="false" customHeight="false" outlineLevel="0" collapsed="false">
      <c r="A238" s="121"/>
      <c r="B238" s="121"/>
      <c r="C238" s="121"/>
      <c r="D238" s="121"/>
      <c r="E238" s="121"/>
      <c r="F238" s="121"/>
      <c r="G238" s="121"/>
      <c r="H238" s="121"/>
      <c r="I238" s="121"/>
      <c r="J238" s="121"/>
      <c r="K238" s="121"/>
      <c r="L238" s="121"/>
      <c r="M238" s="121"/>
      <c r="N238" s="121"/>
      <c r="O238" s="121"/>
      <c r="P238" s="121"/>
      <c r="Q238" s="121"/>
      <c r="R238" s="121"/>
      <c r="S238" s="121"/>
      <c r="T238" s="121"/>
      <c r="U238" s="121"/>
      <c r="V238" s="121"/>
      <c r="W238" s="121"/>
      <c r="X238" s="121"/>
      <c r="Y238" s="121"/>
      <c r="Z238" s="121"/>
    </row>
    <row r="239" customFormat="false" ht="15.75" hidden="false" customHeight="false" outlineLevel="0" collapsed="false">
      <c r="A239" s="121"/>
      <c r="B239" s="121"/>
      <c r="C239" s="121"/>
      <c r="D239" s="121"/>
      <c r="E239" s="121"/>
      <c r="F239" s="121"/>
      <c r="G239" s="121"/>
      <c r="H239" s="121"/>
      <c r="I239" s="121"/>
      <c r="J239" s="121"/>
      <c r="K239" s="121"/>
      <c r="L239" s="121"/>
      <c r="M239" s="121"/>
      <c r="N239" s="121"/>
      <c r="O239" s="121"/>
      <c r="P239" s="121"/>
      <c r="Q239" s="121"/>
      <c r="R239" s="121"/>
      <c r="S239" s="121"/>
      <c r="T239" s="121"/>
      <c r="U239" s="121"/>
      <c r="V239" s="121"/>
      <c r="W239" s="121"/>
      <c r="X239" s="121"/>
      <c r="Y239" s="121"/>
      <c r="Z239" s="121"/>
    </row>
    <row r="240" customFormat="false" ht="15.75" hidden="false" customHeight="false" outlineLevel="0" collapsed="false">
      <c r="A240" s="121"/>
      <c r="B240" s="121"/>
      <c r="C240" s="121"/>
      <c r="D240" s="121"/>
      <c r="E240" s="121"/>
      <c r="F240" s="121"/>
      <c r="G240" s="121"/>
      <c r="H240" s="121"/>
      <c r="I240" s="121"/>
      <c r="J240" s="121"/>
      <c r="K240" s="121"/>
      <c r="L240" s="121"/>
      <c r="M240" s="121"/>
      <c r="N240" s="121"/>
      <c r="O240" s="121"/>
      <c r="P240" s="121"/>
      <c r="Q240" s="121"/>
      <c r="R240" s="121"/>
      <c r="S240" s="121"/>
      <c r="T240" s="121"/>
      <c r="U240" s="121"/>
      <c r="V240" s="121"/>
      <c r="W240" s="121"/>
      <c r="X240" s="121"/>
      <c r="Y240" s="121"/>
      <c r="Z240" s="121"/>
    </row>
    <row r="241" customFormat="false" ht="15.75" hidden="false" customHeight="false" outlineLevel="0" collapsed="false">
      <c r="A241" s="121"/>
      <c r="B241" s="121"/>
      <c r="C241" s="121"/>
      <c r="D241" s="121"/>
      <c r="E241" s="121"/>
      <c r="F241" s="121"/>
      <c r="G241" s="121"/>
      <c r="H241" s="121"/>
      <c r="I241" s="121"/>
      <c r="J241" s="121"/>
      <c r="K241" s="121"/>
      <c r="L241" s="121"/>
      <c r="M241" s="121"/>
      <c r="N241" s="121"/>
      <c r="O241" s="121"/>
      <c r="P241" s="121"/>
      <c r="Q241" s="121"/>
      <c r="R241" s="121"/>
      <c r="S241" s="121"/>
      <c r="T241" s="121"/>
      <c r="U241" s="121"/>
      <c r="V241" s="121"/>
      <c r="W241" s="121"/>
      <c r="X241" s="121"/>
      <c r="Y241" s="121"/>
      <c r="Z241" s="121"/>
    </row>
    <row r="242" customFormat="false" ht="15.75" hidden="false" customHeight="false" outlineLevel="0" collapsed="false">
      <c r="A242" s="121"/>
      <c r="B242" s="121"/>
      <c r="C242" s="121"/>
      <c r="D242" s="121"/>
      <c r="E242" s="121"/>
      <c r="F242" s="121"/>
      <c r="G242" s="121"/>
      <c r="H242" s="121"/>
      <c r="I242" s="121"/>
      <c r="J242" s="121"/>
      <c r="K242" s="121"/>
      <c r="L242" s="121"/>
      <c r="M242" s="121"/>
      <c r="N242" s="121"/>
      <c r="O242" s="121"/>
      <c r="P242" s="121"/>
      <c r="Q242" s="121"/>
      <c r="R242" s="121"/>
      <c r="S242" s="121"/>
      <c r="T242" s="121"/>
      <c r="U242" s="121"/>
      <c r="V242" s="121"/>
      <c r="W242" s="121"/>
      <c r="X242" s="121"/>
      <c r="Y242" s="121"/>
      <c r="Z242" s="121"/>
    </row>
    <row r="243" customFormat="false" ht="15.75" hidden="false" customHeight="false" outlineLevel="0" collapsed="false">
      <c r="A243" s="121"/>
      <c r="B243" s="121"/>
      <c r="C243" s="121"/>
      <c r="D243" s="121"/>
      <c r="E243" s="121"/>
      <c r="F243" s="121"/>
      <c r="G243" s="121"/>
      <c r="H243" s="121"/>
      <c r="I243" s="121"/>
      <c r="J243" s="121"/>
      <c r="K243" s="121"/>
      <c r="L243" s="121"/>
      <c r="M243" s="121"/>
      <c r="N243" s="121"/>
      <c r="O243" s="121"/>
      <c r="P243" s="121"/>
      <c r="Q243" s="121"/>
      <c r="R243" s="121"/>
      <c r="S243" s="121"/>
      <c r="T243" s="121"/>
      <c r="U243" s="121"/>
      <c r="V243" s="121"/>
      <c r="W243" s="121"/>
      <c r="X243" s="121"/>
      <c r="Y243" s="121"/>
      <c r="Z243" s="121"/>
    </row>
    <row r="244" customFormat="false" ht="15.75" hidden="false" customHeight="false" outlineLevel="0" collapsed="false">
      <c r="A244" s="121"/>
      <c r="B244" s="121"/>
      <c r="C244" s="121"/>
      <c r="D244" s="121"/>
      <c r="E244" s="121"/>
      <c r="F244" s="121"/>
      <c r="G244" s="121"/>
      <c r="H244" s="121"/>
      <c r="I244" s="121"/>
      <c r="J244" s="121"/>
      <c r="K244" s="121"/>
      <c r="L244" s="121"/>
      <c r="M244" s="121"/>
      <c r="N244" s="121"/>
      <c r="O244" s="121"/>
      <c r="P244" s="121"/>
      <c r="Q244" s="121"/>
      <c r="R244" s="121"/>
      <c r="S244" s="121"/>
      <c r="T244" s="121"/>
      <c r="U244" s="121"/>
      <c r="V244" s="121"/>
      <c r="W244" s="121"/>
      <c r="X244" s="121"/>
      <c r="Y244" s="121"/>
      <c r="Z244" s="121"/>
    </row>
    <row r="245" customFormat="false" ht="15.75" hidden="false" customHeight="false" outlineLevel="0" collapsed="false">
      <c r="A245" s="121"/>
      <c r="B245" s="121"/>
      <c r="C245" s="121"/>
      <c r="D245" s="121"/>
      <c r="E245" s="121"/>
      <c r="F245" s="121"/>
      <c r="G245" s="121"/>
      <c r="H245" s="121"/>
      <c r="I245" s="121"/>
      <c r="J245" s="121"/>
      <c r="K245" s="121"/>
      <c r="L245" s="121"/>
      <c r="M245" s="121"/>
      <c r="N245" s="121"/>
      <c r="O245" s="121"/>
      <c r="P245" s="121"/>
      <c r="Q245" s="121"/>
      <c r="R245" s="121"/>
      <c r="S245" s="121"/>
      <c r="T245" s="121"/>
      <c r="U245" s="121"/>
      <c r="V245" s="121"/>
      <c r="W245" s="121"/>
      <c r="X245" s="121"/>
      <c r="Y245" s="121"/>
      <c r="Z245" s="121"/>
    </row>
    <row r="246" customFormat="false" ht="15.75" hidden="false" customHeight="false" outlineLevel="0" collapsed="false">
      <c r="A246" s="121"/>
      <c r="B246" s="121"/>
      <c r="C246" s="121"/>
      <c r="D246" s="121"/>
      <c r="E246" s="121"/>
      <c r="F246" s="121"/>
      <c r="G246" s="121"/>
      <c r="H246" s="121"/>
      <c r="I246" s="121"/>
      <c r="J246" s="121"/>
      <c r="K246" s="121"/>
      <c r="L246" s="121"/>
      <c r="M246" s="121"/>
      <c r="N246" s="121"/>
      <c r="O246" s="121"/>
      <c r="P246" s="121"/>
      <c r="Q246" s="121"/>
      <c r="R246" s="121"/>
      <c r="S246" s="121"/>
      <c r="T246" s="121"/>
      <c r="U246" s="121"/>
      <c r="V246" s="121"/>
      <c r="W246" s="121"/>
      <c r="X246" s="121"/>
      <c r="Y246" s="121"/>
      <c r="Z246" s="121"/>
    </row>
    <row r="247" customFormat="false" ht="15.75" hidden="false" customHeight="false" outlineLevel="0" collapsed="false">
      <c r="A247" s="121"/>
      <c r="B247" s="121"/>
      <c r="C247" s="121"/>
      <c r="D247" s="121"/>
      <c r="E247" s="121"/>
      <c r="F247" s="121"/>
      <c r="G247" s="121"/>
      <c r="H247" s="121"/>
      <c r="I247" s="121"/>
      <c r="J247" s="121"/>
      <c r="K247" s="121"/>
      <c r="L247" s="121"/>
      <c r="M247" s="121"/>
      <c r="N247" s="121"/>
      <c r="O247" s="121"/>
      <c r="P247" s="121"/>
      <c r="Q247" s="121"/>
      <c r="R247" s="121"/>
      <c r="S247" s="121"/>
      <c r="T247" s="121"/>
      <c r="U247" s="121"/>
      <c r="V247" s="121"/>
      <c r="W247" s="121"/>
      <c r="X247" s="121"/>
      <c r="Y247" s="121"/>
      <c r="Z247" s="121"/>
    </row>
    <row r="248" customFormat="false" ht="15.75" hidden="false" customHeight="false" outlineLevel="0" collapsed="false">
      <c r="A248" s="121"/>
      <c r="B248" s="121"/>
      <c r="C248" s="121"/>
      <c r="D248" s="121"/>
      <c r="E248" s="121"/>
      <c r="F248" s="121"/>
      <c r="G248" s="121"/>
      <c r="H248" s="121"/>
      <c r="I248" s="121"/>
      <c r="J248" s="121"/>
      <c r="K248" s="121"/>
      <c r="L248" s="121"/>
      <c r="M248" s="121"/>
      <c r="N248" s="121"/>
      <c r="O248" s="121"/>
      <c r="P248" s="121"/>
      <c r="Q248" s="121"/>
      <c r="R248" s="121"/>
      <c r="S248" s="121"/>
      <c r="T248" s="121"/>
      <c r="U248" s="121"/>
      <c r="V248" s="121"/>
      <c r="W248" s="121"/>
      <c r="X248" s="121"/>
      <c r="Y248" s="121"/>
      <c r="Z248" s="121"/>
    </row>
    <row r="249" customFormat="false" ht="15.75" hidden="false" customHeight="false" outlineLevel="0" collapsed="false">
      <c r="A249" s="121"/>
      <c r="B249" s="121"/>
      <c r="C249" s="121"/>
      <c r="D249" s="121"/>
      <c r="E249" s="121"/>
      <c r="F249" s="121"/>
      <c r="G249" s="121"/>
      <c r="H249" s="121"/>
      <c r="I249" s="121"/>
      <c r="J249" s="121"/>
      <c r="K249" s="121"/>
      <c r="L249" s="121"/>
      <c r="M249" s="121"/>
      <c r="N249" s="121"/>
      <c r="O249" s="121"/>
      <c r="P249" s="121"/>
      <c r="Q249" s="121"/>
      <c r="R249" s="121"/>
      <c r="S249" s="121"/>
      <c r="T249" s="121"/>
      <c r="U249" s="121"/>
      <c r="V249" s="121"/>
      <c r="W249" s="121"/>
      <c r="X249" s="121"/>
      <c r="Y249" s="121"/>
      <c r="Z249" s="121"/>
    </row>
    <row r="250" customFormat="false" ht="15.75" hidden="false" customHeight="false" outlineLevel="0" collapsed="false">
      <c r="A250" s="121"/>
      <c r="B250" s="121"/>
      <c r="C250" s="121"/>
      <c r="D250" s="121"/>
      <c r="E250" s="121"/>
      <c r="F250" s="121"/>
      <c r="G250" s="121"/>
      <c r="H250" s="121"/>
      <c r="I250" s="121"/>
      <c r="J250" s="121"/>
      <c r="K250" s="121"/>
      <c r="L250" s="121"/>
      <c r="M250" s="121"/>
      <c r="N250" s="121"/>
      <c r="O250" s="121"/>
      <c r="P250" s="121"/>
      <c r="Q250" s="121"/>
      <c r="R250" s="121"/>
      <c r="S250" s="121"/>
      <c r="T250" s="121"/>
      <c r="U250" s="121"/>
      <c r="V250" s="121"/>
      <c r="W250" s="121"/>
      <c r="X250" s="121"/>
      <c r="Y250" s="121"/>
      <c r="Z250" s="121"/>
    </row>
    <row r="251" customFormat="false" ht="15.75" hidden="false" customHeight="false" outlineLevel="0" collapsed="false">
      <c r="A251" s="121"/>
      <c r="B251" s="121"/>
      <c r="C251" s="121"/>
      <c r="D251" s="121"/>
      <c r="E251" s="121"/>
      <c r="F251" s="121"/>
      <c r="G251" s="121"/>
      <c r="H251" s="121"/>
      <c r="I251" s="121"/>
      <c r="J251" s="121"/>
      <c r="K251" s="121"/>
      <c r="L251" s="121"/>
      <c r="M251" s="121"/>
      <c r="N251" s="121"/>
      <c r="O251" s="121"/>
      <c r="P251" s="121"/>
      <c r="Q251" s="121"/>
      <c r="R251" s="121"/>
      <c r="S251" s="121"/>
      <c r="T251" s="121"/>
      <c r="U251" s="121"/>
      <c r="V251" s="121"/>
      <c r="W251" s="121"/>
      <c r="X251" s="121"/>
      <c r="Y251" s="121"/>
      <c r="Z251" s="121"/>
    </row>
    <row r="252" customFormat="false" ht="15.75" hidden="false" customHeight="false" outlineLevel="0" collapsed="false">
      <c r="A252" s="121"/>
      <c r="B252" s="121"/>
      <c r="C252" s="121"/>
      <c r="D252" s="121"/>
      <c r="E252" s="121"/>
      <c r="F252" s="121"/>
      <c r="G252" s="121"/>
      <c r="H252" s="121"/>
      <c r="I252" s="121"/>
      <c r="J252" s="121"/>
      <c r="K252" s="121"/>
      <c r="L252" s="121"/>
      <c r="M252" s="121"/>
      <c r="N252" s="121"/>
      <c r="O252" s="121"/>
      <c r="P252" s="121"/>
      <c r="Q252" s="121"/>
      <c r="R252" s="121"/>
      <c r="S252" s="121"/>
      <c r="T252" s="121"/>
      <c r="U252" s="121"/>
      <c r="V252" s="121"/>
      <c r="W252" s="121"/>
      <c r="X252" s="121"/>
      <c r="Y252" s="121"/>
      <c r="Z252" s="121"/>
    </row>
    <row r="253" customFormat="false" ht="15.75" hidden="false" customHeight="false" outlineLevel="0" collapsed="false">
      <c r="A253" s="121"/>
      <c r="B253" s="121"/>
      <c r="C253" s="121"/>
      <c r="D253" s="121"/>
      <c r="E253" s="121"/>
      <c r="F253" s="121"/>
      <c r="G253" s="121"/>
      <c r="H253" s="121"/>
      <c r="I253" s="121"/>
      <c r="J253" s="121"/>
      <c r="K253" s="121"/>
      <c r="L253" s="121"/>
      <c r="M253" s="121"/>
      <c r="N253" s="121"/>
      <c r="O253" s="121"/>
      <c r="P253" s="121"/>
      <c r="Q253" s="121"/>
      <c r="R253" s="121"/>
      <c r="S253" s="121"/>
      <c r="T253" s="121"/>
      <c r="U253" s="121"/>
      <c r="V253" s="121"/>
      <c r="W253" s="121"/>
      <c r="X253" s="121"/>
      <c r="Y253" s="121"/>
      <c r="Z253" s="121"/>
    </row>
    <row r="254" customFormat="false" ht="15.75" hidden="false" customHeight="false" outlineLevel="0" collapsed="false">
      <c r="A254" s="121"/>
      <c r="B254" s="121"/>
      <c r="C254" s="121"/>
      <c r="D254" s="121"/>
      <c r="E254" s="121"/>
      <c r="F254" s="121"/>
      <c r="G254" s="121"/>
      <c r="H254" s="121"/>
      <c r="I254" s="121"/>
      <c r="J254" s="121"/>
      <c r="K254" s="121"/>
      <c r="L254" s="121"/>
      <c r="M254" s="121"/>
      <c r="N254" s="121"/>
      <c r="O254" s="121"/>
      <c r="P254" s="121"/>
      <c r="Q254" s="121"/>
      <c r="R254" s="121"/>
      <c r="S254" s="121"/>
      <c r="T254" s="121"/>
      <c r="U254" s="121"/>
      <c r="V254" s="121"/>
      <c r="W254" s="121"/>
      <c r="X254" s="121"/>
      <c r="Y254" s="121"/>
      <c r="Z254" s="121"/>
    </row>
    <row r="255" customFormat="false" ht="15.75" hidden="false" customHeight="false" outlineLevel="0" collapsed="false">
      <c r="A255" s="121"/>
      <c r="B255" s="121"/>
      <c r="C255" s="121"/>
      <c r="D255" s="121"/>
      <c r="E255" s="121"/>
      <c r="F255" s="121"/>
      <c r="G255" s="121"/>
      <c r="H255" s="121"/>
      <c r="I255" s="121"/>
      <c r="J255" s="121"/>
      <c r="K255" s="121"/>
      <c r="L255" s="121"/>
      <c r="M255" s="121"/>
      <c r="N255" s="121"/>
      <c r="O255" s="121"/>
      <c r="P255" s="121"/>
      <c r="Q255" s="121"/>
      <c r="R255" s="121"/>
      <c r="S255" s="121"/>
      <c r="T255" s="121"/>
      <c r="U255" s="121"/>
      <c r="V255" s="121"/>
      <c r="W255" s="121"/>
      <c r="X255" s="121"/>
      <c r="Y255" s="121"/>
      <c r="Z255" s="121"/>
    </row>
    <row r="256" customFormat="false" ht="15.75" hidden="false" customHeight="false" outlineLevel="0" collapsed="false">
      <c r="A256" s="121"/>
      <c r="B256" s="121"/>
      <c r="C256" s="121"/>
      <c r="D256" s="121"/>
      <c r="E256" s="121"/>
      <c r="F256" s="121"/>
      <c r="G256" s="121"/>
      <c r="H256" s="121"/>
      <c r="I256" s="121"/>
      <c r="J256" s="121"/>
      <c r="K256" s="121"/>
      <c r="L256" s="121"/>
      <c r="M256" s="121"/>
      <c r="N256" s="121"/>
      <c r="O256" s="121"/>
      <c r="P256" s="121"/>
      <c r="Q256" s="121"/>
      <c r="R256" s="121"/>
      <c r="S256" s="121"/>
      <c r="T256" s="121"/>
      <c r="U256" s="121"/>
      <c r="V256" s="121"/>
      <c r="W256" s="121"/>
      <c r="X256" s="121"/>
      <c r="Y256" s="121"/>
      <c r="Z256" s="121"/>
    </row>
    <row r="257" customFormat="false" ht="15.75" hidden="false" customHeight="false" outlineLevel="0" collapsed="false">
      <c r="A257" s="121"/>
      <c r="B257" s="121"/>
      <c r="C257" s="121"/>
      <c r="D257" s="121"/>
      <c r="E257" s="121"/>
      <c r="F257" s="121"/>
      <c r="G257" s="121"/>
      <c r="H257" s="121"/>
      <c r="I257" s="121"/>
      <c r="J257" s="121"/>
      <c r="K257" s="121"/>
      <c r="L257" s="121"/>
      <c r="M257" s="121"/>
      <c r="N257" s="121"/>
      <c r="O257" s="121"/>
      <c r="P257" s="121"/>
      <c r="Q257" s="121"/>
      <c r="R257" s="121"/>
      <c r="S257" s="121"/>
      <c r="T257" s="121"/>
      <c r="U257" s="121"/>
      <c r="V257" s="121"/>
      <c r="W257" s="121"/>
      <c r="X257" s="121"/>
      <c r="Y257" s="121"/>
      <c r="Z257" s="121"/>
    </row>
    <row r="258" customFormat="false" ht="15.75" hidden="false" customHeight="false" outlineLevel="0" collapsed="false">
      <c r="A258" s="121"/>
      <c r="B258" s="121"/>
      <c r="C258" s="121"/>
      <c r="D258" s="121"/>
      <c r="E258" s="121"/>
      <c r="F258" s="121"/>
      <c r="G258" s="121"/>
      <c r="H258" s="121"/>
      <c r="I258" s="121"/>
      <c r="J258" s="121"/>
      <c r="K258" s="121"/>
      <c r="L258" s="121"/>
      <c r="M258" s="121"/>
      <c r="N258" s="121"/>
      <c r="O258" s="121"/>
      <c r="P258" s="121"/>
      <c r="Q258" s="121"/>
      <c r="R258" s="121"/>
      <c r="S258" s="121"/>
      <c r="T258" s="121"/>
      <c r="U258" s="121"/>
      <c r="V258" s="121"/>
      <c r="W258" s="121"/>
      <c r="X258" s="121"/>
      <c r="Y258" s="121"/>
      <c r="Z258" s="121"/>
    </row>
    <row r="259" customFormat="false" ht="15.75" hidden="false" customHeight="false" outlineLevel="0" collapsed="false">
      <c r="A259" s="121"/>
      <c r="B259" s="121"/>
      <c r="C259" s="121"/>
      <c r="D259" s="121"/>
      <c r="E259" s="121"/>
      <c r="F259" s="121"/>
      <c r="G259" s="121"/>
      <c r="H259" s="121"/>
      <c r="I259" s="121"/>
      <c r="J259" s="121"/>
      <c r="K259" s="121"/>
      <c r="L259" s="121"/>
      <c r="M259" s="121"/>
      <c r="N259" s="121"/>
      <c r="O259" s="121"/>
      <c r="P259" s="121"/>
      <c r="Q259" s="121"/>
      <c r="R259" s="121"/>
      <c r="S259" s="121"/>
      <c r="T259" s="121"/>
      <c r="U259" s="121"/>
      <c r="V259" s="121"/>
      <c r="W259" s="121"/>
      <c r="X259" s="121"/>
      <c r="Y259" s="121"/>
      <c r="Z259" s="121"/>
    </row>
    <row r="260" customFormat="false" ht="15.75" hidden="false" customHeight="false" outlineLevel="0" collapsed="false">
      <c r="A260" s="121"/>
      <c r="B260" s="121"/>
      <c r="C260" s="121"/>
      <c r="D260" s="121"/>
      <c r="E260" s="121"/>
      <c r="F260" s="121"/>
      <c r="G260" s="121"/>
      <c r="H260" s="121"/>
      <c r="I260" s="121"/>
      <c r="J260" s="121"/>
      <c r="K260" s="121"/>
      <c r="L260" s="121"/>
      <c r="M260" s="121"/>
      <c r="N260" s="121"/>
      <c r="O260" s="121"/>
      <c r="P260" s="121"/>
      <c r="Q260" s="121"/>
      <c r="R260" s="121"/>
      <c r="S260" s="121"/>
      <c r="T260" s="121"/>
      <c r="U260" s="121"/>
      <c r="V260" s="121"/>
      <c r="W260" s="121"/>
      <c r="X260" s="121"/>
      <c r="Y260" s="121"/>
      <c r="Z260" s="121"/>
    </row>
    <row r="261" customFormat="false" ht="15.75" hidden="false" customHeight="false" outlineLevel="0" collapsed="false">
      <c r="A261" s="121"/>
      <c r="B261" s="121"/>
      <c r="C261" s="121"/>
      <c r="D261" s="121"/>
      <c r="E261" s="121"/>
      <c r="F261" s="121"/>
      <c r="G261" s="121"/>
      <c r="H261" s="121"/>
      <c r="I261" s="121"/>
      <c r="J261" s="121"/>
      <c r="K261" s="121"/>
      <c r="L261" s="121"/>
      <c r="M261" s="121"/>
      <c r="N261" s="121"/>
      <c r="O261" s="121"/>
      <c r="P261" s="121"/>
      <c r="Q261" s="121"/>
      <c r="R261" s="121"/>
      <c r="S261" s="121"/>
      <c r="T261" s="121"/>
      <c r="U261" s="121"/>
      <c r="V261" s="121"/>
      <c r="W261" s="121"/>
      <c r="X261" s="121"/>
      <c r="Y261" s="121"/>
      <c r="Z261" s="121"/>
    </row>
    <row r="262" customFormat="false" ht="15.75" hidden="false" customHeight="false" outlineLevel="0" collapsed="false">
      <c r="A262" s="121"/>
      <c r="B262" s="121"/>
      <c r="C262" s="121"/>
      <c r="D262" s="121"/>
      <c r="E262" s="121"/>
      <c r="F262" s="121"/>
      <c r="G262" s="121"/>
      <c r="H262" s="121"/>
      <c r="I262" s="121"/>
      <c r="J262" s="121"/>
      <c r="K262" s="121"/>
      <c r="L262" s="121"/>
      <c r="M262" s="121"/>
      <c r="N262" s="121"/>
      <c r="O262" s="121"/>
      <c r="P262" s="121"/>
      <c r="Q262" s="121"/>
      <c r="R262" s="121"/>
      <c r="S262" s="121"/>
      <c r="T262" s="121"/>
      <c r="U262" s="121"/>
      <c r="V262" s="121"/>
      <c r="W262" s="121"/>
      <c r="X262" s="121"/>
      <c r="Y262" s="121"/>
      <c r="Z262" s="121"/>
    </row>
    <row r="263" customFormat="false" ht="15.75" hidden="false" customHeight="false" outlineLevel="0" collapsed="false">
      <c r="A263" s="121"/>
      <c r="B263" s="121"/>
      <c r="C263" s="121"/>
      <c r="D263" s="121"/>
      <c r="E263" s="121"/>
      <c r="F263" s="121"/>
      <c r="G263" s="121"/>
      <c r="H263" s="121"/>
      <c r="I263" s="121"/>
      <c r="J263" s="121"/>
      <c r="K263" s="121"/>
      <c r="L263" s="121"/>
      <c r="M263" s="121"/>
      <c r="N263" s="121"/>
      <c r="O263" s="121"/>
      <c r="P263" s="121"/>
      <c r="Q263" s="121"/>
      <c r="R263" s="121"/>
      <c r="S263" s="121"/>
      <c r="T263" s="121"/>
      <c r="U263" s="121"/>
      <c r="V263" s="121"/>
      <c r="W263" s="121"/>
      <c r="X263" s="121"/>
      <c r="Y263" s="121"/>
      <c r="Z263" s="121"/>
    </row>
    <row r="264" customFormat="false" ht="15.75" hidden="false" customHeight="false" outlineLevel="0" collapsed="false">
      <c r="A264" s="121"/>
      <c r="B264" s="121"/>
      <c r="C264" s="121"/>
      <c r="D264" s="121"/>
      <c r="E264" s="121"/>
      <c r="F264" s="121"/>
      <c r="G264" s="121"/>
      <c r="H264" s="121"/>
      <c r="I264" s="121"/>
      <c r="J264" s="121"/>
      <c r="K264" s="121"/>
      <c r="L264" s="121"/>
      <c r="M264" s="121"/>
      <c r="N264" s="121"/>
      <c r="O264" s="121"/>
      <c r="P264" s="121"/>
      <c r="Q264" s="121"/>
      <c r="R264" s="121"/>
      <c r="S264" s="121"/>
      <c r="T264" s="121"/>
      <c r="U264" s="121"/>
      <c r="V264" s="121"/>
      <c r="W264" s="121"/>
      <c r="X264" s="121"/>
      <c r="Y264" s="121"/>
      <c r="Z264" s="121"/>
    </row>
    <row r="265" customFormat="false" ht="15.75" hidden="false" customHeight="false" outlineLevel="0" collapsed="false">
      <c r="A265" s="121"/>
      <c r="B265" s="121"/>
      <c r="C265" s="121"/>
      <c r="D265" s="121"/>
      <c r="E265" s="121"/>
      <c r="F265" s="121"/>
      <c r="G265" s="121"/>
      <c r="H265" s="121"/>
      <c r="I265" s="121"/>
      <c r="J265" s="121"/>
      <c r="K265" s="121"/>
      <c r="L265" s="121"/>
      <c r="M265" s="121"/>
      <c r="N265" s="121"/>
      <c r="O265" s="121"/>
      <c r="P265" s="121"/>
      <c r="Q265" s="121"/>
      <c r="R265" s="121"/>
      <c r="S265" s="121"/>
      <c r="T265" s="121"/>
      <c r="U265" s="121"/>
      <c r="V265" s="121"/>
      <c r="W265" s="121"/>
      <c r="X265" s="121"/>
      <c r="Y265" s="121"/>
      <c r="Z265" s="121"/>
    </row>
    <row r="266" customFormat="false" ht="15.75" hidden="false" customHeight="false" outlineLevel="0" collapsed="false">
      <c r="A266" s="121"/>
      <c r="B266" s="121"/>
      <c r="C266" s="121"/>
      <c r="D266" s="121"/>
      <c r="E266" s="121"/>
      <c r="F266" s="121"/>
      <c r="G266" s="121"/>
      <c r="H266" s="121"/>
      <c r="I266" s="121"/>
      <c r="J266" s="121"/>
      <c r="K266" s="121"/>
      <c r="L266" s="121"/>
      <c r="M266" s="121"/>
      <c r="N266" s="121"/>
      <c r="O266" s="121"/>
      <c r="P266" s="121"/>
      <c r="Q266" s="121"/>
      <c r="R266" s="121"/>
      <c r="S266" s="121"/>
      <c r="T266" s="121"/>
      <c r="U266" s="121"/>
      <c r="V266" s="121"/>
      <c r="W266" s="121"/>
      <c r="X266" s="121"/>
      <c r="Y266" s="121"/>
      <c r="Z266" s="121"/>
    </row>
    <row r="267" customFormat="false" ht="15.75" hidden="false" customHeight="false" outlineLevel="0" collapsed="false">
      <c r="A267" s="121"/>
      <c r="B267" s="121"/>
      <c r="C267" s="121"/>
      <c r="D267" s="121"/>
      <c r="E267" s="121"/>
      <c r="F267" s="121"/>
      <c r="G267" s="121"/>
      <c r="H267" s="121"/>
      <c r="I267" s="121"/>
      <c r="J267" s="121"/>
      <c r="K267" s="121"/>
      <c r="L267" s="121"/>
      <c r="M267" s="121"/>
      <c r="N267" s="121"/>
      <c r="O267" s="121"/>
      <c r="P267" s="121"/>
      <c r="Q267" s="121"/>
      <c r="R267" s="121"/>
      <c r="S267" s="121"/>
      <c r="T267" s="121"/>
      <c r="U267" s="121"/>
      <c r="V267" s="121"/>
      <c r="W267" s="121"/>
      <c r="X267" s="121"/>
      <c r="Y267" s="121"/>
      <c r="Z267" s="121"/>
    </row>
    <row r="268" customFormat="false" ht="15.75" hidden="false" customHeight="false" outlineLevel="0" collapsed="false">
      <c r="A268" s="121"/>
      <c r="B268" s="121"/>
      <c r="C268" s="121"/>
      <c r="D268" s="121"/>
      <c r="E268" s="121"/>
      <c r="F268" s="121"/>
      <c r="G268" s="121"/>
      <c r="H268" s="121"/>
      <c r="I268" s="121"/>
      <c r="J268" s="121"/>
      <c r="K268" s="121"/>
      <c r="L268" s="121"/>
      <c r="M268" s="121"/>
      <c r="N268" s="121"/>
      <c r="O268" s="121"/>
      <c r="P268" s="121"/>
      <c r="Q268" s="121"/>
      <c r="R268" s="121"/>
      <c r="S268" s="121"/>
      <c r="T268" s="121"/>
      <c r="U268" s="121"/>
      <c r="V268" s="121"/>
      <c r="W268" s="121"/>
      <c r="X268" s="121"/>
      <c r="Y268" s="121"/>
      <c r="Z268" s="121"/>
    </row>
    <row r="269" customFormat="false" ht="15.75" hidden="false" customHeight="false" outlineLevel="0" collapsed="false">
      <c r="A269" s="121"/>
      <c r="B269" s="121"/>
      <c r="C269" s="121"/>
      <c r="D269" s="121"/>
      <c r="E269" s="121"/>
      <c r="F269" s="121"/>
      <c r="G269" s="121"/>
      <c r="H269" s="121"/>
      <c r="I269" s="121"/>
      <c r="J269" s="121"/>
      <c r="K269" s="121"/>
      <c r="L269" s="121"/>
      <c r="M269" s="121"/>
      <c r="N269" s="121"/>
      <c r="O269" s="121"/>
      <c r="P269" s="121"/>
      <c r="Q269" s="121"/>
      <c r="R269" s="121"/>
      <c r="S269" s="121"/>
      <c r="T269" s="121"/>
      <c r="U269" s="121"/>
      <c r="V269" s="121"/>
      <c r="W269" s="121"/>
      <c r="X269" s="121"/>
      <c r="Y269" s="121"/>
      <c r="Z269" s="121"/>
    </row>
    <row r="270" customFormat="false" ht="15.75" hidden="false" customHeight="false" outlineLevel="0" collapsed="false">
      <c r="A270" s="121"/>
      <c r="B270" s="121"/>
      <c r="C270" s="121"/>
      <c r="D270" s="121"/>
      <c r="E270" s="121"/>
      <c r="F270" s="121"/>
      <c r="G270" s="121"/>
      <c r="H270" s="121"/>
      <c r="I270" s="121"/>
      <c r="J270" s="121"/>
      <c r="K270" s="121"/>
      <c r="L270" s="121"/>
      <c r="M270" s="121"/>
      <c r="N270" s="121"/>
      <c r="O270" s="121"/>
      <c r="P270" s="121"/>
      <c r="Q270" s="121"/>
      <c r="R270" s="121"/>
      <c r="S270" s="121"/>
      <c r="T270" s="121"/>
      <c r="U270" s="121"/>
      <c r="V270" s="121"/>
      <c r="W270" s="121"/>
      <c r="X270" s="121"/>
      <c r="Y270" s="121"/>
      <c r="Z270" s="121"/>
    </row>
    <row r="271" customFormat="false" ht="15.75" hidden="false" customHeight="false" outlineLevel="0" collapsed="false">
      <c r="A271" s="121"/>
      <c r="B271" s="121"/>
      <c r="C271" s="121"/>
      <c r="D271" s="121"/>
      <c r="E271" s="121"/>
      <c r="F271" s="121"/>
      <c r="G271" s="121"/>
      <c r="H271" s="121"/>
      <c r="I271" s="121"/>
      <c r="J271" s="121"/>
      <c r="K271" s="121"/>
      <c r="L271" s="121"/>
      <c r="M271" s="121"/>
      <c r="N271" s="121"/>
      <c r="O271" s="121"/>
      <c r="P271" s="121"/>
      <c r="Q271" s="121"/>
      <c r="R271" s="121"/>
      <c r="S271" s="121"/>
      <c r="T271" s="121"/>
      <c r="U271" s="121"/>
      <c r="V271" s="121"/>
      <c r="W271" s="121"/>
      <c r="X271" s="121"/>
      <c r="Y271" s="121"/>
      <c r="Z271" s="121"/>
    </row>
    <row r="272" customFormat="false" ht="15.75" hidden="false" customHeight="false" outlineLevel="0" collapsed="false">
      <c r="A272" s="121"/>
      <c r="B272" s="121"/>
      <c r="C272" s="121"/>
      <c r="D272" s="121"/>
      <c r="E272" s="121"/>
      <c r="F272" s="121"/>
      <c r="G272" s="121"/>
      <c r="H272" s="121"/>
      <c r="I272" s="121"/>
      <c r="J272" s="121"/>
      <c r="K272" s="121"/>
      <c r="L272" s="121"/>
      <c r="M272" s="121"/>
      <c r="N272" s="121"/>
      <c r="O272" s="121"/>
      <c r="P272" s="121"/>
      <c r="Q272" s="121"/>
      <c r="R272" s="121"/>
      <c r="S272" s="121"/>
      <c r="T272" s="121"/>
      <c r="U272" s="121"/>
      <c r="V272" s="121"/>
      <c r="W272" s="121"/>
      <c r="X272" s="121"/>
      <c r="Y272" s="121"/>
      <c r="Z272" s="121"/>
    </row>
    <row r="273" customFormat="false" ht="15.75" hidden="false" customHeight="false" outlineLevel="0" collapsed="false">
      <c r="A273" s="121"/>
      <c r="B273" s="121"/>
      <c r="C273" s="121"/>
      <c r="D273" s="121"/>
      <c r="E273" s="121"/>
      <c r="F273" s="121"/>
      <c r="G273" s="121"/>
      <c r="H273" s="121"/>
      <c r="I273" s="121"/>
      <c r="J273" s="121"/>
      <c r="K273" s="121"/>
      <c r="L273" s="121"/>
      <c r="M273" s="121"/>
      <c r="N273" s="121"/>
      <c r="O273" s="121"/>
      <c r="P273" s="121"/>
      <c r="Q273" s="121"/>
      <c r="R273" s="121"/>
      <c r="S273" s="121"/>
      <c r="T273" s="121"/>
      <c r="U273" s="121"/>
      <c r="V273" s="121"/>
      <c r="W273" s="121"/>
      <c r="X273" s="121"/>
      <c r="Y273" s="121"/>
      <c r="Z273" s="121"/>
    </row>
    <row r="274" customFormat="false" ht="15.75" hidden="false" customHeight="false" outlineLevel="0" collapsed="false">
      <c r="A274" s="121"/>
      <c r="B274" s="121"/>
      <c r="C274" s="121"/>
      <c r="D274" s="121"/>
      <c r="E274" s="121"/>
      <c r="F274" s="121"/>
      <c r="G274" s="121"/>
      <c r="H274" s="121"/>
      <c r="I274" s="121"/>
      <c r="J274" s="121"/>
      <c r="K274" s="121"/>
      <c r="L274" s="121"/>
      <c r="M274" s="121"/>
      <c r="N274" s="121"/>
      <c r="O274" s="121"/>
      <c r="P274" s="121"/>
      <c r="Q274" s="121"/>
      <c r="R274" s="121"/>
      <c r="S274" s="121"/>
      <c r="T274" s="121"/>
      <c r="U274" s="121"/>
      <c r="V274" s="121"/>
      <c r="W274" s="121"/>
      <c r="X274" s="121"/>
      <c r="Y274" s="121"/>
      <c r="Z274" s="121"/>
    </row>
    <row r="275" customFormat="false" ht="15.75" hidden="false" customHeight="false" outlineLevel="0" collapsed="false">
      <c r="A275" s="121"/>
      <c r="B275" s="121"/>
      <c r="C275" s="121"/>
      <c r="D275" s="121"/>
      <c r="E275" s="121"/>
      <c r="F275" s="121"/>
      <c r="G275" s="121"/>
      <c r="H275" s="121"/>
      <c r="I275" s="121"/>
      <c r="J275" s="121"/>
      <c r="K275" s="121"/>
      <c r="L275" s="121"/>
      <c r="M275" s="121"/>
      <c r="N275" s="121"/>
      <c r="O275" s="121"/>
      <c r="P275" s="121"/>
      <c r="Q275" s="121"/>
      <c r="R275" s="121"/>
      <c r="S275" s="121"/>
      <c r="T275" s="121"/>
      <c r="U275" s="121"/>
      <c r="V275" s="121"/>
      <c r="W275" s="121"/>
      <c r="X275" s="121"/>
      <c r="Y275" s="121"/>
      <c r="Z275" s="121"/>
    </row>
    <row r="276" customFormat="false" ht="15.75" hidden="false" customHeight="false" outlineLevel="0" collapsed="false">
      <c r="A276" s="121"/>
      <c r="B276" s="121"/>
      <c r="C276" s="121"/>
      <c r="D276" s="121"/>
      <c r="E276" s="121"/>
      <c r="F276" s="121"/>
      <c r="G276" s="121"/>
      <c r="H276" s="121"/>
      <c r="I276" s="121"/>
      <c r="J276" s="121"/>
      <c r="K276" s="121"/>
      <c r="L276" s="121"/>
      <c r="M276" s="121"/>
      <c r="N276" s="121"/>
      <c r="O276" s="121"/>
      <c r="P276" s="121"/>
      <c r="Q276" s="121"/>
      <c r="R276" s="121"/>
      <c r="S276" s="121"/>
      <c r="T276" s="121"/>
      <c r="U276" s="121"/>
      <c r="V276" s="121"/>
      <c r="W276" s="121"/>
      <c r="X276" s="121"/>
      <c r="Y276" s="121"/>
      <c r="Z276" s="121"/>
    </row>
    <row r="277" customFormat="false" ht="15.75" hidden="false" customHeight="false" outlineLevel="0" collapsed="false">
      <c r="A277" s="121"/>
      <c r="B277" s="121"/>
      <c r="C277" s="121"/>
      <c r="D277" s="121"/>
      <c r="E277" s="121"/>
      <c r="F277" s="121"/>
      <c r="G277" s="121"/>
      <c r="H277" s="121"/>
      <c r="I277" s="121"/>
      <c r="J277" s="121"/>
      <c r="K277" s="121"/>
      <c r="L277" s="121"/>
      <c r="M277" s="121"/>
      <c r="N277" s="121"/>
      <c r="O277" s="121"/>
      <c r="P277" s="121"/>
      <c r="Q277" s="121"/>
      <c r="R277" s="121"/>
      <c r="S277" s="121"/>
      <c r="T277" s="121"/>
      <c r="U277" s="121"/>
      <c r="V277" s="121"/>
      <c r="W277" s="121"/>
      <c r="X277" s="121"/>
      <c r="Y277" s="121"/>
      <c r="Z277" s="121"/>
    </row>
    <row r="278" customFormat="false" ht="15.75" hidden="false" customHeight="false" outlineLevel="0" collapsed="false">
      <c r="A278" s="121"/>
      <c r="B278" s="121"/>
      <c r="C278" s="121"/>
      <c r="D278" s="121"/>
      <c r="E278" s="121"/>
      <c r="F278" s="121"/>
      <c r="G278" s="121"/>
      <c r="H278" s="121"/>
      <c r="I278" s="121"/>
      <c r="J278" s="121"/>
      <c r="K278" s="121"/>
      <c r="L278" s="121"/>
      <c r="M278" s="121"/>
      <c r="N278" s="121"/>
      <c r="O278" s="121"/>
      <c r="P278" s="121"/>
      <c r="Q278" s="121"/>
      <c r="R278" s="121"/>
      <c r="S278" s="121"/>
      <c r="T278" s="121"/>
      <c r="U278" s="121"/>
      <c r="V278" s="121"/>
      <c r="W278" s="121"/>
      <c r="X278" s="121"/>
      <c r="Y278" s="121"/>
      <c r="Z278" s="121"/>
    </row>
    <row r="279" customFormat="false" ht="15.75" hidden="false" customHeight="false" outlineLevel="0" collapsed="false">
      <c r="A279" s="121"/>
      <c r="B279" s="121"/>
      <c r="C279" s="121"/>
      <c r="D279" s="121"/>
      <c r="E279" s="121"/>
      <c r="F279" s="121"/>
      <c r="G279" s="121"/>
      <c r="H279" s="121"/>
      <c r="I279" s="121"/>
      <c r="J279" s="121"/>
      <c r="K279" s="121"/>
      <c r="L279" s="121"/>
      <c r="M279" s="121"/>
      <c r="N279" s="121"/>
      <c r="O279" s="121"/>
      <c r="P279" s="121"/>
      <c r="Q279" s="121"/>
      <c r="R279" s="121"/>
      <c r="S279" s="121"/>
      <c r="T279" s="121"/>
      <c r="U279" s="121"/>
      <c r="V279" s="121"/>
      <c r="W279" s="121"/>
      <c r="X279" s="121"/>
      <c r="Y279" s="121"/>
      <c r="Z279" s="121"/>
    </row>
    <row r="280" customFormat="false" ht="15.75" hidden="false" customHeight="false" outlineLevel="0" collapsed="false">
      <c r="A280" s="121"/>
      <c r="B280" s="121"/>
      <c r="C280" s="121"/>
      <c r="D280" s="121"/>
      <c r="E280" s="121"/>
      <c r="F280" s="121"/>
      <c r="G280" s="121"/>
      <c r="H280" s="121"/>
      <c r="I280" s="121"/>
      <c r="J280" s="121"/>
      <c r="K280" s="121"/>
      <c r="L280" s="121"/>
      <c r="M280" s="121"/>
      <c r="N280" s="121"/>
      <c r="O280" s="121"/>
      <c r="P280" s="121"/>
      <c r="Q280" s="121"/>
      <c r="R280" s="121"/>
      <c r="S280" s="121"/>
      <c r="T280" s="121"/>
      <c r="U280" s="121"/>
      <c r="V280" s="121"/>
      <c r="W280" s="121"/>
      <c r="X280" s="121"/>
      <c r="Y280" s="121"/>
      <c r="Z280" s="121"/>
    </row>
    <row r="281" customFormat="false" ht="15.75" hidden="false" customHeight="false" outlineLevel="0" collapsed="false">
      <c r="A281" s="121"/>
      <c r="B281" s="121"/>
      <c r="C281" s="121"/>
      <c r="D281" s="121"/>
      <c r="E281" s="121"/>
      <c r="F281" s="121"/>
      <c r="G281" s="121"/>
      <c r="H281" s="121"/>
      <c r="I281" s="121"/>
      <c r="J281" s="121"/>
      <c r="K281" s="121"/>
      <c r="L281" s="121"/>
      <c r="M281" s="121"/>
      <c r="N281" s="121"/>
      <c r="O281" s="121"/>
      <c r="P281" s="121"/>
      <c r="Q281" s="121"/>
      <c r="R281" s="121"/>
      <c r="S281" s="121"/>
      <c r="T281" s="121"/>
      <c r="U281" s="121"/>
      <c r="V281" s="121"/>
      <c r="W281" s="121"/>
      <c r="X281" s="121"/>
      <c r="Y281" s="121"/>
      <c r="Z281" s="121"/>
    </row>
    <row r="282" customFormat="false" ht="15.75" hidden="false" customHeight="false" outlineLevel="0" collapsed="false">
      <c r="A282" s="121"/>
      <c r="B282" s="121"/>
      <c r="C282" s="121"/>
      <c r="D282" s="121"/>
      <c r="E282" s="121"/>
      <c r="F282" s="121"/>
      <c r="G282" s="121"/>
      <c r="H282" s="121"/>
      <c r="I282" s="121"/>
      <c r="J282" s="121"/>
      <c r="K282" s="121"/>
      <c r="L282" s="121"/>
      <c r="M282" s="121"/>
      <c r="N282" s="121"/>
      <c r="O282" s="121"/>
      <c r="P282" s="121"/>
      <c r="Q282" s="121"/>
      <c r="R282" s="121"/>
      <c r="S282" s="121"/>
      <c r="T282" s="121"/>
      <c r="U282" s="121"/>
      <c r="V282" s="121"/>
      <c r="W282" s="121"/>
      <c r="X282" s="121"/>
      <c r="Y282" s="121"/>
      <c r="Z282" s="121"/>
    </row>
    <row r="283" customFormat="false" ht="15.75" hidden="false" customHeight="false" outlineLevel="0" collapsed="false">
      <c r="A283" s="121"/>
      <c r="B283" s="121"/>
      <c r="C283" s="121"/>
      <c r="D283" s="121"/>
      <c r="E283" s="121"/>
      <c r="F283" s="121"/>
      <c r="G283" s="121"/>
      <c r="H283" s="121"/>
      <c r="I283" s="121"/>
      <c r="J283" s="121"/>
      <c r="K283" s="121"/>
      <c r="L283" s="121"/>
      <c r="M283" s="121"/>
      <c r="N283" s="121"/>
      <c r="O283" s="121"/>
      <c r="P283" s="121"/>
      <c r="Q283" s="121"/>
      <c r="R283" s="121"/>
      <c r="S283" s="121"/>
      <c r="T283" s="121"/>
      <c r="U283" s="121"/>
      <c r="V283" s="121"/>
      <c r="W283" s="121"/>
      <c r="X283" s="121"/>
      <c r="Y283" s="121"/>
      <c r="Z283" s="121"/>
    </row>
    <row r="284" customFormat="false" ht="15.75" hidden="false" customHeight="false" outlineLevel="0" collapsed="false">
      <c r="A284" s="121"/>
      <c r="B284" s="121"/>
      <c r="C284" s="121"/>
      <c r="D284" s="121"/>
      <c r="E284" s="121"/>
      <c r="F284" s="121"/>
      <c r="G284" s="121"/>
      <c r="H284" s="121"/>
      <c r="I284" s="121"/>
      <c r="J284" s="121"/>
      <c r="K284" s="121"/>
      <c r="L284" s="121"/>
      <c r="M284" s="121"/>
      <c r="N284" s="121"/>
      <c r="O284" s="121"/>
      <c r="P284" s="121"/>
      <c r="Q284" s="121"/>
      <c r="R284" s="121"/>
      <c r="S284" s="121"/>
      <c r="T284" s="121"/>
      <c r="U284" s="121"/>
      <c r="V284" s="121"/>
      <c r="W284" s="121"/>
      <c r="X284" s="121"/>
      <c r="Y284" s="121"/>
      <c r="Z284" s="121"/>
    </row>
    <row r="285" customFormat="false" ht="15.75" hidden="false" customHeight="false" outlineLevel="0" collapsed="false">
      <c r="A285" s="121"/>
      <c r="B285" s="121"/>
      <c r="C285" s="121"/>
      <c r="D285" s="121"/>
      <c r="E285" s="121"/>
      <c r="F285" s="121"/>
      <c r="G285" s="121"/>
      <c r="H285" s="121"/>
      <c r="I285" s="121"/>
      <c r="J285" s="121"/>
      <c r="K285" s="121"/>
      <c r="L285" s="121"/>
      <c r="M285" s="121"/>
      <c r="N285" s="121"/>
      <c r="O285" s="121"/>
      <c r="P285" s="121"/>
      <c r="Q285" s="121"/>
      <c r="R285" s="121"/>
      <c r="S285" s="121"/>
      <c r="T285" s="121"/>
      <c r="U285" s="121"/>
      <c r="V285" s="121"/>
      <c r="W285" s="121"/>
      <c r="X285" s="121"/>
      <c r="Y285" s="121"/>
      <c r="Z285" s="121"/>
    </row>
    <row r="286" customFormat="false" ht="15.75" hidden="false" customHeight="false" outlineLevel="0" collapsed="false">
      <c r="A286" s="121"/>
      <c r="B286" s="121"/>
      <c r="C286" s="121"/>
      <c r="D286" s="121"/>
      <c r="E286" s="121"/>
      <c r="F286" s="121"/>
      <c r="G286" s="121"/>
      <c r="H286" s="121"/>
      <c r="I286" s="121"/>
      <c r="J286" s="121"/>
      <c r="K286" s="121"/>
      <c r="L286" s="121"/>
      <c r="M286" s="121"/>
      <c r="N286" s="121"/>
      <c r="O286" s="121"/>
      <c r="P286" s="121"/>
      <c r="Q286" s="121"/>
      <c r="R286" s="121"/>
      <c r="S286" s="121"/>
      <c r="T286" s="121"/>
      <c r="U286" s="121"/>
      <c r="V286" s="121"/>
      <c r="W286" s="121"/>
      <c r="X286" s="121"/>
      <c r="Y286" s="121"/>
      <c r="Z286" s="121"/>
    </row>
    <row r="287" customFormat="false" ht="15.75" hidden="false" customHeight="false" outlineLevel="0" collapsed="false">
      <c r="A287" s="121"/>
      <c r="B287" s="121"/>
      <c r="C287" s="121"/>
      <c r="D287" s="121"/>
      <c r="E287" s="121"/>
      <c r="F287" s="121"/>
      <c r="G287" s="121"/>
      <c r="H287" s="121"/>
      <c r="I287" s="121"/>
      <c r="J287" s="121"/>
      <c r="K287" s="121"/>
      <c r="L287" s="121"/>
      <c r="M287" s="121"/>
      <c r="N287" s="121"/>
      <c r="O287" s="121"/>
      <c r="P287" s="121"/>
      <c r="Q287" s="121"/>
      <c r="R287" s="121"/>
      <c r="S287" s="121"/>
      <c r="T287" s="121"/>
      <c r="U287" s="121"/>
      <c r="V287" s="121"/>
      <c r="W287" s="121"/>
      <c r="X287" s="121"/>
      <c r="Y287" s="121"/>
      <c r="Z287" s="121"/>
    </row>
    <row r="288" customFormat="false" ht="15.75" hidden="false" customHeight="false" outlineLevel="0" collapsed="false">
      <c r="A288" s="121"/>
      <c r="B288" s="121"/>
      <c r="C288" s="121"/>
      <c r="D288" s="121"/>
      <c r="E288" s="121"/>
      <c r="F288" s="121"/>
      <c r="G288" s="121"/>
      <c r="H288" s="121"/>
      <c r="I288" s="121"/>
      <c r="J288" s="121"/>
      <c r="K288" s="121"/>
      <c r="L288" s="121"/>
      <c r="M288" s="121"/>
      <c r="N288" s="121"/>
      <c r="O288" s="121"/>
      <c r="P288" s="121"/>
      <c r="Q288" s="121"/>
      <c r="R288" s="121"/>
      <c r="S288" s="121"/>
      <c r="T288" s="121"/>
      <c r="U288" s="121"/>
      <c r="V288" s="121"/>
      <c r="W288" s="121"/>
      <c r="X288" s="121"/>
      <c r="Y288" s="121"/>
      <c r="Z288" s="121"/>
    </row>
    <row r="289" customFormat="false" ht="15.75" hidden="false" customHeight="false" outlineLevel="0" collapsed="false">
      <c r="A289" s="121"/>
      <c r="B289" s="121"/>
      <c r="C289" s="121"/>
      <c r="D289" s="121"/>
      <c r="E289" s="121"/>
      <c r="F289" s="121"/>
      <c r="G289" s="121"/>
      <c r="H289" s="121"/>
      <c r="I289" s="121"/>
      <c r="J289" s="121"/>
      <c r="K289" s="121"/>
      <c r="L289" s="121"/>
      <c r="M289" s="121"/>
      <c r="N289" s="121"/>
      <c r="O289" s="121"/>
      <c r="P289" s="121"/>
      <c r="Q289" s="121"/>
      <c r="R289" s="121"/>
      <c r="S289" s="121"/>
      <c r="T289" s="121"/>
      <c r="U289" s="121"/>
      <c r="V289" s="121"/>
      <c r="W289" s="121"/>
      <c r="X289" s="121"/>
      <c r="Y289" s="121"/>
      <c r="Z289" s="121"/>
    </row>
    <row r="290" customFormat="false" ht="15.75" hidden="false" customHeight="false" outlineLevel="0" collapsed="false">
      <c r="A290" s="121"/>
      <c r="B290" s="121"/>
      <c r="C290" s="121"/>
      <c r="D290" s="121"/>
      <c r="E290" s="121"/>
      <c r="F290" s="121"/>
      <c r="G290" s="121"/>
      <c r="H290" s="121"/>
      <c r="I290" s="121"/>
      <c r="J290" s="121"/>
      <c r="K290" s="121"/>
      <c r="L290" s="121"/>
      <c r="M290" s="121"/>
      <c r="N290" s="121"/>
      <c r="O290" s="121"/>
      <c r="P290" s="121"/>
      <c r="Q290" s="121"/>
      <c r="R290" s="121"/>
      <c r="S290" s="121"/>
      <c r="T290" s="121"/>
      <c r="U290" s="121"/>
      <c r="V290" s="121"/>
      <c r="W290" s="121"/>
      <c r="X290" s="121"/>
      <c r="Y290" s="121"/>
      <c r="Z290" s="121"/>
    </row>
    <row r="291" customFormat="false" ht="15.75" hidden="false" customHeight="false" outlineLevel="0" collapsed="false">
      <c r="A291" s="121"/>
      <c r="B291" s="121"/>
      <c r="C291" s="121"/>
      <c r="D291" s="121"/>
      <c r="E291" s="121"/>
      <c r="F291" s="121"/>
      <c r="G291" s="121"/>
      <c r="H291" s="121"/>
      <c r="I291" s="121"/>
      <c r="J291" s="121"/>
      <c r="K291" s="121"/>
      <c r="L291" s="121"/>
      <c r="M291" s="121"/>
      <c r="N291" s="121"/>
      <c r="O291" s="121"/>
      <c r="P291" s="121"/>
      <c r="Q291" s="121"/>
      <c r="R291" s="121"/>
      <c r="S291" s="121"/>
      <c r="T291" s="121"/>
      <c r="U291" s="121"/>
      <c r="V291" s="121"/>
      <c r="W291" s="121"/>
      <c r="X291" s="121"/>
      <c r="Y291" s="121"/>
      <c r="Z291" s="121"/>
    </row>
    <row r="292" customFormat="false" ht="15.75" hidden="false" customHeight="false" outlineLevel="0" collapsed="false">
      <c r="A292" s="121"/>
      <c r="B292" s="121"/>
      <c r="C292" s="121"/>
      <c r="D292" s="121"/>
      <c r="E292" s="121"/>
      <c r="F292" s="121"/>
      <c r="G292" s="121"/>
      <c r="H292" s="121"/>
      <c r="I292" s="121"/>
      <c r="J292" s="121"/>
      <c r="K292" s="121"/>
      <c r="L292" s="121"/>
      <c r="M292" s="121"/>
      <c r="N292" s="121"/>
      <c r="O292" s="121"/>
      <c r="P292" s="121"/>
      <c r="Q292" s="121"/>
      <c r="R292" s="121"/>
      <c r="S292" s="121"/>
      <c r="T292" s="121"/>
      <c r="U292" s="121"/>
      <c r="V292" s="121"/>
      <c r="W292" s="121"/>
      <c r="X292" s="121"/>
      <c r="Y292" s="121"/>
      <c r="Z292" s="121"/>
    </row>
    <row r="293" customFormat="false" ht="15.75" hidden="false" customHeight="false" outlineLevel="0" collapsed="false">
      <c r="A293" s="121"/>
      <c r="B293" s="121"/>
      <c r="C293" s="121"/>
      <c r="D293" s="121"/>
      <c r="E293" s="121"/>
      <c r="F293" s="121"/>
      <c r="G293" s="121"/>
      <c r="H293" s="121"/>
      <c r="I293" s="121"/>
      <c r="J293" s="121"/>
      <c r="K293" s="121"/>
      <c r="L293" s="121"/>
      <c r="M293" s="121"/>
      <c r="N293" s="121"/>
      <c r="O293" s="121"/>
      <c r="P293" s="121"/>
      <c r="Q293" s="121"/>
      <c r="R293" s="121"/>
      <c r="S293" s="121"/>
      <c r="T293" s="121"/>
      <c r="U293" s="121"/>
      <c r="V293" s="121"/>
      <c r="W293" s="121"/>
      <c r="X293" s="121"/>
      <c r="Y293" s="121"/>
      <c r="Z293" s="121"/>
    </row>
    <row r="294" customFormat="false" ht="15.75" hidden="false" customHeight="false" outlineLevel="0" collapsed="false">
      <c r="A294" s="121"/>
      <c r="B294" s="121"/>
      <c r="C294" s="121"/>
      <c r="D294" s="121"/>
      <c r="E294" s="121"/>
      <c r="F294" s="121"/>
      <c r="G294" s="121"/>
      <c r="H294" s="121"/>
      <c r="I294" s="121"/>
      <c r="J294" s="121"/>
      <c r="K294" s="121"/>
      <c r="L294" s="121"/>
      <c r="M294" s="121"/>
      <c r="N294" s="121"/>
      <c r="O294" s="121"/>
      <c r="P294" s="121"/>
      <c r="Q294" s="121"/>
      <c r="R294" s="121"/>
      <c r="S294" s="121"/>
      <c r="T294" s="121"/>
      <c r="U294" s="121"/>
      <c r="V294" s="121"/>
      <c r="W294" s="121"/>
      <c r="X294" s="121"/>
      <c r="Y294" s="121"/>
      <c r="Z294" s="121"/>
    </row>
    <row r="295" customFormat="false" ht="15.75" hidden="false" customHeight="false" outlineLevel="0" collapsed="false">
      <c r="A295" s="121"/>
      <c r="B295" s="121"/>
      <c r="C295" s="121"/>
      <c r="D295" s="121"/>
      <c r="E295" s="121"/>
      <c r="F295" s="121"/>
      <c r="G295" s="121"/>
      <c r="H295" s="121"/>
      <c r="I295" s="121"/>
      <c r="J295" s="121"/>
      <c r="K295" s="121"/>
      <c r="L295" s="121"/>
      <c r="M295" s="121"/>
      <c r="N295" s="121"/>
      <c r="O295" s="121"/>
      <c r="P295" s="121"/>
      <c r="Q295" s="121"/>
      <c r="R295" s="121"/>
      <c r="S295" s="121"/>
      <c r="T295" s="121"/>
      <c r="U295" s="121"/>
      <c r="V295" s="121"/>
      <c r="W295" s="121"/>
      <c r="X295" s="121"/>
      <c r="Y295" s="121"/>
      <c r="Z295" s="121"/>
    </row>
    <row r="296" customFormat="false" ht="15.75" hidden="false" customHeight="false" outlineLevel="0" collapsed="false">
      <c r="A296" s="121"/>
      <c r="B296" s="121"/>
      <c r="C296" s="121"/>
      <c r="D296" s="121"/>
      <c r="E296" s="121"/>
      <c r="F296" s="121"/>
      <c r="G296" s="121"/>
      <c r="H296" s="121"/>
      <c r="I296" s="121"/>
      <c r="J296" s="121"/>
      <c r="K296" s="121"/>
      <c r="L296" s="121"/>
      <c r="M296" s="121"/>
      <c r="N296" s="121"/>
      <c r="O296" s="121"/>
      <c r="P296" s="121"/>
      <c r="Q296" s="121"/>
      <c r="R296" s="121"/>
      <c r="S296" s="121"/>
      <c r="T296" s="121"/>
      <c r="U296" s="121"/>
      <c r="V296" s="121"/>
      <c r="W296" s="121"/>
      <c r="X296" s="121"/>
      <c r="Y296" s="121"/>
      <c r="Z296" s="121"/>
    </row>
    <row r="297" customFormat="false" ht="15.75" hidden="false" customHeight="false" outlineLevel="0" collapsed="false">
      <c r="A297" s="121"/>
      <c r="B297" s="121"/>
      <c r="C297" s="121"/>
      <c r="D297" s="121"/>
      <c r="E297" s="121"/>
      <c r="F297" s="121"/>
      <c r="G297" s="121"/>
      <c r="H297" s="121"/>
      <c r="I297" s="121"/>
      <c r="J297" s="121"/>
      <c r="K297" s="121"/>
      <c r="L297" s="121"/>
      <c r="M297" s="121"/>
      <c r="N297" s="121"/>
      <c r="O297" s="121"/>
      <c r="P297" s="121"/>
      <c r="Q297" s="121"/>
      <c r="R297" s="121"/>
      <c r="S297" s="121"/>
      <c r="T297" s="121"/>
      <c r="U297" s="121"/>
      <c r="V297" s="121"/>
      <c r="W297" s="121"/>
      <c r="X297" s="121"/>
      <c r="Y297" s="121"/>
      <c r="Z297" s="121"/>
    </row>
    <row r="298" customFormat="false" ht="15.75" hidden="false" customHeight="false" outlineLevel="0" collapsed="false">
      <c r="A298" s="121"/>
      <c r="B298" s="121"/>
      <c r="C298" s="121"/>
      <c r="D298" s="121"/>
      <c r="E298" s="121"/>
      <c r="F298" s="121"/>
      <c r="G298" s="121"/>
      <c r="H298" s="121"/>
      <c r="I298" s="121"/>
      <c r="J298" s="121"/>
      <c r="K298" s="121"/>
      <c r="L298" s="121"/>
      <c r="M298" s="121"/>
      <c r="N298" s="121"/>
      <c r="O298" s="121"/>
      <c r="P298" s="121"/>
      <c r="Q298" s="121"/>
      <c r="R298" s="121"/>
      <c r="S298" s="121"/>
      <c r="T298" s="121"/>
      <c r="U298" s="121"/>
      <c r="V298" s="121"/>
      <c r="W298" s="121"/>
      <c r="X298" s="121"/>
      <c r="Y298" s="121"/>
      <c r="Z298" s="121"/>
    </row>
    <row r="299" customFormat="false" ht="15.75" hidden="false" customHeight="false" outlineLevel="0" collapsed="false">
      <c r="A299" s="121"/>
      <c r="B299" s="121"/>
      <c r="C299" s="121"/>
      <c r="D299" s="121"/>
      <c r="E299" s="121"/>
      <c r="F299" s="121"/>
      <c r="G299" s="121"/>
      <c r="H299" s="121"/>
      <c r="I299" s="121"/>
      <c r="J299" s="121"/>
      <c r="K299" s="121"/>
      <c r="L299" s="121"/>
      <c r="M299" s="121"/>
      <c r="N299" s="121"/>
      <c r="O299" s="121"/>
      <c r="P299" s="121"/>
      <c r="Q299" s="121"/>
      <c r="R299" s="121"/>
      <c r="S299" s="121"/>
      <c r="T299" s="121"/>
      <c r="U299" s="121"/>
      <c r="V299" s="121"/>
      <c r="W299" s="121"/>
      <c r="X299" s="121"/>
      <c r="Y299" s="121"/>
      <c r="Z299" s="121"/>
    </row>
    <row r="300" customFormat="false" ht="15.75" hidden="false" customHeight="false" outlineLevel="0" collapsed="false">
      <c r="A300" s="121"/>
      <c r="B300" s="121"/>
      <c r="C300" s="121"/>
      <c r="D300" s="121"/>
      <c r="E300" s="121"/>
      <c r="F300" s="121"/>
      <c r="G300" s="121"/>
      <c r="H300" s="121"/>
      <c r="I300" s="121"/>
      <c r="J300" s="121"/>
      <c r="K300" s="121"/>
      <c r="L300" s="121"/>
      <c r="M300" s="121"/>
      <c r="N300" s="121"/>
      <c r="O300" s="121"/>
      <c r="P300" s="121"/>
      <c r="Q300" s="121"/>
      <c r="R300" s="121"/>
      <c r="S300" s="121"/>
      <c r="T300" s="121"/>
      <c r="U300" s="121"/>
      <c r="V300" s="121"/>
      <c r="W300" s="121"/>
      <c r="X300" s="121"/>
      <c r="Y300" s="121"/>
      <c r="Z300" s="121"/>
    </row>
    <row r="301" customFormat="false" ht="15.75" hidden="false" customHeight="false" outlineLevel="0" collapsed="false">
      <c r="A301" s="121"/>
      <c r="B301" s="121"/>
      <c r="C301" s="121"/>
      <c r="D301" s="121"/>
      <c r="E301" s="121"/>
      <c r="F301" s="121"/>
      <c r="G301" s="121"/>
      <c r="H301" s="121"/>
      <c r="I301" s="121"/>
      <c r="J301" s="121"/>
      <c r="K301" s="121"/>
      <c r="L301" s="121"/>
      <c r="M301" s="121"/>
      <c r="N301" s="121"/>
      <c r="O301" s="121"/>
      <c r="P301" s="121"/>
      <c r="Q301" s="121"/>
      <c r="R301" s="121"/>
      <c r="S301" s="121"/>
      <c r="T301" s="121"/>
      <c r="U301" s="121"/>
      <c r="V301" s="121"/>
      <c r="W301" s="121"/>
      <c r="X301" s="121"/>
      <c r="Y301" s="121"/>
      <c r="Z301" s="121"/>
    </row>
    <row r="302" customFormat="false" ht="15.75" hidden="false" customHeight="false" outlineLevel="0" collapsed="false">
      <c r="A302" s="121"/>
      <c r="B302" s="121"/>
      <c r="C302" s="121"/>
      <c r="D302" s="121"/>
      <c r="E302" s="121"/>
      <c r="F302" s="121"/>
      <c r="G302" s="121"/>
      <c r="H302" s="121"/>
      <c r="I302" s="121"/>
      <c r="J302" s="121"/>
      <c r="K302" s="121"/>
      <c r="L302" s="121"/>
      <c r="M302" s="121"/>
      <c r="N302" s="121"/>
      <c r="O302" s="121"/>
      <c r="P302" s="121"/>
      <c r="Q302" s="121"/>
      <c r="R302" s="121"/>
      <c r="S302" s="121"/>
      <c r="T302" s="121"/>
      <c r="U302" s="121"/>
      <c r="V302" s="121"/>
      <c r="W302" s="121"/>
      <c r="X302" s="121"/>
      <c r="Y302" s="121"/>
      <c r="Z302" s="121"/>
    </row>
    <row r="303" customFormat="false" ht="15.75" hidden="false" customHeight="false" outlineLevel="0" collapsed="false">
      <c r="A303" s="121"/>
      <c r="B303" s="121"/>
      <c r="C303" s="121"/>
      <c r="D303" s="121"/>
      <c r="E303" s="121"/>
      <c r="F303" s="121"/>
      <c r="G303" s="121"/>
      <c r="H303" s="121"/>
      <c r="I303" s="121"/>
      <c r="J303" s="121"/>
      <c r="K303" s="121"/>
      <c r="L303" s="121"/>
      <c r="M303" s="121"/>
      <c r="N303" s="121"/>
      <c r="O303" s="121"/>
      <c r="P303" s="121"/>
      <c r="Q303" s="121"/>
      <c r="R303" s="121"/>
      <c r="S303" s="121"/>
      <c r="T303" s="121"/>
      <c r="U303" s="121"/>
      <c r="V303" s="121"/>
      <c r="W303" s="121"/>
      <c r="X303" s="121"/>
      <c r="Y303" s="121"/>
      <c r="Z303" s="121"/>
    </row>
    <row r="304" customFormat="false" ht="15.75" hidden="false" customHeight="false" outlineLevel="0" collapsed="false">
      <c r="A304" s="121"/>
      <c r="B304" s="121"/>
      <c r="C304" s="121"/>
      <c r="D304" s="121"/>
      <c r="E304" s="121"/>
      <c r="F304" s="121"/>
      <c r="G304" s="121"/>
      <c r="H304" s="121"/>
      <c r="I304" s="121"/>
      <c r="J304" s="121"/>
      <c r="K304" s="121"/>
      <c r="L304" s="121"/>
      <c r="M304" s="121"/>
      <c r="N304" s="121"/>
      <c r="O304" s="121"/>
      <c r="P304" s="121"/>
      <c r="Q304" s="121"/>
      <c r="R304" s="121"/>
      <c r="S304" s="121"/>
      <c r="T304" s="121"/>
      <c r="U304" s="121"/>
      <c r="V304" s="121"/>
      <c r="W304" s="121"/>
      <c r="X304" s="121"/>
      <c r="Y304" s="121"/>
      <c r="Z304" s="121"/>
    </row>
    <row r="305" customFormat="false" ht="15.75" hidden="false" customHeight="false" outlineLevel="0" collapsed="false">
      <c r="A305" s="121"/>
      <c r="B305" s="121"/>
      <c r="C305" s="121"/>
      <c r="D305" s="121"/>
      <c r="E305" s="121"/>
      <c r="F305" s="121"/>
      <c r="G305" s="121"/>
      <c r="H305" s="121"/>
      <c r="I305" s="121"/>
      <c r="J305" s="121"/>
      <c r="K305" s="121"/>
      <c r="L305" s="121"/>
      <c r="M305" s="121"/>
      <c r="N305" s="121"/>
      <c r="O305" s="121"/>
      <c r="P305" s="121"/>
      <c r="Q305" s="121"/>
      <c r="R305" s="121"/>
      <c r="S305" s="121"/>
      <c r="T305" s="121"/>
      <c r="U305" s="121"/>
      <c r="V305" s="121"/>
      <c r="W305" s="121"/>
      <c r="X305" s="121"/>
      <c r="Y305" s="121"/>
      <c r="Z305" s="121"/>
    </row>
    <row r="306" customFormat="false" ht="15.75" hidden="false" customHeight="false" outlineLevel="0" collapsed="false">
      <c r="A306" s="121"/>
      <c r="B306" s="121"/>
      <c r="C306" s="121"/>
      <c r="D306" s="121"/>
      <c r="E306" s="121"/>
      <c r="F306" s="121"/>
      <c r="G306" s="121"/>
      <c r="H306" s="121"/>
      <c r="I306" s="121"/>
      <c r="J306" s="121"/>
      <c r="K306" s="121"/>
      <c r="L306" s="121"/>
      <c r="M306" s="121"/>
      <c r="N306" s="121"/>
      <c r="O306" s="121"/>
      <c r="P306" s="121"/>
      <c r="Q306" s="121"/>
      <c r="R306" s="121"/>
      <c r="S306" s="121"/>
      <c r="T306" s="121"/>
      <c r="U306" s="121"/>
      <c r="V306" s="121"/>
      <c r="W306" s="121"/>
      <c r="X306" s="121"/>
      <c r="Y306" s="121"/>
      <c r="Z306" s="121"/>
    </row>
    <row r="307" customFormat="false" ht="15.75" hidden="false" customHeight="false" outlineLevel="0" collapsed="false">
      <c r="A307" s="121"/>
      <c r="B307" s="121"/>
      <c r="C307" s="121"/>
      <c r="D307" s="121"/>
      <c r="E307" s="121"/>
      <c r="F307" s="121"/>
      <c r="G307" s="121"/>
      <c r="H307" s="121"/>
      <c r="I307" s="121"/>
      <c r="J307" s="121"/>
      <c r="K307" s="121"/>
      <c r="L307" s="121"/>
      <c r="M307" s="121"/>
      <c r="N307" s="121"/>
      <c r="O307" s="121"/>
      <c r="P307" s="121"/>
      <c r="Q307" s="121"/>
      <c r="R307" s="121"/>
      <c r="S307" s="121"/>
      <c r="T307" s="121"/>
      <c r="U307" s="121"/>
      <c r="V307" s="121"/>
      <c r="W307" s="121"/>
      <c r="X307" s="121"/>
      <c r="Y307" s="121"/>
      <c r="Z307" s="121"/>
    </row>
    <row r="308" customFormat="false" ht="15.75" hidden="false" customHeight="false" outlineLevel="0" collapsed="false">
      <c r="A308" s="121"/>
      <c r="B308" s="121"/>
      <c r="C308" s="121"/>
      <c r="D308" s="121"/>
      <c r="E308" s="121"/>
      <c r="F308" s="121"/>
      <c r="G308" s="121"/>
      <c r="H308" s="121"/>
      <c r="I308" s="121"/>
      <c r="J308" s="121"/>
      <c r="K308" s="121"/>
      <c r="L308" s="121"/>
      <c r="M308" s="121"/>
      <c r="N308" s="121"/>
      <c r="O308" s="121"/>
      <c r="P308" s="121"/>
      <c r="Q308" s="121"/>
      <c r="R308" s="121"/>
      <c r="S308" s="121"/>
      <c r="T308" s="121"/>
      <c r="U308" s="121"/>
      <c r="V308" s="121"/>
      <c r="W308" s="121"/>
      <c r="X308" s="121"/>
      <c r="Y308" s="121"/>
      <c r="Z308" s="121"/>
    </row>
    <row r="309" customFormat="false" ht="15.75" hidden="false" customHeight="false" outlineLevel="0" collapsed="false">
      <c r="A309" s="121"/>
      <c r="B309" s="121"/>
      <c r="C309" s="121"/>
      <c r="D309" s="121"/>
      <c r="E309" s="121"/>
      <c r="F309" s="121"/>
      <c r="G309" s="121"/>
      <c r="H309" s="121"/>
      <c r="I309" s="121"/>
      <c r="J309" s="121"/>
      <c r="K309" s="121"/>
      <c r="L309" s="121"/>
      <c r="M309" s="121"/>
      <c r="N309" s="121"/>
      <c r="O309" s="121"/>
      <c r="P309" s="121"/>
      <c r="Q309" s="121"/>
      <c r="R309" s="121"/>
      <c r="S309" s="121"/>
      <c r="T309" s="121"/>
      <c r="U309" s="121"/>
      <c r="V309" s="121"/>
      <c r="W309" s="121"/>
      <c r="X309" s="121"/>
      <c r="Y309" s="121"/>
      <c r="Z309" s="121"/>
    </row>
    <row r="310" customFormat="false" ht="15.75" hidden="false" customHeight="false" outlineLevel="0" collapsed="false">
      <c r="A310" s="121"/>
      <c r="B310" s="121"/>
      <c r="C310" s="121"/>
      <c r="D310" s="121"/>
      <c r="E310" s="121"/>
      <c r="F310" s="121"/>
      <c r="G310" s="121"/>
      <c r="H310" s="121"/>
      <c r="I310" s="121"/>
      <c r="J310" s="121"/>
      <c r="K310" s="121"/>
      <c r="L310" s="121"/>
      <c r="M310" s="121"/>
      <c r="N310" s="121"/>
      <c r="O310" s="121"/>
      <c r="P310" s="121"/>
      <c r="Q310" s="121"/>
      <c r="R310" s="121"/>
      <c r="S310" s="121"/>
      <c r="T310" s="121"/>
      <c r="U310" s="121"/>
      <c r="V310" s="121"/>
      <c r="W310" s="121"/>
      <c r="X310" s="121"/>
      <c r="Y310" s="121"/>
      <c r="Z310" s="121"/>
    </row>
    <row r="311" customFormat="false" ht="15.75" hidden="false" customHeight="false" outlineLevel="0" collapsed="false">
      <c r="A311" s="121"/>
      <c r="B311" s="121"/>
      <c r="C311" s="121"/>
      <c r="D311" s="121"/>
      <c r="E311" s="121"/>
      <c r="F311" s="121"/>
      <c r="G311" s="121"/>
      <c r="H311" s="121"/>
      <c r="I311" s="121"/>
      <c r="J311" s="121"/>
      <c r="K311" s="121"/>
      <c r="L311" s="121"/>
      <c r="M311" s="121"/>
      <c r="N311" s="121"/>
      <c r="O311" s="121"/>
      <c r="P311" s="121"/>
      <c r="Q311" s="121"/>
      <c r="R311" s="121"/>
      <c r="S311" s="121"/>
      <c r="T311" s="121"/>
      <c r="U311" s="121"/>
      <c r="V311" s="121"/>
      <c r="W311" s="121"/>
      <c r="X311" s="121"/>
      <c r="Y311" s="121"/>
      <c r="Z311" s="121"/>
    </row>
    <row r="312" customFormat="false" ht="15.75" hidden="false" customHeight="false" outlineLevel="0" collapsed="false">
      <c r="A312" s="121"/>
      <c r="B312" s="121"/>
      <c r="C312" s="121"/>
      <c r="D312" s="121"/>
      <c r="E312" s="121"/>
      <c r="F312" s="121"/>
      <c r="G312" s="121"/>
      <c r="H312" s="121"/>
      <c r="I312" s="121"/>
      <c r="J312" s="121"/>
      <c r="K312" s="121"/>
      <c r="L312" s="121"/>
      <c r="M312" s="121"/>
      <c r="N312" s="121"/>
      <c r="O312" s="121"/>
      <c r="P312" s="121"/>
      <c r="Q312" s="121"/>
      <c r="R312" s="121"/>
      <c r="S312" s="121"/>
      <c r="T312" s="121"/>
      <c r="U312" s="121"/>
      <c r="V312" s="121"/>
      <c r="W312" s="121"/>
      <c r="X312" s="121"/>
      <c r="Y312" s="121"/>
      <c r="Z312" s="121"/>
    </row>
    <row r="313" customFormat="false" ht="15.75" hidden="false" customHeight="false" outlineLevel="0" collapsed="false">
      <c r="A313" s="121"/>
      <c r="B313" s="121"/>
      <c r="C313" s="121"/>
      <c r="D313" s="121"/>
      <c r="E313" s="121"/>
      <c r="F313" s="121"/>
      <c r="G313" s="121"/>
      <c r="H313" s="121"/>
      <c r="I313" s="121"/>
      <c r="J313" s="121"/>
      <c r="K313" s="121"/>
      <c r="L313" s="121"/>
      <c r="M313" s="121"/>
      <c r="N313" s="121"/>
      <c r="O313" s="121"/>
      <c r="P313" s="121"/>
      <c r="Q313" s="121"/>
      <c r="R313" s="121"/>
      <c r="S313" s="121"/>
      <c r="T313" s="121"/>
      <c r="U313" s="121"/>
      <c r="V313" s="121"/>
      <c r="W313" s="121"/>
      <c r="X313" s="121"/>
      <c r="Y313" s="121"/>
      <c r="Z313" s="121"/>
    </row>
    <row r="314" customFormat="false" ht="15.75" hidden="false" customHeight="false" outlineLevel="0" collapsed="false">
      <c r="A314" s="121"/>
      <c r="B314" s="121"/>
      <c r="C314" s="121"/>
      <c r="D314" s="121"/>
      <c r="E314" s="121"/>
      <c r="F314" s="121"/>
      <c r="G314" s="121"/>
      <c r="H314" s="121"/>
      <c r="I314" s="121"/>
      <c r="J314" s="121"/>
      <c r="K314" s="121"/>
      <c r="L314" s="121"/>
      <c r="M314" s="121"/>
      <c r="N314" s="121"/>
      <c r="O314" s="121"/>
      <c r="P314" s="121"/>
      <c r="Q314" s="121"/>
      <c r="R314" s="121"/>
      <c r="S314" s="121"/>
      <c r="T314" s="121"/>
      <c r="U314" s="121"/>
      <c r="V314" s="121"/>
      <c r="W314" s="121"/>
      <c r="X314" s="121"/>
      <c r="Y314" s="121"/>
      <c r="Z314" s="121"/>
    </row>
    <row r="315" customFormat="false" ht="15.75" hidden="false" customHeight="false" outlineLevel="0" collapsed="false">
      <c r="A315" s="121"/>
      <c r="B315" s="121"/>
      <c r="C315" s="121"/>
      <c r="D315" s="121"/>
      <c r="E315" s="121"/>
      <c r="F315" s="121"/>
      <c r="G315" s="121"/>
      <c r="H315" s="121"/>
      <c r="I315" s="121"/>
      <c r="J315" s="121"/>
      <c r="K315" s="121"/>
      <c r="L315" s="121"/>
      <c r="M315" s="121"/>
      <c r="N315" s="121"/>
      <c r="O315" s="121"/>
      <c r="P315" s="121"/>
      <c r="Q315" s="121"/>
      <c r="R315" s="121"/>
      <c r="S315" s="121"/>
      <c r="T315" s="121"/>
      <c r="U315" s="121"/>
      <c r="V315" s="121"/>
      <c r="W315" s="121"/>
      <c r="X315" s="121"/>
      <c r="Y315" s="121"/>
      <c r="Z315" s="121"/>
    </row>
    <row r="316" customFormat="false" ht="15.75" hidden="false" customHeight="false" outlineLevel="0" collapsed="false">
      <c r="A316" s="121"/>
      <c r="B316" s="121"/>
      <c r="C316" s="121"/>
      <c r="D316" s="121"/>
      <c r="E316" s="121"/>
      <c r="F316" s="121"/>
      <c r="G316" s="121"/>
      <c r="H316" s="121"/>
      <c r="I316" s="121"/>
      <c r="J316" s="121"/>
      <c r="K316" s="121"/>
      <c r="L316" s="121"/>
      <c r="M316" s="121"/>
      <c r="N316" s="121"/>
      <c r="O316" s="121"/>
      <c r="P316" s="121"/>
      <c r="Q316" s="121"/>
      <c r="R316" s="121"/>
      <c r="S316" s="121"/>
      <c r="T316" s="121"/>
      <c r="U316" s="121"/>
      <c r="V316" s="121"/>
      <c r="W316" s="121"/>
      <c r="X316" s="121"/>
      <c r="Y316" s="121"/>
      <c r="Z316" s="121"/>
    </row>
    <row r="317" customFormat="false" ht="15.75" hidden="false" customHeight="false" outlineLevel="0" collapsed="false">
      <c r="A317" s="121"/>
      <c r="B317" s="121"/>
      <c r="C317" s="121"/>
      <c r="D317" s="121"/>
      <c r="E317" s="121"/>
      <c r="F317" s="121"/>
      <c r="G317" s="121"/>
      <c r="H317" s="121"/>
      <c r="I317" s="121"/>
      <c r="J317" s="121"/>
      <c r="K317" s="121"/>
      <c r="L317" s="121"/>
      <c r="M317" s="121"/>
      <c r="N317" s="121"/>
      <c r="O317" s="121"/>
      <c r="P317" s="121"/>
      <c r="Q317" s="121"/>
      <c r="R317" s="121"/>
      <c r="S317" s="121"/>
      <c r="T317" s="121"/>
      <c r="U317" s="121"/>
      <c r="V317" s="121"/>
      <c r="W317" s="121"/>
      <c r="X317" s="121"/>
      <c r="Y317" s="121"/>
      <c r="Z317" s="121"/>
    </row>
    <row r="318" customFormat="false" ht="15.75" hidden="false" customHeight="false" outlineLevel="0" collapsed="false">
      <c r="A318" s="121"/>
      <c r="B318" s="121"/>
      <c r="C318" s="121"/>
      <c r="D318" s="121"/>
      <c r="E318" s="121"/>
      <c r="F318" s="121"/>
      <c r="G318" s="121"/>
      <c r="H318" s="121"/>
      <c r="I318" s="121"/>
      <c r="J318" s="121"/>
      <c r="K318" s="121"/>
      <c r="L318" s="121"/>
      <c r="M318" s="121"/>
      <c r="N318" s="121"/>
      <c r="O318" s="121"/>
      <c r="P318" s="121"/>
      <c r="Q318" s="121"/>
      <c r="R318" s="121"/>
      <c r="S318" s="121"/>
      <c r="T318" s="121"/>
      <c r="U318" s="121"/>
      <c r="V318" s="121"/>
      <c r="W318" s="121"/>
      <c r="X318" s="121"/>
      <c r="Y318" s="121"/>
      <c r="Z318" s="121"/>
    </row>
    <row r="319" customFormat="false" ht="15.75" hidden="false" customHeight="false" outlineLevel="0" collapsed="false">
      <c r="A319" s="121"/>
      <c r="B319" s="121"/>
      <c r="C319" s="121"/>
      <c r="D319" s="121"/>
      <c r="E319" s="121"/>
      <c r="F319" s="121"/>
      <c r="G319" s="121"/>
      <c r="H319" s="121"/>
      <c r="I319" s="121"/>
      <c r="J319" s="121"/>
      <c r="K319" s="121"/>
      <c r="L319" s="121"/>
      <c r="M319" s="121"/>
      <c r="N319" s="121"/>
      <c r="O319" s="121"/>
      <c r="P319" s="121"/>
      <c r="Q319" s="121"/>
      <c r="R319" s="121"/>
      <c r="S319" s="121"/>
      <c r="T319" s="121"/>
      <c r="U319" s="121"/>
      <c r="V319" s="121"/>
      <c r="W319" s="121"/>
      <c r="X319" s="121"/>
      <c r="Y319" s="121"/>
      <c r="Z319" s="121"/>
    </row>
    <row r="320" customFormat="false" ht="15.75" hidden="false" customHeight="false" outlineLevel="0" collapsed="false">
      <c r="A320" s="121"/>
      <c r="B320" s="121"/>
      <c r="C320" s="121"/>
      <c r="D320" s="121"/>
      <c r="E320" s="121"/>
      <c r="F320" s="121"/>
      <c r="G320" s="121"/>
      <c r="H320" s="121"/>
      <c r="I320" s="121"/>
      <c r="J320" s="121"/>
      <c r="K320" s="121"/>
      <c r="L320" s="121"/>
      <c r="M320" s="121"/>
      <c r="N320" s="121"/>
      <c r="O320" s="121"/>
      <c r="P320" s="121"/>
      <c r="Q320" s="121"/>
      <c r="R320" s="121"/>
      <c r="S320" s="121"/>
      <c r="T320" s="121"/>
      <c r="U320" s="121"/>
      <c r="V320" s="121"/>
      <c r="W320" s="121"/>
      <c r="X320" s="121"/>
      <c r="Y320" s="121"/>
      <c r="Z320" s="121"/>
    </row>
    <row r="321" customFormat="false" ht="15.75" hidden="false" customHeight="false" outlineLevel="0" collapsed="false">
      <c r="A321" s="121"/>
      <c r="B321" s="121"/>
      <c r="C321" s="121"/>
      <c r="D321" s="121"/>
      <c r="E321" s="121"/>
      <c r="F321" s="121"/>
      <c r="G321" s="121"/>
      <c r="H321" s="121"/>
      <c r="I321" s="121"/>
      <c r="J321" s="121"/>
      <c r="K321" s="121"/>
      <c r="L321" s="121"/>
      <c r="M321" s="121"/>
      <c r="N321" s="121"/>
      <c r="O321" s="121"/>
      <c r="P321" s="121"/>
      <c r="Q321" s="121"/>
      <c r="R321" s="121"/>
      <c r="S321" s="121"/>
      <c r="T321" s="121"/>
      <c r="U321" s="121"/>
      <c r="V321" s="121"/>
      <c r="W321" s="121"/>
      <c r="X321" s="121"/>
      <c r="Y321" s="121"/>
      <c r="Z321" s="121"/>
    </row>
    <row r="322" customFormat="false" ht="15.75" hidden="false" customHeight="false" outlineLevel="0" collapsed="false">
      <c r="A322" s="121"/>
      <c r="B322" s="121"/>
      <c r="C322" s="121"/>
      <c r="D322" s="121"/>
      <c r="E322" s="121"/>
      <c r="F322" s="121"/>
      <c r="G322" s="121"/>
      <c r="H322" s="121"/>
      <c r="I322" s="121"/>
      <c r="J322" s="121"/>
      <c r="K322" s="121"/>
      <c r="L322" s="121"/>
      <c r="M322" s="121"/>
      <c r="N322" s="121"/>
      <c r="O322" s="121"/>
      <c r="P322" s="121"/>
      <c r="Q322" s="121"/>
      <c r="R322" s="121"/>
      <c r="S322" s="121"/>
      <c r="T322" s="121"/>
      <c r="U322" s="121"/>
      <c r="V322" s="121"/>
      <c r="W322" s="121"/>
      <c r="X322" s="121"/>
      <c r="Y322" s="121"/>
      <c r="Z322" s="121"/>
    </row>
    <row r="323" customFormat="false" ht="15.75" hidden="false" customHeight="false" outlineLevel="0" collapsed="false">
      <c r="A323" s="121"/>
      <c r="B323" s="121"/>
      <c r="C323" s="121"/>
      <c r="D323" s="121"/>
      <c r="E323" s="121"/>
      <c r="F323" s="121"/>
      <c r="G323" s="121"/>
      <c r="H323" s="121"/>
      <c r="I323" s="121"/>
      <c r="J323" s="121"/>
      <c r="K323" s="121"/>
      <c r="L323" s="121"/>
      <c r="M323" s="121"/>
      <c r="N323" s="121"/>
      <c r="O323" s="121"/>
      <c r="P323" s="121"/>
      <c r="Q323" s="121"/>
      <c r="R323" s="121"/>
      <c r="S323" s="121"/>
      <c r="T323" s="121"/>
      <c r="U323" s="121"/>
      <c r="V323" s="121"/>
      <c r="W323" s="121"/>
      <c r="X323" s="121"/>
      <c r="Y323" s="121"/>
      <c r="Z323" s="121"/>
    </row>
    <row r="324" customFormat="false" ht="15.75" hidden="false" customHeight="false" outlineLevel="0" collapsed="false">
      <c r="A324" s="121"/>
      <c r="B324" s="121"/>
      <c r="C324" s="121"/>
      <c r="D324" s="121"/>
      <c r="E324" s="121"/>
      <c r="F324" s="121"/>
      <c r="G324" s="121"/>
      <c r="H324" s="121"/>
      <c r="I324" s="121"/>
      <c r="J324" s="121"/>
      <c r="K324" s="121"/>
      <c r="L324" s="121"/>
      <c r="M324" s="121"/>
      <c r="N324" s="121"/>
      <c r="O324" s="121"/>
      <c r="P324" s="121"/>
      <c r="Q324" s="121"/>
      <c r="R324" s="121"/>
      <c r="S324" s="121"/>
      <c r="T324" s="121"/>
      <c r="U324" s="121"/>
      <c r="V324" s="121"/>
      <c r="W324" s="121"/>
      <c r="X324" s="121"/>
      <c r="Y324" s="121"/>
      <c r="Z324" s="121"/>
    </row>
    <row r="325" customFormat="false" ht="15.75" hidden="false" customHeight="false" outlineLevel="0" collapsed="false">
      <c r="A325" s="121"/>
      <c r="B325" s="121"/>
      <c r="C325" s="121"/>
      <c r="D325" s="121"/>
      <c r="E325" s="121"/>
      <c r="F325" s="121"/>
      <c r="G325" s="121"/>
      <c r="H325" s="121"/>
      <c r="I325" s="121"/>
      <c r="J325" s="121"/>
      <c r="K325" s="121"/>
      <c r="L325" s="121"/>
      <c r="M325" s="121"/>
      <c r="N325" s="121"/>
      <c r="O325" s="121"/>
      <c r="P325" s="121"/>
      <c r="Q325" s="121"/>
      <c r="R325" s="121"/>
      <c r="S325" s="121"/>
      <c r="T325" s="121"/>
      <c r="U325" s="121"/>
      <c r="V325" s="121"/>
      <c r="W325" s="121"/>
      <c r="X325" s="121"/>
      <c r="Y325" s="121"/>
      <c r="Z325" s="121"/>
    </row>
    <row r="326" customFormat="false" ht="15.75" hidden="false" customHeight="false" outlineLevel="0" collapsed="false">
      <c r="A326" s="121"/>
      <c r="B326" s="121"/>
      <c r="C326" s="121"/>
      <c r="D326" s="121"/>
      <c r="E326" s="121"/>
      <c r="F326" s="121"/>
      <c r="G326" s="121"/>
      <c r="H326" s="121"/>
      <c r="I326" s="121"/>
      <c r="J326" s="121"/>
      <c r="K326" s="121"/>
      <c r="L326" s="121"/>
      <c r="M326" s="121"/>
      <c r="N326" s="121"/>
      <c r="O326" s="121"/>
      <c r="P326" s="121"/>
      <c r="Q326" s="121"/>
      <c r="R326" s="121"/>
      <c r="S326" s="121"/>
      <c r="T326" s="121"/>
      <c r="U326" s="121"/>
      <c r="V326" s="121"/>
      <c r="W326" s="121"/>
      <c r="X326" s="121"/>
      <c r="Y326" s="121"/>
      <c r="Z326" s="121"/>
    </row>
    <row r="327" customFormat="false" ht="15.75" hidden="false" customHeight="false" outlineLevel="0" collapsed="false">
      <c r="A327" s="121"/>
      <c r="B327" s="121"/>
      <c r="C327" s="121"/>
      <c r="D327" s="121"/>
      <c r="E327" s="121"/>
      <c r="F327" s="121"/>
      <c r="G327" s="121"/>
      <c r="H327" s="121"/>
      <c r="I327" s="121"/>
      <c r="J327" s="121"/>
      <c r="K327" s="121"/>
      <c r="L327" s="121"/>
      <c r="M327" s="121"/>
      <c r="N327" s="121"/>
      <c r="O327" s="121"/>
      <c r="P327" s="121"/>
      <c r="Q327" s="121"/>
      <c r="R327" s="121"/>
      <c r="S327" s="121"/>
      <c r="T327" s="121"/>
      <c r="U327" s="121"/>
      <c r="V327" s="121"/>
      <c r="W327" s="121"/>
      <c r="X327" s="121"/>
      <c r="Y327" s="121"/>
      <c r="Z327" s="121"/>
    </row>
    <row r="328" customFormat="false" ht="15.75" hidden="false" customHeight="false" outlineLevel="0" collapsed="false">
      <c r="A328" s="121"/>
      <c r="B328" s="121"/>
      <c r="C328" s="121"/>
      <c r="D328" s="121"/>
      <c r="E328" s="121"/>
      <c r="F328" s="121"/>
      <c r="G328" s="121"/>
      <c r="H328" s="121"/>
      <c r="I328" s="121"/>
      <c r="J328" s="121"/>
      <c r="K328" s="121"/>
      <c r="L328" s="121"/>
      <c r="M328" s="121"/>
      <c r="N328" s="121"/>
      <c r="O328" s="121"/>
      <c r="P328" s="121"/>
      <c r="Q328" s="121"/>
      <c r="R328" s="121"/>
      <c r="S328" s="121"/>
      <c r="T328" s="121"/>
      <c r="U328" s="121"/>
      <c r="V328" s="121"/>
      <c r="W328" s="121"/>
      <c r="X328" s="121"/>
      <c r="Y328" s="121"/>
      <c r="Z328" s="121"/>
    </row>
    <row r="329" customFormat="false" ht="15.75" hidden="false" customHeight="false" outlineLevel="0" collapsed="false">
      <c r="A329" s="121"/>
      <c r="B329" s="121"/>
      <c r="C329" s="121"/>
      <c r="D329" s="121"/>
      <c r="E329" s="121"/>
      <c r="F329" s="121"/>
      <c r="G329" s="121"/>
      <c r="H329" s="121"/>
      <c r="I329" s="121"/>
      <c r="J329" s="121"/>
      <c r="K329" s="121"/>
      <c r="L329" s="121"/>
      <c r="M329" s="121"/>
      <c r="N329" s="121"/>
      <c r="O329" s="121"/>
      <c r="P329" s="121"/>
      <c r="Q329" s="121"/>
      <c r="R329" s="121"/>
      <c r="S329" s="121"/>
      <c r="T329" s="121"/>
      <c r="U329" s="121"/>
      <c r="V329" s="121"/>
      <c r="W329" s="121"/>
      <c r="X329" s="121"/>
      <c r="Y329" s="121"/>
      <c r="Z329" s="121"/>
    </row>
    <row r="330" customFormat="false" ht="15.75" hidden="false" customHeight="false" outlineLevel="0" collapsed="false">
      <c r="A330" s="121"/>
      <c r="B330" s="121"/>
      <c r="C330" s="121"/>
      <c r="D330" s="121"/>
      <c r="E330" s="121"/>
      <c r="F330" s="121"/>
      <c r="G330" s="121"/>
      <c r="H330" s="121"/>
      <c r="I330" s="121"/>
      <c r="J330" s="121"/>
      <c r="K330" s="121"/>
      <c r="L330" s="121"/>
      <c r="M330" s="121"/>
      <c r="N330" s="121"/>
      <c r="O330" s="121"/>
      <c r="P330" s="121"/>
      <c r="Q330" s="121"/>
      <c r="R330" s="121"/>
      <c r="S330" s="121"/>
      <c r="T330" s="121"/>
      <c r="U330" s="121"/>
      <c r="V330" s="121"/>
      <c r="W330" s="121"/>
      <c r="X330" s="121"/>
      <c r="Y330" s="121"/>
      <c r="Z330" s="121"/>
    </row>
    <row r="331" customFormat="false" ht="15.75" hidden="false" customHeight="false" outlineLevel="0" collapsed="false">
      <c r="A331" s="121"/>
      <c r="B331" s="121"/>
      <c r="C331" s="121"/>
      <c r="D331" s="121"/>
      <c r="E331" s="121"/>
      <c r="F331" s="121"/>
      <c r="G331" s="121"/>
      <c r="H331" s="121"/>
      <c r="I331" s="121"/>
      <c r="J331" s="121"/>
      <c r="K331" s="121"/>
      <c r="L331" s="121"/>
      <c r="M331" s="121"/>
      <c r="N331" s="121"/>
      <c r="O331" s="121"/>
      <c r="P331" s="121"/>
      <c r="Q331" s="121"/>
      <c r="R331" s="121"/>
      <c r="S331" s="121"/>
      <c r="T331" s="121"/>
      <c r="U331" s="121"/>
      <c r="V331" s="121"/>
      <c r="W331" s="121"/>
      <c r="X331" s="121"/>
      <c r="Y331" s="121"/>
      <c r="Z331" s="121"/>
    </row>
    <row r="332" customFormat="false" ht="15.75" hidden="false" customHeight="false" outlineLevel="0" collapsed="false">
      <c r="A332" s="121"/>
      <c r="B332" s="121"/>
      <c r="C332" s="121"/>
      <c r="D332" s="121"/>
      <c r="E332" s="121"/>
      <c r="F332" s="121"/>
      <c r="G332" s="121"/>
      <c r="H332" s="121"/>
      <c r="I332" s="121"/>
      <c r="J332" s="121"/>
      <c r="K332" s="121"/>
      <c r="L332" s="121"/>
      <c r="M332" s="121"/>
      <c r="N332" s="121"/>
      <c r="O332" s="121"/>
      <c r="P332" s="121"/>
      <c r="Q332" s="121"/>
      <c r="R332" s="121"/>
      <c r="S332" s="121"/>
      <c r="T332" s="121"/>
      <c r="U332" s="121"/>
      <c r="V332" s="121"/>
      <c r="W332" s="121"/>
      <c r="X332" s="121"/>
      <c r="Y332" s="121"/>
      <c r="Z332" s="121"/>
    </row>
    <row r="333" customFormat="false" ht="15.75" hidden="false" customHeight="false" outlineLevel="0" collapsed="false">
      <c r="A333" s="121"/>
      <c r="B333" s="121"/>
      <c r="C333" s="121"/>
      <c r="D333" s="121"/>
      <c r="E333" s="121"/>
      <c r="F333" s="121"/>
      <c r="G333" s="121"/>
      <c r="H333" s="121"/>
      <c r="I333" s="121"/>
      <c r="J333" s="121"/>
      <c r="K333" s="121"/>
      <c r="L333" s="121"/>
      <c r="M333" s="121"/>
      <c r="N333" s="121"/>
      <c r="O333" s="121"/>
      <c r="P333" s="121"/>
      <c r="Q333" s="121"/>
      <c r="R333" s="121"/>
      <c r="S333" s="121"/>
      <c r="T333" s="121"/>
      <c r="U333" s="121"/>
      <c r="V333" s="121"/>
      <c r="W333" s="121"/>
      <c r="X333" s="121"/>
      <c r="Y333" s="121"/>
      <c r="Z333" s="121"/>
    </row>
    <row r="334" customFormat="false" ht="15.75" hidden="false" customHeight="false" outlineLevel="0" collapsed="false">
      <c r="A334" s="121"/>
      <c r="B334" s="121"/>
      <c r="C334" s="121"/>
      <c r="D334" s="121"/>
      <c r="E334" s="121"/>
      <c r="F334" s="121"/>
      <c r="G334" s="121"/>
      <c r="H334" s="121"/>
      <c r="I334" s="121"/>
      <c r="J334" s="121"/>
      <c r="K334" s="121"/>
      <c r="L334" s="121"/>
      <c r="M334" s="121"/>
      <c r="N334" s="121"/>
      <c r="O334" s="121"/>
      <c r="P334" s="121"/>
      <c r="Q334" s="121"/>
      <c r="R334" s="121"/>
      <c r="S334" s="121"/>
      <c r="T334" s="121"/>
      <c r="U334" s="121"/>
      <c r="V334" s="121"/>
      <c r="W334" s="121"/>
      <c r="X334" s="121"/>
      <c r="Y334" s="121"/>
      <c r="Z334" s="121"/>
    </row>
    <row r="335" customFormat="false" ht="15.75" hidden="false" customHeight="false" outlineLevel="0" collapsed="false">
      <c r="A335" s="121"/>
      <c r="B335" s="121"/>
      <c r="C335" s="121"/>
      <c r="D335" s="121"/>
      <c r="E335" s="121"/>
      <c r="F335" s="121"/>
      <c r="G335" s="121"/>
      <c r="H335" s="121"/>
      <c r="I335" s="121"/>
      <c r="J335" s="121"/>
      <c r="K335" s="121"/>
      <c r="L335" s="121"/>
      <c r="M335" s="121"/>
      <c r="N335" s="121"/>
      <c r="O335" s="121"/>
      <c r="P335" s="121"/>
      <c r="Q335" s="121"/>
      <c r="R335" s="121"/>
      <c r="S335" s="121"/>
      <c r="T335" s="121"/>
      <c r="U335" s="121"/>
      <c r="V335" s="121"/>
      <c r="W335" s="121"/>
      <c r="X335" s="121"/>
      <c r="Y335" s="121"/>
      <c r="Z335" s="121"/>
    </row>
    <row r="336" customFormat="false" ht="15.75" hidden="false" customHeight="false" outlineLevel="0" collapsed="false">
      <c r="A336" s="121"/>
      <c r="B336" s="121"/>
      <c r="C336" s="121"/>
      <c r="D336" s="121"/>
      <c r="E336" s="121"/>
      <c r="F336" s="121"/>
      <c r="G336" s="121"/>
      <c r="H336" s="121"/>
      <c r="I336" s="121"/>
      <c r="J336" s="121"/>
      <c r="K336" s="121"/>
      <c r="L336" s="121"/>
      <c r="M336" s="121"/>
      <c r="N336" s="121"/>
      <c r="O336" s="121"/>
      <c r="P336" s="121"/>
      <c r="Q336" s="121"/>
      <c r="R336" s="121"/>
      <c r="S336" s="121"/>
      <c r="T336" s="121"/>
      <c r="U336" s="121"/>
      <c r="V336" s="121"/>
      <c r="W336" s="121"/>
      <c r="X336" s="121"/>
      <c r="Y336" s="121"/>
      <c r="Z336" s="121"/>
    </row>
    <row r="337" customFormat="false" ht="15.75" hidden="false" customHeight="false" outlineLevel="0" collapsed="false">
      <c r="A337" s="121"/>
      <c r="B337" s="121"/>
      <c r="C337" s="121"/>
      <c r="D337" s="121"/>
      <c r="E337" s="121"/>
      <c r="F337" s="121"/>
      <c r="G337" s="121"/>
      <c r="H337" s="121"/>
      <c r="I337" s="121"/>
      <c r="J337" s="121"/>
      <c r="K337" s="121"/>
      <c r="L337" s="121"/>
      <c r="M337" s="121"/>
      <c r="N337" s="121"/>
      <c r="O337" s="121"/>
      <c r="P337" s="121"/>
      <c r="Q337" s="121"/>
      <c r="R337" s="121"/>
      <c r="S337" s="121"/>
      <c r="T337" s="121"/>
      <c r="U337" s="121"/>
      <c r="V337" s="121"/>
      <c r="W337" s="121"/>
      <c r="X337" s="121"/>
      <c r="Y337" s="121"/>
      <c r="Z337" s="121"/>
    </row>
    <row r="338" customFormat="false" ht="15.75" hidden="false" customHeight="false" outlineLevel="0" collapsed="false">
      <c r="A338" s="121"/>
      <c r="B338" s="121"/>
      <c r="C338" s="121"/>
      <c r="D338" s="121"/>
      <c r="E338" s="121"/>
      <c r="F338" s="121"/>
      <c r="G338" s="121"/>
      <c r="H338" s="121"/>
      <c r="I338" s="121"/>
      <c r="J338" s="121"/>
      <c r="K338" s="121"/>
      <c r="L338" s="121"/>
      <c r="M338" s="121"/>
      <c r="N338" s="121"/>
      <c r="O338" s="121"/>
      <c r="P338" s="121"/>
      <c r="Q338" s="121"/>
      <c r="R338" s="121"/>
      <c r="S338" s="121"/>
      <c r="T338" s="121"/>
      <c r="U338" s="121"/>
      <c r="V338" s="121"/>
      <c r="W338" s="121"/>
      <c r="X338" s="121"/>
      <c r="Y338" s="121"/>
      <c r="Z338" s="121"/>
    </row>
    <row r="339" customFormat="false" ht="15.75" hidden="false" customHeight="false" outlineLevel="0" collapsed="false">
      <c r="A339" s="121"/>
      <c r="B339" s="121"/>
      <c r="C339" s="121"/>
      <c r="D339" s="121"/>
      <c r="E339" s="121"/>
      <c r="F339" s="121"/>
      <c r="G339" s="121"/>
      <c r="H339" s="121"/>
      <c r="I339" s="121"/>
      <c r="J339" s="121"/>
      <c r="K339" s="121"/>
      <c r="L339" s="121"/>
      <c r="M339" s="121"/>
      <c r="N339" s="121"/>
      <c r="O339" s="121"/>
      <c r="P339" s="121"/>
      <c r="Q339" s="121"/>
      <c r="R339" s="121"/>
      <c r="S339" s="121"/>
      <c r="T339" s="121"/>
      <c r="U339" s="121"/>
      <c r="V339" s="121"/>
      <c r="W339" s="121"/>
      <c r="X339" s="121"/>
      <c r="Y339" s="121"/>
      <c r="Z339" s="121"/>
    </row>
    <row r="340" customFormat="false" ht="15.75" hidden="false" customHeight="false" outlineLevel="0" collapsed="false">
      <c r="A340" s="121"/>
      <c r="B340" s="121"/>
      <c r="C340" s="121"/>
      <c r="D340" s="121"/>
      <c r="E340" s="121"/>
      <c r="F340" s="121"/>
      <c r="G340" s="121"/>
      <c r="H340" s="121"/>
      <c r="I340" s="121"/>
      <c r="J340" s="121"/>
      <c r="K340" s="121"/>
      <c r="L340" s="121"/>
      <c r="M340" s="121"/>
      <c r="N340" s="121"/>
      <c r="O340" s="121"/>
      <c r="P340" s="121"/>
      <c r="Q340" s="121"/>
      <c r="R340" s="121"/>
      <c r="S340" s="121"/>
      <c r="T340" s="121"/>
      <c r="U340" s="121"/>
      <c r="V340" s="121"/>
      <c r="W340" s="121"/>
      <c r="X340" s="121"/>
      <c r="Y340" s="121"/>
      <c r="Z340" s="121"/>
    </row>
    <row r="341" customFormat="false" ht="15.75" hidden="false" customHeight="false" outlineLevel="0" collapsed="false">
      <c r="A341" s="121"/>
      <c r="B341" s="121"/>
      <c r="C341" s="121"/>
      <c r="D341" s="121"/>
      <c r="E341" s="121"/>
      <c r="F341" s="121"/>
      <c r="G341" s="121"/>
      <c r="H341" s="121"/>
      <c r="I341" s="121"/>
      <c r="J341" s="121"/>
      <c r="K341" s="121"/>
      <c r="L341" s="121"/>
      <c r="M341" s="121"/>
      <c r="N341" s="121"/>
      <c r="O341" s="121"/>
      <c r="P341" s="121"/>
      <c r="Q341" s="121"/>
      <c r="R341" s="121"/>
      <c r="S341" s="121"/>
      <c r="T341" s="121"/>
      <c r="U341" s="121"/>
      <c r="V341" s="121"/>
      <c r="W341" s="121"/>
      <c r="X341" s="121"/>
      <c r="Y341" s="121"/>
      <c r="Z341" s="121"/>
    </row>
    <row r="342" customFormat="false" ht="15.75" hidden="false" customHeight="false" outlineLevel="0" collapsed="false">
      <c r="A342" s="121"/>
      <c r="B342" s="121"/>
      <c r="C342" s="121"/>
      <c r="D342" s="121"/>
      <c r="E342" s="121"/>
      <c r="F342" s="121"/>
      <c r="G342" s="121"/>
      <c r="H342" s="121"/>
      <c r="I342" s="121"/>
      <c r="J342" s="121"/>
      <c r="K342" s="121"/>
      <c r="L342" s="121"/>
      <c r="M342" s="121"/>
      <c r="N342" s="121"/>
      <c r="O342" s="121"/>
      <c r="P342" s="121"/>
      <c r="Q342" s="121"/>
      <c r="R342" s="121"/>
      <c r="S342" s="121"/>
      <c r="T342" s="121"/>
      <c r="U342" s="121"/>
      <c r="V342" s="121"/>
      <c r="W342" s="121"/>
      <c r="X342" s="121"/>
      <c r="Y342" s="121"/>
      <c r="Z342" s="121"/>
    </row>
    <row r="343" customFormat="false" ht="15.75" hidden="false" customHeight="false" outlineLevel="0" collapsed="false">
      <c r="A343" s="121"/>
      <c r="B343" s="121"/>
      <c r="C343" s="121"/>
      <c r="D343" s="121"/>
      <c r="E343" s="121"/>
      <c r="F343" s="121"/>
      <c r="G343" s="121"/>
      <c r="H343" s="121"/>
      <c r="I343" s="121"/>
      <c r="J343" s="121"/>
      <c r="K343" s="121"/>
      <c r="L343" s="121"/>
      <c r="M343" s="121"/>
      <c r="N343" s="121"/>
      <c r="O343" s="121"/>
      <c r="P343" s="121"/>
      <c r="Q343" s="121"/>
      <c r="R343" s="121"/>
      <c r="S343" s="121"/>
      <c r="T343" s="121"/>
      <c r="U343" s="121"/>
      <c r="V343" s="121"/>
      <c r="W343" s="121"/>
      <c r="X343" s="121"/>
      <c r="Y343" s="121"/>
      <c r="Z343" s="121"/>
    </row>
    <row r="344" customFormat="false" ht="15.75" hidden="false" customHeight="false" outlineLevel="0" collapsed="false">
      <c r="A344" s="121"/>
      <c r="B344" s="121"/>
      <c r="C344" s="121"/>
      <c r="D344" s="121"/>
      <c r="E344" s="121"/>
      <c r="F344" s="121"/>
      <c r="G344" s="121"/>
      <c r="H344" s="121"/>
      <c r="I344" s="121"/>
      <c r="J344" s="121"/>
      <c r="K344" s="121"/>
      <c r="L344" s="121"/>
      <c r="M344" s="121"/>
      <c r="N344" s="121"/>
      <c r="O344" s="121"/>
      <c r="P344" s="121"/>
      <c r="Q344" s="121"/>
      <c r="R344" s="121"/>
      <c r="S344" s="121"/>
      <c r="T344" s="121"/>
      <c r="U344" s="121"/>
      <c r="V344" s="121"/>
      <c r="W344" s="121"/>
      <c r="X344" s="121"/>
      <c r="Y344" s="121"/>
      <c r="Z344" s="121"/>
    </row>
    <row r="345" customFormat="false" ht="15.75" hidden="false" customHeight="false" outlineLevel="0" collapsed="false">
      <c r="A345" s="121"/>
      <c r="B345" s="121"/>
      <c r="C345" s="121"/>
      <c r="D345" s="121"/>
      <c r="E345" s="121"/>
      <c r="F345" s="121"/>
      <c r="G345" s="121"/>
      <c r="H345" s="121"/>
      <c r="I345" s="121"/>
      <c r="J345" s="121"/>
      <c r="K345" s="121"/>
      <c r="L345" s="121"/>
      <c r="M345" s="121"/>
      <c r="N345" s="121"/>
      <c r="O345" s="121"/>
      <c r="P345" s="121"/>
      <c r="Q345" s="121"/>
      <c r="R345" s="121"/>
      <c r="S345" s="121"/>
      <c r="T345" s="121"/>
      <c r="U345" s="121"/>
      <c r="V345" s="121"/>
      <c r="W345" s="121"/>
      <c r="X345" s="121"/>
      <c r="Y345" s="121"/>
      <c r="Z345" s="121"/>
    </row>
    <row r="346" customFormat="false" ht="15.75" hidden="false" customHeight="false" outlineLevel="0" collapsed="false">
      <c r="A346" s="121"/>
      <c r="B346" s="121"/>
      <c r="C346" s="121"/>
      <c r="D346" s="121"/>
      <c r="E346" s="121"/>
      <c r="F346" s="121"/>
      <c r="G346" s="121"/>
      <c r="H346" s="121"/>
      <c r="I346" s="121"/>
      <c r="J346" s="121"/>
      <c r="K346" s="121"/>
      <c r="L346" s="121"/>
      <c r="M346" s="121"/>
      <c r="N346" s="121"/>
      <c r="O346" s="121"/>
      <c r="P346" s="121"/>
      <c r="Q346" s="121"/>
      <c r="R346" s="121"/>
      <c r="S346" s="121"/>
      <c r="T346" s="121"/>
      <c r="U346" s="121"/>
      <c r="V346" s="121"/>
      <c r="W346" s="121"/>
      <c r="X346" s="121"/>
      <c r="Y346" s="121"/>
      <c r="Z346" s="121"/>
    </row>
    <row r="347" customFormat="false" ht="15.75" hidden="false" customHeight="false" outlineLevel="0" collapsed="false">
      <c r="A347" s="121"/>
      <c r="B347" s="121"/>
      <c r="C347" s="121"/>
      <c r="D347" s="121"/>
      <c r="E347" s="121"/>
      <c r="F347" s="121"/>
      <c r="G347" s="121"/>
      <c r="H347" s="121"/>
      <c r="I347" s="121"/>
      <c r="J347" s="121"/>
      <c r="K347" s="121"/>
      <c r="L347" s="121"/>
      <c r="M347" s="121"/>
      <c r="N347" s="121"/>
      <c r="O347" s="121"/>
      <c r="P347" s="121"/>
      <c r="Q347" s="121"/>
      <c r="R347" s="121"/>
      <c r="S347" s="121"/>
      <c r="T347" s="121"/>
      <c r="U347" s="121"/>
      <c r="V347" s="121"/>
      <c r="W347" s="121"/>
      <c r="X347" s="121"/>
      <c r="Y347" s="121"/>
      <c r="Z347" s="121"/>
    </row>
    <row r="348" customFormat="false" ht="15.75" hidden="false" customHeight="false" outlineLevel="0" collapsed="false">
      <c r="A348" s="121"/>
      <c r="B348" s="121"/>
      <c r="C348" s="121"/>
      <c r="D348" s="121"/>
      <c r="E348" s="121"/>
      <c r="F348" s="121"/>
      <c r="G348" s="121"/>
      <c r="H348" s="121"/>
      <c r="I348" s="121"/>
      <c r="J348" s="121"/>
      <c r="K348" s="121"/>
      <c r="L348" s="121"/>
      <c r="M348" s="121"/>
      <c r="N348" s="121"/>
      <c r="O348" s="121"/>
      <c r="P348" s="121"/>
      <c r="Q348" s="121"/>
      <c r="R348" s="121"/>
      <c r="S348" s="121"/>
      <c r="T348" s="121"/>
      <c r="U348" s="121"/>
      <c r="V348" s="121"/>
      <c r="W348" s="121"/>
      <c r="X348" s="121"/>
      <c r="Y348" s="121"/>
      <c r="Z348" s="121"/>
    </row>
    <row r="349" customFormat="false" ht="15.75" hidden="false" customHeight="false" outlineLevel="0" collapsed="false">
      <c r="A349" s="121"/>
      <c r="B349" s="121"/>
      <c r="C349" s="121"/>
      <c r="D349" s="121"/>
      <c r="E349" s="121"/>
      <c r="F349" s="121"/>
      <c r="G349" s="121"/>
      <c r="H349" s="121"/>
      <c r="I349" s="121"/>
      <c r="J349" s="121"/>
      <c r="K349" s="121"/>
      <c r="L349" s="121"/>
      <c r="M349" s="121"/>
      <c r="N349" s="121"/>
      <c r="O349" s="121"/>
      <c r="P349" s="121"/>
      <c r="Q349" s="121"/>
      <c r="R349" s="121"/>
      <c r="S349" s="121"/>
      <c r="T349" s="121"/>
      <c r="U349" s="121"/>
      <c r="V349" s="121"/>
      <c r="W349" s="121"/>
      <c r="X349" s="121"/>
      <c r="Y349" s="121"/>
      <c r="Z349" s="121"/>
    </row>
    <row r="350" customFormat="false" ht="15.75" hidden="false" customHeight="false" outlineLevel="0" collapsed="false">
      <c r="A350" s="121"/>
      <c r="B350" s="121"/>
      <c r="C350" s="121"/>
      <c r="D350" s="121"/>
      <c r="E350" s="121"/>
      <c r="F350" s="121"/>
      <c r="G350" s="121"/>
      <c r="H350" s="121"/>
      <c r="I350" s="121"/>
      <c r="J350" s="121"/>
      <c r="K350" s="121"/>
      <c r="L350" s="121"/>
      <c r="M350" s="121"/>
      <c r="N350" s="121"/>
      <c r="O350" s="121"/>
      <c r="P350" s="121"/>
      <c r="Q350" s="121"/>
      <c r="R350" s="121"/>
      <c r="S350" s="121"/>
      <c r="T350" s="121"/>
      <c r="U350" s="121"/>
      <c r="V350" s="121"/>
      <c r="W350" s="121"/>
      <c r="X350" s="121"/>
      <c r="Y350" s="121"/>
      <c r="Z350" s="121"/>
    </row>
    <row r="351" customFormat="false" ht="15.75" hidden="false" customHeight="false" outlineLevel="0" collapsed="false">
      <c r="A351" s="121"/>
      <c r="B351" s="121"/>
      <c r="C351" s="121"/>
      <c r="D351" s="121"/>
      <c r="E351" s="121"/>
      <c r="F351" s="121"/>
      <c r="G351" s="121"/>
      <c r="H351" s="121"/>
      <c r="I351" s="121"/>
      <c r="J351" s="121"/>
      <c r="K351" s="121"/>
      <c r="L351" s="121"/>
      <c r="M351" s="121"/>
      <c r="N351" s="121"/>
      <c r="O351" s="121"/>
      <c r="P351" s="121"/>
      <c r="Q351" s="121"/>
      <c r="R351" s="121"/>
      <c r="S351" s="121"/>
      <c r="T351" s="121"/>
      <c r="U351" s="121"/>
      <c r="V351" s="121"/>
      <c r="W351" s="121"/>
      <c r="X351" s="121"/>
      <c r="Y351" s="121"/>
      <c r="Z351" s="121"/>
    </row>
    <row r="352" customFormat="false" ht="15.75" hidden="false" customHeight="false" outlineLevel="0" collapsed="false">
      <c r="A352" s="121"/>
      <c r="B352" s="121"/>
      <c r="C352" s="121"/>
      <c r="D352" s="121"/>
      <c r="E352" s="121"/>
      <c r="F352" s="121"/>
      <c r="G352" s="121"/>
      <c r="H352" s="121"/>
      <c r="I352" s="121"/>
      <c r="J352" s="121"/>
      <c r="K352" s="121"/>
      <c r="L352" s="121"/>
      <c r="M352" s="121"/>
      <c r="N352" s="121"/>
      <c r="O352" s="121"/>
      <c r="P352" s="121"/>
      <c r="Q352" s="121"/>
      <c r="R352" s="121"/>
      <c r="S352" s="121"/>
      <c r="T352" s="121"/>
      <c r="U352" s="121"/>
      <c r="V352" s="121"/>
      <c r="W352" s="121"/>
      <c r="X352" s="121"/>
      <c r="Y352" s="121"/>
      <c r="Z352" s="121"/>
    </row>
    <row r="353" customFormat="false" ht="15.75" hidden="false" customHeight="false" outlineLevel="0" collapsed="false">
      <c r="A353" s="121"/>
      <c r="B353" s="121"/>
      <c r="C353" s="121"/>
      <c r="D353" s="121"/>
      <c r="E353" s="121"/>
      <c r="F353" s="121"/>
      <c r="G353" s="121"/>
      <c r="H353" s="121"/>
      <c r="I353" s="121"/>
      <c r="J353" s="121"/>
      <c r="K353" s="121"/>
      <c r="L353" s="121"/>
      <c r="M353" s="121"/>
      <c r="N353" s="121"/>
      <c r="O353" s="121"/>
      <c r="P353" s="121"/>
      <c r="Q353" s="121"/>
      <c r="R353" s="121"/>
      <c r="S353" s="121"/>
      <c r="T353" s="121"/>
      <c r="U353" s="121"/>
      <c r="V353" s="121"/>
      <c r="W353" s="121"/>
      <c r="X353" s="121"/>
      <c r="Y353" s="121"/>
      <c r="Z353" s="121"/>
    </row>
    <row r="354" customFormat="false" ht="15.75" hidden="false" customHeight="false" outlineLevel="0" collapsed="false">
      <c r="A354" s="121"/>
      <c r="B354" s="121"/>
      <c r="C354" s="121"/>
      <c r="D354" s="121"/>
      <c r="E354" s="121"/>
      <c r="F354" s="121"/>
      <c r="G354" s="121"/>
      <c r="H354" s="121"/>
      <c r="I354" s="121"/>
      <c r="J354" s="121"/>
      <c r="K354" s="121"/>
      <c r="L354" s="121"/>
      <c r="M354" s="121"/>
      <c r="N354" s="121"/>
      <c r="O354" s="121"/>
      <c r="P354" s="121"/>
      <c r="Q354" s="121"/>
      <c r="R354" s="121"/>
      <c r="S354" s="121"/>
      <c r="T354" s="121"/>
      <c r="U354" s="121"/>
      <c r="V354" s="121"/>
      <c r="W354" s="121"/>
      <c r="X354" s="121"/>
      <c r="Y354" s="121"/>
      <c r="Z354" s="121"/>
    </row>
    <row r="355" customFormat="false" ht="15.75" hidden="false" customHeight="false" outlineLevel="0" collapsed="false">
      <c r="A355" s="121"/>
      <c r="B355" s="121"/>
      <c r="C355" s="121"/>
      <c r="D355" s="121"/>
      <c r="E355" s="121"/>
      <c r="F355" s="121"/>
      <c r="G355" s="121"/>
      <c r="H355" s="121"/>
      <c r="I355" s="121"/>
      <c r="J355" s="121"/>
      <c r="K355" s="121"/>
      <c r="L355" s="121"/>
      <c r="M355" s="121"/>
      <c r="N355" s="121"/>
      <c r="O355" s="121"/>
      <c r="P355" s="121"/>
      <c r="Q355" s="121"/>
      <c r="R355" s="121"/>
      <c r="S355" s="121"/>
      <c r="T355" s="121"/>
      <c r="U355" s="121"/>
      <c r="V355" s="121"/>
      <c r="W355" s="121"/>
      <c r="X355" s="121"/>
      <c r="Y355" s="121"/>
      <c r="Z355" s="121"/>
    </row>
    <row r="356" customFormat="false" ht="15.75" hidden="false" customHeight="false" outlineLevel="0" collapsed="false">
      <c r="A356" s="121"/>
      <c r="B356" s="121"/>
      <c r="C356" s="121"/>
      <c r="D356" s="121"/>
      <c r="E356" s="121"/>
      <c r="F356" s="121"/>
      <c r="G356" s="121"/>
      <c r="H356" s="121"/>
      <c r="I356" s="121"/>
      <c r="J356" s="121"/>
      <c r="K356" s="121"/>
      <c r="L356" s="121"/>
      <c r="M356" s="121"/>
      <c r="N356" s="121"/>
      <c r="O356" s="121"/>
      <c r="P356" s="121"/>
      <c r="Q356" s="121"/>
      <c r="R356" s="121"/>
      <c r="S356" s="121"/>
      <c r="T356" s="121"/>
      <c r="U356" s="121"/>
      <c r="V356" s="121"/>
      <c r="W356" s="121"/>
      <c r="X356" s="121"/>
      <c r="Y356" s="121"/>
      <c r="Z356" s="121"/>
    </row>
    <row r="357" customFormat="false" ht="15.75" hidden="false" customHeight="false" outlineLevel="0" collapsed="false">
      <c r="A357" s="121"/>
      <c r="B357" s="121"/>
      <c r="C357" s="121"/>
      <c r="D357" s="121"/>
      <c r="E357" s="121"/>
      <c r="F357" s="121"/>
      <c r="G357" s="121"/>
      <c r="H357" s="121"/>
      <c r="I357" s="121"/>
      <c r="J357" s="121"/>
      <c r="K357" s="121"/>
      <c r="L357" s="121"/>
      <c r="M357" s="121"/>
      <c r="N357" s="121"/>
      <c r="O357" s="121"/>
      <c r="P357" s="121"/>
      <c r="Q357" s="121"/>
      <c r="R357" s="121"/>
      <c r="S357" s="121"/>
      <c r="T357" s="121"/>
      <c r="U357" s="121"/>
      <c r="V357" s="121"/>
      <c r="W357" s="121"/>
      <c r="X357" s="121"/>
      <c r="Y357" s="121"/>
      <c r="Z357" s="121"/>
    </row>
    <row r="358" customFormat="false" ht="15.75" hidden="false" customHeight="false" outlineLevel="0" collapsed="false">
      <c r="A358" s="121"/>
      <c r="B358" s="121"/>
      <c r="C358" s="121"/>
      <c r="D358" s="121"/>
      <c r="E358" s="121"/>
      <c r="F358" s="121"/>
      <c r="G358" s="121"/>
      <c r="H358" s="121"/>
      <c r="I358" s="121"/>
      <c r="J358" s="121"/>
      <c r="K358" s="121"/>
      <c r="L358" s="121"/>
      <c r="M358" s="121"/>
      <c r="N358" s="121"/>
      <c r="O358" s="121"/>
      <c r="P358" s="121"/>
      <c r="Q358" s="121"/>
      <c r="R358" s="121"/>
      <c r="S358" s="121"/>
      <c r="T358" s="121"/>
      <c r="U358" s="121"/>
      <c r="V358" s="121"/>
      <c r="W358" s="121"/>
      <c r="X358" s="121"/>
      <c r="Y358" s="121"/>
      <c r="Z358" s="121"/>
    </row>
    <row r="359" customFormat="false" ht="15.75" hidden="false" customHeight="false" outlineLevel="0" collapsed="false">
      <c r="A359" s="121"/>
      <c r="B359" s="121"/>
      <c r="C359" s="121"/>
      <c r="D359" s="121"/>
      <c r="E359" s="121"/>
      <c r="F359" s="121"/>
      <c r="G359" s="121"/>
      <c r="H359" s="121"/>
      <c r="I359" s="121"/>
      <c r="J359" s="121"/>
      <c r="K359" s="121"/>
      <c r="L359" s="121"/>
      <c r="M359" s="121"/>
      <c r="N359" s="121"/>
      <c r="O359" s="121"/>
      <c r="P359" s="121"/>
      <c r="Q359" s="121"/>
      <c r="R359" s="121"/>
      <c r="S359" s="121"/>
      <c r="T359" s="121"/>
      <c r="U359" s="121"/>
      <c r="V359" s="121"/>
      <c r="W359" s="121"/>
      <c r="X359" s="121"/>
      <c r="Y359" s="121"/>
      <c r="Z359" s="121"/>
    </row>
    <row r="360" customFormat="false" ht="15.75" hidden="false" customHeight="false" outlineLevel="0" collapsed="false">
      <c r="A360" s="121"/>
      <c r="B360" s="121"/>
      <c r="C360" s="121"/>
      <c r="D360" s="121"/>
      <c r="E360" s="121"/>
      <c r="F360" s="121"/>
      <c r="G360" s="121"/>
      <c r="H360" s="121"/>
      <c r="I360" s="121"/>
      <c r="J360" s="121"/>
      <c r="K360" s="121"/>
      <c r="L360" s="121"/>
      <c r="M360" s="121"/>
      <c r="N360" s="121"/>
      <c r="O360" s="121"/>
      <c r="P360" s="121"/>
      <c r="Q360" s="121"/>
      <c r="R360" s="121"/>
      <c r="S360" s="121"/>
      <c r="T360" s="121"/>
      <c r="U360" s="121"/>
      <c r="V360" s="121"/>
      <c r="W360" s="121"/>
      <c r="X360" s="121"/>
      <c r="Y360" s="121"/>
      <c r="Z360" s="121"/>
    </row>
    <row r="361" customFormat="false" ht="15.75" hidden="false" customHeight="false" outlineLevel="0" collapsed="false">
      <c r="A361" s="121"/>
      <c r="B361" s="121"/>
      <c r="C361" s="121"/>
      <c r="D361" s="121"/>
      <c r="E361" s="121"/>
      <c r="F361" s="121"/>
      <c r="G361" s="121"/>
      <c r="H361" s="121"/>
      <c r="I361" s="121"/>
      <c r="J361" s="121"/>
      <c r="K361" s="121"/>
      <c r="L361" s="121"/>
      <c r="M361" s="121"/>
      <c r="N361" s="121"/>
      <c r="O361" s="121"/>
      <c r="P361" s="121"/>
      <c r="Q361" s="121"/>
      <c r="R361" s="121"/>
      <c r="S361" s="121"/>
      <c r="T361" s="121"/>
      <c r="U361" s="121"/>
      <c r="V361" s="121"/>
      <c r="W361" s="121"/>
      <c r="X361" s="121"/>
      <c r="Y361" s="121"/>
      <c r="Z361" s="121"/>
    </row>
    <row r="362" customFormat="false" ht="15.75" hidden="false" customHeight="false" outlineLevel="0" collapsed="false">
      <c r="A362" s="121"/>
      <c r="B362" s="121"/>
      <c r="C362" s="121"/>
      <c r="D362" s="121"/>
      <c r="E362" s="121"/>
      <c r="F362" s="121"/>
      <c r="G362" s="121"/>
      <c r="H362" s="121"/>
      <c r="I362" s="121"/>
      <c r="J362" s="121"/>
      <c r="K362" s="121"/>
      <c r="L362" s="121"/>
      <c r="M362" s="121"/>
      <c r="N362" s="121"/>
      <c r="O362" s="121"/>
      <c r="P362" s="121"/>
      <c r="Q362" s="121"/>
      <c r="R362" s="121"/>
      <c r="S362" s="121"/>
      <c r="T362" s="121"/>
      <c r="U362" s="121"/>
      <c r="V362" s="121"/>
      <c r="W362" s="121"/>
      <c r="X362" s="121"/>
      <c r="Y362" s="121"/>
      <c r="Z362" s="121"/>
    </row>
    <row r="363" customFormat="false" ht="15.75" hidden="false" customHeight="false" outlineLevel="0" collapsed="false">
      <c r="A363" s="121"/>
      <c r="B363" s="121"/>
      <c r="C363" s="121"/>
      <c r="D363" s="121"/>
      <c r="E363" s="121"/>
      <c r="F363" s="121"/>
      <c r="G363" s="121"/>
      <c r="H363" s="121"/>
      <c r="I363" s="121"/>
      <c r="J363" s="121"/>
      <c r="K363" s="121"/>
      <c r="L363" s="121"/>
      <c r="M363" s="121"/>
      <c r="N363" s="121"/>
      <c r="O363" s="121"/>
      <c r="P363" s="121"/>
      <c r="Q363" s="121"/>
      <c r="R363" s="121"/>
      <c r="S363" s="121"/>
      <c r="T363" s="121"/>
      <c r="U363" s="121"/>
      <c r="V363" s="121"/>
      <c r="W363" s="121"/>
      <c r="X363" s="121"/>
      <c r="Y363" s="121"/>
      <c r="Z363" s="121"/>
    </row>
    <row r="364" customFormat="false" ht="15.75" hidden="false" customHeight="false" outlineLevel="0" collapsed="false">
      <c r="A364" s="121"/>
      <c r="B364" s="121"/>
      <c r="C364" s="121"/>
      <c r="D364" s="121"/>
      <c r="E364" s="121"/>
      <c r="F364" s="121"/>
      <c r="G364" s="121"/>
      <c r="H364" s="121"/>
      <c r="I364" s="121"/>
      <c r="J364" s="121"/>
      <c r="K364" s="121"/>
      <c r="L364" s="121"/>
      <c r="M364" s="121"/>
      <c r="N364" s="121"/>
      <c r="O364" s="121"/>
      <c r="P364" s="121"/>
      <c r="Q364" s="121"/>
      <c r="R364" s="121"/>
      <c r="S364" s="121"/>
      <c r="T364" s="121"/>
      <c r="U364" s="121"/>
      <c r="V364" s="121"/>
      <c r="W364" s="121"/>
      <c r="X364" s="121"/>
      <c r="Y364" s="121"/>
      <c r="Z364" s="121"/>
    </row>
    <row r="365" customFormat="false" ht="15.75" hidden="false" customHeight="false" outlineLevel="0" collapsed="false">
      <c r="A365" s="121"/>
      <c r="B365" s="121"/>
      <c r="C365" s="121"/>
      <c r="D365" s="121"/>
      <c r="E365" s="121"/>
      <c r="F365" s="121"/>
      <c r="G365" s="121"/>
      <c r="H365" s="121"/>
      <c r="I365" s="121"/>
      <c r="J365" s="121"/>
      <c r="K365" s="121"/>
      <c r="L365" s="121"/>
      <c r="M365" s="121"/>
      <c r="N365" s="121"/>
      <c r="O365" s="121"/>
      <c r="P365" s="121"/>
      <c r="Q365" s="121"/>
      <c r="R365" s="121"/>
      <c r="S365" s="121"/>
      <c r="T365" s="121"/>
      <c r="U365" s="121"/>
      <c r="V365" s="121"/>
      <c r="W365" s="121"/>
      <c r="X365" s="121"/>
      <c r="Y365" s="121"/>
      <c r="Z365" s="121"/>
    </row>
    <row r="366" customFormat="false" ht="15.75" hidden="false" customHeight="false" outlineLevel="0" collapsed="false">
      <c r="A366" s="121"/>
      <c r="B366" s="121"/>
      <c r="C366" s="121"/>
      <c r="D366" s="121"/>
      <c r="E366" s="121"/>
      <c r="F366" s="121"/>
      <c r="G366" s="121"/>
      <c r="H366" s="121"/>
      <c r="I366" s="121"/>
      <c r="J366" s="121"/>
      <c r="K366" s="121"/>
      <c r="L366" s="121"/>
      <c r="M366" s="121"/>
      <c r="N366" s="121"/>
      <c r="O366" s="121"/>
      <c r="P366" s="121"/>
      <c r="Q366" s="121"/>
      <c r="R366" s="121"/>
      <c r="S366" s="121"/>
      <c r="T366" s="121"/>
      <c r="U366" s="121"/>
      <c r="V366" s="121"/>
      <c r="W366" s="121"/>
      <c r="X366" s="121"/>
      <c r="Y366" s="121"/>
      <c r="Z366" s="121"/>
    </row>
    <row r="367" customFormat="false" ht="15.75" hidden="false" customHeight="false" outlineLevel="0" collapsed="false">
      <c r="A367" s="121"/>
      <c r="B367" s="121"/>
      <c r="C367" s="121"/>
      <c r="D367" s="121"/>
      <c r="E367" s="121"/>
      <c r="F367" s="121"/>
      <c r="G367" s="121"/>
      <c r="H367" s="121"/>
      <c r="I367" s="121"/>
      <c r="J367" s="121"/>
      <c r="K367" s="121"/>
      <c r="L367" s="121"/>
      <c r="M367" s="121"/>
      <c r="N367" s="121"/>
      <c r="O367" s="121"/>
      <c r="P367" s="121"/>
      <c r="Q367" s="121"/>
      <c r="R367" s="121"/>
      <c r="S367" s="121"/>
      <c r="T367" s="121"/>
      <c r="U367" s="121"/>
      <c r="V367" s="121"/>
      <c r="W367" s="121"/>
      <c r="X367" s="121"/>
      <c r="Y367" s="121"/>
      <c r="Z367" s="121"/>
    </row>
    <row r="368" customFormat="false" ht="15.75" hidden="false" customHeight="false" outlineLevel="0" collapsed="false">
      <c r="A368" s="121"/>
      <c r="B368" s="121"/>
      <c r="C368" s="121"/>
      <c r="D368" s="121"/>
      <c r="E368" s="121"/>
      <c r="F368" s="121"/>
      <c r="G368" s="121"/>
      <c r="H368" s="121"/>
      <c r="I368" s="121"/>
      <c r="J368" s="121"/>
      <c r="K368" s="121"/>
      <c r="L368" s="121"/>
      <c r="M368" s="121"/>
      <c r="N368" s="121"/>
      <c r="O368" s="121"/>
      <c r="P368" s="121"/>
      <c r="Q368" s="121"/>
      <c r="R368" s="121"/>
      <c r="S368" s="121"/>
      <c r="T368" s="121"/>
      <c r="U368" s="121"/>
      <c r="V368" s="121"/>
      <c r="W368" s="121"/>
      <c r="X368" s="121"/>
      <c r="Y368" s="121"/>
      <c r="Z368" s="121"/>
    </row>
    <row r="369" customFormat="false" ht="15.75" hidden="false" customHeight="false" outlineLevel="0" collapsed="false">
      <c r="A369" s="121"/>
      <c r="B369" s="121"/>
      <c r="C369" s="121"/>
      <c r="D369" s="121"/>
      <c r="E369" s="121"/>
      <c r="F369" s="121"/>
      <c r="G369" s="121"/>
      <c r="H369" s="121"/>
      <c r="I369" s="121"/>
      <c r="J369" s="121"/>
      <c r="K369" s="121"/>
      <c r="L369" s="121"/>
      <c r="M369" s="121"/>
      <c r="N369" s="121"/>
      <c r="O369" s="121"/>
      <c r="P369" s="121"/>
      <c r="Q369" s="121"/>
      <c r="R369" s="121"/>
      <c r="S369" s="121"/>
      <c r="T369" s="121"/>
      <c r="U369" s="121"/>
      <c r="V369" s="121"/>
      <c r="W369" s="121"/>
      <c r="X369" s="121"/>
      <c r="Y369" s="121"/>
      <c r="Z369" s="121"/>
    </row>
    <row r="370" customFormat="false" ht="15.75" hidden="false" customHeight="false" outlineLevel="0" collapsed="false">
      <c r="A370" s="121"/>
      <c r="B370" s="121"/>
      <c r="C370" s="121"/>
      <c r="D370" s="121"/>
      <c r="E370" s="121"/>
      <c r="F370" s="121"/>
      <c r="G370" s="121"/>
      <c r="H370" s="121"/>
      <c r="I370" s="121"/>
      <c r="J370" s="121"/>
      <c r="K370" s="121"/>
      <c r="L370" s="121"/>
      <c r="M370" s="121"/>
      <c r="N370" s="121"/>
      <c r="O370" s="121"/>
      <c r="P370" s="121"/>
      <c r="Q370" s="121"/>
      <c r="R370" s="121"/>
      <c r="S370" s="121"/>
      <c r="T370" s="121"/>
      <c r="U370" s="121"/>
      <c r="V370" s="121"/>
      <c r="W370" s="121"/>
      <c r="X370" s="121"/>
      <c r="Y370" s="121"/>
      <c r="Z370" s="121"/>
    </row>
    <row r="371" customFormat="false" ht="15.75" hidden="false" customHeight="false" outlineLevel="0" collapsed="false">
      <c r="A371" s="121"/>
      <c r="B371" s="121"/>
      <c r="C371" s="121"/>
      <c r="D371" s="121"/>
      <c r="E371" s="121"/>
      <c r="F371" s="121"/>
      <c r="G371" s="121"/>
      <c r="H371" s="121"/>
      <c r="I371" s="121"/>
      <c r="J371" s="121"/>
      <c r="K371" s="121"/>
      <c r="L371" s="121"/>
      <c r="M371" s="121"/>
      <c r="N371" s="121"/>
      <c r="O371" s="121"/>
      <c r="P371" s="121"/>
      <c r="Q371" s="121"/>
      <c r="R371" s="121"/>
      <c r="S371" s="121"/>
      <c r="T371" s="121"/>
      <c r="U371" s="121"/>
      <c r="V371" s="121"/>
      <c r="W371" s="121"/>
      <c r="X371" s="121"/>
      <c r="Y371" s="121"/>
      <c r="Z371" s="121"/>
    </row>
    <row r="372" customFormat="false" ht="15.75" hidden="false" customHeight="false" outlineLevel="0" collapsed="false">
      <c r="A372" s="121"/>
      <c r="B372" s="121"/>
      <c r="C372" s="121"/>
      <c r="D372" s="121"/>
      <c r="E372" s="121"/>
      <c r="F372" s="121"/>
      <c r="G372" s="121"/>
      <c r="H372" s="121"/>
      <c r="I372" s="121"/>
      <c r="J372" s="121"/>
      <c r="K372" s="121"/>
      <c r="L372" s="121"/>
      <c r="M372" s="121"/>
      <c r="N372" s="121"/>
      <c r="O372" s="121"/>
      <c r="P372" s="121"/>
      <c r="Q372" s="121"/>
      <c r="R372" s="121"/>
      <c r="S372" s="121"/>
      <c r="T372" s="121"/>
      <c r="U372" s="121"/>
      <c r="V372" s="121"/>
      <c r="W372" s="121"/>
      <c r="X372" s="121"/>
      <c r="Y372" s="121"/>
      <c r="Z372" s="121"/>
    </row>
    <row r="373" customFormat="false" ht="15.75" hidden="false" customHeight="false" outlineLevel="0" collapsed="false">
      <c r="A373" s="121"/>
      <c r="B373" s="121"/>
      <c r="C373" s="121"/>
      <c r="D373" s="121"/>
      <c r="E373" s="121"/>
      <c r="F373" s="121"/>
      <c r="G373" s="121"/>
      <c r="H373" s="121"/>
      <c r="I373" s="121"/>
      <c r="J373" s="121"/>
      <c r="K373" s="121"/>
      <c r="L373" s="121"/>
      <c r="M373" s="121"/>
      <c r="N373" s="121"/>
      <c r="O373" s="121"/>
      <c r="P373" s="121"/>
      <c r="Q373" s="121"/>
      <c r="R373" s="121"/>
      <c r="S373" s="121"/>
      <c r="T373" s="121"/>
      <c r="U373" s="121"/>
      <c r="V373" s="121"/>
      <c r="W373" s="121"/>
      <c r="X373" s="121"/>
      <c r="Y373" s="121"/>
      <c r="Z373" s="121"/>
    </row>
    <row r="374" customFormat="false" ht="15.75" hidden="false" customHeight="false" outlineLevel="0" collapsed="false">
      <c r="A374" s="121"/>
      <c r="B374" s="121"/>
      <c r="C374" s="121"/>
      <c r="D374" s="121"/>
      <c r="E374" s="121"/>
      <c r="F374" s="121"/>
      <c r="G374" s="121"/>
      <c r="H374" s="121"/>
      <c r="I374" s="121"/>
      <c r="J374" s="121"/>
      <c r="K374" s="121"/>
      <c r="L374" s="121"/>
      <c r="M374" s="121"/>
      <c r="N374" s="121"/>
      <c r="O374" s="121"/>
      <c r="P374" s="121"/>
      <c r="Q374" s="121"/>
      <c r="R374" s="121"/>
      <c r="S374" s="121"/>
      <c r="T374" s="121"/>
      <c r="U374" s="121"/>
      <c r="V374" s="121"/>
      <c r="W374" s="121"/>
      <c r="X374" s="121"/>
      <c r="Y374" s="121"/>
      <c r="Z374" s="121"/>
    </row>
    <row r="375" customFormat="false" ht="15.75" hidden="false" customHeight="false" outlineLevel="0" collapsed="false">
      <c r="A375" s="121"/>
      <c r="B375" s="121"/>
      <c r="C375" s="121"/>
      <c r="D375" s="121"/>
      <c r="E375" s="121"/>
      <c r="F375" s="121"/>
      <c r="G375" s="121"/>
      <c r="H375" s="121"/>
      <c r="I375" s="121"/>
      <c r="J375" s="121"/>
      <c r="K375" s="121"/>
      <c r="L375" s="121"/>
      <c r="M375" s="121"/>
      <c r="N375" s="121"/>
      <c r="O375" s="121"/>
      <c r="P375" s="121"/>
      <c r="Q375" s="121"/>
      <c r="R375" s="121"/>
      <c r="S375" s="121"/>
      <c r="T375" s="121"/>
      <c r="U375" s="121"/>
      <c r="V375" s="121"/>
      <c r="W375" s="121"/>
      <c r="X375" s="121"/>
      <c r="Y375" s="121"/>
      <c r="Z375" s="121"/>
    </row>
    <row r="376" customFormat="false" ht="15.75" hidden="false" customHeight="false" outlineLevel="0" collapsed="false">
      <c r="A376" s="121"/>
      <c r="B376" s="121"/>
      <c r="C376" s="121"/>
      <c r="D376" s="121"/>
      <c r="E376" s="121"/>
      <c r="F376" s="121"/>
      <c r="G376" s="121"/>
      <c r="H376" s="121"/>
      <c r="I376" s="121"/>
      <c r="J376" s="121"/>
      <c r="K376" s="121"/>
      <c r="L376" s="121"/>
      <c r="M376" s="121"/>
      <c r="N376" s="121"/>
      <c r="O376" s="121"/>
      <c r="P376" s="121"/>
      <c r="Q376" s="121"/>
      <c r="R376" s="121"/>
      <c r="S376" s="121"/>
      <c r="T376" s="121"/>
      <c r="U376" s="121"/>
      <c r="V376" s="121"/>
      <c r="W376" s="121"/>
      <c r="X376" s="121"/>
      <c r="Y376" s="121"/>
      <c r="Z376" s="121"/>
    </row>
    <row r="377" customFormat="false" ht="15.75" hidden="false" customHeight="false" outlineLevel="0" collapsed="false">
      <c r="A377" s="121"/>
      <c r="B377" s="121"/>
      <c r="C377" s="121"/>
      <c r="D377" s="121"/>
      <c r="E377" s="121"/>
      <c r="F377" s="121"/>
      <c r="G377" s="121"/>
      <c r="H377" s="121"/>
      <c r="I377" s="121"/>
      <c r="J377" s="121"/>
      <c r="K377" s="121"/>
      <c r="L377" s="121"/>
      <c r="M377" s="121"/>
      <c r="N377" s="121"/>
      <c r="O377" s="121"/>
      <c r="P377" s="121"/>
      <c r="Q377" s="121"/>
      <c r="R377" s="121"/>
      <c r="S377" s="121"/>
      <c r="T377" s="121"/>
      <c r="U377" s="121"/>
      <c r="V377" s="121"/>
      <c r="W377" s="121"/>
      <c r="X377" s="121"/>
      <c r="Y377" s="121"/>
      <c r="Z377" s="121"/>
    </row>
    <row r="378" customFormat="false" ht="15.75" hidden="false" customHeight="false" outlineLevel="0" collapsed="false">
      <c r="A378" s="121"/>
      <c r="B378" s="121"/>
      <c r="C378" s="121"/>
      <c r="D378" s="121"/>
      <c r="E378" s="121"/>
      <c r="F378" s="121"/>
      <c r="G378" s="121"/>
      <c r="H378" s="121"/>
      <c r="I378" s="121"/>
      <c r="J378" s="121"/>
      <c r="K378" s="121"/>
      <c r="L378" s="121"/>
      <c r="M378" s="121"/>
      <c r="N378" s="121"/>
      <c r="O378" s="121"/>
      <c r="P378" s="121"/>
      <c r="Q378" s="121"/>
      <c r="R378" s="121"/>
      <c r="S378" s="121"/>
      <c r="T378" s="121"/>
      <c r="U378" s="121"/>
      <c r="V378" s="121"/>
      <c r="W378" s="121"/>
      <c r="X378" s="121"/>
      <c r="Y378" s="121"/>
      <c r="Z378" s="121"/>
    </row>
    <row r="379" customFormat="false" ht="15.75" hidden="false" customHeight="false" outlineLevel="0" collapsed="false">
      <c r="A379" s="121"/>
      <c r="B379" s="121"/>
      <c r="C379" s="121"/>
      <c r="D379" s="121"/>
      <c r="E379" s="121"/>
      <c r="F379" s="121"/>
      <c r="G379" s="121"/>
      <c r="H379" s="121"/>
      <c r="I379" s="121"/>
      <c r="J379" s="121"/>
      <c r="K379" s="121"/>
      <c r="L379" s="121"/>
      <c r="M379" s="121"/>
      <c r="N379" s="121"/>
      <c r="O379" s="121"/>
      <c r="P379" s="121"/>
      <c r="Q379" s="121"/>
      <c r="R379" s="121"/>
      <c r="S379" s="121"/>
      <c r="T379" s="121"/>
      <c r="U379" s="121"/>
      <c r="V379" s="121"/>
      <c r="W379" s="121"/>
      <c r="X379" s="121"/>
      <c r="Y379" s="121"/>
      <c r="Z379" s="121"/>
    </row>
    <row r="380" customFormat="false" ht="15.75" hidden="false" customHeight="false" outlineLevel="0" collapsed="false">
      <c r="A380" s="121"/>
      <c r="B380" s="121"/>
      <c r="C380" s="121"/>
      <c r="D380" s="121"/>
      <c r="E380" s="121"/>
      <c r="F380" s="121"/>
      <c r="G380" s="121"/>
      <c r="H380" s="121"/>
      <c r="I380" s="121"/>
      <c r="J380" s="121"/>
      <c r="K380" s="121"/>
      <c r="L380" s="121"/>
      <c r="M380" s="121"/>
      <c r="N380" s="121"/>
      <c r="O380" s="121"/>
      <c r="P380" s="121"/>
      <c r="Q380" s="121"/>
      <c r="R380" s="121"/>
      <c r="S380" s="121"/>
      <c r="T380" s="121"/>
      <c r="U380" s="121"/>
      <c r="V380" s="121"/>
      <c r="W380" s="121"/>
      <c r="X380" s="121"/>
      <c r="Y380" s="121"/>
      <c r="Z380" s="121"/>
    </row>
    <row r="381" customFormat="false" ht="15.75" hidden="false" customHeight="false" outlineLevel="0" collapsed="false">
      <c r="A381" s="121"/>
      <c r="B381" s="121"/>
      <c r="C381" s="121"/>
      <c r="D381" s="121"/>
      <c r="E381" s="121"/>
      <c r="F381" s="121"/>
      <c r="G381" s="121"/>
      <c r="H381" s="121"/>
      <c r="I381" s="121"/>
      <c r="J381" s="121"/>
      <c r="K381" s="121"/>
      <c r="L381" s="121"/>
      <c r="M381" s="121"/>
      <c r="N381" s="121"/>
      <c r="O381" s="121"/>
      <c r="P381" s="121"/>
      <c r="Q381" s="121"/>
      <c r="R381" s="121"/>
      <c r="S381" s="121"/>
      <c r="T381" s="121"/>
      <c r="U381" s="121"/>
      <c r="V381" s="121"/>
      <c r="W381" s="121"/>
      <c r="X381" s="121"/>
      <c r="Y381" s="121"/>
      <c r="Z381" s="121"/>
    </row>
    <row r="382" customFormat="false" ht="15.75" hidden="false" customHeight="false" outlineLevel="0" collapsed="false">
      <c r="A382" s="121"/>
      <c r="B382" s="121"/>
      <c r="C382" s="121"/>
      <c r="D382" s="121"/>
      <c r="E382" s="121"/>
      <c r="F382" s="121"/>
      <c r="G382" s="121"/>
      <c r="H382" s="121"/>
      <c r="I382" s="121"/>
      <c r="J382" s="121"/>
      <c r="K382" s="121"/>
      <c r="L382" s="121"/>
      <c r="M382" s="121"/>
      <c r="N382" s="121"/>
      <c r="O382" s="121"/>
      <c r="P382" s="121"/>
      <c r="Q382" s="121"/>
      <c r="R382" s="121"/>
      <c r="S382" s="121"/>
      <c r="T382" s="121"/>
      <c r="U382" s="121"/>
      <c r="V382" s="121"/>
      <c r="W382" s="121"/>
      <c r="X382" s="121"/>
      <c r="Y382" s="121"/>
      <c r="Z382" s="121"/>
    </row>
    <row r="383" customFormat="false" ht="15.75" hidden="false" customHeight="false" outlineLevel="0" collapsed="false">
      <c r="A383" s="121"/>
      <c r="B383" s="121"/>
      <c r="C383" s="121"/>
      <c r="D383" s="121"/>
      <c r="E383" s="121"/>
      <c r="F383" s="121"/>
      <c r="G383" s="121"/>
      <c r="H383" s="121"/>
      <c r="I383" s="121"/>
      <c r="J383" s="121"/>
      <c r="K383" s="121"/>
      <c r="L383" s="121"/>
      <c r="M383" s="121"/>
      <c r="N383" s="121"/>
      <c r="O383" s="121"/>
      <c r="P383" s="121"/>
      <c r="Q383" s="121"/>
      <c r="R383" s="121"/>
      <c r="S383" s="121"/>
      <c r="T383" s="121"/>
      <c r="U383" s="121"/>
      <c r="V383" s="121"/>
      <c r="W383" s="121"/>
      <c r="X383" s="121"/>
      <c r="Y383" s="121"/>
      <c r="Z383" s="121"/>
    </row>
    <row r="384" customFormat="false" ht="15.75" hidden="false" customHeight="false" outlineLevel="0" collapsed="false">
      <c r="A384" s="121"/>
      <c r="B384" s="121"/>
      <c r="C384" s="121"/>
      <c r="D384" s="121"/>
      <c r="E384" s="121"/>
      <c r="F384" s="121"/>
      <c r="G384" s="121"/>
      <c r="H384" s="121"/>
      <c r="I384" s="121"/>
      <c r="J384" s="121"/>
      <c r="K384" s="121"/>
      <c r="L384" s="121"/>
      <c r="M384" s="121"/>
      <c r="N384" s="121"/>
      <c r="O384" s="121"/>
      <c r="P384" s="121"/>
      <c r="Q384" s="121"/>
      <c r="R384" s="121"/>
      <c r="S384" s="121"/>
      <c r="T384" s="121"/>
      <c r="U384" s="121"/>
      <c r="V384" s="121"/>
      <c r="W384" s="121"/>
      <c r="X384" s="121"/>
      <c r="Y384" s="121"/>
      <c r="Z384" s="121"/>
    </row>
    <row r="385" customFormat="false" ht="15.75" hidden="false" customHeight="false" outlineLevel="0" collapsed="false">
      <c r="A385" s="121"/>
      <c r="B385" s="121"/>
      <c r="C385" s="121"/>
      <c r="D385" s="121"/>
      <c r="E385" s="121"/>
      <c r="F385" s="121"/>
      <c r="G385" s="121"/>
      <c r="H385" s="121"/>
      <c r="I385" s="121"/>
      <c r="J385" s="121"/>
      <c r="K385" s="121"/>
      <c r="L385" s="121"/>
      <c r="M385" s="121"/>
      <c r="N385" s="121"/>
      <c r="O385" s="121"/>
      <c r="P385" s="121"/>
      <c r="Q385" s="121"/>
      <c r="R385" s="121"/>
      <c r="S385" s="121"/>
      <c r="T385" s="121"/>
      <c r="U385" s="121"/>
      <c r="V385" s="121"/>
      <c r="W385" s="121"/>
      <c r="X385" s="121"/>
      <c r="Y385" s="121"/>
      <c r="Z385" s="121"/>
    </row>
    <row r="386" customFormat="false" ht="15.75" hidden="false" customHeight="false" outlineLevel="0" collapsed="false">
      <c r="A386" s="121"/>
      <c r="B386" s="121"/>
      <c r="C386" s="121"/>
      <c r="D386" s="121"/>
      <c r="E386" s="121"/>
      <c r="F386" s="121"/>
      <c r="G386" s="121"/>
      <c r="H386" s="121"/>
      <c r="I386" s="121"/>
      <c r="J386" s="121"/>
      <c r="K386" s="121"/>
      <c r="L386" s="121"/>
      <c r="M386" s="121"/>
      <c r="N386" s="121"/>
      <c r="O386" s="121"/>
      <c r="P386" s="121"/>
      <c r="Q386" s="121"/>
      <c r="R386" s="121"/>
      <c r="S386" s="121"/>
      <c r="T386" s="121"/>
      <c r="U386" s="121"/>
      <c r="V386" s="121"/>
      <c r="W386" s="121"/>
      <c r="X386" s="121"/>
      <c r="Y386" s="121"/>
      <c r="Z386" s="121"/>
    </row>
    <row r="387" customFormat="false" ht="15.75" hidden="false" customHeight="false" outlineLevel="0" collapsed="false">
      <c r="A387" s="121"/>
      <c r="B387" s="121"/>
      <c r="C387" s="121"/>
      <c r="D387" s="121"/>
      <c r="E387" s="121"/>
      <c r="F387" s="121"/>
      <c r="G387" s="121"/>
      <c r="H387" s="121"/>
      <c r="I387" s="121"/>
      <c r="J387" s="121"/>
      <c r="K387" s="121"/>
      <c r="L387" s="121"/>
      <c r="M387" s="121"/>
      <c r="N387" s="121"/>
      <c r="O387" s="121"/>
      <c r="P387" s="121"/>
      <c r="Q387" s="121"/>
      <c r="R387" s="121"/>
      <c r="S387" s="121"/>
      <c r="T387" s="121"/>
      <c r="U387" s="121"/>
      <c r="V387" s="121"/>
      <c r="W387" s="121"/>
      <c r="X387" s="121"/>
      <c r="Y387" s="121"/>
      <c r="Z387" s="121"/>
    </row>
    <row r="388" customFormat="false" ht="15.75" hidden="false" customHeight="false" outlineLevel="0" collapsed="false">
      <c r="A388" s="121"/>
      <c r="B388" s="121"/>
      <c r="C388" s="121"/>
      <c r="D388" s="121"/>
      <c r="E388" s="121"/>
      <c r="F388" s="121"/>
      <c r="G388" s="121"/>
      <c r="H388" s="121"/>
      <c r="I388" s="121"/>
      <c r="J388" s="121"/>
      <c r="K388" s="121"/>
      <c r="L388" s="121"/>
      <c r="M388" s="121"/>
      <c r="N388" s="121"/>
      <c r="O388" s="121"/>
      <c r="P388" s="121"/>
      <c r="Q388" s="121"/>
      <c r="R388" s="121"/>
      <c r="S388" s="121"/>
      <c r="T388" s="121"/>
      <c r="U388" s="121"/>
      <c r="V388" s="121"/>
      <c r="W388" s="121"/>
      <c r="X388" s="121"/>
      <c r="Y388" s="121"/>
      <c r="Z388" s="121"/>
    </row>
    <row r="389" customFormat="false" ht="15.75" hidden="false" customHeight="false" outlineLevel="0" collapsed="false">
      <c r="A389" s="121"/>
      <c r="B389" s="121"/>
      <c r="C389" s="121"/>
      <c r="D389" s="121"/>
      <c r="E389" s="121"/>
      <c r="F389" s="121"/>
      <c r="G389" s="121"/>
      <c r="H389" s="121"/>
      <c r="I389" s="121"/>
      <c r="J389" s="121"/>
      <c r="K389" s="121"/>
      <c r="L389" s="121"/>
      <c r="M389" s="121"/>
      <c r="N389" s="121"/>
      <c r="O389" s="121"/>
      <c r="P389" s="121"/>
      <c r="Q389" s="121"/>
      <c r="R389" s="121"/>
      <c r="S389" s="121"/>
      <c r="T389" s="121"/>
      <c r="U389" s="121"/>
      <c r="V389" s="121"/>
      <c r="W389" s="121"/>
      <c r="X389" s="121"/>
      <c r="Y389" s="121"/>
      <c r="Z389" s="121"/>
    </row>
    <row r="390" customFormat="false" ht="15.75" hidden="false" customHeight="false" outlineLevel="0" collapsed="false">
      <c r="A390" s="121"/>
      <c r="B390" s="121"/>
      <c r="C390" s="121"/>
      <c r="D390" s="121"/>
      <c r="E390" s="121"/>
      <c r="F390" s="121"/>
      <c r="G390" s="121"/>
      <c r="H390" s="121"/>
      <c r="I390" s="121"/>
      <c r="J390" s="121"/>
      <c r="K390" s="121"/>
      <c r="L390" s="121"/>
      <c r="M390" s="121"/>
      <c r="N390" s="121"/>
      <c r="O390" s="121"/>
      <c r="P390" s="121"/>
      <c r="Q390" s="121"/>
      <c r="R390" s="121"/>
      <c r="S390" s="121"/>
      <c r="T390" s="121"/>
      <c r="U390" s="121"/>
      <c r="V390" s="121"/>
      <c r="W390" s="121"/>
      <c r="X390" s="121"/>
      <c r="Y390" s="121"/>
      <c r="Z390" s="121"/>
    </row>
    <row r="391" customFormat="false" ht="15.75" hidden="false" customHeight="false" outlineLevel="0" collapsed="false">
      <c r="A391" s="121"/>
      <c r="B391" s="121"/>
      <c r="C391" s="121"/>
      <c r="D391" s="121"/>
      <c r="E391" s="121"/>
      <c r="F391" s="121"/>
      <c r="G391" s="121"/>
      <c r="H391" s="121"/>
      <c r="I391" s="121"/>
      <c r="J391" s="121"/>
      <c r="K391" s="121"/>
      <c r="L391" s="121"/>
      <c r="M391" s="121"/>
      <c r="N391" s="121"/>
      <c r="O391" s="121"/>
      <c r="P391" s="121"/>
      <c r="Q391" s="121"/>
      <c r="R391" s="121"/>
      <c r="S391" s="121"/>
      <c r="T391" s="121"/>
      <c r="U391" s="121"/>
      <c r="V391" s="121"/>
      <c r="W391" s="121"/>
      <c r="X391" s="121"/>
      <c r="Y391" s="121"/>
      <c r="Z391" s="121"/>
    </row>
    <row r="392" customFormat="false" ht="15.75" hidden="false" customHeight="false" outlineLevel="0" collapsed="false">
      <c r="A392" s="121"/>
      <c r="B392" s="121"/>
      <c r="C392" s="121"/>
      <c r="D392" s="121"/>
      <c r="E392" s="121"/>
      <c r="F392" s="121"/>
      <c r="G392" s="121"/>
      <c r="H392" s="121"/>
      <c r="I392" s="121"/>
      <c r="J392" s="121"/>
      <c r="K392" s="121"/>
      <c r="L392" s="121"/>
      <c r="M392" s="121"/>
      <c r="N392" s="121"/>
      <c r="O392" s="121"/>
      <c r="P392" s="121"/>
      <c r="Q392" s="121"/>
      <c r="R392" s="121"/>
      <c r="S392" s="121"/>
      <c r="T392" s="121"/>
      <c r="U392" s="121"/>
      <c r="V392" s="121"/>
      <c r="W392" s="121"/>
      <c r="X392" s="121"/>
      <c r="Y392" s="121"/>
      <c r="Z392" s="121"/>
    </row>
    <row r="393" customFormat="false" ht="15.75" hidden="false" customHeight="false" outlineLevel="0" collapsed="false">
      <c r="A393" s="121"/>
      <c r="B393" s="121"/>
      <c r="C393" s="121"/>
      <c r="D393" s="121"/>
      <c r="E393" s="121"/>
      <c r="F393" s="121"/>
      <c r="G393" s="121"/>
      <c r="H393" s="121"/>
      <c r="I393" s="121"/>
      <c r="J393" s="121"/>
      <c r="K393" s="121"/>
      <c r="L393" s="121"/>
      <c r="M393" s="121"/>
      <c r="N393" s="121"/>
      <c r="O393" s="121"/>
      <c r="P393" s="121"/>
      <c r="Q393" s="121"/>
      <c r="R393" s="121"/>
      <c r="S393" s="121"/>
      <c r="T393" s="121"/>
      <c r="U393" s="121"/>
      <c r="V393" s="121"/>
      <c r="W393" s="121"/>
      <c r="X393" s="121"/>
      <c r="Y393" s="121"/>
      <c r="Z393" s="121"/>
    </row>
    <row r="394" customFormat="false" ht="15.75" hidden="false" customHeight="false" outlineLevel="0" collapsed="false">
      <c r="A394" s="121"/>
      <c r="B394" s="121"/>
      <c r="C394" s="121"/>
      <c r="D394" s="121"/>
      <c r="E394" s="121"/>
      <c r="F394" s="121"/>
      <c r="G394" s="121"/>
      <c r="H394" s="121"/>
      <c r="I394" s="121"/>
      <c r="J394" s="121"/>
      <c r="K394" s="121"/>
      <c r="L394" s="121"/>
      <c r="M394" s="121"/>
      <c r="N394" s="121"/>
      <c r="O394" s="121"/>
      <c r="P394" s="121"/>
      <c r="Q394" s="121"/>
      <c r="R394" s="121"/>
      <c r="S394" s="121"/>
      <c r="T394" s="121"/>
      <c r="U394" s="121"/>
      <c r="V394" s="121"/>
      <c r="W394" s="121"/>
      <c r="X394" s="121"/>
      <c r="Y394" s="121"/>
      <c r="Z394" s="121"/>
    </row>
    <row r="395" customFormat="false" ht="15.75" hidden="false" customHeight="false" outlineLevel="0" collapsed="false">
      <c r="A395" s="121"/>
      <c r="B395" s="121"/>
      <c r="C395" s="121"/>
      <c r="D395" s="121"/>
      <c r="E395" s="121"/>
      <c r="F395" s="121"/>
      <c r="G395" s="121"/>
      <c r="H395" s="121"/>
      <c r="I395" s="121"/>
      <c r="J395" s="121"/>
      <c r="K395" s="121"/>
      <c r="L395" s="121"/>
      <c r="M395" s="121"/>
      <c r="N395" s="121"/>
      <c r="O395" s="121"/>
      <c r="P395" s="121"/>
      <c r="Q395" s="121"/>
      <c r="R395" s="121"/>
      <c r="S395" s="121"/>
      <c r="T395" s="121"/>
      <c r="U395" s="121"/>
      <c r="V395" s="121"/>
      <c r="W395" s="121"/>
      <c r="X395" s="121"/>
      <c r="Y395" s="121"/>
      <c r="Z395" s="121"/>
    </row>
    <row r="396" customFormat="false" ht="15.75" hidden="false" customHeight="false" outlineLevel="0" collapsed="false">
      <c r="A396" s="121"/>
      <c r="B396" s="121"/>
      <c r="C396" s="121"/>
      <c r="D396" s="121"/>
      <c r="E396" s="121"/>
      <c r="F396" s="121"/>
      <c r="G396" s="121"/>
      <c r="H396" s="121"/>
      <c r="I396" s="121"/>
      <c r="J396" s="121"/>
      <c r="K396" s="121"/>
      <c r="L396" s="121"/>
      <c r="M396" s="121"/>
      <c r="N396" s="121"/>
      <c r="O396" s="121"/>
      <c r="P396" s="121"/>
      <c r="Q396" s="121"/>
      <c r="R396" s="121"/>
      <c r="S396" s="121"/>
      <c r="T396" s="121"/>
      <c r="U396" s="121"/>
      <c r="V396" s="121"/>
      <c r="W396" s="121"/>
      <c r="X396" s="121"/>
      <c r="Y396" s="121"/>
      <c r="Z396" s="121"/>
    </row>
    <row r="397" customFormat="false" ht="15.75" hidden="false" customHeight="false" outlineLevel="0" collapsed="false">
      <c r="A397" s="121"/>
      <c r="B397" s="121"/>
      <c r="C397" s="121"/>
      <c r="D397" s="121"/>
      <c r="E397" s="121"/>
      <c r="F397" s="121"/>
      <c r="G397" s="121"/>
      <c r="H397" s="121"/>
      <c r="I397" s="121"/>
      <c r="J397" s="121"/>
      <c r="K397" s="121"/>
      <c r="L397" s="121"/>
      <c r="M397" s="121"/>
      <c r="N397" s="121"/>
      <c r="O397" s="121"/>
      <c r="P397" s="121"/>
      <c r="Q397" s="121"/>
      <c r="R397" s="121"/>
      <c r="S397" s="121"/>
      <c r="T397" s="121"/>
      <c r="U397" s="121"/>
      <c r="V397" s="121"/>
      <c r="W397" s="121"/>
      <c r="X397" s="121"/>
      <c r="Y397" s="121"/>
      <c r="Z397" s="121"/>
    </row>
    <row r="398" customFormat="false" ht="15.75" hidden="false" customHeight="false" outlineLevel="0" collapsed="false">
      <c r="A398" s="121"/>
      <c r="B398" s="121"/>
      <c r="C398" s="121"/>
      <c r="D398" s="121"/>
      <c r="E398" s="121"/>
      <c r="F398" s="121"/>
      <c r="G398" s="121"/>
      <c r="H398" s="121"/>
      <c r="I398" s="121"/>
      <c r="J398" s="121"/>
      <c r="K398" s="121"/>
      <c r="L398" s="121"/>
      <c r="M398" s="121"/>
      <c r="N398" s="121"/>
      <c r="O398" s="121"/>
      <c r="P398" s="121"/>
      <c r="Q398" s="121"/>
      <c r="R398" s="121"/>
      <c r="S398" s="121"/>
      <c r="T398" s="121"/>
      <c r="U398" s="121"/>
      <c r="V398" s="121"/>
      <c r="W398" s="121"/>
      <c r="X398" s="121"/>
      <c r="Y398" s="121"/>
      <c r="Z398" s="121"/>
    </row>
    <row r="399" customFormat="false" ht="15.75" hidden="false" customHeight="false" outlineLevel="0" collapsed="false">
      <c r="A399" s="121"/>
      <c r="B399" s="121"/>
      <c r="C399" s="121"/>
      <c r="D399" s="121"/>
      <c r="E399" s="121"/>
      <c r="F399" s="121"/>
      <c r="G399" s="121"/>
      <c r="H399" s="121"/>
      <c r="I399" s="121"/>
      <c r="J399" s="121"/>
      <c r="K399" s="121"/>
      <c r="L399" s="121"/>
      <c r="M399" s="121"/>
      <c r="N399" s="121"/>
      <c r="O399" s="121"/>
      <c r="P399" s="121"/>
      <c r="Q399" s="121"/>
      <c r="R399" s="121"/>
      <c r="S399" s="121"/>
      <c r="T399" s="121"/>
      <c r="U399" s="121"/>
      <c r="V399" s="121"/>
      <c r="W399" s="121"/>
      <c r="X399" s="121"/>
      <c r="Y399" s="121"/>
      <c r="Z399" s="121"/>
    </row>
    <row r="400" customFormat="false" ht="15.75" hidden="false" customHeight="false" outlineLevel="0" collapsed="false">
      <c r="A400" s="121"/>
      <c r="B400" s="121"/>
      <c r="C400" s="121"/>
      <c r="D400" s="121"/>
      <c r="E400" s="121"/>
      <c r="F400" s="121"/>
      <c r="G400" s="121"/>
      <c r="H400" s="121"/>
      <c r="I400" s="121"/>
      <c r="J400" s="121"/>
      <c r="K400" s="121"/>
      <c r="L400" s="121"/>
      <c r="M400" s="121"/>
      <c r="N400" s="121"/>
      <c r="O400" s="121"/>
      <c r="P400" s="121"/>
      <c r="Q400" s="121"/>
      <c r="R400" s="121"/>
      <c r="S400" s="121"/>
      <c r="T400" s="121"/>
      <c r="U400" s="121"/>
      <c r="V400" s="121"/>
      <c r="W400" s="121"/>
      <c r="X400" s="121"/>
      <c r="Y400" s="121"/>
      <c r="Z400" s="121"/>
    </row>
    <row r="401" customFormat="false" ht="15.75" hidden="false" customHeight="false" outlineLevel="0" collapsed="false">
      <c r="A401" s="121"/>
      <c r="B401" s="121"/>
      <c r="C401" s="121"/>
      <c r="D401" s="121"/>
      <c r="E401" s="121"/>
      <c r="F401" s="121"/>
      <c r="G401" s="121"/>
      <c r="H401" s="121"/>
      <c r="I401" s="121"/>
      <c r="J401" s="121"/>
      <c r="K401" s="121"/>
      <c r="L401" s="121"/>
      <c r="M401" s="121"/>
      <c r="N401" s="121"/>
      <c r="O401" s="121"/>
      <c r="P401" s="121"/>
      <c r="Q401" s="121"/>
      <c r="R401" s="121"/>
      <c r="S401" s="121"/>
      <c r="T401" s="121"/>
      <c r="U401" s="121"/>
      <c r="V401" s="121"/>
      <c r="W401" s="121"/>
      <c r="X401" s="121"/>
      <c r="Y401" s="121"/>
      <c r="Z401" s="121"/>
    </row>
    <row r="402" customFormat="false" ht="15.75" hidden="false" customHeight="false" outlineLevel="0" collapsed="false">
      <c r="A402" s="121"/>
      <c r="B402" s="121"/>
      <c r="C402" s="121"/>
      <c r="D402" s="121"/>
      <c r="E402" s="121"/>
      <c r="F402" s="121"/>
      <c r="G402" s="121"/>
      <c r="H402" s="121"/>
      <c r="I402" s="121"/>
      <c r="J402" s="121"/>
      <c r="K402" s="121"/>
      <c r="L402" s="121"/>
      <c r="M402" s="121"/>
      <c r="N402" s="121"/>
      <c r="O402" s="121"/>
      <c r="P402" s="121"/>
      <c r="Q402" s="121"/>
      <c r="R402" s="121"/>
      <c r="S402" s="121"/>
      <c r="T402" s="121"/>
      <c r="U402" s="121"/>
      <c r="V402" s="121"/>
      <c r="W402" s="121"/>
      <c r="X402" s="121"/>
      <c r="Y402" s="121"/>
      <c r="Z402" s="121"/>
    </row>
    <row r="403" customFormat="false" ht="15.75" hidden="false" customHeight="false" outlineLevel="0" collapsed="false">
      <c r="A403" s="121"/>
      <c r="B403" s="121"/>
      <c r="C403" s="121"/>
      <c r="D403" s="121"/>
      <c r="E403" s="121"/>
      <c r="F403" s="121"/>
      <c r="G403" s="121"/>
      <c r="H403" s="121"/>
      <c r="I403" s="121"/>
      <c r="J403" s="121"/>
      <c r="K403" s="121"/>
      <c r="L403" s="121"/>
      <c r="M403" s="121"/>
      <c r="N403" s="121"/>
      <c r="O403" s="121"/>
      <c r="P403" s="121"/>
      <c r="Q403" s="121"/>
      <c r="R403" s="121"/>
      <c r="S403" s="121"/>
      <c r="T403" s="121"/>
      <c r="U403" s="121"/>
      <c r="V403" s="121"/>
      <c r="W403" s="121"/>
      <c r="X403" s="121"/>
      <c r="Y403" s="121"/>
      <c r="Z403" s="121"/>
    </row>
    <row r="404" customFormat="false" ht="15.75" hidden="false" customHeight="false" outlineLevel="0" collapsed="false">
      <c r="A404" s="121"/>
      <c r="B404" s="121"/>
      <c r="C404" s="121"/>
      <c r="D404" s="121"/>
      <c r="E404" s="121"/>
      <c r="F404" s="121"/>
      <c r="G404" s="121"/>
      <c r="H404" s="121"/>
      <c r="I404" s="121"/>
      <c r="J404" s="121"/>
      <c r="K404" s="121"/>
      <c r="L404" s="121"/>
      <c r="M404" s="121"/>
      <c r="N404" s="121"/>
      <c r="O404" s="121"/>
      <c r="P404" s="121"/>
      <c r="Q404" s="121"/>
      <c r="R404" s="121"/>
      <c r="S404" s="121"/>
      <c r="T404" s="121"/>
      <c r="U404" s="121"/>
      <c r="V404" s="121"/>
      <c r="W404" s="121"/>
      <c r="X404" s="121"/>
      <c r="Y404" s="121"/>
      <c r="Z404" s="121"/>
    </row>
    <row r="405" customFormat="false" ht="15.75" hidden="false" customHeight="false" outlineLevel="0" collapsed="false">
      <c r="A405" s="121"/>
      <c r="B405" s="121"/>
      <c r="C405" s="121"/>
      <c r="D405" s="121"/>
      <c r="E405" s="121"/>
      <c r="F405" s="121"/>
      <c r="G405" s="121"/>
      <c r="H405" s="121"/>
      <c r="I405" s="121"/>
      <c r="J405" s="121"/>
      <c r="K405" s="121"/>
      <c r="L405" s="121"/>
      <c r="M405" s="121"/>
      <c r="N405" s="121"/>
      <c r="O405" s="121"/>
      <c r="P405" s="121"/>
      <c r="Q405" s="121"/>
      <c r="R405" s="121"/>
      <c r="S405" s="121"/>
      <c r="T405" s="121"/>
      <c r="U405" s="121"/>
      <c r="V405" s="121"/>
      <c r="W405" s="121"/>
      <c r="X405" s="121"/>
      <c r="Y405" s="121"/>
      <c r="Z405" s="121"/>
    </row>
    <row r="406" customFormat="false" ht="15.75" hidden="false" customHeight="false" outlineLevel="0" collapsed="false">
      <c r="A406" s="121"/>
      <c r="B406" s="121"/>
      <c r="C406" s="121"/>
      <c r="D406" s="121"/>
      <c r="E406" s="121"/>
      <c r="F406" s="121"/>
      <c r="G406" s="121"/>
      <c r="H406" s="121"/>
      <c r="I406" s="121"/>
      <c r="J406" s="121"/>
      <c r="K406" s="121"/>
      <c r="L406" s="121"/>
      <c r="M406" s="121"/>
      <c r="N406" s="121"/>
      <c r="O406" s="121"/>
      <c r="P406" s="121"/>
      <c r="Q406" s="121"/>
      <c r="R406" s="121"/>
      <c r="S406" s="121"/>
      <c r="T406" s="121"/>
      <c r="U406" s="121"/>
      <c r="V406" s="121"/>
      <c r="W406" s="121"/>
      <c r="X406" s="121"/>
      <c r="Y406" s="121"/>
      <c r="Z406" s="121"/>
    </row>
    <row r="407" customFormat="false" ht="15.75" hidden="false" customHeight="false" outlineLevel="0" collapsed="false">
      <c r="A407" s="121"/>
      <c r="B407" s="121"/>
      <c r="C407" s="121"/>
      <c r="D407" s="121"/>
      <c r="E407" s="121"/>
      <c r="F407" s="121"/>
      <c r="G407" s="121"/>
      <c r="H407" s="121"/>
      <c r="I407" s="121"/>
      <c r="J407" s="121"/>
      <c r="K407" s="121"/>
      <c r="L407" s="121"/>
      <c r="M407" s="121"/>
      <c r="N407" s="121"/>
      <c r="O407" s="121"/>
      <c r="P407" s="121"/>
      <c r="Q407" s="121"/>
      <c r="R407" s="121"/>
      <c r="S407" s="121"/>
      <c r="T407" s="121"/>
      <c r="U407" s="121"/>
      <c r="V407" s="121"/>
      <c r="W407" s="121"/>
      <c r="X407" s="121"/>
      <c r="Y407" s="121"/>
      <c r="Z407" s="121"/>
    </row>
    <row r="408" customFormat="false" ht="15.75" hidden="false" customHeight="false" outlineLevel="0" collapsed="false">
      <c r="A408" s="121"/>
      <c r="B408" s="121"/>
      <c r="C408" s="121"/>
      <c r="D408" s="121"/>
      <c r="E408" s="121"/>
      <c r="F408" s="121"/>
      <c r="G408" s="121"/>
      <c r="H408" s="121"/>
      <c r="I408" s="121"/>
      <c r="J408" s="121"/>
      <c r="K408" s="121"/>
      <c r="L408" s="121"/>
      <c r="M408" s="121"/>
      <c r="N408" s="121"/>
      <c r="O408" s="121"/>
      <c r="P408" s="121"/>
      <c r="Q408" s="121"/>
      <c r="R408" s="121"/>
      <c r="S408" s="121"/>
      <c r="T408" s="121"/>
      <c r="U408" s="121"/>
      <c r="V408" s="121"/>
      <c r="W408" s="121"/>
      <c r="X408" s="121"/>
      <c r="Y408" s="121"/>
      <c r="Z408" s="121"/>
    </row>
    <row r="409" customFormat="false" ht="15.75" hidden="false" customHeight="false" outlineLevel="0" collapsed="false">
      <c r="A409" s="121"/>
      <c r="B409" s="121"/>
      <c r="C409" s="121"/>
      <c r="D409" s="121"/>
      <c r="E409" s="121"/>
      <c r="F409" s="121"/>
      <c r="G409" s="121"/>
      <c r="H409" s="121"/>
      <c r="I409" s="121"/>
      <c r="J409" s="121"/>
      <c r="K409" s="121"/>
      <c r="L409" s="121"/>
      <c r="M409" s="121"/>
      <c r="N409" s="121"/>
      <c r="O409" s="121"/>
      <c r="P409" s="121"/>
      <c r="Q409" s="121"/>
      <c r="R409" s="121"/>
      <c r="S409" s="121"/>
      <c r="T409" s="121"/>
      <c r="U409" s="121"/>
      <c r="V409" s="121"/>
      <c r="W409" s="121"/>
      <c r="X409" s="121"/>
      <c r="Y409" s="121"/>
      <c r="Z409" s="121"/>
    </row>
    <row r="410" customFormat="false" ht="15.75" hidden="false" customHeight="false" outlineLevel="0" collapsed="false">
      <c r="A410" s="121"/>
      <c r="B410" s="121"/>
      <c r="C410" s="121"/>
      <c r="D410" s="121"/>
      <c r="E410" s="121"/>
      <c r="F410" s="121"/>
      <c r="G410" s="121"/>
      <c r="H410" s="121"/>
      <c r="I410" s="121"/>
      <c r="J410" s="121"/>
      <c r="K410" s="121"/>
      <c r="L410" s="121"/>
      <c r="M410" s="121"/>
      <c r="N410" s="121"/>
      <c r="O410" s="121"/>
      <c r="P410" s="121"/>
      <c r="Q410" s="121"/>
      <c r="R410" s="121"/>
      <c r="S410" s="121"/>
      <c r="T410" s="121"/>
      <c r="U410" s="121"/>
      <c r="V410" s="121"/>
      <c r="W410" s="121"/>
      <c r="X410" s="121"/>
      <c r="Y410" s="121"/>
      <c r="Z410" s="121"/>
    </row>
    <row r="411" customFormat="false" ht="15.75" hidden="false" customHeight="false" outlineLevel="0" collapsed="false">
      <c r="A411" s="121"/>
      <c r="B411" s="121"/>
      <c r="C411" s="121"/>
      <c r="D411" s="121"/>
      <c r="E411" s="121"/>
      <c r="F411" s="121"/>
      <c r="G411" s="121"/>
      <c r="H411" s="121"/>
      <c r="I411" s="121"/>
      <c r="J411" s="121"/>
      <c r="K411" s="121"/>
      <c r="L411" s="121"/>
      <c r="M411" s="121"/>
      <c r="N411" s="121"/>
      <c r="O411" s="121"/>
      <c r="P411" s="121"/>
      <c r="Q411" s="121"/>
      <c r="R411" s="121"/>
      <c r="S411" s="121"/>
      <c r="T411" s="121"/>
      <c r="U411" s="121"/>
      <c r="V411" s="121"/>
      <c r="W411" s="121"/>
      <c r="X411" s="121"/>
      <c r="Y411" s="121"/>
      <c r="Z411" s="121"/>
    </row>
    <row r="412" customFormat="false" ht="15.75" hidden="false" customHeight="false" outlineLevel="0" collapsed="false">
      <c r="A412" s="121"/>
      <c r="B412" s="121"/>
      <c r="C412" s="121"/>
      <c r="D412" s="121"/>
      <c r="E412" s="121"/>
      <c r="F412" s="121"/>
      <c r="G412" s="121"/>
      <c r="H412" s="121"/>
      <c r="I412" s="121"/>
      <c r="J412" s="121"/>
      <c r="K412" s="121"/>
      <c r="L412" s="121"/>
      <c r="M412" s="121"/>
      <c r="N412" s="121"/>
      <c r="O412" s="121"/>
      <c r="P412" s="121"/>
      <c r="Q412" s="121"/>
      <c r="R412" s="121"/>
      <c r="S412" s="121"/>
      <c r="T412" s="121"/>
      <c r="U412" s="121"/>
      <c r="V412" s="121"/>
      <c r="W412" s="121"/>
      <c r="X412" s="121"/>
      <c r="Y412" s="121"/>
      <c r="Z412" s="121"/>
    </row>
    <row r="413" customFormat="false" ht="15.75" hidden="false" customHeight="false" outlineLevel="0" collapsed="false">
      <c r="A413" s="121"/>
      <c r="B413" s="121"/>
      <c r="C413" s="121"/>
      <c r="D413" s="121"/>
      <c r="E413" s="121"/>
      <c r="F413" s="121"/>
      <c r="G413" s="121"/>
      <c r="H413" s="121"/>
      <c r="I413" s="121"/>
      <c r="J413" s="121"/>
      <c r="K413" s="121"/>
      <c r="L413" s="121"/>
      <c r="M413" s="121"/>
      <c r="N413" s="121"/>
      <c r="O413" s="121"/>
      <c r="P413" s="121"/>
      <c r="Q413" s="121"/>
      <c r="R413" s="121"/>
      <c r="S413" s="121"/>
      <c r="T413" s="121"/>
      <c r="U413" s="121"/>
      <c r="V413" s="121"/>
      <c r="W413" s="121"/>
      <c r="X413" s="121"/>
      <c r="Y413" s="121"/>
      <c r="Z413" s="121"/>
    </row>
    <row r="414" customFormat="false" ht="15.75" hidden="false" customHeight="false" outlineLevel="0" collapsed="false">
      <c r="A414" s="121"/>
      <c r="B414" s="121"/>
      <c r="C414" s="121"/>
      <c r="D414" s="121"/>
      <c r="E414" s="121"/>
      <c r="F414" s="121"/>
      <c r="G414" s="121"/>
      <c r="H414" s="121"/>
      <c r="I414" s="121"/>
      <c r="J414" s="121"/>
      <c r="K414" s="121"/>
      <c r="L414" s="121"/>
      <c r="M414" s="121"/>
      <c r="N414" s="121"/>
      <c r="O414" s="121"/>
      <c r="P414" s="121"/>
      <c r="Q414" s="121"/>
      <c r="R414" s="121"/>
      <c r="S414" s="121"/>
      <c r="T414" s="121"/>
      <c r="U414" s="121"/>
      <c r="V414" s="121"/>
      <c r="W414" s="121"/>
      <c r="X414" s="121"/>
      <c r="Y414" s="121"/>
      <c r="Z414" s="121"/>
    </row>
    <row r="415" customFormat="false" ht="15.75" hidden="false" customHeight="false" outlineLevel="0" collapsed="false">
      <c r="A415" s="121"/>
      <c r="B415" s="121"/>
      <c r="C415" s="121"/>
      <c r="D415" s="121"/>
      <c r="E415" s="121"/>
      <c r="F415" s="121"/>
      <c r="G415" s="121"/>
      <c r="H415" s="121"/>
      <c r="I415" s="121"/>
      <c r="J415" s="121"/>
      <c r="K415" s="121"/>
      <c r="L415" s="121"/>
      <c r="M415" s="121"/>
      <c r="N415" s="121"/>
      <c r="O415" s="121"/>
      <c r="P415" s="121"/>
      <c r="Q415" s="121"/>
      <c r="R415" s="121"/>
      <c r="S415" s="121"/>
      <c r="T415" s="121"/>
      <c r="U415" s="121"/>
      <c r="V415" s="121"/>
      <c r="W415" s="121"/>
      <c r="X415" s="121"/>
      <c r="Y415" s="121"/>
      <c r="Z415" s="121"/>
    </row>
    <row r="416" customFormat="false" ht="15.75" hidden="false" customHeight="false" outlineLevel="0" collapsed="false">
      <c r="A416" s="121"/>
      <c r="B416" s="121"/>
      <c r="C416" s="121"/>
      <c r="D416" s="121"/>
      <c r="E416" s="121"/>
      <c r="F416" s="121"/>
      <c r="G416" s="121"/>
      <c r="H416" s="121"/>
      <c r="I416" s="121"/>
      <c r="J416" s="121"/>
      <c r="K416" s="121"/>
      <c r="L416" s="121"/>
      <c r="M416" s="121"/>
      <c r="N416" s="121"/>
      <c r="O416" s="121"/>
      <c r="P416" s="121"/>
      <c r="Q416" s="121"/>
      <c r="R416" s="121"/>
      <c r="S416" s="121"/>
      <c r="T416" s="121"/>
      <c r="U416" s="121"/>
      <c r="V416" s="121"/>
      <c r="W416" s="121"/>
      <c r="X416" s="121"/>
      <c r="Y416" s="121"/>
      <c r="Z416" s="121"/>
    </row>
    <row r="417" customFormat="false" ht="15.75" hidden="false" customHeight="false" outlineLevel="0" collapsed="false">
      <c r="A417" s="121"/>
      <c r="B417" s="121"/>
      <c r="C417" s="121"/>
      <c r="D417" s="121"/>
      <c r="E417" s="121"/>
      <c r="F417" s="121"/>
      <c r="G417" s="121"/>
      <c r="H417" s="121"/>
      <c r="I417" s="121"/>
      <c r="J417" s="121"/>
      <c r="K417" s="121"/>
      <c r="L417" s="121"/>
      <c r="M417" s="121"/>
      <c r="N417" s="121"/>
      <c r="O417" s="121"/>
      <c r="P417" s="121"/>
      <c r="Q417" s="121"/>
      <c r="R417" s="121"/>
      <c r="S417" s="121"/>
      <c r="T417" s="121"/>
      <c r="U417" s="121"/>
      <c r="V417" s="121"/>
      <c r="W417" s="121"/>
      <c r="X417" s="121"/>
      <c r="Y417" s="121"/>
      <c r="Z417" s="121"/>
    </row>
    <row r="418" customFormat="false" ht="15.75" hidden="false" customHeight="false" outlineLevel="0" collapsed="false">
      <c r="A418" s="121"/>
      <c r="B418" s="121"/>
      <c r="C418" s="121"/>
      <c r="D418" s="121"/>
      <c r="E418" s="121"/>
      <c r="F418" s="121"/>
      <c r="G418" s="121"/>
      <c r="H418" s="121"/>
      <c r="I418" s="121"/>
      <c r="J418" s="121"/>
      <c r="K418" s="121"/>
      <c r="L418" s="121"/>
      <c r="M418" s="121"/>
      <c r="N418" s="121"/>
      <c r="O418" s="121"/>
      <c r="P418" s="121"/>
      <c r="Q418" s="121"/>
      <c r="R418" s="121"/>
      <c r="S418" s="121"/>
      <c r="T418" s="121"/>
      <c r="U418" s="121"/>
      <c r="V418" s="121"/>
      <c r="W418" s="121"/>
      <c r="X418" s="121"/>
      <c r="Y418" s="121"/>
      <c r="Z418" s="121"/>
    </row>
    <row r="419" customFormat="false" ht="15.75" hidden="false" customHeight="false" outlineLevel="0" collapsed="false">
      <c r="A419" s="121"/>
      <c r="B419" s="121"/>
      <c r="C419" s="121"/>
      <c r="D419" s="121"/>
      <c r="E419" s="121"/>
      <c r="F419" s="121"/>
      <c r="G419" s="121"/>
      <c r="H419" s="121"/>
      <c r="I419" s="121"/>
      <c r="J419" s="121"/>
      <c r="K419" s="121"/>
      <c r="L419" s="121"/>
      <c r="M419" s="121"/>
      <c r="N419" s="121"/>
      <c r="O419" s="121"/>
      <c r="P419" s="121"/>
      <c r="Q419" s="121"/>
      <c r="R419" s="121"/>
      <c r="S419" s="121"/>
      <c r="T419" s="121"/>
      <c r="U419" s="121"/>
      <c r="V419" s="121"/>
      <c r="W419" s="121"/>
      <c r="X419" s="121"/>
      <c r="Y419" s="121"/>
      <c r="Z419" s="121"/>
    </row>
    <row r="420" customFormat="false" ht="15.75" hidden="false" customHeight="false" outlineLevel="0" collapsed="false">
      <c r="A420" s="121"/>
      <c r="B420" s="121"/>
      <c r="C420" s="121"/>
      <c r="D420" s="121"/>
      <c r="E420" s="121"/>
      <c r="F420" s="121"/>
      <c r="G420" s="121"/>
      <c r="H420" s="121"/>
      <c r="I420" s="121"/>
      <c r="J420" s="121"/>
      <c r="K420" s="121"/>
      <c r="L420" s="121"/>
      <c r="M420" s="121"/>
      <c r="N420" s="121"/>
      <c r="O420" s="121"/>
      <c r="P420" s="121"/>
      <c r="Q420" s="121"/>
      <c r="R420" s="121"/>
      <c r="S420" s="121"/>
      <c r="T420" s="121"/>
      <c r="U420" s="121"/>
      <c r="V420" s="121"/>
      <c r="W420" s="121"/>
      <c r="X420" s="121"/>
      <c r="Y420" s="121"/>
      <c r="Z420" s="121"/>
    </row>
    <row r="421" customFormat="false" ht="15.75" hidden="false" customHeight="false" outlineLevel="0" collapsed="false">
      <c r="A421" s="121"/>
      <c r="B421" s="121"/>
      <c r="C421" s="121"/>
      <c r="D421" s="121"/>
      <c r="E421" s="121"/>
      <c r="F421" s="121"/>
      <c r="G421" s="121"/>
      <c r="H421" s="121"/>
      <c r="I421" s="121"/>
      <c r="J421" s="121"/>
      <c r="K421" s="121"/>
      <c r="L421" s="121"/>
      <c r="M421" s="121"/>
      <c r="N421" s="121"/>
      <c r="O421" s="121"/>
      <c r="P421" s="121"/>
      <c r="Q421" s="121"/>
      <c r="R421" s="121"/>
      <c r="S421" s="121"/>
      <c r="T421" s="121"/>
      <c r="U421" s="121"/>
      <c r="V421" s="121"/>
      <c r="W421" s="121"/>
      <c r="X421" s="121"/>
      <c r="Y421" s="121"/>
      <c r="Z421" s="121"/>
    </row>
    <row r="422" customFormat="false" ht="15.75" hidden="false" customHeight="false" outlineLevel="0" collapsed="false">
      <c r="A422" s="121"/>
      <c r="B422" s="121"/>
      <c r="C422" s="121"/>
      <c r="D422" s="121"/>
      <c r="E422" s="121"/>
      <c r="F422" s="121"/>
      <c r="G422" s="121"/>
      <c r="H422" s="121"/>
      <c r="I422" s="121"/>
      <c r="J422" s="121"/>
      <c r="K422" s="121"/>
      <c r="L422" s="121"/>
      <c r="M422" s="121"/>
      <c r="N422" s="121"/>
      <c r="O422" s="121"/>
      <c r="P422" s="121"/>
      <c r="Q422" s="121"/>
      <c r="R422" s="121"/>
      <c r="S422" s="121"/>
      <c r="T422" s="121"/>
      <c r="U422" s="121"/>
      <c r="V422" s="121"/>
      <c r="W422" s="121"/>
      <c r="X422" s="121"/>
      <c r="Y422" s="121"/>
      <c r="Z422" s="121"/>
    </row>
    <row r="423" customFormat="false" ht="15.75" hidden="false" customHeight="false" outlineLevel="0" collapsed="false">
      <c r="A423" s="121"/>
      <c r="B423" s="121"/>
      <c r="C423" s="121"/>
      <c r="D423" s="121"/>
      <c r="E423" s="121"/>
      <c r="F423" s="121"/>
      <c r="G423" s="121"/>
      <c r="H423" s="121"/>
      <c r="I423" s="121"/>
      <c r="J423" s="121"/>
      <c r="K423" s="121"/>
      <c r="L423" s="121"/>
      <c r="M423" s="121"/>
      <c r="N423" s="121"/>
      <c r="O423" s="121"/>
      <c r="P423" s="121"/>
      <c r="Q423" s="121"/>
      <c r="R423" s="121"/>
      <c r="S423" s="121"/>
      <c r="T423" s="121"/>
      <c r="U423" s="121"/>
      <c r="V423" s="121"/>
      <c r="W423" s="121"/>
      <c r="X423" s="121"/>
      <c r="Y423" s="121"/>
      <c r="Z423" s="121"/>
    </row>
    <row r="424" customFormat="false" ht="15.75" hidden="false" customHeight="false" outlineLevel="0" collapsed="false">
      <c r="A424" s="121"/>
      <c r="B424" s="121"/>
      <c r="C424" s="121"/>
      <c r="D424" s="121"/>
      <c r="E424" s="121"/>
      <c r="F424" s="121"/>
      <c r="G424" s="121"/>
      <c r="H424" s="121"/>
      <c r="I424" s="121"/>
      <c r="J424" s="121"/>
      <c r="K424" s="121"/>
      <c r="L424" s="121"/>
      <c r="M424" s="121"/>
      <c r="N424" s="121"/>
      <c r="O424" s="121"/>
      <c r="P424" s="121"/>
      <c r="Q424" s="121"/>
      <c r="R424" s="121"/>
      <c r="S424" s="121"/>
      <c r="T424" s="121"/>
      <c r="U424" s="121"/>
      <c r="V424" s="121"/>
      <c r="W424" s="121"/>
      <c r="X424" s="121"/>
      <c r="Y424" s="121"/>
      <c r="Z424" s="121"/>
    </row>
    <row r="425" customFormat="false" ht="15.75" hidden="false" customHeight="false" outlineLevel="0" collapsed="false">
      <c r="A425" s="121"/>
      <c r="B425" s="121"/>
      <c r="C425" s="121"/>
      <c r="D425" s="121"/>
      <c r="E425" s="121"/>
      <c r="F425" s="121"/>
      <c r="G425" s="121"/>
      <c r="H425" s="121"/>
      <c r="I425" s="121"/>
      <c r="J425" s="121"/>
      <c r="K425" s="121"/>
      <c r="L425" s="121"/>
      <c r="M425" s="121"/>
      <c r="N425" s="121"/>
      <c r="O425" s="121"/>
      <c r="P425" s="121"/>
      <c r="Q425" s="121"/>
      <c r="R425" s="121"/>
      <c r="S425" s="121"/>
      <c r="T425" s="121"/>
      <c r="U425" s="121"/>
      <c r="V425" s="121"/>
      <c r="W425" s="121"/>
      <c r="X425" s="121"/>
      <c r="Y425" s="121"/>
      <c r="Z425" s="121"/>
    </row>
    <row r="426" customFormat="false" ht="15.75" hidden="false" customHeight="false" outlineLevel="0" collapsed="false">
      <c r="A426" s="121"/>
      <c r="B426" s="121"/>
      <c r="C426" s="121"/>
      <c r="D426" s="121"/>
      <c r="E426" s="121"/>
      <c r="F426" s="121"/>
      <c r="G426" s="121"/>
      <c r="H426" s="121"/>
      <c r="I426" s="121"/>
      <c r="J426" s="121"/>
      <c r="K426" s="121"/>
      <c r="L426" s="121"/>
      <c r="M426" s="121"/>
      <c r="N426" s="121"/>
      <c r="O426" s="121"/>
      <c r="P426" s="121"/>
      <c r="Q426" s="121"/>
      <c r="R426" s="121"/>
      <c r="S426" s="121"/>
      <c r="T426" s="121"/>
      <c r="U426" s="121"/>
      <c r="V426" s="121"/>
      <c r="W426" s="121"/>
      <c r="X426" s="121"/>
      <c r="Y426" s="121"/>
      <c r="Z426" s="121"/>
    </row>
    <row r="427" customFormat="false" ht="15.75" hidden="false" customHeight="false" outlineLevel="0" collapsed="false">
      <c r="A427" s="121"/>
      <c r="B427" s="121"/>
      <c r="C427" s="121"/>
      <c r="D427" s="121"/>
      <c r="E427" s="121"/>
      <c r="F427" s="121"/>
      <c r="G427" s="121"/>
      <c r="H427" s="121"/>
      <c r="I427" s="121"/>
      <c r="J427" s="121"/>
      <c r="K427" s="121"/>
      <c r="L427" s="121"/>
      <c r="M427" s="121"/>
      <c r="N427" s="121"/>
      <c r="O427" s="121"/>
      <c r="P427" s="121"/>
      <c r="Q427" s="121"/>
      <c r="R427" s="121"/>
      <c r="S427" s="121"/>
      <c r="T427" s="121"/>
      <c r="U427" s="121"/>
      <c r="V427" s="121"/>
      <c r="W427" s="121"/>
      <c r="X427" s="121"/>
      <c r="Y427" s="121"/>
      <c r="Z427" s="121"/>
    </row>
    <row r="428" customFormat="false" ht="15.75" hidden="false" customHeight="false" outlineLevel="0" collapsed="false">
      <c r="A428" s="121"/>
      <c r="B428" s="121"/>
      <c r="C428" s="121"/>
      <c r="D428" s="121"/>
      <c r="E428" s="121"/>
      <c r="F428" s="121"/>
      <c r="G428" s="121"/>
      <c r="H428" s="121"/>
      <c r="I428" s="121"/>
      <c r="J428" s="121"/>
      <c r="K428" s="121"/>
      <c r="L428" s="121"/>
      <c r="M428" s="121"/>
      <c r="N428" s="121"/>
      <c r="O428" s="121"/>
      <c r="P428" s="121"/>
      <c r="Q428" s="121"/>
      <c r="R428" s="121"/>
      <c r="S428" s="121"/>
      <c r="T428" s="121"/>
      <c r="U428" s="121"/>
      <c r="V428" s="121"/>
      <c r="W428" s="121"/>
      <c r="X428" s="121"/>
      <c r="Y428" s="121"/>
      <c r="Z428" s="121"/>
    </row>
    <row r="429" customFormat="false" ht="15.75" hidden="false" customHeight="false" outlineLevel="0" collapsed="false">
      <c r="A429" s="121"/>
      <c r="B429" s="121"/>
      <c r="C429" s="121"/>
      <c r="D429" s="121"/>
      <c r="E429" s="121"/>
      <c r="F429" s="121"/>
      <c r="G429" s="121"/>
      <c r="H429" s="121"/>
      <c r="I429" s="121"/>
      <c r="J429" s="121"/>
      <c r="K429" s="121"/>
      <c r="L429" s="121"/>
      <c r="M429" s="121"/>
      <c r="N429" s="121"/>
      <c r="O429" s="121"/>
      <c r="P429" s="121"/>
      <c r="Q429" s="121"/>
      <c r="R429" s="121"/>
      <c r="S429" s="121"/>
      <c r="T429" s="121"/>
      <c r="U429" s="121"/>
      <c r="V429" s="121"/>
      <c r="W429" s="121"/>
      <c r="X429" s="121"/>
      <c r="Y429" s="121"/>
      <c r="Z429" s="121"/>
    </row>
    <row r="430" customFormat="false" ht="15.75" hidden="false" customHeight="false" outlineLevel="0" collapsed="false">
      <c r="A430" s="121"/>
      <c r="B430" s="121"/>
      <c r="C430" s="121"/>
      <c r="D430" s="121"/>
      <c r="E430" s="121"/>
      <c r="F430" s="121"/>
      <c r="G430" s="121"/>
      <c r="H430" s="121"/>
      <c r="I430" s="121"/>
      <c r="J430" s="121"/>
      <c r="K430" s="121"/>
      <c r="L430" s="121"/>
      <c r="M430" s="121"/>
      <c r="N430" s="121"/>
      <c r="O430" s="121"/>
      <c r="P430" s="121"/>
      <c r="Q430" s="121"/>
      <c r="R430" s="121"/>
      <c r="S430" s="121"/>
      <c r="T430" s="121"/>
      <c r="U430" s="121"/>
      <c r="V430" s="121"/>
      <c r="W430" s="121"/>
      <c r="X430" s="121"/>
      <c r="Y430" s="121"/>
      <c r="Z430" s="121"/>
    </row>
    <row r="431" customFormat="false" ht="15.75" hidden="false" customHeight="false" outlineLevel="0" collapsed="false">
      <c r="A431" s="121"/>
      <c r="B431" s="121"/>
      <c r="C431" s="121"/>
      <c r="D431" s="121"/>
      <c r="E431" s="121"/>
      <c r="F431" s="121"/>
      <c r="G431" s="121"/>
      <c r="H431" s="121"/>
      <c r="I431" s="121"/>
      <c r="J431" s="121"/>
      <c r="K431" s="121"/>
      <c r="L431" s="121"/>
      <c r="M431" s="121"/>
      <c r="N431" s="121"/>
      <c r="O431" s="121"/>
      <c r="P431" s="121"/>
      <c r="Q431" s="121"/>
      <c r="R431" s="121"/>
      <c r="S431" s="121"/>
      <c r="T431" s="121"/>
      <c r="U431" s="121"/>
      <c r="V431" s="121"/>
      <c r="W431" s="121"/>
      <c r="X431" s="121"/>
      <c r="Y431" s="121"/>
      <c r="Z431" s="121"/>
    </row>
    <row r="432" customFormat="false" ht="15.75" hidden="false" customHeight="false" outlineLevel="0" collapsed="false">
      <c r="A432" s="121"/>
      <c r="B432" s="121"/>
      <c r="C432" s="121"/>
      <c r="D432" s="121"/>
      <c r="E432" s="121"/>
      <c r="F432" s="121"/>
      <c r="G432" s="121"/>
      <c r="H432" s="121"/>
      <c r="I432" s="121"/>
      <c r="J432" s="121"/>
      <c r="K432" s="121"/>
      <c r="L432" s="121"/>
      <c r="M432" s="121"/>
      <c r="N432" s="121"/>
      <c r="O432" s="121"/>
      <c r="P432" s="121"/>
      <c r="Q432" s="121"/>
      <c r="R432" s="121"/>
      <c r="S432" s="121"/>
      <c r="T432" s="121"/>
      <c r="U432" s="121"/>
      <c r="V432" s="121"/>
      <c r="W432" s="121"/>
      <c r="X432" s="121"/>
      <c r="Y432" s="121"/>
      <c r="Z432" s="121"/>
    </row>
    <row r="433" customFormat="false" ht="15.75" hidden="false" customHeight="false" outlineLevel="0" collapsed="false">
      <c r="A433" s="121"/>
      <c r="B433" s="121"/>
      <c r="C433" s="121"/>
      <c r="D433" s="121"/>
      <c r="E433" s="121"/>
      <c r="F433" s="121"/>
      <c r="G433" s="121"/>
      <c r="H433" s="121"/>
      <c r="I433" s="121"/>
      <c r="J433" s="121"/>
      <c r="K433" s="121"/>
      <c r="L433" s="121"/>
      <c r="M433" s="121"/>
      <c r="N433" s="121"/>
      <c r="O433" s="121"/>
      <c r="P433" s="121"/>
      <c r="Q433" s="121"/>
      <c r="R433" s="121"/>
      <c r="S433" s="121"/>
      <c r="T433" s="121"/>
      <c r="U433" s="121"/>
      <c r="V433" s="121"/>
      <c r="W433" s="121"/>
      <c r="X433" s="121"/>
      <c r="Y433" s="121"/>
      <c r="Z433" s="121"/>
    </row>
    <row r="434" customFormat="false" ht="15.75" hidden="false" customHeight="false" outlineLevel="0" collapsed="false">
      <c r="A434" s="121"/>
      <c r="B434" s="121"/>
      <c r="C434" s="121"/>
      <c r="D434" s="121"/>
      <c r="E434" s="121"/>
      <c r="F434" s="121"/>
      <c r="G434" s="121"/>
      <c r="H434" s="121"/>
      <c r="I434" s="121"/>
      <c r="J434" s="121"/>
      <c r="K434" s="121"/>
      <c r="L434" s="121"/>
      <c r="M434" s="121"/>
      <c r="N434" s="121"/>
      <c r="O434" s="121"/>
      <c r="P434" s="121"/>
      <c r="Q434" s="121"/>
      <c r="R434" s="121"/>
      <c r="S434" s="121"/>
      <c r="T434" s="121"/>
      <c r="U434" s="121"/>
      <c r="V434" s="121"/>
      <c r="W434" s="121"/>
      <c r="X434" s="121"/>
      <c r="Y434" s="121"/>
      <c r="Z434" s="121"/>
    </row>
    <row r="435" customFormat="false" ht="15.75" hidden="false" customHeight="false" outlineLevel="0" collapsed="false">
      <c r="A435" s="121"/>
      <c r="B435" s="121"/>
      <c r="C435" s="121"/>
      <c r="D435" s="121"/>
      <c r="E435" s="121"/>
      <c r="F435" s="121"/>
      <c r="G435" s="121"/>
      <c r="H435" s="121"/>
      <c r="I435" s="121"/>
      <c r="J435" s="121"/>
      <c r="K435" s="121"/>
      <c r="L435" s="121"/>
      <c r="M435" s="121"/>
      <c r="N435" s="121"/>
      <c r="O435" s="121"/>
      <c r="P435" s="121"/>
      <c r="Q435" s="121"/>
      <c r="R435" s="121"/>
      <c r="S435" s="121"/>
      <c r="T435" s="121"/>
      <c r="U435" s="121"/>
      <c r="V435" s="121"/>
      <c r="W435" s="121"/>
      <c r="X435" s="121"/>
      <c r="Y435" s="121"/>
      <c r="Z435" s="121"/>
    </row>
    <row r="436" customFormat="false" ht="15.75" hidden="false" customHeight="false" outlineLevel="0" collapsed="false">
      <c r="A436" s="121"/>
      <c r="B436" s="121"/>
      <c r="C436" s="121"/>
      <c r="D436" s="121"/>
      <c r="E436" s="121"/>
      <c r="F436" s="121"/>
      <c r="G436" s="121"/>
      <c r="H436" s="121"/>
      <c r="I436" s="121"/>
      <c r="J436" s="121"/>
      <c r="K436" s="121"/>
      <c r="L436" s="121"/>
      <c r="M436" s="121"/>
      <c r="N436" s="121"/>
      <c r="O436" s="121"/>
      <c r="P436" s="121"/>
      <c r="Q436" s="121"/>
      <c r="R436" s="121"/>
      <c r="S436" s="121"/>
      <c r="T436" s="121"/>
      <c r="U436" s="121"/>
      <c r="V436" s="121"/>
      <c r="W436" s="121"/>
      <c r="X436" s="121"/>
      <c r="Y436" s="121"/>
      <c r="Z436" s="121"/>
    </row>
    <row r="437" customFormat="false" ht="15.75" hidden="false" customHeight="false" outlineLevel="0" collapsed="false">
      <c r="A437" s="121"/>
      <c r="B437" s="121"/>
      <c r="C437" s="121"/>
      <c r="D437" s="121"/>
      <c r="E437" s="121"/>
      <c r="F437" s="121"/>
      <c r="G437" s="121"/>
      <c r="H437" s="121"/>
      <c r="I437" s="121"/>
      <c r="J437" s="121"/>
      <c r="K437" s="121"/>
      <c r="L437" s="121"/>
      <c r="M437" s="121"/>
      <c r="N437" s="121"/>
      <c r="O437" s="121"/>
      <c r="P437" s="121"/>
      <c r="Q437" s="121"/>
      <c r="R437" s="121"/>
      <c r="S437" s="121"/>
      <c r="T437" s="121"/>
      <c r="U437" s="121"/>
      <c r="V437" s="121"/>
      <c r="W437" s="121"/>
      <c r="X437" s="121"/>
      <c r="Y437" s="121"/>
      <c r="Z437" s="121"/>
    </row>
    <row r="438" customFormat="false" ht="15.75" hidden="false" customHeight="false" outlineLevel="0" collapsed="false">
      <c r="A438" s="121"/>
      <c r="B438" s="121"/>
      <c r="C438" s="121"/>
      <c r="D438" s="121"/>
      <c r="E438" s="121"/>
      <c r="F438" s="121"/>
      <c r="G438" s="121"/>
      <c r="H438" s="121"/>
      <c r="I438" s="121"/>
      <c r="J438" s="121"/>
      <c r="K438" s="121"/>
      <c r="L438" s="121"/>
      <c r="M438" s="121"/>
      <c r="N438" s="121"/>
      <c r="O438" s="121"/>
      <c r="P438" s="121"/>
      <c r="Q438" s="121"/>
      <c r="R438" s="121"/>
      <c r="S438" s="121"/>
      <c r="T438" s="121"/>
      <c r="U438" s="121"/>
      <c r="V438" s="121"/>
      <c r="W438" s="121"/>
      <c r="X438" s="121"/>
      <c r="Y438" s="121"/>
      <c r="Z438" s="121"/>
    </row>
    <row r="439" customFormat="false" ht="15.75" hidden="false" customHeight="false" outlineLevel="0" collapsed="false">
      <c r="A439" s="121"/>
      <c r="B439" s="121"/>
      <c r="C439" s="121"/>
      <c r="D439" s="121"/>
      <c r="E439" s="121"/>
      <c r="F439" s="121"/>
      <c r="G439" s="121"/>
      <c r="H439" s="121"/>
      <c r="I439" s="121"/>
      <c r="J439" s="121"/>
      <c r="K439" s="121"/>
      <c r="L439" s="121"/>
      <c r="M439" s="121"/>
      <c r="N439" s="121"/>
      <c r="O439" s="121"/>
      <c r="P439" s="121"/>
      <c r="Q439" s="121"/>
      <c r="R439" s="121"/>
      <c r="S439" s="121"/>
      <c r="T439" s="121"/>
      <c r="U439" s="121"/>
      <c r="V439" s="121"/>
      <c r="W439" s="121"/>
      <c r="X439" s="121"/>
      <c r="Y439" s="121"/>
      <c r="Z439" s="121"/>
    </row>
    <row r="440" customFormat="false" ht="15.75" hidden="false" customHeight="false" outlineLevel="0" collapsed="false">
      <c r="A440" s="121"/>
      <c r="B440" s="121"/>
      <c r="C440" s="121"/>
      <c r="D440" s="121"/>
      <c r="E440" s="121"/>
      <c r="F440" s="121"/>
      <c r="G440" s="121"/>
      <c r="H440" s="121"/>
      <c r="I440" s="121"/>
      <c r="J440" s="121"/>
      <c r="K440" s="121"/>
      <c r="L440" s="121"/>
      <c r="M440" s="121"/>
      <c r="N440" s="121"/>
      <c r="O440" s="121"/>
      <c r="P440" s="121"/>
      <c r="Q440" s="121"/>
      <c r="R440" s="121"/>
      <c r="S440" s="121"/>
      <c r="T440" s="121"/>
      <c r="U440" s="121"/>
      <c r="V440" s="121"/>
      <c r="W440" s="121"/>
      <c r="X440" s="121"/>
      <c r="Y440" s="121"/>
      <c r="Z440" s="121"/>
    </row>
    <row r="441" customFormat="false" ht="15.75" hidden="false" customHeight="false" outlineLevel="0" collapsed="false">
      <c r="A441" s="121"/>
      <c r="B441" s="121"/>
      <c r="C441" s="121"/>
      <c r="D441" s="121"/>
      <c r="E441" s="121"/>
      <c r="F441" s="121"/>
      <c r="G441" s="121"/>
      <c r="H441" s="121"/>
      <c r="I441" s="121"/>
      <c r="J441" s="121"/>
      <c r="K441" s="121"/>
      <c r="L441" s="121"/>
      <c r="M441" s="121"/>
      <c r="N441" s="121"/>
      <c r="O441" s="121"/>
      <c r="P441" s="121"/>
      <c r="Q441" s="121"/>
      <c r="R441" s="121"/>
      <c r="S441" s="121"/>
      <c r="T441" s="121"/>
      <c r="U441" s="121"/>
      <c r="V441" s="121"/>
      <c r="W441" s="121"/>
      <c r="X441" s="121"/>
      <c r="Y441" s="121"/>
      <c r="Z441" s="121"/>
    </row>
    <row r="442" customFormat="false" ht="15.75" hidden="false" customHeight="false" outlineLevel="0" collapsed="false">
      <c r="A442" s="121"/>
      <c r="B442" s="121"/>
      <c r="C442" s="121"/>
      <c r="D442" s="121"/>
      <c r="E442" s="121"/>
      <c r="F442" s="121"/>
      <c r="G442" s="121"/>
      <c r="H442" s="121"/>
      <c r="I442" s="121"/>
      <c r="J442" s="121"/>
      <c r="K442" s="121"/>
      <c r="L442" s="121"/>
      <c r="M442" s="121"/>
      <c r="N442" s="121"/>
      <c r="O442" s="121"/>
      <c r="P442" s="121"/>
      <c r="Q442" s="121"/>
      <c r="R442" s="121"/>
      <c r="S442" s="121"/>
      <c r="T442" s="121"/>
      <c r="U442" s="121"/>
      <c r="V442" s="121"/>
      <c r="W442" s="121"/>
      <c r="X442" s="121"/>
      <c r="Y442" s="121"/>
      <c r="Z442" s="121"/>
    </row>
    <row r="443" customFormat="false" ht="15.75" hidden="false" customHeight="false" outlineLevel="0" collapsed="false">
      <c r="A443" s="121"/>
      <c r="B443" s="121"/>
      <c r="C443" s="121"/>
      <c r="D443" s="121"/>
      <c r="E443" s="121"/>
      <c r="F443" s="121"/>
      <c r="G443" s="121"/>
      <c r="H443" s="121"/>
      <c r="I443" s="121"/>
      <c r="J443" s="121"/>
      <c r="K443" s="121"/>
      <c r="L443" s="121"/>
      <c r="M443" s="121"/>
      <c r="N443" s="121"/>
      <c r="O443" s="121"/>
      <c r="P443" s="121"/>
      <c r="Q443" s="121"/>
      <c r="R443" s="121"/>
      <c r="S443" s="121"/>
      <c r="T443" s="121"/>
      <c r="U443" s="121"/>
      <c r="V443" s="121"/>
      <c r="W443" s="121"/>
      <c r="X443" s="121"/>
      <c r="Y443" s="121"/>
      <c r="Z443" s="121"/>
    </row>
    <row r="444" customFormat="false" ht="15.75" hidden="false" customHeight="false" outlineLevel="0" collapsed="false">
      <c r="A444" s="121"/>
      <c r="B444" s="121"/>
      <c r="C444" s="121"/>
      <c r="D444" s="121"/>
      <c r="E444" s="121"/>
      <c r="F444" s="121"/>
      <c r="G444" s="121"/>
      <c r="H444" s="121"/>
      <c r="I444" s="121"/>
      <c r="J444" s="121"/>
      <c r="K444" s="121"/>
      <c r="L444" s="121"/>
      <c r="M444" s="121"/>
      <c r="N444" s="121"/>
      <c r="O444" s="121"/>
      <c r="P444" s="121"/>
      <c r="Q444" s="121"/>
      <c r="R444" s="121"/>
      <c r="S444" s="121"/>
      <c r="T444" s="121"/>
      <c r="U444" s="121"/>
      <c r="V444" s="121"/>
      <c r="W444" s="121"/>
      <c r="X444" s="121"/>
      <c r="Y444" s="121"/>
      <c r="Z444" s="121"/>
    </row>
    <row r="445" customFormat="false" ht="15.75" hidden="false" customHeight="false" outlineLevel="0" collapsed="false">
      <c r="A445" s="121"/>
      <c r="B445" s="121"/>
      <c r="C445" s="121"/>
      <c r="D445" s="121"/>
      <c r="E445" s="121"/>
      <c r="F445" s="121"/>
      <c r="G445" s="121"/>
      <c r="H445" s="121"/>
      <c r="I445" s="121"/>
      <c r="J445" s="121"/>
      <c r="K445" s="121"/>
      <c r="L445" s="121"/>
      <c r="M445" s="121"/>
      <c r="N445" s="121"/>
      <c r="O445" s="121"/>
      <c r="P445" s="121"/>
      <c r="Q445" s="121"/>
      <c r="R445" s="121"/>
      <c r="S445" s="121"/>
      <c r="T445" s="121"/>
      <c r="U445" s="121"/>
      <c r="V445" s="121"/>
      <c r="W445" s="121"/>
      <c r="X445" s="121"/>
      <c r="Y445" s="121"/>
      <c r="Z445" s="121"/>
    </row>
    <row r="446" customFormat="false" ht="15.75" hidden="false" customHeight="false" outlineLevel="0" collapsed="false">
      <c r="A446" s="121"/>
      <c r="B446" s="121"/>
      <c r="C446" s="121"/>
      <c r="D446" s="121"/>
      <c r="E446" s="121"/>
      <c r="F446" s="121"/>
      <c r="G446" s="121"/>
      <c r="H446" s="121"/>
      <c r="I446" s="121"/>
      <c r="J446" s="121"/>
      <c r="K446" s="121"/>
      <c r="L446" s="121"/>
      <c r="M446" s="121"/>
      <c r="N446" s="121"/>
      <c r="O446" s="121"/>
      <c r="P446" s="121"/>
      <c r="Q446" s="121"/>
      <c r="R446" s="121"/>
      <c r="S446" s="121"/>
      <c r="T446" s="121"/>
      <c r="U446" s="121"/>
      <c r="V446" s="121"/>
      <c r="W446" s="121"/>
      <c r="X446" s="121"/>
      <c r="Y446" s="121"/>
      <c r="Z446" s="121"/>
    </row>
    <row r="447" customFormat="false" ht="15.75" hidden="false" customHeight="false" outlineLevel="0" collapsed="false">
      <c r="A447" s="121"/>
      <c r="B447" s="121"/>
      <c r="C447" s="121"/>
      <c r="D447" s="121"/>
      <c r="E447" s="121"/>
      <c r="F447" s="121"/>
      <c r="G447" s="121"/>
      <c r="H447" s="121"/>
      <c r="I447" s="121"/>
      <c r="J447" s="121"/>
      <c r="K447" s="121"/>
      <c r="L447" s="121"/>
      <c r="M447" s="121"/>
      <c r="N447" s="121"/>
      <c r="O447" s="121"/>
      <c r="P447" s="121"/>
      <c r="Q447" s="121"/>
      <c r="R447" s="121"/>
      <c r="S447" s="121"/>
      <c r="T447" s="121"/>
      <c r="U447" s="121"/>
      <c r="V447" s="121"/>
      <c r="W447" s="121"/>
      <c r="X447" s="121"/>
      <c r="Y447" s="121"/>
      <c r="Z447" s="121"/>
    </row>
    <row r="448" customFormat="false" ht="15.75" hidden="false" customHeight="false" outlineLevel="0" collapsed="false">
      <c r="A448" s="121"/>
      <c r="B448" s="121"/>
      <c r="C448" s="121"/>
      <c r="D448" s="121"/>
      <c r="E448" s="121"/>
      <c r="F448" s="121"/>
      <c r="G448" s="121"/>
      <c r="H448" s="121"/>
      <c r="I448" s="121"/>
      <c r="J448" s="121"/>
      <c r="K448" s="121"/>
      <c r="L448" s="121"/>
      <c r="M448" s="121"/>
      <c r="N448" s="121"/>
      <c r="O448" s="121"/>
      <c r="P448" s="121"/>
      <c r="Q448" s="121"/>
      <c r="R448" s="121"/>
      <c r="S448" s="121"/>
      <c r="T448" s="121"/>
      <c r="U448" s="121"/>
      <c r="V448" s="121"/>
      <c r="W448" s="121"/>
      <c r="X448" s="121"/>
      <c r="Y448" s="121"/>
      <c r="Z448" s="121"/>
    </row>
    <row r="449" customFormat="false" ht="15.75" hidden="false" customHeight="false" outlineLevel="0" collapsed="false">
      <c r="A449" s="121"/>
      <c r="B449" s="121"/>
      <c r="C449" s="121"/>
      <c r="D449" s="121"/>
      <c r="E449" s="121"/>
      <c r="F449" s="121"/>
      <c r="G449" s="121"/>
      <c r="H449" s="121"/>
      <c r="I449" s="121"/>
      <c r="J449" s="121"/>
      <c r="K449" s="121"/>
      <c r="L449" s="121"/>
      <c r="M449" s="121"/>
      <c r="N449" s="121"/>
      <c r="O449" s="121"/>
      <c r="P449" s="121"/>
      <c r="Q449" s="121"/>
      <c r="R449" s="121"/>
      <c r="S449" s="121"/>
      <c r="T449" s="121"/>
      <c r="U449" s="121"/>
      <c r="V449" s="121"/>
      <c r="W449" s="121"/>
      <c r="X449" s="121"/>
      <c r="Y449" s="121"/>
      <c r="Z449" s="121"/>
    </row>
    <row r="450" customFormat="false" ht="15.75" hidden="false" customHeight="false" outlineLevel="0" collapsed="false">
      <c r="A450" s="121"/>
      <c r="B450" s="121"/>
      <c r="C450" s="121"/>
      <c r="D450" s="121"/>
      <c r="E450" s="121"/>
      <c r="F450" s="121"/>
      <c r="G450" s="121"/>
      <c r="H450" s="121"/>
      <c r="I450" s="121"/>
      <c r="J450" s="121"/>
      <c r="K450" s="121"/>
      <c r="L450" s="121"/>
      <c r="M450" s="121"/>
      <c r="N450" s="121"/>
      <c r="O450" s="121"/>
      <c r="P450" s="121"/>
      <c r="Q450" s="121"/>
      <c r="R450" s="121"/>
      <c r="S450" s="121"/>
      <c r="T450" s="121"/>
      <c r="U450" s="121"/>
      <c r="V450" s="121"/>
      <c r="W450" s="121"/>
      <c r="X450" s="121"/>
      <c r="Y450" s="121"/>
      <c r="Z450" s="121"/>
    </row>
    <row r="451" customFormat="false" ht="15.75" hidden="false" customHeight="false" outlineLevel="0" collapsed="false">
      <c r="A451" s="121"/>
      <c r="B451" s="121"/>
      <c r="C451" s="121"/>
      <c r="D451" s="121"/>
      <c r="E451" s="121"/>
      <c r="F451" s="121"/>
      <c r="G451" s="121"/>
      <c r="H451" s="121"/>
      <c r="I451" s="121"/>
      <c r="J451" s="121"/>
      <c r="K451" s="121"/>
      <c r="L451" s="121"/>
      <c r="M451" s="121"/>
      <c r="N451" s="121"/>
      <c r="O451" s="121"/>
      <c r="P451" s="121"/>
      <c r="Q451" s="121"/>
      <c r="R451" s="121"/>
      <c r="S451" s="121"/>
      <c r="T451" s="121"/>
      <c r="U451" s="121"/>
      <c r="V451" s="121"/>
      <c r="W451" s="121"/>
      <c r="X451" s="121"/>
      <c r="Y451" s="121"/>
      <c r="Z451" s="121"/>
    </row>
    <row r="452" customFormat="false" ht="15.75" hidden="false" customHeight="false" outlineLevel="0" collapsed="false">
      <c r="A452" s="121"/>
      <c r="B452" s="121"/>
      <c r="C452" s="121"/>
      <c r="D452" s="121"/>
      <c r="E452" s="121"/>
      <c r="F452" s="121"/>
      <c r="G452" s="121"/>
      <c r="H452" s="121"/>
      <c r="I452" s="121"/>
      <c r="J452" s="121"/>
      <c r="K452" s="121"/>
      <c r="L452" s="121"/>
      <c r="M452" s="121"/>
      <c r="N452" s="121"/>
      <c r="O452" s="121"/>
      <c r="P452" s="121"/>
      <c r="Q452" s="121"/>
      <c r="R452" s="121"/>
      <c r="S452" s="121"/>
      <c r="T452" s="121"/>
      <c r="U452" s="121"/>
      <c r="V452" s="121"/>
      <c r="W452" s="121"/>
      <c r="X452" s="121"/>
      <c r="Y452" s="121"/>
      <c r="Z452" s="121"/>
    </row>
    <row r="453" customFormat="false" ht="15.75" hidden="false" customHeight="false" outlineLevel="0" collapsed="false">
      <c r="A453" s="121"/>
      <c r="B453" s="121"/>
      <c r="C453" s="121"/>
      <c r="D453" s="121"/>
      <c r="E453" s="121"/>
      <c r="F453" s="121"/>
      <c r="G453" s="121"/>
      <c r="H453" s="121"/>
      <c r="I453" s="121"/>
      <c r="J453" s="121"/>
      <c r="K453" s="121"/>
      <c r="L453" s="121"/>
      <c r="M453" s="121"/>
      <c r="N453" s="121"/>
      <c r="O453" s="121"/>
      <c r="P453" s="121"/>
      <c r="Q453" s="121"/>
      <c r="R453" s="121"/>
      <c r="S453" s="121"/>
      <c r="T453" s="121"/>
      <c r="U453" s="121"/>
      <c r="V453" s="121"/>
      <c r="W453" s="121"/>
      <c r="X453" s="121"/>
      <c r="Y453" s="121"/>
      <c r="Z453" s="121"/>
    </row>
    <row r="454" customFormat="false" ht="15.75" hidden="false" customHeight="false" outlineLevel="0" collapsed="false">
      <c r="A454" s="121"/>
      <c r="B454" s="121"/>
      <c r="C454" s="121"/>
      <c r="D454" s="121"/>
      <c r="E454" s="121"/>
      <c r="F454" s="121"/>
      <c r="G454" s="121"/>
      <c r="H454" s="121"/>
      <c r="I454" s="121"/>
      <c r="J454" s="121"/>
      <c r="K454" s="121"/>
      <c r="L454" s="121"/>
      <c r="M454" s="121"/>
      <c r="N454" s="121"/>
      <c r="O454" s="121"/>
      <c r="P454" s="121"/>
      <c r="Q454" s="121"/>
      <c r="R454" s="121"/>
      <c r="S454" s="121"/>
      <c r="T454" s="121"/>
      <c r="U454" s="121"/>
      <c r="V454" s="121"/>
      <c r="W454" s="121"/>
      <c r="X454" s="121"/>
      <c r="Y454" s="121"/>
      <c r="Z454" s="121"/>
    </row>
    <row r="455" customFormat="false" ht="15.75" hidden="false" customHeight="false" outlineLevel="0" collapsed="false">
      <c r="A455" s="121"/>
      <c r="B455" s="121"/>
      <c r="C455" s="121"/>
      <c r="D455" s="121"/>
      <c r="E455" s="121"/>
      <c r="F455" s="121"/>
      <c r="G455" s="121"/>
      <c r="H455" s="121"/>
      <c r="I455" s="121"/>
      <c r="J455" s="121"/>
      <c r="K455" s="121"/>
      <c r="L455" s="121"/>
      <c r="M455" s="121"/>
      <c r="N455" s="121"/>
      <c r="O455" s="121"/>
      <c r="P455" s="121"/>
      <c r="Q455" s="121"/>
      <c r="R455" s="121"/>
      <c r="S455" s="121"/>
      <c r="T455" s="121"/>
      <c r="U455" s="121"/>
      <c r="V455" s="121"/>
      <c r="W455" s="121"/>
      <c r="X455" s="121"/>
      <c r="Y455" s="121"/>
      <c r="Z455" s="121"/>
    </row>
    <row r="456" customFormat="false" ht="15.75" hidden="false" customHeight="false" outlineLevel="0" collapsed="false">
      <c r="A456" s="121"/>
      <c r="B456" s="121"/>
      <c r="C456" s="121"/>
      <c r="D456" s="121"/>
      <c r="E456" s="121"/>
      <c r="F456" s="121"/>
      <c r="G456" s="121"/>
      <c r="H456" s="121"/>
      <c r="I456" s="121"/>
      <c r="J456" s="121"/>
      <c r="K456" s="121"/>
      <c r="L456" s="121"/>
      <c r="M456" s="121"/>
      <c r="N456" s="121"/>
      <c r="O456" s="121"/>
      <c r="P456" s="121"/>
      <c r="Q456" s="121"/>
      <c r="R456" s="121"/>
      <c r="S456" s="121"/>
      <c r="T456" s="121"/>
      <c r="U456" s="121"/>
      <c r="V456" s="121"/>
      <c r="W456" s="121"/>
      <c r="X456" s="121"/>
      <c r="Y456" s="121"/>
      <c r="Z456" s="121"/>
    </row>
    <row r="457" customFormat="false" ht="15.75" hidden="false" customHeight="false" outlineLevel="0" collapsed="false">
      <c r="A457" s="121"/>
      <c r="B457" s="121"/>
      <c r="C457" s="121"/>
      <c r="D457" s="121"/>
      <c r="E457" s="121"/>
      <c r="F457" s="121"/>
      <c r="G457" s="121"/>
      <c r="H457" s="121"/>
      <c r="I457" s="121"/>
      <c r="J457" s="121"/>
      <c r="K457" s="121"/>
      <c r="L457" s="121"/>
      <c r="M457" s="121"/>
      <c r="N457" s="121"/>
      <c r="O457" s="121"/>
      <c r="P457" s="121"/>
      <c r="Q457" s="121"/>
      <c r="R457" s="121"/>
      <c r="S457" s="121"/>
      <c r="T457" s="121"/>
      <c r="U457" s="121"/>
      <c r="V457" s="121"/>
      <c r="W457" s="121"/>
      <c r="X457" s="121"/>
      <c r="Y457" s="121"/>
      <c r="Z457" s="121"/>
    </row>
    <row r="458" customFormat="false" ht="15.75" hidden="false" customHeight="false" outlineLevel="0" collapsed="false">
      <c r="A458" s="121"/>
      <c r="B458" s="121"/>
      <c r="C458" s="121"/>
      <c r="D458" s="121"/>
      <c r="E458" s="121"/>
      <c r="F458" s="121"/>
      <c r="G458" s="121"/>
      <c r="H458" s="121"/>
      <c r="I458" s="121"/>
      <c r="J458" s="121"/>
      <c r="K458" s="121"/>
      <c r="L458" s="121"/>
      <c r="M458" s="121"/>
      <c r="N458" s="121"/>
      <c r="O458" s="121"/>
      <c r="P458" s="121"/>
      <c r="Q458" s="121"/>
      <c r="R458" s="121"/>
      <c r="S458" s="121"/>
      <c r="T458" s="121"/>
      <c r="U458" s="121"/>
      <c r="V458" s="121"/>
      <c r="W458" s="121"/>
      <c r="X458" s="121"/>
      <c r="Y458" s="121"/>
      <c r="Z458" s="121"/>
    </row>
    <row r="459" customFormat="false" ht="15.75" hidden="false" customHeight="false" outlineLevel="0" collapsed="false">
      <c r="A459" s="121"/>
      <c r="B459" s="121"/>
      <c r="C459" s="121"/>
      <c r="D459" s="121"/>
      <c r="E459" s="121"/>
      <c r="F459" s="121"/>
      <c r="G459" s="121"/>
      <c r="H459" s="121"/>
      <c r="I459" s="121"/>
      <c r="J459" s="121"/>
      <c r="K459" s="121"/>
      <c r="L459" s="121"/>
      <c r="M459" s="121"/>
      <c r="N459" s="121"/>
      <c r="O459" s="121"/>
      <c r="P459" s="121"/>
      <c r="Q459" s="121"/>
      <c r="R459" s="121"/>
      <c r="S459" s="121"/>
      <c r="T459" s="121"/>
      <c r="U459" s="121"/>
      <c r="V459" s="121"/>
      <c r="W459" s="121"/>
      <c r="X459" s="121"/>
      <c r="Y459" s="121"/>
      <c r="Z459" s="121"/>
    </row>
    <row r="460" customFormat="false" ht="15.75" hidden="false" customHeight="false" outlineLevel="0" collapsed="false">
      <c r="A460" s="121"/>
      <c r="B460" s="121"/>
      <c r="C460" s="121"/>
      <c r="D460" s="121"/>
      <c r="E460" s="121"/>
      <c r="F460" s="121"/>
      <c r="G460" s="121"/>
      <c r="H460" s="121"/>
      <c r="I460" s="121"/>
      <c r="J460" s="121"/>
      <c r="K460" s="121"/>
      <c r="L460" s="121"/>
      <c r="M460" s="121"/>
      <c r="N460" s="121"/>
      <c r="O460" s="121"/>
      <c r="P460" s="121"/>
      <c r="Q460" s="121"/>
      <c r="R460" s="121"/>
      <c r="S460" s="121"/>
      <c r="T460" s="121"/>
      <c r="U460" s="121"/>
      <c r="V460" s="121"/>
      <c r="W460" s="121"/>
      <c r="X460" s="121"/>
      <c r="Y460" s="121"/>
      <c r="Z460" s="121"/>
    </row>
    <row r="461" customFormat="false" ht="15.75" hidden="false" customHeight="false" outlineLevel="0" collapsed="false">
      <c r="A461" s="121"/>
      <c r="B461" s="121"/>
      <c r="C461" s="121"/>
      <c r="D461" s="121"/>
      <c r="E461" s="121"/>
      <c r="F461" s="121"/>
      <c r="G461" s="121"/>
      <c r="H461" s="121"/>
      <c r="I461" s="121"/>
      <c r="J461" s="121"/>
      <c r="K461" s="121"/>
      <c r="L461" s="121"/>
      <c r="M461" s="121"/>
      <c r="N461" s="121"/>
      <c r="O461" s="121"/>
      <c r="P461" s="121"/>
      <c r="Q461" s="121"/>
      <c r="R461" s="121"/>
      <c r="S461" s="121"/>
      <c r="T461" s="121"/>
      <c r="U461" s="121"/>
      <c r="V461" s="121"/>
      <c r="W461" s="121"/>
      <c r="X461" s="121"/>
      <c r="Y461" s="121"/>
      <c r="Z461" s="121"/>
    </row>
    <row r="462" customFormat="false" ht="15.75" hidden="false" customHeight="false" outlineLevel="0" collapsed="false">
      <c r="A462" s="121"/>
      <c r="B462" s="121"/>
      <c r="C462" s="121"/>
      <c r="D462" s="121"/>
      <c r="E462" s="121"/>
      <c r="F462" s="121"/>
      <c r="G462" s="121"/>
      <c r="H462" s="121"/>
      <c r="I462" s="121"/>
      <c r="J462" s="121"/>
      <c r="K462" s="121"/>
      <c r="L462" s="121"/>
      <c r="M462" s="121"/>
      <c r="N462" s="121"/>
      <c r="O462" s="121"/>
      <c r="P462" s="121"/>
      <c r="Q462" s="121"/>
      <c r="R462" s="121"/>
      <c r="S462" s="121"/>
      <c r="T462" s="121"/>
      <c r="U462" s="121"/>
      <c r="V462" s="121"/>
      <c r="W462" s="121"/>
      <c r="X462" s="121"/>
      <c r="Y462" s="121"/>
      <c r="Z462" s="121"/>
    </row>
    <row r="463" customFormat="false" ht="15.75" hidden="false" customHeight="false" outlineLevel="0" collapsed="false">
      <c r="A463" s="121"/>
      <c r="B463" s="121"/>
      <c r="C463" s="121"/>
      <c r="D463" s="121"/>
      <c r="E463" s="121"/>
      <c r="F463" s="121"/>
      <c r="G463" s="121"/>
      <c r="H463" s="121"/>
      <c r="I463" s="121"/>
      <c r="J463" s="121"/>
      <c r="K463" s="121"/>
      <c r="L463" s="121"/>
      <c r="M463" s="121"/>
      <c r="N463" s="121"/>
      <c r="O463" s="121"/>
      <c r="P463" s="121"/>
      <c r="Q463" s="121"/>
      <c r="R463" s="121"/>
      <c r="S463" s="121"/>
      <c r="T463" s="121"/>
      <c r="U463" s="121"/>
      <c r="V463" s="121"/>
      <c r="W463" s="121"/>
      <c r="X463" s="121"/>
      <c r="Y463" s="121"/>
      <c r="Z463" s="121"/>
    </row>
    <row r="464" customFormat="false" ht="15.75" hidden="false" customHeight="false" outlineLevel="0" collapsed="false">
      <c r="A464" s="121"/>
      <c r="B464" s="121"/>
      <c r="C464" s="121"/>
      <c r="D464" s="121"/>
      <c r="E464" s="121"/>
      <c r="F464" s="121"/>
      <c r="G464" s="121"/>
      <c r="H464" s="121"/>
      <c r="I464" s="121"/>
      <c r="J464" s="121"/>
      <c r="K464" s="121"/>
      <c r="L464" s="121"/>
      <c r="M464" s="121"/>
      <c r="N464" s="121"/>
      <c r="O464" s="121"/>
      <c r="P464" s="121"/>
      <c r="Q464" s="121"/>
      <c r="R464" s="121"/>
      <c r="S464" s="121"/>
      <c r="T464" s="121"/>
      <c r="U464" s="121"/>
      <c r="V464" s="121"/>
      <c r="W464" s="121"/>
      <c r="X464" s="121"/>
      <c r="Y464" s="121"/>
      <c r="Z464" s="121"/>
    </row>
    <row r="465" customFormat="false" ht="15.75" hidden="false" customHeight="false" outlineLevel="0" collapsed="false">
      <c r="A465" s="121"/>
      <c r="B465" s="121"/>
      <c r="C465" s="121"/>
      <c r="D465" s="121"/>
      <c r="E465" s="121"/>
      <c r="F465" s="121"/>
      <c r="G465" s="121"/>
      <c r="H465" s="121"/>
      <c r="I465" s="121"/>
      <c r="J465" s="121"/>
      <c r="K465" s="121"/>
      <c r="L465" s="121"/>
      <c r="M465" s="121"/>
      <c r="N465" s="121"/>
      <c r="O465" s="121"/>
      <c r="P465" s="121"/>
      <c r="Q465" s="121"/>
      <c r="R465" s="121"/>
      <c r="S465" s="121"/>
      <c r="T465" s="121"/>
      <c r="U465" s="121"/>
      <c r="V465" s="121"/>
      <c r="W465" s="121"/>
      <c r="X465" s="121"/>
      <c r="Y465" s="121"/>
      <c r="Z465" s="121"/>
    </row>
    <row r="466" customFormat="false" ht="15.75" hidden="false" customHeight="false" outlineLevel="0" collapsed="false">
      <c r="A466" s="121"/>
      <c r="B466" s="121"/>
      <c r="C466" s="121"/>
      <c r="D466" s="121"/>
      <c r="E466" s="121"/>
      <c r="F466" s="121"/>
      <c r="G466" s="121"/>
      <c r="H466" s="121"/>
      <c r="I466" s="121"/>
      <c r="J466" s="121"/>
      <c r="K466" s="121"/>
      <c r="L466" s="121"/>
      <c r="M466" s="121"/>
      <c r="N466" s="121"/>
      <c r="O466" s="121"/>
      <c r="P466" s="121"/>
      <c r="Q466" s="121"/>
      <c r="R466" s="121"/>
      <c r="S466" s="121"/>
      <c r="T466" s="121"/>
      <c r="U466" s="121"/>
      <c r="V466" s="121"/>
      <c r="W466" s="121"/>
      <c r="X466" s="121"/>
      <c r="Y466" s="121"/>
      <c r="Z466" s="121"/>
    </row>
    <row r="467" customFormat="false" ht="15.75" hidden="false" customHeight="false" outlineLevel="0" collapsed="false">
      <c r="A467" s="121"/>
      <c r="B467" s="121"/>
      <c r="C467" s="121"/>
      <c r="D467" s="121"/>
      <c r="E467" s="121"/>
      <c r="F467" s="121"/>
      <c r="G467" s="121"/>
      <c r="H467" s="121"/>
      <c r="I467" s="121"/>
      <c r="J467" s="121"/>
      <c r="K467" s="121"/>
      <c r="L467" s="121"/>
      <c r="M467" s="121"/>
      <c r="N467" s="121"/>
      <c r="O467" s="121"/>
      <c r="P467" s="121"/>
      <c r="Q467" s="121"/>
      <c r="R467" s="121"/>
      <c r="S467" s="121"/>
      <c r="T467" s="121"/>
      <c r="U467" s="121"/>
      <c r="V467" s="121"/>
      <c r="W467" s="121"/>
      <c r="X467" s="121"/>
      <c r="Y467" s="121"/>
      <c r="Z467" s="121"/>
    </row>
    <row r="468" customFormat="false" ht="15.75" hidden="false" customHeight="false" outlineLevel="0" collapsed="false">
      <c r="A468" s="121"/>
      <c r="B468" s="121"/>
      <c r="C468" s="121"/>
      <c r="D468" s="121"/>
      <c r="E468" s="121"/>
      <c r="F468" s="121"/>
      <c r="G468" s="121"/>
      <c r="H468" s="121"/>
      <c r="I468" s="121"/>
      <c r="J468" s="121"/>
      <c r="K468" s="121"/>
      <c r="L468" s="121"/>
      <c r="M468" s="121"/>
      <c r="N468" s="121"/>
      <c r="O468" s="121"/>
      <c r="P468" s="121"/>
      <c r="Q468" s="121"/>
      <c r="R468" s="121"/>
      <c r="S468" s="121"/>
      <c r="T468" s="121"/>
      <c r="U468" s="121"/>
      <c r="V468" s="121"/>
      <c r="W468" s="121"/>
      <c r="X468" s="121"/>
      <c r="Y468" s="121"/>
      <c r="Z468" s="121"/>
    </row>
    <row r="469" customFormat="false" ht="15.75" hidden="false" customHeight="false" outlineLevel="0" collapsed="false">
      <c r="A469" s="121"/>
      <c r="B469" s="121"/>
      <c r="C469" s="121"/>
      <c r="D469" s="121"/>
      <c r="E469" s="121"/>
      <c r="F469" s="121"/>
      <c r="G469" s="121"/>
      <c r="H469" s="121"/>
      <c r="I469" s="121"/>
      <c r="J469" s="121"/>
      <c r="K469" s="121"/>
      <c r="L469" s="121"/>
      <c r="M469" s="121"/>
      <c r="N469" s="121"/>
      <c r="O469" s="121"/>
      <c r="P469" s="121"/>
      <c r="Q469" s="121"/>
      <c r="R469" s="121"/>
      <c r="S469" s="121"/>
      <c r="T469" s="121"/>
      <c r="U469" s="121"/>
      <c r="V469" s="121"/>
      <c r="W469" s="121"/>
      <c r="X469" s="121"/>
      <c r="Y469" s="121"/>
      <c r="Z469" s="121"/>
    </row>
    <row r="470" customFormat="false" ht="15.75" hidden="false" customHeight="false" outlineLevel="0" collapsed="false">
      <c r="A470" s="121"/>
      <c r="B470" s="121"/>
      <c r="C470" s="121"/>
      <c r="D470" s="121"/>
      <c r="E470" s="121"/>
      <c r="F470" s="121"/>
      <c r="G470" s="121"/>
      <c r="H470" s="121"/>
      <c r="I470" s="121"/>
      <c r="J470" s="121"/>
      <c r="K470" s="121"/>
      <c r="L470" s="121"/>
      <c r="M470" s="121"/>
      <c r="N470" s="121"/>
      <c r="O470" s="121"/>
      <c r="P470" s="121"/>
      <c r="Q470" s="121"/>
      <c r="R470" s="121"/>
      <c r="S470" s="121"/>
      <c r="T470" s="121"/>
      <c r="U470" s="121"/>
      <c r="V470" s="121"/>
      <c r="W470" s="121"/>
      <c r="X470" s="121"/>
      <c r="Y470" s="121"/>
      <c r="Z470" s="121"/>
    </row>
    <row r="471" customFormat="false" ht="15.75" hidden="false" customHeight="false" outlineLevel="0" collapsed="false">
      <c r="A471" s="121"/>
      <c r="B471" s="121"/>
      <c r="C471" s="121"/>
      <c r="D471" s="121"/>
      <c r="E471" s="121"/>
      <c r="F471" s="121"/>
      <c r="G471" s="121"/>
      <c r="H471" s="121"/>
      <c r="I471" s="121"/>
      <c r="J471" s="121"/>
      <c r="K471" s="121"/>
      <c r="L471" s="121"/>
      <c r="M471" s="121"/>
      <c r="N471" s="121"/>
      <c r="O471" s="121"/>
      <c r="P471" s="121"/>
      <c r="Q471" s="121"/>
      <c r="R471" s="121"/>
      <c r="S471" s="121"/>
      <c r="T471" s="121"/>
      <c r="U471" s="121"/>
      <c r="V471" s="121"/>
      <c r="W471" s="121"/>
      <c r="X471" s="121"/>
      <c r="Y471" s="121"/>
      <c r="Z471" s="121"/>
    </row>
    <row r="472" customFormat="false" ht="15.75" hidden="false" customHeight="false" outlineLevel="0" collapsed="false">
      <c r="A472" s="121"/>
      <c r="B472" s="121"/>
      <c r="C472" s="121"/>
      <c r="D472" s="121"/>
      <c r="E472" s="121"/>
      <c r="F472" s="121"/>
      <c r="G472" s="121"/>
      <c r="H472" s="121"/>
      <c r="I472" s="121"/>
      <c r="J472" s="121"/>
      <c r="K472" s="121"/>
      <c r="L472" s="121"/>
      <c r="M472" s="121"/>
      <c r="N472" s="121"/>
      <c r="O472" s="121"/>
      <c r="P472" s="121"/>
      <c r="Q472" s="121"/>
      <c r="R472" s="121"/>
      <c r="S472" s="121"/>
      <c r="T472" s="121"/>
      <c r="U472" s="121"/>
      <c r="V472" s="121"/>
      <c r="W472" s="121"/>
      <c r="X472" s="121"/>
      <c r="Y472" s="121"/>
      <c r="Z472" s="121"/>
    </row>
    <row r="473" customFormat="false" ht="15.75" hidden="false" customHeight="false" outlineLevel="0" collapsed="false">
      <c r="A473" s="121"/>
      <c r="B473" s="121"/>
      <c r="C473" s="121"/>
      <c r="D473" s="121"/>
      <c r="E473" s="121"/>
      <c r="F473" s="121"/>
      <c r="G473" s="121"/>
      <c r="H473" s="121"/>
      <c r="I473" s="121"/>
      <c r="J473" s="121"/>
      <c r="K473" s="121"/>
      <c r="L473" s="121"/>
      <c r="M473" s="121"/>
      <c r="N473" s="121"/>
      <c r="O473" s="121"/>
      <c r="P473" s="121"/>
      <c r="Q473" s="121"/>
      <c r="R473" s="121"/>
      <c r="S473" s="121"/>
      <c r="T473" s="121"/>
      <c r="U473" s="121"/>
      <c r="V473" s="121"/>
      <c r="W473" s="121"/>
      <c r="X473" s="121"/>
      <c r="Y473" s="121"/>
      <c r="Z473" s="121"/>
    </row>
    <row r="474" customFormat="false" ht="15.75" hidden="false" customHeight="false" outlineLevel="0" collapsed="false">
      <c r="A474" s="121"/>
      <c r="B474" s="121"/>
      <c r="C474" s="121"/>
      <c r="D474" s="121"/>
      <c r="E474" s="121"/>
      <c r="F474" s="121"/>
      <c r="G474" s="121"/>
      <c r="H474" s="121"/>
      <c r="I474" s="121"/>
      <c r="J474" s="121"/>
      <c r="K474" s="121"/>
      <c r="L474" s="121"/>
      <c r="M474" s="121"/>
      <c r="N474" s="121"/>
      <c r="O474" s="121"/>
      <c r="P474" s="121"/>
      <c r="Q474" s="121"/>
      <c r="R474" s="121"/>
      <c r="S474" s="121"/>
      <c r="T474" s="121"/>
      <c r="U474" s="121"/>
      <c r="V474" s="121"/>
      <c r="W474" s="121"/>
      <c r="X474" s="121"/>
      <c r="Y474" s="121"/>
      <c r="Z474" s="121"/>
    </row>
    <row r="475" customFormat="false" ht="15.75" hidden="false" customHeight="false" outlineLevel="0" collapsed="false">
      <c r="A475" s="121"/>
      <c r="B475" s="121"/>
      <c r="C475" s="121"/>
      <c r="D475" s="121"/>
      <c r="E475" s="121"/>
      <c r="F475" s="121"/>
      <c r="G475" s="121"/>
      <c r="H475" s="121"/>
      <c r="I475" s="121"/>
      <c r="J475" s="121"/>
      <c r="K475" s="121"/>
      <c r="L475" s="121"/>
      <c r="M475" s="121"/>
      <c r="N475" s="121"/>
      <c r="O475" s="121"/>
      <c r="P475" s="121"/>
      <c r="Q475" s="121"/>
      <c r="R475" s="121"/>
      <c r="S475" s="121"/>
      <c r="T475" s="121"/>
      <c r="U475" s="121"/>
      <c r="V475" s="121"/>
      <c r="W475" s="121"/>
      <c r="X475" s="121"/>
      <c r="Y475" s="121"/>
      <c r="Z475" s="121"/>
    </row>
    <row r="476" customFormat="false" ht="15.75" hidden="false" customHeight="false" outlineLevel="0" collapsed="false">
      <c r="A476" s="121"/>
      <c r="B476" s="121"/>
      <c r="C476" s="121"/>
      <c r="D476" s="121"/>
      <c r="E476" s="121"/>
      <c r="F476" s="121"/>
      <c r="G476" s="121"/>
      <c r="H476" s="121"/>
      <c r="I476" s="121"/>
      <c r="J476" s="121"/>
      <c r="K476" s="121"/>
      <c r="L476" s="121"/>
      <c r="M476" s="121"/>
      <c r="N476" s="121"/>
      <c r="O476" s="121"/>
      <c r="P476" s="121"/>
      <c r="Q476" s="121"/>
      <c r="R476" s="121"/>
      <c r="S476" s="121"/>
      <c r="T476" s="121"/>
      <c r="U476" s="121"/>
      <c r="V476" s="121"/>
      <c r="W476" s="121"/>
      <c r="X476" s="121"/>
      <c r="Y476" s="121"/>
      <c r="Z476" s="121"/>
    </row>
    <row r="477" customFormat="false" ht="15.75" hidden="false" customHeight="false" outlineLevel="0" collapsed="false">
      <c r="A477" s="121"/>
      <c r="B477" s="121"/>
      <c r="C477" s="121"/>
      <c r="D477" s="121"/>
      <c r="E477" s="121"/>
      <c r="F477" s="121"/>
      <c r="G477" s="121"/>
      <c r="H477" s="121"/>
      <c r="I477" s="121"/>
      <c r="J477" s="121"/>
      <c r="K477" s="121"/>
      <c r="L477" s="121"/>
      <c r="M477" s="121"/>
      <c r="N477" s="121"/>
      <c r="O477" s="121"/>
      <c r="P477" s="121"/>
      <c r="Q477" s="121"/>
      <c r="R477" s="121"/>
      <c r="S477" s="121"/>
      <c r="T477" s="121"/>
      <c r="U477" s="121"/>
      <c r="V477" s="121"/>
      <c r="W477" s="121"/>
      <c r="X477" s="121"/>
      <c r="Y477" s="121"/>
      <c r="Z477" s="121"/>
    </row>
    <row r="478" customFormat="false" ht="15.75" hidden="false" customHeight="false" outlineLevel="0" collapsed="false">
      <c r="A478" s="121"/>
      <c r="B478" s="121"/>
      <c r="C478" s="121"/>
      <c r="D478" s="121"/>
      <c r="E478" s="121"/>
      <c r="F478" s="121"/>
      <c r="G478" s="121"/>
      <c r="H478" s="121"/>
      <c r="I478" s="121"/>
      <c r="J478" s="121"/>
      <c r="K478" s="121"/>
      <c r="L478" s="121"/>
      <c r="M478" s="121"/>
      <c r="N478" s="121"/>
      <c r="O478" s="121"/>
      <c r="P478" s="121"/>
      <c r="Q478" s="121"/>
      <c r="R478" s="121"/>
      <c r="S478" s="121"/>
      <c r="T478" s="121"/>
      <c r="U478" s="121"/>
      <c r="V478" s="121"/>
      <c r="W478" s="121"/>
      <c r="X478" s="121"/>
      <c r="Y478" s="121"/>
      <c r="Z478" s="121"/>
    </row>
    <row r="479" customFormat="false" ht="15.75" hidden="false" customHeight="false" outlineLevel="0" collapsed="false">
      <c r="A479" s="121"/>
      <c r="B479" s="121"/>
      <c r="C479" s="121"/>
      <c r="D479" s="121"/>
      <c r="E479" s="121"/>
      <c r="F479" s="121"/>
      <c r="G479" s="121"/>
      <c r="H479" s="121"/>
      <c r="I479" s="121"/>
      <c r="J479" s="121"/>
      <c r="K479" s="121"/>
      <c r="L479" s="121"/>
      <c r="M479" s="121"/>
      <c r="N479" s="121"/>
      <c r="O479" s="121"/>
      <c r="P479" s="121"/>
      <c r="Q479" s="121"/>
      <c r="R479" s="121"/>
      <c r="S479" s="121"/>
      <c r="T479" s="121"/>
      <c r="U479" s="121"/>
      <c r="V479" s="121"/>
      <c r="W479" s="121"/>
      <c r="X479" s="121"/>
      <c r="Y479" s="121"/>
      <c r="Z479" s="121"/>
    </row>
    <row r="480" customFormat="false" ht="15.75" hidden="false" customHeight="false" outlineLevel="0" collapsed="false">
      <c r="A480" s="121"/>
      <c r="B480" s="121"/>
      <c r="C480" s="121"/>
      <c r="D480" s="121"/>
      <c r="E480" s="121"/>
      <c r="F480" s="121"/>
      <c r="G480" s="121"/>
      <c r="H480" s="121"/>
      <c r="I480" s="121"/>
      <c r="J480" s="121"/>
      <c r="K480" s="121"/>
      <c r="L480" s="121"/>
      <c r="M480" s="121"/>
      <c r="N480" s="121"/>
      <c r="O480" s="121"/>
      <c r="P480" s="121"/>
      <c r="Q480" s="121"/>
      <c r="R480" s="121"/>
      <c r="S480" s="121"/>
      <c r="T480" s="121"/>
      <c r="U480" s="121"/>
      <c r="V480" s="121"/>
      <c r="W480" s="121"/>
      <c r="X480" s="121"/>
      <c r="Y480" s="121"/>
      <c r="Z480" s="121"/>
    </row>
    <row r="481" customFormat="false" ht="15.75" hidden="false" customHeight="false" outlineLevel="0" collapsed="false">
      <c r="A481" s="121"/>
      <c r="B481" s="121"/>
      <c r="C481" s="121"/>
      <c r="D481" s="121"/>
      <c r="E481" s="121"/>
      <c r="F481" s="121"/>
      <c r="G481" s="121"/>
      <c r="H481" s="121"/>
      <c r="I481" s="121"/>
      <c r="J481" s="121"/>
      <c r="K481" s="121"/>
      <c r="L481" s="121"/>
      <c r="M481" s="121"/>
      <c r="N481" s="121"/>
      <c r="O481" s="121"/>
      <c r="P481" s="121"/>
      <c r="Q481" s="121"/>
      <c r="R481" s="121"/>
      <c r="S481" s="121"/>
      <c r="T481" s="121"/>
      <c r="U481" s="121"/>
      <c r="V481" s="121"/>
      <c r="W481" s="121"/>
      <c r="X481" s="121"/>
      <c r="Y481" s="121"/>
      <c r="Z481" s="121"/>
    </row>
    <row r="482" customFormat="false" ht="15.75" hidden="false" customHeight="false" outlineLevel="0" collapsed="false">
      <c r="A482" s="121"/>
      <c r="B482" s="121"/>
      <c r="C482" s="121"/>
      <c r="D482" s="121"/>
      <c r="E482" s="121"/>
      <c r="F482" s="121"/>
      <c r="G482" s="121"/>
      <c r="H482" s="121"/>
      <c r="I482" s="121"/>
      <c r="J482" s="121"/>
      <c r="K482" s="121"/>
      <c r="L482" s="121"/>
      <c r="M482" s="121"/>
      <c r="N482" s="121"/>
      <c r="O482" s="121"/>
      <c r="P482" s="121"/>
      <c r="Q482" s="121"/>
      <c r="R482" s="121"/>
      <c r="S482" s="121"/>
      <c r="T482" s="121"/>
      <c r="U482" s="121"/>
      <c r="V482" s="121"/>
      <c r="W482" s="121"/>
      <c r="X482" s="121"/>
      <c r="Y482" s="121"/>
      <c r="Z482" s="121"/>
    </row>
    <row r="483" customFormat="false" ht="15.75" hidden="false" customHeight="false" outlineLevel="0" collapsed="false">
      <c r="A483" s="121"/>
      <c r="B483" s="121"/>
      <c r="C483" s="121"/>
      <c r="D483" s="121"/>
      <c r="E483" s="121"/>
      <c r="F483" s="121"/>
      <c r="G483" s="121"/>
      <c r="H483" s="121"/>
      <c r="I483" s="121"/>
      <c r="J483" s="121"/>
      <c r="K483" s="121"/>
      <c r="L483" s="121"/>
      <c r="M483" s="121"/>
      <c r="N483" s="121"/>
      <c r="O483" s="121"/>
      <c r="P483" s="121"/>
      <c r="Q483" s="121"/>
      <c r="R483" s="121"/>
      <c r="S483" s="121"/>
      <c r="T483" s="121"/>
      <c r="U483" s="121"/>
      <c r="V483" s="121"/>
      <c r="W483" s="121"/>
      <c r="X483" s="121"/>
      <c r="Y483" s="121"/>
      <c r="Z483" s="121"/>
    </row>
    <row r="484" customFormat="false" ht="15.75" hidden="false" customHeight="false" outlineLevel="0" collapsed="false">
      <c r="A484" s="121"/>
      <c r="B484" s="121"/>
      <c r="C484" s="121"/>
      <c r="D484" s="121"/>
      <c r="E484" s="121"/>
      <c r="F484" s="121"/>
      <c r="G484" s="121"/>
      <c r="H484" s="121"/>
      <c r="I484" s="121"/>
      <c r="J484" s="121"/>
      <c r="K484" s="121"/>
      <c r="L484" s="121"/>
      <c r="M484" s="121"/>
      <c r="N484" s="121"/>
      <c r="O484" s="121"/>
      <c r="P484" s="121"/>
      <c r="Q484" s="121"/>
      <c r="R484" s="121"/>
      <c r="S484" s="121"/>
      <c r="T484" s="121"/>
      <c r="U484" s="121"/>
      <c r="V484" s="121"/>
      <c r="W484" s="121"/>
      <c r="X484" s="121"/>
      <c r="Y484" s="121"/>
      <c r="Z484" s="121"/>
    </row>
    <row r="485" customFormat="false" ht="15.75" hidden="false" customHeight="false" outlineLevel="0" collapsed="false">
      <c r="A485" s="121"/>
      <c r="B485" s="121"/>
      <c r="C485" s="121"/>
      <c r="D485" s="121"/>
      <c r="E485" s="121"/>
      <c r="F485" s="121"/>
      <c r="G485" s="121"/>
      <c r="H485" s="121"/>
      <c r="I485" s="121"/>
      <c r="J485" s="121"/>
      <c r="K485" s="121"/>
      <c r="L485" s="121"/>
      <c r="M485" s="121"/>
      <c r="N485" s="121"/>
      <c r="O485" s="121"/>
      <c r="P485" s="121"/>
      <c r="Q485" s="121"/>
      <c r="R485" s="121"/>
      <c r="S485" s="121"/>
      <c r="T485" s="121"/>
      <c r="U485" s="121"/>
      <c r="V485" s="121"/>
      <c r="W485" s="121"/>
      <c r="X485" s="121"/>
      <c r="Y485" s="121"/>
      <c r="Z485" s="121"/>
    </row>
    <row r="486" customFormat="false" ht="15.75" hidden="false" customHeight="false" outlineLevel="0" collapsed="false">
      <c r="A486" s="121"/>
      <c r="B486" s="121"/>
      <c r="C486" s="121"/>
      <c r="D486" s="121"/>
      <c r="E486" s="121"/>
      <c r="F486" s="121"/>
      <c r="G486" s="121"/>
      <c r="H486" s="121"/>
      <c r="I486" s="121"/>
      <c r="J486" s="121"/>
      <c r="K486" s="121"/>
      <c r="L486" s="121"/>
      <c r="M486" s="121"/>
      <c r="N486" s="121"/>
      <c r="O486" s="121"/>
      <c r="P486" s="121"/>
      <c r="Q486" s="121"/>
      <c r="R486" s="121"/>
      <c r="S486" s="121"/>
      <c r="T486" s="121"/>
      <c r="U486" s="121"/>
      <c r="V486" s="121"/>
      <c r="W486" s="121"/>
      <c r="X486" s="121"/>
      <c r="Y486" s="121"/>
      <c r="Z486" s="121"/>
    </row>
    <row r="487" customFormat="false" ht="15.75" hidden="false" customHeight="false" outlineLevel="0" collapsed="false">
      <c r="A487" s="121"/>
      <c r="B487" s="121"/>
      <c r="C487" s="121"/>
      <c r="D487" s="121"/>
      <c r="E487" s="121"/>
      <c r="F487" s="121"/>
      <c r="G487" s="121"/>
      <c r="H487" s="121"/>
      <c r="I487" s="121"/>
      <c r="J487" s="121"/>
      <c r="K487" s="121"/>
      <c r="L487" s="121"/>
      <c r="M487" s="121"/>
      <c r="N487" s="121"/>
      <c r="O487" s="121"/>
      <c r="P487" s="121"/>
      <c r="Q487" s="121"/>
      <c r="R487" s="121"/>
      <c r="S487" s="121"/>
      <c r="T487" s="121"/>
      <c r="U487" s="121"/>
      <c r="V487" s="121"/>
      <c r="W487" s="121"/>
      <c r="X487" s="121"/>
      <c r="Y487" s="121"/>
      <c r="Z487" s="121"/>
    </row>
    <row r="488" customFormat="false" ht="15.75" hidden="false" customHeight="false" outlineLevel="0" collapsed="false">
      <c r="A488" s="121"/>
      <c r="B488" s="121"/>
      <c r="C488" s="121"/>
      <c r="D488" s="121"/>
      <c r="E488" s="121"/>
      <c r="F488" s="121"/>
      <c r="G488" s="121"/>
      <c r="H488" s="121"/>
      <c r="I488" s="121"/>
      <c r="J488" s="121"/>
      <c r="K488" s="121"/>
      <c r="L488" s="121"/>
      <c r="M488" s="121"/>
      <c r="N488" s="121"/>
      <c r="O488" s="121"/>
      <c r="P488" s="121"/>
      <c r="Q488" s="121"/>
      <c r="R488" s="121"/>
      <c r="S488" s="121"/>
      <c r="T488" s="121"/>
      <c r="U488" s="121"/>
      <c r="V488" s="121"/>
      <c r="W488" s="121"/>
      <c r="X488" s="121"/>
      <c r="Y488" s="121"/>
      <c r="Z488" s="121"/>
    </row>
    <row r="489" customFormat="false" ht="15.75" hidden="false" customHeight="false" outlineLevel="0" collapsed="false">
      <c r="A489" s="121"/>
      <c r="B489" s="121"/>
      <c r="C489" s="121"/>
      <c r="D489" s="121"/>
      <c r="E489" s="121"/>
      <c r="F489" s="121"/>
      <c r="G489" s="121"/>
      <c r="H489" s="121"/>
      <c r="I489" s="121"/>
      <c r="J489" s="121"/>
      <c r="K489" s="121"/>
      <c r="L489" s="121"/>
      <c r="M489" s="121"/>
      <c r="N489" s="121"/>
      <c r="O489" s="121"/>
      <c r="P489" s="121"/>
      <c r="Q489" s="121"/>
      <c r="R489" s="121"/>
      <c r="S489" s="121"/>
      <c r="T489" s="121"/>
      <c r="U489" s="121"/>
      <c r="V489" s="121"/>
      <c r="W489" s="121"/>
      <c r="X489" s="121"/>
      <c r="Y489" s="121"/>
      <c r="Z489" s="121"/>
    </row>
    <row r="490" customFormat="false" ht="15.75" hidden="false" customHeight="false" outlineLevel="0" collapsed="false">
      <c r="A490" s="121"/>
      <c r="B490" s="121"/>
      <c r="C490" s="121"/>
      <c r="D490" s="121"/>
      <c r="E490" s="121"/>
      <c r="F490" s="121"/>
      <c r="G490" s="121"/>
      <c r="H490" s="121"/>
      <c r="I490" s="121"/>
      <c r="J490" s="121"/>
      <c r="K490" s="121"/>
      <c r="L490" s="121"/>
      <c r="M490" s="121"/>
      <c r="N490" s="121"/>
      <c r="O490" s="121"/>
      <c r="P490" s="121"/>
      <c r="Q490" s="121"/>
      <c r="R490" s="121"/>
      <c r="S490" s="121"/>
      <c r="T490" s="121"/>
      <c r="U490" s="121"/>
      <c r="V490" s="121"/>
      <c r="W490" s="121"/>
      <c r="X490" s="121"/>
      <c r="Y490" s="121"/>
      <c r="Z490" s="121"/>
    </row>
    <row r="491" customFormat="false" ht="15.75" hidden="false" customHeight="false" outlineLevel="0" collapsed="false">
      <c r="A491" s="121"/>
      <c r="B491" s="121"/>
      <c r="C491" s="121"/>
      <c r="D491" s="121"/>
      <c r="E491" s="121"/>
      <c r="F491" s="121"/>
      <c r="G491" s="121"/>
      <c r="H491" s="121"/>
      <c r="I491" s="121"/>
      <c r="J491" s="121"/>
      <c r="K491" s="121"/>
      <c r="L491" s="121"/>
      <c r="M491" s="121"/>
      <c r="N491" s="121"/>
      <c r="O491" s="121"/>
      <c r="P491" s="121"/>
      <c r="Q491" s="121"/>
      <c r="R491" s="121"/>
      <c r="S491" s="121"/>
      <c r="T491" s="121"/>
      <c r="U491" s="121"/>
      <c r="V491" s="121"/>
      <c r="W491" s="121"/>
      <c r="X491" s="121"/>
      <c r="Y491" s="121"/>
      <c r="Z491" s="121"/>
    </row>
    <row r="492" customFormat="false" ht="15.75" hidden="false" customHeight="false" outlineLevel="0" collapsed="false">
      <c r="A492" s="121"/>
      <c r="B492" s="121"/>
      <c r="C492" s="121"/>
      <c r="D492" s="121"/>
      <c r="E492" s="121"/>
      <c r="F492" s="121"/>
      <c r="G492" s="121"/>
      <c r="H492" s="121"/>
      <c r="I492" s="121"/>
      <c r="J492" s="121"/>
      <c r="K492" s="121"/>
      <c r="L492" s="121"/>
      <c r="M492" s="121"/>
      <c r="N492" s="121"/>
      <c r="O492" s="121"/>
      <c r="P492" s="121"/>
      <c r="Q492" s="121"/>
      <c r="R492" s="121"/>
      <c r="S492" s="121"/>
      <c r="T492" s="121"/>
      <c r="U492" s="121"/>
      <c r="V492" s="121"/>
      <c r="W492" s="121"/>
      <c r="X492" s="121"/>
      <c r="Y492" s="121"/>
      <c r="Z492" s="121"/>
    </row>
    <row r="493" customFormat="false" ht="15.75" hidden="false" customHeight="false" outlineLevel="0" collapsed="false">
      <c r="A493" s="121"/>
      <c r="B493" s="121"/>
      <c r="C493" s="121"/>
      <c r="D493" s="121"/>
      <c r="E493" s="121"/>
      <c r="F493" s="121"/>
      <c r="G493" s="121"/>
      <c r="H493" s="121"/>
      <c r="I493" s="121"/>
      <c r="J493" s="121"/>
      <c r="K493" s="121"/>
      <c r="L493" s="121"/>
      <c r="M493" s="121"/>
      <c r="N493" s="121"/>
      <c r="O493" s="121"/>
      <c r="P493" s="121"/>
      <c r="Q493" s="121"/>
      <c r="R493" s="121"/>
      <c r="S493" s="121"/>
      <c r="T493" s="121"/>
      <c r="U493" s="121"/>
      <c r="V493" s="121"/>
      <c r="W493" s="121"/>
      <c r="X493" s="121"/>
      <c r="Y493" s="121"/>
      <c r="Z493" s="121"/>
    </row>
    <row r="494" customFormat="false" ht="15.75" hidden="false" customHeight="false" outlineLevel="0" collapsed="false">
      <c r="A494" s="121"/>
      <c r="B494" s="121"/>
      <c r="C494" s="121"/>
      <c r="D494" s="121"/>
      <c r="E494" s="121"/>
      <c r="F494" s="121"/>
      <c r="G494" s="121"/>
      <c r="H494" s="121"/>
      <c r="I494" s="121"/>
      <c r="J494" s="121"/>
      <c r="K494" s="121"/>
      <c r="L494" s="121"/>
      <c r="M494" s="121"/>
      <c r="N494" s="121"/>
      <c r="O494" s="121"/>
      <c r="P494" s="121"/>
      <c r="Q494" s="121"/>
      <c r="R494" s="121"/>
      <c r="S494" s="121"/>
      <c r="T494" s="121"/>
      <c r="U494" s="121"/>
      <c r="V494" s="121"/>
      <c r="W494" s="121"/>
      <c r="X494" s="121"/>
      <c r="Y494" s="121"/>
      <c r="Z494" s="121"/>
    </row>
    <row r="495" customFormat="false" ht="15.75" hidden="false" customHeight="false" outlineLevel="0" collapsed="false">
      <c r="A495" s="121"/>
      <c r="B495" s="121"/>
      <c r="C495" s="121"/>
      <c r="D495" s="121"/>
      <c r="E495" s="121"/>
      <c r="F495" s="121"/>
      <c r="G495" s="121"/>
      <c r="H495" s="121"/>
      <c r="I495" s="121"/>
      <c r="J495" s="121"/>
      <c r="K495" s="121"/>
      <c r="L495" s="121"/>
      <c r="M495" s="121"/>
      <c r="N495" s="121"/>
      <c r="O495" s="121"/>
      <c r="P495" s="121"/>
      <c r="Q495" s="121"/>
      <c r="R495" s="121"/>
      <c r="S495" s="121"/>
      <c r="T495" s="121"/>
      <c r="U495" s="121"/>
      <c r="V495" s="121"/>
      <c r="W495" s="121"/>
      <c r="X495" s="121"/>
      <c r="Y495" s="121"/>
      <c r="Z495" s="121"/>
    </row>
    <row r="496" customFormat="false" ht="15.75" hidden="false" customHeight="false" outlineLevel="0" collapsed="false">
      <c r="A496" s="121"/>
      <c r="B496" s="121"/>
      <c r="C496" s="121"/>
      <c r="D496" s="121"/>
      <c r="E496" s="121"/>
      <c r="F496" s="121"/>
      <c r="G496" s="121"/>
      <c r="H496" s="121"/>
      <c r="I496" s="121"/>
      <c r="J496" s="121"/>
      <c r="K496" s="121"/>
      <c r="L496" s="121"/>
      <c r="M496" s="121"/>
      <c r="N496" s="121"/>
      <c r="O496" s="121"/>
      <c r="P496" s="121"/>
      <c r="Q496" s="121"/>
      <c r="R496" s="121"/>
      <c r="S496" s="121"/>
      <c r="T496" s="121"/>
      <c r="U496" s="121"/>
      <c r="V496" s="121"/>
      <c r="W496" s="121"/>
      <c r="X496" s="121"/>
      <c r="Y496" s="121"/>
      <c r="Z496" s="121"/>
    </row>
    <row r="497" customFormat="false" ht="15.75" hidden="false" customHeight="false" outlineLevel="0" collapsed="false">
      <c r="A497" s="121"/>
      <c r="B497" s="121"/>
      <c r="C497" s="121"/>
      <c r="D497" s="121"/>
      <c r="E497" s="121"/>
      <c r="F497" s="121"/>
      <c r="G497" s="121"/>
      <c r="H497" s="121"/>
      <c r="I497" s="121"/>
      <c r="J497" s="121"/>
      <c r="K497" s="121"/>
      <c r="L497" s="121"/>
      <c r="M497" s="121"/>
      <c r="N497" s="121"/>
      <c r="O497" s="121"/>
      <c r="P497" s="121"/>
      <c r="Q497" s="121"/>
      <c r="R497" s="121"/>
      <c r="S497" s="121"/>
      <c r="T497" s="121"/>
      <c r="U497" s="121"/>
      <c r="V497" s="121"/>
      <c r="W497" s="121"/>
      <c r="X497" s="121"/>
      <c r="Y497" s="121"/>
      <c r="Z497" s="121"/>
    </row>
    <row r="498" customFormat="false" ht="15.75" hidden="false" customHeight="false" outlineLevel="0" collapsed="false">
      <c r="A498" s="121"/>
      <c r="B498" s="121"/>
      <c r="C498" s="121"/>
      <c r="D498" s="121"/>
      <c r="E498" s="121"/>
      <c r="F498" s="121"/>
      <c r="G498" s="121"/>
      <c r="H498" s="121"/>
      <c r="I498" s="121"/>
      <c r="J498" s="121"/>
      <c r="K498" s="121"/>
      <c r="L498" s="121"/>
      <c r="M498" s="121"/>
      <c r="N498" s="121"/>
      <c r="O498" s="121"/>
      <c r="P498" s="121"/>
      <c r="Q498" s="121"/>
      <c r="R498" s="121"/>
      <c r="S498" s="121"/>
      <c r="T498" s="121"/>
      <c r="U498" s="121"/>
      <c r="V498" s="121"/>
      <c r="W498" s="121"/>
      <c r="X498" s="121"/>
      <c r="Y498" s="121"/>
      <c r="Z498" s="121"/>
    </row>
    <row r="499" customFormat="false" ht="15.75" hidden="false" customHeight="false" outlineLevel="0" collapsed="false">
      <c r="A499" s="121"/>
      <c r="B499" s="121"/>
      <c r="C499" s="121"/>
      <c r="D499" s="121"/>
      <c r="E499" s="121"/>
      <c r="F499" s="121"/>
      <c r="G499" s="121"/>
      <c r="H499" s="121"/>
      <c r="I499" s="121"/>
      <c r="J499" s="121"/>
      <c r="K499" s="121"/>
      <c r="L499" s="121"/>
      <c r="M499" s="121"/>
      <c r="N499" s="121"/>
      <c r="O499" s="121"/>
      <c r="P499" s="121"/>
      <c r="Q499" s="121"/>
      <c r="R499" s="121"/>
      <c r="S499" s="121"/>
      <c r="T499" s="121"/>
      <c r="U499" s="121"/>
      <c r="V499" s="121"/>
      <c r="W499" s="121"/>
      <c r="X499" s="121"/>
      <c r="Y499" s="121"/>
      <c r="Z499" s="121"/>
    </row>
    <row r="500" customFormat="false" ht="15.75" hidden="false" customHeight="false" outlineLevel="0" collapsed="false">
      <c r="A500" s="121"/>
      <c r="B500" s="121"/>
      <c r="C500" s="121"/>
      <c r="D500" s="121"/>
      <c r="E500" s="121"/>
      <c r="F500" s="121"/>
      <c r="G500" s="121"/>
      <c r="H500" s="121"/>
      <c r="I500" s="121"/>
      <c r="J500" s="121"/>
      <c r="K500" s="121"/>
      <c r="L500" s="121"/>
      <c r="M500" s="121"/>
      <c r="N500" s="121"/>
      <c r="O500" s="121"/>
      <c r="P500" s="121"/>
      <c r="Q500" s="121"/>
      <c r="R500" s="121"/>
      <c r="S500" s="121"/>
      <c r="T500" s="121"/>
      <c r="U500" s="121"/>
      <c r="V500" s="121"/>
      <c r="W500" s="121"/>
      <c r="X500" s="121"/>
      <c r="Y500" s="121"/>
      <c r="Z500" s="121"/>
    </row>
    <row r="501" customFormat="false" ht="15.75" hidden="false" customHeight="false" outlineLevel="0" collapsed="false">
      <c r="A501" s="121"/>
      <c r="B501" s="121"/>
      <c r="C501" s="121"/>
      <c r="D501" s="121"/>
      <c r="E501" s="121"/>
      <c r="F501" s="121"/>
      <c r="G501" s="121"/>
      <c r="H501" s="121"/>
      <c r="I501" s="121"/>
      <c r="J501" s="121"/>
      <c r="K501" s="121"/>
      <c r="L501" s="121"/>
      <c r="M501" s="121"/>
      <c r="N501" s="121"/>
      <c r="O501" s="121"/>
      <c r="P501" s="121"/>
      <c r="Q501" s="121"/>
      <c r="R501" s="121"/>
      <c r="S501" s="121"/>
      <c r="T501" s="121"/>
      <c r="U501" s="121"/>
      <c r="V501" s="121"/>
      <c r="W501" s="121"/>
      <c r="X501" s="121"/>
      <c r="Y501" s="121"/>
      <c r="Z501" s="121"/>
    </row>
    <row r="502" customFormat="false" ht="15.75" hidden="false" customHeight="false" outlineLevel="0" collapsed="false">
      <c r="A502" s="121"/>
      <c r="B502" s="121"/>
      <c r="C502" s="121"/>
      <c r="D502" s="121"/>
      <c r="E502" s="121"/>
      <c r="F502" s="121"/>
      <c r="G502" s="121"/>
      <c r="H502" s="121"/>
      <c r="I502" s="121"/>
      <c r="J502" s="121"/>
      <c r="K502" s="121"/>
      <c r="L502" s="121"/>
      <c r="M502" s="121"/>
      <c r="N502" s="121"/>
      <c r="O502" s="121"/>
      <c r="P502" s="121"/>
      <c r="Q502" s="121"/>
      <c r="R502" s="121"/>
      <c r="S502" s="121"/>
      <c r="T502" s="121"/>
      <c r="U502" s="121"/>
      <c r="V502" s="121"/>
      <c r="W502" s="121"/>
      <c r="X502" s="121"/>
      <c r="Y502" s="121"/>
      <c r="Z502" s="121"/>
    </row>
    <row r="503" customFormat="false" ht="15.75" hidden="false" customHeight="false" outlineLevel="0" collapsed="false">
      <c r="A503" s="121"/>
      <c r="B503" s="121"/>
      <c r="C503" s="121"/>
      <c r="D503" s="121"/>
      <c r="E503" s="121"/>
      <c r="F503" s="121"/>
      <c r="G503" s="121"/>
      <c r="H503" s="121"/>
      <c r="I503" s="121"/>
      <c r="J503" s="121"/>
      <c r="K503" s="121"/>
      <c r="L503" s="121"/>
      <c r="M503" s="121"/>
      <c r="N503" s="121"/>
      <c r="O503" s="121"/>
      <c r="P503" s="121"/>
      <c r="Q503" s="121"/>
      <c r="R503" s="121"/>
      <c r="S503" s="121"/>
      <c r="T503" s="121"/>
      <c r="U503" s="121"/>
      <c r="V503" s="121"/>
      <c r="W503" s="121"/>
      <c r="X503" s="121"/>
      <c r="Y503" s="121"/>
      <c r="Z503" s="121"/>
    </row>
    <row r="504" customFormat="false" ht="15.75" hidden="false" customHeight="false" outlineLevel="0" collapsed="false">
      <c r="A504" s="121"/>
      <c r="B504" s="121"/>
      <c r="C504" s="121"/>
      <c r="D504" s="121"/>
      <c r="E504" s="121"/>
      <c r="F504" s="121"/>
      <c r="G504" s="121"/>
      <c r="H504" s="121"/>
      <c r="I504" s="121"/>
      <c r="J504" s="121"/>
      <c r="K504" s="121"/>
      <c r="L504" s="121"/>
      <c r="M504" s="121"/>
      <c r="N504" s="121"/>
      <c r="O504" s="121"/>
      <c r="P504" s="121"/>
      <c r="Q504" s="121"/>
      <c r="R504" s="121"/>
      <c r="S504" s="121"/>
      <c r="T504" s="121"/>
      <c r="U504" s="121"/>
      <c r="V504" s="121"/>
      <c r="W504" s="121"/>
      <c r="X504" s="121"/>
      <c r="Y504" s="121"/>
      <c r="Z504" s="121"/>
    </row>
    <row r="505" customFormat="false" ht="15.75" hidden="false" customHeight="false" outlineLevel="0" collapsed="false">
      <c r="A505" s="121"/>
      <c r="B505" s="121"/>
      <c r="C505" s="121"/>
      <c r="D505" s="121"/>
      <c r="E505" s="121"/>
      <c r="F505" s="121"/>
      <c r="G505" s="121"/>
      <c r="H505" s="121"/>
      <c r="I505" s="121"/>
      <c r="J505" s="121"/>
      <c r="K505" s="121"/>
      <c r="L505" s="121"/>
      <c r="M505" s="121"/>
      <c r="N505" s="121"/>
      <c r="O505" s="121"/>
      <c r="P505" s="121"/>
      <c r="Q505" s="121"/>
      <c r="R505" s="121"/>
      <c r="S505" s="121"/>
      <c r="T505" s="121"/>
      <c r="U505" s="121"/>
      <c r="V505" s="121"/>
      <c r="W505" s="121"/>
      <c r="X505" s="121"/>
      <c r="Y505" s="121"/>
      <c r="Z505" s="121"/>
    </row>
    <row r="506" customFormat="false" ht="15.75" hidden="false" customHeight="false" outlineLevel="0" collapsed="false">
      <c r="A506" s="121"/>
      <c r="B506" s="121"/>
      <c r="C506" s="121"/>
      <c r="D506" s="121"/>
      <c r="E506" s="121"/>
      <c r="F506" s="121"/>
      <c r="G506" s="121"/>
      <c r="H506" s="121"/>
      <c r="I506" s="121"/>
      <c r="J506" s="121"/>
      <c r="K506" s="121"/>
      <c r="L506" s="121"/>
      <c r="M506" s="121"/>
      <c r="N506" s="121"/>
      <c r="O506" s="121"/>
      <c r="P506" s="121"/>
      <c r="Q506" s="121"/>
      <c r="R506" s="121"/>
      <c r="S506" s="121"/>
      <c r="T506" s="121"/>
      <c r="U506" s="121"/>
      <c r="V506" s="121"/>
      <c r="W506" s="121"/>
      <c r="X506" s="121"/>
      <c r="Y506" s="121"/>
      <c r="Z506" s="121"/>
    </row>
    <row r="507" customFormat="false" ht="15.75" hidden="false" customHeight="false" outlineLevel="0" collapsed="false">
      <c r="A507" s="121"/>
      <c r="B507" s="121"/>
      <c r="C507" s="121"/>
      <c r="D507" s="121"/>
      <c r="E507" s="121"/>
      <c r="F507" s="121"/>
      <c r="G507" s="121"/>
      <c r="H507" s="121"/>
      <c r="I507" s="121"/>
      <c r="J507" s="121"/>
      <c r="K507" s="121"/>
      <c r="L507" s="121"/>
      <c r="M507" s="121"/>
      <c r="N507" s="121"/>
      <c r="O507" s="121"/>
      <c r="P507" s="121"/>
      <c r="Q507" s="121"/>
      <c r="R507" s="121"/>
      <c r="S507" s="121"/>
      <c r="T507" s="121"/>
      <c r="U507" s="121"/>
      <c r="V507" s="121"/>
      <c r="W507" s="121"/>
      <c r="X507" s="121"/>
      <c r="Y507" s="121"/>
      <c r="Z507" s="121"/>
    </row>
    <row r="508" customFormat="false" ht="15.75" hidden="false" customHeight="false" outlineLevel="0" collapsed="false">
      <c r="A508" s="121"/>
      <c r="B508" s="121"/>
      <c r="C508" s="121"/>
      <c r="D508" s="121"/>
      <c r="E508" s="121"/>
      <c r="F508" s="121"/>
      <c r="G508" s="121"/>
      <c r="H508" s="121"/>
      <c r="I508" s="121"/>
      <c r="J508" s="121"/>
      <c r="K508" s="121"/>
      <c r="L508" s="121"/>
      <c r="M508" s="121"/>
      <c r="N508" s="121"/>
      <c r="O508" s="121"/>
      <c r="P508" s="121"/>
      <c r="Q508" s="121"/>
      <c r="R508" s="121"/>
      <c r="S508" s="121"/>
      <c r="T508" s="121"/>
      <c r="U508" s="121"/>
      <c r="V508" s="121"/>
      <c r="W508" s="121"/>
      <c r="X508" s="121"/>
      <c r="Y508" s="121"/>
      <c r="Z508" s="121"/>
    </row>
    <row r="509" customFormat="false" ht="15.75" hidden="false" customHeight="false" outlineLevel="0" collapsed="false">
      <c r="A509" s="121"/>
      <c r="B509" s="121"/>
      <c r="C509" s="121"/>
      <c r="D509" s="121"/>
      <c r="E509" s="121"/>
      <c r="F509" s="121"/>
      <c r="G509" s="121"/>
      <c r="H509" s="121"/>
      <c r="I509" s="121"/>
      <c r="J509" s="121"/>
      <c r="K509" s="121"/>
      <c r="L509" s="121"/>
      <c r="M509" s="121"/>
      <c r="N509" s="121"/>
      <c r="O509" s="121"/>
      <c r="P509" s="121"/>
      <c r="Q509" s="121"/>
      <c r="R509" s="121"/>
      <c r="S509" s="121"/>
      <c r="T509" s="121"/>
      <c r="U509" s="121"/>
      <c r="V509" s="121"/>
      <c r="W509" s="121"/>
      <c r="X509" s="121"/>
      <c r="Y509" s="121"/>
      <c r="Z509" s="121"/>
    </row>
    <row r="510" customFormat="false" ht="15.75" hidden="false" customHeight="false" outlineLevel="0" collapsed="false">
      <c r="A510" s="121"/>
      <c r="B510" s="121"/>
      <c r="C510" s="121"/>
      <c r="D510" s="121"/>
      <c r="E510" s="121"/>
      <c r="F510" s="121"/>
      <c r="G510" s="121"/>
      <c r="H510" s="121"/>
      <c r="I510" s="121"/>
      <c r="J510" s="121"/>
      <c r="K510" s="121"/>
      <c r="L510" s="121"/>
      <c r="M510" s="121"/>
      <c r="N510" s="121"/>
      <c r="O510" s="121"/>
      <c r="P510" s="121"/>
      <c r="Q510" s="121"/>
      <c r="R510" s="121"/>
      <c r="S510" s="121"/>
      <c r="T510" s="121"/>
      <c r="U510" s="121"/>
      <c r="V510" s="121"/>
      <c r="W510" s="121"/>
      <c r="X510" s="121"/>
      <c r="Y510" s="121"/>
      <c r="Z510" s="121"/>
    </row>
    <row r="511" customFormat="false" ht="15.75" hidden="false" customHeight="false" outlineLevel="0" collapsed="false">
      <c r="A511" s="121"/>
      <c r="B511" s="121"/>
      <c r="C511" s="121"/>
      <c r="D511" s="121"/>
      <c r="E511" s="121"/>
      <c r="F511" s="121"/>
      <c r="G511" s="121"/>
      <c r="H511" s="121"/>
      <c r="I511" s="121"/>
      <c r="J511" s="121"/>
      <c r="K511" s="121"/>
      <c r="L511" s="121"/>
      <c r="M511" s="121"/>
      <c r="N511" s="121"/>
      <c r="O511" s="121"/>
      <c r="P511" s="121"/>
      <c r="Q511" s="121"/>
      <c r="R511" s="121"/>
      <c r="S511" s="121"/>
      <c r="T511" s="121"/>
      <c r="U511" s="121"/>
      <c r="V511" s="121"/>
      <c r="W511" s="121"/>
      <c r="X511" s="121"/>
      <c r="Y511" s="121"/>
      <c r="Z511" s="121"/>
    </row>
    <row r="512" customFormat="false" ht="15.75" hidden="false" customHeight="false" outlineLevel="0" collapsed="false">
      <c r="A512" s="121"/>
      <c r="B512" s="121"/>
      <c r="C512" s="121"/>
      <c r="D512" s="121"/>
      <c r="E512" s="121"/>
      <c r="F512" s="121"/>
      <c r="G512" s="121"/>
      <c r="H512" s="121"/>
      <c r="I512" s="121"/>
      <c r="J512" s="121"/>
      <c r="K512" s="121"/>
      <c r="L512" s="121"/>
      <c r="M512" s="121"/>
      <c r="N512" s="121"/>
      <c r="O512" s="121"/>
      <c r="P512" s="121"/>
      <c r="Q512" s="121"/>
      <c r="R512" s="121"/>
      <c r="S512" s="121"/>
      <c r="T512" s="121"/>
      <c r="U512" s="121"/>
      <c r="V512" s="121"/>
      <c r="W512" s="121"/>
      <c r="X512" s="121"/>
      <c r="Y512" s="121"/>
      <c r="Z512" s="121"/>
    </row>
    <row r="513" customFormat="false" ht="15.75" hidden="false" customHeight="false" outlineLevel="0" collapsed="false">
      <c r="A513" s="121"/>
      <c r="B513" s="121"/>
      <c r="C513" s="121"/>
      <c r="D513" s="121"/>
      <c r="E513" s="121"/>
      <c r="F513" s="121"/>
      <c r="G513" s="121"/>
      <c r="H513" s="121"/>
      <c r="I513" s="121"/>
      <c r="J513" s="121"/>
      <c r="K513" s="121"/>
      <c r="L513" s="121"/>
      <c r="M513" s="121"/>
      <c r="N513" s="121"/>
      <c r="O513" s="121"/>
      <c r="P513" s="121"/>
      <c r="Q513" s="121"/>
      <c r="R513" s="121"/>
      <c r="S513" s="121"/>
      <c r="T513" s="121"/>
      <c r="U513" s="121"/>
      <c r="V513" s="121"/>
      <c r="W513" s="121"/>
      <c r="X513" s="121"/>
      <c r="Y513" s="121"/>
      <c r="Z513" s="121"/>
    </row>
    <row r="514" customFormat="false" ht="15.75" hidden="false" customHeight="false" outlineLevel="0" collapsed="false">
      <c r="A514" s="121"/>
      <c r="B514" s="121"/>
      <c r="C514" s="121"/>
      <c r="D514" s="121"/>
      <c r="E514" s="121"/>
      <c r="F514" s="121"/>
      <c r="G514" s="121"/>
      <c r="H514" s="121"/>
      <c r="I514" s="121"/>
      <c r="J514" s="121"/>
      <c r="K514" s="121"/>
      <c r="L514" s="121"/>
      <c r="M514" s="121"/>
      <c r="N514" s="121"/>
      <c r="O514" s="121"/>
      <c r="P514" s="121"/>
      <c r="Q514" s="121"/>
      <c r="R514" s="121"/>
      <c r="S514" s="121"/>
      <c r="T514" s="121"/>
      <c r="U514" s="121"/>
      <c r="V514" s="121"/>
      <c r="W514" s="121"/>
      <c r="X514" s="121"/>
      <c r="Y514" s="121"/>
      <c r="Z514" s="121"/>
    </row>
    <row r="515" customFormat="false" ht="15.75" hidden="false" customHeight="false" outlineLevel="0" collapsed="false">
      <c r="A515" s="121"/>
      <c r="B515" s="121"/>
      <c r="C515" s="121"/>
      <c r="D515" s="121"/>
      <c r="E515" s="121"/>
      <c r="F515" s="121"/>
      <c r="G515" s="121"/>
      <c r="H515" s="121"/>
      <c r="I515" s="121"/>
      <c r="J515" s="121"/>
      <c r="K515" s="121"/>
      <c r="L515" s="121"/>
      <c r="M515" s="121"/>
      <c r="N515" s="121"/>
      <c r="O515" s="121"/>
      <c r="P515" s="121"/>
      <c r="Q515" s="121"/>
      <c r="R515" s="121"/>
      <c r="S515" s="121"/>
      <c r="T515" s="121"/>
      <c r="U515" s="121"/>
      <c r="V515" s="121"/>
      <c r="W515" s="121"/>
      <c r="X515" s="121"/>
      <c r="Y515" s="121"/>
      <c r="Z515" s="121"/>
    </row>
    <row r="516" customFormat="false" ht="15.75" hidden="false" customHeight="false" outlineLevel="0" collapsed="false">
      <c r="A516" s="121"/>
      <c r="B516" s="121"/>
      <c r="C516" s="121"/>
      <c r="D516" s="121"/>
      <c r="E516" s="121"/>
      <c r="F516" s="121"/>
      <c r="G516" s="121"/>
      <c r="H516" s="121"/>
      <c r="I516" s="121"/>
      <c r="J516" s="121"/>
      <c r="K516" s="121"/>
      <c r="L516" s="121"/>
      <c r="M516" s="121"/>
      <c r="N516" s="121"/>
      <c r="O516" s="121"/>
      <c r="P516" s="121"/>
      <c r="Q516" s="121"/>
      <c r="R516" s="121"/>
      <c r="S516" s="121"/>
      <c r="T516" s="121"/>
      <c r="U516" s="121"/>
      <c r="V516" s="121"/>
      <c r="W516" s="121"/>
      <c r="X516" s="121"/>
      <c r="Y516" s="121"/>
      <c r="Z516" s="121"/>
    </row>
    <row r="517" customFormat="false" ht="15.75" hidden="false" customHeight="false" outlineLevel="0" collapsed="false">
      <c r="A517" s="121"/>
      <c r="B517" s="121"/>
      <c r="C517" s="121"/>
      <c r="D517" s="121"/>
      <c r="E517" s="121"/>
      <c r="F517" s="121"/>
      <c r="G517" s="121"/>
      <c r="H517" s="121"/>
      <c r="I517" s="121"/>
      <c r="J517" s="121"/>
      <c r="K517" s="121"/>
      <c r="L517" s="121"/>
      <c r="M517" s="121"/>
      <c r="N517" s="121"/>
      <c r="O517" s="121"/>
      <c r="P517" s="121"/>
      <c r="Q517" s="121"/>
      <c r="R517" s="121"/>
      <c r="S517" s="121"/>
      <c r="T517" s="121"/>
      <c r="U517" s="121"/>
      <c r="V517" s="121"/>
      <c r="W517" s="121"/>
      <c r="X517" s="121"/>
      <c r="Y517" s="121"/>
      <c r="Z517" s="121"/>
    </row>
    <row r="518" customFormat="false" ht="15.75" hidden="false" customHeight="false" outlineLevel="0" collapsed="false">
      <c r="A518" s="121"/>
      <c r="B518" s="121"/>
      <c r="C518" s="121"/>
      <c r="D518" s="121"/>
      <c r="E518" s="121"/>
      <c r="F518" s="121"/>
      <c r="G518" s="121"/>
      <c r="H518" s="121"/>
      <c r="I518" s="121"/>
      <c r="J518" s="121"/>
      <c r="K518" s="121"/>
      <c r="L518" s="121"/>
      <c r="M518" s="121"/>
      <c r="N518" s="121"/>
      <c r="O518" s="121"/>
      <c r="P518" s="121"/>
      <c r="Q518" s="121"/>
      <c r="R518" s="121"/>
      <c r="S518" s="121"/>
      <c r="T518" s="121"/>
      <c r="U518" s="121"/>
      <c r="V518" s="121"/>
      <c r="W518" s="121"/>
      <c r="X518" s="121"/>
      <c r="Y518" s="121"/>
      <c r="Z518" s="121"/>
    </row>
    <row r="519" customFormat="false" ht="15.75" hidden="false" customHeight="false" outlineLevel="0" collapsed="false">
      <c r="A519" s="121"/>
      <c r="B519" s="121"/>
      <c r="C519" s="121"/>
      <c r="D519" s="121"/>
      <c r="E519" s="121"/>
      <c r="F519" s="121"/>
      <c r="G519" s="121"/>
      <c r="H519" s="121"/>
      <c r="I519" s="121"/>
      <c r="J519" s="121"/>
      <c r="K519" s="121"/>
      <c r="L519" s="121"/>
      <c r="M519" s="121"/>
      <c r="N519" s="121"/>
      <c r="O519" s="121"/>
      <c r="P519" s="121"/>
      <c r="Q519" s="121"/>
      <c r="R519" s="121"/>
      <c r="S519" s="121"/>
      <c r="T519" s="121"/>
      <c r="U519" s="121"/>
      <c r="V519" s="121"/>
      <c r="W519" s="121"/>
      <c r="X519" s="121"/>
      <c r="Y519" s="121"/>
      <c r="Z519" s="121"/>
    </row>
    <row r="520" customFormat="false" ht="15.75" hidden="false" customHeight="false" outlineLevel="0" collapsed="false">
      <c r="A520" s="121"/>
      <c r="B520" s="121"/>
      <c r="C520" s="121"/>
      <c r="D520" s="121"/>
      <c r="E520" s="121"/>
      <c r="F520" s="121"/>
      <c r="G520" s="121"/>
      <c r="H520" s="121"/>
      <c r="I520" s="121"/>
      <c r="J520" s="121"/>
      <c r="K520" s="121"/>
      <c r="L520" s="121"/>
      <c r="M520" s="121"/>
      <c r="N520" s="121"/>
      <c r="O520" s="121"/>
      <c r="P520" s="121"/>
      <c r="Q520" s="121"/>
      <c r="R520" s="121"/>
      <c r="S520" s="121"/>
      <c r="T520" s="121"/>
      <c r="U520" s="121"/>
      <c r="V520" s="121"/>
      <c r="W520" s="121"/>
      <c r="X520" s="121"/>
      <c r="Y520" s="121"/>
      <c r="Z520" s="121"/>
    </row>
    <row r="521" customFormat="false" ht="15.75" hidden="false" customHeight="false" outlineLevel="0" collapsed="false">
      <c r="A521" s="121"/>
      <c r="B521" s="121"/>
      <c r="C521" s="121"/>
      <c r="D521" s="121"/>
      <c r="E521" s="121"/>
      <c r="F521" s="121"/>
      <c r="G521" s="121"/>
      <c r="H521" s="121"/>
      <c r="I521" s="121"/>
      <c r="J521" s="121"/>
      <c r="K521" s="121"/>
      <c r="L521" s="121"/>
      <c r="M521" s="121"/>
      <c r="N521" s="121"/>
      <c r="O521" s="121"/>
      <c r="P521" s="121"/>
      <c r="Q521" s="121"/>
      <c r="R521" s="121"/>
      <c r="S521" s="121"/>
      <c r="T521" s="121"/>
      <c r="U521" s="121"/>
      <c r="V521" s="121"/>
      <c r="W521" s="121"/>
      <c r="X521" s="121"/>
      <c r="Y521" s="121"/>
      <c r="Z521" s="121"/>
    </row>
    <row r="522" customFormat="false" ht="15.75" hidden="false" customHeight="false" outlineLevel="0" collapsed="false">
      <c r="A522" s="121"/>
      <c r="B522" s="121"/>
      <c r="C522" s="121"/>
      <c r="D522" s="121"/>
      <c r="E522" s="121"/>
      <c r="F522" s="121"/>
      <c r="G522" s="121"/>
      <c r="H522" s="121"/>
      <c r="I522" s="121"/>
      <c r="J522" s="121"/>
      <c r="K522" s="121"/>
      <c r="L522" s="121"/>
      <c r="M522" s="121"/>
      <c r="N522" s="121"/>
      <c r="O522" s="121"/>
      <c r="P522" s="121"/>
      <c r="Q522" s="121"/>
      <c r="R522" s="121"/>
      <c r="S522" s="121"/>
      <c r="T522" s="121"/>
      <c r="U522" s="121"/>
      <c r="V522" s="121"/>
      <c r="W522" s="121"/>
      <c r="X522" s="121"/>
      <c r="Y522" s="121"/>
      <c r="Z522" s="121"/>
    </row>
    <row r="523" customFormat="false" ht="15.75" hidden="false" customHeight="false" outlineLevel="0" collapsed="false">
      <c r="A523" s="121"/>
      <c r="B523" s="121"/>
      <c r="C523" s="121"/>
      <c r="D523" s="121"/>
      <c r="E523" s="121"/>
      <c r="F523" s="121"/>
      <c r="G523" s="121"/>
      <c r="H523" s="121"/>
      <c r="I523" s="121"/>
      <c r="J523" s="121"/>
      <c r="K523" s="121"/>
      <c r="L523" s="121"/>
      <c r="M523" s="121"/>
      <c r="N523" s="121"/>
      <c r="O523" s="121"/>
      <c r="P523" s="121"/>
      <c r="Q523" s="121"/>
      <c r="R523" s="121"/>
      <c r="S523" s="121"/>
      <c r="T523" s="121"/>
      <c r="U523" s="121"/>
      <c r="V523" s="121"/>
      <c r="W523" s="121"/>
      <c r="X523" s="121"/>
      <c r="Y523" s="121"/>
      <c r="Z523" s="121"/>
    </row>
    <row r="524" customFormat="false" ht="15.75" hidden="false" customHeight="false" outlineLevel="0" collapsed="false">
      <c r="A524" s="121"/>
      <c r="B524" s="121"/>
      <c r="C524" s="121"/>
      <c r="D524" s="121"/>
      <c r="E524" s="121"/>
      <c r="F524" s="121"/>
      <c r="G524" s="121"/>
      <c r="H524" s="121"/>
      <c r="I524" s="121"/>
      <c r="J524" s="121"/>
      <c r="K524" s="121"/>
      <c r="L524" s="121"/>
      <c r="M524" s="121"/>
      <c r="N524" s="121"/>
      <c r="O524" s="121"/>
      <c r="P524" s="121"/>
      <c r="Q524" s="121"/>
      <c r="R524" s="121"/>
      <c r="S524" s="121"/>
      <c r="T524" s="121"/>
      <c r="U524" s="121"/>
      <c r="V524" s="121"/>
      <c r="W524" s="121"/>
      <c r="X524" s="121"/>
      <c r="Y524" s="121"/>
      <c r="Z524" s="121"/>
    </row>
    <row r="525" customFormat="false" ht="15.75" hidden="false" customHeight="false" outlineLevel="0" collapsed="false">
      <c r="A525" s="121"/>
      <c r="B525" s="121"/>
      <c r="C525" s="121"/>
      <c r="D525" s="121"/>
      <c r="E525" s="121"/>
      <c r="F525" s="121"/>
      <c r="G525" s="121"/>
      <c r="H525" s="121"/>
      <c r="I525" s="121"/>
      <c r="J525" s="121"/>
      <c r="K525" s="121"/>
      <c r="L525" s="121"/>
      <c r="M525" s="121"/>
      <c r="N525" s="121"/>
      <c r="O525" s="121"/>
      <c r="P525" s="121"/>
      <c r="Q525" s="121"/>
      <c r="R525" s="121"/>
      <c r="S525" s="121"/>
      <c r="T525" s="121"/>
      <c r="U525" s="121"/>
      <c r="V525" s="121"/>
      <c r="W525" s="121"/>
      <c r="X525" s="121"/>
      <c r="Y525" s="121"/>
      <c r="Z525" s="121"/>
    </row>
    <row r="526" customFormat="false" ht="15.75" hidden="false" customHeight="false" outlineLevel="0" collapsed="false">
      <c r="A526" s="121"/>
      <c r="B526" s="121"/>
      <c r="C526" s="121"/>
      <c r="D526" s="121"/>
      <c r="E526" s="121"/>
      <c r="F526" s="121"/>
      <c r="G526" s="121"/>
      <c r="H526" s="121"/>
      <c r="I526" s="121"/>
      <c r="J526" s="121"/>
      <c r="K526" s="121"/>
      <c r="L526" s="121"/>
      <c r="M526" s="121"/>
      <c r="N526" s="121"/>
      <c r="O526" s="121"/>
      <c r="P526" s="121"/>
      <c r="Q526" s="121"/>
      <c r="R526" s="121"/>
      <c r="S526" s="121"/>
      <c r="T526" s="121"/>
      <c r="U526" s="121"/>
      <c r="V526" s="121"/>
      <c r="W526" s="121"/>
      <c r="X526" s="121"/>
      <c r="Y526" s="121"/>
      <c r="Z526" s="121"/>
    </row>
    <row r="527" customFormat="false" ht="15.75" hidden="false" customHeight="false" outlineLevel="0" collapsed="false">
      <c r="A527" s="121"/>
      <c r="B527" s="121"/>
      <c r="C527" s="121"/>
      <c r="D527" s="121"/>
      <c r="E527" s="121"/>
      <c r="F527" s="121"/>
      <c r="G527" s="121"/>
      <c r="H527" s="121"/>
      <c r="I527" s="121"/>
      <c r="J527" s="121"/>
      <c r="K527" s="121"/>
      <c r="L527" s="121"/>
      <c r="M527" s="121"/>
      <c r="N527" s="121"/>
      <c r="O527" s="121"/>
      <c r="P527" s="121"/>
      <c r="Q527" s="121"/>
      <c r="R527" s="121"/>
      <c r="S527" s="121"/>
      <c r="T527" s="121"/>
      <c r="U527" s="121"/>
      <c r="V527" s="121"/>
      <c r="W527" s="121"/>
      <c r="X527" s="121"/>
      <c r="Y527" s="121"/>
      <c r="Z527" s="121"/>
    </row>
    <row r="528" customFormat="false" ht="15.75" hidden="false" customHeight="false" outlineLevel="0" collapsed="false">
      <c r="A528" s="121"/>
      <c r="B528" s="121"/>
      <c r="C528" s="121"/>
      <c r="D528" s="121"/>
      <c r="E528" s="121"/>
      <c r="F528" s="121"/>
      <c r="G528" s="121"/>
      <c r="H528" s="121"/>
      <c r="I528" s="121"/>
      <c r="J528" s="121"/>
      <c r="K528" s="121"/>
      <c r="L528" s="121"/>
      <c r="M528" s="121"/>
      <c r="N528" s="121"/>
      <c r="O528" s="121"/>
      <c r="P528" s="121"/>
      <c r="Q528" s="121"/>
      <c r="R528" s="121"/>
      <c r="S528" s="121"/>
      <c r="T528" s="121"/>
      <c r="U528" s="121"/>
      <c r="V528" s="121"/>
      <c r="W528" s="121"/>
      <c r="X528" s="121"/>
      <c r="Y528" s="121"/>
      <c r="Z528" s="121"/>
    </row>
    <row r="529" customFormat="false" ht="15.75" hidden="false" customHeight="false" outlineLevel="0" collapsed="false">
      <c r="A529" s="121"/>
      <c r="B529" s="121"/>
      <c r="C529" s="121"/>
      <c r="D529" s="121"/>
      <c r="E529" s="121"/>
      <c r="F529" s="121"/>
      <c r="G529" s="121"/>
      <c r="H529" s="121"/>
      <c r="I529" s="121"/>
      <c r="J529" s="121"/>
      <c r="K529" s="121"/>
      <c r="L529" s="121"/>
      <c r="M529" s="121"/>
      <c r="N529" s="121"/>
      <c r="O529" s="121"/>
      <c r="P529" s="121"/>
      <c r="Q529" s="121"/>
      <c r="R529" s="121"/>
      <c r="S529" s="121"/>
      <c r="T529" s="121"/>
      <c r="U529" s="121"/>
      <c r="V529" s="121"/>
      <c r="W529" s="121"/>
      <c r="X529" s="121"/>
      <c r="Y529" s="121"/>
      <c r="Z529" s="121"/>
    </row>
    <row r="530" customFormat="false" ht="15.75" hidden="false" customHeight="false" outlineLevel="0" collapsed="false">
      <c r="A530" s="121"/>
      <c r="B530" s="121"/>
      <c r="C530" s="121"/>
      <c r="D530" s="121"/>
      <c r="E530" s="121"/>
      <c r="F530" s="121"/>
      <c r="G530" s="121"/>
      <c r="H530" s="121"/>
      <c r="I530" s="121"/>
      <c r="J530" s="121"/>
      <c r="K530" s="121"/>
      <c r="L530" s="121"/>
      <c r="M530" s="121"/>
      <c r="N530" s="121"/>
      <c r="O530" s="121"/>
      <c r="P530" s="121"/>
      <c r="Q530" s="121"/>
      <c r="R530" s="121"/>
      <c r="S530" s="121"/>
      <c r="T530" s="121"/>
      <c r="U530" s="121"/>
      <c r="V530" s="121"/>
      <c r="W530" s="121"/>
      <c r="X530" s="121"/>
      <c r="Y530" s="121"/>
      <c r="Z530" s="121"/>
    </row>
    <row r="531" customFormat="false" ht="15.75" hidden="false" customHeight="false" outlineLevel="0" collapsed="false">
      <c r="A531" s="121"/>
      <c r="B531" s="121"/>
      <c r="C531" s="121"/>
      <c r="D531" s="121"/>
      <c r="E531" s="121"/>
      <c r="F531" s="121"/>
      <c r="G531" s="121"/>
      <c r="H531" s="121"/>
      <c r="I531" s="121"/>
      <c r="J531" s="121"/>
      <c r="K531" s="121"/>
      <c r="L531" s="121"/>
      <c r="M531" s="121"/>
      <c r="N531" s="121"/>
      <c r="O531" s="121"/>
      <c r="P531" s="121"/>
      <c r="Q531" s="121"/>
      <c r="R531" s="121"/>
      <c r="S531" s="121"/>
      <c r="T531" s="121"/>
      <c r="U531" s="121"/>
      <c r="V531" s="121"/>
      <c r="W531" s="121"/>
      <c r="X531" s="121"/>
      <c r="Y531" s="121"/>
      <c r="Z531" s="121"/>
    </row>
    <row r="532" customFormat="false" ht="15.75" hidden="false" customHeight="false" outlineLevel="0" collapsed="false">
      <c r="A532" s="121"/>
      <c r="B532" s="121"/>
      <c r="C532" s="121"/>
      <c r="D532" s="121"/>
      <c r="E532" s="121"/>
      <c r="F532" s="121"/>
      <c r="G532" s="121"/>
      <c r="H532" s="121"/>
      <c r="I532" s="121"/>
      <c r="J532" s="121"/>
      <c r="K532" s="121"/>
      <c r="L532" s="121"/>
      <c r="M532" s="121"/>
      <c r="N532" s="121"/>
      <c r="O532" s="121"/>
      <c r="P532" s="121"/>
      <c r="Q532" s="121"/>
      <c r="R532" s="121"/>
      <c r="S532" s="121"/>
      <c r="T532" s="121"/>
      <c r="U532" s="121"/>
      <c r="V532" s="121"/>
      <c r="W532" s="121"/>
      <c r="X532" s="121"/>
      <c r="Y532" s="121"/>
      <c r="Z532" s="121"/>
    </row>
    <row r="533" customFormat="false" ht="15.75" hidden="false" customHeight="false" outlineLevel="0" collapsed="false">
      <c r="A533" s="121"/>
      <c r="B533" s="121"/>
      <c r="C533" s="121"/>
      <c r="D533" s="121"/>
      <c r="E533" s="121"/>
      <c r="F533" s="121"/>
      <c r="G533" s="121"/>
      <c r="H533" s="121"/>
      <c r="I533" s="121"/>
      <c r="J533" s="121"/>
      <c r="K533" s="121"/>
      <c r="L533" s="121"/>
      <c r="M533" s="121"/>
      <c r="N533" s="121"/>
      <c r="O533" s="121"/>
      <c r="P533" s="121"/>
      <c r="Q533" s="121"/>
      <c r="R533" s="121"/>
      <c r="S533" s="121"/>
      <c r="T533" s="121"/>
      <c r="U533" s="121"/>
      <c r="V533" s="121"/>
      <c r="W533" s="121"/>
      <c r="X533" s="121"/>
      <c r="Y533" s="121"/>
      <c r="Z533" s="121"/>
    </row>
    <row r="534" customFormat="false" ht="15.75" hidden="false" customHeight="false" outlineLevel="0" collapsed="false">
      <c r="A534" s="121"/>
      <c r="B534" s="121"/>
      <c r="C534" s="121"/>
      <c r="D534" s="121"/>
      <c r="E534" s="121"/>
      <c r="F534" s="121"/>
      <c r="G534" s="121"/>
      <c r="H534" s="121"/>
      <c r="I534" s="121"/>
      <c r="J534" s="121"/>
      <c r="K534" s="121"/>
      <c r="L534" s="121"/>
      <c r="M534" s="121"/>
      <c r="N534" s="121"/>
      <c r="O534" s="121"/>
      <c r="P534" s="121"/>
      <c r="Q534" s="121"/>
      <c r="R534" s="121"/>
      <c r="S534" s="121"/>
      <c r="T534" s="121"/>
      <c r="U534" s="121"/>
      <c r="V534" s="121"/>
      <c r="W534" s="121"/>
      <c r="X534" s="121"/>
      <c r="Y534" s="121"/>
      <c r="Z534" s="121"/>
    </row>
    <row r="535" customFormat="false" ht="15.75" hidden="false" customHeight="false" outlineLevel="0" collapsed="false">
      <c r="A535" s="121"/>
      <c r="B535" s="121"/>
      <c r="C535" s="121"/>
      <c r="D535" s="121"/>
      <c r="E535" s="121"/>
      <c r="F535" s="121"/>
      <c r="G535" s="121"/>
      <c r="H535" s="121"/>
      <c r="I535" s="121"/>
      <c r="J535" s="121"/>
      <c r="K535" s="121"/>
      <c r="L535" s="121"/>
      <c r="M535" s="121"/>
      <c r="N535" s="121"/>
      <c r="O535" s="121"/>
      <c r="P535" s="121"/>
      <c r="Q535" s="121"/>
      <c r="R535" s="121"/>
      <c r="S535" s="121"/>
      <c r="T535" s="121"/>
      <c r="U535" s="121"/>
      <c r="V535" s="121"/>
      <c r="W535" s="121"/>
      <c r="X535" s="121"/>
      <c r="Y535" s="121"/>
      <c r="Z535" s="121"/>
    </row>
    <row r="536" customFormat="false" ht="15.75" hidden="false" customHeight="false" outlineLevel="0" collapsed="false">
      <c r="A536" s="121"/>
      <c r="B536" s="121"/>
      <c r="C536" s="121"/>
      <c r="D536" s="121"/>
      <c r="E536" s="121"/>
      <c r="F536" s="121"/>
      <c r="G536" s="121"/>
      <c r="H536" s="121"/>
      <c r="I536" s="121"/>
      <c r="J536" s="121"/>
      <c r="K536" s="121"/>
      <c r="L536" s="121"/>
      <c r="M536" s="121"/>
      <c r="N536" s="121"/>
      <c r="O536" s="121"/>
      <c r="P536" s="121"/>
      <c r="Q536" s="121"/>
      <c r="R536" s="121"/>
      <c r="S536" s="121"/>
      <c r="T536" s="121"/>
      <c r="U536" s="121"/>
      <c r="V536" s="121"/>
      <c r="W536" s="121"/>
      <c r="X536" s="121"/>
      <c r="Y536" s="121"/>
      <c r="Z536" s="121"/>
    </row>
    <row r="537" customFormat="false" ht="15.75" hidden="false" customHeight="false" outlineLevel="0" collapsed="false">
      <c r="A537" s="121"/>
      <c r="B537" s="121"/>
      <c r="C537" s="121"/>
      <c r="D537" s="121"/>
      <c r="E537" s="121"/>
      <c r="F537" s="121"/>
      <c r="G537" s="121"/>
      <c r="H537" s="121"/>
      <c r="I537" s="121"/>
      <c r="J537" s="121"/>
      <c r="K537" s="121"/>
      <c r="L537" s="121"/>
      <c r="M537" s="121"/>
      <c r="N537" s="121"/>
      <c r="O537" s="121"/>
      <c r="P537" s="121"/>
      <c r="Q537" s="121"/>
      <c r="R537" s="121"/>
      <c r="S537" s="121"/>
      <c r="T537" s="121"/>
      <c r="U537" s="121"/>
      <c r="V537" s="121"/>
      <c r="W537" s="121"/>
      <c r="X537" s="121"/>
      <c r="Y537" s="121"/>
      <c r="Z537" s="121"/>
    </row>
    <row r="538" customFormat="false" ht="15.75" hidden="false" customHeight="false" outlineLevel="0" collapsed="false">
      <c r="A538" s="121"/>
      <c r="B538" s="121"/>
      <c r="C538" s="121"/>
      <c r="D538" s="121"/>
      <c r="E538" s="121"/>
      <c r="F538" s="121"/>
      <c r="G538" s="121"/>
      <c r="H538" s="121"/>
      <c r="I538" s="121"/>
      <c r="J538" s="121"/>
      <c r="K538" s="121"/>
      <c r="L538" s="121"/>
      <c r="M538" s="121"/>
      <c r="N538" s="121"/>
      <c r="O538" s="121"/>
      <c r="P538" s="121"/>
      <c r="Q538" s="121"/>
      <c r="R538" s="121"/>
      <c r="S538" s="121"/>
      <c r="T538" s="121"/>
      <c r="U538" s="121"/>
      <c r="V538" s="121"/>
      <c r="W538" s="121"/>
      <c r="X538" s="121"/>
      <c r="Y538" s="121"/>
      <c r="Z538" s="121"/>
    </row>
    <row r="539" customFormat="false" ht="15.75" hidden="false" customHeight="false" outlineLevel="0" collapsed="false">
      <c r="A539" s="121"/>
      <c r="B539" s="121"/>
      <c r="C539" s="121"/>
      <c r="D539" s="121"/>
      <c r="E539" s="121"/>
      <c r="F539" s="121"/>
      <c r="G539" s="121"/>
      <c r="H539" s="121"/>
      <c r="I539" s="121"/>
      <c r="J539" s="121"/>
      <c r="K539" s="121"/>
      <c r="L539" s="121"/>
      <c r="M539" s="121"/>
      <c r="N539" s="121"/>
      <c r="O539" s="121"/>
      <c r="P539" s="121"/>
      <c r="Q539" s="121"/>
      <c r="R539" s="121"/>
      <c r="S539" s="121"/>
      <c r="T539" s="121"/>
      <c r="U539" s="121"/>
      <c r="V539" s="121"/>
      <c r="W539" s="121"/>
      <c r="X539" s="121"/>
      <c r="Y539" s="121"/>
      <c r="Z539" s="121"/>
    </row>
    <row r="540" customFormat="false" ht="15.75" hidden="false" customHeight="false" outlineLevel="0" collapsed="false">
      <c r="A540" s="121"/>
      <c r="B540" s="121"/>
      <c r="C540" s="121"/>
      <c r="D540" s="121"/>
      <c r="E540" s="121"/>
      <c r="F540" s="121"/>
      <c r="G540" s="121"/>
      <c r="H540" s="121"/>
      <c r="I540" s="121"/>
      <c r="J540" s="121"/>
      <c r="K540" s="121"/>
      <c r="L540" s="121"/>
      <c r="M540" s="121"/>
      <c r="N540" s="121"/>
      <c r="O540" s="121"/>
      <c r="P540" s="121"/>
      <c r="Q540" s="121"/>
      <c r="R540" s="121"/>
      <c r="S540" s="121"/>
      <c r="T540" s="121"/>
      <c r="U540" s="121"/>
      <c r="V540" s="121"/>
      <c r="W540" s="121"/>
      <c r="X540" s="121"/>
      <c r="Y540" s="121"/>
      <c r="Z540" s="121"/>
    </row>
    <row r="541" customFormat="false" ht="15.75" hidden="false" customHeight="false" outlineLevel="0" collapsed="false">
      <c r="A541" s="121"/>
      <c r="B541" s="121"/>
      <c r="C541" s="121"/>
      <c r="D541" s="121"/>
      <c r="E541" s="121"/>
      <c r="F541" s="121"/>
      <c r="G541" s="121"/>
      <c r="H541" s="121"/>
      <c r="I541" s="121"/>
      <c r="J541" s="121"/>
      <c r="K541" s="121"/>
      <c r="L541" s="121"/>
      <c r="M541" s="121"/>
      <c r="N541" s="121"/>
      <c r="O541" s="121"/>
      <c r="P541" s="121"/>
      <c r="Q541" s="121"/>
      <c r="R541" s="121"/>
      <c r="S541" s="121"/>
      <c r="T541" s="121"/>
      <c r="U541" s="121"/>
      <c r="V541" s="121"/>
      <c r="W541" s="121"/>
      <c r="X541" s="121"/>
      <c r="Y541" s="121"/>
      <c r="Z541" s="121"/>
    </row>
    <row r="542" customFormat="false" ht="15.75" hidden="false" customHeight="false" outlineLevel="0" collapsed="false">
      <c r="A542" s="121"/>
      <c r="B542" s="121"/>
      <c r="C542" s="121"/>
      <c r="D542" s="121"/>
      <c r="E542" s="121"/>
      <c r="F542" s="121"/>
      <c r="G542" s="121"/>
      <c r="H542" s="121"/>
      <c r="I542" s="121"/>
      <c r="J542" s="121"/>
      <c r="K542" s="121"/>
      <c r="L542" s="121"/>
      <c r="M542" s="121"/>
      <c r="N542" s="121"/>
      <c r="O542" s="121"/>
      <c r="P542" s="121"/>
      <c r="Q542" s="121"/>
      <c r="R542" s="121"/>
      <c r="S542" s="121"/>
      <c r="T542" s="121"/>
      <c r="U542" s="121"/>
      <c r="V542" s="121"/>
      <c r="W542" s="121"/>
      <c r="X542" s="121"/>
      <c r="Y542" s="121"/>
      <c r="Z542" s="121"/>
    </row>
    <row r="543" customFormat="false" ht="15.75" hidden="false" customHeight="false" outlineLevel="0" collapsed="false">
      <c r="A543" s="121"/>
      <c r="B543" s="121"/>
      <c r="C543" s="121"/>
      <c r="D543" s="121"/>
      <c r="E543" s="121"/>
      <c r="F543" s="121"/>
      <c r="G543" s="121"/>
      <c r="H543" s="121"/>
      <c r="I543" s="121"/>
      <c r="J543" s="121"/>
      <c r="K543" s="121"/>
      <c r="L543" s="121"/>
      <c r="M543" s="121"/>
      <c r="N543" s="121"/>
      <c r="O543" s="121"/>
      <c r="P543" s="121"/>
      <c r="Q543" s="121"/>
      <c r="R543" s="121"/>
      <c r="S543" s="121"/>
      <c r="T543" s="121"/>
      <c r="U543" s="121"/>
      <c r="V543" s="121"/>
      <c r="W543" s="121"/>
      <c r="X543" s="121"/>
      <c r="Y543" s="121"/>
      <c r="Z543" s="121"/>
    </row>
    <row r="544" customFormat="false" ht="15.75" hidden="false" customHeight="false" outlineLevel="0" collapsed="false">
      <c r="A544" s="121"/>
      <c r="B544" s="121"/>
      <c r="C544" s="121"/>
      <c r="D544" s="121"/>
      <c r="E544" s="121"/>
      <c r="F544" s="121"/>
      <c r="G544" s="121"/>
      <c r="H544" s="121"/>
      <c r="I544" s="121"/>
      <c r="J544" s="121"/>
      <c r="K544" s="121"/>
      <c r="L544" s="121"/>
      <c r="M544" s="121"/>
      <c r="N544" s="121"/>
      <c r="O544" s="121"/>
      <c r="P544" s="121"/>
      <c r="Q544" s="121"/>
      <c r="R544" s="121"/>
      <c r="S544" s="121"/>
      <c r="T544" s="121"/>
      <c r="U544" s="121"/>
      <c r="V544" s="121"/>
      <c r="W544" s="121"/>
      <c r="X544" s="121"/>
      <c r="Y544" s="121"/>
      <c r="Z544" s="121"/>
    </row>
    <row r="545" customFormat="false" ht="15.75" hidden="false" customHeight="false" outlineLevel="0" collapsed="false">
      <c r="A545" s="121"/>
      <c r="B545" s="121"/>
      <c r="C545" s="121"/>
      <c r="D545" s="121"/>
      <c r="E545" s="121"/>
      <c r="F545" s="121"/>
      <c r="G545" s="121"/>
      <c r="H545" s="121"/>
      <c r="I545" s="121"/>
      <c r="J545" s="121"/>
      <c r="K545" s="121"/>
      <c r="L545" s="121"/>
      <c r="M545" s="121"/>
      <c r="N545" s="121"/>
      <c r="O545" s="121"/>
      <c r="P545" s="121"/>
      <c r="Q545" s="121"/>
      <c r="R545" s="121"/>
      <c r="S545" s="121"/>
      <c r="T545" s="121"/>
      <c r="U545" s="121"/>
      <c r="V545" s="121"/>
      <c r="W545" s="121"/>
      <c r="X545" s="121"/>
      <c r="Y545" s="121"/>
      <c r="Z545" s="121"/>
    </row>
    <row r="546" customFormat="false" ht="15.75" hidden="false" customHeight="false" outlineLevel="0" collapsed="false">
      <c r="A546" s="121"/>
      <c r="B546" s="121"/>
      <c r="C546" s="121"/>
      <c r="D546" s="121"/>
      <c r="E546" s="121"/>
      <c r="F546" s="121"/>
      <c r="G546" s="121"/>
      <c r="H546" s="121"/>
      <c r="I546" s="121"/>
      <c r="J546" s="121"/>
      <c r="K546" s="121"/>
      <c r="L546" s="121"/>
      <c r="M546" s="121"/>
      <c r="N546" s="121"/>
      <c r="O546" s="121"/>
      <c r="P546" s="121"/>
      <c r="Q546" s="121"/>
      <c r="R546" s="121"/>
      <c r="S546" s="121"/>
      <c r="T546" s="121"/>
      <c r="U546" s="121"/>
      <c r="V546" s="121"/>
      <c r="W546" s="121"/>
      <c r="X546" s="121"/>
      <c r="Y546" s="121"/>
      <c r="Z546" s="121"/>
    </row>
    <row r="547" customFormat="false" ht="15.75" hidden="false" customHeight="false" outlineLevel="0" collapsed="false">
      <c r="A547" s="121"/>
      <c r="B547" s="121"/>
      <c r="C547" s="121"/>
      <c r="D547" s="121"/>
      <c r="E547" s="121"/>
      <c r="F547" s="121"/>
      <c r="G547" s="121"/>
      <c r="H547" s="121"/>
      <c r="I547" s="121"/>
      <c r="J547" s="121"/>
      <c r="K547" s="121"/>
      <c r="L547" s="121"/>
      <c r="M547" s="121"/>
      <c r="N547" s="121"/>
      <c r="O547" s="121"/>
      <c r="P547" s="121"/>
      <c r="Q547" s="121"/>
      <c r="R547" s="121"/>
      <c r="S547" s="121"/>
      <c r="T547" s="121"/>
      <c r="U547" s="121"/>
      <c r="V547" s="121"/>
      <c r="W547" s="121"/>
      <c r="X547" s="121"/>
      <c r="Y547" s="121"/>
      <c r="Z547" s="121"/>
    </row>
    <row r="548" customFormat="false" ht="15.75" hidden="false" customHeight="false" outlineLevel="0" collapsed="false">
      <c r="A548" s="121"/>
      <c r="B548" s="121"/>
      <c r="C548" s="121"/>
      <c r="D548" s="121"/>
      <c r="E548" s="121"/>
      <c r="F548" s="121"/>
      <c r="G548" s="121"/>
      <c r="H548" s="121"/>
      <c r="I548" s="121"/>
      <c r="J548" s="121"/>
      <c r="K548" s="121"/>
      <c r="L548" s="121"/>
      <c r="M548" s="121"/>
      <c r="N548" s="121"/>
      <c r="O548" s="121"/>
      <c r="P548" s="121"/>
      <c r="Q548" s="121"/>
      <c r="R548" s="121"/>
      <c r="S548" s="121"/>
      <c r="T548" s="121"/>
      <c r="U548" s="121"/>
      <c r="V548" s="121"/>
      <c r="W548" s="121"/>
      <c r="X548" s="121"/>
      <c r="Y548" s="121"/>
      <c r="Z548" s="121"/>
    </row>
    <row r="549" customFormat="false" ht="15.75" hidden="false" customHeight="false" outlineLevel="0" collapsed="false">
      <c r="A549" s="121"/>
      <c r="B549" s="121"/>
      <c r="C549" s="121"/>
      <c r="D549" s="121"/>
      <c r="E549" s="121"/>
      <c r="F549" s="121"/>
      <c r="G549" s="121"/>
      <c r="H549" s="121"/>
      <c r="I549" s="121"/>
      <c r="J549" s="121"/>
      <c r="K549" s="121"/>
      <c r="L549" s="121"/>
      <c r="M549" s="121"/>
      <c r="N549" s="121"/>
      <c r="O549" s="121"/>
      <c r="P549" s="121"/>
      <c r="Q549" s="121"/>
      <c r="R549" s="121"/>
      <c r="S549" s="121"/>
      <c r="T549" s="121"/>
      <c r="U549" s="121"/>
      <c r="V549" s="121"/>
      <c r="W549" s="121"/>
      <c r="X549" s="121"/>
      <c r="Y549" s="121"/>
      <c r="Z549" s="121"/>
    </row>
    <row r="550" customFormat="false" ht="15.75" hidden="false" customHeight="false" outlineLevel="0" collapsed="false">
      <c r="A550" s="121"/>
      <c r="B550" s="121"/>
      <c r="C550" s="121"/>
      <c r="D550" s="121"/>
      <c r="E550" s="121"/>
      <c r="F550" s="121"/>
      <c r="G550" s="121"/>
      <c r="H550" s="121"/>
      <c r="I550" s="121"/>
      <c r="J550" s="121"/>
      <c r="K550" s="121"/>
      <c r="L550" s="121"/>
      <c r="M550" s="121"/>
      <c r="N550" s="121"/>
      <c r="O550" s="121"/>
      <c r="P550" s="121"/>
      <c r="Q550" s="121"/>
      <c r="R550" s="121"/>
      <c r="S550" s="121"/>
      <c r="T550" s="121"/>
      <c r="U550" s="121"/>
      <c r="V550" s="121"/>
      <c r="W550" s="121"/>
      <c r="X550" s="121"/>
      <c r="Y550" s="121"/>
      <c r="Z550" s="121"/>
    </row>
    <row r="551" customFormat="false" ht="15.75" hidden="false" customHeight="false" outlineLevel="0" collapsed="false">
      <c r="A551" s="121"/>
      <c r="B551" s="121"/>
      <c r="C551" s="121"/>
      <c r="D551" s="121"/>
      <c r="E551" s="121"/>
      <c r="F551" s="121"/>
      <c r="G551" s="121"/>
      <c r="H551" s="121"/>
      <c r="I551" s="121"/>
      <c r="J551" s="121"/>
      <c r="K551" s="121"/>
      <c r="L551" s="121"/>
      <c r="M551" s="121"/>
      <c r="N551" s="121"/>
      <c r="O551" s="121"/>
      <c r="P551" s="121"/>
      <c r="Q551" s="121"/>
      <c r="R551" s="121"/>
      <c r="S551" s="121"/>
      <c r="T551" s="121"/>
      <c r="U551" s="121"/>
      <c r="V551" s="121"/>
      <c r="W551" s="121"/>
      <c r="X551" s="121"/>
      <c r="Y551" s="121"/>
      <c r="Z551" s="121"/>
    </row>
    <row r="552" customFormat="false" ht="15.75" hidden="false" customHeight="false" outlineLevel="0" collapsed="false">
      <c r="A552" s="121"/>
      <c r="B552" s="121"/>
      <c r="C552" s="121"/>
      <c r="D552" s="121"/>
      <c r="E552" s="121"/>
      <c r="F552" s="121"/>
      <c r="G552" s="121"/>
      <c r="H552" s="121"/>
      <c r="I552" s="121"/>
      <c r="J552" s="121"/>
      <c r="K552" s="121"/>
      <c r="L552" s="121"/>
      <c r="M552" s="121"/>
      <c r="N552" s="121"/>
      <c r="O552" s="121"/>
      <c r="P552" s="121"/>
      <c r="Q552" s="121"/>
      <c r="R552" s="121"/>
      <c r="S552" s="121"/>
      <c r="T552" s="121"/>
      <c r="U552" s="121"/>
      <c r="V552" s="121"/>
      <c r="W552" s="121"/>
      <c r="X552" s="121"/>
      <c r="Y552" s="121"/>
      <c r="Z552" s="121"/>
    </row>
    <row r="553" customFormat="false" ht="15.75" hidden="false" customHeight="false" outlineLevel="0" collapsed="false">
      <c r="A553" s="121"/>
      <c r="B553" s="121"/>
      <c r="C553" s="121"/>
      <c r="D553" s="121"/>
      <c r="E553" s="121"/>
      <c r="F553" s="121"/>
      <c r="G553" s="121"/>
      <c r="H553" s="121"/>
      <c r="I553" s="121"/>
      <c r="J553" s="121"/>
      <c r="K553" s="121"/>
      <c r="L553" s="121"/>
      <c r="M553" s="121"/>
      <c r="N553" s="121"/>
      <c r="O553" s="121"/>
      <c r="P553" s="121"/>
      <c r="Q553" s="121"/>
      <c r="R553" s="121"/>
      <c r="S553" s="121"/>
      <c r="T553" s="121"/>
      <c r="U553" s="121"/>
      <c r="V553" s="121"/>
      <c r="W553" s="121"/>
      <c r="X553" s="121"/>
      <c r="Y553" s="121"/>
      <c r="Z553" s="121"/>
    </row>
    <row r="554" customFormat="false" ht="15.75" hidden="false" customHeight="false" outlineLevel="0" collapsed="false">
      <c r="A554" s="121"/>
      <c r="B554" s="121"/>
      <c r="C554" s="121"/>
      <c r="D554" s="121"/>
      <c r="E554" s="121"/>
      <c r="F554" s="121"/>
      <c r="G554" s="121"/>
      <c r="H554" s="121"/>
      <c r="I554" s="121"/>
      <c r="J554" s="121"/>
      <c r="K554" s="121"/>
      <c r="L554" s="121"/>
      <c r="M554" s="121"/>
      <c r="N554" s="121"/>
      <c r="O554" s="121"/>
      <c r="P554" s="121"/>
      <c r="Q554" s="121"/>
      <c r="R554" s="121"/>
      <c r="S554" s="121"/>
      <c r="T554" s="121"/>
      <c r="U554" s="121"/>
      <c r="V554" s="121"/>
      <c r="W554" s="121"/>
      <c r="X554" s="121"/>
      <c r="Y554" s="121"/>
      <c r="Z554" s="121"/>
    </row>
    <row r="555" customFormat="false" ht="15.75" hidden="false" customHeight="false" outlineLevel="0" collapsed="false">
      <c r="A555" s="121"/>
      <c r="B555" s="121"/>
      <c r="C555" s="121"/>
      <c r="D555" s="121"/>
      <c r="E555" s="121"/>
      <c r="F555" s="121"/>
      <c r="G555" s="121"/>
      <c r="H555" s="121"/>
      <c r="I555" s="121"/>
      <c r="J555" s="121"/>
      <c r="K555" s="121"/>
      <c r="L555" s="121"/>
      <c r="M555" s="121"/>
      <c r="N555" s="121"/>
      <c r="O555" s="121"/>
      <c r="P555" s="121"/>
      <c r="Q555" s="121"/>
      <c r="R555" s="121"/>
      <c r="S555" s="121"/>
      <c r="T555" s="121"/>
      <c r="U555" s="121"/>
      <c r="V555" s="121"/>
      <c r="W555" s="121"/>
      <c r="X555" s="121"/>
      <c r="Y555" s="121"/>
      <c r="Z555" s="121"/>
    </row>
    <row r="556" customFormat="false" ht="15.75" hidden="false" customHeight="false" outlineLevel="0" collapsed="false">
      <c r="A556" s="121"/>
      <c r="B556" s="121"/>
      <c r="C556" s="121"/>
      <c r="D556" s="121"/>
      <c r="E556" s="121"/>
      <c r="F556" s="121"/>
      <c r="G556" s="121"/>
      <c r="H556" s="121"/>
      <c r="I556" s="121"/>
      <c r="J556" s="121"/>
      <c r="K556" s="121"/>
      <c r="L556" s="121"/>
      <c r="M556" s="121"/>
      <c r="N556" s="121"/>
      <c r="O556" s="121"/>
      <c r="P556" s="121"/>
      <c r="Q556" s="121"/>
      <c r="R556" s="121"/>
      <c r="S556" s="121"/>
      <c r="T556" s="121"/>
      <c r="U556" s="121"/>
      <c r="V556" s="121"/>
      <c r="W556" s="121"/>
      <c r="X556" s="121"/>
      <c r="Y556" s="121"/>
      <c r="Z556" s="121"/>
    </row>
    <row r="557" customFormat="false" ht="15.75" hidden="false" customHeight="false" outlineLevel="0" collapsed="false">
      <c r="A557" s="121"/>
      <c r="B557" s="121"/>
      <c r="C557" s="121"/>
      <c r="D557" s="121"/>
      <c r="E557" s="121"/>
      <c r="F557" s="121"/>
      <c r="G557" s="121"/>
      <c r="H557" s="121"/>
      <c r="I557" s="121"/>
      <c r="J557" s="121"/>
      <c r="K557" s="121"/>
      <c r="L557" s="121"/>
      <c r="M557" s="121"/>
      <c r="N557" s="121"/>
      <c r="O557" s="121"/>
      <c r="P557" s="121"/>
      <c r="Q557" s="121"/>
      <c r="R557" s="121"/>
      <c r="S557" s="121"/>
      <c r="T557" s="121"/>
      <c r="U557" s="121"/>
      <c r="V557" s="121"/>
      <c r="W557" s="121"/>
      <c r="X557" s="121"/>
      <c r="Y557" s="121"/>
      <c r="Z557" s="121"/>
    </row>
    <row r="558" customFormat="false" ht="15.75" hidden="false" customHeight="false" outlineLevel="0" collapsed="false">
      <c r="A558" s="121"/>
      <c r="B558" s="121"/>
      <c r="C558" s="121"/>
      <c r="D558" s="121"/>
      <c r="E558" s="121"/>
      <c r="F558" s="121"/>
      <c r="G558" s="121"/>
      <c r="H558" s="121"/>
      <c r="I558" s="121"/>
      <c r="J558" s="121"/>
      <c r="K558" s="121"/>
      <c r="L558" s="121"/>
      <c r="M558" s="121"/>
      <c r="N558" s="121"/>
      <c r="O558" s="121"/>
      <c r="P558" s="121"/>
      <c r="Q558" s="121"/>
      <c r="R558" s="121"/>
      <c r="S558" s="121"/>
      <c r="T558" s="121"/>
      <c r="U558" s="121"/>
      <c r="V558" s="121"/>
      <c r="W558" s="121"/>
      <c r="X558" s="121"/>
      <c r="Y558" s="121"/>
      <c r="Z558" s="121"/>
    </row>
    <row r="559" customFormat="false" ht="15.75" hidden="false" customHeight="false" outlineLevel="0" collapsed="false">
      <c r="A559" s="121"/>
      <c r="B559" s="121"/>
      <c r="C559" s="121"/>
      <c r="D559" s="121"/>
      <c r="E559" s="121"/>
      <c r="F559" s="121"/>
      <c r="G559" s="121"/>
      <c r="H559" s="121"/>
      <c r="I559" s="121"/>
      <c r="J559" s="121"/>
      <c r="K559" s="121"/>
      <c r="L559" s="121"/>
      <c r="M559" s="121"/>
      <c r="N559" s="121"/>
      <c r="O559" s="121"/>
      <c r="P559" s="121"/>
      <c r="Q559" s="121"/>
      <c r="R559" s="121"/>
      <c r="S559" s="121"/>
      <c r="T559" s="121"/>
      <c r="U559" s="121"/>
      <c r="V559" s="121"/>
      <c r="W559" s="121"/>
      <c r="X559" s="121"/>
      <c r="Y559" s="121"/>
      <c r="Z559" s="121"/>
    </row>
    <row r="560" customFormat="false" ht="15.75" hidden="false" customHeight="false" outlineLevel="0" collapsed="false">
      <c r="A560" s="121"/>
      <c r="B560" s="121"/>
      <c r="C560" s="121"/>
      <c r="D560" s="121"/>
      <c r="E560" s="121"/>
      <c r="F560" s="121"/>
      <c r="G560" s="121"/>
      <c r="H560" s="121"/>
      <c r="I560" s="121"/>
      <c r="J560" s="121"/>
      <c r="K560" s="121"/>
      <c r="L560" s="121"/>
      <c r="M560" s="121"/>
      <c r="N560" s="121"/>
      <c r="O560" s="121"/>
      <c r="P560" s="121"/>
      <c r="Q560" s="121"/>
      <c r="R560" s="121"/>
      <c r="S560" s="121"/>
      <c r="T560" s="121"/>
      <c r="U560" s="121"/>
      <c r="V560" s="121"/>
      <c r="W560" s="121"/>
      <c r="X560" s="121"/>
      <c r="Y560" s="121"/>
      <c r="Z560" s="121"/>
    </row>
    <row r="561" customFormat="false" ht="15.75" hidden="false" customHeight="false" outlineLevel="0" collapsed="false">
      <c r="A561" s="121"/>
      <c r="B561" s="121"/>
      <c r="C561" s="121"/>
      <c r="D561" s="121"/>
      <c r="E561" s="121"/>
      <c r="F561" s="121"/>
      <c r="G561" s="121"/>
      <c r="H561" s="121"/>
      <c r="I561" s="121"/>
      <c r="J561" s="121"/>
      <c r="K561" s="121"/>
      <c r="L561" s="121"/>
      <c r="M561" s="121"/>
      <c r="N561" s="121"/>
      <c r="O561" s="121"/>
      <c r="P561" s="121"/>
      <c r="Q561" s="121"/>
      <c r="R561" s="121"/>
      <c r="S561" s="121"/>
      <c r="T561" s="121"/>
      <c r="U561" s="121"/>
      <c r="V561" s="121"/>
      <c r="W561" s="121"/>
      <c r="X561" s="121"/>
      <c r="Y561" s="121"/>
      <c r="Z561" s="121"/>
    </row>
    <row r="562" customFormat="false" ht="15.75" hidden="false" customHeight="false" outlineLevel="0" collapsed="false">
      <c r="A562" s="121"/>
      <c r="B562" s="121"/>
      <c r="C562" s="121"/>
      <c r="D562" s="121"/>
      <c r="E562" s="121"/>
      <c r="F562" s="121"/>
      <c r="G562" s="121"/>
      <c r="H562" s="121"/>
      <c r="I562" s="121"/>
      <c r="J562" s="121"/>
      <c r="K562" s="121"/>
      <c r="L562" s="121"/>
      <c r="M562" s="121"/>
      <c r="N562" s="121"/>
      <c r="O562" s="121"/>
      <c r="P562" s="121"/>
      <c r="Q562" s="121"/>
      <c r="R562" s="121"/>
      <c r="S562" s="121"/>
      <c r="T562" s="121"/>
      <c r="U562" s="121"/>
      <c r="V562" s="121"/>
      <c r="W562" s="121"/>
      <c r="X562" s="121"/>
      <c r="Y562" s="121"/>
      <c r="Z562" s="121"/>
    </row>
    <row r="563" customFormat="false" ht="15.75" hidden="false" customHeight="false" outlineLevel="0" collapsed="false">
      <c r="A563" s="121"/>
      <c r="B563" s="121"/>
      <c r="C563" s="121"/>
      <c r="D563" s="121"/>
      <c r="E563" s="121"/>
      <c r="F563" s="121"/>
      <c r="G563" s="121"/>
      <c r="H563" s="121"/>
      <c r="I563" s="121"/>
      <c r="J563" s="121"/>
      <c r="K563" s="121"/>
      <c r="L563" s="121"/>
      <c r="M563" s="121"/>
      <c r="N563" s="121"/>
      <c r="O563" s="121"/>
      <c r="P563" s="121"/>
      <c r="Q563" s="121"/>
      <c r="R563" s="121"/>
      <c r="S563" s="121"/>
      <c r="T563" s="121"/>
      <c r="U563" s="121"/>
      <c r="V563" s="121"/>
      <c r="W563" s="121"/>
      <c r="X563" s="121"/>
      <c r="Y563" s="121"/>
      <c r="Z563" s="121"/>
    </row>
    <row r="564" customFormat="false" ht="15.75" hidden="false" customHeight="false" outlineLevel="0" collapsed="false">
      <c r="A564" s="121"/>
      <c r="B564" s="121"/>
      <c r="C564" s="121"/>
      <c r="D564" s="121"/>
      <c r="E564" s="121"/>
      <c r="F564" s="121"/>
      <c r="G564" s="121"/>
      <c r="H564" s="121"/>
      <c r="I564" s="121"/>
      <c r="J564" s="121"/>
      <c r="K564" s="121"/>
      <c r="L564" s="121"/>
      <c r="M564" s="121"/>
      <c r="N564" s="121"/>
      <c r="O564" s="121"/>
      <c r="P564" s="121"/>
      <c r="Q564" s="121"/>
      <c r="R564" s="121"/>
      <c r="S564" s="121"/>
      <c r="T564" s="121"/>
      <c r="U564" s="121"/>
      <c r="V564" s="121"/>
      <c r="W564" s="121"/>
      <c r="X564" s="121"/>
      <c r="Y564" s="121"/>
      <c r="Z564" s="121"/>
    </row>
    <row r="565" customFormat="false" ht="15.75" hidden="false" customHeight="false" outlineLevel="0" collapsed="false">
      <c r="A565" s="121"/>
      <c r="B565" s="121"/>
      <c r="C565" s="121"/>
      <c r="D565" s="121"/>
      <c r="E565" s="121"/>
      <c r="F565" s="121"/>
      <c r="G565" s="121"/>
      <c r="H565" s="121"/>
      <c r="I565" s="121"/>
      <c r="J565" s="121"/>
      <c r="K565" s="121"/>
      <c r="L565" s="121"/>
      <c r="M565" s="121"/>
      <c r="N565" s="121"/>
      <c r="O565" s="121"/>
      <c r="P565" s="121"/>
      <c r="Q565" s="121"/>
      <c r="R565" s="121"/>
      <c r="S565" s="121"/>
      <c r="T565" s="121"/>
      <c r="U565" s="121"/>
      <c r="V565" s="121"/>
      <c r="W565" s="121"/>
      <c r="X565" s="121"/>
      <c r="Y565" s="121"/>
      <c r="Z565" s="121"/>
    </row>
    <row r="566" customFormat="false" ht="15.75" hidden="false" customHeight="false" outlineLevel="0" collapsed="false">
      <c r="A566" s="121"/>
      <c r="B566" s="121"/>
      <c r="C566" s="121"/>
      <c r="D566" s="121"/>
      <c r="E566" s="121"/>
      <c r="F566" s="121"/>
      <c r="G566" s="121"/>
      <c r="H566" s="121"/>
      <c r="I566" s="121"/>
      <c r="J566" s="121"/>
      <c r="K566" s="121"/>
      <c r="L566" s="121"/>
      <c r="M566" s="121"/>
      <c r="N566" s="121"/>
      <c r="O566" s="121"/>
      <c r="P566" s="121"/>
      <c r="Q566" s="121"/>
      <c r="R566" s="121"/>
      <c r="S566" s="121"/>
      <c r="T566" s="121"/>
      <c r="U566" s="121"/>
      <c r="V566" s="121"/>
      <c r="W566" s="121"/>
      <c r="X566" s="121"/>
      <c r="Y566" s="121"/>
      <c r="Z566" s="121"/>
    </row>
    <row r="567" customFormat="false" ht="15.75" hidden="false" customHeight="false" outlineLevel="0" collapsed="false">
      <c r="A567" s="121"/>
      <c r="B567" s="121"/>
      <c r="C567" s="121"/>
      <c r="D567" s="121"/>
      <c r="E567" s="121"/>
      <c r="F567" s="121"/>
      <c r="G567" s="121"/>
      <c r="H567" s="121"/>
      <c r="I567" s="121"/>
      <c r="J567" s="121"/>
      <c r="K567" s="121"/>
      <c r="L567" s="121"/>
      <c r="M567" s="121"/>
      <c r="N567" s="121"/>
      <c r="O567" s="121"/>
      <c r="P567" s="121"/>
      <c r="Q567" s="121"/>
      <c r="R567" s="121"/>
      <c r="S567" s="121"/>
      <c r="T567" s="121"/>
      <c r="U567" s="121"/>
      <c r="V567" s="121"/>
      <c r="W567" s="121"/>
      <c r="X567" s="121"/>
      <c r="Y567" s="121"/>
      <c r="Z567" s="121"/>
    </row>
    <row r="568" customFormat="false" ht="15.75" hidden="false" customHeight="false" outlineLevel="0" collapsed="false">
      <c r="A568" s="121"/>
      <c r="B568" s="121"/>
      <c r="C568" s="121"/>
      <c r="D568" s="121"/>
      <c r="E568" s="121"/>
      <c r="F568" s="121"/>
      <c r="G568" s="121"/>
      <c r="H568" s="121"/>
      <c r="I568" s="121"/>
      <c r="J568" s="121"/>
      <c r="K568" s="121"/>
      <c r="L568" s="121"/>
      <c r="M568" s="121"/>
      <c r="N568" s="121"/>
      <c r="O568" s="121"/>
      <c r="P568" s="121"/>
      <c r="Q568" s="121"/>
      <c r="R568" s="121"/>
      <c r="S568" s="121"/>
      <c r="T568" s="121"/>
      <c r="U568" s="121"/>
      <c r="V568" s="121"/>
      <c r="W568" s="121"/>
      <c r="X568" s="121"/>
      <c r="Y568" s="121"/>
      <c r="Z568" s="121"/>
    </row>
    <row r="569" customFormat="false" ht="15.75" hidden="false" customHeight="false" outlineLevel="0" collapsed="false">
      <c r="A569" s="121"/>
      <c r="B569" s="121"/>
      <c r="C569" s="121"/>
      <c r="D569" s="121"/>
      <c r="E569" s="121"/>
      <c r="F569" s="121"/>
      <c r="G569" s="121"/>
      <c r="H569" s="121"/>
      <c r="I569" s="121"/>
      <c r="J569" s="121"/>
      <c r="K569" s="121"/>
      <c r="L569" s="121"/>
      <c r="M569" s="121"/>
      <c r="N569" s="121"/>
      <c r="O569" s="121"/>
      <c r="P569" s="121"/>
      <c r="Q569" s="121"/>
      <c r="R569" s="121"/>
      <c r="S569" s="121"/>
      <c r="T569" s="121"/>
      <c r="U569" s="121"/>
      <c r="V569" s="121"/>
      <c r="W569" s="121"/>
      <c r="X569" s="121"/>
      <c r="Y569" s="121"/>
      <c r="Z569" s="121"/>
    </row>
    <row r="570" customFormat="false" ht="15.75" hidden="false" customHeight="false" outlineLevel="0" collapsed="false">
      <c r="A570" s="121"/>
      <c r="B570" s="121"/>
      <c r="C570" s="121"/>
      <c r="D570" s="121"/>
      <c r="E570" s="121"/>
      <c r="F570" s="121"/>
      <c r="G570" s="121"/>
      <c r="H570" s="121"/>
      <c r="I570" s="121"/>
      <c r="J570" s="121"/>
      <c r="K570" s="121"/>
      <c r="L570" s="121"/>
      <c r="M570" s="121"/>
      <c r="N570" s="121"/>
      <c r="O570" s="121"/>
      <c r="P570" s="121"/>
      <c r="Q570" s="121"/>
      <c r="R570" s="121"/>
      <c r="S570" s="121"/>
      <c r="T570" s="121"/>
      <c r="U570" s="121"/>
      <c r="V570" s="121"/>
      <c r="W570" s="121"/>
      <c r="X570" s="121"/>
      <c r="Y570" s="121"/>
      <c r="Z570" s="121"/>
    </row>
    <row r="571" customFormat="false" ht="15.75" hidden="false" customHeight="false" outlineLevel="0" collapsed="false">
      <c r="A571" s="121"/>
      <c r="B571" s="121"/>
      <c r="C571" s="121"/>
      <c r="D571" s="121"/>
      <c r="E571" s="121"/>
      <c r="F571" s="121"/>
      <c r="G571" s="121"/>
      <c r="H571" s="121"/>
      <c r="I571" s="121"/>
      <c r="J571" s="121"/>
      <c r="K571" s="121"/>
      <c r="L571" s="121"/>
      <c r="M571" s="121"/>
      <c r="N571" s="121"/>
      <c r="O571" s="121"/>
      <c r="P571" s="121"/>
      <c r="Q571" s="121"/>
      <c r="R571" s="121"/>
      <c r="S571" s="121"/>
      <c r="T571" s="121"/>
      <c r="U571" s="121"/>
      <c r="V571" s="121"/>
      <c r="W571" s="121"/>
      <c r="X571" s="121"/>
      <c r="Y571" s="121"/>
      <c r="Z571" s="121"/>
    </row>
    <row r="572" customFormat="false" ht="15.75" hidden="false" customHeight="false" outlineLevel="0" collapsed="false">
      <c r="A572" s="121"/>
      <c r="B572" s="121"/>
      <c r="C572" s="121"/>
      <c r="D572" s="121"/>
      <c r="E572" s="121"/>
      <c r="F572" s="121"/>
      <c r="G572" s="121"/>
      <c r="H572" s="121"/>
      <c r="I572" s="121"/>
      <c r="J572" s="121"/>
      <c r="K572" s="121"/>
      <c r="L572" s="121"/>
      <c r="M572" s="121"/>
      <c r="N572" s="121"/>
      <c r="O572" s="121"/>
      <c r="P572" s="121"/>
      <c r="Q572" s="121"/>
      <c r="R572" s="121"/>
      <c r="S572" s="121"/>
      <c r="T572" s="121"/>
      <c r="U572" s="121"/>
      <c r="V572" s="121"/>
      <c r="W572" s="121"/>
      <c r="X572" s="121"/>
      <c r="Y572" s="121"/>
      <c r="Z572" s="121"/>
    </row>
    <row r="573" customFormat="false" ht="15.75" hidden="false" customHeight="false" outlineLevel="0" collapsed="false">
      <c r="A573" s="121"/>
      <c r="B573" s="121"/>
      <c r="C573" s="121"/>
      <c r="D573" s="121"/>
      <c r="E573" s="121"/>
      <c r="F573" s="121"/>
      <c r="G573" s="121"/>
      <c r="H573" s="121"/>
      <c r="I573" s="121"/>
      <c r="J573" s="121"/>
      <c r="K573" s="121"/>
      <c r="L573" s="121"/>
      <c r="M573" s="121"/>
      <c r="N573" s="121"/>
      <c r="O573" s="121"/>
      <c r="P573" s="121"/>
      <c r="Q573" s="121"/>
      <c r="R573" s="121"/>
      <c r="S573" s="121"/>
      <c r="T573" s="121"/>
      <c r="U573" s="121"/>
      <c r="V573" s="121"/>
      <c r="W573" s="121"/>
      <c r="X573" s="121"/>
      <c r="Y573" s="121"/>
      <c r="Z573" s="121"/>
    </row>
    <row r="574" customFormat="false" ht="15.75" hidden="false" customHeight="false" outlineLevel="0" collapsed="false">
      <c r="A574" s="121"/>
      <c r="B574" s="121"/>
      <c r="C574" s="121"/>
      <c r="D574" s="121"/>
      <c r="E574" s="121"/>
      <c r="F574" s="121"/>
      <c r="G574" s="121"/>
      <c r="H574" s="121"/>
      <c r="I574" s="121"/>
      <c r="J574" s="121"/>
      <c r="K574" s="121"/>
      <c r="L574" s="121"/>
      <c r="M574" s="121"/>
      <c r="N574" s="121"/>
      <c r="O574" s="121"/>
      <c r="P574" s="121"/>
      <c r="Q574" s="121"/>
      <c r="R574" s="121"/>
      <c r="S574" s="121"/>
      <c r="T574" s="121"/>
      <c r="U574" s="121"/>
      <c r="V574" s="121"/>
      <c r="W574" s="121"/>
      <c r="X574" s="121"/>
      <c r="Y574" s="121"/>
      <c r="Z574" s="121"/>
    </row>
    <row r="575" customFormat="false" ht="15.75" hidden="false" customHeight="false" outlineLevel="0" collapsed="false">
      <c r="A575" s="121"/>
      <c r="B575" s="121"/>
      <c r="C575" s="121"/>
      <c r="D575" s="121"/>
      <c r="E575" s="121"/>
      <c r="F575" s="121"/>
      <c r="G575" s="121"/>
      <c r="H575" s="121"/>
      <c r="I575" s="121"/>
      <c r="J575" s="121"/>
      <c r="K575" s="121"/>
      <c r="L575" s="121"/>
      <c r="M575" s="121"/>
      <c r="N575" s="121"/>
      <c r="O575" s="121"/>
      <c r="P575" s="121"/>
      <c r="Q575" s="121"/>
      <c r="R575" s="121"/>
      <c r="S575" s="121"/>
      <c r="T575" s="121"/>
      <c r="U575" s="121"/>
      <c r="V575" s="121"/>
      <c r="W575" s="121"/>
      <c r="X575" s="121"/>
      <c r="Y575" s="121"/>
      <c r="Z575" s="121"/>
    </row>
    <row r="576" customFormat="false" ht="15.75" hidden="false" customHeight="false" outlineLevel="0" collapsed="false">
      <c r="A576" s="121"/>
      <c r="B576" s="121"/>
      <c r="C576" s="121"/>
      <c r="D576" s="121"/>
      <c r="E576" s="121"/>
      <c r="F576" s="121"/>
      <c r="G576" s="121"/>
      <c r="H576" s="121"/>
      <c r="I576" s="121"/>
      <c r="J576" s="121"/>
      <c r="K576" s="121"/>
      <c r="L576" s="121"/>
      <c r="M576" s="121"/>
      <c r="N576" s="121"/>
      <c r="O576" s="121"/>
      <c r="P576" s="121"/>
      <c r="Q576" s="121"/>
      <c r="R576" s="121"/>
      <c r="S576" s="121"/>
      <c r="T576" s="121"/>
      <c r="U576" s="121"/>
      <c r="V576" s="121"/>
      <c r="W576" s="121"/>
      <c r="X576" s="121"/>
      <c r="Y576" s="121"/>
      <c r="Z576" s="121"/>
    </row>
    <row r="577" customFormat="false" ht="15.75" hidden="false" customHeight="false" outlineLevel="0" collapsed="false">
      <c r="A577" s="121"/>
      <c r="B577" s="121"/>
      <c r="C577" s="121"/>
      <c r="D577" s="121"/>
      <c r="E577" s="121"/>
      <c r="F577" s="121"/>
      <c r="G577" s="121"/>
      <c r="H577" s="121"/>
      <c r="I577" s="121"/>
      <c r="J577" s="121"/>
      <c r="K577" s="121"/>
      <c r="L577" s="121"/>
      <c r="M577" s="121"/>
      <c r="N577" s="121"/>
      <c r="O577" s="121"/>
      <c r="P577" s="121"/>
      <c r="Q577" s="121"/>
      <c r="R577" s="121"/>
      <c r="S577" s="121"/>
      <c r="T577" s="121"/>
      <c r="U577" s="121"/>
      <c r="V577" s="121"/>
      <c r="W577" s="121"/>
      <c r="X577" s="121"/>
      <c r="Y577" s="121"/>
      <c r="Z577" s="121"/>
    </row>
    <row r="578" customFormat="false" ht="15.75" hidden="false" customHeight="false" outlineLevel="0" collapsed="false">
      <c r="A578" s="121"/>
      <c r="B578" s="121"/>
      <c r="C578" s="121"/>
      <c r="D578" s="121"/>
      <c r="E578" s="121"/>
      <c r="F578" s="121"/>
      <c r="G578" s="121"/>
      <c r="H578" s="121"/>
      <c r="I578" s="121"/>
      <c r="J578" s="121"/>
      <c r="K578" s="121"/>
      <c r="L578" s="121"/>
      <c r="M578" s="121"/>
      <c r="N578" s="121"/>
      <c r="O578" s="121"/>
      <c r="P578" s="121"/>
      <c r="Q578" s="121"/>
      <c r="R578" s="121"/>
      <c r="S578" s="121"/>
      <c r="T578" s="121"/>
      <c r="U578" s="121"/>
      <c r="V578" s="121"/>
      <c r="W578" s="121"/>
      <c r="X578" s="121"/>
      <c r="Y578" s="121"/>
      <c r="Z578" s="121"/>
    </row>
    <row r="579" customFormat="false" ht="15.75" hidden="false" customHeight="false" outlineLevel="0" collapsed="false">
      <c r="A579" s="121"/>
      <c r="B579" s="121"/>
      <c r="C579" s="121"/>
      <c r="D579" s="121"/>
      <c r="E579" s="121"/>
      <c r="F579" s="121"/>
      <c r="G579" s="121"/>
      <c r="H579" s="121"/>
      <c r="I579" s="121"/>
      <c r="J579" s="121"/>
      <c r="K579" s="121"/>
      <c r="L579" s="121"/>
      <c r="M579" s="121"/>
      <c r="N579" s="121"/>
      <c r="O579" s="121"/>
      <c r="P579" s="121"/>
      <c r="Q579" s="121"/>
      <c r="R579" s="121"/>
      <c r="S579" s="121"/>
      <c r="T579" s="121"/>
      <c r="U579" s="121"/>
      <c r="V579" s="121"/>
      <c r="W579" s="121"/>
      <c r="X579" s="121"/>
      <c r="Y579" s="121"/>
      <c r="Z579" s="121"/>
    </row>
    <row r="580" customFormat="false" ht="15.75" hidden="false" customHeight="false" outlineLevel="0" collapsed="false">
      <c r="A580" s="121"/>
      <c r="B580" s="121"/>
      <c r="C580" s="121"/>
      <c r="D580" s="121"/>
      <c r="E580" s="121"/>
      <c r="F580" s="121"/>
      <c r="G580" s="121"/>
      <c r="H580" s="121"/>
      <c r="I580" s="121"/>
      <c r="J580" s="121"/>
      <c r="K580" s="121"/>
      <c r="L580" s="121"/>
      <c r="M580" s="121"/>
      <c r="N580" s="121"/>
      <c r="O580" s="121"/>
      <c r="P580" s="121"/>
      <c r="Q580" s="121"/>
      <c r="R580" s="121"/>
      <c r="S580" s="121"/>
      <c r="T580" s="121"/>
      <c r="U580" s="121"/>
      <c r="V580" s="121"/>
      <c r="W580" s="121"/>
      <c r="X580" s="121"/>
      <c r="Y580" s="121"/>
      <c r="Z580" s="121"/>
    </row>
    <row r="581" customFormat="false" ht="15.75" hidden="false" customHeight="false" outlineLevel="0" collapsed="false">
      <c r="A581" s="121"/>
      <c r="B581" s="121"/>
      <c r="C581" s="121"/>
      <c r="D581" s="121"/>
      <c r="E581" s="121"/>
      <c r="F581" s="121"/>
      <c r="G581" s="121"/>
      <c r="H581" s="121"/>
      <c r="I581" s="121"/>
      <c r="J581" s="121"/>
      <c r="K581" s="121"/>
      <c r="L581" s="121"/>
      <c r="M581" s="121"/>
      <c r="N581" s="121"/>
      <c r="O581" s="121"/>
      <c r="P581" s="121"/>
      <c r="Q581" s="121"/>
      <c r="R581" s="121"/>
      <c r="S581" s="121"/>
      <c r="T581" s="121"/>
      <c r="U581" s="121"/>
      <c r="V581" s="121"/>
      <c r="W581" s="121"/>
      <c r="X581" s="121"/>
      <c r="Y581" s="121"/>
      <c r="Z581" s="121"/>
    </row>
    <row r="582" customFormat="false" ht="15.75" hidden="false" customHeight="false" outlineLevel="0" collapsed="false">
      <c r="A582" s="121"/>
      <c r="B582" s="121"/>
      <c r="C582" s="121"/>
      <c r="D582" s="121"/>
      <c r="E582" s="121"/>
      <c r="F582" s="121"/>
      <c r="G582" s="121"/>
      <c r="H582" s="121"/>
      <c r="I582" s="121"/>
      <c r="J582" s="121"/>
      <c r="K582" s="121"/>
      <c r="L582" s="121"/>
      <c r="M582" s="121"/>
      <c r="N582" s="121"/>
      <c r="O582" s="121"/>
      <c r="P582" s="121"/>
      <c r="Q582" s="121"/>
      <c r="R582" s="121"/>
      <c r="S582" s="121"/>
      <c r="T582" s="121"/>
      <c r="U582" s="121"/>
      <c r="V582" s="121"/>
      <c r="W582" s="121"/>
      <c r="X582" s="121"/>
      <c r="Y582" s="121"/>
      <c r="Z582" s="121"/>
    </row>
    <row r="583" customFormat="false" ht="15.75" hidden="false" customHeight="false" outlineLevel="0" collapsed="false">
      <c r="A583" s="121"/>
      <c r="B583" s="121"/>
      <c r="C583" s="121"/>
      <c r="D583" s="121"/>
      <c r="E583" s="121"/>
      <c r="F583" s="121"/>
      <c r="G583" s="121"/>
      <c r="H583" s="121"/>
      <c r="I583" s="121"/>
      <c r="J583" s="121"/>
      <c r="K583" s="121"/>
      <c r="L583" s="121"/>
      <c r="M583" s="121"/>
      <c r="N583" s="121"/>
      <c r="O583" s="121"/>
      <c r="P583" s="121"/>
      <c r="Q583" s="121"/>
      <c r="R583" s="121"/>
      <c r="S583" s="121"/>
      <c r="T583" s="121"/>
      <c r="U583" s="121"/>
      <c r="V583" s="121"/>
      <c r="W583" s="121"/>
      <c r="X583" s="121"/>
      <c r="Y583" s="121"/>
      <c r="Z583" s="121"/>
    </row>
    <row r="584" customFormat="false" ht="15.75" hidden="false" customHeight="false" outlineLevel="0" collapsed="false">
      <c r="A584" s="121"/>
      <c r="B584" s="121"/>
      <c r="C584" s="121"/>
      <c r="D584" s="121"/>
      <c r="E584" s="121"/>
      <c r="F584" s="121"/>
      <c r="G584" s="121"/>
      <c r="H584" s="121"/>
      <c r="I584" s="121"/>
      <c r="J584" s="121"/>
      <c r="K584" s="121"/>
      <c r="L584" s="121"/>
      <c r="M584" s="121"/>
      <c r="N584" s="121"/>
      <c r="O584" s="121"/>
      <c r="P584" s="121"/>
      <c r="Q584" s="121"/>
      <c r="R584" s="121"/>
      <c r="S584" s="121"/>
      <c r="T584" s="121"/>
      <c r="U584" s="121"/>
      <c r="V584" s="121"/>
      <c r="W584" s="121"/>
      <c r="X584" s="121"/>
      <c r="Y584" s="121"/>
      <c r="Z584" s="121"/>
    </row>
    <row r="585" customFormat="false" ht="15.75" hidden="false" customHeight="false" outlineLevel="0" collapsed="false">
      <c r="A585" s="121"/>
      <c r="B585" s="121"/>
      <c r="C585" s="121"/>
      <c r="D585" s="121"/>
      <c r="E585" s="121"/>
      <c r="F585" s="121"/>
      <c r="G585" s="121"/>
      <c r="H585" s="121"/>
      <c r="I585" s="121"/>
      <c r="J585" s="121"/>
      <c r="K585" s="121"/>
      <c r="L585" s="121"/>
      <c r="M585" s="121"/>
      <c r="N585" s="121"/>
      <c r="O585" s="121"/>
      <c r="P585" s="121"/>
      <c r="Q585" s="121"/>
      <c r="R585" s="121"/>
      <c r="S585" s="121"/>
      <c r="T585" s="121"/>
      <c r="U585" s="121"/>
      <c r="V585" s="121"/>
      <c r="W585" s="121"/>
      <c r="X585" s="121"/>
      <c r="Y585" s="121"/>
      <c r="Z585" s="121"/>
    </row>
    <row r="586" customFormat="false" ht="15.75" hidden="false" customHeight="false" outlineLevel="0" collapsed="false">
      <c r="A586" s="121"/>
      <c r="B586" s="121"/>
      <c r="C586" s="121"/>
      <c r="D586" s="121"/>
      <c r="E586" s="121"/>
      <c r="F586" s="121"/>
      <c r="G586" s="121"/>
      <c r="H586" s="121"/>
      <c r="I586" s="121"/>
      <c r="J586" s="121"/>
      <c r="K586" s="121"/>
      <c r="L586" s="121"/>
      <c r="M586" s="121"/>
      <c r="N586" s="121"/>
      <c r="O586" s="121"/>
      <c r="P586" s="121"/>
      <c r="Q586" s="121"/>
      <c r="R586" s="121"/>
      <c r="S586" s="121"/>
      <c r="T586" s="121"/>
      <c r="U586" s="121"/>
      <c r="V586" s="121"/>
      <c r="W586" s="121"/>
      <c r="X586" s="121"/>
      <c r="Y586" s="121"/>
      <c r="Z586" s="121"/>
    </row>
    <row r="587" customFormat="false" ht="15.75" hidden="false" customHeight="false" outlineLevel="0" collapsed="false">
      <c r="A587" s="121"/>
      <c r="B587" s="121"/>
      <c r="C587" s="121"/>
      <c r="D587" s="121"/>
      <c r="E587" s="121"/>
      <c r="F587" s="121"/>
      <c r="G587" s="121"/>
      <c r="H587" s="121"/>
      <c r="I587" s="121"/>
      <c r="J587" s="121"/>
      <c r="K587" s="121"/>
      <c r="L587" s="121"/>
      <c r="M587" s="121"/>
      <c r="N587" s="121"/>
      <c r="O587" s="121"/>
      <c r="P587" s="121"/>
      <c r="Q587" s="121"/>
      <c r="R587" s="121"/>
      <c r="S587" s="121"/>
      <c r="T587" s="121"/>
      <c r="U587" s="121"/>
      <c r="V587" s="121"/>
      <c r="W587" s="121"/>
      <c r="X587" s="121"/>
      <c r="Y587" s="121"/>
      <c r="Z587" s="121"/>
    </row>
    <row r="588" customFormat="false" ht="15.75" hidden="false" customHeight="false" outlineLevel="0" collapsed="false">
      <c r="A588" s="121"/>
      <c r="B588" s="121"/>
      <c r="C588" s="121"/>
      <c r="D588" s="121"/>
      <c r="E588" s="121"/>
      <c r="F588" s="121"/>
      <c r="G588" s="121"/>
      <c r="H588" s="121"/>
      <c r="I588" s="121"/>
      <c r="J588" s="121"/>
      <c r="K588" s="121"/>
      <c r="L588" s="121"/>
      <c r="M588" s="121"/>
      <c r="N588" s="121"/>
      <c r="O588" s="121"/>
      <c r="P588" s="121"/>
      <c r="Q588" s="121"/>
      <c r="R588" s="121"/>
      <c r="S588" s="121"/>
      <c r="T588" s="121"/>
      <c r="U588" s="121"/>
      <c r="V588" s="121"/>
      <c r="W588" s="121"/>
      <c r="X588" s="121"/>
      <c r="Y588" s="121"/>
      <c r="Z588" s="121"/>
    </row>
    <row r="589" customFormat="false" ht="15.75" hidden="false" customHeight="false" outlineLevel="0" collapsed="false">
      <c r="A589" s="121"/>
      <c r="B589" s="121"/>
      <c r="C589" s="121"/>
      <c r="D589" s="121"/>
      <c r="E589" s="121"/>
      <c r="F589" s="121"/>
      <c r="G589" s="121"/>
      <c r="H589" s="121"/>
      <c r="I589" s="121"/>
      <c r="J589" s="121"/>
      <c r="K589" s="121"/>
      <c r="L589" s="121"/>
      <c r="M589" s="121"/>
      <c r="N589" s="121"/>
      <c r="O589" s="121"/>
      <c r="P589" s="121"/>
      <c r="Q589" s="121"/>
      <c r="R589" s="121"/>
      <c r="S589" s="121"/>
      <c r="T589" s="121"/>
      <c r="U589" s="121"/>
      <c r="V589" s="121"/>
      <c r="W589" s="121"/>
      <c r="X589" s="121"/>
      <c r="Y589" s="121"/>
      <c r="Z589" s="121"/>
    </row>
    <row r="590" customFormat="false" ht="15.75" hidden="false" customHeight="false" outlineLevel="0" collapsed="false">
      <c r="A590" s="121"/>
      <c r="B590" s="121"/>
      <c r="C590" s="121"/>
      <c r="D590" s="121"/>
      <c r="E590" s="121"/>
      <c r="F590" s="121"/>
      <c r="G590" s="121"/>
      <c r="H590" s="121"/>
      <c r="I590" s="121"/>
      <c r="J590" s="121"/>
      <c r="K590" s="121"/>
      <c r="L590" s="121"/>
      <c r="M590" s="121"/>
      <c r="N590" s="121"/>
      <c r="O590" s="121"/>
      <c r="P590" s="121"/>
      <c r="Q590" s="121"/>
      <c r="R590" s="121"/>
      <c r="S590" s="121"/>
      <c r="T590" s="121"/>
      <c r="U590" s="121"/>
      <c r="V590" s="121"/>
      <c r="W590" s="121"/>
      <c r="X590" s="121"/>
      <c r="Y590" s="121"/>
      <c r="Z590" s="121"/>
    </row>
    <row r="591" customFormat="false" ht="15.75" hidden="false" customHeight="false" outlineLevel="0" collapsed="false">
      <c r="A591" s="121"/>
      <c r="B591" s="121"/>
      <c r="C591" s="121"/>
      <c r="D591" s="121"/>
      <c r="E591" s="121"/>
      <c r="F591" s="121"/>
      <c r="G591" s="121"/>
      <c r="H591" s="121"/>
      <c r="I591" s="121"/>
      <c r="J591" s="121"/>
      <c r="K591" s="121"/>
      <c r="L591" s="121"/>
      <c r="M591" s="121"/>
      <c r="N591" s="121"/>
      <c r="O591" s="121"/>
      <c r="P591" s="121"/>
      <c r="Q591" s="121"/>
      <c r="R591" s="121"/>
      <c r="S591" s="121"/>
      <c r="T591" s="121"/>
      <c r="U591" s="121"/>
      <c r="V591" s="121"/>
      <c r="W591" s="121"/>
      <c r="X591" s="121"/>
      <c r="Y591" s="121"/>
      <c r="Z591" s="121"/>
    </row>
    <row r="592" customFormat="false" ht="15.75" hidden="false" customHeight="false" outlineLevel="0" collapsed="false">
      <c r="A592" s="121"/>
      <c r="B592" s="121"/>
      <c r="C592" s="121"/>
      <c r="D592" s="121"/>
      <c r="E592" s="121"/>
      <c r="F592" s="121"/>
      <c r="G592" s="121"/>
      <c r="H592" s="121"/>
      <c r="I592" s="121"/>
      <c r="J592" s="121"/>
      <c r="K592" s="121"/>
      <c r="L592" s="121"/>
      <c r="M592" s="121"/>
      <c r="N592" s="121"/>
      <c r="O592" s="121"/>
      <c r="P592" s="121"/>
      <c r="Q592" s="121"/>
      <c r="R592" s="121"/>
      <c r="S592" s="121"/>
      <c r="T592" s="121"/>
      <c r="U592" s="121"/>
      <c r="V592" s="121"/>
      <c r="W592" s="121"/>
      <c r="X592" s="121"/>
      <c r="Y592" s="121"/>
      <c r="Z592" s="121"/>
    </row>
    <row r="593" customFormat="false" ht="15.75" hidden="false" customHeight="false" outlineLevel="0" collapsed="false">
      <c r="A593" s="121"/>
      <c r="B593" s="121"/>
      <c r="C593" s="121"/>
      <c r="D593" s="121"/>
      <c r="E593" s="121"/>
      <c r="F593" s="121"/>
      <c r="G593" s="121"/>
      <c r="H593" s="121"/>
      <c r="I593" s="121"/>
      <c r="J593" s="121"/>
      <c r="K593" s="121"/>
      <c r="L593" s="121"/>
      <c r="M593" s="121"/>
      <c r="N593" s="121"/>
      <c r="O593" s="121"/>
      <c r="P593" s="121"/>
      <c r="Q593" s="121"/>
      <c r="R593" s="121"/>
      <c r="S593" s="121"/>
      <c r="T593" s="121"/>
      <c r="U593" s="121"/>
      <c r="V593" s="121"/>
      <c r="W593" s="121"/>
      <c r="X593" s="121"/>
      <c r="Y593" s="121"/>
      <c r="Z593" s="121"/>
    </row>
    <row r="594" customFormat="false" ht="15.75" hidden="false" customHeight="false" outlineLevel="0" collapsed="false">
      <c r="A594" s="121"/>
      <c r="B594" s="121"/>
      <c r="C594" s="121"/>
      <c r="D594" s="121"/>
      <c r="E594" s="121"/>
      <c r="F594" s="121"/>
      <c r="G594" s="121"/>
      <c r="H594" s="121"/>
      <c r="I594" s="121"/>
      <c r="J594" s="121"/>
      <c r="K594" s="121"/>
      <c r="L594" s="121"/>
      <c r="M594" s="121"/>
      <c r="N594" s="121"/>
      <c r="O594" s="121"/>
      <c r="P594" s="121"/>
      <c r="Q594" s="121"/>
      <c r="R594" s="121"/>
      <c r="S594" s="121"/>
      <c r="T594" s="121"/>
      <c r="U594" s="121"/>
      <c r="V594" s="121"/>
      <c r="W594" s="121"/>
      <c r="X594" s="121"/>
      <c r="Y594" s="121"/>
      <c r="Z594" s="121"/>
    </row>
    <row r="595" customFormat="false" ht="15.75" hidden="false" customHeight="false" outlineLevel="0" collapsed="false">
      <c r="A595" s="121"/>
      <c r="B595" s="121"/>
      <c r="C595" s="121"/>
      <c r="D595" s="121"/>
      <c r="E595" s="121"/>
      <c r="F595" s="121"/>
      <c r="G595" s="121"/>
      <c r="H595" s="121"/>
      <c r="I595" s="121"/>
      <c r="J595" s="121"/>
      <c r="K595" s="121"/>
      <c r="L595" s="121"/>
      <c r="M595" s="121"/>
      <c r="N595" s="121"/>
      <c r="O595" s="121"/>
      <c r="P595" s="121"/>
      <c r="Q595" s="121"/>
      <c r="R595" s="121"/>
      <c r="S595" s="121"/>
      <c r="T595" s="121"/>
      <c r="U595" s="121"/>
      <c r="V595" s="121"/>
      <c r="W595" s="121"/>
      <c r="X595" s="121"/>
      <c r="Y595" s="121"/>
      <c r="Z595" s="121"/>
    </row>
    <row r="596" customFormat="false" ht="15.75" hidden="false" customHeight="false" outlineLevel="0" collapsed="false">
      <c r="A596" s="121"/>
      <c r="B596" s="121"/>
      <c r="C596" s="121"/>
      <c r="D596" s="121"/>
      <c r="E596" s="121"/>
      <c r="F596" s="121"/>
      <c r="G596" s="121"/>
      <c r="H596" s="121"/>
      <c r="I596" s="121"/>
      <c r="J596" s="121"/>
      <c r="K596" s="121"/>
      <c r="L596" s="121"/>
      <c r="M596" s="121"/>
      <c r="N596" s="121"/>
      <c r="O596" s="121"/>
      <c r="P596" s="121"/>
      <c r="Q596" s="121"/>
      <c r="R596" s="121"/>
      <c r="S596" s="121"/>
      <c r="T596" s="121"/>
      <c r="U596" s="121"/>
      <c r="V596" s="121"/>
      <c r="W596" s="121"/>
      <c r="X596" s="121"/>
      <c r="Y596" s="121"/>
      <c r="Z596" s="121"/>
    </row>
    <row r="597" customFormat="false" ht="15.75" hidden="false" customHeight="false" outlineLevel="0" collapsed="false">
      <c r="A597" s="121"/>
      <c r="B597" s="121"/>
      <c r="C597" s="121"/>
      <c r="D597" s="121"/>
      <c r="E597" s="121"/>
      <c r="F597" s="121"/>
      <c r="G597" s="121"/>
      <c r="H597" s="121"/>
      <c r="I597" s="121"/>
      <c r="J597" s="121"/>
      <c r="K597" s="121"/>
      <c r="L597" s="121"/>
      <c r="M597" s="121"/>
      <c r="N597" s="121"/>
      <c r="O597" s="121"/>
      <c r="P597" s="121"/>
      <c r="Q597" s="121"/>
      <c r="R597" s="121"/>
      <c r="S597" s="121"/>
      <c r="T597" s="121"/>
      <c r="U597" s="121"/>
      <c r="V597" s="121"/>
      <c r="W597" s="121"/>
      <c r="X597" s="121"/>
      <c r="Y597" s="121"/>
      <c r="Z597" s="121"/>
    </row>
    <row r="598" customFormat="false" ht="15.75" hidden="false" customHeight="false" outlineLevel="0" collapsed="false">
      <c r="A598" s="121"/>
      <c r="B598" s="121"/>
      <c r="C598" s="121"/>
      <c r="D598" s="121"/>
      <c r="E598" s="121"/>
      <c r="F598" s="121"/>
      <c r="G598" s="121"/>
      <c r="H598" s="121"/>
      <c r="I598" s="121"/>
      <c r="J598" s="121"/>
      <c r="K598" s="121"/>
      <c r="L598" s="121"/>
      <c r="M598" s="121"/>
      <c r="N598" s="121"/>
      <c r="O598" s="121"/>
      <c r="P598" s="121"/>
      <c r="Q598" s="121"/>
      <c r="R598" s="121"/>
      <c r="S598" s="121"/>
      <c r="T598" s="121"/>
      <c r="U598" s="121"/>
      <c r="V598" s="121"/>
      <c r="W598" s="121"/>
      <c r="X598" s="121"/>
      <c r="Y598" s="121"/>
      <c r="Z598" s="121"/>
    </row>
    <row r="599" customFormat="false" ht="15.75" hidden="false" customHeight="false" outlineLevel="0" collapsed="false">
      <c r="A599" s="121"/>
      <c r="B599" s="121"/>
      <c r="C599" s="121"/>
      <c r="D599" s="121"/>
      <c r="E599" s="121"/>
      <c r="F599" s="121"/>
      <c r="G599" s="121"/>
      <c r="H599" s="121"/>
      <c r="I599" s="121"/>
      <c r="J599" s="121"/>
      <c r="K599" s="121"/>
      <c r="L599" s="121"/>
      <c r="M599" s="121"/>
      <c r="N599" s="121"/>
      <c r="O599" s="121"/>
      <c r="P599" s="121"/>
      <c r="Q599" s="121"/>
      <c r="R599" s="121"/>
      <c r="S599" s="121"/>
      <c r="T599" s="121"/>
      <c r="U599" s="121"/>
      <c r="V599" s="121"/>
      <c r="W599" s="121"/>
      <c r="X599" s="121"/>
      <c r="Y599" s="121"/>
      <c r="Z599" s="121"/>
    </row>
    <row r="600" customFormat="false" ht="15.75" hidden="false" customHeight="false" outlineLevel="0" collapsed="false">
      <c r="A600" s="121"/>
      <c r="B600" s="121"/>
      <c r="C600" s="121"/>
      <c r="D600" s="121"/>
      <c r="E600" s="121"/>
      <c r="F600" s="121"/>
      <c r="G600" s="121"/>
      <c r="H600" s="121"/>
      <c r="I600" s="121"/>
      <c r="J600" s="121"/>
      <c r="K600" s="121"/>
      <c r="L600" s="121"/>
      <c r="M600" s="121"/>
      <c r="N600" s="121"/>
      <c r="O600" s="121"/>
      <c r="P600" s="121"/>
      <c r="Q600" s="121"/>
      <c r="R600" s="121"/>
      <c r="S600" s="121"/>
      <c r="T600" s="121"/>
      <c r="U600" s="121"/>
      <c r="V600" s="121"/>
      <c r="W600" s="121"/>
      <c r="X600" s="121"/>
      <c r="Y600" s="121"/>
      <c r="Z600" s="121"/>
    </row>
    <row r="601" customFormat="false" ht="15.75" hidden="false" customHeight="false" outlineLevel="0" collapsed="false">
      <c r="A601" s="121"/>
      <c r="B601" s="121"/>
      <c r="C601" s="121"/>
      <c r="D601" s="121"/>
      <c r="E601" s="121"/>
      <c r="F601" s="121"/>
      <c r="G601" s="121"/>
      <c r="H601" s="121"/>
      <c r="I601" s="121"/>
      <c r="J601" s="121"/>
      <c r="K601" s="121"/>
      <c r="L601" s="121"/>
      <c r="M601" s="121"/>
      <c r="N601" s="121"/>
      <c r="O601" s="121"/>
      <c r="P601" s="121"/>
      <c r="Q601" s="121"/>
      <c r="R601" s="121"/>
      <c r="S601" s="121"/>
      <c r="T601" s="121"/>
      <c r="U601" s="121"/>
      <c r="V601" s="121"/>
      <c r="W601" s="121"/>
      <c r="X601" s="121"/>
      <c r="Y601" s="121"/>
      <c r="Z601" s="121"/>
    </row>
    <row r="602" customFormat="false" ht="15.75" hidden="false" customHeight="false" outlineLevel="0" collapsed="false">
      <c r="A602" s="121"/>
      <c r="B602" s="121"/>
      <c r="C602" s="121"/>
      <c r="D602" s="121"/>
      <c r="E602" s="121"/>
      <c r="F602" s="121"/>
      <c r="G602" s="121"/>
      <c r="H602" s="121"/>
      <c r="I602" s="121"/>
      <c r="J602" s="121"/>
      <c r="K602" s="121"/>
      <c r="L602" s="121"/>
      <c r="M602" s="121"/>
      <c r="N602" s="121"/>
      <c r="O602" s="121"/>
      <c r="P602" s="121"/>
      <c r="Q602" s="121"/>
      <c r="R602" s="121"/>
      <c r="S602" s="121"/>
      <c r="T602" s="121"/>
      <c r="U602" s="121"/>
      <c r="V602" s="121"/>
      <c r="W602" s="121"/>
      <c r="X602" s="121"/>
      <c r="Y602" s="121"/>
      <c r="Z602" s="121"/>
    </row>
    <row r="603" customFormat="false" ht="15.75" hidden="false" customHeight="false" outlineLevel="0" collapsed="false">
      <c r="A603" s="121"/>
      <c r="B603" s="121"/>
      <c r="C603" s="121"/>
      <c r="D603" s="121"/>
      <c r="E603" s="121"/>
      <c r="F603" s="121"/>
      <c r="G603" s="121"/>
      <c r="H603" s="121"/>
      <c r="I603" s="121"/>
      <c r="J603" s="121"/>
      <c r="K603" s="121"/>
      <c r="L603" s="121"/>
      <c r="M603" s="121"/>
      <c r="N603" s="121"/>
      <c r="O603" s="121"/>
      <c r="P603" s="121"/>
      <c r="Q603" s="121"/>
      <c r="R603" s="121"/>
      <c r="S603" s="121"/>
      <c r="T603" s="121"/>
      <c r="U603" s="121"/>
      <c r="V603" s="121"/>
      <c r="W603" s="121"/>
      <c r="X603" s="121"/>
      <c r="Y603" s="121"/>
      <c r="Z603" s="121"/>
    </row>
    <row r="604" customFormat="false" ht="15.75" hidden="false" customHeight="false" outlineLevel="0" collapsed="false">
      <c r="A604" s="121"/>
      <c r="B604" s="121"/>
      <c r="C604" s="121"/>
      <c r="D604" s="121"/>
      <c r="E604" s="121"/>
      <c r="F604" s="121"/>
      <c r="G604" s="121"/>
      <c r="H604" s="121"/>
      <c r="I604" s="121"/>
      <c r="J604" s="121"/>
      <c r="K604" s="121"/>
      <c r="L604" s="121"/>
      <c r="M604" s="121"/>
      <c r="N604" s="121"/>
      <c r="O604" s="121"/>
      <c r="P604" s="121"/>
      <c r="Q604" s="121"/>
      <c r="R604" s="121"/>
      <c r="S604" s="121"/>
      <c r="T604" s="121"/>
      <c r="U604" s="121"/>
      <c r="V604" s="121"/>
      <c r="W604" s="121"/>
      <c r="X604" s="121"/>
      <c r="Y604" s="121"/>
      <c r="Z604" s="121"/>
    </row>
    <row r="605" customFormat="false" ht="15.75" hidden="false" customHeight="false" outlineLevel="0" collapsed="false">
      <c r="A605" s="121"/>
      <c r="B605" s="121"/>
      <c r="C605" s="121"/>
      <c r="D605" s="121"/>
      <c r="E605" s="121"/>
      <c r="F605" s="121"/>
      <c r="G605" s="121"/>
      <c r="H605" s="121"/>
      <c r="I605" s="121"/>
      <c r="J605" s="121"/>
      <c r="K605" s="121"/>
      <c r="L605" s="121"/>
      <c r="M605" s="121"/>
      <c r="N605" s="121"/>
      <c r="O605" s="121"/>
      <c r="P605" s="121"/>
      <c r="Q605" s="121"/>
      <c r="R605" s="121"/>
      <c r="S605" s="121"/>
      <c r="T605" s="121"/>
      <c r="U605" s="121"/>
      <c r="V605" s="121"/>
      <c r="W605" s="121"/>
      <c r="X605" s="121"/>
      <c r="Y605" s="121"/>
      <c r="Z605" s="121"/>
    </row>
    <row r="606" customFormat="false" ht="15.75" hidden="false" customHeight="false" outlineLevel="0" collapsed="false">
      <c r="A606" s="121"/>
      <c r="B606" s="121"/>
      <c r="C606" s="121"/>
      <c r="D606" s="121"/>
      <c r="E606" s="121"/>
      <c r="F606" s="121"/>
      <c r="G606" s="121"/>
      <c r="H606" s="121"/>
      <c r="I606" s="121"/>
      <c r="J606" s="121"/>
      <c r="K606" s="121"/>
      <c r="L606" s="121"/>
      <c r="M606" s="121"/>
      <c r="N606" s="121"/>
      <c r="O606" s="121"/>
      <c r="P606" s="121"/>
      <c r="Q606" s="121"/>
      <c r="R606" s="121"/>
      <c r="S606" s="121"/>
      <c r="T606" s="121"/>
      <c r="U606" s="121"/>
      <c r="V606" s="121"/>
      <c r="W606" s="121"/>
      <c r="X606" s="121"/>
      <c r="Y606" s="121"/>
      <c r="Z606" s="121"/>
    </row>
    <row r="607" customFormat="false" ht="15.75" hidden="false" customHeight="false" outlineLevel="0" collapsed="false">
      <c r="A607" s="121"/>
      <c r="B607" s="121"/>
      <c r="C607" s="121"/>
      <c r="D607" s="121"/>
      <c r="E607" s="121"/>
      <c r="F607" s="121"/>
      <c r="G607" s="121"/>
      <c r="H607" s="121"/>
      <c r="I607" s="121"/>
      <c r="J607" s="121"/>
      <c r="K607" s="121"/>
      <c r="L607" s="121"/>
      <c r="M607" s="121"/>
      <c r="N607" s="121"/>
      <c r="O607" s="121"/>
      <c r="P607" s="121"/>
      <c r="Q607" s="121"/>
      <c r="R607" s="121"/>
      <c r="S607" s="121"/>
      <c r="T607" s="121"/>
      <c r="U607" s="121"/>
      <c r="V607" s="121"/>
      <c r="W607" s="121"/>
      <c r="X607" s="121"/>
      <c r="Y607" s="121"/>
      <c r="Z607" s="121"/>
    </row>
    <row r="608" customFormat="false" ht="15.75" hidden="false" customHeight="false" outlineLevel="0" collapsed="false">
      <c r="A608" s="121"/>
      <c r="B608" s="121"/>
      <c r="C608" s="121"/>
      <c r="D608" s="121"/>
      <c r="E608" s="121"/>
      <c r="F608" s="121"/>
      <c r="G608" s="121"/>
      <c r="H608" s="121"/>
      <c r="I608" s="121"/>
      <c r="J608" s="121"/>
      <c r="K608" s="121"/>
      <c r="L608" s="121"/>
      <c r="M608" s="121"/>
      <c r="N608" s="121"/>
      <c r="O608" s="121"/>
      <c r="P608" s="121"/>
      <c r="Q608" s="121"/>
      <c r="R608" s="121"/>
      <c r="S608" s="121"/>
      <c r="T608" s="121"/>
      <c r="U608" s="121"/>
      <c r="V608" s="121"/>
      <c r="W608" s="121"/>
      <c r="X608" s="121"/>
      <c r="Y608" s="121"/>
      <c r="Z608" s="121"/>
    </row>
    <row r="609" customFormat="false" ht="15.75" hidden="false" customHeight="false" outlineLevel="0" collapsed="false">
      <c r="A609" s="121"/>
      <c r="B609" s="121"/>
      <c r="C609" s="121"/>
      <c r="D609" s="121"/>
      <c r="E609" s="121"/>
      <c r="F609" s="121"/>
      <c r="G609" s="121"/>
      <c r="H609" s="121"/>
      <c r="I609" s="121"/>
      <c r="J609" s="121"/>
      <c r="K609" s="121"/>
      <c r="L609" s="121"/>
      <c r="M609" s="121"/>
      <c r="N609" s="121"/>
      <c r="O609" s="121"/>
      <c r="P609" s="121"/>
      <c r="Q609" s="121"/>
      <c r="R609" s="121"/>
      <c r="S609" s="121"/>
      <c r="T609" s="121"/>
      <c r="U609" s="121"/>
      <c r="V609" s="121"/>
      <c r="W609" s="121"/>
      <c r="X609" s="121"/>
      <c r="Y609" s="121"/>
      <c r="Z609" s="121"/>
    </row>
    <row r="610" customFormat="false" ht="15.75" hidden="false" customHeight="false" outlineLevel="0" collapsed="false">
      <c r="A610" s="121"/>
      <c r="B610" s="121"/>
      <c r="C610" s="121"/>
      <c r="D610" s="121"/>
      <c r="E610" s="121"/>
      <c r="F610" s="121"/>
      <c r="G610" s="121"/>
      <c r="H610" s="121"/>
      <c r="I610" s="121"/>
      <c r="J610" s="121"/>
      <c r="K610" s="121"/>
      <c r="L610" s="121"/>
      <c r="M610" s="121"/>
      <c r="N610" s="121"/>
      <c r="O610" s="121"/>
      <c r="P610" s="121"/>
      <c r="Q610" s="121"/>
      <c r="R610" s="121"/>
      <c r="S610" s="121"/>
      <c r="T610" s="121"/>
      <c r="U610" s="121"/>
      <c r="V610" s="121"/>
      <c r="W610" s="121"/>
      <c r="X610" s="121"/>
      <c r="Y610" s="121"/>
      <c r="Z610" s="121"/>
    </row>
    <row r="611" customFormat="false" ht="15.75" hidden="false" customHeight="false" outlineLevel="0" collapsed="false">
      <c r="A611" s="121"/>
      <c r="B611" s="121"/>
      <c r="C611" s="121"/>
      <c r="D611" s="121"/>
      <c r="E611" s="121"/>
      <c r="F611" s="121"/>
      <c r="G611" s="121"/>
      <c r="H611" s="121"/>
      <c r="I611" s="121"/>
      <c r="J611" s="121"/>
      <c r="K611" s="121"/>
      <c r="L611" s="121"/>
      <c r="M611" s="121"/>
      <c r="N611" s="121"/>
      <c r="O611" s="121"/>
      <c r="P611" s="121"/>
      <c r="Q611" s="121"/>
      <c r="R611" s="121"/>
      <c r="S611" s="121"/>
      <c r="T611" s="121"/>
      <c r="U611" s="121"/>
      <c r="V611" s="121"/>
      <c r="W611" s="121"/>
      <c r="X611" s="121"/>
      <c r="Y611" s="121"/>
      <c r="Z611" s="121"/>
    </row>
    <row r="612" customFormat="false" ht="15.75" hidden="false" customHeight="false" outlineLevel="0" collapsed="false">
      <c r="A612" s="121"/>
      <c r="B612" s="121"/>
      <c r="C612" s="121"/>
      <c r="D612" s="121"/>
      <c r="E612" s="121"/>
      <c r="F612" s="121"/>
      <c r="G612" s="121"/>
      <c r="H612" s="121"/>
      <c r="I612" s="121"/>
      <c r="J612" s="121"/>
      <c r="K612" s="121"/>
      <c r="L612" s="121"/>
      <c r="M612" s="121"/>
      <c r="N612" s="121"/>
      <c r="O612" s="121"/>
      <c r="P612" s="121"/>
      <c r="Q612" s="121"/>
      <c r="R612" s="121"/>
      <c r="S612" s="121"/>
      <c r="T612" s="121"/>
      <c r="U612" s="121"/>
      <c r="V612" s="121"/>
      <c r="W612" s="121"/>
      <c r="X612" s="121"/>
      <c r="Y612" s="121"/>
      <c r="Z612" s="121"/>
    </row>
    <row r="613" customFormat="false" ht="15.75" hidden="false" customHeight="false" outlineLevel="0" collapsed="false">
      <c r="A613" s="121"/>
      <c r="B613" s="121"/>
      <c r="C613" s="121"/>
      <c r="D613" s="121"/>
      <c r="E613" s="121"/>
      <c r="F613" s="121"/>
      <c r="G613" s="121"/>
      <c r="H613" s="121"/>
      <c r="I613" s="121"/>
      <c r="J613" s="121"/>
      <c r="K613" s="121"/>
      <c r="L613" s="121"/>
      <c r="M613" s="121"/>
      <c r="N613" s="121"/>
      <c r="O613" s="121"/>
      <c r="P613" s="121"/>
      <c r="Q613" s="121"/>
      <c r="R613" s="121"/>
      <c r="S613" s="121"/>
      <c r="T613" s="121"/>
      <c r="U613" s="121"/>
      <c r="V613" s="121"/>
      <c r="W613" s="121"/>
      <c r="X613" s="121"/>
      <c r="Y613" s="121"/>
      <c r="Z613" s="121"/>
    </row>
    <row r="614" customFormat="false" ht="15.75" hidden="false" customHeight="false" outlineLevel="0" collapsed="false">
      <c r="A614" s="121"/>
      <c r="B614" s="121"/>
      <c r="C614" s="121"/>
      <c r="D614" s="121"/>
      <c r="E614" s="121"/>
      <c r="F614" s="121"/>
      <c r="G614" s="121"/>
      <c r="H614" s="121"/>
      <c r="I614" s="121"/>
      <c r="J614" s="121"/>
      <c r="K614" s="121"/>
      <c r="L614" s="121"/>
      <c r="M614" s="121"/>
      <c r="N614" s="121"/>
      <c r="O614" s="121"/>
      <c r="P614" s="121"/>
      <c r="Q614" s="121"/>
      <c r="R614" s="121"/>
      <c r="S614" s="121"/>
      <c r="T614" s="121"/>
      <c r="U614" s="121"/>
      <c r="V614" s="121"/>
      <c r="W614" s="121"/>
      <c r="X614" s="121"/>
      <c r="Y614" s="121"/>
      <c r="Z614" s="121"/>
    </row>
    <row r="615" customFormat="false" ht="15.75" hidden="false" customHeight="false" outlineLevel="0" collapsed="false">
      <c r="A615" s="121"/>
      <c r="B615" s="121"/>
      <c r="C615" s="121"/>
      <c r="D615" s="121"/>
      <c r="E615" s="121"/>
      <c r="F615" s="121"/>
      <c r="G615" s="121"/>
      <c r="H615" s="121"/>
      <c r="I615" s="121"/>
      <c r="J615" s="121"/>
      <c r="K615" s="121"/>
      <c r="L615" s="121"/>
      <c r="M615" s="121"/>
      <c r="N615" s="121"/>
      <c r="O615" s="121"/>
      <c r="P615" s="121"/>
      <c r="Q615" s="121"/>
      <c r="R615" s="121"/>
      <c r="S615" s="121"/>
      <c r="T615" s="121"/>
      <c r="U615" s="121"/>
      <c r="V615" s="121"/>
      <c r="W615" s="121"/>
      <c r="X615" s="121"/>
      <c r="Y615" s="121"/>
      <c r="Z615" s="121"/>
    </row>
    <row r="616" customFormat="false" ht="15.75" hidden="false" customHeight="false" outlineLevel="0" collapsed="false">
      <c r="A616" s="121"/>
      <c r="B616" s="121"/>
      <c r="C616" s="121"/>
      <c r="D616" s="121"/>
      <c r="E616" s="121"/>
      <c r="F616" s="121"/>
      <c r="G616" s="121"/>
      <c r="H616" s="121"/>
      <c r="I616" s="121"/>
      <c r="J616" s="121"/>
      <c r="K616" s="121"/>
      <c r="L616" s="121"/>
      <c r="M616" s="121"/>
      <c r="N616" s="121"/>
      <c r="O616" s="121"/>
      <c r="P616" s="121"/>
      <c r="Q616" s="121"/>
      <c r="R616" s="121"/>
      <c r="S616" s="121"/>
      <c r="T616" s="121"/>
      <c r="U616" s="121"/>
      <c r="V616" s="121"/>
      <c r="W616" s="121"/>
      <c r="X616" s="121"/>
      <c r="Y616" s="121"/>
      <c r="Z616" s="121"/>
    </row>
    <row r="617" customFormat="false" ht="15.75" hidden="false" customHeight="false" outlineLevel="0" collapsed="false">
      <c r="A617" s="121"/>
      <c r="B617" s="121"/>
      <c r="C617" s="121"/>
      <c r="D617" s="121"/>
      <c r="E617" s="121"/>
      <c r="F617" s="121"/>
      <c r="G617" s="121"/>
      <c r="H617" s="121"/>
      <c r="I617" s="121"/>
      <c r="J617" s="121"/>
      <c r="K617" s="121"/>
      <c r="L617" s="121"/>
      <c r="M617" s="121"/>
      <c r="N617" s="121"/>
      <c r="O617" s="121"/>
      <c r="P617" s="121"/>
      <c r="Q617" s="121"/>
      <c r="R617" s="121"/>
      <c r="S617" s="121"/>
      <c r="T617" s="121"/>
      <c r="U617" s="121"/>
      <c r="V617" s="121"/>
      <c r="W617" s="121"/>
      <c r="X617" s="121"/>
      <c r="Y617" s="121"/>
      <c r="Z617" s="121"/>
    </row>
    <row r="618" customFormat="false" ht="15.75" hidden="false" customHeight="false" outlineLevel="0" collapsed="false">
      <c r="A618" s="121"/>
      <c r="B618" s="121"/>
      <c r="C618" s="121"/>
      <c r="D618" s="121"/>
      <c r="E618" s="121"/>
      <c r="F618" s="121"/>
      <c r="G618" s="121"/>
      <c r="H618" s="121"/>
      <c r="I618" s="121"/>
      <c r="J618" s="121"/>
      <c r="K618" s="121"/>
      <c r="L618" s="121"/>
      <c r="M618" s="121"/>
      <c r="N618" s="121"/>
      <c r="O618" s="121"/>
      <c r="P618" s="121"/>
      <c r="Q618" s="121"/>
      <c r="R618" s="121"/>
      <c r="S618" s="121"/>
      <c r="T618" s="121"/>
      <c r="U618" s="121"/>
      <c r="V618" s="121"/>
      <c r="W618" s="121"/>
      <c r="X618" s="121"/>
      <c r="Y618" s="121"/>
      <c r="Z618" s="121"/>
    </row>
    <row r="619" customFormat="false" ht="15.75" hidden="false" customHeight="false" outlineLevel="0" collapsed="false">
      <c r="A619" s="121"/>
      <c r="B619" s="121"/>
      <c r="C619" s="121"/>
      <c r="D619" s="121"/>
      <c r="E619" s="121"/>
      <c r="F619" s="121"/>
      <c r="G619" s="121"/>
      <c r="H619" s="121"/>
      <c r="I619" s="121"/>
      <c r="J619" s="121"/>
      <c r="K619" s="121"/>
      <c r="L619" s="121"/>
      <c r="M619" s="121"/>
      <c r="N619" s="121"/>
      <c r="O619" s="121"/>
      <c r="P619" s="121"/>
      <c r="Q619" s="121"/>
      <c r="R619" s="121"/>
      <c r="S619" s="121"/>
      <c r="T619" s="121"/>
      <c r="U619" s="121"/>
      <c r="V619" s="121"/>
      <c r="W619" s="121"/>
      <c r="X619" s="121"/>
      <c r="Y619" s="121"/>
      <c r="Z619" s="121"/>
    </row>
    <row r="620" customFormat="false" ht="15.75" hidden="false" customHeight="false" outlineLevel="0" collapsed="false">
      <c r="A620" s="121"/>
      <c r="B620" s="121"/>
      <c r="C620" s="121"/>
      <c r="D620" s="121"/>
      <c r="E620" s="121"/>
      <c r="F620" s="121"/>
      <c r="G620" s="121"/>
      <c r="H620" s="121"/>
      <c r="I620" s="121"/>
      <c r="J620" s="121"/>
      <c r="K620" s="121"/>
      <c r="L620" s="121"/>
      <c r="M620" s="121"/>
      <c r="N620" s="121"/>
      <c r="O620" s="121"/>
      <c r="P620" s="121"/>
      <c r="Q620" s="121"/>
      <c r="R620" s="121"/>
      <c r="S620" s="121"/>
      <c r="T620" s="121"/>
      <c r="U620" s="121"/>
      <c r="V620" s="121"/>
      <c r="W620" s="121"/>
      <c r="X620" s="121"/>
      <c r="Y620" s="121"/>
      <c r="Z620" s="121"/>
    </row>
    <row r="621" customFormat="false" ht="15.75" hidden="false" customHeight="false" outlineLevel="0" collapsed="false">
      <c r="A621" s="121"/>
      <c r="B621" s="121"/>
      <c r="C621" s="121"/>
      <c r="D621" s="121"/>
      <c r="E621" s="121"/>
      <c r="F621" s="121"/>
      <c r="G621" s="121"/>
      <c r="H621" s="121"/>
      <c r="I621" s="121"/>
      <c r="J621" s="121"/>
      <c r="K621" s="121"/>
      <c r="L621" s="121"/>
      <c r="M621" s="121"/>
      <c r="N621" s="121"/>
      <c r="O621" s="121"/>
      <c r="P621" s="121"/>
      <c r="Q621" s="121"/>
      <c r="R621" s="121"/>
      <c r="S621" s="121"/>
      <c r="T621" s="121"/>
      <c r="U621" s="121"/>
      <c r="V621" s="121"/>
      <c r="W621" s="121"/>
      <c r="X621" s="121"/>
      <c r="Y621" s="121"/>
      <c r="Z621" s="121"/>
    </row>
    <row r="622" customFormat="false" ht="15.75" hidden="false" customHeight="false" outlineLevel="0" collapsed="false">
      <c r="A622" s="121"/>
      <c r="B622" s="121"/>
      <c r="C622" s="121"/>
      <c r="D622" s="121"/>
      <c r="E622" s="121"/>
      <c r="F622" s="121"/>
      <c r="G622" s="121"/>
      <c r="H622" s="121"/>
      <c r="I622" s="121"/>
      <c r="J622" s="121"/>
      <c r="K622" s="121"/>
      <c r="L622" s="121"/>
      <c r="M622" s="121"/>
      <c r="N622" s="121"/>
      <c r="O622" s="121"/>
      <c r="P622" s="121"/>
      <c r="Q622" s="121"/>
      <c r="R622" s="121"/>
      <c r="S622" s="121"/>
      <c r="T622" s="121"/>
      <c r="U622" s="121"/>
      <c r="V622" s="121"/>
      <c r="W622" s="121"/>
      <c r="X622" s="121"/>
      <c r="Y622" s="121"/>
      <c r="Z622" s="121"/>
    </row>
    <row r="623" customFormat="false" ht="15.75" hidden="false" customHeight="false" outlineLevel="0" collapsed="false">
      <c r="A623" s="121"/>
      <c r="B623" s="121"/>
      <c r="C623" s="121"/>
      <c r="D623" s="121"/>
      <c r="E623" s="121"/>
      <c r="F623" s="121"/>
      <c r="G623" s="121"/>
      <c r="H623" s="121"/>
      <c r="I623" s="121"/>
      <c r="J623" s="121"/>
      <c r="K623" s="121"/>
      <c r="L623" s="121"/>
      <c r="M623" s="121"/>
      <c r="N623" s="121"/>
      <c r="O623" s="121"/>
      <c r="P623" s="121"/>
      <c r="Q623" s="121"/>
      <c r="R623" s="121"/>
      <c r="S623" s="121"/>
      <c r="T623" s="121"/>
      <c r="U623" s="121"/>
      <c r="V623" s="121"/>
      <c r="W623" s="121"/>
      <c r="X623" s="121"/>
      <c r="Y623" s="121"/>
      <c r="Z623" s="121"/>
    </row>
    <row r="624" customFormat="false" ht="15.75" hidden="false" customHeight="false" outlineLevel="0" collapsed="false">
      <c r="A624" s="121"/>
      <c r="B624" s="121"/>
      <c r="C624" s="121"/>
      <c r="D624" s="121"/>
      <c r="E624" s="121"/>
      <c r="F624" s="121"/>
      <c r="G624" s="121"/>
      <c r="H624" s="121"/>
      <c r="I624" s="121"/>
      <c r="J624" s="121"/>
      <c r="K624" s="121"/>
      <c r="L624" s="121"/>
      <c r="M624" s="121"/>
      <c r="N624" s="121"/>
      <c r="O624" s="121"/>
      <c r="P624" s="121"/>
      <c r="Q624" s="121"/>
      <c r="R624" s="121"/>
      <c r="S624" s="121"/>
      <c r="T624" s="121"/>
      <c r="U624" s="121"/>
      <c r="V624" s="121"/>
      <c r="W624" s="121"/>
      <c r="X624" s="121"/>
      <c r="Y624" s="121"/>
      <c r="Z624" s="121"/>
    </row>
    <row r="625" customFormat="false" ht="15.75" hidden="false" customHeight="false" outlineLevel="0" collapsed="false">
      <c r="A625" s="121"/>
      <c r="B625" s="121"/>
      <c r="C625" s="121"/>
      <c r="D625" s="121"/>
      <c r="E625" s="121"/>
      <c r="F625" s="121"/>
      <c r="G625" s="121"/>
      <c r="H625" s="121"/>
      <c r="I625" s="121"/>
      <c r="J625" s="121"/>
      <c r="K625" s="121"/>
      <c r="L625" s="121"/>
      <c r="M625" s="121"/>
      <c r="N625" s="121"/>
      <c r="O625" s="121"/>
      <c r="P625" s="121"/>
      <c r="Q625" s="121"/>
      <c r="R625" s="121"/>
      <c r="S625" s="121"/>
      <c r="T625" s="121"/>
      <c r="U625" s="121"/>
      <c r="V625" s="121"/>
      <c r="W625" s="121"/>
      <c r="X625" s="121"/>
      <c r="Y625" s="121"/>
      <c r="Z625" s="121"/>
    </row>
    <row r="626" customFormat="false" ht="15.75" hidden="false" customHeight="false" outlineLevel="0" collapsed="false">
      <c r="A626" s="121"/>
      <c r="B626" s="121"/>
      <c r="C626" s="121"/>
      <c r="D626" s="121"/>
      <c r="E626" s="121"/>
      <c r="F626" s="121"/>
      <c r="G626" s="121"/>
      <c r="H626" s="121"/>
      <c r="I626" s="121"/>
      <c r="J626" s="121"/>
      <c r="K626" s="121"/>
      <c r="L626" s="121"/>
      <c r="M626" s="121"/>
      <c r="N626" s="121"/>
      <c r="O626" s="121"/>
      <c r="P626" s="121"/>
      <c r="Q626" s="121"/>
      <c r="R626" s="121"/>
      <c r="S626" s="121"/>
      <c r="T626" s="121"/>
      <c r="U626" s="121"/>
      <c r="V626" s="121"/>
      <c r="W626" s="121"/>
      <c r="X626" s="121"/>
      <c r="Y626" s="121"/>
      <c r="Z626" s="121"/>
    </row>
    <row r="627" customFormat="false" ht="15.75" hidden="false" customHeight="false" outlineLevel="0" collapsed="false">
      <c r="A627" s="121"/>
      <c r="B627" s="121"/>
      <c r="C627" s="121"/>
      <c r="D627" s="121"/>
      <c r="E627" s="121"/>
      <c r="F627" s="121"/>
      <c r="G627" s="121"/>
      <c r="H627" s="121"/>
      <c r="I627" s="121"/>
      <c r="J627" s="121"/>
      <c r="K627" s="121"/>
      <c r="L627" s="121"/>
      <c r="M627" s="121"/>
      <c r="N627" s="121"/>
      <c r="O627" s="121"/>
      <c r="P627" s="121"/>
      <c r="Q627" s="121"/>
      <c r="R627" s="121"/>
      <c r="S627" s="121"/>
      <c r="T627" s="121"/>
      <c r="U627" s="121"/>
      <c r="V627" s="121"/>
      <c r="W627" s="121"/>
      <c r="X627" s="121"/>
      <c r="Y627" s="121"/>
      <c r="Z627" s="121"/>
    </row>
    <row r="628" customFormat="false" ht="15.75" hidden="false" customHeight="false" outlineLevel="0" collapsed="false">
      <c r="A628" s="121"/>
      <c r="B628" s="121"/>
      <c r="C628" s="121"/>
      <c r="D628" s="121"/>
      <c r="E628" s="121"/>
      <c r="F628" s="121"/>
      <c r="G628" s="121"/>
      <c r="H628" s="121"/>
      <c r="I628" s="121"/>
      <c r="J628" s="121"/>
      <c r="K628" s="121"/>
      <c r="L628" s="121"/>
      <c r="M628" s="121"/>
      <c r="N628" s="121"/>
      <c r="O628" s="121"/>
      <c r="P628" s="121"/>
      <c r="Q628" s="121"/>
      <c r="R628" s="121"/>
      <c r="S628" s="121"/>
      <c r="T628" s="121"/>
      <c r="U628" s="121"/>
      <c r="V628" s="121"/>
      <c r="W628" s="121"/>
      <c r="X628" s="121"/>
      <c r="Y628" s="121"/>
      <c r="Z628" s="121"/>
    </row>
    <row r="629" customFormat="false" ht="15.75" hidden="false" customHeight="false" outlineLevel="0" collapsed="false">
      <c r="A629" s="121"/>
      <c r="B629" s="121"/>
      <c r="C629" s="121"/>
      <c r="D629" s="121"/>
      <c r="E629" s="121"/>
      <c r="F629" s="121"/>
      <c r="G629" s="121"/>
      <c r="H629" s="121"/>
      <c r="I629" s="121"/>
      <c r="J629" s="121"/>
      <c r="K629" s="121"/>
      <c r="L629" s="121"/>
      <c r="M629" s="121"/>
      <c r="N629" s="121"/>
      <c r="O629" s="121"/>
      <c r="P629" s="121"/>
      <c r="Q629" s="121"/>
      <c r="R629" s="121"/>
      <c r="S629" s="121"/>
      <c r="T629" s="121"/>
      <c r="U629" s="121"/>
      <c r="V629" s="121"/>
      <c r="W629" s="121"/>
      <c r="X629" s="121"/>
      <c r="Y629" s="121"/>
      <c r="Z629" s="121"/>
    </row>
    <row r="630" customFormat="false" ht="15.75" hidden="false" customHeight="false" outlineLevel="0" collapsed="false">
      <c r="A630" s="121"/>
      <c r="B630" s="121"/>
      <c r="C630" s="121"/>
      <c r="D630" s="121"/>
      <c r="E630" s="121"/>
      <c r="F630" s="121"/>
      <c r="G630" s="121"/>
      <c r="H630" s="121"/>
      <c r="I630" s="121"/>
      <c r="J630" s="121"/>
      <c r="K630" s="121"/>
      <c r="L630" s="121"/>
      <c r="M630" s="121"/>
      <c r="N630" s="121"/>
      <c r="O630" s="121"/>
      <c r="P630" s="121"/>
      <c r="Q630" s="121"/>
      <c r="R630" s="121"/>
      <c r="S630" s="121"/>
      <c r="T630" s="121"/>
      <c r="U630" s="121"/>
      <c r="V630" s="121"/>
      <c r="W630" s="121"/>
      <c r="X630" s="121"/>
      <c r="Y630" s="121"/>
      <c r="Z630" s="121"/>
    </row>
    <row r="631" customFormat="false" ht="15.75" hidden="false" customHeight="false" outlineLevel="0" collapsed="false">
      <c r="A631" s="121"/>
      <c r="B631" s="121"/>
      <c r="C631" s="121"/>
      <c r="D631" s="121"/>
      <c r="E631" s="121"/>
      <c r="F631" s="121"/>
      <c r="G631" s="121"/>
      <c r="H631" s="121"/>
      <c r="I631" s="121"/>
      <c r="J631" s="121"/>
      <c r="K631" s="121"/>
      <c r="L631" s="121"/>
      <c r="M631" s="121"/>
      <c r="N631" s="121"/>
      <c r="O631" s="121"/>
      <c r="P631" s="121"/>
      <c r="Q631" s="121"/>
      <c r="R631" s="121"/>
      <c r="S631" s="121"/>
      <c r="T631" s="121"/>
      <c r="U631" s="121"/>
      <c r="V631" s="121"/>
      <c r="W631" s="121"/>
      <c r="X631" s="121"/>
      <c r="Y631" s="121"/>
      <c r="Z631" s="121"/>
    </row>
    <row r="632" customFormat="false" ht="15.75" hidden="false" customHeight="false" outlineLevel="0" collapsed="false">
      <c r="A632" s="121"/>
      <c r="B632" s="121"/>
      <c r="C632" s="121"/>
      <c r="D632" s="121"/>
      <c r="E632" s="121"/>
      <c r="F632" s="121"/>
      <c r="G632" s="121"/>
      <c r="H632" s="121"/>
      <c r="I632" s="121"/>
      <c r="J632" s="121"/>
      <c r="K632" s="121"/>
      <c r="L632" s="121"/>
      <c r="M632" s="121"/>
      <c r="N632" s="121"/>
      <c r="O632" s="121"/>
      <c r="P632" s="121"/>
      <c r="Q632" s="121"/>
      <c r="R632" s="121"/>
      <c r="S632" s="121"/>
      <c r="T632" s="121"/>
      <c r="U632" s="121"/>
      <c r="V632" s="121"/>
      <c r="W632" s="121"/>
      <c r="X632" s="121"/>
      <c r="Y632" s="121"/>
      <c r="Z632" s="121"/>
    </row>
    <row r="633" customFormat="false" ht="15.75" hidden="false" customHeight="false" outlineLevel="0" collapsed="false">
      <c r="A633" s="121"/>
      <c r="B633" s="121"/>
      <c r="C633" s="121"/>
      <c r="D633" s="121"/>
      <c r="E633" s="121"/>
      <c r="F633" s="121"/>
      <c r="G633" s="121"/>
      <c r="H633" s="121"/>
      <c r="I633" s="121"/>
      <c r="J633" s="121"/>
      <c r="K633" s="121"/>
      <c r="L633" s="121"/>
      <c r="M633" s="121"/>
      <c r="N633" s="121"/>
      <c r="O633" s="121"/>
      <c r="P633" s="121"/>
      <c r="Q633" s="121"/>
      <c r="R633" s="121"/>
      <c r="S633" s="121"/>
      <c r="T633" s="121"/>
      <c r="U633" s="121"/>
      <c r="V633" s="121"/>
      <c r="W633" s="121"/>
      <c r="X633" s="121"/>
      <c r="Y633" s="121"/>
      <c r="Z633" s="121"/>
    </row>
    <row r="634" customFormat="false" ht="15.75" hidden="false" customHeight="false" outlineLevel="0" collapsed="false">
      <c r="A634" s="121"/>
      <c r="B634" s="121"/>
      <c r="C634" s="121"/>
      <c r="D634" s="121"/>
      <c r="E634" s="121"/>
      <c r="F634" s="121"/>
      <c r="G634" s="121"/>
      <c r="H634" s="121"/>
      <c r="I634" s="121"/>
      <c r="J634" s="121"/>
      <c r="K634" s="121"/>
      <c r="L634" s="121"/>
      <c r="M634" s="121"/>
      <c r="N634" s="121"/>
      <c r="O634" s="121"/>
      <c r="P634" s="121"/>
      <c r="Q634" s="121"/>
      <c r="R634" s="121"/>
      <c r="S634" s="121"/>
      <c r="T634" s="121"/>
      <c r="U634" s="121"/>
      <c r="V634" s="121"/>
      <c r="W634" s="121"/>
      <c r="X634" s="121"/>
      <c r="Y634" s="121"/>
      <c r="Z634" s="121"/>
    </row>
    <row r="635" customFormat="false" ht="15.75" hidden="false" customHeight="false" outlineLevel="0" collapsed="false">
      <c r="A635" s="121"/>
      <c r="B635" s="121"/>
      <c r="C635" s="121"/>
      <c r="D635" s="121"/>
      <c r="E635" s="121"/>
      <c r="F635" s="121"/>
      <c r="G635" s="121"/>
      <c r="H635" s="121"/>
      <c r="I635" s="121"/>
      <c r="J635" s="121"/>
      <c r="K635" s="121"/>
      <c r="L635" s="121"/>
      <c r="M635" s="121"/>
      <c r="N635" s="121"/>
      <c r="O635" s="121"/>
      <c r="P635" s="121"/>
      <c r="Q635" s="121"/>
      <c r="R635" s="121"/>
      <c r="S635" s="121"/>
      <c r="T635" s="121"/>
      <c r="U635" s="121"/>
      <c r="V635" s="121"/>
      <c r="W635" s="121"/>
      <c r="X635" s="121"/>
      <c r="Y635" s="121"/>
      <c r="Z635" s="121"/>
    </row>
    <row r="636" customFormat="false" ht="15.75" hidden="false" customHeight="false" outlineLevel="0" collapsed="false">
      <c r="A636" s="121"/>
      <c r="B636" s="121"/>
      <c r="C636" s="121"/>
      <c r="D636" s="121"/>
      <c r="E636" s="121"/>
      <c r="F636" s="121"/>
      <c r="G636" s="121"/>
      <c r="H636" s="121"/>
      <c r="I636" s="121"/>
      <c r="J636" s="121"/>
      <c r="K636" s="121"/>
      <c r="L636" s="121"/>
      <c r="M636" s="121"/>
      <c r="N636" s="121"/>
      <c r="O636" s="121"/>
      <c r="P636" s="121"/>
      <c r="Q636" s="121"/>
      <c r="R636" s="121"/>
      <c r="S636" s="121"/>
      <c r="T636" s="121"/>
      <c r="U636" s="121"/>
      <c r="V636" s="121"/>
      <c r="W636" s="121"/>
      <c r="X636" s="121"/>
      <c r="Y636" s="121"/>
      <c r="Z636" s="121"/>
    </row>
    <row r="637" customFormat="false" ht="15.75" hidden="false" customHeight="false" outlineLevel="0" collapsed="false">
      <c r="A637" s="121"/>
      <c r="B637" s="121"/>
      <c r="C637" s="121"/>
      <c r="D637" s="121"/>
      <c r="E637" s="121"/>
      <c r="F637" s="121"/>
      <c r="G637" s="121"/>
      <c r="H637" s="121"/>
      <c r="I637" s="121"/>
      <c r="J637" s="121"/>
      <c r="K637" s="121"/>
      <c r="L637" s="121"/>
      <c r="M637" s="121"/>
      <c r="N637" s="121"/>
      <c r="O637" s="121"/>
      <c r="P637" s="121"/>
      <c r="Q637" s="121"/>
      <c r="R637" s="121"/>
      <c r="S637" s="121"/>
      <c r="T637" s="121"/>
      <c r="U637" s="121"/>
      <c r="V637" s="121"/>
      <c r="W637" s="121"/>
      <c r="X637" s="121"/>
      <c r="Y637" s="121"/>
      <c r="Z637" s="121"/>
    </row>
    <row r="638" customFormat="false" ht="15.75" hidden="false" customHeight="false" outlineLevel="0" collapsed="false">
      <c r="A638" s="121"/>
      <c r="B638" s="121"/>
      <c r="C638" s="121"/>
      <c r="D638" s="121"/>
      <c r="E638" s="121"/>
      <c r="F638" s="121"/>
      <c r="G638" s="121"/>
      <c r="H638" s="121"/>
      <c r="I638" s="121"/>
      <c r="J638" s="121"/>
      <c r="K638" s="121"/>
      <c r="L638" s="121"/>
      <c r="M638" s="121"/>
      <c r="N638" s="121"/>
      <c r="O638" s="121"/>
      <c r="P638" s="121"/>
      <c r="Q638" s="121"/>
      <c r="R638" s="121"/>
      <c r="S638" s="121"/>
      <c r="T638" s="121"/>
      <c r="U638" s="121"/>
      <c r="V638" s="121"/>
      <c r="W638" s="121"/>
      <c r="X638" s="121"/>
      <c r="Y638" s="121"/>
      <c r="Z638" s="121"/>
    </row>
    <row r="639" customFormat="false" ht="15.75" hidden="false" customHeight="false" outlineLevel="0" collapsed="false">
      <c r="A639" s="121"/>
      <c r="B639" s="121"/>
      <c r="C639" s="121"/>
      <c r="D639" s="121"/>
      <c r="E639" s="121"/>
      <c r="F639" s="121"/>
      <c r="G639" s="121"/>
      <c r="H639" s="121"/>
      <c r="I639" s="121"/>
      <c r="J639" s="121"/>
      <c r="K639" s="121"/>
      <c r="L639" s="121"/>
      <c r="M639" s="121"/>
      <c r="N639" s="121"/>
      <c r="O639" s="121"/>
      <c r="P639" s="121"/>
      <c r="Q639" s="121"/>
      <c r="R639" s="121"/>
      <c r="S639" s="121"/>
      <c r="T639" s="121"/>
      <c r="U639" s="121"/>
      <c r="V639" s="121"/>
      <c r="W639" s="121"/>
      <c r="X639" s="121"/>
      <c r="Y639" s="121"/>
      <c r="Z639" s="121"/>
    </row>
    <row r="640" customFormat="false" ht="15.75" hidden="false" customHeight="false" outlineLevel="0" collapsed="false">
      <c r="A640" s="121"/>
      <c r="B640" s="121"/>
      <c r="C640" s="121"/>
      <c r="D640" s="121"/>
      <c r="E640" s="121"/>
      <c r="F640" s="121"/>
      <c r="G640" s="121"/>
      <c r="H640" s="121"/>
      <c r="I640" s="121"/>
      <c r="J640" s="121"/>
      <c r="K640" s="121"/>
      <c r="L640" s="121"/>
      <c r="M640" s="121"/>
      <c r="N640" s="121"/>
      <c r="O640" s="121"/>
      <c r="P640" s="121"/>
      <c r="Q640" s="121"/>
      <c r="R640" s="121"/>
      <c r="S640" s="121"/>
      <c r="T640" s="121"/>
      <c r="U640" s="121"/>
      <c r="V640" s="121"/>
      <c r="W640" s="121"/>
      <c r="X640" s="121"/>
      <c r="Y640" s="121"/>
      <c r="Z640" s="121"/>
    </row>
    <row r="641" customFormat="false" ht="15.75" hidden="false" customHeight="false" outlineLevel="0" collapsed="false">
      <c r="A641" s="121"/>
      <c r="B641" s="121"/>
      <c r="C641" s="121"/>
      <c r="D641" s="121"/>
      <c r="E641" s="121"/>
      <c r="F641" s="121"/>
      <c r="G641" s="121"/>
      <c r="H641" s="121"/>
      <c r="I641" s="121"/>
      <c r="J641" s="121"/>
      <c r="K641" s="121"/>
      <c r="L641" s="121"/>
      <c r="M641" s="121"/>
      <c r="N641" s="121"/>
      <c r="O641" s="121"/>
      <c r="P641" s="121"/>
      <c r="Q641" s="121"/>
      <c r="R641" s="121"/>
      <c r="S641" s="121"/>
      <c r="T641" s="121"/>
      <c r="U641" s="121"/>
      <c r="V641" s="121"/>
      <c r="W641" s="121"/>
      <c r="X641" s="121"/>
      <c r="Y641" s="121"/>
      <c r="Z641" s="121"/>
    </row>
    <row r="642" customFormat="false" ht="15.75" hidden="false" customHeight="false" outlineLevel="0" collapsed="false">
      <c r="A642" s="121"/>
      <c r="B642" s="121"/>
      <c r="C642" s="121"/>
      <c r="D642" s="121"/>
      <c r="E642" s="121"/>
      <c r="F642" s="121"/>
      <c r="G642" s="121"/>
      <c r="H642" s="121"/>
      <c r="I642" s="121"/>
      <c r="J642" s="121"/>
      <c r="K642" s="121"/>
      <c r="L642" s="121"/>
      <c r="M642" s="121"/>
      <c r="N642" s="121"/>
      <c r="O642" s="121"/>
      <c r="P642" s="121"/>
      <c r="Q642" s="121"/>
      <c r="R642" s="121"/>
      <c r="S642" s="121"/>
      <c r="T642" s="121"/>
      <c r="U642" s="121"/>
      <c r="V642" s="121"/>
      <c r="W642" s="121"/>
      <c r="X642" s="121"/>
      <c r="Y642" s="121"/>
      <c r="Z642" s="121"/>
    </row>
    <row r="643" customFormat="false" ht="15.75" hidden="false" customHeight="false" outlineLevel="0" collapsed="false">
      <c r="A643" s="121"/>
      <c r="B643" s="121"/>
      <c r="C643" s="121"/>
      <c r="D643" s="121"/>
      <c r="E643" s="121"/>
      <c r="F643" s="121"/>
      <c r="G643" s="121"/>
      <c r="H643" s="121"/>
      <c r="I643" s="121"/>
      <c r="J643" s="121"/>
      <c r="K643" s="121"/>
      <c r="L643" s="121"/>
      <c r="M643" s="121"/>
      <c r="N643" s="121"/>
      <c r="O643" s="121"/>
      <c r="P643" s="121"/>
      <c r="Q643" s="121"/>
      <c r="R643" s="121"/>
      <c r="S643" s="121"/>
      <c r="T643" s="121"/>
      <c r="U643" s="121"/>
      <c r="V643" s="121"/>
      <c r="W643" s="121"/>
      <c r="X643" s="121"/>
      <c r="Y643" s="121"/>
      <c r="Z643" s="121"/>
    </row>
    <row r="644" customFormat="false" ht="15.75" hidden="false" customHeight="false" outlineLevel="0" collapsed="false">
      <c r="A644" s="121"/>
      <c r="B644" s="121"/>
      <c r="C644" s="121"/>
      <c r="D644" s="121"/>
      <c r="E644" s="121"/>
      <c r="F644" s="121"/>
      <c r="G644" s="121"/>
      <c r="H644" s="121"/>
      <c r="I644" s="121"/>
      <c r="J644" s="121"/>
      <c r="K644" s="121"/>
      <c r="L644" s="121"/>
      <c r="M644" s="121"/>
      <c r="N644" s="121"/>
      <c r="O644" s="121"/>
      <c r="P644" s="121"/>
      <c r="Q644" s="121"/>
      <c r="R644" s="121"/>
      <c r="S644" s="121"/>
      <c r="T644" s="121"/>
      <c r="U644" s="121"/>
      <c r="V644" s="121"/>
      <c r="W644" s="121"/>
      <c r="X644" s="121"/>
      <c r="Y644" s="121"/>
      <c r="Z644" s="121"/>
    </row>
    <row r="645" customFormat="false" ht="15.75" hidden="false" customHeight="false" outlineLevel="0" collapsed="false">
      <c r="A645" s="121"/>
      <c r="B645" s="121"/>
      <c r="C645" s="121"/>
      <c r="D645" s="121"/>
      <c r="E645" s="121"/>
      <c r="F645" s="121"/>
      <c r="G645" s="121"/>
      <c r="H645" s="121"/>
      <c r="I645" s="121"/>
      <c r="J645" s="121"/>
      <c r="K645" s="121"/>
      <c r="L645" s="121"/>
      <c r="M645" s="121"/>
      <c r="N645" s="121"/>
      <c r="O645" s="121"/>
      <c r="P645" s="121"/>
      <c r="Q645" s="121"/>
      <c r="R645" s="121"/>
      <c r="S645" s="121"/>
      <c r="T645" s="121"/>
      <c r="U645" s="121"/>
      <c r="V645" s="121"/>
      <c r="W645" s="121"/>
      <c r="X645" s="121"/>
      <c r="Y645" s="121"/>
      <c r="Z645" s="121"/>
    </row>
    <row r="646" customFormat="false" ht="15.75" hidden="false" customHeight="false" outlineLevel="0" collapsed="false">
      <c r="A646" s="121"/>
      <c r="B646" s="121"/>
      <c r="C646" s="121"/>
      <c r="D646" s="121"/>
      <c r="E646" s="121"/>
      <c r="F646" s="121"/>
      <c r="G646" s="121"/>
      <c r="H646" s="121"/>
      <c r="I646" s="121"/>
      <c r="J646" s="121"/>
      <c r="K646" s="121"/>
      <c r="L646" s="121"/>
      <c r="M646" s="121"/>
      <c r="N646" s="121"/>
      <c r="O646" s="121"/>
      <c r="P646" s="121"/>
      <c r="Q646" s="121"/>
      <c r="R646" s="121"/>
      <c r="S646" s="121"/>
      <c r="T646" s="121"/>
      <c r="U646" s="121"/>
      <c r="V646" s="121"/>
      <c r="W646" s="121"/>
      <c r="X646" s="121"/>
      <c r="Y646" s="121"/>
      <c r="Z646" s="121"/>
    </row>
    <row r="647" customFormat="false" ht="15.75" hidden="false" customHeight="false" outlineLevel="0" collapsed="false">
      <c r="A647" s="121"/>
      <c r="B647" s="121"/>
      <c r="C647" s="121"/>
      <c r="D647" s="121"/>
      <c r="E647" s="121"/>
      <c r="F647" s="121"/>
      <c r="G647" s="121"/>
      <c r="H647" s="121"/>
      <c r="I647" s="121"/>
      <c r="J647" s="121"/>
      <c r="K647" s="121"/>
      <c r="L647" s="121"/>
      <c r="M647" s="121"/>
      <c r="N647" s="121"/>
      <c r="O647" s="121"/>
      <c r="P647" s="121"/>
      <c r="Q647" s="121"/>
      <c r="R647" s="121"/>
      <c r="S647" s="121"/>
      <c r="T647" s="121"/>
      <c r="U647" s="121"/>
      <c r="V647" s="121"/>
      <c r="W647" s="121"/>
      <c r="X647" s="121"/>
      <c r="Y647" s="121"/>
      <c r="Z647" s="121"/>
    </row>
    <row r="648" customFormat="false" ht="15.75" hidden="false" customHeight="false" outlineLevel="0" collapsed="false">
      <c r="A648" s="121"/>
      <c r="B648" s="121"/>
      <c r="C648" s="121"/>
      <c r="D648" s="121"/>
      <c r="E648" s="121"/>
      <c r="F648" s="121"/>
      <c r="G648" s="121"/>
      <c r="H648" s="121"/>
      <c r="I648" s="121"/>
      <c r="J648" s="121"/>
      <c r="K648" s="121"/>
      <c r="L648" s="121"/>
      <c r="M648" s="121"/>
      <c r="N648" s="121"/>
      <c r="O648" s="121"/>
      <c r="P648" s="121"/>
      <c r="Q648" s="121"/>
      <c r="R648" s="121"/>
      <c r="S648" s="121"/>
      <c r="T648" s="121"/>
      <c r="U648" s="121"/>
      <c r="V648" s="121"/>
      <c r="W648" s="121"/>
      <c r="X648" s="121"/>
      <c r="Y648" s="121"/>
      <c r="Z648" s="121"/>
    </row>
    <row r="649" customFormat="false" ht="15.75" hidden="false" customHeight="false" outlineLevel="0" collapsed="false">
      <c r="A649" s="121"/>
      <c r="B649" s="121"/>
      <c r="C649" s="121"/>
      <c r="D649" s="121"/>
      <c r="E649" s="121"/>
      <c r="F649" s="121"/>
      <c r="G649" s="121"/>
      <c r="H649" s="121"/>
      <c r="I649" s="121"/>
      <c r="J649" s="121"/>
      <c r="K649" s="121"/>
      <c r="L649" s="121"/>
      <c r="M649" s="121"/>
      <c r="N649" s="121"/>
      <c r="O649" s="121"/>
      <c r="P649" s="121"/>
      <c r="Q649" s="121"/>
      <c r="R649" s="121"/>
      <c r="S649" s="121"/>
      <c r="T649" s="121"/>
      <c r="U649" s="121"/>
      <c r="V649" s="121"/>
      <c r="W649" s="121"/>
      <c r="X649" s="121"/>
      <c r="Y649" s="121"/>
      <c r="Z649" s="121"/>
    </row>
    <row r="650" customFormat="false" ht="15.75" hidden="false" customHeight="false" outlineLevel="0" collapsed="false">
      <c r="A650" s="121"/>
      <c r="B650" s="121"/>
      <c r="C650" s="121"/>
      <c r="D650" s="121"/>
      <c r="E650" s="121"/>
      <c r="F650" s="121"/>
      <c r="G650" s="121"/>
      <c r="H650" s="121"/>
      <c r="I650" s="121"/>
      <c r="J650" s="121"/>
      <c r="K650" s="121"/>
      <c r="L650" s="121"/>
      <c r="M650" s="121"/>
      <c r="N650" s="121"/>
      <c r="O650" s="121"/>
      <c r="P650" s="121"/>
      <c r="Q650" s="121"/>
      <c r="R650" s="121"/>
      <c r="S650" s="121"/>
      <c r="T650" s="121"/>
      <c r="U650" s="121"/>
      <c r="V650" s="121"/>
      <c r="W650" s="121"/>
      <c r="X650" s="121"/>
      <c r="Y650" s="121"/>
      <c r="Z650" s="121"/>
    </row>
    <row r="651" customFormat="false" ht="15.75" hidden="false" customHeight="false" outlineLevel="0" collapsed="false">
      <c r="A651" s="121"/>
      <c r="B651" s="121"/>
      <c r="C651" s="121"/>
      <c r="D651" s="121"/>
      <c r="E651" s="121"/>
      <c r="F651" s="121"/>
      <c r="G651" s="121"/>
      <c r="H651" s="121"/>
      <c r="I651" s="121"/>
      <c r="J651" s="121"/>
      <c r="K651" s="121"/>
      <c r="L651" s="121"/>
      <c r="M651" s="121"/>
      <c r="N651" s="121"/>
      <c r="O651" s="121"/>
      <c r="P651" s="121"/>
      <c r="Q651" s="121"/>
      <c r="R651" s="121"/>
      <c r="S651" s="121"/>
      <c r="T651" s="121"/>
      <c r="U651" s="121"/>
      <c r="V651" s="121"/>
      <c r="W651" s="121"/>
      <c r="X651" s="121"/>
      <c r="Y651" s="121"/>
      <c r="Z651" s="121"/>
    </row>
    <row r="652" customFormat="false" ht="15.75" hidden="false" customHeight="false" outlineLevel="0" collapsed="false">
      <c r="A652" s="121"/>
      <c r="B652" s="121"/>
      <c r="C652" s="121"/>
      <c r="D652" s="121"/>
      <c r="E652" s="121"/>
      <c r="F652" s="121"/>
      <c r="G652" s="121"/>
      <c r="H652" s="121"/>
      <c r="I652" s="121"/>
      <c r="J652" s="121"/>
      <c r="K652" s="121"/>
      <c r="L652" s="121"/>
      <c r="M652" s="121"/>
      <c r="N652" s="121"/>
      <c r="O652" s="121"/>
      <c r="P652" s="121"/>
      <c r="Q652" s="121"/>
      <c r="R652" s="121"/>
      <c r="S652" s="121"/>
      <c r="T652" s="121"/>
      <c r="U652" s="121"/>
      <c r="V652" s="121"/>
      <c r="W652" s="121"/>
      <c r="X652" s="121"/>
      <c r="Y652" s="121"/>
      <c r="Z652" s="121"/>
    </row>
    <row r="653" customFormat="false" ht="15.75" hidden="false" customHeight="false" outlineLevel="0" collapsed="false">
      <c r="A653" s="121"/>
      <c r="B653" s="121"/>
      <c r="C653" s="121"/>
      <c r="D653" s="121"/>
      <c r="E653" s="121"/>
      <c r="F653" s="121"/>
      <c r="G653" s="121"/>
      <c r="H653" s="121"/>
      <c r="I653" s="121"/>
      <c r="J653" s="121"/>
      <c r="K653" s="121"/>
      <c r="L653" s="121"/>
      <c r="M653" s="121"/>
      <c r="N653" s="121"/>
      <c r="O653" s="121"/>
      <c r="P653" s="121"/>
      <c r="Q653" s="121"/>
      <c r="R653" s="121"/>
      <c r="S653" s="121"/>
      <c r="T653" s="121"/>
      <c r="U653" s="121"/>
      <c r="V653" s="121"/>
      <c r="W653" s="121"/>
      <c r="X653" s="121"/>
      <c r="Y653" s="121"/>
      <c r="Z653" s="121"/>
    </row>
    <row r="654" customFormat="false" ht="15.75" hidden="false" customHeight="false" outlineLevel="0" collapsed="false">
      <c r="A654" s="121"/>
      <c r="B654" s="121"/>
      <c r="C654" s="121"/>
      <c r="D654" s="121"/>
      <c r="E654" s="121"/>
      <c r="F654" s="121"/>
      <c r="G654" s="121"/>
      <c r="H654" s="121"/>
      <c r="I654" s="121"/>
      <c r="J654" s="121"/>
      <c r="K654" s="121"/>
      <c r="L654" s="121"/>
      <c r="M654" s="121"/>
      <c r="N654" s="121"/>
      <c r="O654" s="121"/>
      <c r="P654" s="121"/>
      <c r="Q654" s="121"/>
      <c r="R654" s="121"/>
      <c r="S654" s="121"/>
      <c r="T654" s="121"/>
      <c r="U654" s="121"/>
      <c r="V654" s="121"/>
      <c r="W654" s="121"/>
      <c r="X654" s="121"/>
      <c r="Y654" s="121"/>
      <c r="Z654" s="121"/>
    </row>
    <row r="655" customFormat="false" ht="15.75" hidden="false" customHeight="false" outlineLevel="0" collapsed="false">
      <c r="A655" s="121"/>
      <c r="B655" s="121"/>
      <c r="C655" s="121"/>
      <c r="D655" s="121"/>
      <c r="E655" s="121"/>
      <c r="F655" s="121"/>
      <c r="G655" s="121"/>
      <c r="H655" s="121"/>
      <c r="I655" s="121"/>
      <c r="J655" s="121"/>
      <c r="K655" s="121"/>
      <c r="L655" s="121"/>
      <c r="M655" s="121"/>
      <c r="N655" s="121"/>
      <c r="O655" s="121"/>
      <c r="P655" s="121"/>
      <c r="Q655" s="121"/>
      <c r="R655" s="121"/>
      <c r="S655" s="121"/>
      <c r="T655" s="121"/>
      <c r="U655" s="121"/>
      <c r="V655" s="121"/>
      <c r="W655" s="121"/>
      <c r="X655" s="121"/>
      <c r="Y655" s="121"/>
      <c r="Z655" s="121"/>
    </row>
    <row r="656" customFormat="false" ht="15.75" hidden="false" customHeight="false" outlineLevel="0" collapsed="false">
      <c r="A656" s="121"/>
      <c r="B656" s="121"/>
      <c r="C656" s="121"/>
      <c r="D656" s="121"/>
      <c r="E656" s="121"/>
      <c r="F656" s="121"/>
      <c r="G656" s="121"/>
      <c r="H656" s="121"/>
      <c r="I656" s="121"/>
      <c r="J656" s="121"/>
      <c r="K656" s="121"/>
      <c r="L656" s="121"/>
      <c r="M656" s="121"/>
      <c r="N656" s="121"/>
      <c r="O656" s="121"/>
      <c r="P656" s="121"/>
      <c r="Q656" s="121"/>
      <c r="R656" s="121"/>
      <c r="S656" s="121"/>
      <c r="T656" s="121"/>
      <c r="U656" s="121"/>
      <c r="V656" s="121"/>
      <c r="W656" s="121"/>
      <c r="X656" s="121"/>
      <c r="Y656" s="121"/>
      <c r="Z656" s="121"/>
    </row>
    <row r="657" customFormat="false" ht="15.75" hidden="false" customHeight="false" outlineLevel="0" collapsed="false">
      <c r="A657" s="121"/>
      <c r="B657" s="121"/>
      <c r="C657" s="121"/>
      <c r="D657" s="121"/>
      <c r="E657" s="121"/>
      <c r="F657" s="121"/>
      <c r="G657" s="121"/>
      <c r="H657" s="121"/>
      <c r="I657" s="121"/>
      <c r="J657" s="121"/>
      <c r="K657" s="121"/>
      <c r="L657" s="121"/>
      <c r="M657" s="121"/>
      <c r="N657" s="121"/>
      <c r="O657" s="121"/>
      <c r="P657" s="121"/>
      <c r="Q657" s="121"/>
      <c r="R657" s="121"/>
      <c r="S657" s="121"/>
      <c r="T657" s="121"/>
      <c r="U657" s="121"/>
      <c r="V657" s="121"/>
      <c r="W657" s="121"/>
      <c r="X657" s="121"/>
      <c r="Y657" s="121"/>
      <c r="Z657" s="121"/>
    </row>
    <row r="658" customFormat="false" ht="15.75" hidden="false" customHeight="false" outlineLevel="0" collapsed="false">
      <c r="A658" s="121"/>
      <c r="B658" s="121"/>
      <c r="C658" s="121"/>
      <c r="D658" s="121"/>
      <c r="E658" s="121"/>
      <c r="F658" s="121"/>
      <c r="G658" s="121"/>
      <c r="H658" s="121"/>
      <c r="I658" s="121"/>
      <c r="J658" s="121"/>
      <c r="K658" s="121"/>
      <c r="L658" s="121"/>
      <c r="M658" s="121"/>
      <c r="N658" s="121"/>
      <c r="O658" s="121"/>
      <c r="P658" s="121"/>
      <c r="Q658" s="121"/>
      <c r="R658" s="121"/>
      <c r="S658" s="121"/>
      <c r="T658" s="121"/>
      <c r="U658" s="121"/>
      <c r="V658" s="121"/>
      <c r="W658" s="121"/>
      <c r="X658" s="121"/>
      <c r="Y658" s="121"/>
      <c r="Z658" s="121"/>
    </row>
    <row r="659" customFormat="false" ht="15.75" hidden="false" customHeight="false" outlineLevel="0" collapsed="false">
      <c r="A659" s="121"/>
      <c r="B659" s="121"/>
      <c r="C659" s="121"/>
      <c r="D659" s="121"/>
      <c r="E659" s="121"/>
      <c r="F659" s="121"/>
      <c r="G659" s="121"/>
      <c r="H659" s="121"/>
      <c r="I659" s="121"/>
      <c r="J659" s="121"/>
      <c r="K659" s="121"/>
      <c r="L659" s="121"/>
      <c r="M659" s="121"/>
      <c r="N659" s="121"/>
      <c r="O659" s="121"/>
      <c r="P659" s="121"/>
      <c r="Q659" s="121"/>
      <c r="R659" s="121"/>
      <c r="S659" s="121"/>
      <c r="T659" s="121"/>
      <c r="U659" s="121"/>
      <c r="V659" s="121"/>
      <c r="W659" s="121"/>
      <c r="X659" s="121"/>
      <c r="Y659" s="121"/>
      <c r="Z659" s="121"/>
    </row>
    <row r="660" customFormat="false" ht="15.75" hidden="false" customHeight="false" outlineLevel="0" collapsed="false">
      <c r="A660" s="121"/>
      <c r="B660" s="121"/>
      <c r="C660" s="121"/>
      <c r="D660" s="121"/>
      <c r="E660" s="121"/>
      <c r="F660" s="121"/>
      <c r="G660" s="121"/>
      <c r="H660" s="121"/>
      <c r="I660" s="121"/>
      <c r="J660" s="121"/>
      <c r="K660" s="121"/>
      <c r="L660" s="121"/>
      <c r="M660" s="121"/>
      <c r="N660" s="121"/>
      <c r="O660" s="121"/>
      <c r="P660" s="121"/>
      <c r="Q660" s="121"/>
      <c r="R660" s="121"/>
      <c r="S660" s="121"/>
      <c r="T660" s="121"/>
      <c r="U660" s="121"/>
      <c r="V660" s="121"/>
      <c r="W660" s="121"/>
      <c r="X660" s="121"/>
      <c r="Y660" s="121"/>
      <c r="Z660" s="121"/>
    </row>
    <row r="661" customFormat="false" ht="15.75" hidden="false" customHeight="false" outlineLevel="0" collapsed="false">
      <c r="A661" s="121"/>
      <c r="B661" s="121"/>
      <c r="C661" s="121"/>
      <c r="D661" s="121"/>
      <c r="E661" s="121"/>
      <c r="F661" s="121"/>
      <c r="G661" s="121"/>
      <c r="H661" s="121"/>
      <c r="I661" s="121"/>
      <c r="J661" s="121"/>
      <c r="K661" s="121"/>
      <c r="L661" s="121"/>
      <c r="M661" s="121"/>
      <c r="N661" s="121"/>
      <c r="O661" s="121"/>
      <c r="P661" s="121"/>
      <c r="Q661" s="121"/>
      <c r="R661" s="121"/>
      <c r="S661" s="121"/>
      <c r="T661" s="121"/>
      <c r="U661" s="121"/>
      <c r="V661" s="121"/>
      <c r="W661" s="121"/>
      <c r="X661" s="121"/>
      <c r="Y661" s="121"/>
      <c r="Z661" s="121"/>
    </row>
    <row r="662" customFormat="false" ht="15.75" hidden="false" customHeight="false" outlineLevel="0" collapsed="false">
      <c r="A662" s="121"/>
      <c r="B662" s="121"/>
      <c r="C662" s="121"/>
      <c r="D662" s="121"/>
      <c r="E662" s="121"/>
      <c r="F662" s="121"/>
      <c r="G662" s="121"/>
      <c r="H662" s="121"/>
      <c r="I662" s="121"/>
      <c r="J662" s="121"/>
      <c r="K662" s="121"/>
      <c r="L662" s="121"/>
      <c r="M662" s="121"/>
      <c r="N662" s="121"/>
      <c r="O662" s="121"/>
      <c r="P662" s="121"/>
      <c r="Q662" s="121"/>
      <c r="R662" s="121"/>
      <c r="S662" s="121"/>
      <c r="T662" s="121"/>
      <c r="U662" s="121"/>
      <c r="V662" s="121"/>
      <c r="W662" s="121"/>
      <c r="X662" s="121"/>
      <c r="Y662" s="121"/>
      <c r="Z662" s="121"/>
    </row>
    <row r="663" customFormat="false" ht="15.75" hidden="false" customHeight="false" outlineLevel="0" collapsed="false">
      <c r="A663" s="121"/>
      <c r="B663" s="121"/>
      <c r="C663" s="121"/>
      <c r="D663" s="121"/>
      <c r="E663" s="121"/>
      <c r="F663" s="121"/>
      <c r="G663" s="121"/>
      <c r="H663" s="121"/>
      <c r="I663" s="121"/>
      <c r="J663" s="121"/>
      <c r="K663" s="121"/>
      <c r="L663" s="121"/>
      <c r="M663" s="121"/>
      <c r="N663" s="121"/>
      <c r="O663" s="121"/>
      <c r="P663" s="121"/>
      <c r="Q663" s="121"/>
      <c r="R663" s="121"/>
      <c r="S663" s="121"/>
      <c r="T663" s="121"/>
      <c r="U663" s="121"/>
      <c r="V663" s="121"/>
      <c r="W663" s="121"/>
      <c r="X663" s="121"/>
      <c r="Y663" s="121"/>
      <c r="Z663" s="121"/>
    </row>
    <row r="664" customFormat="false" ht="15.75" hidden="false" customHeight="false" outlineLevel="0" collapsed="false">
      <c r="A664" s="121"/>
      <c r="B664" s="121"/>
      <c r="C664" s="121"/>
      <c r="D664" s="121"/>
      <c r="E664" s="121"/>
      <c r="F664" s="121"/>
      <c r="G664" s="121"/>
      <c r="H664" s="121"/>
      <c r="I664" s="121"/>
      <c r="J664" s="121"/>
      <c r="K664" s="121"/>
      <c r="L664" s="121"/>
      <c r="M664" s="121"/>
      <c r="N664" s="121"/>
      <c r="O664" s="121"/>
      <c r="P664" s="121"/>
      <c r="Q664" s="121"/>
      <c r="R664" s="121"/>
      <c r="S664" s="121"/>
      <c r="T664" s="121"/>
      <c r="U664" s="121"/>
      <c r="V664" s="121"/>
      <c r="W664" s="121"/>
      <c r="X664" s="121"/>
      <c r="Y664" s="121"/>
      <c r="Z664" s="121"/>
    </row>
    <row r="665" customFormat="false" ht="15.75" hidden="false" customHeight="false" outlineLevel="0" collapsed="false">
      <c r="A665" s="121"/>
      <c r="B665" s="121"/>
      <c r="C665" s="121"/>
      <c r="D665" s="121"/>
      <c r="E665" s="121"/>
      <c r="F665" s="121"/>
      <c r="G665" s="121"/>
      <c r="H665" s="121"/>
      <c r="I665" s="121"/>
      <c r="J665" s="121"/>
      <c r="K665" s="121"/>
      <c r="L665" s="121"/>
      <c r="M665" s="121"/>
      <c r="N665" s="121"/>
      <c r="O665" s="121"/>
      <c r="P665" s="121"/>
      <c r="Q665" s="121"/>
      <c r="R665" s="121"/>
      <c r="S665" s="121"/>
      <c r="T665" s="121"/>
      <c r="U665" s="121"/>
      <c r="V665" s="121"/>
      <c r="W665" s="121"/>
      <c r="X665" s="121"/>
      <c r="Y665" s="121"/>
      <c r="Z665" s="121"/>
    </row>
    <row r="666" customFormat="false" ht="15.75" hidden="false" customHeight="false" outlineLevel="0" collapsed="false">
      <c r="A666" s="121"/>
      <c r="B666" s="121"/>
      <c r="C666" s="121"/>
      <c r="D666" s="121"/>
      <c r="E666" s="121"/>
      <c r="F666" s="121"/>
      <c r="G666" s="121"/>
      <c r="H666" s="121"/>
      <c r="I666" s="121"/>
      <c r="J666" s="121"/>
      <c r="K666" s="121"/>
      <c r="L666" s="121"/>
      <c r="M666" s="121"/>
      <c r="N666" s="121"/>
      <c r="O666" s="121"/>
      <c r="P666" s="121"/>
      <c r="Q666" s="121"/>
      <c r="R666" s="121"/>
      <c r="S666" s="121"/>
      <c r="T666" s="121"/>
      <c r="U666" s="121"/>
      <c r="V666" s="121"/>
      <c r="W666" s="121"/>
      <c r="X666" s="121"/>
      <c r="Y666" s="121"/>
      <c r="Z666" s="121"/>
    </row>
    <row r="667" customFormat="false" ht="15.75" hidden="false" customHeight="false" outlineLevel="0" collapsed="false">
      <c r="A667" s="121"/>
      <c r="B667" s="121"/>
      <c r="C667" s="121"/>
      <c r="D667" s="121"/>
      <c r="E667" s="121"/>
      <c r="F667" s="121"/>
      <c r="G667" s="121"/>
      <c r="H667" s="121"/>
      <c r="I667" s="121"/>
      <c r="J667" s="121"/>
      <c r="K667" s="121"/>
      <c r="L667" s="121"/>
      <c r="M667" s="121"/>
      <c r="N667" s="121"/>
      <c r="O667" s="121"/>
      <c r="P667" s="121"/>
      <c r="Q667" s="121"/>
      <c r="R667" s="121"/>
      <c r="S667" s="121"/>
      <c r="T667" s="121"/>
      <c r="U667" s="121"/>
      <c r="V667" s="121"/>
      <c r="W667" s="121"/>
      <c r="X667" s="121"/>
      <c r="Y667" s="121"/>
      <c r="Z667" s="121"/>
    </row>
    <row r="668" customFormat="false" ht="15.75" hidden="false" customHeight="false" outlineLevel="0" collapsed="false">
      <c r="A668" s="121"/>
      <c r="B668" s="121"/>
      <c r="C668" s="121"/>
      <c r="D668" s="121"/>
      <c r="E668" s="121"/>
      <c r="F668" s="121"/>
      <c r="G668" s="121"/>
      <c r="H668" s="121"/>
      <c r="I668" s="121"/>
      <c r="J668" s="121"/>
      <c r="K668" s="121"/>
      <c r="L668" s="121"/>
      <c r="M668" s="121"/>
      <c r="N668" s="121"/>
      <c r="O668" s="121"/>
      <c r="P668" s="121"/>
      <c r="Q668" s="121"/>
      <c r="R668" s="121"/>
      <c r="S668" s="121"/>
      <c r="T668" s="121"/>
      <c r="U668" s="121"/>
      <c r="V668" s="121"/>
      <c r="W668" s="121"/>
      <c r="X668" s="121"/>
      <c r="Y668" s="121"/>
      <c r="Z668" s="121"/>
    </row>
    <row r="669" customFormat="false" ht="15.75" hidden="false" customHeight="false" outlineLevel="0" collapsed="false">
      <c r="A669" s="121"/>
      <c r="B669" s="121"/>
      <c r="C669" s="121"/>
      <c r="D669" s="121"/>
      <c r="E669" s="121"/>
      <c r="F669" s="121"/>
      <c r="G669" s="121"/>
      <c r="H669" s="121"/>
      <c r="I669" s="121"/>
      <c r="J669" s="121"/>
      <c r="K669" s="121"/>
      <c r="L669" s="121"/>
      <c r="M669" s="121"/>
      <c r="N669" s="121"/>
      <c r="O669" s="121"/>
      <c r="P669" s="121"/>
      <c r="Q669" s="121"/>
      <c r="R669" s="121"/>
      <c r="S669" s="121"/>
      <c r="T669" s="121"/>
      <c r="U669" s="121"/>
      <c r="V669" s="121"/>
      <c r="W669" s="121"/>
      <c r="X669" s="121"/>
      <c r="Y669" s="121"/>
      <c r="Z669" s="121"/>
    </row>
    <row r="670" customFormat="false" ht="15.75" hidden="false" customHeight="false" outlineLevel="0" collapsed="false">
      <c r="A670" s="121"/>
      <c r="B670" s="121"/>
      <c r="C670" s="121"/>
      <c r="D670" s="121"/>
      <c r="E670" s="121"/>
      <c r="F670" s="121"/>
      <c r="G670" s="121"/>
      <c r="H670" s="121"/>
      <c r="I670" s="121"/>
      <c r="J670" s="121"/>
      <c r="K670" s="121"/>
      <c r="L670" s="121"/>
      <c r="M670" s="121"/>
      <c r="N670" s="121"/>
      <c r="O670" s="121"/>
      <c r="P670" s="121"/>
      <c r="Q670" s="121"/>
      <c r="R670" s="121"/>
      <c r="S670" s="121"/>
      <c r="T670" s="121"/>
      <c r="U670" s="121"/>
      <c r="V670" s="121"/>
      <c r="W670" s="121"/>
      <c r="X670" s="121"/>
      <c r="Y670" s="121"/>
      <c r="Z670" s="121"/>
    </row>
    <row r="671" customFormat="false" ht="15.75" hidden="false" customHeight="false" outlineLevel="0" collapsed="false">
      <c r="A671" s="121"/>
      <c r="B671" s="121"/>
      <c r="C671" s="121"/>
      <c r="D671" s="121"/>
      <c r="E671" s="121"/>
      <c r="F671" s="121"/>
      <c r="G671" s="121"/>
      <c r="H671" s="121"/>
      <c r="I671" s="121"/>
      <c r="J671" s="121"/>
      <c r="K671" s="121"/>
      <c r="L671" s="121"/>
      <c r="M671" s="121"/>
      <c r="N671" s="121"/>
      <c r="O671" s="121"/>
      <c r="P671" s="121"/>
      <c r="Q671" s="121"/>
      <c r="R671" s="121"/>
      <c r="S671" s="121"/>
      <c r="T671" s="121"/>
      <c r="U671" s="121"/>
      <c r="V671" s="121"/>
      <c r="W671" s="121"/>
      <c r="X671" s="121"/>
      <c r="Y671" s="121"/>
      <c r="Z671" s="121"/>
    </row>
    <row r="672" customFormat="false" ht="15.75" hidden="false" customHeight="false" outlineLevel="0" collapsed="false">
      <c r="A672" s="121"/>
      <c r="B672" s="121"/>
      <c r="C672" s="121"/>
      <c r="D672" s="121"/>
      <c r="E672" s="121"/>
      <c r="F672" s="121"/>
      <c r="G672" s="121"/>
      <c r="H672" s="121"/>
      <c r="I672" s="121"/>
      <c r="J672" s="121"/>
      <c r="K672" s="121"/>
      <c r="L672" s="121"/>
      <c r="M672" s="121"/>
      <c r="N672" s="121"/>
      <c r="O672" s="121"/>
      <c r="P672" s="121"/>
      <c r="Q672" s="121"/>
      <c r="R672" s="121"/>
      <c r="S672" s="121"/>
      <c r="T672" s="121"/>
      <c r="U672" s="121"/>
      <c r="V672" s="121"/>
      <c r="W672" s="121"/>
      <c r="X672" s="121"/>
      <c r="Y672" s="121"/>
      <c r="Z672" s="121"/>
    </row>
    <row r="673" customFormat="false" ht="15.75" hidden="false" customHeight="false" outlineLevel="0" collapsed="false">
      <c r="A673" s="121"/>
      <c r="B673" s="121"/>
      <c r="C673" s="121"/>
      <c r="D673" s="121"/>
      <c r="E673" s="121"/>
      <c r="F673" s="121"/>
      <c r="G673" s="121"/>
      <c r="H673" s="121"/>
      <c r="I673" s="121"/>
      <c r="J673" s="121"/>
      <c r="K673" s="121"/>
      <c r="L673" s="121"/>
      <c r="M673" s="121"/>
      <c r="N673" s="121"/>
      <c r="O673" s="121"/>
      <c r="P673" s="121"/>
      <c r="Q673" s="121"/>
      <c r="R673" s="121"/>
      <c r="S673" s="121"/>
      <c r="T673" s="121"/>
      <c r="U673" s="121"/>
      <c r="V673" s="121"/>
      <c r="W673" s="121"/>
      <c r="X673" s="121"/>
      <c r="Y673" s="121"/>
      <c r="Z673" s="121"/>
    </row>
    <row r="674" customFormat="false" ht="15.75" hidden="false" customHeight="false" outlineLevel="0" collapsed="false">
      <c r="A674" s="121"/>
      <c r="B674" s="121"/>
      <c r="C674" s="121"/>
      <c r="D674" s="121"/>
      <c r="E674" s="121"/>
      <c r="F674" s="121"/>
      <c r="G674" s="121"/>
      <c r="H674" s="121"/>
      <c r="I674" s="121"/>
      <c r="J674" s="121"/>
      <c r="K674" s="121"/>
      <c r="L674" s="121"/>
      <c r="M674" s="121"/>
      <c r="N674" s="121"/>
      <c r="O674" s="121"/>
      <c r="P674" s="121"/>
      <c r="Q674" s="121"/>
      <c r="R674" s="121"/>
      <c r="S674" s="121"/>
      <c r="T674" s="121"/>
      <c r="U674" s="121"/>
      <c r="V674" s="121"/>
      <c r="W674" s="121"/>
      <c r="X674" s="121"/>
      <c r="Y674" s="121"/>
      <c r="Z674" s="121"/>
    </row>
    <row r="675" customFormat="false" ht="15.75" hidden="false" customHeight="false" outlineLevel="0" collapsed="false">
      <c r="A675" s="121"/>
      <c r="B675" s="121"/>
      <c r="C675" s="121"/>
      <c r="D675" s="121"/>
      <c r="E675" s="121"/>
      <c r="F675" s="121"/>
      <c r="G675" s="121"/>
      <c r="H675" s="121"/>
      <c r="I675" s="121"/>
      <c r="J675" s="121"/>
      <c r="K675" s="121"/>
      <c r="L675" s="121"/>
      <c r="M675" s="121"/>
      <c r="N675" s="121"/>
      <c r="O675" s="121"/>
      <c r="P675" s="121"/>
      <c r="Q675" s="121"/>
      <c r="R675" s="121"/>
      <c r="S675" s="121"/>
      <c r="T675" s="121"/>
      <c r="U675" s="121"/>
      <c r="V675" s="121"/>
      <c r="W675" s="121"/>
      <c r="X675" s="121"/>
      <c r="Y675" s="121"/>
      <c r="Z675" s="121"/>
    </row>
    <row r="676" customFormat="false" ht="15.75" hidden="false" customHeight="false" outlineLevel="0" collapsed="false">
      <c r="A676" s="121"/>
      <c r="B676" s="121"/>
      <c r="C676" s="121"/>
      <c r="D676" s="121"/>
      <c r="E676" s="121"/>
      <c r="F676" s="121"/>
      <c r="G676" s="121"/>
      <c r="H676" s="121"/>
      <c r="I676" s="121"/>
      <c r="J676" s="121"/>
      <c r="K676" s="121"/>
      <c r="L676" s="121"/>
      <c r="M676" s="121"/>
      <c r="N676" s="121"/>
      <c r="O676" s="121"/>
      <c r="P676" s="121"/>
      <c r="Q676" s="121"/>
      <c r="R676" s="121"/>
      <c r="S676" s="121"/>
      <c r="T676" s="121"/>
      <c r="U676" s="121"/>
      <c r="V676" s="121"/>
      <c r="W676" s="121"/>
      <c r="X676" s="121"/>
      <c r="Y676" s="121"/>
      <c r="Z676" s="121"/>
    </row>
    <row r="677" customFormat="false" ht="15.75" hidden="false" customHeight="false" outlineLevel="0" collapsed="false">
      <c r="A677" s="121"/>
      <c r="B677" s="121"/>
      <c r="C677" s="121"/>
      <c r="D677" s="121"/>
      <c r="E677" s="121"/>
      <c r="F677" s="121"/>
      <c r="G677" s="121"/>
      <c r="H677" s="121"/>
      <c r="I677" s="121"/>
      <c r="J677" s="121"/>
      <c r="K677" s="121"/>
      <c r="L677" s="121"/>
      <c r="M677" s="121"/>
      <c r="N677" s="121"/>
      <c r="O677" s="121"/>
      <c r="P677" s="121"/>
      <c r="Q677" s="121"/>
      <c r="R677" s="121"/>
      <c r="S677" s="121"/>
      <c r="T677" s="121"/>
      <c r="U677" s="121"/>
      <c r="V677" s="121"/>
      <c r="W677" s="121"/>
      <c r="X677" s="121"/>
      <c r="Y677" s="121"/>
      <c r="Z677" s="121"/>
    </row>
    <row r="678" customFormat="false" ht="15.75" hidden="false" customHeight="false" outlineLevel="0" collapsed="false">
      <c r="A678" s="121"/>
      <c r="B678" s="121"/>
      <c r="C678" s="121"/>
      <c r="D678" s="121"/>
      <c r="E678" s="121"/>
      <c r="F678" s="121"/>
      <c r="G678" s="121"/>
      <c r="H678" s="121"/>
      <c r="I678" s="121"/>
      <c r="J678" s="121"/>
      <c r="K678" s="121"/>
      <c r="L678" s="121"/>
      <c r="M678" s="121"/>
      <c r="N678" s="121"/>
      <c r="O678" s="121"/>
      <c r="P678" s="121"/>
      <c r="Q678" s="121"/>
      <c r="R678" s="121"/>
      <c r="S678" s="121"/>
      <c r="T678" s="121"/>
      <c r="U678" s="121"/>
      <c r="V678" s="121"/>
      <c r="W678" s="121"/>
      <c r="X678" s="121"/>
      <c r="Y678" s="121"/>
      <c r="Z678" s="121"/>
    </row>
    <row r="679" customFormat="false" ht="15.75" hidden="false" customHeight="false" outlineLevel="0" collapsed="false">
      <c r="A679" s="121"/>
      <c r="B679" s="121"/>
      <c r="C679" s="121"/>
      <c r="D679" s="121"/>
      <c r="E679" s="121"/>
      <c r="F679" s="121"/>
      <c r="G679" s="121"/>
      <c r="H679" s="121"/>
      <c r="I679" s="121"/>
      <c r="J679" s="121"/>
      <c r="K679" s="121"/>
      <c r="L679" s="121"/>
      <c r="M679" s="121"/>
      <c r="N679" s="121"/>
      <c r="O679" s="121"/>
      <c r="P679" s="121"/>
      <c r="Q679" s="121"/>
      <c r="R679" s="121"/>
      <c r="S679" s="121"/>
      <c r="T679" s="121"/>
      <c r="U679" s="121"/>
      <c r="V679" s="121"/>
      <c r="W679" s="121"/>
      <c r="X679" s="121"/>
      <c r="Y679" s="121"/>
      <c r="Z679" s="121"/>
    </row>
    <row r="680" customFormat="false" ht="15.75" hidden="false" customHeight="false" outlineLevel="0" collapsed="false">
      <c r="A680" s="121"/>
      <c r="B680" s="121"/>
      <c r="C680" s="121"/>
      <c r="D680" s="121"/>
      <c r="E680" s="121"/>
      <c r="F680" s="121"/>
      <c r="G680" s="121"/>
      <c r="H680" s="121"/>
      <c r="I680" s="121"/>
      <c r="J680" s="121"/>
      <c r="K680" s="121"/>
      <c r="L680" s="121"/>
      <c r="M680" s="121"/>
      <c r="N680" s="121"/>
      <c r="O680" s="121"/>
      <c r="P680" s="121"/>
      <c r="Q680" s="121"/>
      <c r="R680" s="121"/>
      <c r="S680" s="121"/>
      <c r="T680" s="121"/>
      <c r="U680" s="121"/>
      <c r="V680" s="121"/>
      <c r="W680" s="121"/>
      <c r="X680" s="121"/>
      <c r="Y680" s="121"/>
      <c r="Z680" s="121"/>
    </row>
    <row r="681" customFormat="false" ht="15.75" hidden="false" customHeight="false" outlineLevel="0" collapsed="false">
      <c r="A681" s="121"/>
      <c r="B681" s="121"/>
      <c r="C681" s="121"/>
      <c r="D681" s="121"/>
      <c r="E681" s="121"/>
      <c r="F681" s="121"/>
      <c r="G681" s="121"/>
      <c r="H681" s="121"/>
      <c r="I681" s="121"/>
      <c r="J681" s="121"/>
      <c r="K681" s="121"/>
      <c r="L681" s="121"/>
      <c r="M681" s="121"/>
      <c r="N681" s="121"/>
      <c r="O681" s="121"/>
      <c r="P681" s="121"/>
      <c r="Q681" s="121"/>
      <c r="R681" s="121"/>
      <c r="S681" s="121"/>
      <c r="T681" s="121"/>
      <c r="U681" s="121"/>
      <c r="V681" s="121"/>
      <c r="W681" s="121"/>
      <c r="X681" s="121"/>
      <c r="Y681" s="121"/>
      <c r="Z681" s="121"/>
    </row>
    <row r="682" customFormat="false" ht="15.75" hidden="false" customHeight="false" outlineLevel="0" collapsed="false">
      <c r="A682" s="121"/>
      <c r="B682" s="121"/>
      <c r="C682" s="121"/>
      <c r="D682" s="121"/>
      <c r="E682" s="121"/>
      <c r="F682" s="121"/>
      <c r="G682" s="121"/>
      <c r="H682" s="121"/>
      <c r="I682" s="121"/>
      <c r="J682" s="121"/>
      <c r="K682" s="121"/>
      <c r="L682" s="121"/>
      <c r="M682" s="121"/>
      <c r="N682" s="121"/>
      <c r="O682" s="121"/>
      <c r="P682" s="121"/>
      <c r="Q682" s="121"/>
      <c r="R682" s="121"/>
      <c r="S682" s="121"/>
      <c r="T682" s="121"/>
      <c r="U682" s="121"/>
      <c r="V682" s="121"/>
      <c r="W682" s="121"/>
      <c r="X682" s="121"/>
      <c r="Y682" s="121"/>
      <c r="Z682" s="121"/>
    </row>
    <row r="683" customFormat="false" ht="15.75" hidden="false" customHeight="false" outlineLevel="0" collapsed="false">
      <c r="A683" s="121"/>
      <c r="B683" s="121"/>
      <c r="C683" s="121"/>
      <c r="D683" s="121"/>
      <c r="E683" s="121"/>
      <c r="F683" s="121"/>
      <c r="G683" s="121"/>
      <c r="H683" s="121"/>
      <c r="I683" s="121"/>
      <c r="J683" s="121"/>
      <c r="K683" s="121"/>
      <c r="L683" s="121"/>
      <c r="M683" s="121"/>
      <c r="N683" s="121"/>
      <c r="O683" s="121"/>
      <c r="P683" s="121"/>
      <c r="Q683" s="121"/>
      <c r="R683" s="121"/>
      <c r="S683" s="121"/>
      <c r="T683" s="121"/>
      <c r="U683" s="121"/>
      <c r="V683" s="121"/>
      <c r="W683" s="121"/>
      <c r="X683" s="121"/>
      <c r="Y683" s="121"/>
      <c r="Z683" s="121"/>
    </row>
    <row r="684" customFormat="false" ht="15.75" hidden="false" customHeight="false" outlineLevel="0" collapsed="false">
      <c r="A684" s="121"/>
      <c r="B684" s="121"/>
      <c r="C684" s="121"/>
      <c r="D684" s="121"/>
      <c r="E684" s="121"/>
      <c r="F684" s="121"/>
      <c r="G684" s="121"/>
      <c r="H684" s="121"/>
      <c r="I684" s="121"/>
      <c r="J684" s="121"/>
      <c r="K684" s="121"/>
      <c r="L684" s="121"/>
      <c r="M684" s="121"/>
      <c r="N684" s="121"/>
      <c r="O684" s="121"/>
      <c r="P684" s="121"/>
      <c r="Q684" s="121"/>
      <c r="R684" s="121"/>
      <c r="S684" s="121"/>
      <c r="T684" s="121"/>
      <c r="U684" s="121"/>
      <c r="V684" s="121"/>
      <c r="W684" s="121"/>
      <c r="X684" s="121"/>
      <c r="Y684" s="121"/>
      <c r="Z684" s="121"/>
    </row>
    <row r="685" customFormat="false" ht="15.75" hidden="false" customHeight="false" outlineLevel="0" collapsed="false">
      <c r="A685" s="121"/>
      <c r="B685" s="121"/>
      <c r="C685" s="121"/>
      <c r="D685" s="121"/>
      <c r="E685" s="121"/>
      <c r="F685" s="121"/>
      <c r="G685" s="121"/>
      <c r="H685" s="121"/>
      <c r="I685" s="121"/>
      <c r="J685" s="121"/>
      <c r="K685" s="121"/>
      <c r="L685" s="121"/>
      <c r="M685" s="121"/>
      <c r="N685" s="121"/>
      <c r="O685" s="121"/>
      <c r="P685" s="121"/>
      <c r="Q685" s="121"/>
      <c r="R685" s="121"/>
      <c r="S685" s="121"/>
      <c r="T685" s="121"/>
      <c r="U685" s="121"/>
      <c r="V685" s="121"/>
      <c r="W685" s="121"/>
      <c r="X685" s="121"/>
      <c r="Y685" s="121"/>
      <c r="Z685" s="121"/>
    </row>
    <row r="686" customFormat="false" ht="15.75" hidden="false" customHeight="false" outlineLevel="0" collapsed="false">
      <c r="A686" s="121"/>
      <c r="B686" s="121"/>
      <c r="C686" s="121"/>
      <c r="D686" s="121"/>
      <c r="E686" s="121"/>
      <c r="F686" s="121"/>
      <c r="G686" s="121"/>
      <c r="H686" s="121"/>
      <c r="I686" s="121"/>
      <c r="J686" s="121"/>
      <c r="K686" s="121"/>
      <c r="L686" s="121"/>
      <c r="M686" s="121"/>
      <c r="N686" s="121"/>
      <c r="O686" s="121"/>
      <c r="P686" s="121"/>
      <c r="Q686" s="121"/>
      <c r="R686" s="121"/>
      <c r="S686" s="121"/>
      <c r="T686" s="121"/>
      <c r="U686" s="121"/>
      <c r="V686" s="121"/>
      <c r="W686" s="121"/>
      <c r="X686" s="121"/>
      <c r="Y686" s="121"/>
      <c r="Z686" s="121"/>
    </row>
    <row r="687" customFormat="false" ht="15.75" hidden="false" customHeight="false" outlineLevel="0" collapsed="false">
      <c r="A687" s="121"/>
      <c r="B687" s="121"/>
      <c r="C687" s="121"/>
      <c r="D687" s="121"/>
      <c r="E687" s="121"/>
      <c r="F687" s="121"/>
      <c r="G687" s="121"/>
      <c r="H687" s="121"/>
      <c r="I687" s="121"/>
      <c r="J687" s="121"/>
      <c r="K687" s="121"/>
      <c r="L687" s="121"/>
      <c r="M687" s="121"/>
      <c r="N687" s="121"/>
      <c r="O687" s="121"/>
      <c r="P687" s="121"/>
      <c r="Q687" s="121"/>
      <c r="R687" s="121"/>
      <c r="S687" s="121"/>
      <c r="T687" s="121"/>
      <c r="U687" s="121"/>
      <c r="V687" s="121"/>
      <c r="W687" s="121"/>
      <c r="X687" s="121"/>
      <c r="Y687" s="121"/>
      <c r="Z687" s="121"/>
    </row>
    <row r="688" customFormat="false" ht="15.75" hidden="false" customHeight="false" outlineLevel="0" collapsed="false">
      <c r="A688" s="121"/>
      <c r="B688" s="121"/>
      <c r="C688" s="121"/>
      <c r="D688" s="121"/>
      <c r="E688" s="121"/>
      <c r="F688" s="121"/>
      <c r="G688" s="121"/>
      <c r="H688" s="121"/>
      <c r="I688" s="121"/>
      <c r="J688" s="121"/>
      <c r="K688" s="121"/>
      <c r="L688" s="121"/>
      <c r="M688" s="121"/>
      <c r="N688" s="121"/>
      <c r="O688" s="121"/>
      <c r="P688" s="121"/>
      <c r="Q688" s="121"/>
      <c r="R688" s="121"/>
      <c r="S688" s="121"/>
      <c r="T688" s="121"/>
      <c r="U688" s="121"/>
      <c r="V688" s="121"/>
      <c r="W688" s="121"/>
      <c r="X688" s="121"/>
      <c r="Y688" s="121"/>
      <c r="Z688" s="121"/>
    </row>
    <row r="689" customFormat="false" ht="15.75" hidden="false" customHeight="false" outlineLevel="0" collapsed="false">
      <c r="A689" s="121"/>
      <c r="B689" s="121"/>
      <c r="C689" s="121"/>
      <c r="D689" s="121"/>
      <c r="E689" s="121"/>
      <c r="F689" s="121"/>
      <c r="G689" s="121"/>
      <c r="H689" s="121"/>
      <c r="I689" s="121"/>
      <c r="J689" s="121"/>
      <c r="K689" s="121"/>
      <c r="L689" s="121"/>
      <c r="M689" s="121"/>
      <c r="N689" s="121"/>
      <c r="O689" s="121"/>
      <c r="P689" s="121"/>
      <c r="Q689" s="121"/>
      <c r="R689" s="121"/>
      <c r="S689" s="121"/>
      <c r="T689" s="121"/>
      <c r="U689" s="121"/>
      <c r="V689" s="121"/>
      <c r="W689" s="121"/>
      <c r="X689" s="121"/>
      <c r="Y689" s="121"/>
      <c r="Z689" s="121"/>
    </row>
    <row r="690" customFormat="false" ht="15.75" hidden="false" customHeight="false" outlineLevel="0" collapsed="false">
      <c r="A690" s="121"/>
      <c r="B690" s="121"/>
      <c r="C690" s="121"/>
      <c r="D690" s="121"/>
      <c r="E690" s="121"/>
      <c r="F690" s="121"/>
      <c r="G690" s="121"/>
      <c r="H690" s="121"/>
      <c r="I690" s="121"/>
      <c r="J690" s="121"/>
      <c r="K690" s="121"/>
      <c r="L690" s="121"/>
      <c r="M690" s="121"/>
      <c r="N690" s="121"/>
      <c r="O690" s="121"/>
      <c r="P690" s="121"/>
      <c r="Q690" s="121"/>
      <c r="R690" s="121"/>
      <c r="S690" s="121"/>
      <c r="T690" s="121"/>
      <c r="U690" s="121"/>
      <c r="V690" s="121"/>
      <c r="W690" s="121"/>
      <c r="X690" s="121"/>
      <c r="Y690" s="121"/>
      <c r="Z690" s="121"/>
    </row>
    <row r="691" customFormat="false" ht="15.75" hidden="false" customHeight="false" outlineLevel="0" collapsed="false">
      <c r="A691" s="121"/>
      <c r="B691" s="121"/>
      <c r="C691" s="121"/>
      <c r="D691" s="121"/>
      <c r="E691" s="121"/>
      <c r="F691" s="121"/>
      <c r="G691" s="121"/>
      <c r="H691" s="121"/>
      <c r="I691" s="121"/>
      <c r="J691" s="121"/>
      <c r="K691" s="121"/>
      <c r="L691" s="121"/>
      <c r="M691" s="121"/>
      <c r="N691" s="121"/>
      <c r="O691" s="121"/>
      <c r="P691" s="121"/>
      <c r="Q691" s="121"/>
      <c r="R691" s="121"/>
      <c r="S691" s="121"/>
      <c r="T691" s="121"/>
      <c r="U691" s="121"/>
      <c r="V691" s="121"/>
      <c r="W691" s="121"/>
      <c r="X691" s="121"/>
      <c r="Y691" s="121"/>
      <c r="Z691" s="121"/>
    </row>
    <row r="692" customFormat="false" ht="15.75" hidden="false" customHeight="false" outlineLevel="0" collapsed="false">
      <c r="A692" s="121"/>
      <c r="B692" s="121"/>
      <c r="C692" s="121"/>
      <c r="D692" s="121"/>
      <c r="E692" s="121"/>
      <c r="F692" s="121"/>
      <c r="G692" s="121"/>
      <c r="H692" s="121"/>
      <c r="I692" s="121"/>
      <c r="J692" s="121"/>
      <c r="K692" s="121"/>
      <c r="L692" s="121"/>
      <c r="M692" s="121"/>
      <c r="N692" s="121"/>
      <c r="O692" s="121"/>
      <c r="P692" s="121"/>
      <c r="Q692" s="121"/>
      <c r="R692" s="121"/>
      <c r="S692" s="121"/>
      <c r="T692" s="121"/>
      <c r="U692" s="121"/>
      <c r="V692" s="121"/>
      <c r="W692" s="121"/>
      <c r="X692" s="121"/>
      <c r="Y692" s="121"/>
      <c r="Z692" s="121"/>
    </row>
    <row r="693" customFormat="false" ht="15.75" hidden="false" customHeight="false" outlineLevel="0" collapsed="false">
      <c r="A693" s="121"/>
      <c r="B693" s="121"/>
      <c r="C693" s="121"/>
      <c r="D693" s="121"/>
      <c r="E693" s="121"/>
      <c r="F693" s="121"/>
      <c r="G693" s="121"/>
      <c r="H693" s="121"/>
      <c r="I693" s="121"/>
      <c r="J693" s="121"/>
      <c r="K693" s="121"/>
      <c r="L693" s="121"/>
      <c r="M693" s="121"/>
      <c r="N693" s="121"/>
      <c r="O693" s="121"/>
      <c r="P693" s="121"/>
      <c r="Q693" s="121"/>
      <c r="R693" s="121"/>
      <c r="S693" s="121"/>
      <c r="T693" s="121"/>
      <c r="U693" s="121"/>
      <c r="V693" s="121"/>
      <c r="W693" s="121"/>
      <c r="X693" s="121"/>
      <c r="Y693" s="121"/>
      <c r="Z693" s="121"/>
    </row>
    <row r="694" customFormat="false" ht="15.75" hidden="false" customHeight="false" outlineLevel="0" collapsed="false">
      <c r="A694" s="121"/>
      <c r="B694" s="121"/>
      <c r="C694" s="121"/>
      <c r="D694" s="121"/>
      <c r="E694" s="121"/>
      <c r="F694" s="121"/>
      <c r="G694" s="121"/>
      <c r="H694" s="121"/>
      <c r="I694" s="121"/>
      <c r="J694" s="121"/>
      <c r="K694" s="121"/>
      <c r="L694" s="121"/>
      <c r="M694" s="121"/>
      <c r="N694" s="121"/>
      <c r="O694" s="121"/>
      <c r="P694" s="121"/>
      <c r="Q694" s="121"/>
      <c r="R694" s="121"/>
      <c r="S694" s="121"/>
      <c r="T694" s="121"/>
      <c r="U694" s="121"/>
      <c r="V694" s="121"/>
      <c r="W694" s="121"/>
      <c r="X694" s="121"/>
      <c r="Y694" s="121"/>
      <c r="Z694" s="121"/>
    </row>
    <row r="695" customFormat="false" ht="15.75" hidden="false" customHeight="false" outlineLevel="0" collapsed="false">
      <c r="A695" s="121"/>
      <c r="B695" s="121"/>
      <c r="C695" s="121"/>
      <c r="D695" s="121"/>
      <c r="E695" s="121"/>
      <c r="F695" s="121"/>
      <c r="G695" s="121"/>
      <c r="H695" s="121"/>
      <c r="I695" s="121"/>
      <c r="J695" s="121"/>
      <c r="K695" s="121"/>
      <c r="L695" s="121"/>
      <c r="M695" s="121"/>
      <c r="N695" s="121"/>
      <c r="O695" s="121"/>
      <c r="P695" s="121"/>
      <c r="Q695" s="121"/>
      <c r="R695" s="121"/>
      <c r="S695" s="121"/>
      <c r="T695" s="121"/>
      <c r="U695" s="121"/>
      <c r="V695" s="121"/>
      <c r="W695" s="121"/>
      <c r="X695" s="121"/>
      <c r="Y695" s="121"/>
      <c r="Z695" s="121"/>
    </row>
    <row r="696" customFormat="false" ht="15.75" hidden="false" customHeight="false" outlineLevel="0" collapsed="false">
      <c r="A696" s="121"/>
      <c r="B696" s="121"/>
      <c r="C696" s="121"/>
      <c r="D696" s="121"/>
      <c r="E696" s="121"/>
      <c r="F696" s="121"/>
      <c r="G696" s="121"/>
      <c r="H696" s="121"/>
      <c r="I696" s="121"/>
      <c r="J696" s="121"/>
      <c r="K696" s="121"/>
      <c r="L696" s="121"/>
      <c r="M696" s="121"/>
      <c r="N696" s="121"/>
      <c r="O696" s="121"/>
      <c r="P696" s="121"/>
      <c r="Q696" s="121"/>
      <c r="R696" s="121"/>
      <c r="S696" s="121"/>
      <c r="T696" s="121"/>
      <c r="U696" s="121"/>
      <c r="V696" s="121"/>
      <c r="W696" s="121"/>
      <c r="X696" s="121"/>
      <c r="Y696" s="121"/>
      <c r="Z696" s="121"/>
    </row>
    <row r="697" customFormat="false" ht="15.75" hidden="false" customHeight="false" outlineLevel="0" collapsed="false">
      <c r="A697" s="121"/>
      <c r="B697" s="121"/>
      <c r="C697" s="121"/>
      <c r="D697" s="121"/>
      <c r="E697" s="121"/>
      <c r="F697" s="121"/>
      <c r="G697" s="121"/>
      <c r="H697" s="121"/>
      <c r="I697" s="121"/>
      <c r="J697" s="121"/>
      <c r="K697" s="121"/>
      <c r="L697" s="121"/>
      <c r="M697" s="121"/>
      <c r="N697" s="121"/>
      <c r="O697" s="121"/>
      <c r="P697" s="121"/>
      <c r="Q697" s="121"/>
      <c r="R697" s="121"/>
      <c r="S697" s="121"/>
      <c r="T697" s="121"/>
      <c r="U697" s="121"/>
      <c r="V697" s="121"/>
      <c r="W697" s="121"/>
      <c r="X697" s="121"/>
      <c r="Y697" s="121"/>
      <c r="Z697" s="121"/>
    </row>
    <row r="698" customFormat="false" ht="15.75" hidden="false" customHeight="false" outlineLevel="0" collapsed="false">
      <c r="A698" s="121"/>
      <c r="B698" s="121"/>
      <c r="C698" s="121"/>
      <c r="D698" s="121"/>
      <c r="E698" s="121"/>
      <c r="F698" s="121"/>
      <c r="G698" s="121"/>
      <c r="H698" s="121"/>
      <c r="I698" s="121"/>
      <c r="J698" s="121"/>
      <c r="K698" s="121"/>
      <c r="L698" s="121"/>
      <c r="M698" s="121"/>
      <c r="N698" s="121"/>
      <c r="O698" s="121"/>
      <c r="P698" s="121"/>
      <c r="Q698" s="121"/>
      <c r="R698" s="121"/>
      <c r="S698" s="121"/>
      <c r="T698" s="121"/>
      <c r="U698" s="121"/>
      <c r="V698" s="121"/>
      <c r="W698" s="121"/>
      <c r="X698" s="121"/>
      <c r="Y698" s="121"/>
      <c r="Z698" s="121"/>
    </row>
    <row r="699" customFormat="false" ht="15.75" hidden="false" customHeight="false" outlineLevel="0" collapsed="false">
      <c r="A699" s="121"/>
      <c r="B699" s="121"/>
      <c r="C699" s="121"/>
      <c r="D699" s="121"/>
      <c r="E699" s="121"/>
      <c r="F699" s="121"/>
      <c r="G699" s="121"/>
      <c r="H699" s="121"/>
      <c r="I699" s="121"/>
      <c r="J699" s="121"/>
      <c r="K699" s="121"/>
      <c r="L699" s="121"/>
      <c r="M699" s="121"/>
      <c r="N699" s="121"/>
      <c r="O699" s="121"/>
      <c r="P699" s="121"/>
      <c r="Q699" s="121"/>
      <c r="R699" s="121"/>
      <c r="S699" s="121"/>
      <c r="T699" s="121"/>
      <c r="U699" s="121"/>
      <c r="V699" s="121"/>
      <c r="W699" s="121"/>
      <c r="X699" s="121"/>
      <c r="Y699" s="121"/>
      <c r="Z699" s="121"/>
    </row>
    <row r="700" customFormat="false" ht="15.75" hidden="false" customHeight="false" outlineLevel="0" collapsed="false">
      <c r="A700" s="121"/>
      <c r="B700" s="121"/>
      <c r="C700" s="121"/>
      <c r="D700" s="121"/>
      <c r="E700" s="121"/>
      <c r="F700" s="121"/>
      <c r="G700" s="121"/>
      <c r="H700" s="121"/>
      <c r="I700" s="121"/>
      <c r="J700" s="121"/>
      <c r="K700" s="121"/>
      <c r="L700" s="121"/>
      <c r="M700" s="121"/>
      <c r="N700" s="121"/>
      <c r="O700" s="121"/>
      <c r="P700" s="121"/>
      <c r="Q700" s="121"/>
      <c r="R700" s="121"/>
      <c r="S700" s="121"/>
      <c r="T700" s="121"/>
      <c r="U700" s="121"/>
      <c r="V700" s="121"/>
      <c r="W700" s="121"/>
      <c r="X700" s="121"/>
      <c r="Y700" s="121"/>
      <c r="Z700" s="121"/>
    </row>
    <row r="701" customFormat="false" ht="15.75" hidden="false" customHeight="false" outlineLevel="0" collapsed="false">
      <c r="A701" s="121"/>
      <c r="B701" s="121"/>
      <c r="C701" s="121"/>
      <c r="D701" s="121"/>
      <c r="E701" s="121"/>
      <c r="F701" s="121"/>
      <c r="G701" s="121"/>
      <c r="H701" s="121"/>
      <c r="I701" s="121"/>
      <c r="J701" s="121"/>
      <c r="K701" s="121"/>
      <c r="L701" s="121"/>
      <c r="M701" s="121"/>
      <c r="N701" s="121"/>
      <c r="O701" s="121"/>
      <c r="P701" s="121"/>
      <c r="Q701" s="121"/>
      <c r="R701" s="121"/>
      <c r="S701" s="121"/>
      <c r="T701" s="121"/>
      <c r="U701" s="121"/>
      <c r="V701" s="121"/>
      <c r="W701" s="121"/>
      <c r="X701" s="121"/>
      <c r="Y701" s="121"/>
      <c r="Z701" s="121"/>
    </row>
    <row r="702" customFormat="false" ht="15.75" hidden="false" customHeight="false" outlineLevel="0" collapsed="false">
      <c r="A702" s="121"/>
      <c r="B702" s="121"/>
      <c r="C702" s="121"/>
      <c r="D702" s="121"/>
      <c r="E702" s="121"/>
      <c r="F702" s="121"/>
      <c r="G702" s="121"/>
      <c r="H702" s="121"/>
      <c r="I702" s="121"/>
      <c r="J702" s="121"/>
      <c r="K702" s="121"/>
      <c r="L702" s="121"/>
      <c r="M702" s="121"/>
      <c r="N702" s="121"/>
      <c r="O702" s="121"/>
      <c r="P702" s="121"/>
      <c r="Q702" s="121"/>
      <c r="R702" s="121"/>
      <c r="S702" s="121"/>
      <c r="T702" s="121"/>
      <c r="U702" s="121"/>
      <c r="V702" s="121"/>
      <c r="W702" s="121"/>
      <c r="X702" s="121"/>
      <c r="Y702" s="121"/>
      <c r="Z702" s="121"/>
    </row>
    <row r="703" customFormat="false" ht="15.75" hidden="false" customHeight="false" outlineLevel="0" collapsed="false">
      <c r="A703" s="121"/>
      <c r="B703" s="121"/>
      <c r="C703" s="121"/>
      <c r="D703" s="121"/>
      <c r="E703" s="121"/>
      <c r="F703" s="121"/>
      <c r="G703" s="121"/>
      <c r="H703" s="121"/>
      <c r="I703" s="121"/>
      <c r="J703" s="121"/>
      <c r="K703" s="121"/>
      <c r="L703" s="121"/>
      <c r="M703" s="121"/>
      <c r="N703" s="121"/>
      <c r="O703" s="121"/>
      <c r="P703" s="121"/>
      <c r="Q703" s="121"/>
      <c r="R703" s="121"/>
      <c r="S703" s="121"/>
      <c r="T703" s="121"/>
      <c r="U703" s="121"/>
      <c r="V703" s="121"/>
      <c r="W703" s="121"/>
      <c r="X703" s="121"/>
      <c r="Y703" s="121"/>
      <c r="Z703" s="121"/>
    </row>
    <row r="704" customFormat="false" ht="15.75" hidden="false" customHeight="false" outlineLevel="0" collapsed="false">
      <c r="A704" s="121"/>
      <c r="B704" s="121"/>
      <c r="C704" s="121"/>
      <c r="D704" s="121"/>
      <c r="E704" s="121"/>
      <c r="F704" s="121"/>
      <c r="G704" s="121"/>
      <c r="H704" s="121"/>
      <c r="I704" s="121"/>
      <c r="J704" s="121"/>
      <c r="K704" s="121"/>
      <c r="L704" s="121"/>
      <c r="M704" s="121"/>
      <c r="N704" s="121"/>
      <c r="O704" s="121"/>
      <c r="P704" s="121"/>
      <c r="Q704" s="121"/>
      <c r="R704" s="121"/>
      <c r="S704" s="121"/>
      <c r="T704" s="121"/>
      <c r="U704" s="121"/>
      <c r="V704" s="121"/>
      <c r="W704" s="121"/>
      <c r="X704" s="121"/>
      <c r="Y704" s="121"/>
      <c r="Z704" s="121"/>
    </row>
    <row r="705" customFormat="false" ht="15.75" hidden="false" customHeight="false" outlineLevel="0" collapsed="false">
      <c r="A705" s="121"/>
      <c r="B705" s="121"/>
      <c r="C705" s="121"/>
      <c r="D705" s="121"/>
      <c r="E705" s="121"/>
      <c r="F705" s="121"/>
      <c r="G705" s="121"/>
      <c r="H705" s="121"/>
      <c r="I705" s="121"/>
      <c r="J705" s="121"/>
      <c r="K705" s="121"/>
      <c r="L705" s="121"/>
      <c r="M705" s="121"/>
      <c r="N705" s="121"/>
      <c r="O705" s="121"/>
      <c r="P705" s="121"/>
      <c r="Q705" s="121"/>
      <c r="R705" s="121"/>
      <c r="S705" s="121"/>
      <c r="T705" s="121"/>
      <c r="U705" s="121"/>
      <c r="V705" s="121"/>
      <c r="W705" s="121"/>
      <c r="X705" s="121"/>
      <c r="Y705" s="121"/>
      <c r="Z705" s="121"/>
    </row>
    <row r="706" customFormat="false" ht="15.75" hidden="false" customHeight="false" outlineLevel="0" collapsed="false">
      <c r="A706" s="121"/>
      <c r="B706" s="121"/>
      <c r="C706" s="121"/>
      <c r="D706" s="121"/>
      <c r="E706" s="121"/>
      <c r="F706" s="121"/>
      <c r="G706" s="121"/>
      <c r="H706" s="121"/>
      <c r="I706" s="121"/>
      <c r="J706" s="121"/>
      <c r="K706" s="121"/>
      <c r="L706" s="121"/>
      <c r="M706" s="121"/>
      <c r="N706" s="121"/>
      <c r="O706" s="121"/>
      <c r="P706" s="121"/>
      <c r="Q706" s="121"/>
      <c r="R706" s="121"/>
      <c r="S706" s="121"/>
      <c r="T706" s="121"/>
      <c r="U706" s="121"/>
      <c r="V706" s="121"/>
      <c r="W706" s="121"/>
      <c r="X706" s="121"/>
      <c r="Y706" s="121"/>
      <c r="Z706" s="121"/>
    </row>
    <row r="707" customFormat="false" ht="15.75" hidden="false" customHeight="false" outlineLevel="0" collapsed="false">
      <c r="A707" s="121"/>
      <c r="B707" s="121"/>
      <c r="C707" s="121"/>
      <c r="D707" s="121"/>
      <c r="E707" s="121"/>
      <c r="F707" s="121"/>
      <c r="G707" s="121"/>
      <c r="H707" s="121"/>
      <c r="I707" s="121"/>
      <c r="J707" s="121"/>
      <c r="K707" s="121"/>
      <c r="L707" s="121"/>
      <c r="M707" s="121"/>
      <c r="N707" s="121"/>
      <c r="O707" s="121"/>
      <c r="P707" s="121"/>
      <c r="Q707" s="121"/>
      <c r="R707" s="121"/>
      <c r="S707" s="121"/>
      <c r="T707" s="121"/>
      <c r="U707" s="121"/>
      <c r="V707" s="121"/>
      <c r="W707" s="121"/>
      <c r="X707" s="121"/>
      <c r="Y707" s="121"/>
      <c r="Z707" s="121"/>
    </row>
    <row r="708" customFormat="false" ht="15.75" hidden="false" customHeight="false" outlineLevel="0" collapsed="false">
      <c r="A708" s="121"/>
      <c r="B708" s="121"/>
      <c r="C708" s="121"/>
      <c r="D708" s="121"/>
      <c r="E708" s="121"/>
      <c r="F708" s="121"/>
      <c r="G708" s="121"/>
      <c r="H708" s="121"/>
      <c r="I708" s="121"/>
      <c r="J708" s="121"/>
      <c r="K708" s="121"/>
      <c r="L708" s="121"/>
      <c r="M708" s="121"/>
      <c r="N708" s="121"/>
      <c r="O708" s="121"/>
      <c r="P708" s="121"/>
      <c r="Q708" s="121"/>
      <c r="R708" s="121"/>
      <c r="S708" s="121"/>
      <c r="T708" s="121"/>
      <c r="U708" s="121"/>
      <c r="V708" s="121"/>
      <c r="W708" s="121"/>
      <c r="X708" s="121"/>
      <c r="Y708" s="121"/>
      <c r="Z708" s="121"/>
    </row>
    <row r="709" customFormat="false" ht="15.75" hidden="false" customHeight="false" outlineLevel="0" collapsed="false">
      <c r="A709" s="121"/>
      <c r="B709" s="121"/>
      <c r="C709" s="121"/>
      <c r="D709" s="121"/>
      <c r="E709" s="121"/>
      <c r="F709" s="121"/>
      <c r="G709" s="121"/>
      <c r="H709" s="121"/>
      <c r="I709" s="121"/>
      <c r="J709" s="121"/>
      <c r="K709" s="121"/>
      <c r="L709" s="121"/>
      <c r="M709" s="121"/>
      <c r="N709" s="121"/>
      <c r="O709" s="121"/>
      <c r="P709" s="121"/>
      <c r="Q709" s="121"/>
      <c r="R709" s="121"/>
      <c r="S709" s="121"/>
      <c r="T709" s="121"/>
      <c r="U709" s="121"/>
      <c r="V709" s="121"/>
      <c r="W709" s="121"/>
      <c r="X709" s="121"/>
      <c r="Y709" s="121"/>
      <c r="Z709" s="121"/>
    </row>
    <row r="710" customFormat="false" ht="15.75" hidden="false" customHeight="false" outlineLevel="0" collapsed="false">
      <c r="A710" s="121"/>
      <c r="B710" s="121"/>
      <c r="C710" s="121"/>
      <c r="D710" s="121"/>
      <c r="E710" s="121"/>
      <c r="F710" s="121"/>
      <c r="G710" s="121"/>
      <c r="H710" s="121"/>
      <c r="I710" s="121"/>
      <c r="J710" s="121"/>
      <c r="K710" s="121"/>
      <c r="L710" s="121"/>
      <c r="M710" s="121"/>
      <c r="N710" s="121"/>
      <c r="O710" s="121"/>
      <c r="P710" s="121"/>
      <c r="Q710" s="121"/>
      <c r="R710" s="121"/>
      <c r="S710" s="121"/>
      <c r="T710" s="121"/>
      <c r="U710" s="121"/>
      <c r="V710" s="121"/>
      <c r="W710" s="121"/>
      <c r="X710" s="121"/>
      <c r="Y710" s="121"/>
      <c r="Z710" s="121"/>
    </row>
    <row r="711" customFormat="false" ht="15.75" hidden="false" customHeight="false" outlineLevel="0" collapsed="false">
      <c r="A711" s="121"/>
      <c r="B711" s="121"/>
      <c r="C711" s="121"/>
      <c r="D711" s="121"/>
      <c r="E711" s="121"/>
      <c r="F711" s="121"/>
      <c r="G711" s="121"/>
      <c r="H711" s="121"/>
      <c r="I711" s="121"/>
      <c r="J711" s="121"/>
      <c r="K711" s="121"/>
      <c r="L711" s="121"/>
      <c r="M711" s="121"/>
      <c r="N711" s="121"/>
      <c r="O711" s="121"/>
      <c r="P711" s="121"/>
      <c r="Q711" s="121"/>
      <c r="R711" s="121"/>
      <c r="S711" s="121"/>
      <c r="T711" s="121"/>
      <c r="U711" s="121"/>
      <c r="V711" s="121"/>
      <c r="W711" s="121"/>
      <c r="X711" s="121"/>
      <c r="Y711" s="121"/>
      <c r="Z711" s="121"/>
    </row>
    <row r="712" customFormat="false" ht="15.75" hidden="false" customHeight="false" outlineLevel="0" collapsed="false">
      <c r="A712" s="121"/>
      <c r="B712" s="121"/>
      <c r="C712" s="121"/>
      <c r="D712" s="121"/>
      <c r="E712" s="121"/>
      <c r="F712" s="121"/>
      <c r="G712" s="121"/>
      <c r="H712" s="121"/>
      <c r="I712" s="121"/>
      <c r="J712" s="121"/>
      <c r="K712" s="121"/>
      <c r="L712" s="121"/>
      <c r="M712" s="121"/>
      <c r="N712" s="121"/>
      <c r="O712" s="121"/>
      <c r="P712" s="121"/>
      <c r="Q712" s="121"/>
      <c r="R712" s="121"/>
      <c r="S712" s="121"/>
      <c r="T712" s="121"/>
      <c r="U712" s="121"/>
      <c r="V712" s="121"/>
      <c r="W712" s="121"/>
      <c r="X712" s="121"/>
      <c r="Y712" s="121"/>
      <c r="Z712" s="121"/>
    </row>
    <row r="713" customFormat="false" ht="15.75" hidden="false" customHeight="false" outlineLevel="0" collapsed="false">
      <c r="A713" s="121"/>
      <c r="B713" s="121"/>
      <c r="C713" s="121"/>
      <c r="D713" s="121"/>
      <c r="E713" s="121"/>
      <c r="F713" s="121"/>
      <c r="G713" s="121"/>
      <c r="H713" s="121"/>
      <c r="I713" s="121"/>
      <c r="J713" s="121"/>
      <c r="K713" s="121"/>
      <c r="L713" s="121"/>
      <c r="M713" s="121"/>
      <c r="N713" s="121"/>
      <c r="O713" s="121"/>
      <c r="P713" s="121"/>
      <c r="Q713" s="121"/>
      <c r="R713" s="121"/>
      <c r="S713" s="121"/>
      <c r="T713" s="121"/>
      <c r="U713" s="121"/>
      <c r="V713" s="121"/>
      <c r="W713" s="121"/>
      <c r="X713" s="121"/>
      <c r="Y713" s="121"/>
      <c r="Z713" s="121"/>
    </row>
    <row r="714" customFormat="false" ht="15.75" hidden="false" customHeight="false" outlineLevel="0" collapsed="false">
      <c r="A714" s="121"/>
      <c r="B714" s="121"/>
      <c r="C714" s="121"/>
      <c r="D714" s="121"/>
      <c r="E714" s="121"/>
      <c r="F714" s="121"/>
      <c r="G714" s="121"/>
      <c r="H714" s="121"/>
      <c r="I714" s="121"/>
      <c r="J714" s="121"/>
      <c r="K714" s="121"/>
      <c r="L714" s="121"/>
      <c r="M714" s="121"/>
      <c r="N714" s="121"/>
      <c r="O714" s="121"/>
      <c r="P714" s="121"/>
      <c r="Q714" s="121"/>
      <c r="R714" s="121"/>
      <c r="S714" s="121"/>
      <c r="T714" s="121"/>
      <c r="U714" s="121"/>
      <c r="V714" s="121"/>
      <c r="W714" s="121"/>
      <c r="X714" s="121"/>
      <c r="Y714" s="121"/>
      <c r="Z714" s="121"/>
    </row>
    <row r="715" customFormat="false" ht="15.75" hidden="false" customHeight="false" outlineLevel="0" collapsed="false">
      <c r="A715" s="121"/>
      <c r="B715" s="121"/>
      <c r="C715" s="121"/>
      <c r="D715" s="121"/>
      <c r="E715" s="121"/>
      <c r="F715" s="121"/>
      <c r="G715" s="121"/>
      <c r="H715" s="121"/>
      <c r="I715" s="121"/>
      <c r="J715" s="121"/>
      <c r="K715" s="121"/>
      <c r="L715" s="121"/>
      <c r="M715" s="121"/>
      <c r="N715" s="121"/>
      <c r="O715" s="121"/>
      <c r="P715" s="121"/>
      <c r="Q715" s="121"/>
      <c r="R715" s="121"/>
      <c r="S715" s="121"/>
      <c r="T715" s="121"/>
      <c r="U715" s="121"/>
      <c r="V715" s="121"/>
      <c r="W715" s="121"/>
      <c r="X715" s="121"/>
      <c r="Y715" s="121"/>
      <c r="Z715" s="121"/>
    </row>
    <row r="716" customFormat="false" ht="15.75" hidden="false" customHeight="false" outlineLevel="0" collapsed="false">
      <c r="A716" s="121"/>
      <c r="B716" s="121"/>
      <c r="C716" s="121"/>
      <c r="D716" s="121"/>
      <c r="E716" s="121"/>
      <c r="F716" s="121"/>
      <c r="G716" s="121"/>
      <c r="H716" s="121"/>
      <c r="I716" s="121"/>
      <c r="J716" s="121"/>
      <c r="K716" s="121"/>
      <c r="L716" s="121"/>
      <c r="M716" s="121"/>
      <c r="N716" s="121"/>
      <c r="O716" s="121"/>
      <c r="P716" s="121"/>
      <c r="Q716" s="121"/>
      <c r="R716" s="121"/>
      <c r="S716" s="121"/>
      <c r="T716" s="121"/>
      <c r="U716" s="121"/>
      <c r="V716" s="121"/>
      <c r="W716" s="121"/>
      <c r="X716" s="121"/>
      <c r="Y716" s="121"/>
      <c r="Z716" s="121"/>
    </row>
    <row r="717" customFormat="false" ht="15.75" hidden="false" customHeight="false" outlineLevel="0" collapsed="false">
      <c r="A717" s="121"/>
      <c r="B717" s="121"/>
      <c r="C717" s="121"/>
      <c r="D717" s="121"/>
      <c r="E717" s="121"/>
      <c r="F717" s="121"/>
      <c r="G717" s="121"/>
      <c r="H717" s="121"/>
      <c r="I717" s="121"/>
      <c r="J717" s="121"/>
      <c r="K717" s="121"/>
      <c r="L717" s="121"/>
      <c r="M717" s="121"/>
      <c r="N717" s="121"/>
      <c r="O717" s="121"/>
      <c r="P717" s="121"/>
      <c r="Q717" s="121"/>
      <c r="R717" s="121"/>
      <c r="S717" s="121"/>
      <c r="T717" s="121"/>
      <c r="U717" s="121"/>
      <c r="V717" s="121"/>
      <c r="W717" s="121"/>
      <c r="X717" s="121"/>
      <c r="Y717" s="121"/>
      <c r="Z717" s="121"/>
    </row>
    <row r="718" customFormat="false" ht="15.75" hidden="false" customHeight="false" outlineLevel="0" collapsed="false">
      <c r="A718" s="121"/>
      <c r="B718" s="121"/>
      <c r="C718" s="121"/>
      <c r="D718" s="121"/>
      <c r="E718" s="121"/>
      <c r="F718" s="121"/>
      <c r="G718" s="121"/>
      <c r="H718" s="121"/>
      <c r="I718" s="121"/>
      <c r="J718" s="121"/>
      <c r="K718" s="121"/>
      <c r="L718" s="121"/>
      <c r="M718" s="121"/>
      <c r="N718" s="121"/>
      <c r="O718" s="121"/>
      <c r="P718" s="121"/>
      <c r="Q718" s="121"/>
      <c r="R718" s="121"/>
      <c r="S718" s="121"/>
      <c r="T718" s="121"/>
      <c r="U718" s="121"/>
      <c r="V718" s="121"/>
      <c r="W718" s="121"/>
      <c r="X718" s="121"/>
      <c r="Y718" s="121"/>
      <c r="Z718" s="121"/>
    </row>
    <row r="719" customFormat="false" ht="15.75" hidden="false" customHeight="false" outlineLevel="0" collapsed="false">
      <c r="A719" s="121"/>
      <c r="B719" s="121"/>
      <c r="C719" s="121"/>
      <c r="D719" s="121"/>
      <c r="E719" s="121"/>
      <c r="F719" s="121"/>
      <c r="G719" s="121"/>
      <c r="H719" s="121"/>
      <c r="I719" s="121"/>
      <c r="J719" s="121"/>
      <c r="K719" s="121"/>
      <c r="L719" s="121"/>
      <c r="M719" s="121"/>
      <c r="N719" s="121"/>
      <c r="O719" s="121"/>
      <c r="P719" s="121"/>
      <c r="Q719" s="121"/>
      <c r="R719" s="121"/>
      <c r="S719" s="121"/>
      <c r="T719" s="121"/>
      <c r="U719" s="121"/>
      <c r="V719" s="121"/>
      <c r="W719" s="121"/>
      <c r="X719" s="121"/>
      <c r="Y719" s="121"/>
      <c r="Z719" s="121"/>
    </row>
    <row r="720" customFormat="false" ht="15.75" hidden="false" customHeight="false" outlineLevel="0" collapsed="false">
      <c r="A720" s="121"/>
      <c r="B720" s="121"/>
      <c r="C720" s="121"/>
      <c r="D720" s="121"/>
      <c r="E720" s="121"/>
      <c r="F720" s="121"/>
      <c r="G720" s="121"/>
      <c r="H720" s="121"/>
      <c r="I720" s="121"/>
      <c r="J720" s="121"/>
      <c r="K720" s="121"/>
      <c r="L720" s="121"/>
      <c r="M720" s="121"/>
      <c r="N720" s="121"/>
      <c r="O720" s="121"/>
      <c r="P720" s="121"/>
      <c r="Q720" s="121"/>
      <c r="R720" s="121"/>
      <c r="S720" s="121"/>
      <c r="T720" s="121"/>
      <c r="U720" s="121"/>
      <c r="V720" s="121"/>
      <c r="W720" s="121"/>
      <c r="X720" s="121"/>
      <c r="Y720" s="121"/>
      <c r="Z720" s="121"/>
    </row>
    <row r="721" customFormat="false" ht="15.75" hidden="false" customHeight="false" outlineLevel="0" collapsed="false">
      <c r="A721" s="121"/>
      <c r="B721" s="121"/>
      <c r="C721" s="121"/>
      <c r="D721" s="121"/>
      <c r="E721" s="121"/>
      <c r="F721" s="121"/>
      <c r="G721" s="121"/>
      <c r="H721" s="121"/>
      <c r="I721" s="121"/>
      <c r="J721" s="121"/>
      <c r="K721" s="121"/>
      <c r="L721" s="121"/>
      <c r="M721" s="121"/>
      <c r="N721" s="121"/>
      <c r="O721" s="121"/>
      <c r="P721" s="121"/>
      <c r="Q721" s="121"/>
      <c r="R721" s="121"/>
      <c r="S721" s="121"/>
      <c r="T721" s="121"/>
      <c r="U721" s="121"/>
      <c r="V721" s="121"/>
      <c r="W721" s="121"/>
      <c r="X721" s="121"/>
      <c r="Y721" s="121"/>
      <c r="Z721" s="121"/>
    </row>
    <row r="722" customFormat="false" ht="15.75" hidden="false" customHeight="false" outlineLevel="0" collapsed="false">
      <c r="A722" s="121"/>
      <c r="B722" s="121"/>
      <c r="C722" s="121"/>
      <c r="D722" s="121"/>
      <c r="E722" s="121"/>
      <c r="F722" s="121"/>
      <c r="G722" s="121"/>
      <c r="H722" s="121"/>
      <c r="I722" s="121"/>
      <c r="J722" s="121"/>
      <c r="K722" s="121"/>
      <c r="L722" s="121"/>
      <c r="M722" s="121"/>
      <c r="N722" s="121"/>
      <c r="O722" s="121"/>
      <c r="P722" s="121"/>
      <c r="Q722" s="121"/>
      <c r="R722" s="121"/>
      <c r="S722" s="121"/>
      <c r="T722" s="121"/>
      <c r="U722" s="121"/>
      <c r="V722" s="121"/>
      <c r="W722" s="121"/>
      <c r="X722" s="121"/>
      <c r="Y722" s="121"/>
      <c r="Z722" s="121"/>
    </row>
    <row r="723" customFormat="false" ht="15.75" hidden="false" customHeight="false" outlineLevel="0" collapsed="false">
      <c r="A723" s="121"/>
      <c r="B723" s="121"/>
      <c r="C723" s="121"/>
      <c r="D723" s="121"/>
      <c r="E723" s="121"/>
      <c r="F723" s="121"/>
      <c r="G723" s="121"/>
      <c r="H723" s="121"/>
      <c r="I723" s="121"/>
      <c r="J723" s="121"/>
      <c r="K723" s="121"/>
      <c r="L723" s="121"/>
      <c r="M723" s="121"/>
      <c r="N723" s="121"/>
      <c r="O723" s="121"/>
      <c r="P723" s="121"/>
      <c r="Q723" s="121"/>
      <c r="R723" s="121"/>
      <c r="S723" s="121"/>
      <c r="T723" s="121"/>
      <c r="U723" s="121"/>
      <c r="V723" s="121"/>
      <c r="W723" s="121"/>
      <c r="X723" s="121"/>
      <c r="Y723" s="121"/>
      <c r="Z723" s="121"/>
    </row>
    <row r="724" customFormat="false" ht="15.75" hidden="false" customHeight="false" outlineLevel="0" collapsed="false">
      <c r="A724" s="121"/>
      <c r="B724" s="121"/>
      <c r="C724" s="121"/>
      <c r="D724" s="121"/>
      <c r="E724" s="121"/>
      <c r="F724" s="121"/>
      <c r="G724" s="121"/>
      <c r="H724" s="121"/>
      <c r="I724" s="121"/>
      <c r="J724" s="121"/>
      <c r="K724" s="121"/>
      <c r="L724" s="121"/>
      <c r="M724" s="121"/>
      <c r="N724" s="121"/>
      <c r="O724" s="121"/>
      <c r="P724" s="121"/>
      <c r="Q724" s="121"/>
      <c r="R724" s="121"/>
      <c r="S724" s="121"/>
      <c r="T724" s="121"/>
      <c r="U724" s="121"/>
      <c r="V724" s="121"/>
      <c r="W724" s="121"/>
      <c r="X724" s="121"/>
      <c r="Y724" s="121"/>
      <c r="Z724" s="121"/>
    </row>
    <row r="725" customFormat="false" ht="15.75" hidden="false" customHeight="false" outlineLevel="0" collapsed="false">
      <c r="A725" s="121"/>
      <c r="B725" s="121"/>
      <c r="C725" s="121"/>
      <c r="D725" s="121"/>
      <c r="E725" s="121"/>
      <c r="F725" s="121"/>
      <c r="G725" s="121"/>
      <c r="H725" s="121"/>
      <c r="I725" s="121"/>
      <c r="J725" s="121"/>
      <c r="K725" s="121"/>
      <c r="L725" s="121"/>
      <c r="M725" s="121"/>
      <c r="N725" s="121"/>
      <c r="O725" s="121"/>
      <c r="P725" s="121"/>
      <c r="Q725" s="121"/>
      <c r="R725" s="121"/>
      <c r="S725" s="121"/>
      <c r="T725" s="121"/>
      <c r="U725" s="121"/>
      <c r="V725" s="121"/>
      <c r="W725" s="121"/>
      <c r="X725" s="121"/>
      <c r="Y725" s="121"/>
      <c r="Z725" s="121"/>
    </row>
    <row r="726" customFormat="false" ht="15.75" hidden="false" customHeight="false" outlineLevel="0" collapsed="false">
      <c r="A726" s="121"/>
      <c r="B726" s="121"/>
      <c r="C726" s="121"/>
      <c r="D726" s="121"/>
      <c r="E726" s="121"/>
      <c r="F726" s="121"/>
      <c r="G726" s="121"/>
      <c r="H726" s="121"/>
      <c r="I726" s="121"/>
      <c r="J726" s="121"/>
      <c r="K726" s="121"/>
      <c r="L726" s="121"/>
      <c r="M726" s="121"/>
      <c r="N726" s="121"/>
      <c r="O726" s="121"/>
      <c r="P726" s="121"/>
      <c r="Q726" s="121"/>
      <c r="R726" s="121"/>
      <c r="S726" s="121"/>
      <c r="T726" s="121"/>
      <c r="U726" s="121"/>
      <c r="V726" s="121"/>
      <c r="W726" s="121"/>
      <c r="X726" s="121"/>
      <c r="Y726" s="121"/>
      <c r="Z726" s="121"/>
    </row>
    <row r="727" customFormat="false" ht="15.75" hidden="false" customHeight="false" outlineLevel="0" collapsed="false">
      <c r="A727" s="121"/>
      <c r="B727" s="121"/>
      <c r="C727" s="121"/>
      <c r="D727" s="121"/>
      <c r="E727" s="121"/>
      <c r="F727" s="121"/>
      <c r="G727" s="121"/>
      <c r="H727" s="121"/>
      <c r="I727" s="121"/>
      <c r="J727" s="121"/>
      <c r="K727" s="121"/>
      <c r="L727" s="121"/>
      <c r="M727" s="121"/>
      <c r="N727" s="121"/>
      <c r="O727" s="121"/>
      <c r="P727" s="121"/>
      <c r="Q727" s="121"/>
      <c r="R727" s="121"/>
      <c r="S727" s="121"/>
      <c r="T727" s="121"/>
      <c r="U727" s="121"/>
      <c r="V727" s="121"/>
      <c r="W727" s="121"/>
      <c r="X727" s="121"/>
      <c r="Y727" s="121"/>
      <c r="Z727" s="121"/>
    </row>
    <row r="728" customFormat="false" ht="15.75" hidden="false" customHeight="false" outlineLevel="0" collapsed="false">
      <c r="A728" s="121"/>
      <c r="B728" s="121"/>
      <c r="C728" s="121"/>
      <c r="D728" s="121"/>
      <c r="E728" s="121"/>
      <c r="F728" s="121"/>
      <c r="G728" s="121"/>
      <c r="H728" s="121"/>
      <c r="I728" s="121"/>
      <c r="J728" s="121"/>
      <c r="K728" s="121"/>
      <c r="L728" s="121"/>
      <c r="M728" s="121"/>
      <c r="N728" s="121"/>
      <c r="O728" s="121"/>
      <c r="P728" s="121"/>
      <c r="Q728" s="121"/>
      <c r="R728" s="121"/>
      <c r="S728" s="121"/>
      <c r="T728" s="121"/>
      <c r="U728" s="121"/>
      <c r="V728" s="121"/>
      <c r="W728" s="121"/>
      <c r="X728" s="121"/>
      <c r="Y728" s="121"/>
      <c r="Z728" s="121"/>
    </row>
    <row r="729" customFormat="false" ht="15.75" hidden="false" customHeight="false" outlineLevel="0" collapsed="false">
      <c r="A729" s="121"/>
      <c r="B729" s="121"/>
      <c r="C729" s="121"/>
      <c r="D729" s="121"/>
      <c r="E729" s="121"/>
      <c r="F729" s="121"/>
      <c r="G729" s="121"/>
      <c r="H729" s="121"/>
      <c r="I729" s="121"/>
      <c r="J729" s="121"/>
      <c r="K729" s="121"/>
      <c r="L729" s="121"/>
      <c r="M729" s="121"/>
      <c r="N729" s="121"/>
      <c r="O729" s="121"/>
      <c r="P729" s="121"/>
      <c r="Q729" s="121"/>
      <c r="R729" s="121"/>
      <c r="S729" s="121"/>
      <c r="T729" s="121"/>
      <c r="U729" s="121"/>
      <c r="V729" s="121"/>
      <c r="W729" s="121"/>
      <c r="X729" s="121"/>
      <c r="Y729" s="121"/>
      <c r="Z729" s="121"/>
    </row>
    <row r="730" customFormat="false" ht="15.75" hidden="false" customHeight="false" outlineLevel="0" collapsed="false">
      <c r="A730" s="121"/>
      <c r="B730" s="121"/>
      <c r="C730" s="121"/>
      <c r="D730" s="121"/>
      <c r="E730" s="121"/>
      <c r="F730" s="121"/>
      <c r="G730" s="121"/>
      <c r="H730" s="121"/>
      <c r="I730" s="121"/>
      <c r="J730" s="121"/>
      <c r="K730" s="121"/>
      <c r="L730" s="121"/>
      <c r="M730" s="121"/>
      <c r="N730" s="121"/>
      <c r="O730" s="121"/>
      <c r="P730" s="121"/>
      <c r="Q730" s="121"/>
      <c r="R730" s="121"/>
      <c r="S730" s="121"/>
      <c r="T730" s="121"/>
      <c r="U730" s="121"/>
      <c r="V730" s="121"/>
      <c r="W730" s="121"/>
      <c r="X730" s="121"/>
      <c r="Y730" s="121"/>
      <c r="Z730" s="121"/>
    </row>
    <row r="731" customFormat="false" ht="15.75" hidden="false" customHeight="false" outlineLevel="0" collapsed="false">
      <c r="A731" s="121"/>
      <c r="B731" s="121"/>
      <c r="C731" s="121"/>
      <c r="D731" s="121"/>
      <c r="E731" s="121"/>
      <c r="F731" s="121"/>
      <c r="G731" s="121"/>
      <c r="H731" s="121"/>
      <c r="I731" s="121"/>
      <c r="J731" s="121"/>
      <c r="K731" s="121"/>
      <c r="L731" s="121"/>
      <c r="M731" s="121"/>
      <c r="N731" s="121"/>
      <c r="O731" s="121"/>
      <c r="P731" s="121"/>
      <c r="Q731" s="121"/>
      <c r="R731" s="121"/>
      <c r="S731" s="121"/>
      <c r="T731" s="121"/>
      <c r="U731" s="121"/>
      <c r="V731" s="121"/>
      <c r="W731" s="121"/>
      <c r="X731" s="121"/>
      <c r="Y731" s="121"/>
      <c r="Z731" s="121"/>
    </row>
    <row r="732" customFormat="false" ht="15.75" hidden="false" customHeight="false" outlineLevel="0" collapsed="false">
      <c r="A732" s="121"/>
      <c r="B732" s="121"/>
      <c r="C732" s="121"/>
      <c r="D732" s="121"/>
      <c r="E732" s="121"/>
      <c r="F732" s="121"/>
      <c r="G732" s="121"/>
      <c r="H732" s="121"/>
      <c r="I732" s="121"/>
      <c r="J732" s="121"/>
      <c r="K732" s="121"/>
      <c r="L732" s="121"/>
      <c r="M732" s="121"/>
      <c r="N732" s="121"/>
      <c r="O732" s="121"/>
      <c r="P732" s="121"/>
      <c r="Q732" s="121"/>
      <c r="R732" s="121"/>
      <c r="S732" s="121"/>
      <c r="T732" s="121"/>
      <c r="U732" s="121"/>
      <c r="V732" s="121"/>
      <c r="W732" s="121"/>
      <c r="X732" s="121"/>
      <c r="Y732" s="121"/>
      <c r="Z732" s="121"/>
    </row>
    <row r="733" customFormat="false" ht="15.75" hidden="false" customHeight="false" outlineLevel="0" collapsed="false">
      <c r="A733" s="121"/>
      <c r="B733" s="121"/>
      <c r="C733" s="121"/>
      <c r="D733" s="121"/>
      <c r="E733" s="121"/>
      <c r="F733" s="121"/>
      <c r="G733" s="121"/>
      <c r="H733" s="121"/>
      <c r="I733" s="121"/>
      <c r="J733" s="121"/>
      <c r="K733" s="121"/>
      <c r="L733" s="121"/>
      <c r="M733" s="121"/>
      <c r="N733" s="121"/>
      <c r="O733" s="121"/>
      <c r="P733" s="121"/>
      <c r="Q733" s="121"/>
      <c r="R733" s="121"/>
      <c r="S733" s="121"/>
      <c r="T733" s="121"/>
      <c r="U733" s="121"/>
      <c r="V733" s="121"/>
      <c r="W733" s="121"/>
      <c r="X733" s="121"/>
      <c r="Y733" s="121"/>
      <c r="Z733" s="121"/>
    </row>
    <row r="734" customFormat="false" ht="15.75" hidden="false" customHeight="false" outlineLevel="0" collapsed="false">
      <c r="A734" s="121"/>
      <c r="B734" s="121"/>
      <c r="C734" s="121"/>
      <c r="D734" s="121"/>
      <c r="E734" s="121"/>
      <c r="F734" s="121"/>
      <c r="G734" s="121"/>
      <c r="H734" s="121"/>
      <c r="I734" s="121"/>
      <c r="J734" s="121"/>
      <c r="K734" s="121"/>
      <c r="L734" s="121"/>
      <c r="M734" s="121"/>
      <c r="N734" s="121"/>
      <c r="O734" s="121"/>
      <c r="P734" s="121"/>
      <c r="Q734" s="121"/>
      <c r="R734" s="121"/>
      <c r="S734" s="121"/>
      <c r="T734" s="121"/>
      <c r="U734" s="121"/>
      <c r="V734" s="121"/>
      <c r="W734" s="121"/>
      <c r="X734" s="121"/>
      <c r="Y734" s="121"/>
      <c r="Z734" s="121"/>
    </row>
    <row r="735" customFormat="false" ht="15.75" hidden="false" customHeight="false" outlineLevel="0" collapsed="false">
      <c r="A735" s="121"/>
      <c r="B735" s="121"/>
      <c r="C735" s="121"/>
      <c r="D735" s="121"/>
      <c r="E735" s="121"/>
      <c r="F735" s="121"/>
      <c r="G735" s="121"/>
      <c r="H735" s="121"/>
      <c r="I735" s="121"/>
      <c r="J735" s="121"/>
      <c r="K735" s="121"/>
      <c r="L735" s="121"/>
      <c r="M735" s="121"/>
      <c r="N735" s="121"/>
      <c r="O735" s="121"/>
      <c r="P735" s="121"/>
      <c r="Q735" s="121"/>
      <c r="R735" s="121"/>
      <c r="S735" s="121"/>
      <c r="T735" s="121"/>
      <c r="U735" s="121"/>
      <c r="V735" s="121"/>
      <c r="W735" s="121"/>
      <c r="X735" s="121"/>
      <c r="Y735" s="121"/>
      <c r="Z735" s="121"/>
    </row>
    <row r="736" customFormat="false" ht="15.75" hidden="false" customHeight="false" outlineLevel="0" collapsed="false">
      <c r="A736" s="121"/>
      <c r="B736" s="121"/>
      <c r="C736" s="121"/>
      <c r="D736" s="121"/>
      <c r="E736" s="121"/>
      <c r="F736" s="121"/>
      <c r="G736" s="121"/>
      <c r="H736" s="121"/>
      <c r="I736" s="121"/>
      <c r="J736" s="121"/>
      <c r="K736" s="121"/>
      <c r="L736" s="121"/>
      <c r="M736" s="121"/>
      <c r="N736" s="121"/>
      <c r="O736" s="121"/>
      <c r="P736" s="121"/>
      <c r="Q736" s="121"/>
      <c r="R736" s="121"/>
      <c r="S736" s="121"/>
      <c r="T736" s="121"/>
      <c r="U736" s="121"/>
      <c r="V736" s="121"/>
      <c r="W736" s="121"/>
      <c r="X736" s="121"/>
      <c r="Y736" s="121"/>
      <c r="Z736" s="121"/>
    </row>
    <row r="737" customFormat="false" ht="15.75" hidden="false" customHeight="false" outlineLevel="0" collapsed="false">
      <c r="A737" s="121"/>
      <c r="B737" s="121"/>
      <c r="C737" s="121"/>
      <c r="D737" s="121"/>
      <c r="E737" s="121"/>
      <c r="F737" s="121"/>
      <c r="G737" s="121"/>
      <c r="H737" s="121"/>
      <c r="I737" s="121"/>
      <c r="J737" s="121"/>
      <c r="K737" s="121"/>
      <c r="L737" s="121"/>
      <c r="M737" s="121"/>
      <c r="N737" s="121"/>
      <c r="O737" s="121"/>
      <c r="P737" s="121"/>
      <c r="Q737" s="121"/>
      <c r="R737" s="121"/>
      <c r="S737" s="121"/>
      <c r="T737" s="121"/>
      <c r="U737" s="121"/>
      <c r="V737" s="121"/>
      <c r="W737" s="121"/>
      <c r="X737" s="121"/>
      <c r="Y737" s="121"/>
      <c r="Z737" s="121"/>
    </row>
    <row r="738" customFormat="false" ht="15.75" hidden="false" customHeight="false" outlineLevel="0" collapsed="false">
      <c r="A738" s="121"/>
      <c r="B738" s="121"/>
      <c r="C738" s="121"/>
      <c r="D738" s="121"/>
      <c r="E738" s="121"/>
      <c r="F738" s="121"/>
      <c r="G738" s="121"/>
      <c r="H738" s="121"/>
      <c r="I738" s="121"/>
      <c r="J738" s="121"/>
      <c r="K738" s="121"/>
      <c r="L738" s="121"/>
      <c r="M738" s="121"/>
      <c r="N738" s="121"/>
      <c r="O738" s="121"/>
      <c r="P738" s="121"/>
      <c r="Q738" s="121"/>
      <c r="R738" s="121"/>
      <c r="S738" s="121"/>
      <c r="T738" s="121"/>
      <c r="U738" s="121"/>
      <c r="V738" s="121"/>
      <c r="W738" s="121"/>
      <c r="X738" s="121"/>
      <c r="Y738" s="121"/>
      <c r="Z738" s="121"/>
    </row>
    <row r="739" customFormat="false" ht="15.75" hidden="false" customHeight="false" outlineLevel="0" collapsed="false">
      <c r="A739" s="121"/>
      <c r="B739" s="121"/>
      <c r="C739" s="121"/>
      <c r="D739" s="121"/>
      <c r="E739" s="121"/>
      <c r="F739" s="121"/>
      <c r="G739" s="121"/>
      <c r="H739" s="121"/>
      <c r="I739" s="121"/>
      <c r="J739" s="121"/>
      <c r="K739" s="121"/>
      <c r="L739" s="121"/>
      <c r="M739" s="121"/>
      <c r="N739" s="121"/>
      <c r="O739" s="121"/>
      <c r="P739" s="121"/>
      <c r="Q739" s="121"/>
      <c r="R739" s="121"/>
      <c r="S739" s="121"/>
      <c r="T739" s="121"/>
      <c r="U739" s="121"/>
      <c r="V739" s="121"/>
      <c r="W739" s="121"/>
      <c r="X739" s="121"/>
      <c r="Y739" s="121"/>
      <c r="Z739" s="121"/>
    </row>
    <row r="740" customFormat="false" ht="15.75" hidden="false" customHeight="false" outlineLevel="0" collapsed="false">
      <c r="A740" s="121"/>
      <c r="B740" s="121"/>
      <c r="C740" s="121"/>
      <c r="D740" s="121"/>
      <c r="E740" s="121"/>
      <c r="F740" s="121"/>
      <c r="G740" s="121"/>
      <c r="H740" s="121"/>
      <c r="I740" s="121"/>
      <c r="J740" s="121"/>
      <c r="K740" s="121"/>
      <c r="L740" s="121"/>
      <c r="M740" s="121"/>
      <c r="N740" s="121"/>
      <c r="O740" s="121"/>
      <c r="P740" s="121"/>
      <c r="Q740" s="121"/>
      <c r="R740" s="121"/>
      <c r="S740" s="121"/>
      <c r="T740" s="121"/>
      <c r="U740" s="121"/>
      <c r="V740" s="121"/>
      <c r="W740" s="121"/>
      <c r="X740" s="121"/>
      <c r="Y740" s="121"/>
      <c r="Z740" s="121"/>
    </row>
    <row r="741" customFormat="false" ht="15.75" hidden="false" customHeight="false" outlineLevel="0" collapsed="false">
      <c r="A741" s="121"/>
      <c r="B741" s="121"/>
      <c r="C741" s="121"/>
      <c r="D741" s="121"/>
      <c r="E741" s="121"/>
      <c r="F741" s="121"/>
      <c r="G741" s="121"/>
      <c r="H741" s="121"/>
      <c r="I741" s="121"/>
      <c r="J741" s="121"/>
      <c r="K741" s="121"/>
      <c r="L741" s="121"/>
      <c r="M741" s="121"/>
      <c r="N741" s="121"/>
      <c r="O741" s="121"/>
      <c r="P741" s="121"/>
      <c r="Q741" s="121"/>
      <c r="R741" s="121"/>
      <c r="S741" s="121"/>
      <c r="T741" s="121"/>
      <c r="U741" s="121"/>
      <c r="V741" s="121"/>
      <c r="W741" s="121"/>
      <c r="X741" s="121"/>
      <c r="Y741" s="121"/>
      <c r="Z741" s="121"/>
    </row>
    <row r="742" customFormat="false" ht="15.75" hidden="false" customHeight="false" outlineLevel="0" collapsed="false">
      <c r="A742" s="121"/>
      <c r="B742" s="121"/>
      <c r="C742" s="121"/>
      <c r="D742" s="121"/>
      <c r="E742" s="121"/>
      <c r="F742" s="121"/>
      <c r="G742" s="121"/>
      <c r="H742" s="121"/>
      <c r="I742" s="121"/>
      <c r="J742" s="121"/>
      <c r="K742" s="121"/>
      <c r="L742" s="121"/>
      <c r="M742" s="121"/>
      <c r="N742" s="121"/>
      <c r="O742" s="121"/>
      <c r="P742" s="121"/>
      <c r="Q742" s="121"/>
      <c r="R742" s="121"/>
      <c r="S742" s="121"/>
      <c r="T742" s="121"/>
      <c r="U742" s="121"/>
      <c r="V742" s="121"/>
      <c r="W742" s="121"/>
      <c r="X742" s="121"/>
      <c r="Y742" s="121"/>
      <c r="Z742" s="121"/>
    </row>
    <row r="743" customFormat="false" ht="15.75" hidden="false" customHeight="false" outlineLevel="0" collapsed="false">
      <c r="A743" s="121"/>
      <c r="B743" s="121"/>
      <c r="C743" s="121"/>
      <c r="D743" s="121"/>
      <c r="E743" s="121"/>
      <c r="F743" s="121"/>
      <c r="G743" s="121"/>
      <c r="H743" s="121"/>
      <c r="I743" s="121"/>
      <c r="J743" s="121"/>
      <c r="K743" s="121"/>
      <c r="L743" s="121"/>
      <c r="M743" s="121"/>
      <c r="N743" s="121"/>
      <c r="O743" s="121"/>
      <c r="P743" s="121"/>
      <c r="Q743" s="121"/>
      <c r="R743" s="121"/>
      <c r="S743" s="121"/>
      <c r="T743" s="121"/>
      <c r="U743" s="121"/>
      <c r="V743" s="121"/>
      <c r="W743" s="121"/>
      <c r="X743" s="121"/>
      <c r="Y743" s="121"/>
      <c r="Z743" s="121"/>
    </row>
    <row r="744" customFormat="false" ht="15.75" hidden="false" customHeight="false" outlineLevel="0" collapsed="false">
      <c r="A744" s="121"/>
      <c r="B744" s="121"/>
      <c r="C744" s="121"/>
      <c r="D744" s="121"/>
      <c r="E744" s="121"/>
      <c r="F744" s="121"/>
      <c r="G744" s="121"/>
      <c r="H744" s="121"/>
      <c r="I744" s="121"/>
      <c r="J744" s="121"/>
      <c r="K744" s="121"/>
      <c r="L744" s="121"/>
      <c r="M744" s="121"/>
      <c r="N744" s="121"/>
      <c r="O744" s="121"/>
      <c r="P744" s="121"/>
      <c r="Q744" s="121"/>
      <c r="R744" s="121"/>
      <c r="S744" s="121"/>
      <c r="T744" s="121"/>
      <c r="U744" s="121"/>
      <c r="V744" s="121"/>
      <c r="W744" s="121"/>
      <c r="X744" s="121"/>
      <c r="Y744" s="121"/>
      <c r="Z744" s="121"/>
    </row>
    <row r="745" customFormat="false" ht="15.75" hidden="false" customHeight="false" outlineLevel="0" collapsed="false">
      <c r="A745" s="121"/>
      <c r="B745" s="121"/>
      <c r="C745" s="121"/>
      <c r="D745" s="121"/>
      <c r="E745" s="121"/>
      <c r="F745" s="121"/>
      <c r="G745" s="121"/>
      <c r="H745" s="121"/>
      <c r="I745" s="121"/>
      <c r="J745" s="121"/>
      <c r="K745" s="121"/>
      <c r="L745" s="121"/>
      <c r="M745" s="121"/>
      <c r="N745" s="121"/>
      <c r="O745" s="121"/>
      <c r="P745" s="121"/>
      <c r="Q745" s="121"/>
      <c r="R745" s="121"/>
      <c r="S745" s="121"/>
      <c r="T745" s="121"/>
      <c r="U745" s="121"/>
      <c r="V745" s="121"/>
      <c r="W745" s="121"/>
      <c r="X745" s="121"/>
      <c r="Y745" s="121"/>
      <c r="Z745" s="121"/>
    </row>
    <row r="746" customFormat="false" ht="15.75" hidden="false" customHeight="false" outlineLevel="0" collapsed="false">
      <c r="A746" s="121"/>
      <c r="B746" s="121"/>
      <c r="C746" s="121"/>
      <c r="D746" s="121"/>
      <c r="E746" s="121"/>
      <c r="F746" s="121"/>
      <c r="G746" s="121"/>
      <c r="H746" s="121"/>
      <c r="I746" s="121"/>
      <c r="J746" s="121"/>
      <c r="K746" s="121"/>
      <c r="L746" s="121"/>
      <c r="M746" s="121"/>
      <c r="N746" s="121"/>
      <c r="O746" s="121"/>
      <c r="P746" s="121"/>
      <c r="Q746" s="121"/>
      <c r="R746" s="121"/>
      <c r="S746" s="121"/>
      <c r="T746" s="121"/>
      <c r="U746" s="121"/>
      <c r="V746" s="121"/>
      <c r="W746" s="121"/>
      <c r="X746" s="121"/>
      <c r="Y746" s="121"/>
      <c r="Z746" s="121"/>
    </row>
    <row r="747" customFormat="false" ht="15.75" hidden="false" customHeight="false" outlineLevel="0" collapsed="false">
      <c r="A747" s="121"/>
      <c r="B747" s="121"/>
      <c r="C747" s="121"/>
      <c r="D747" s="121"/>
      <c r="E747" s="121"/>
      <c r="F747" s="121"/>
      <c r="G747" s="121"/>
      <c r="H747" s="121"/>
      <c r="I747" s="121"/>
      <c r="J747" s="121"/>
      <c r="K747" s="121"/>
      <c r="L747" s="121"/>
      <c r="M747" s="121"/>
      <c r="N747" s="121"/>
      <c r="O747" s="121"/>
      <c r="P747" s="121"/>
      <c r="Q747" s="121"/>
      <c r="R747" s="121"/>
      <c r="S747" s="121"/>
      <c r="T747" s="121"/>
      <c r="U747" s="121"/>
      <c r="V747" s="121"/>
      <c r="W747" s="121"/>
      <c r="X747" s="121"/>
      <c r="Y747" s="121"/>
      <c r="Z747" s="121"/>
    </row>
    <row r="748" customFormat="false" ht="15.75" hidden="false" customHeight="false" outlineLevel="0" collapsed="false">
      <c r="A748" s="121"/>
      <c r="B748" s="121"/>
      <c r="C748" s="121"/>
      <c r="D748" s="121"/>
      <c r="E748" s="121"/>
      <c r="F748" s="121"/>
      <c r="G748" s="121"/>
      <c r="H748" s="121"/>
      <c r="I748" s="121"/>
      <c r="J748" s="121"/>
      <c r="K748" s="121"/>
      <c r="L748" s="121"/>
      <c r="M748" s="121"/>
      <c r="N748" s="121"/>
      <c r="O748" s="121"/>
      <c r="P748" s="121"/>
      <c r="Q748" s="121"/>
      <c r="R748" s="121"/>
      <c r="S748" s="121"/>
      <c r="T748" s="121"/>
      <c r="U748" s="121"/>
      <c r="V748" s="121"/>
      <c r="W748" s="121"/>
      <c r="X748" s="121"/>
      <c r="Y748" s="121"/>
      <c r="Z748" s="121"/>
    </row>
    <row r="749" customFormat="false" ht="15.75" hidden="false" customHeight="false" outlineLevel="0" collapsed="false">
      <c r="A749" s="121"/>
      <c r="B749" s="121"/>
      <c r="C749" s="121"/>
      <c r="D749" s="121"/>
      <c r="E749" s="121"/>
      <c r="F749" s="121"/>
      <c r="G749" s="121"/>
      <c r="H749" s="121"/>
      <c r="I749" s="121"/>
      <c r="J749" s="121"/>
      <c r="K749" s="121"/>
      <c r="L749" s="121"/>
      <c r="M749" s="121"/>
      <c r="N749" s="121"/>
      <c r="O749" s="121"/>
      <c r="P749" s="121"/>
      <c r="Q749" s="121"/>
      <c r="R749" s="121"/>
      <c r="S749" s="121"/>
      <c r="T749" s="121"/>
      <c r="U749" s="121"/>
      <c r="V749" s="121"/>
      <c r="W749" s="121"/>
      <c r="X749" s="121"/>
      <c r="Y749" s="121"/>
      <c r="Z749" s="121"/>
    </row>
    <row r="750" customFormat="false" ht="15.75" hidden="false" customHeight="false" outlineLevel="0" collapsed="false">
      <c r="A750" s="121"/>
      <c r="B750" s="121"/>
      <c r="C750" s="121"/>
      <c r="D750" s="121"/>
      <c r="E750" s="121"/>
      <c r="F750" s="121"/>
      <c r="G750" s="121"/>
      <c r="H750" s="121"/>
      <c r="I750" s="121"/>
      <c r="J750" s="121"/>
      <c r="K750" s="121"/>
      <c r="L750" s="121"/>
      <c r="M750" s="121"/>
      <c r="N750" s="121"/>
      <c r="O750" s="121"/>
      <c r="P750" s="121"/>
      <c r="Q750" s="121"/>
      <c r="R750" s="121"/>
      <c r="S750" s="121"/>
      <c r="T750" s="121"/>
      <c r="U750" s="121"/>
      <c r="V750" s="121"/>
      <c r="W750" s="121"/>
      <c r="X750" s="121"/>
      <c r="Y750" s="121"/>
      <c r="Z750" s="121"/>
    </row>
    <row r="751" customFormat="false" ht="15.75" hidden="false" customHeight="false" outlineLevel="0" collapsed="false">
      <c r="A751" s="121"/>
      <c r="B751" s="121"/>
      <c r="C751" s="121"/>
      <c r="D751" s="121"/>
      <c r="E751" s="121"/>
      <c r="F751" s="121"/>
      <c r="G751" s="121"/>
      <c r="H751" s="121"/>
      <c r="I751" s="121"/>
      <c r="J751" s="121"/>
      <c r="K751" s="121"/>
      <c r="L751" s="121"/>
      <c r="M751" s="121"/>
      <c r="N751" s="121"/>
      <c r="O751" s="121"/>
      <c r="P751" s="121"/>
      <c r="Q751" s="121"/>
      <c r="R751" s="121"/>
      <c r="S751" s="121"/>
      <c r="T751" s="121"/>
      <c r="U751" s="121"/>
      <c r="V751" s="121"/>
      <c r="W751" s="121"/>
      <c r="X751" s="121"/>
      <c r="Y751" s="121"/>
      <c r="Z751" s="121"/>
    </row>
    <row r="752" customFormat="false" ht="15.75" hidden="false" customHeight="false" outlineLevel="0" collapsed="false">
      <c r="A752" s="121"/>
      <c r="B752" s="121"/>
      <c r="C752" s="121"/>
      <c r="D752" s="121"/>
      <c r="E752" s="121"/>
      <c r="F752" s="121"/>
      <c r="G752" s="121"/>
      <c r="H752" s="121"/>
      <c r="I752" s="121"/>
      <c r="J752" s="121"/>
      <c r="K752" s="121"/>
      <c r="L752" s="121"/>
      <c r="M752" s="121"/>
      <c r="N752" s="121"/>
      <c r="O752" s="121"/>
      <c r="P752" s="121"/>
      <c r="Q752" s="121"/>
      <c r="R752" s="121"/>
      <c r="S752" s="121"/>
      <c r="T752" s="121"/>
      <c r="U752" s="121"/>
      <c r="V752" s="121"/>
      <c r="W752" s="121"/>
      <c r="X752" s="121"/>
      <c r="Y752" s="121"/>
      <c r="Z752" s="121"/>
    </row>
    <row r="753" customFormat="false" ht="15.75" hidden="false" customHeight="false" outlineLevel="0" collapsed="false">
      <c r="A753" s="121"/>
      <c r="B753" s="121"/>
      <c r="C753" s="121"/>
      <c r="D753" s="121"/>
      <c r="E753" s="121"/>
      <c r="F753" s="121"/>
      <c r="G753" s="121"/>
      <c r="H753" s="121"/>
      <c r="I753" s="121"/>
      <c r="J753" s="121"/>
      <c r="K753" s="121"/>
      <c r="L753" s="121"/>
      <c r="M753" s="121"/>
      <c r="N753" s="121"/>
      <c r="O753" s="121"/>
      <c r="P753" s="121"/>
      <c r="Q753" s="121"/>
      <c r="R753" s="121"/>
      <c r="S753" s="121"/>
      <c r="T753" s="121"/>
      <c r="U753" s="121"/>
      <c r="V753" s="121"/>
      <c r="W753" s="121"/>
      <c r="X753" s="121"/>
      <c r="Y753" s="121"/>
      <c r="Z753" s="121"/>
    </row>
    <row r="754" customFormat="false" ht="15.75" hidden="false" customHeight="false" outlineLevel="0" collapsed="false">
      <c r="A754" s="121"/>
      <c r="B754" s="121"/>
      <c r="C754" s="121"/>
      <c r="D754" s="121"/>
      <c r="E754" s="121"/>
      <c r="F754" s="121"/>
      <c r="G754" s="121"/>
      <c r="H754" s="121"/>
      <c r="I754" s="121"/>
      <c r="J754" s="121"/>
      <c r="K754" s="121"/>
      <c r="L754" s="121"/>
      <c r="M754" s="121"/>
      <c r="N754" s="121"/>
      <c r="O754" s="121"/>
      <c r="P754" s="121"/>
      <c r="Q754" s="121"/>
      <c r="R754" s="121"/>
      <c r="S754" s="121"/>
      <c r="T754" s="121"/>
      <c r="U754" s="121"/>
      <c r="V754" s="121"/>
      <c r="W754" s="121"/>
      <c r="X754" s="121"/>
      <c r="Y754" s="121"/>
      <c r="Z754" s="121"/>
    </row>
    <row r="755" customFormat="false" ht="15.75" hidden="false" customHeight="false" outlineLevel="0" collapsed="false">
      <c r="A755" s="121"/>
      <c r="B755" s="121"/>
      <c r="C755" s="121"/>
      <c r="D755" s="121"/>
      <c r="E755" s="121"/>
      <c r="F755" s="121"/>
      <c r="G755" s="121"/>
      <c r="H755" s="121"/>
      <c r="I755" s="121"/>
      <c r="J755" s="121"/>
      <c r="K755" s="121"/>
      <c r="L755" s="121"/>
      <c r="M755" s="121"/>
      <c r="N755" s="121"/>
      <c r="O755" s="121"/>
      <c r="P755" s="121"/>
      <c r="Q755" s="121"/>
      <c r="R755" s="121"/>
      <c r="S755" s="121"/>
      <c r="T755" s="121"/>
      <c r="U755" s="121"/>
      <c r="V755" s="121"/>
      <c r="W755" s="121"/>
      <c r="X755" s="121"/>
      <c r="Y755" s="121"/>
      <c r="Z755" s="121"/>
    </row>
    <row r="756" customFormat="false" ht="15.75" hidden="false" customHeight="false" outlineLevel="0" collapsed="false">
      <c r="A756" s="121"/>
      <c r="B756" s="121"/>
      <c r="C756" s="121"/>
      <c r="D756" s="121"/>
      <c r="E756" s="121"/>
      <c r="F756" s="121"/>
      <c r="G756" s="121"/>
      <c r="H756" s="121"/>
      <c r="I756" s="121"/>
      <c r="J756" s="121"/>
      <c r="K756" s="121"/>
      <c r="L756" s="121"/>
      <c r="M756" s="121"/>
      <c r="N756" s="121"/>
      <c r="O756" s="121"/>
      <c r="P756" s="121"/>
      <c r="Q756" s="121"/>
      <c r="R756" s="121"/>
      <c r="S756" s="121"/>
      <c r="T756" s="121"/>
      <c r="U756" s="121"/>
      <c r="V756" s="121"/>
      <c r="W756" s="121"/>
      <c r="X756" s="121"/>
      <c r="Y756" s="121"/>
      <c r="Z756" s="121"/>
    </row>
    <row r="757" customFormat="false" ht="15.75" hidden="false" customHeight="false" outlineLevel="0" collapsed="false">
      <c r="A757" s="121"/>
      <c r="B757" s="121"/>
      <c r="C757" s="121"/>
      <c r="D757" s="121"/>
      <c r="E757" s="121"/>
      <c r="F757" s="121"/>
      <c r="G757" s="121"/>
      <c r="H757" s="121"/>
      <c r="I757" s="121"/>
      <c r="J757" s="121"/>
      <c r="K757" s="121"/>
      <c r="L757" s="121"/>
      <c r="M757" s="121"/>
      <c r="N757" s="121"/>
      <c r="O757" s="121"/>
      <c r="P757" s="121"/>
      <c r="Q757" s="121"/>
      <c r="R757" s="121"/>
      <c r="S757" s="121"/>
      <c r="T757" s="121"/>
      <c r="U757" s="121"/>
      <c r="V757" s="121"/>
      <c r="W757" s="121"/>
      <c r="X757" s="121"/>
      <c r="Y757" s="121"/>
      <c r="Z757" s="121"/>
    </row>
    <row r="758" customFormat="false" ht="15.75" hidden="false" customHeight="false" outlineLevel="0" collapsed="false">
      <c r="A758" s="121"/>
      <c r="B758" s="121"/>
      <c r="C758" s="121"/>
      <c r="D758" s="121"/>
      <c r="E758" s="121"/>
      <c r="F758" s="121"/>
      <c r="G758" s="121"/>
      <c r="H758" s="121"/>
      <c r="I758" s="121"/>
      <c r="J758" s="121"/>
      <c r="K758" s="121"/>
      <c r="L758" s="121"/>
      <c r="M758" s="121"/>
      <c r="N758" s="121"/>
      <c r="O758" s="121"/>
      <c r="P758" s="121"/>
      <c r="Q758" s="121"/>
      <c r="R758" s="121"/>
      <c r="S758" s="121"/>
      <c r="T758" s="121"/>
      <c r="U758" s="121"/>
      <c r="V758" s="121"/>
      <c r="W758" s="121"/>
      <c r="X758" s="121"/>
      <c r="Y758" s="121"/>
      <c r="Z758" s="121"/>
    </row>
    <row r="759" customFormat="false" ht="15.75" hidden="false" customHeight="false" outlineLevel="0" collapsed="false">
      <c r="A759" s="121"/>
      <c r="B759" s="121"/>
      <c r="C759" s="121"/>
      <c r="D759" s="121"/>
      <c r="E759" s="121"/>
      <c r="F759" s="121"/>
      <c r="G759" s="121"/>
      <c r="H759" s="121"/>
      <c r="I759" s="121"/>
      <c r="J759" s="121"/>
      <c r="K759" s="121"/>
      <c r="L759" s="121"/>
      <c r="M759" s="121"/>
      <c r="N759" s="121"/>
      <c r="O759" s="121"/>
      <c r="P759" s="121"/>
      <c r="Q759" s="121"/>
      <c r="R759" s="121"/>
      <c r="S759" s="121"/>
      <c r="T759" s="121"/>
      <c r="U759" s="121"/>
      <c r="V759" s="121"/>
      <c r="W759" s="121"/>
      <c r="X759" s="121"/>
      <c r="Y759" s="121"/>
      <c r="Z759" s="121"/>
    </row>
    <row r="760" customFormat="false" ht="15.75" hidden="false" customHeight="false" outlineLevel="0" collapsed="false">
      <c r="A760" s="121"/>
      <c r="B760" s="121"/>
      <c r="C760" s="121"/>
      <c r="D760" s="121"/>
      <c r="E760" s="121"/>
      <c r="F760" s="121"/>
      <c r="G760" s="121"/>
      <c r="H760" s="121"/>
      <c r="I760" s="121"/>
      <c r="J760" s="121"/>
      <c r="K760" s="121"/>
      <c r="L760" s="121"/>
      <c r="M760" s="121"/>
      <c r="N760" s="121"/>
      <c r="O760" s="121"/>
      <c r="P760" s="121"/>
      <c r="Q760" s="121"/>
      <c r="R760" s="121"/>
      <c r="S760" s="121"/>
      <c r="T760" s="121"/>
      <c r="U760" s="121"/>
      <c r="V760" s="121"/>
      <c r="W760" s="121"/>
      <c r="X760" s="121"/>
      <c r="Y760" s="121"/>
      <c r="Z760" s="121"/>
    </row>
    <row r="761" customFormat="false" ht="15.75" hidden="false" customHeight="false" outlineLevel="0" collapsed="false">
      <c r="A761" s="121"/>
      <c r="B761" s="121"/>
      <c r="C761" s="121"/>
      <c r="D761" s="121"/>
      <c r="E761" s="121"/>
      <c r="F761" s="121"/>
      <c r="G761" s="121"/>
      <c r="H761" s="121"/>
      <c r="I761" s="121"/>
      <c r="J761" s="121"/>
      <c r="K761" s="121"/>
      <c r="L761" s="121"/>
      <c r="M761" s="121"/>
      <c r="N761" s="121"/>
      <c r="O761" s="121"/>
      <c r="P761" s="121"/>
      <c r="Q761" s="121"/>
      <c r="R761" s="121"/>
      <c r="S761" s="121"/>
      <c r="T761" s="121"/>
      <c r="U761" s="121"/>
      <c r="V761" s="121"/>
      <c r="W761" s="121"/>
      <c r="X761" s="121"/>
      <c r="Y761" s="121"/>
      <c r="Z761" s="121"/>
    </row>
    <row r="762" customFormat="false" ht="15.75" hidden="false" customHeight="false" outlineLevel="0" collapsed="false">
      <c r="A762" s="121"/>
      <c r="B762" s="121"/>
      <c r="C762" s="121"/>
      <c r="D762" s="121"/>
      <c r="E762" s="121"/>
      <c r="F762" s="121"/>
      <c r="G762" s="121"/>
      <c r="H762" s="121"/>
      <c r="I762" s="121"/>
      <c r="J762" s="121"/>
      <c r="K762" s="121"/>
      <c r="L762" s="121"/>
      <c r="M762" s="121"/>
      <c r="N762" s="121"/>
      <c r="O762" s="121"/>
      <c r="P762" s="121"/>
      <c r="Q762" s="121"/>
      <c r="R762" s="121"/>
      <c r="S762" s="121"/>
      <c r="T762" s="121"/>
      <c r="U762" s="121"/>
      <c r="V762" s="121"/>
      <c r="W762" s="121"/>
      <c r="X762" s="121"/>
      <c r="Y762" s="121"/>
      <c r="Z762" s="121"/>
    </row>
    <row r="763" customFormat="false" ht="15.75" hidden="false" customHeight="false" outlineLevel="0" collapsed="false">
      <c r="A763" s="121"/>
      <c r="B763" s="121"/>
      <c r="C763" s="121"/>
      <c r="D763" s="121"/>
      <c r="E763" s="121"/>
      <c r="F763" s="121"/>
      <c r="G763" s="121"/>
      <c r="H763" s="121"/>
      <c r="I763" s="121"/>
      <c r="J763" s="121"/>
      <c r="K763" s="121"/>
      <c r="L763" s="121"/>
      <c r="M763" s="121"/>
      <c r="N763" s="121"/>
      <c r="O763" s="121"/>
      <c r="P763" s="121"/>
      <c r="Q763" s="121"/>
      <c r="R763" s="121"/>
      <c r="S763" s="121"/>
      <c r="T763" s="121"/>
      <c r="U763" s="121"/>
      <c r="V763" s="121"/>
      <c r="W763" s="121"/>
      <c r="X763" s="121"/>
      <c r="Y763" s="121"/>
      <c r="Z763" s="121"/>
    </row>
    <row r="764" customFormat="false" ht="15.75" hidden="false" customHeight="false" outlineLevel="0" collapsed="false">
      <c r="A764" s="121"/>
      <c r="B764" s="121"/>
      <c r="C764" s="121"/>
      <c r="D764" s="121"/>
      <c r="E764" s="121"/>
      <c r="F764" s="121"/>
      <c r="G764" s="121"/>
      <c r="H764" s="121"/>
      <c r="I764" s="121"/>
      <c r="J764" s="121"/>
      <c r="K764" s="121"/>
      <c r="L764" s="121"/>
      <c r="M764" s="121"/>
      <c r="N764" s="121"/>
      <c r="O764" s="121"/>
      <c r="P764" s="121"/>
      <c r="Q764" s="121"/>
      <c r="R764" s="121"/>
      <c r="S764" s="121"/>
      <c r="T764" s="121"/>
      <c r="U764" s="121"/>
      <c r="V764" s="121"/>
      <c r="W764" s="121"/>
      <c r="X764" s="121"/>
      <c r="Y764" s="121"/>
      <c r="Z764" s="121"/>
    </row>
    <row r="765" customFormat="false" ht="15.75" hidden="false" customHeight="false" outlineLevel="0" collapsed="false">
      <c r="A765" s="121"/>
      <c r="B765" s="121"/>
      <c r="C765" s="121"/>
      <c r="D765" s="121"/>
      <c r="E765" s="121"/>
      <c r="F765" s="121"/>
      <c r="G765" s="121"/>
      <c r="H765" s="121"/>
      <c r="I765" s="121"/>
      <c r="J765" s="121"/>
      <c r="K765" s="121"/>
      <c r="L765" s="121"/>
      <c r="M765" s="121"/>
      <c r="N765" s="121"/>
      <c r="O765" s="121"/>
      <c r="P765" s="121"/>
      <c r="Q765" s="121"/>
      <c r="R765" s="121"/>
      <c r="S765" s="121"/>
      <c r="T765" s="121"/>
      <c r="U765" s="121"/>
      <c r="V765" s="121"/>
      <c r="W765" s="121"/>
      <c r="X765" s="121"/>
      <c r="Y765" s="121"/>
      <c r="Z765" s="121"/>
    </row>
    <row r="766" customFormat="false" ht="15.75" hidden="false" customHeight="false" outlineLevel="0" collapsed="false">
      <c r="A766" s="121"/>
      <c r="B766" s="121"/>
      <c r="C766" s="121"/>
      <c r="D766" s="121"/>
      <c r="E766" s="121"/>
      <c r="F766" s="121"/>
      <c r="G766" s="121"/>
      <c r="H766" s="121"/>
      <c r="I766" s="121"/>
      <c r="J766" s="121"/>
      <c r="K766" s="121"/>
      <c r="L766" s="121"/>
      <c r="M766" s="121"/>
      <c r="N766" s="121"/>
      <c r="O766" s="121"/>
      <c r="P766" s="121"/>
      <c r="Q766" s="121"/>
      <c r="R766" s="121"/>
      <c r="S766" s="121"/>
      <c r="T766" s="121"/>
      <c r="U766" s="121"/>
      <c r="V766" s="121"/>
      <c r="W766" s="121"/>
      <c r="X766" s="121"/>
      <c r="Y766" s="121"/>
      <c r="Z766" s="121"/>
    </row>
    <row r="767" customFormat="false" ht="15.75" hidden="false" customHeight="false" outlineLevel="0" collapsed="false">
      <c r="A767" s="121"/>
      <c r="B767" s="121"/>
      <c r="C767" s="121"/>
      <c r="D767" s="121"/>
      <c r="E767" s="121"/>
      <c r="F767" s="121"/>
      <c r="G767" s="121"/>
      <c r="H767" s="121"/>
      <c r="I767" s="121"/>
      <c r="J767" s="121"/>
      <c r="K767" s="121"/>
      <c r="L767" s="121"/>
      <c r="M767" s="121"/>
      <c r="N767" s="121"/>
      <c r="O767" s="121"/>
      <c r="P767" s="121"/>
      <c r="Q767" s="121"/>
      <c r="R767" s="121"/>
      <c r="S767" s="121"/>
      <c r="T767" s="121"/>
      <c r="U767" s="121"/>
      <c r="V767" s="121"/>
      <c r="W767" s="121"/>
      <c r="X767" s="121"/>
      <c r="Y767" s="121"/>
      <c r="Z767" s="121"/>
    </row>
    <row r="768" customFormat="false" ht="15.75" hidden="false" customHeight="false" outlineLevel="0" collapsed="false">
      <c r="A768" s="121"/>
      <c r="B768" s="121"/>
      <c r="C768" s="121"/>
      <c r="D768" s="121"/>
      <c r="E768" s="121"/>
      <c r="F768" s="121"/>
      <c r="G768" s="121"/>
      <c r="H768" s="121"/>
      <c r="I768" s="121"/>
      <c r="J768" s="121"/>
      <c r="K768" s="121"/>
      <c r="L768" s="121"/>
      <c r="M768" s="121"/>
      <c r="N768" s="121"/>
      <c r="O768" s="121"/>
      <c r="P768" s="121"/>
      <c r="Q768" s="121"/>
      <c r="R768" s="121"/>
      <c r="S768" s="121"/>
      <c r="T768" s="121"/>
      <c r="U768" s="121"/>
      <c r="V768" s="121"/>
      <c r="W768" s="121"/>
      <c r="X768" s="121"/>
      <c r="Y768" s="121"/>
      <c r="Z768" s="121"/>
    </row>
    <row r="769" customFormat="false" ht="15.75" hidden="false" customHeight="false" outlineLevel="0" collapsed="false">
      <c r="A769" s="121"/>
      <c r="B769" s="121"/>
      <c r="C769" s="121"/>
      <c r="D769" s="121"/>
      <c r="E769" s="121"/>
      <c r="F769" s="121"/>
      <c r="G769" s="121"/>
      <c r="H769" s="121"/>
      <c r="I769" s="121"/>
      <c r="J769" s="121"/>
      <c r="K769" s="121"/>
      <c r="L769" s="121"/>
      <c r="M769" s="121"/>
      <c r="N769" s="121"/>
      <c r="O769" s="121"/>
      <c r="P769" s="121"/>
      <c r="Q769" s="121"/>
      <c r="R769" s="121"/>
      <c r="S769" s="121"/>
      <c r="T769" s="121"/>
      <c r="U769" s="121"/>
      <c r="V769" s="121"/>
      <c r="W769" s="121"/>
      <c r="X769" s="121"/>
      <c r="Y769" s="121"/>
      <c r="Z769" s="121"/>
    </row>
    <row r="770" customFormat="false" ht="15.75" hidden="false" customHeight="false" outlineLevel="0" collapsed="false">
      <c r="A770" s="121"/>
      <c r="B770" s="121"/>
      <c r="C770" s="121"/>
      <c r="D770" s="121"/>
      <c r="E770" s="121"/>
      <c r="F770" s="121"/>
      <c r="G770" s="121"/>
      <c r="H770" s="121"/>
      <c r="I770" s="121"/>
      <c r="J770" s="121"/>
      <c r="K770" s="121"/>
      <c r="L770" s="121"/>
      <c r="M770" s="121"/>
      <c r="N770" s="121"/>
      <c r="O770" s="121"/>
      <c r="P770" s="121"/>
      <c r="Q770" s="121"/>
      <c r="R770" s="121"/>
      <c r="S770" s="121"/>
      <c r="T770" s="121"/>
      <c r="U770" s="121"/>
      <c r="V770" s="121"/>
      <c r="W770" s="121"/>
      <c r="X770" s="121"/>
      <c r="Y770" s="121"/>
      <c r="Z770" s="121"/>
    </row>
    <row r="771" customFormat="false" ht="15.75" hidden="false" customHeight="false" outlineLevel="0" collapsed="false">
      <c r="A771" s="121"/>
      <c r="B771" s="121"/>
      <c r="C771" s="121"/>
      <c r="D771" s="121"/>
      <c r="E771" s="121"/>
      <c r="F771" s="121"/>
      <c r="G771" s="121"/>
      <c r="H771" s="121"/>
      <c r="I771" s="121"/>
      <c r="J771" s="121"/>
      <c r="K771" s="121"/>
      <c r="L771" s="121"/>
      <c r="M771" s="121"/>
      <c r="N771" s="121"/>
      <c r="O771" s="121"/>
      <c r="P771" s="121"/>
      <c r="Q771" s="121"/>
      <c r="R771" s="121"/>
      <c r="S771" s="121"/>
      <c r="T771" s="121"/>
      <c r="U771" s="121"/>
      <c r="V771" s="121"/>
      <c r="W771" s="121"/>
      <c r="X771" s="121"/>
      <c r="Y771" s="121"/>
      <c r="Z771" s="121"/>
    </row>
    <row r="772" customFormat="false" ht="15.75" hidden="false" customHeight="false" outlineLevel="0" collapsed="false">
      <c r="A772" s="121"/>
      <c r="B772" s="121"/>
      <c r="C772" s="121"/>
      <c r="D772" s="121"/>
      <c r="E772" s="121"/>
      <c r="F772" s="121"/>
      <c r="G772" s="121"/>
      <c r="H772" s="121"/>
      <c r="I772" s="121"/>
      <c r="J772" s="121"/>
      <c r="K772" s="121"/>
      <c r="L772" s="121"/>
      <c r="M772" s="121"/>
      <c r="N772" s="121"/>
      <c r="O772" s="121"/>
      <c r="P772" s="121"/>
      <c r="Q772" s="121"/>
      <c r="R772" s="121"/>
      <c r="S772" s="121"/>
      <c r="T772" s="121"/>
      <c r="U772" s="121"/>
      <c r="V772" s="121"/>
      <c r="W772" s="121"/>
      <c r="X772" s="121"/>
      <c r="Y772" s="121"/>
      <c r="Z772" s="121"/>
    </row>
    <row r="773" customFormat="false" ht="15.75" hidden="false" customHeight="false" outlineLevel="0" collapsed="false">
      <c r="A773" s="121"/>
      <c r="B773" s="121"/>
      <c r="C773" s="121"/>
      <c r="D773" s="121"/>
      <c r="E773" s="121"/>
      <c r="F773" s="121"/>
      <c r="G773" s="121"/>
      <c r="H773" s="121"/>
      <c r="I773" s="121"/>
      <c r="J773" s="121"/>
      <c r="K773" s="121"/>
      <c r="L773" s="121"/>
      <c r="M773" s="121"/>
      <c r="N773" s="121"/>
      <c r="O773" s="121"/>
      <c r="P773" s="121"/>
      <c r="Q773" s="121"/>
      <c r="R773" s="121"/>
      <c r="S773" s="121"/>
      <c r="T773" s="121"/>
      <c r="U773" s="121"/>
      <c r="V773" s="121"/>
      <c r="W773" s="121"/>
      <c r="X773" s="121"/>
      <c r="Y773" s="121"/>
      <c r="Z773" s="121"/>
    </row>
    <row r="774" customFormat="false" ht="15.75" hidden="false" customHeight="false" outlineLevel="0" collapsed="false">
      <c r="A774" s="121"/>
      <c r="B774" s="121"/>
      <c r="C774" s="121"/>
      <c r="D774" s="121"/>
      <c r="E774" s="121"/>
      <c r="F774" s="121"/>
      <c r="G774" s="121"/>
      <c r="H774" s="121"/>
      <c r="I774" s="121"/>
      <c r="J774" s="121"/>
      <c r="K774" s="121"/>
      <c r="L774" s="121"/>
      <c r="M774" s="121"/>
      <c r="N774" s="121"/>
      <c r="O774" s="121"/>
      <c r="P774" s="121"/>
      <c r="Q774" s="121"/>
      <c r="R774" s="121"/>
      <c r="S774" s="121"/>
      <c r="T774" s="121"/>
      <c r="U774" s="121"/>
      <c r="V774" s="121"/>
      <c r="W774" s="121"/>
      <c r="X774" s="121"/>
      <c r="Y774" s="121"/>
      <c r="Z774" s="121"/>
    </row>
    <row r="775" customFormat="false" ht="15.75" hidden="false" customHeight="false" outlineLevel="0" collapsed="false">
      <c r="A775" s="121"/>
      <c r="B775" s="121"/>
      <c r="C775" s="121"/>
      <c r="D775" s="121"/>
      <c r="E775" s="121"/>
      <c r="F775" s="121"/>
      <c r="G775" s="121"/>
      <c r="H775" s="121"/>
      <c r="I775" s="121"/>
      <c r="J775" s="121"/>
      <c r="K775" s="121"/>
      <c r="L775" s="121"/>
      <c r="M775" s="121"/>
      <c r="N775" s="121"/>
      <c r="O775" s="121"/>
      <c r="P775" s="121"/>
      <c r="Q775" s="121"/>
      <c r="R775" s="121"/>
      <c r="S775" s="121"/>
      <c r="T775" s="121"/>
      <c r="U775" s="121"/>
      <c r="V775" s="121"/>
      <c r="W775" s="121"/>
      <c r="X775" s="121"/>
      <c r="Y775" s="121"/>
      <c r="Z775" s="121"/>
    </row>
    <row r="776" customFormat="false" ht="15.75" hidden="false" customHeight="false" outlineLevel="0" collapsed="false">
      <c r="A776" s="121"/>
      <c r="B776" s="121"/>
      <c r="C776" s="121"/>
      <c r="D776" s="121"/>
      <c r="E776" s="121"/>
      <c r="F776" s="121"/>
      <c r="G776" s="121"/>
      <c r="H776" s="121"/>
      <c r="I776" s="121"/>
      <c r="J776" s="121"/>
      <c r="K776" s="121"/>
      <c r="L776" s="121"/>
      <c r="M776" s="121"/>
      <c r="N776" s="121"/>
      <c r="O776" s="121"/>
      <c r="P776" s="121"/>
      <c r="Q776" s="121"/>
      <c r="R776" s="121"/>
      <c r="S776" s="121"/>
      <c r="T776" s="121"/>
      <c r="U776" s="121"/>
      <c r="V776" s="121"/>
      <c r="W776" s="121"/>
      <c r="X776" s="121"/>
      <c r="Y776" s="121"/>
      <c r="Z776" s="121"/>
    </row>
    <row r="777" customFormat="false" ht="15.75" hidden="false" customHeight="false" outlineLevel="0" collapsed="false">
      <c r="A777" s="121"/>
      <c r="B777" s="121"/>
      <c r="C777" s="121"/>
      <c r="D777" s="121"/>
      <c r="E777" s="121"/>
      <c r="F777" s="121"/>
      <c r="G777" s="121"/>
      <c r="H777" s="121"/>
      <c r="I777" s="121"/>
      <c r="J777" s="121"/>
      <c r="K777" s="121"/>
      <c r="L777" s="121"/>
      <c r="M777" s="121"/>
      <c r="N777" s="121"/>
      <c r="O777" s="121"/>
      <c r="P777" s="121"/>
      <c r="Q777" s="121"/>
      <c r="R777" s="121"/>
      <c r="S777" s="121"/>
      <c r="T777" s="121"/>
      <c r="U777" s="121"/>
      <c r="V777" s="121"/>
      <c r="W777" s="121"/>
      <c r="X777" s="121"/>
      <c r="Y777" s="121"/>
      <c r="Z777" s="121"/>
    </row>
    <row r="778" customFormat="false" ht="15.75" hidden="false" customHeight="false" outlineLevel="0" collapsed="false">
      <c r="A778" s="121"/>
      <c r="B778" s="121"/>
      <c r="C778" s="121"/>
      <c r="D778" s="121"/>
      <c r="E778" s="121"/>
      <c r="F778" s="121"/>
      <c r="G778" s="121"/>
      <c r="H778" s="121"/>
      <c r="I778" s="121"/>
      <c r="J778" s="121"/>
      <c r="K778" s="121"/>
      <c r="L778" s="121"/>
      <c r="M778" s="121"/>
      <c r="N778" s="121"/>
      <c r="O778" s="121"/>
      <c r="P778" s="121"/>
      <c r="Q778" s="121"/>
      <c r="R778" s="121"/>
      <c r="S778" s="121"/>
      <c r="T778" s="121"/>
      <c r="U778" s="121"/>
      <c r="V778" s="121"/>
      <c r="W778" s="121"/>
      <c r="X778" s="121"/>
      <c r="Y778" s="121"/>
      <c r="Z778" s="121"/>
    </row>
    <row r="779" customFormat="false" ht="15.75" hidden="false" customHeight="false" outlineLevel="0" collapsed="false">
      <c r="A779" s="121"/>
      <c r="B779" s="121"/>
      <c r="C779" s="121"/>
      <c r="D779" s="121"/>
      <c r="E779" s="121"/>
      <c r="F779" s="121"/>
      <c r="G779" s="121"/>
      <c r="H779" s="121"/>
      <c r="I779" s="121"/>
      <c r="J779" s="121"/>
      <c r="K779" s="121"/>
      <c r="L779" s="121"/>
      <c r="M779" s="121"/>
      <c r="N779" s="121"/>
      <c r="O779" s="121"/>
      <c r="P779" s="121"/>
      <c r="Q779" s="121"/>
      <c r="R779" s="121"/>
      <c r="S779" s="121"/>
      <c r="T779" s="121"/>
      <c r="U779" s="121"/>
      <c r="V779" s="121"/>
      <c r="W779" s="121"/>
      <c r="X779" s="121"/>
      <c r="Y779" s="121"/>
      <c r="Z779" s="121"/>
    </row>
    <row r="780" customFormat="false" ht="15.75" hidden="false" customHeight="false" outlineLevel="0" collapsed="false">
      <c r="A780" s="121"/>
      <c r="B780" s="121"/>
      <c r="C780" s="121"/>
      <c r="D780" s="121"/>
      <c r="E780" s="121"/>
      <c r="F780" s="121"/>
      <c r="G780" s="121"/>
      <c r="H780" s="121"/>
      <c r="I780" s="121"/>
      <c r="J780" s="121"/>
      <c r="K780" s="121"/>
      <c r="L780" s="121"/>
      <c r="M780" s="121"/>
      <c r="N780" s="121"/>
      <c r="O780" s="121"/>
      <c r="P780" s="121"/>
      <c r="Q780" s="121"/>
      <c r="R780" s="121"/>
      <c r="S780" s="121"/>
      <c r="T780" s="121"/>
      <c r="U780" s="121"/>
      <c r="V780" s="121"/>
      <c r="W780" s="121"/>
      <c r="X780" s="121"/>
      <c r="Y780" s="121"/>
      <c r="Z780" s="121"/>
    </row>
    <row r="781" customFormat="false" ht="15.75" hidden="false" customHeight="false" outlineLevel="0" collapsed="false">
      <c r="A781" s="121"/>
      <c r="B781" s="121"/>
      <c r="C781" s="121"/>
      <c r="D781" s="121"/>
      <c r="E781" s="121"/>
      <c r="F781" s="121"/>
      <c r="G781" s="121"/>
      <c r="H781" s="121"/>
      <c r="I781" s="121"/>
      <c r="J781" s="121"/>
      <c r="K781" s="121"/>
      <c r="L781" s="121"/>
      <c r="M781" s="121"/>
      <c r="N781" s="121"/>
      <c r="O781" s="121"/>
      <c r="P781" s="121"/>
      <c r="Q781" s="121"/>
      <c r="R781" s="121"/>
      <c r="S781" s="121"/>
      <c r="T781" s="121"/>
      <c r="U781" s="121"/>
      <c r="V781" s="121"/>
      <c r="W781" s="121"/>
      <c r="X781" s="121"/>
      <c r="Y781" s="121"/>
      <c r="Z781" s="121"/>
    </row>
    <row r="782" customFormat="false" ht="15.75" hidden="false" customHeight="false" outlineLevel="0" collapsed="false">
      <c r="A782" s="121"/>
      <c r="B782" s="121"/>
      <c r="C782" s="121"/>
      <c r="D782" s="121"/>
      <c r="E782" s="121"/>
      <c r="F782" s="121"/>
      <c r="G782" s="121"/>
      <c r="H782" s="121"/>
      <c r="I782" s="121"/>
      <c r="J782" s="121"/>
      <c r="K782" s="121"/>
      <c r="L782" s="121"/>
      <c r="M782" s="121"/>
      <c r="N782" s="121"/>
      <c r="O782" s="121"/>
      <c r="P782" s="121"/>
      <c r="Q782" s="121"/>
      <c r="R782" s="121"/>
      <c r="S782" s="121"/>
      <c r="T782" s="121"/>
      <c r="U782" s="121"/>
      <c r="V782" s="121"/>
      <c r="W782" s="121"/>
      <c r="X782" s="121"/>
      <c r="Y782" s="121"/>
      <c r="Z782" s="121"/>
    </row>
    <row r="783" customFormat="false" ht="15.75" hidden="false" customHeight="false" outlineLevel="0" collapsed="false">
      <c r="A783" s="121"/>
      <c r="B783" s="121"/>
      <c r="C783" s="121"/>
      <c r="D783" s="121"/>
      <c r="E783" s="121"/>
      <c r="F783" s="121"/>
      <c r="G783" s="121"/>
      <c r="H783" s="121"/>
      <c r="I783" s="121"/>
      <c r="J783" s="121"/>
      <c r="K783" s="121"/>
      <c r="L783" s="121"/>
      <c r="M783" s="121"/>
      <c r="N783" s="121"/>
      <c r="O783" s="121"/>
      <c r="P783" s="121"/>
      <c r="Q783" s="121"/>
      <c r="R783" s="121"/>
      <c r="S783" s="121"/>
      <c r="T783" s="121"/>
      <c r="U783" s="121"/>
      <c r="V783" s="121"/>
      <c r="W783" s="121"/>
      <c r="X783" s="121"/>
      <c r="Y783" s="121"/>
      <c r="Z783" s="121"/>
    </row>
    <row r="784" customFormat="false" ht="15.75" hidden="false" customHeight="false" outlineLevel="0" collapsed="false">
      <c r="A784" s="121"/>
      <c r="B784" s="121"/>
      <c r="C784" s="121"/>
      <c r="D784" s="121"/>
      <c r="E784" s="121"/>
      <c r="F784" s="121"/>
      <c r="G784" s="121"/>
      <c r="H784" s="121"/>
      <c r="I784" s="121"/>
      <c r="J784" s="121"/>
      <c r="K784" s="121"/>
      <c r="L784" s="121"/>
      <c r="M784" s="121"/>
      <c r="N784" s="121"/>
      <c r="O784" s="121"/>
      <c r="P784" s="121"/>
      <c r="Q784" s="121"/>
      <c r="R784" s="121"/>
      <c r="S784" s="121"/>
      <c r="T784" s="121"/>
      <c r="U784" s="121"/>
      <c r="V784" s="121"/>
      <c r="W784" s="121"/>
      <c r="X784" s="121"/>
      <c r="Y784" s="121"/>
      <c r="Z784" s="121"/>
    </row>
    <row r="785" customFormat="false" ht="15.75" hidden="false" customHeight="false" outlineLevel="0" collapsed="false">
      <c r="A785" s="121"/>
      <c r="B785" s="121"/>
      <c r="C785" s="121"/>
      <c r="D785" s="121"/>
      <c r="E785" s="121"/>
      <c r="F785" s="121"/>
      <c r="G785" s="121"/>
      <c r="H785" s="121"/>
      <c r="I785" s="121"/>
      <c r="J785" s="121"/>
      <c r="K785" s="121"/>
      <c r="L785" s="121"/>
      <c r="M785" s="121"/>
      <c r="N785" s="121"/>
      <c r="O785" s="121"/>
      <c r="P785" s="121"/>
      <c r="Q785" s="121"/>
      <c r="R785" s="121"/>
      <c r="S785" s="121"/>
      <c r="T785" s="121"/>
      <c r="U785" s="121"/>
      <c r="V785" s="121"/>
      <c r="W785" s="121"/>
      <c r="X785" s="121"/>
      <c r="Y785" s="121"/>
      <c r="Z785" s="121"/>
    </row>
    <row r="786" customFormat="false" ht="15.75" hidden="false" customHeight="false" outlineLevel="0" collapsed="false">
      <c r="A786" s="121"/>
      <c r="B786" s="121"/>
      <c r="C786" s="121"/>
      <c r="D786" s="121"/>
      <c r="E786" s="121"/>
      <c r="F786" s="121"/>
      <c r="G786" s="121"/>
      <c r="H786" s="121"/>
      <c r="I786" s="121"/>
      <c r="J786" s="121"/>
      <c r="K786" s="121"/>
      <c r="L786" s="121"/>
      <c r="M786" s="121"/>
      <c r="N786" s="121"/>
      <c r="O786" s="121"/>
      <c r="P786" s="121"/>
      <c r="Q786" s="121"/>
      <c r="R786" s="121"/>
      <c r="S786" s="121"/>
      <c r="T786" s="121"/>
      <c r="U786" s="121"/>
      <c r="V786" s="121"/>
      <c r="W786" s="121"/>
      <c r="X786" s="121"/>
      <c r="Y786" s="121"/>
      <c r="Z786" s="121"/>
    </row>
    <row r="787" customFormat="false" ht="15.75" hidden="false" customHeight="false" outlineLevel="0" collapsed="false">
      <c r="A787" s="121"/>
      <c r="B787" s="121"/>
      <c r="C787" s="121"/>
      <c r="D787" s="121"/>
      <c r="E787" s="121"/>
      <c r="F787" s="121"/>
      <c r="G787" s="121"/>
      <c r="H787" s="121"/>
      <c r="I787" s="121"/>
      <c r="J787" s="121"/>
      <c r="K787" s="121"/>
      <c r="L787" s="121"/>
      <c r="M787" s="121"/>
      <c r="N787" s="121"/>
      <c r="O787" s="121"/>
      <c r="P787" s="121"/>
      <c r="Q787" s="121"/>
      <c r="R787" s="121"/>
      <c r="S787" s="121"/>
      <c r="T787" s="121"/>
      <c r="U787" s="121"/>
      <c r="V787" s="121"/>
      <c r="W787" s="121"/>
      <c r="X787" s="121"/>
      <c r="Y787" s="121"/>
      <c r="Z787" s="121"/>
    </row>
    <row r="788" customFormat="false" ht="15.75" hidden="false" customHeight="false" outlineLevel="0" collapsed="false">
      <c r="A788" s="121"/>
      <c r="B788" s="121"/>
      <c r="C788" s="121"/>
      <c r="D788" s="121"/>
      <c r="E788" s="121"/>
      <c r="F788" s="121"/>
      <c r="G788" s="121"/>
      <c r="H788" s="121"/>
      <c r="I788" s="121"/>
      <c r="J788" s="121"/>
      <c r="K788" s="121"/>
      <c r="L788" s="121"/>
      <c r="M788" s="121"/>
      <c r="N788" s="121"/>
      <c r="O788" s="121"/>
      <c r="P788" s="121"/>
      <c r="Q788" s="121"/>
      <c r="R788" s="121"/>
      <c r="S788" s="121"/>
      <c r="T788" s="121"/>
      <c r="U788" s="121"/>
      <c r="V788" s="121"/>
      <c r="W788" s="121"/>
      <c r="X788" s="121"/>
      <c r="Y788" s="121"/>
      <c r="Z788" s="121"/>
    </row>
    <row r="789" customFormat="false" ht="15.75" hidden="false" customHeight="false" outlineLevel="0" collapsed="false">
      <c r="A789" s="121"/>
      <c r="B789" s="121"/>
      <c r="C789" s="121"/>
      <c r="D789" s="121"/>
      <c r="E789" s="121"/>
      <c r="F789" s="121"/>
      <c r="G789" s="121"/>
      <c r="H789" s="121"/>
      <c r="I789" s="121"/>
      <c r="J789" s="121"/>
      <c r="K789" s="121"/>
      <c r="L789" s="121"/>
      <c r="M789" s="121"/>
      <c r="N789" s="121"/>
      <c r="O789" s="121"/>
      <c r="P789" s="121"/>
      <c r="Q789" s="121"/>
      <c r="R789" s="121"/>
      <c r="S789" s="121"/>
      <c r="T789" s="121"/>
      <c r="U789" s="121"/>
      <c r="V789" s="121"/>
      <c r="W789" s="121"/>
      <c r="X789" s="121"/>
      <c r="Y789" s="121"/>
      <c r="Z789" s="121"/>
    </row>
    <row r="790" customFormat="false" ht="15.75" hidden="false" customHeight="false" outlineLevel="0" collapsed="false">
      <c r="A790" s="121"/>
      <c r="B790" s="121"/>
      <c r="C790" s="121"/>
      <c r="D790" s="121"/>
      <c r="E790" s="121"/>
      <c r="F790" s="121"/>
      <c r="G790" s="121"/>
      <c r="H790" s="121"/>
      <c r="I790" s="121"/>
      <c r="J790" s="121"/>
      <c r="K790" s="121"/>
      <c r="L790" s="121"/>
      <c r="M790" s="121"/>
      <c r="N790" s="121"/>
      <c r="O790" s="121"/>
      <c r="P790" s="121"/>
      <c r="Q790" s="121"/>
      <c r="R790" s="121"/>
      <c r="S790" s="121"/>
      <c r="T790" s="121"/>
      <c r="U790" s="121"/>
      <c r="V790" s="121"/>
      <c r="W790" s="121"/>
      <c r="X790" s="121"/>
      <c r="Y790" s="121"/>
      <c r="Z790" s="121"/>
    </row>
    <row r="791" customFormat="false" ht="15.75" hidden="false" customHeight="false" outlineLevel="0" collapsed="false">
      <c r="A791" s="121"/>
      <c r="B791" s="121"/>
      <c r="C791" s="121"/>
      <c r="D791" s="121"/>
      <c r="E791" s="121"/>
      <c r="F791" s="121"/>
      <c r="G791" s="121"/>
      <c r="H791" s="121"/>
      <c r="I791" s="121"/>
      <c r="J791" s="121"/>
      <c r="K791" s="121"/>
      <c r="L791" s="121"/>
      <c r="M791" s="121"/>
      <c r="N791" s="121"/>
      <c r="O791" s="121"/>
      <c r="P791" s="121"/>
      <c r="Q791" s="121"/>
      <c r="R791" s="121"/>
      <c r="S791" s="121"/>
      <c r="T791" s="121"/>
      <c r="U791" s="121"/>
      <c r="V791" s="121"/>
      <c r="W791" s="121"/>
      <c r="X791" s="121"/>
      <c r="Y791" s="121"/>
      <c r="Z791" s="121"/>
    </row>
    <row r="792" customFormat="false" ht="15.75" hidden="false" customHeight="false" outlineLevel="0" collapsed="false">
      <c r="A792" s="121"/>
      <c r="B792" s="121"/>
      <c r="C792" s="121"/>
      <c r="D792" s="121"/>
      <c r="E792" s="121"/>
      <c r="F792" s="121"/>
      <c r="G792" s="121"/>
      <c r="H792" s="121"/>
      <c r="I792" s="121"/>
      <c r="J792" s="121"/>
      <c r="K792" s="121"/>
      <c r="L792" s="121"/>
      <c r="M792" s="121"/>
      <c r="N792" s="121"/>
      <c r="O792" s="121"/>
      <c r="P792" s="121"/>
      <c r="Q792" s="121"/>
      <c r="R792" s="121"/>
      <c r="S792" s="121"/>
      <c r="T792" s="121"/>
      <c r="U792" s="121"/>
      <c r="V792" s="121"/>
      <c r="W792" s="121"/>
      <c r="X792" s="121"/>
      <c r="Y792" s="121"/>
      <c r="Z792" s="121"/>
    </row>
    <row r="793" customFormat="false" ht="15.75" hidden="false" customHeight="false" outlineLevel="0" collapsed="false">
      <c r="A793" s="121"/>
      <c r="B793" s="121"/>
      <c r="C793" s="121"/>
      <c r="D793" s="121"/>
      <c r="E793" s="121"/>
      <c r="F793" s="121"/>
      <c r="G793" s="121"/>
      <c r="H793" s="121"/>
      <c r="I793" s="121"/>
      <c r="J793" s="121"/>
      <c r="K793" s="121"/>
      <c r="L793" s="121"/>
      <c r="M793" s="121"/>
      <c r="N793" s="121"/>
      <c r="O793" s="121"/>
      <c r="P793" s="121"/>
      <c r="Q793" s="121"/>
      <c r="R793" s="121"/>
      <c r="S793" s="121"/>
      <c r="T793" s="121"/>
      <c r="U793" s="121"/>
      <c r="V793" s="121"/>
      <c r="W793" s="121"/>
      <c r="X793" s="121"/>
      <c r="Y793" s="121"/>
      <c r="Z793" s="121"/>
    </row>
    <row r="794" customFormat="false" ht="15.75" hidden="false" customHeight="false" outlineLevel="0" collapsed="false">
      <c r="A794" s="121"/>
      <c r="B794" s="121"/>
      <c r="C794" s="121"/>
      <c r="D794" s="121"/>
      <c r="E794" s="121"/>
      <c r="F794" s="121"/>
      <c r="G794" s="121"/>
      <c r="H794" s="121"/>
      <c r="I794" s="121"/>
      <c r="J794" s="121"/>
      <c r="K794" s="121"/>
      <c r="L794" s="121"/>
      <c r="M794" s="121"/>
      <c r="N794" s="121"/>
      <c r="O794" s="121"/>
      <c r="P794" s="121"/>
      <c r="Q794" s="121"/>
      <c r="R794" s="121"/>
      <c r="S794" s="121"/>
      <c r="T794" s="121"/>
      <c r="U794" s="121"/>
      <c r="V794" s="121"/>
      <c r="W794" s="121"/>
      <c r="X794" s="121"/>
      <c r="Y794" s="121"/>
      <c r="Z794" s="121"/>
    </row>
    <row r="795" customFormat="false" ht="15.75" hidden="false" customHeight="false" outlineLevel="0" collapsed="false">
      <c r="A795" s="121"/>
      <c r="B795" s="121"/>
      <c r="C795" s="121"/>
      <c r="D795" s="121"/>
      <c r="E795" s="121"/>
      <c r="F795" s="121"/>
      <c r="G795" s="121"/>
      <c r="H795" s="121"/>
      <c r="I795" s="121"/>
      <c r="J795" s="121"/>
      <c r="K795" s="121"/>
      <c r="L795" s="121"/>
      <c r="M795" s="121"/>
      <c r="N795" s="121"/>
      <c r="O795" s="121"/>
      <c r="P795" s="121"/>
      <c r="Q795" s="121"/>
      <c r="R795" s="121"/>
      <c r="S795" s="121"/>
      <c r="T795" s="121"/>
      <c r="U795" s="121"/>
      <c r="V795" s="121"/>
      <c r="W795" s="121"/>
      <c r="X795" s="121"/>
      <c r="Y795" s="121"/>
      <c r="Z795" s="121"/>
    </row>
    <row r="796" customFormat="false" ht="15.75" hidden="false" customHeight="false" outlineLevel="0" collapsed="false">
      <c r="A796" s="121"/>
      <c r="B796" s="121"/>
      <c r="C796" s="121"/>
      <c r="D796" s="121"/>
      <c r="E796" s="121"/>
      <c r="F796" s="121"/>
      <c r="G796" s="121"/>
      <c r="H796" s="121"/>
      <c r="I796" s="121"/>
      <c r="J796" s="121"/>
      <c r="K796" s="121"/>
      <c r="L796" s="121"/>
      <c r="M796" s="121"/>
      <c r="N796" s="121"/>
      <c r="O796" s="121"/>
      <c r="P796" s="121"/>
      <c r="Q796" s="121"/>
      <c r="R796" s="121"/>
      <c r="S796" s="121"/>
      <c r="T796" s="121"/>
      <c r="U796" s="121"/>
      <c r="V796" s="121"/>
      <c r="W796" s="121"/>
      <c r="X796" s="121"/>
      <c r="Y796" s="121"/>
      <c r="Z796" s="121"/>
    </row>
    <row r="797" customFormat="false" ht="15.75" hidden="false" customHeight="false" outlineLevel="0" collapsed="false">
      <c r="A797" s="121"/>
      <c r="B797" s="121"/>
      <c r="C797" s="121"/>
      <c r="D797" s="121"/>
      <c r="E797" s="121"/>
      <c r="F797" s="121"/>
      <c r="G797" s="121"/>
      <c r="H797" s="121"/>
      <c r="I797" s="121"/>
      <c r="J797" s="121"/>
      <c r="K797" s="121"/>
      <c r="L797" s="121"/>
      <c r="M797" s="121"/>
      <c r="N797" s="121"/>
      <c r="O797" s="121"/>
      <c r="P797" s="121"/>
      <c r="Q797" s="121"/>
      <c r="R797" s="121"/>
      <c r="S797" s="121"/>
      <c r="T797" s="121"/>
      <c r="U797" s="121"/>
      <c r="V797" s="121"/>
      <c r="W797" s="121"/>
      <c r="X797" s="121"/>
      <c r="Y797" s="121"/>
      <c r="Z797" s="121"/>
    </row>
    <row r="798" customFormat="false" ht="15.75" hidden="false" customHeight="false" outlineLevel="0" collapsed="false">
      <c r="A798" s="121"/>
      <c r="B798" s="121"/>
      <c r="C798" s="121"/>
      <c r="D798" s="121"/>
      <c r="E798" s="121"/>
      <c r="F798" s="121"/>
      <c r="G798" s="121"/>
      <c r="H798" s="121"/>
      <c r="I798" s="121"/>
      <c r="J798" s="121"/>
      <c r="K798" s="121"/>
      <c r="L798" s="121"/>
      <c r="M798" s="121"/>
      <c r="N798" s="121"/>
      <c r="O798" s="121"/>
      <c r="P798" s="121"/>
      <c r="Q798" s="121"/>
      <c r="R798" s="121"/>
      <c r="S798" s="121"/>
      <c r="T798" s="121"/>
      <c r="U798" s="121"/>
      <c r="V798" s="121"/>
      <c r="W798" s="121"/>
      <c r="X798" s="121"/>
      <c r="Y798" s="121"/>
      <c r="Z798" s="121"/>
    </row>
    <row r="799" customFormat="false" ht="15.75" hidden="false" customHeight="false" outlineLevel="0" collapsed="false">
      <c r="A799" s="121"/>
      <c r="B799" s="121"/>
      <c r="C799" s="121"/>
      <c r="D799" s="121"/>
      <c r="E799" s="121"/>
      <c r="F799" s="121"/>
      <c r="G799" s="121"/>
      <c r="H799" s="121"/>
      <c r="I799" s="121"/>
      <c r="J799" s="121"/>
      <c r="K799" s="121"/>
      <c r="L799" s="121"/>
      <c r="M799" s="121"/>
      <c r="N799" s="121"/>
      <c r="O799" s="121"/>
      <c r="P799" s="121"/>
      <c r="Q799" s="121"/>
      <c r="R799" s="121"/>
      <c r="S799" s="121"/>
      <c r="T799" s="121"/>
      <c r="U799" s="121"/>
      <c r="V799" s="121"/>
      <c r="W799" s="121"/>
      <c r="X799" s="121"/>
      <c r="Y799" s="121"/>
      <c r="Z799" s="121"/>
    </row>
    <row r="800" customFormat="false" ht="15.75" hidden="false" customHeight="false" outlineLevel="0" collapsed="false">
      <c r="A800" s="121"/>
      <c r="B800" s="121"/>
      <c r="C800" s="121"/>
      <c r="D800" s="121"/>
      <c r="E800" s="121"/>
      <c r="F800" s="121"/>
      <c r="G800" s="121"/>
      <c r="H800" s="121"/>
      <c r="I800" s="121"/>
      <c r="J800" s="121"/>
      <c r="K800" s="121"/>
      <c r="L800" s="121"/>
      <c r="M800" s="121"/>
      <c r="N800" s="121"/>
      <c r="O800" s="121"/>
      <c r="P800" s="121"/>
      <c r="Q800" s="121"/>
      <c r="R800" s="121"/>
      <c r="S800" s="121"/>
      <c r="T800" s="121"/>
      <c r="U800" s="121"/>
      <c r="V800" s="121"/>
      <c r="W800" s="121"/>
      <c r="X800" s="121"/>
      <c r="Y800" s="121"/>
      <c r="Z800" s="121"/>
    </row>
    <row r="801" customFormat="false" ht="15.75" hidden="false" customHeight="false" outlineLevel="0" collapsed="false">
      <c r="A801" s="121"/>
      <c r="B801" s="121"/>
      <c r="C801" s="121"/>
      <c r="D801" s="121"/>
      <c r="E801" s="121"/>
      <c r="F801" s="121"/>
      <c r="G801" s="121"/>
      <c r="H801" s="121"/>
      <c r="I801" s="121"/>
      <c r="J801" s="121"/>
      <c r="K801" s="121"/>
      <c r="L801" s="121"/>
      <c r="M801" s="121"/>
      <c r="N801" s="121"/>
      <c r="O801" s="121"/>
      <c r="P801" s="121"/>
      <c r="Q801" s="121"/>
      <c r="R801" s="121"/>
      <c r="S801" s="121"/>
      <c r="T801" s="121"/>
      <c r="U801" s="121"/>
      <c r="V801" s="121"/>
      <c r="W801" s="121"/>
      <c r="X801" s="121"/>
      <c r="Y801" s="121"/>
      <c r="Z801" s="121"/>
    </row>
    <row r="802" customFormat="false" ht="15.75" hidden="false" customHeight="false" outlineLevel="0" collapsed="false">
      <c r="A802" s="121"/>
      <c r="B802" s="121"/>
      <c r="C802" s="121"/>
      <c r="D802" s="121"/>
      <c r="E802" s="121"/>
      <c r="F802" s="121"/>
      <c r="G802" s="121"/>
      <c r="H802" s="121"/>
      <c r="I802" s="121"/>
      <c r="J802" s="121"/>
      <c r="K802" s="121"/>
      <c r="L802" s="121"/>
      <c r="M802" s="121"/>
      <c r="N802" s="121"/>
      <c r="O802" s="121"/>
      <c r="P802" s="121"/>
      <c r="Q802" s="121"/>
      <c r="R802" s="121"/>
      <c r="S802" s="121"/>
      <c r="T802" s="121"/>
      <c r="U802" s="121"/>
      <c r="V802" s="121"/>
      <c r="W802" s="121"/>
      <c r="X802" s="121"/>
      <c r="Y802" s="121"/>
      <c r="Z802" s="121"/>
    </row>
    <row r="803" customFormat="false" ht="15.75" hidden="false" customHeight="false" outlineLevel="0" collapsed="false">
      <c r="A803" s="121"/>
      <c r="B803" s="121"/>
      <c r="C803" s="121"/>
      <c r="D803" s="121"/>
      <c r="E803" s="121"/>
      <c r="F803" s="121"/>
      <c r="G803" s="121"/>
      <c r="H803" s="121"/>
      <c r="I803" s="121"/>
      <c r="J803" s="121"/>
      <c r="K803" s="121"/>
      <c r="L803" s="121"/>
      <c r="M803" s="121"/>
      <c r="N803" s="121"/>
      <c r="O803" s="121"/>
      <c r="P803" s="121"/>
      <c r="Q803" s="121"/>
      <c r="R803" s="121"/>
      <c r="S803" s="121"/>
      <c r="T803" s="121"/>
      <c r="U803" s="121"/>
      <c r="V803" s="121"/>
      <c r="W803" s="121"/>
      <c r="X803" s="121"/>
      <c r="Y803" s="121"/>
      <c r="Z803" s="121"/>
    </row>
    <row r="804" customFormat="false" ht="15.75" hidden="false" customHeight="false" outlineLevel="0" collapsed="false">
      <c r="A804" s="121"/>
      <c r="B804" s="121"/>
      <c r="C804" s="121"/>
      <c r="D804" s="121"/>
      <c r="E804" s="121"/>
      <c r="F804" s="121"/>
      <c r="G804" s="121"/>
      <c r="H804" s="121"/>
      <c r="I804" s="121"/>
      <c r="J804" s="121"/>
      <c r="K804" s="121"/>
      <c r="L804" s="121"/>
      <c r="M804" s="121"/>
      <c r="N804" s="121"/>
      <c r="O804" s="121"/>
      <c r="P804" s="121"/>
      <c r="Q804" s="121"/>
      <c r="R804" s="121"/>
      <c r="S804" s="121"/>
      <c r="T804" s="121"/>
      <c r="U804" s="121"/>
      <c r="V804" s="121"/>
      <c r="W804" s="121"/>
      <c r="X804" s="121"/>
      <c r="Y804" s="121"/>
      <c r="Z804" s="121"/>
    </row>
    <row r="805" customFormat="false" ht="15.75" hidden="false" customHeight="false" outlineLevel="0" collapsed="false">
      <c r="A805" s="121"/>
      <c r="B805" s="121"/>
      <c r="C805" s="121"/>
      <c r="D805" s="121"/>
      <c r="E805" s="121"/>
      <c r="F805" s="121"/>
      <c r="G805" s="121"/>
      <c r="H805" s="121"/>
      <c r="I805" s="121"/>
      <c r="J805" s="121"/>
      <c r="K805" s="121"/>
      <c r="L805" s="121"/>
      <c r="M805" s="121"/>
      <c r="N805" s="121"/>
      <c r="O805" s="121"/>
      <c r="P805" s="121"/>
      <c r="Q805" s="121"/>
      <c r="R805" s="121"/>
      <c r="S805" s="121"/>
      <c r="T805" s="121"/>
      <c r="U805" s="121"/>
      <c r="V805" s="121"/>
      <c r="W805" s="121"/>
      <c r="X805" s="121"/>
      <c r="Y805" s="121"/>
      <c r="Z805" s="121"/>
    </row>
    <row r="806" customFormat="false" ht="15.75" hidden="false" customHeight="false" outlineLevel="0" collapsed="false">
      <c r="A806" s="121"/>
      <c r="B806" s="121"/>
      <c r="C806" s="121"/>
      <c r="D806" s="121"/>
      <c r="E806" s="121"/>
      <c r="F806" s="121"/>
      <c r="G806" s="121"/>
      <c r="H806" s="121"/>
      <c r="I806" s="121"/>
      <c r="J806" s="121"/>
      <c r="K806" s="121"/>
      <c r="L806" s="121"/>
      <c r="M806" s="121"/>
      <c r="N806" s="121"/>
      <c r="O806" s="121"/>
      <c r="P806" s="121"/>
      <c r="Q806" s="121"/>
      <c r="R806" s="121"/>
      <c r="S806" s="121"/>
      <c r="T806" s="121"/>
      <c r="U806" s="121"/>
      <c r="V806" s="121"/>
      <c r="W806" s="121"/>
      <c r="X806" s="121"/>
      <c r="Y806" s="121"/>
      <c r="Z806" s="121"/>
    </row>
    <row r="807" customFormat="false" ht="15.75" hidden="false" customHeight="false" outlineLevel="0" collapsed="false">
      <c r="A807" s="121"/>
      <c r="B807" s="121"/>
      <c r="C807" s="121"/>
      <c r="D807" s="121"/>
      <c r="E807" s="121"/>
      <c r="F807" s="121"/>
      <c r="G807" s="121"/>
      <c r="H807" s="121"/>
      <c r="I807" s="121"/>
      <c r="J807" s="121"/>
      <c r="K807" s="121"/>
      <c r="L807" s="121"/>
      <c r="M807" s="121"/>
      <c r="N807" s="121"/>
      <c r="O807" s="121"/>
      <c r="P807" s="121"/>
      <c r="Q807" s="121"/>
      <c r="R807" s="121"/>
      <c r="S807" s="121"/>
      <c r="T807" s="121"/>
      <c r="U807" s="121"/>
      <c r="V807" s="121"/>
      <c r="W807" s="121"/>
      <c r="X807" s="121"/>
      <c r="Y807" s="121"/>
      <c r="Z807" s="121"/>
    </row>
    <row r="808" customFormat="false" ht="15.75" hidden="false" customHeight="false" outlineLevel="0" collapsed="false">
      <c r="A808" s="121"/>
      <c r="B808" s="121"/>
      <c r="C808" s="121"/>
      <c r="D808" s="121"/>
      <c r="E808" s="121"/>
      <c r="F808" s="121"/>
      <c r="G808" s="121"/>
      <c r="H808" s="121"/>
      <c r="I808" s="121"/>
      <c r="J808" s="121"/>
      <c r="K808" s="121"/>
      <c r="L808" s="121"/>
      <c r="M808" s="121"/>
      <c r="N808" s="121"/>
      <c r="O808" s="121"/>
      <c r="P808" s="121"/>
      <c r="Q808" s="121"/>
      <c r="R808" s="121"/>
      <c r="S808" s="121"/>
      <c r="T808" s="121"/>
      <c r="U808" s="121"/>
      <c r="V808" s="121"/>
      <c r="W808" s="121"/>
      <c r="X808" s="121"/>
      <c r="Y808" s="121"/>
      <c r="Z808" s="121"/>
    </row>
    <row r="809" customFormat="false" ht="15.75" hidden="false" customHeight="false" outlineLevel="0" collapsed="false">
      <c r="A809" s="121"/>
      <c r="B809" s="121"/>
      <c r="C809" s="121"/>
      <c r="D809" s="121"/>
      <c r="E809" s="121"/>
      <c r="F809" s="121"/>
      <c r="G809" s="121"/>
      <c r="H809" s="121"/>
      <c r="I809" s="121"/>
      <c r="J809" s="121"/>
      <c r="K809" s="121"/>
      <c r="L809" s="121"/>
      <c r="M809" s="121"/>
      <c r="N809" s="121"/>
      <c r="O809" s="121"/>
      <c r="P809" s="121"/>
      <c r="Q809" s="121"/>
      <c r="R809" s="121"/>
      <c r="S809" s="121"/>
      <c r="T809" s="121"/>
      <c r="U809" s="121"/>
      <c r="V809" s="121"/>
      <c r="W809" s="121"/>
      <c r="X809" s="121"/>
      <c r="Y809" s="121"/>
      <c r="Z809" s="121"/>
    </row>
    <row r="810" customFormat="false" ht="15.75" hidden="false" customHeight="false" outlineLevel="0" collapsed="false">
      <c r="A810" s="121"/>
      <c r="B810" s="121"/>
      <c r="C810" s="121"/>
      <c r="D810" s="121"/>
      <c r="E810" s="121"/>
      <c r="F810" s="121"/>
      <c r="G810" s="121"/>
      <c r="H810" s="121"/>
      <c r="I810" s="121"/>
      <c r="J810" s="121"/>
      <c r="K810" s="121"/>
      <c r="L810" s="121"/>
      <c r="M810" s="121"/>
      <c r="N810" s="121"/>
      <c r="O810" s="121"/>
      <c r="P810" s="121"/>
      <c r="Q810" s="121"/>
      <c r="R810" s="121"/>
      <c r="S810" s="121"/>
      <c r="T810" s="121"/>
      <c r="U810" s="121"/>
      <c r="V810" s="121"/>
      <c r="W810" s="121"/>
      <c r="X810" s="121"/>
      <c r="Y810" s="121"/>
      <c r="Z810" s="121"/>
    </row>
    <row r="811" customFormat="false" ht="15.75" hidden="false" customHeight="false" outlineLevel="0" collapsed="false">
      <c r="A811" s="121"/>
      <c r="B811" s="121"/>
      <c r="C811" s="121"/>
      <c r="D811" s="121"/>
      <c r="E811" s="121"/>
      <c r="F811" s="121"/>
      <c r="G811" s="121"/>
      <c r="H811" s="121"/>
      <c r="I811" s="121"/>
      <c r="J811" s="121"/>
      <c r="K811" s="121"/>
      <c r="L811" s="121"/>
      <c r="M811" s="121"/>
      <c r="N811" s="121"/>
      <c r="O811" s="121"/>
      <c r="P811" s="121"/>
      <c r="Q811" s="121"/>
      <c r="R811" s="121"/>
      <c r="S811" s="121"/>
      <c r="T811" s="121"/>
      <c r="U811" s="121"/>
      <c r="V811" s="121"/>
      <c r="W811" s="121"/>
      <c r="X811" s="121"/>
      <c r="Y811" s="121"/>
      <c r="Z811" s="121"/>
    </row>
    <row r="812" customFormat="false" ht="15.75" hidden="false" customHeight="false" outlineLevel="0" collapsed="false">
      <c r="A812" s="121"/>
      <c r="B812" s="121"/>
      <c r="C812" s="121"/>
      <c r="D812" s="121"/>
      <c r="E812" s="121"/>
      <c r="F812" s="121"/>
      <c r="G812" s="121"/>
      <c r="H812" s="121"/>
      <c r="I812" s="121"/>
      <c r="J812" s="121"/>
      <c r="K812" s="121"/>
      <c r="L812" s="121"/>
      <c r="M812" s="121"/>
      <c r="N812" s="121"/>
      <c r="O812" s="121"/>
      <c r="P812" s="121"/>
      <c r="Q812" s="121"/>
      <c r="R812" s="121"/>
      <c r="S812" s="121"/>
      <c r="T812" s="121"/>
      <c r="U812" s="121"/>
      <c r="V812" s="121"/>
      <c r="W812" s="121"/>
      <c r="X812" s="121"/>
      <c r="Y812" s="121"/>
      <c r="Z812" s="121"/>
    </row>
    <row r="813" customFormat="false" ht="15.75" hidden="false" customHeight="false" outlineLevel="0" collapsed="false">
      <c r="A813" s="121"/>
      <c r="B813" s="121"/>
      <c r="C813" s="121"/>
      <c r="D813" s="121"/>
      <c r="E813" s="121"/>
      <c r="F813" s="121"/>
      <c r="G813" s="121"/>
      <c r="H813" s="121"/>
      <c r="I813" s="121"/>
      <c r="J813" s="121"/>
      <c r="K813" s="121"/>
      <c r="L813" s="121"/>
      <c r="M813" s="121"/>
      <c r="N813" s="121"/>
      <c r="O813" s="121"/>
      <c r="P813" s="121"/>
      <c r="Q813" s="121"/>
      <c r="R813" s="121"/>
      <c r="S813" s="121"/>
      <c r="T813" s="121"/>
      <c r="U813" s="121"/>
      <c r="V813" s="121"/>
      <c r="W813" s="121"/>
      <c r="X813" s="121"/>
      <c r="Y813" s="121"/>
      <c r="Z813" s="121"/>
    </row>
    <row r="814" customFormat="false" ht="15.75" hidden="false" customHeight="false" outlineLevel="0" collapsed="false">
      <c r="A814" s="121"/>
      <c r="B814" s="121"/>
      <c r="C814" s="121"/>
      <c r="D814" s="121"/>
      <c r="E814" s="121"/>
      <c r="F814" s="121"/>
      <c r="G814" s="121"/>
      <c r="H814" s="121"/>
      <c r="I814" s="121"/>
      <c r="J814" s="121"/>
      <c r="K814" s="121"/>
      <c r="L814" s="121"/>
      <c r="M814" s="121"/>
      <c r="N814" s="121"/>
      <c r="O814" s="121"/>
      <c r="P814" s="121"/>
      <c r="Q814" s="121"/>
      <c r="R814" s="121"/>
      <c r="S814" s="121"/>
      <c r="T814" s="121"/>
      <c r="U814" s="121"/>
      <c r="V814" s="121"/>
      <c r="W814" s="121"/>
      <c r="X814" s="121"/>
      <c r="Y814" s="121"/>
      <c r="Z814" s="121"/>
    </row>
    <row r="815" customFormat="false" ht="15.75" hidden="false" customHeight="false" outlineLevel="0" collapsed="false">
      <c r="A815" s="121"/>
      <c r="B815" s="121"/>
      <c r="C815" s="121"/>
      <c r="D815" s="121"/>
      <c r="E815" s="121"/>
      <c r="F815" s="121"/>
      <c r="G815" s="121"/>
      <c r="H815" s="121"/>
      <c r="I815" s="121"/>
      <c r="J815" s="121"/>
      <c r="K815" s="121"/>
      <c r="L815" s="121"/>
      <c r="M815" s="121"/>
      <c r="N815" s="121"/>
      <c r="O815" s="121"/>
      <c r="P815" s="121"/>
      <c r="Q815" s="121"/>
      <c r="R815" s="121"/>
      <c r="S815" s="121"/>
      <c r="T815" s="121"/>
      <c r="U815" s="121"/>
      <c r="V815" s="121"/>
      <c r="W815" s="121"/>
      <c r="X815" s="121"/>
      <c r="Y815" s="121"/>
      <c r="Z815" s="121"/>
    </row>
    <row r="816" customFormat="false" ht="15.75" hidden="false" customHeight="false" outlineLevel="0" collapsed="false">
      <c r="A816" s="121"/>
      <c r="B816" s="121"/>
      <c r="C816" s="121"/>
      <c r="D816" s="121"/>
      <c r="E816" s="121"/>
      <c r="F816" s="121"/>
      <c r="G816" s="121"/>
      <c r="H816" s="121"/>
      <c r="I816" s="121"/>
      <c r="J816" s="121"/>
      <c r="K816" s="121"/>
      <c r="L816" s="121"/>
      <c r="M816" s="121"/>
      <c r="N816" s="121"/>
      <c r="O816" s="121"/>
      <c r="P816" s="121"/>
      <c r="Q816" s="121"/>
      <c r="R816" s="121"/>
      <c r="S816" s="121"/>
      <c r="T816" s="121"/>
      <c r="U816" s="121"/>
      <c r="V816" s="121"/>
      <c r="W816" s="121"/>
      <c r="X816" s="121"/>
      <c r="Y816" s="121"/>
      <c r="Z816" s="121"/>
    </row>
    <row r="817" customFormat="false" ht="15.75" hidden="false" customHeight="false" outlineLevel="0" collapsed="false">
      <c r="A817" s="121"/>
      <c r="B817" s="121"/>
      <c r="C817" s="121"/>
      <c r="D817" s="121"/>
      <c r="E817" s="121"/>
      <c r="F817" s="121"/>
      <c r="G817" s="121"/>
      <c r="H817" s="121"/>
      <c r="I817" s="121"/>
      <c r="J817" s="121"/>
      <c r="K817" s="121"/>
      <c r="L817" s="121"/>
      <c r="M817" s="121"/>
      <c r="N817" s="121"/>
      <c r="O817" s="121"/>
      <c r="P817" s="121"/>
      <c r="Q817" s="121"/>
      <c r="R817" s="121"/>
      <c r="S817" s="121"/>
      <c r="T817" s="121"/>
      <c r="U817" s="121"/>
      <c r="V817" s="121"/>
      <c r="W817" s="121"/>
      <c r="X817" s="121"/>
      <c r="Y817" s="121"/>
      <c r="Z817" s="121"/>
    </row>
    <row r="818" customFormat="false" ht="15.75" hidden="false" customHeight="false" outlineLevel="0" collapsed="false">
      <c r="A818" s="121"/>
      <c r="B818" s="121"/>
      <c r="C818" s="121"/>
      <c r="D818" s="121"/>
      <c r="E818" s="121"/>
      <c r="F818" s="121"/>
      <c r="G818" s="121"/>
      <c r="H818" s="121"/>
      <c r="I818" s="121"/>
      <c r="J818" s="121"/>
      <c r="K818" s="121"/>
      <c r="L818" s="121"/>
      <c r="M818" s="121"/>
      <c r="N818" s="121"/>
      <c r="O818" s="121"/>
      <c r="P818" s="121"/>
      <c r="Q818" s="121"/>
      <c r="R818" s="121"/>
      <c r="S818" s="121"/>
      <c r="T818" s="121"/>
      <c r="U818" s="121"/>
      <c r="V818" s="121"/>
      <c r="W818" s="121"/>
      <c r="X818" s="121"/>
      <c r="Y818" s="121"/>
      <c r="Z818" s="121"/>
    </row>
    <row r="819" customFormat="false" ht="15.75" hidden="false" customHeight="false" outlineLevel="0" collapsed="false">
      <c r="A819" s="121"/>
      <c r="B819" s="121"/>
      <c r="C819" s="121"/>
      <c r="D819" s="121"/>
      <c r="E819" s="121"/>
      <c r="F819" s="121"/>
      <c r="G819" s="121"/>
      <c r="H819" s="121"/>
      <c r="I819" s="121"/>
      <c r="J819" s="121"/>
      <c r="K819" s="121"/>
      <c r="L819" s="121"/>
      <c r="M819" s="121"/>
      <c r="N819" s="121"/>
      <c r="O819" s="121"/>
      <c r="P819" s="121"/>
      <c r="Q819" s="121"/>
      <c r="R819" s="121"/>
      <c r="S819" s="121"/>
      <c r="T819" s="121"/>
      <c r="U819" s="121"/>
      <c r="V819" s="121"/>
      <c r="W819" s="121"/>
      <c r="X819" s="121"/>
      <c r="Y819" s="121"/>
      <c r="Z819" s="121"/>
    </row>
    <row r="820" customFormat="false" ht="15.75" hidden="false" customHeight="false" outlineLevel="0" collapsed="false">
      <c r="A820" s="121"/>
      <c r="B820" s="121"/>
      <c r="C820" s="121"/>
      <c r="D820" s="121"/>
      <c r="E820" s="121"/>
      <c r="F820" s="121"/>
      <c r="G820" s="121"/>
      <c r="H820" s="121"/>
      <c r="I820" s="121"/>
      <c r="J820" s="121"/>
      <c r="K820" s="121"/>
      <c r="L820" s="121"/>
      <c r="M820" s="121"/>
      <c r="N820" s="121"/>
      <c r="O820" s="121"/>
      <c r="P820" s="121"/>
      <c r="Q820" s="121"/>
      <c r="R820" s="121"/>
      <c r="S820" s="121"/>
      <c r="T820" s="121"/>
      <c r="U820" s="121"/>
      <c r="V820" s="121"/>
      <c r="W820" s="121"/>
      <c r="X820" s="121"/>
      <c r="Y820" s="121"/>
      <c r="Z820" s="121"/>
    </row>
    <row r="821" customFormat="false" ht="15.75" hidden="false" customHeight="false" outlineLevel="0" collapsed="false">
      <c r="A821" s="121"/>
      <c r="B821" s="121"/>
      <c r="C821" s="121"/>
      <c r="D821" s="121"/>
      <c r="E821" s="121"/>
      <c r="F821" s="121"/>
      <c r="G821" s="121"/>
      <c r="H821" s="121"/>
      <c r="I821" s="121"/>
      <c r="J821" s="121"/>
      <c r="K821" s="121"/>
      <c r="L821" s="121"/>
      <c r="M821" s="121"/>
      <c r="N821" s="121"/>
      <c r="O821" s="121"/>
      <c r="P821" s="121"/>
      <c r="Q821" s="121"/>
      <c r="R821" s="121"/>
      <c r="S821" s="121"/>
      <c r="T821" s="121"/>
      <c r="U821" s="121"/>
      <c r="V821" s="121"/>
      <c r="W821" s="121"/>
      <c r="X821" s="121"/>
      <c r="Y821" s="121"/>
      <c r="Z821" s="121"/>
    </row>
    <row r="822" customFormat="false" ht="15.75" hidden="false" customHeight="false" outlineLevel="0" collapsed="false">
      <c r="A822" s="121"/>
      <c r="B822" s="121"/>
      <c r="C822" s="121"/>
      <c r="D822" s="121"/>
      <c r="E822" s="121"/>
      <c r="F822" s="121"/>
      <c r="G822" s="121"/>
      <c r="H822" s="121"/>
      <c r="I822" s="121"/>
      <c r="J822" s="121"/>
      <c r="K822" s="121"/>
      <c r="L822" s="121"/>
      <c r="M822" s="121"/>
      <c r="N822" s="121"/>
      <c r="O822" s="121"/>
      <c r="P822" s="121"/>
      <c r="Q822" s="121"/>
      <c r="R822" s="121"/>
      <c r="S822" s="121"/>
      <c r="T822" s="121"/>
      <c r="U822" s="121"/>
      <c r="V822" s="121"/>
      <c r="W822" s="121"/>
      <c r="X822" s="121"/>
      <c r="Y822" s="121"/>
      <c r="Z822" s="121"/>
    </row>
    <row r="823" customFormat="false" ht="15.75" hidden="false" customHeight="false" outlineLevel="0" collapsed="false">
      <c r="A823" s="121"/>
      <c r="B823" s="121"/>
      <c r="C823" s="121"/>
      <c r="D823" s="121"/>
      <c r="E823" s="121"/>
      <c r="F823" s="121"/>
      <c r="G823" s="121"/>
      <c r="H823" s="121"/>
      <c r="I823" s="121"/>
      <c r="J823" s="121"/>
      <c r="K823" s="121"/>
      <c r="L823" s="121"/>
      <c r="M823" s="121"/>
      <c r="N823" s="121"/>
      <c r="O823" s="121"/>
      <c r="P823" s="121"/>
      <c r="Q823" s="121"/>
      <c r="R823" s="121"/>
      <c r="S823" s="121"/>
      <c r="T823" s="121"/>
      <c r="U823" s="121"/>
      <c r="V823" s="121"/>
      <c r="W823" s="121"/>
      <c r="X823" s="121"/>
      <c r="Y823" s="121"/>
      <c r="Z823" s="121"/>
    </row>
    <row r="824" customFormat="false" ht="15.75" hidden="false" customHeight="false" outlineLevel="0" collapsed="false">
      <c r="A824" s="121"/>
      <c r="B824" s="121"/>
      <c r="C824" s="121"/>
      <c r="D824" s="121"/>
      <c r="E824" s="121"/>
      <c r="F824" s="121"/>
      <c r="G824" s="121"/>
      <c r="H824" s="121"/>
      <c r="I824" s="121"/>
      <c r="J824" s="121"/>
      <c r="K824" s="121"/>
      <c r="L824" s="121"/>
      <c r="M824" s="121"/>
      <c r="N824" s="121"/>
      <c r="O824" s="121"/>
      <c r="P824" s="121"/>
      <c r="Q824" s="121"/>
      <c r="R824" s="121"/>
      <c r="S824" s="121"/>
      <c r="T824" s="121"/>
      <c r="U824" s="121"/>
      <c r="V824" s="121"/>
      <c r="W824" s="121"/>
      <c r="X824" s="121"/>
      <c r="Y824" s="121"/>
      <c r="Z824" s="121"/>
    </row>
    <row r="825" customFormat="false" ht="15.75" hidden="false" customHeight="false" outlineLevel="0" collapsed="false">
      <c r="A825" s="121"/>
      <c r="B825" s="121"/>
      <c r="C825" s="121"/>
      <c r="D825" s="121"/>
      <c r="E825" s="121"/>
      <c r="F825" s="121"/>
      <c r="G825" s="121"/>
      <c r="H825" s="121"/>
      <c r="I825" s="121"/>
      <c r="J825" s="121"/>
      <c r="K825" s="121"/>
      <c r="L825" s="121"/>
      <c r="M825" s="121"/>
      <c r="N825" s="121"/>
      <c r="O825" s="121"/>
      <c r="P825" s="121"/>
      <c r="Q825" s="121"/>
      <c r="R825" s="121"/>
      <c r="S825" s="121"/>
      <c r="T825" s="121"/>
      <c r="U825" s="121"/>
      <c r="V825" s="121"/>
      <c r="W825" s="121"/>
      <c r="X825" s="121"/>
      <c r="Y825" s="121"/>
      <c r="Z825" s="121"/>
    </row>
    <row r="826" customFormat="false" ht="15.75" hidden="false" customHeight="false" outlineLevel="0" collapsed="false">
      <c r="A826" s="121"/>
      <c r="B826" s="121"/>
      <c r="C826" s="121"/>
      <c r="D826" s="121"/>
      <c r="E826" s="121"/>
      <c r="F826" s="121"/>
      <c r="G826" s="121"/>
      <c r="H826" s="121"/>
      <c r="I826" s="121"/>
      <c r="J826" s="121"/>
      <c r="K826" s="121"/>
      <c r="L826" s="121"/>
      <c r="M826" s="121"/>
      <c r="N826" s="121"/>
      <c r="O826" s="121"/>
      <c r="P826" s="121"/>
      <c r="Q826" s="121"/>
      <c r="R826" s="121"/>
      <c r="S826" s="121"/>
      <c r="T826" s="121"/>
      <c r="U826" s="121"/>
      <c r="V826" s="121"/>
      <c r="W826" s="121"/>
      <c r="X826" s="121"/>
      <c r="Y826" s="121"/>
      <c r="Z826" s="121"/>
    </row>
    <row r="827" customFormat="false" ht="15.75" hidden="false" customHeight="false" outlineLevel="0" collapsed="false">
      <c r="A827" s="121"/>
      <c r="B827" s="121"/>
      <c r="C827" s="121"/>
      <c r="D827" s="121"/>
      <c r="E827" s="121"/>
      <c r="F827" s="121"/>
      <c r="G827" s="121"/>
      <c r="H827" s="121"/>
      <c r="I827" s="121"/>
      <c r="J827" s="121"/>
      <c r="K827" s="121"/>
      <c r="L827" s="121"/>
      <c r="M827" s="121"/>
      <c r="N827" s="121"/>
      <c r="O827" s="121"/>
      <c r="P827" s="121"/>
      <c r="Q827" s="121"/>
      <c r="R827" s="121"/>
      <c r="S827" s="121"/>
      <c r="T827" s="121"/>
      <c r="U827" s="121"/>
      <c r="V827" s="121"/>
      <c r="W827" s="121"/>
      <c r="X827" s="121"/>
      <c r="Y827" s="121"/>
      <c r="Z827" s="121"/>
    </row>
    <row r="828" customFormat="false" ht="15.75" hidden="false" customHeight="false" outlineLevel="0" collapsed="false">
      <c r="A828" s="121"/>
      <c r="B828" s="121"/>
      <c r="C828" s="121"/>
      <c r="D828" s="121"/>
      <c r="E828" s="121"/>
      <c r="F828" s="121"/>
      <c r="G828" s="121"/>
      <c r="H828" s="121"/>
      <c r="I828" s="121"/>
      <c r="J828" s="121"/>
      <c r="K828" s="121"/>
      <c r="L828" s="121"/>
      <c r="M828" s="121"/>
      <c r="N828" s="121"/>
      <c r="O828" s="121"/>
      <c r="P828" s="121"/>
      <c r="Q828" s="121"/>
      <c r="R828" s="121"/>
      <c r="S828" s="121"/>
      <c r="T828" s="121"/>
      <c r="U828" s="121"/>
      <c r="V828" s="121"/>
      <c r="W828" s="121"/>
      <c r="X828" s="121"/>
      <c r="Y828" s="121"/>
      <c r="Z828" s="121"/>
    </row>
    <row r="829" customFormat="false" ht="15.75" hidden="false" customHeight="false" outlineLevel="0" collapsed="false">
      <c r="A829" s="121"/>
      <c r="B829" s="121"/>
      <c r="C829" s="121"/>
      <c r="D829" s="121"/>
      <c r="E829" s="121"/>
      <c r="F829" s="121"/>
      <c r="G829" s="121"/>
      <c r="H829" s="121"/>
      <c r="I829" s="121"/>
      <c r="J829" s="121"/>
      <c r="K829" s="121"/>
      <c r="L829" s="121"/>
      <c r="M829" s="121"/>
      <c r="N829" s="121"/>
      <c r="O829" s="121"/>
      <c r="P829" s="121"/>
      <c r="Q829" s="121"/>
      <c r="R829" s="121"/>
      <c r="S829" s="121"/>
      <c r="T829" s="121"/>
      <c r="U829" s="121"/>
      <c r="V829" s="121"/>
      <c r="W829" s="121"/>
      <c r="X829" s="121"/>
      <c r="Y829" s="121"/>
      <c r="Z829" s="121"/>
    </row>
    <row r="830" customFormat="false" ht="15.75" hidden="false" customHeight="false" outlineLevel="0" collapsed="false">
      <c r="A830" s="121"/>
      <c r="B830" s="121"/>
      <c r="C830" s="121"/>
      <c r="D830" s="121"/>
      <c r="E830" s="121"/>
      <c r="F830" s="121"/>
      <c r="G830" s="121"/>
      <c r="H830" s="121"/>
      <c r="I830" s="121"/>
      <c r="J830" s="121"/>
      <c r="K830" s="121"/>
      <c r="L830" s="121"/>
      <c r="M830" s="121"/>
      <c r="N830" s="121"/>
      <c r="O830" s="121"/>
      <c r="P830" s="121"/>
      <c r="Q830" s="121"/>
      <c r="R830" s="121"/>
      <c r="S830" s="121"/>
      <c r="T830" s="121"/>
      <c r="U830" s="121"/>
      <c r="V830" s="121"/>
      <c r="W830" s="121"/>
      <c r="X830" s="121"/>
      <c r="Y830" s="121"/>
      <c r="Z830" s="121"/>
    </row>
    <row r="831" customFormat="false" ht="15.75" hidden="false" customHeight="false" outlineLevel="0" collapsed="false">
      <c r="A831" s="121"/>
      <c r="B831" s="121"/>
      <c r="C831" s="121"/>
      <c r="D831" s="121"/>
      <c r="E831" s="121"/>
      <c r="F831" s="121"/>
      <c r="G831" s="121"/>
      <c r="H831" s="121"/>
      <c r="I831" s="121"/>
      <c r="J831" s="121"/>
      <c r="K831" s="121"/>
      <c r="L831" s="121"/>
      <c r="M831" s="121"/>
      <c r="N831" s="121"/>
      <c r="O831" s="121"/>
      <c r="P831" s="121"/>
      <c r="Q831" s="121"/>
      <c r="R831" s="121"/>
      <c r="S831" s="121"/>
      <c r="T831" s="121"/>
      <c r="U831" s="121"/>
      <c r="V831" s="121"/>
      <c r="W831" s="121"/>
      <c r="X831" s="121"/>
      <c r="Y831" s="121"/>
      <c r="Z831" s="121"/>
    </row>
    <row r="832" customFormat="false" ht="15.75" hidden="false" customHeight="false" outlineLevel="0" collapsed="false">
      <c r="A832" s="121"/>
      <c r="B832" s="121"/>
      <c r="C832" s="121"/>
      <c r="D832" s="121"/>
      <c r="E832" s="121"/>
      <c r="F832" s="121"/>
      <c r="G832" s="121"/>
      <c r="H832" s="121"/>
      <c r="I832" s="121"/>
      <c r="J832" s="121"/>
      <c r="K832" s="121"/>
      <c r="L832" s="121"/>
      <c r="M832" s="121"/>
      <c r="N832" s="121"/>
      <c r="O832" s="121"/>
      <c r="P832" s="121"/>
      <c r="Q832" s="121"/>
      <c r="R832" s="121"/>
      <c r="S832" s="121"/>
      <c r="T832" s="121"/>
      <c r="U832" s="121"/>
      <c r="V832" s="121"/>
      <c r="W832" s="121"/>
      <c r="X832" s="121"/>
      <c r="Y832" s="121"/>
      <c r="Z832" s="121"/>
    </row>
    <row r="833" customFormat="false" ht="15.75" hidden="false" customHeight="false" outlineLevel="0" collapsed="false">
      <c r="A833" s="121"/>
      <c r="B833" s="121"/>
      <c r="C833" s="121"/>
      <c r="D833" s="121"/>
      <c r="E833" s="121"/>
      <c r="F833" s="121"/>
      <c r="G833" s="121"/>
      <c r="H833" s="121"/>
      <c r="I833" s="121"/>
      <c r="J833" s="121"/>
      <c r="K833" s="121"/>
      <c r="L833" s="121"/>
      <c r="M833" s="121"/>
      <c r="N833" s="121"/>
      <c r="O833" s="121"/>
      <c r="P833" s="121"/>
      <c r="Q833" s="121"/>
      <c r="R833" s="121"/>
      <c r="S833" s="121"/>
      <c r="T833" s="121"/>
      <c r="U833" s="121"/>
      <c r="V833" s="121"/>
      <c r="W833" s="121"/>
      <c r="X833" s="121"/>
      <c r="Y833" s="121"/>
      <c r="Z833" s="121"/>
    </row>
    <row r="834" customFormat="false" ht="15.75" hidden="false" customHeight="false" outlineLevel="0" collapsed="false">
      <c r="A834" s="121"/>
      <c r="B834" s="121"/>
      <c r="C834" s="121"/>
      <c r="D834" s="121"/>
      <c r="E834" s="121"/>
      <c r="F834" s="121"/>
      <c r="G834" s="121"/>
      <c r="H834" s="121"/>
      <c r="I834" s="121"/>
      <c r="J834" s="121"/>
      <c r="K834" s="121"/>
      <c r="L834" s="121"/>
      <c r="M834" s="121"/>
      <c r="N834" s="121"/>
      <c r="O834" s="121"/>
      <c r="P834" s="121"/>
      <c r="Q834" s="121"/>
      <c r="R834" s="121"/>
      <c r="S834" s="121"/>
      <c r="T834" s="121"/>
      <c r="U834" s="121"/>
      <c r="V834" s="121"/>
      <c r="W834" s="121"/>
      <c r="X834" s="121"/>
      <c r="Y834" s="121"/>
      <c r="Z834" s="121"/>
    </row>
    <row r="835" customFormat="false" ht="15.75" hidden="false" customHeight="false" outlineLevel="0" collapsed="false">
      <c r="A835" s="121"/>
      <c r="B835" s="121"/>
      <c r="C835" s="121"/>
      <c r="D835" s="121"/>
      <c r="E835" s="121"/>
      <c r="F835" s="121"/>
      <c r="G835" s="121"/>
      <c r="H835" s="121"/>
      <c r="I835" s="121"/>
      <c r="J835" s="121"/>
      <c r="K835" s="121"/>
      <c r="L835" s="121"/>
      <c r="M835" s="121"/>
      <c r="N835" s="121"/>
      <c r="O835" s="121"/>
      <c r="P835" s="121"/>
      <c r="Q835" s="121"/>
      <c r="R835" s="121"/>
      <c r="S835" s="121"/>
      <c r="T835" s="121"/>
      <c r="U835" s="121"/>
      <c r="V835" s="121"/>
      <c r="W835" s="121"/>
      <c r="X835" s="121"/>
      <c r="Y835" s="121"/>
      <c r="Z835" s="121"/>
    </row>
    <row r="836" customFormat="false" ht="15.75" hidden="false" customHeight="false" outlineLevel="0" collapsed="false">
      <c r="A836" s="121"/>
      <c r="B836" s="121"/>
      <c r="C836" s="121"/>
      <c r="D836" s="121"/>
      <c r="E836" s="121"/>
      <c r="F836" s="121"/>
      <c r="G836" s="121"/>
      <c r="H836" s="121"/>
      <c r="I836" s="121"/>
      <c r="J836" s="121"/>
      <c r="K836" s="121"/>
      <c r="L836" s="121"/>
      <c r="M836" s="121"/>
      <c r="N836" s="121"/>
      <c r="O836" s="121"/>
      <c r="P836" s="121"/>
      <c r="Q836" s="121"/>
      <c r="R836" s="121"/>
      <c r="S836" s="121"/>
      <c r="T836" s="121"/>
      <c r="U836" s="121"/>
      <c r="V836" s="121"/>
      <c r="W836" s="121"/>
      <c r="X836" s="121"/>
      <c r="Y836" s="121"/>
      <c r="Z836" s="121"/>
    </row>
    <row r="837" customFormat="false" ht="15.75" hidden="false" customHeight="false" outlineLevel="0" collapsed="false">
      <c r="A837" s="121"/>
      <c r="B837" s="121"/>
      <c r="C837" s="121"/>
      <c r="D837" s="121"/>
      <c r="E837" s="121"/>
      <c r="F837" s="121"/>
      <c r="G837" s="121"/>
      <c r="H837" s="121"/>
      <c r="I837" s="121"/>
      <c r="J837" s="121"/>
      <c r="K837" s="121"/>
      <c r="L837" s="121"/>
      <c r="M837" s="121"/>
      <c r="N837" s="121"/>
      <c r="O837" s="121"/>
      <c r="P837" s="121"/>
      <c r="Q837" s="121"/>
      <c r="R837" s="121"/>
      <c r="S837" s="121"/>
      <c r="T837" s="121"/>
      <c r="U837" s="121"/>
      <c r="V837" s="121"/>
      <c r="W837" s="121"/>
      <c r="X837" s="121"/>
      <c r="Y837" s="121"/>
      <c r="Z837" s="121"/>
    </row>
    <row r="838" customFormat="false" ht="15.75" hidden="false" customHeight="false" outlineLevel="0" collapsed="false">
      <c r="A838" s="121"/>
      <c r="B838" s="121"/>
      <c r="C838" s="121"/>
      <c r="D838" s="121"/>
      <c r="E838" s="121"/>
      <c r="F838" s="121"/>
      <c r="G838" s="121"/>
      <c r="H838" s="121"/>
      <c r="I838" s="121"/>
      <c r="J838" s="121"/>
      <c r="K838" s="121"/>
      <c r="L838" s="121"/>
      <c r="M838" s="121"/>
      <c r="N838" s="121"/>
      <c r="O838" s="121"/>
      <c r="P838" s="121"/>
      <c r="Q838" s="121"/>
      <c r="R838" s="121"/>
      <c r="S838" s="121"/>
      <c r="T838" s="121"/>
      <c r="U838" s="121"/>
      <c r="V838" s="121"/>
      <c r="W838" s="121"/>
      <c r="X838" s="121"/>
      <c r="Y838" s="121"/>
      <c r="Z838" s="121"/>
    </row>
    <row r="839" customFormat="false" ht="15.75" hidden="false" customHeight="false" outlineLevel="0" collapsed="false">
      <c r="A839" s="121"/>
      <c r="B839" s="121"/>
      <c r="C839" s="121"/>
      <c r="D839" s="121"/>
      <c r="E839" s="121"/>
      <c r="F839" s="121"/>
      <c r="G839" s="121"/>
      <c r="H839" s="121"/>
      <c r="I839" s="121"/>
      <c r="J839" s="121"/>
      <c r="K839" s="121"/>
      <c r="L839" s="121"/>
      <c r="M839" s="121"/>
      <c r="N839" s="121"/>
      <c r="O839" s="121"/>
      <c r="P839" s="121"/>
      <c r="Q839" s="121"/>
      <c r="R839" s="121"/>
      <c r="S839" s="121"/>
      <c r="T839" s="121"/>
      <c r="U839" s="121"/>
      <c r="V839" s="121"/>
      <c r="W839" s="121"/>
      <c r="X839" s="121"/>
      <c r="Y839" s="121"/>
      <c r="Z839" s="121"/>
    </row>
    <row r="840" customFormat="false" ht="15.75" hidden="false" customHeight="false" outlineLevel="0" collapsed="false">
      <c r="A840" s="121"/>
      <c r="B840" s="121"/>
      <c r="C840" s="121"/>
      <c r="D840" s="121"/>
      <c r="E840" s="121"/>
      <c r="F840" s="121"/>
      <c r="G840" s="121"/>
      <c r="H840" s="121"/>
      <c r="I840" s="121"/>
      <c r="J840" s="121"/>
      <c r="K840" s="121"/>
      <c r="L840" s="121"/>
      <c r="M840" s="121"/>
      <c r="N840" s="121"/>
      <c r="O840" s="121"/>
      <c r="P840" s="121"/>
      <c r="Q840" s="121"/>
      <c r="R840" s="121"/>
      <c r="S840" s="121"/>
      <c r="T840" s="121"/>
      <c r="U840" s="121"/>
      <c r="V840" s="121"/>
      <c r="W840" s="121"/>
      <c r="X840" s="121"/>
      <c r="Y840" s="121"/>
      <c r="Z840" s="121"/>
    </row>
    <row r="841" customFormat="false" ht="15.75" hidden="false" customHeight="false" outlineLevel="0" collapsed="false">
      <c r="A841" s="121"/>
      <c r="B841" s="121"/>
      <c r="C841" s="121"/>
      <c r="D841" s="121"/>
      <c r="E841" s="121"/>
      <c r="F841" s="121"/>
      <c r="G841" s="121"/>
      <c r="H841" s="121"/>
      <c r="I841" s="121"/>
      <c r="J841" s="121"/>
      <c r="K841" s="121"/>
      <c r="L841" s="121"/>
      <c r="M841" s="121"/>
      <c r="N841" s="121"/>
      <c r="O841" s="121"/>
      <c r="P841" s="121"/>
      <c r="Q841" s="121"/>
      <c r="R841" s="121"/>
      <c r="S841" s="121"/>
      <c r="T841" s="121"/>
      <c r="U841" s="121"/>
      <c r="V841" s="121"/>
      <c r="W841" s="121"/>
      <c r="X841" s="121"/>
      <c r="Y841" s="121"/>
      <c r="Z841" s="121"/>
    </row>
    <row r="842" customFormat="false" ht="15.75" hidden="false" customHeight="false" outlineLevel="0" collapsed="false">
      <c r="A842" s="121"/>
      <c r="B842" s="121"/>
      <c r="C842" s="121"/>
      <c r="D842" s="121"/>
      <c r="E842" s="121"/>
      <c r="F842" s="121"/>
      <c r="G842" s="121"/>
      <c r="H842" s="121"/>
      <c r="I842" s="121"/>
      <c r="J842" s="121"/>
      <c r="K842" s="121"/>
      <c r="L842" s="121"/>
      <c r="M842" s="121"/>
      <c r="N842" s="121"/>
      <c r="O842" s="121"/>
      <c r="P842" s="121"/>
      <c r="Q842" s="121"/>
      <c r="R842" s="121"/>
      <c r="S842" s="121"/>
      <c r="T842" s="121"/>
      <c r="U842" s="121"/>
      <c r="V842" s="121"/>
      <c r="W842" s="121"/>
      <c r="X842" s="121"/>
      <c r="Y842" s="121"/>
      <c r="Z842" s="121"/>
    </row>
    <row r="843" customFormat="false" ht="15.75" hidden="false" customHeight="false" outlineLevel="0" collapsed="false">
      <c r="A843" s="121"/>
      <c r="B843" s="121"/>
      <c r="C843" s="121"/>
      <c r="D843" s="121"/>
      <c r="E843" s="121"/>
      <c r="F843" s="121"/>
      <c r="G843" s="121"/>
      <c r="H843" s="121"/>
      <c r="I843" s="121"/>
      <c r="J843" s="121"/>
      <c r="K843" s="121"/>
      <c r="L843" s="121"/>
      <c r="M843" s="121"/>
      <c r="N843" s="121"/>
      <c r="O843" s="121"/>
      <c r="P843" s="121"/>
      <c r="Q843" s="121"/>
      <c r="R843" s="121"/>
      <c r="S843" s="121"/>
      <c r="T843" s="121"/>
      <c r="U843" s="121"/>
      <c r="V843" s="121"/>
      <c r="W843" s="121"/>
      <c r="X843" s="121"/>
      <c r="Y843" s="121"/>
      <c r="Z843" s="121"/>
    </row>
    <row r="844" customFormat="false" ht="15.75" hidden="false" customHeight="false" outlineLevel="0" collapsed="false">
      <c r="A844" s="121"/>
      <c r="B844" s="121"/>
      <c r="C844" s="121"/>
      <c r="D844" s="121"/>
      <c r="E844" s="121"/>
      <c r="F844" s="121"/>
      <c r="G844" s="121"/>
      <c r="H844" s="121"/>
      <c r="I844" s="121"/>
      <c r="J844" s="121"/>
      <c r="K844" s="121"/>
      <c r="L844" s="121"/>
      <c r="M844" s="121"/>
      <c r="N844" s="121"/>
      <c r="O844" s="121"/>
      <c r="P844" s="121"/>
      <c r="Q844" s="121"/>
      <c r="R844" s="121"/>
      <c r="S844" s="121"/>
      <c r="T844" s="121"/>
      <c r="U844" s="121"/>
      <c r="V844" s="121"/>
      <c r="W844" s="121"/>
      <c r="X844" s="121"/>
      <c r="Y844" s="121"/>
      <c r="Z844" s="121"/>
    </row>
    <row r="845" customFormat="false" ht="15.75" hidden="false" customHeight="false" outlineLevel="0" collapsed="false">
      <c r="A845" s="121"/>
      <c r="B845" s="121"/>
      <c r="C845" s="121"/>
      <c r="D845" s="121"/>
      <c r="E845" s="121"/>
      <c r="F845" s="121"/>
      <c r="G845" s="121"/>
      <c r="H845" s="121"/>
      <c r="I845" s="121"/>
      <c r="J845" s="121"/>
      <c r="K845" s="121"/>
      <c r="L845" s="121"/>
      <c r="M845" s="121"/>
      <c r="N845" s="121"/>
      <c r="O845" s="121"/>
      <c r="P845" s="121"/>
      <c r="Q845" s="121"/>
      <c r="R845" s="121"/>
      <c r="S845" s="121"/>
      <c r="T845" s="121"/>
      <c r="U845" s="121"/>
      <c r="V845" s="121"/>
      <c r="W845" s="121"/>
      <c r="X845" s="121"/>
      <c r="Y845" s="121"/>
      <c r="Z845" s="121"/>
    </row>
    <row r="846" customFormat="false" ht="15.75" hidden="false" customHeight="false" outlineLevel="0" collapsed="false">
      <c r="A846" s="121"/>
      <c r="B846" s="121"/>
      <c r="C846" s="121"/>
      <c r="D846" s="121"/>
      <c r="E846" s="121"/>
      <c r="F846" s="121"/>
      <c r="G846" s="121"/>
      <c r="H846" s="121"/>
      <c r="I846" s="121"/>
      <c r="J846" s="121"/>
      <c r="K846" s="121"/>
      <c r="L846" s="121"/>
      <c r="M846" s="121"/>
      <c r="N846" s="121"/>
      <c r="O846" s="121"/>
      <c r="P846" s="121"/>
      <c r="Q846" s="121"/>
      <c r="R846" s="121"/>
      <c r="S846" s="121"/>
      <c r="T846" s="121"/>
      <c r="U846" s="121"/>
      <c r="V846" s="121"/>
      <c r="W846" s="121"/>
      <c r="X846" s="121"/>
      <c r="Y846" s="121"/>
      <c r="Z846" s="121"/>
    </row>
    <row r="847" customFormat="false" ht="15.75" hidden="false" customHeight="false" outlineLevel="0" collapsed="false">
      <c r="A847" s="121"/>
      <c r="B847" s="121"/>
      <c r="C847" s="121"/>
      <c r="D847" s="121"/>
      <c r="E847" s="121"/>
      <c r="F847" s="121"/>
      <c r="G847" s="121"/>
      <c r="H847" s="121"/>
      <c r="I847" s="121"/>
      <c r="J847" s="121"/>
      <c r="K847" s="121"/>
      <c r="L847" s="121"/>
      <c r="M847" s="121"/>
      <c r="N847" s="121"/>
      <c r="O847" s="121"/>
      <c r="P847" s="121"/>
      <c r="Q847" s="121"/>
      <c r="R847" s="121"/>
      <c r="S847" s="121"/>
      <c r="T847" s="121"/>
      <c r="U847" s="121"/>
      <c r="V847" s="121"/>
      <c r="W847" s="121"/>
      <c r="X847" s="121"/>
      <c r="Y847" s="121"/>
      <c r="Z847" s="121"/>
    </row>
    <row r="848" customFormat="false" ht="15.75" hidden="false" customHeight="false" outlineLevel="0" collapsed="false">
      <c r="A848" s="121"/>
      <c r="B848" s="121"/>
      <c r="C848" s="121"/>
      <c r="D848" s="121"/>
      <c r="E848" s="121"/>
      <c r="F848" s="121"/>
      <c r="G848" s="121"/>
      <c r="H848" s="121"/>
      <c r="I848" s="121"/>
      <c r="J848" s="121"/>
      <c r="K848" s="121"/>
      <c r="L848" s="121"/>
      <c r="M848" s="121"/>
      <c r="N848" s="121"/>
      <c r="O848" s="121"/>
      <c r="P848" s="121"/>
      <c r="Q848" s="121"/>
      <c r="R848" s="121"/>
      <c r="S848" s="121"/>
      <c r="T848" s="121"/>
      <c r="U848" s="121"/>
      <c r="V848" s="121"/>
      <c r="W848" s="121"/>
      <c r="X848" s="121"/>
      <c r="Y848" s="121"/>
      <c r="Z848" s="121"/>
    </row>
    <row r="849" customFormat="false" ht="15.75" hidden="false" customHeight="false" outlineLevel="0" collapsed="false">
      <c r="A849" s="121"/>
      <c r="B849" s="121"/>
      <c r="C849" s="121"/>
      <c r="D849" s="121"/>
      <c r="E849" s="121"/>
      <c r="F849" s="121"/>
      <c r="G849" s="121"/>
      <c r="H849" s="121"/>
      <c r="I849" s="121"/>
      <c r="J849" s="121"/>
      <c r="K849" s="121"/>
      <c r="L849" s="121"/>
      <c r="M849" s="121"/>
      <c r="N849" s="121"/>
      <c r="O849" s="121"/>
      <c r="P849" s="121"/>
      <c r="Q849" s="121"/>
      <c r="R849" s="121"/>
      <c r="S849" s="121"/>
      <c r="T849" s="121"/>
      <c r="U849" s="121"/>
      <c r="V849" s="121"/>
      <c r="W849" s="121"/>
      <c r="X849" s="121"/>
      <c r="Y849" s="121"/>
      <c r="Z849" s="121"/>
    </row>
    <row r="850" customFormat="false" ht="15.75" hidden="false" customHeight="false" outlineLevel="0" collapsed="false">
      <c r="A850" s="121"/>
      <c r="B850" s="121"/>
      <c r="C850" s="121"/>
      <c r="D850" s="121"/>
      <c r="E850" s="121"/>
      <c r="F850" s="121"/>
      <c r="G850" s="121"/>
      <c r="H850" s="121"/>
      <c r="I850" s="121"/>
      <c r="J850" s="121"/>
      <c r="K850" s="121"/>
      <c r="L850" s="121"/>
      <c r="M850" s="121"/>
      <c r="N850" s="121"/>
      <c r="O850" s="121"/>
      <c r="P850" s="121"/>
      <c r="Q850" s="121"/>
      <c r="R850" s="121"/>
      <c r="S850" s="121"/>
      <c r="T850" s="121"/>
      <c r="U850" s="121"/>
      <c r="V850" s="121"/>
      <c r="W850" s="121"/>
      <c r="X850" s="121"/>
      <c r="Y850" s="121"/>
      <c r="Z850" s="121"/>
    </row>
    <row r="851" customFormat="false" ht="15.75" hidden="false" customHeight="false" outlineLevel="0" collapsed="false">
      <c r="A851" s="121"/>
      <c r="B851" s="121"/>
      <c r="C851" s="121"/>
      <c r="D851" s="121"/>
      <c r="E851" s="121"/>
      <c r="F851" s="121"/>
      <c r="G851" s="121"/>
      <c r="H851" s="121"/>
      <c r="I851" s="121"/>
      <c r="J851" s="121"/>
      <c r="K851" s="121"/>
      <c r="L851" s="121"/>
      <c r="M851" s="121"/>
      <c r="N851" s="121"/>
      <c r="O851" s="121"/>
      <c r="P851" s="121"/>
      <c r="Q851" s="121"/>
      <c r="R851" s="121"/>
      <c r="S851" s="121"/>
      <c r="T851" s="121"/>
      <c r="U851" s="121"/>
      <c r="V851" s="121"/>
      <c r="W851" s="121"/>
      <c r="X851" s="121"/>
      <c r="Y851" s="121"/>
      <c r="Z851" s="121"/>
    </row>
    <row r="852" customFormat="false" ht="15.75" hidden="false" customHeight="false" outlineLevel="0" collapsed="false">
      <c r="A852" s="121"/>
      <c r="B852" s="121"/>
      <c r="C852" s="121"/>
      <c r="D852" s="121"/>
      <c r="E852" s="121"/>
      <c r="F852" s="121"/>
      <c r="G852" s="121"/>
      <c r="H852" s="121"/>
      <c r="I852" s="121"/>
      <c r="J852" s="121"/>
      <c r="K852" s="121"/>
      <c r="L852" s="121"/>
      <c r="M852" s="121"/>
      <c r="N852" s="121"/>
      <c r="O852" s="121"/>
      <c r="P852" s="121"/>
      <c r="Q852" s="121"/>
      <c r="R852" s="121"/>
      <c r="S852" s="121"/>
      <c r="T852" s="121"/>
      <c r="U852" s="121"/>
      <c r="V852" s="121"/>
      <c r="W852" s="121"/>
      <c r="X852" s="121"/>
      <c r="Y852" s="121"/>
      <c r="Z852" s="121"/>
    </row>
    <row r="853" customFormat="false" ht="15.75" hidden="false" customHeight="false" outlineLevel="0" collapsed="false">
      <c r="A853" s="121"/>
      <c r="B853" s="121"/>
      <c r="C853" s="121"/>
      <c r="D853" s="121"/>
      <c r="E853" s="121"/>
      <c r="F853" s="121"/>
      <c r="G853" s="121"/>
      <c r="H853" s="121"/>
      <c r="I853" s="121"/>
      <c r="J853" s="121"/>
      <c r="K853" s="121"/>
      <c r="L853" s="121"/>
      <c r="M853" s="121"/>
      <c r="N853" s="121"/>
      <c r="O853" s="121"/>
      <c r="P853" s="121"/>
      <c r="Q853" s="121"/>
      <c r="R853" s="121"/>
      <c r="S853" s="121"/>
      <c r="T853" s="121"/>
      <c r="U853" s="121"/>
      <c r="V853" s="121"/>
      <c r="W853" s="121"/>
      <c r="X853" s="121"/>
      <c r="Y853" s="121"/>
      <c r="Z853" s="121"/>
    </row>
    <row r="854" customFormat="false" ht="15.75" hidden="false" customHeight="false" outlineLevel="0" collapsed="false">
      <c r="A854" s="121"/>
      <c r="B854" s="121"/>
      <c r="C854" s="121"/>
      <c r="D854" s="121"/>
      <c r="E854" s="121"/>
      <c r="F854" s="121"/>
      <c r="G854" s="121"/>
      <c r="H854" s="121"/>
      <c r="I854" s="121"/>
      <c r="J854" s="121"/>
      <c r="K854" s="121"/>
      <c r="L854" s="121"/>
      <c r="M854" s="121"/>
      <c r="N854" s="121"/>
      <c r="O854" s="121"/>
      <c r="P854" s="121"/>
      <c r="Q854" s="121"/>
      <c r="R854" s="121"/>
      <c r="S854" s="121"/>
      <c r="T854" s="121"/>
      <c r="U854" s="121"/>
      <c r="V854" s="121"/>
      <c r="W854" s="121"/>
      <c r="X854" s="121"/>
      <c r="Y854" s="121"/>
      <c r="Z854" s="121"/>
    </row>
    <row r="855" customFormat="false" ht="15.75" hidden="false" customHeight="false" outlineLevel="0" collapsed="false">
      <c r="A855" s="121"/>
      <c r="B855" s="121"/>
      <c r="C855" s="121"/>
      <c r="D855" s="121"/>
      <c r="E855" s="121"/>
      <c r="F855" s="121"/>
      <c r="G855" s="121"/>
      <c r="H855" s="121"/>
      <c r="I855" s="121"/>
      <c r="J855" s="121"/>
      <c r="K855" s="121"/>
      <c r="L855" s="121"/>
      <c r="M855" s="121"/>
      <c r="N855" s="121"/>
      <c r="O855" s="121"/>
      <c r="P855" s="121"/>
      <c r="Q855" s="121"/>
      <c r="R855" s="121"/>
      <c r="S855" s="121"/>
      <c r="T855" s="121"/>
      <c r="U855" s="121"/>
      <c r="V855" s="121"/>
      <c r="W855" s="121"/>
      <c r="X855" s="121"/>
      <c r="Y855" s="121"/>
      <c r="Z855" s="121"/>
    </row>
    <row r="856" customFormat="false" ht="15.75" hidden="false" customHeight="false" outlineLevel="0" collapsed="false">
      <c r="A856" s="121"/>
      <c r="B856" s="121"/>
      <c r="C856" s="121"/>
      <c r="D856" s="121"/>
      <c r="E856" s="121"/>
      <c r="F856" s="121"/>
      <c r="G856" s="121"/>
      <c r="H856" s="121"/>
      <c r="I856" s="121"/>
      <c r="J856" s="121"/>
      <c r="K856" s="121"/>
      <c r="L856" s="121"/>
      <c r="M856" s="121"/>
      <c r="N856" s="121"/>
      <c r="O856" s="121"/>
      <c r="P856" s="121"/>
      <c r="Q856" s="121"/>
      <c r="R856" s="121"/>
      <c r="S856" s="121"/>
      <c r="T856" s="121"/>
      <c r="U856" s="121"/>
      <c r="V856" s="121"/>
      <c r="W856" s="121"/>
      <c r="X856" s="121"/>
      <c r="Y856" s="121"/>
      <c r="Z856" s="121"/>
    </row>
    <row r="857" customFormat="false" ht="15.75" hidden="false" customHeight="false" outlineLevel="0" collapsed="false">
      <c r="A857" s="121"/>
      <c r="B857" s="121"/>
      <c r="C857" s="121"/>
      <c r="D857" s="121"/>
      <c r="E857" s="121"/>
      <c r="F857" s="121"/>
      <c r="G857" s="121"/>
      <c r="H857" s="121"/>
      <c r="I857" s="121"/>
      <c r="J857" s="121"/>
      <c r="K857" s="121"/>
      <c r="L857" s="121"/>
      <c r="M857" s="121"/>
      <c r="N857" s="121"/>
      <c r="O857" s="121"/>
      <c r="P857" s="121"/>
      <c r="Q857" s="121"/>
      <c r="R857" s="121"/>
      <c r="S857" s="121"/>
      <c r="T857" s="121"/>
      <c r="U857" s="121"/>
      <c r="V857" s="121"/>
      <c r="W857" s="121"/>
      <c r="X857" s="121"/>
      <c r="Y857" s="121"/>
      <c r="Z857" s="121"/>
    </row>
    <row r="858" customFormat="false" ht="15.75" hidden="false" customHeight="false" outlineLevel="0" collapsed="false">
      <c r="A858" s="121"/>
      <c r="B858" s="121"/>
      <c r="C858" s="121"/>
      <c r="D858" s="121"/>
      <c r="E858" s="121"/>
      <c r="F858" s="121"/>
      <c r="G858" s="121"/>
      <c r="H858" s="121"/>
      <c r="I858" s="121"/>
      <c r="J858" s="121"/>
      <c r="K858" s="121"/>
      <c r="L858" s="121"/>
      <c r="M858" s="121"/>
      <c r="N858" s="121"/>
      <c r="O858" s="121"/>
      <c r="P858" s="121"/>
      <c r="Q858" s="121"/>
      <c r="R858" s="121"/>
      <c r="S858" s="121"/>
      <c r="T858" s="121"/>
      <c r="U858" s="121"/>
      <c r="V858" s="121"/>
      <c r="W858" s="121"/>
      <c r="X858" s="121"/>
      <c r="Y858" s="121"/>
      <c r="Z858" s="121"/>
    </row>
    <row r="859" customFormat="false" ht="15.75" hidden="false" customHeight="false" outlineLevel="0" collapsed="false">
      <c r="A859" s="121"/>
      <c r="B859" s="121"/>
      <c r="C859" s="121"/>
      <c r="D859" s="121"/>
      <c r="E859" s="121"/>
      <c r="F859" s="121"/>
      <c r="G859" s="121"/>
      <c r="H859" s="121"/>
      <c r="I859" s="121"/>
      <c r="J859" s="121"/>
      <c r="K859" s="121"/>
      <c r="L859" s="121"/>
      <c r="M859" s="121"/>
      <c r="N859" s="121"/>
      <c r="O859" s="121"/>
      <c r="P859" s="121"/>
      <c r="Q859" s="121"/>
      <c r="R859" s="121"/>
      <c r="S859" s="121"/>
      <c r="T859" s="121"/>
      <c r="U859" s="121"/>
      <c r="V859" s="121"/>
      <c r="W859" s="121"/>
      <c r="X859" s="121"/>
      <c r="Y859" s="121"/>
      <c r="Z859" s="121"/>
    </row>
    <row r="860" customFormat="false" ht="15.75" hidden="false" customHeight="false" outlineLevel="0" collapsed="false">
      <c r="A860" s="121"/>
      <c r="B860" s="121"/>
      <c r="C860" s="121"/>
      <c r="D860" s="121"/>
      <c r="E860" s="121"/>
      <c r="F860" s="121"/>
      <c r="G860" s="121"/>
      <c r="H860" s="121"/>
      <c r="I860" s="121"/>
      <c r="J860" s="121"/>
      <c r="K860" s="121"/>
      <c r="L860" s="121"/>
      <c r="M860" s="121"/>
      <c r="N860" s="121"/>
      <c r="O860" s="121"/>
      <c r="P860" s="121"/>
      <c r="Q860" s="121"/>
      <c r="R860" s="121"/>
      <c r="S860" s="121"/>
      <c r="T860" s="121"/>
      <c r="U860" s="121"/>
      <c r="V860" s="121"/>
      <c r="W860" s="121"/>
      <c r="X860" s="121"/>
      <c r="Y860" s="121"/>
      <c r="Z860" s="121"/>
    </row>
    <row r="861" customFormat="false" ht="15.75" hidden="false" customHeight="false" outlineLevel="0" collapsed="false">
      <c r="A861" s="121"/>
      <c r="B861" s="121"/>
      <c r="C861" s="121"/>
      <c r="D861" s="121"/>
      <c r="E861" s="121"/>
      <c r="F861" s="121"/>
      <c r="G861" s="121"/>
      <c r="H861" s="121"/>
      <c r="I861" s="121"/>
      <c r="J861" s="121"/>
      <c r="K861" s="121"/>
      <c r="L861" s="121"/>
      <c r="M861" s="121"/>
      <c r="N861" s="121"/>
      <c r="O861" s="121"/>
      <c r="P861" s="121"/>
      <c r="Q861" s="121"/>
      <c r="R861" s="121"/>
      <c r="S861" s="121"/>
      <c r="T861" s="121"/>
      <c r="U861" s="121"/>
      <c r="V861" s="121"/>
      <c r="W861" s="121"/>
      <c r="X861" s="121"/>
      <c r="Y861" s="121"/>
      <c r="Z861" s="121"/>
    </row>
    <row r="862" customFormat="false" ht="15.75" hidden="false" customHeight="false" outlineLevel="0" collapsed="false">
      <c r="A862" s="121"/>
      <c r="B862" s="121"/>
      <c r="C862" s="121"/>
      <c r="D862" s="121"/>
      <c r="E862" s="121"/>
      <c r="F862" s="121"/>
      <c r="G862" s="121"/>
      <c r="H862" s="121"/>
      <c r="I862" s="121"/>
      <c r="J862" s="121"/>
      <c r="K862" s="121"/>
      <c r="L862" s="121"/>
      <c r="M862" s="121"/>
      <c r="N862" s="121"/>
      <c r="O862" s="121"/>
      <c r="P862" s="121"/>
      <c r="Q862" s="121"/>
      <c r="R862" s="121"/>
      <c r="S862" s="121"/>
      <c r="T862" s="121"/>
      <c r="U862" s="121"/>
      <c r="V862" s="121"/>
      <c r="W862" s="121"/>
      <c r="X862" s="121"/>
      <c r="Y862" s="121"/>
      <c r="Z862" s="121"/>
    </row>
    <row r="863" customFormat="false" ht="15.75" hidden="false" customHeight="false" outlineLevel="0" collapsed="false">
      <c r="A863" s="121"/>
      <c r="B863" s="121"/>
      <c r="C863" s="121"/>
      <c r="D863" s="121"/>
      <c r="E863" s="121"/>
      <c r="F863" s="121"/>
      <c r="G863" s="121"/>
      <c r="H863" s="121"/>
      <c r="I863" s="121"/>
      <c r="J863" s="121"/>
      <c r="K863" s="121"/>
      <c r="L863" s="121"/>
      <c r="M863" s="121"/>
      <c r="N863" s="121"/>
      <c r="O863" s="121"/>
      <c r="P863" s="121"/>
      <c r="Q863" s="121"/>
      <c r="R863" s="121"/>
      <c r="S863" s="121"/>
      <c r="T863" s="121"/>
      <c r="U863" s="121"/>
      <c r="V863" s="121"/>
      <c r="W863" s="121"/>
      <c r="X863" s="121"/>
      <c r="Y863" s="121"/>
      <c r="Z863" s="121"/>
    </row>
    <row r="864" customFormat="false" ht="15.75" hidden="false" customHeight="false" outlineLevel="0" collapsed="false">
      <c r="A864" s="121"/>
      <c r="B864" s="121"/>
      <c r="C864" s="121"/>
      <c r="D864" s="121"/>
      <c r="E864" s="121"/>
      <c r="F864" s="121"/>
      <c r="G864" s="121"/>
      <c r="H864" s="121"/>
      <c r="I864" s="121"/>
      <c r="J864" s="121"/>
      <c r="K864" s="121"/>
      <c r="L864" s="121"/>
      <c r="M864" s="121"/>
      <c r="N864" s="121"/>
      <c r="O864" s="121"/>
      <c r="P864" s="121"/>
      <c r="Q864" s="121"/>
      <c r="R864" s="121"/>
      <c r="S864" s="121"/>
      <c r="T864" s="121"/>
      <c r="U864" s="121"/>
      <c r="V864" s="121"/>
      <c r="W864" s="121"/>
      <c r="X864" s="121"/>
      <c r="Y864" s="121"/>
      <c r="Z864" s="121"/>
    </row>
    <row r="865" customFormat="false" ht="15.75" hidden="false" customHeight="false" outlineLevel="0" collapsed="false">
      <c r="A865" s="121"/>
      <c r="B865" s="121"/>
      <c r="C865" s="121"/>
      <c r="D865" s="121"/>
      <c r="E865" s="121"/>
      <c r="F865" s="121"/>
      <c r="G865" s="121"/>
      <c r="H865" s="121"/>
      <c r="I865" s="121"/>
      <c r="J865" s="121"/>
      <c r="K865" s="121"/>
      <c r="L865" s="121"/>
      <c r="M865" s="121"/>
      <c r="N865" s="121"/>
      <c r="O865" s="121"/>
      <c r="P865" s="121"/>
      <c r="Q865" s="121"/>
      <c r="R865" s="121"/>
      <c r="S865" s="121"/>
      <c r="T865" s="121"/>
      <c r="U865" s="121"/>
      <c r="V865" s="121"/>
      <c r="W865" s="121"/>
      <c r="X865" s="121"/>
      <c r="Y865" s="121"/>
      <c r="Z865" s="121"/>
    </row>
    <row r="866" customFormat="false" ht="15.75" hidden="false" customHeight="false" outlineLevel="0" collapsed="false">
      <c r="A866" s="121"/>
      <c r="B866" s="121"/>
      <c r="C866" s="121"/>
      <c r="D866" s="121"/>
      <c r="E866" s="121"/>
      <c r="F866" s="121"/>
      <c r="G866" s="121"/>
      <c r="H866" s="121"/>
      <c r="I866" s="121"/>
      <c r="J866" s="121"/>
      <c r="K866" s="121"/>
      <c r="L866" s="121"/>
      <c r="M866" s="121"/>
      <c r="N866" s="121"/>
      <c r="O866" s="121"/>
      <c r="P866" s="121"/>
      <c r="Q866" s="121"/>
      <c r="R866" s="121"/>
      <c r="S866" s="121"/>
      <c r="T866" s="121"/>
      <c r="U866" s="121"/>
      <c r="V866" s="121"/>
      <c r="W866" s="121"/>
      <c r="X866" s="121"/>
      <c r="Y866" s="121"/>
      <c r="Z866" s="121"/>
    </row>
    <row r="867" customFormat="false" ht="15.75" hidden="false" customHeight="false" outlineLevel="0" collapsed="false">
      <c r="A867" s="121"/>
      <c r="B867" s="121"/>
      <c r="C867" s="121"/>
      <c r="D867" s="121"/>
      <c r="E867" s="121"/>
      <c r="F867" s="121"/>
      <c r="G867" s="121"/>
      <c r="H867" s="121"/>
      <c r="I867" s="121"/>
      <c r="J867" s="121"/>
      <c r="K867" s="121"/>
      <c r="L867" s="121"/>
      <c r="M867" s="121"/>
      <c r="N867" s="121"/>
      <c r="O867" s="121"/>
      <c r="P867" s="121"/>
      <c r="Q867" s="121"/>
      <c r="R867" s="121"/>
      <c r="S867" s="121"/>
      <c r="T867" s="121"/>
      <c r="U867" s="121"/>
      <c r="V867" s="121"/>
      <c r="W867" s="121"/>
      <c r="X867" s="121"/>
      <c r="Y867" s="121"/>
      <c r="Z867" s="121"/>
    </row>
    <row r="868" customFormat="false" ht="15.75" hidden="false" customHeight="false" outlineLevel="0" collapsed="false">
      <c r="A868" s="121"/>
      <c r="B868" s="121"/>
      <c r="C868" s="121"/>
      <c r="D868" s="121"/>
      <c r="E868" s="121"/>
      <c r="F868" s="121"/>
      <c r="G868" s="121"/>
      <c r="H868" s="121"/>
      <c r="I868" s="121"/>
      <c r="J868" s="121"/>
      <c r="K868" s="121"/>
      <c r="L868" s="121"/>
      <c r="M868" s="121"/>
      <c r="N868" s="121"/>
      <c r="O868" s="121"/>
      <c r="P868" s="121"/>
      <c r="Q868" s="121"/>
      <c r="R868" s="121"/>
      <c r="S868" s="121"/>
      <c r="T868" s="121"/>
      <c r="U868" s="121"/>
      <c r="V868" s="121"/>
      <c r="W868" s="121"/>
      <c r="X868" s="121"/>
      <c r="Y868" s="121"/>
      <c r="Z868" s="121"/>
    </row>
    <row r="869" customFormat="false" ht="15.75" hidden="false" customHeight="false" outlineLevel="0" collapsed="false">
      <c r="A869" s="121"/>
      <c r="B869" s="121"/>
      <c r="C869" s="121"/>
      <c r="D869" s="121"/>
      <c r="E869" s="121"/>
      <c r="F869" s="121"/>
      <c r="G869" s="121"/>
      <c r="H869" s="121"/>
      <c r="I869" s="121"/>
      <c r="J869" s="121"/>
      <c r="K869" s="121"/>
      <c r="L869" s="121"/>
      <c r="M869" s="121"/>
      <c r="N869" s="121"/>
      <c r="O869" s="121"/>
      <c r="P869" s="121"/>
      <c r="Q869" s="121"/>
      <c r="R869" s="121"/>
      <c r="S869" s="121"/>
      <c r="T869" s="121"/>
      <c r="U869" s="121"/>
      <c r="V869" s="121"/>
      <c r="W869" s="121"/>
      <c r="X869" s="121"/>
      <c r="Y869" s="121"/>
      <c r="Z869" s="121"/>
    </row>
    <row r="870" customFormat="false" ht="15.75" hidden="false" customHeight="false" outlineLevel="0" collapsed="false">
      <c r="A870" s="121"/>
      <c r="B870" s="121"/>
      <c r="C870" s="121"/>
      <c r="D870" s="121"/>
      <c r="E870" s="121"/>
      <c r="F870" s="121"/>
      <c r="G870" s="121"/>
      <c r="H870" s="121"/>
      <c r="I870" s="121"/>
      <c r="J870" s="121"/>
      <c r="K870" s="121"/>
      <c r="L870" s="121"/>
      <c r="M870" s="121"/>
      <c r="N870" s="121"/>
      <c r="O870" s="121"/>
      <c r="P870" s="121"/>
      <c r="Q870" s="121"/>
      <c r="R870" s="121"/>
      <c r="S870" s="121"/>
      <c r="T870" s="121"/>
      <c r="U870" s="121"/>
      <c r="V870" s="121"/>
      <c r="W870" s="121"/>
      <c r="X870" s="121"/>
      <c r="Y870" s="121"/>
      <c r="Z870" s="121"/>
    </row>
    <row r="871" customFormat="false" ht="15.75" hidden="false" customHeight="false" outlineLevel="0" collapsed="false">
      <c r="A871" s="121"/>
      <c r="B871" s="121"/>
      <c r="C871" s="121"/>
      <c r="D871" s="121"/>
      <c r="E871" s="121"/>
      <c r="F871" s="121"/>
      <c r="G871" s="121"/>
      <c r="H871" s="121"/>
      <c r="I871" s="121"/>
      <c r="J871" s="121"/>
      <c r="K871" s="121"/>
      <c r="L871" s="121"/>
      <c r="M871" s="121"/>
      <c r="N871" s="121"/>
      <c r="O871" s="121"/>
      <c r="P871" s="121"/>
      <c r="Q871" s="121"/>
      <c r="R871" s="121"/>
      <c r="S871" s="121"/>
      <c r="T871" s="121"/>
      <c r="U871" s="121"/>
      <c r="V871" s="121"/>
      <c r="W871" s="121"/>
      <c r="X871" s="121"/>
      <c r="Y871" s="121"/>
      <c r="Z871" s="121"/>
    </row>
    <row r="872" customFormat="false" ht="15.75" hidden="false" customHeight="false" outlineLevel="0" collapsed="false">
      <c r="A872" s="121"/>
      <c r="B872" s="121"/>
      <c r="C872" s="121"/>
      <c r="D872" s="121"/>
      <c r="E872" s="121"/>
      <c r="F872" s="121"/>
      <c r="G872" s="121"/>
      <c r="H872" s="121"/>
      <c r="I872" s="121"/>
      <c r="J872" s="121"/>
      <c r="K872" s="121"/>
      <c r="L872" s="121"/>
      <c r="M872" s="121"/>
      <c r="N872" s="121"/>
      <c r="O872" s="121"/>
      <c r="P872" s="121"/>
      <c r="Q872" s="121"/>
      <c r="R872" s="121"/>
      <c r="S872" s="121"/>
      <c r="T872" s="121"/>
      <c r="U872" s="121"/>
      <c r="V872" s="121"/>
      <c r="W872" s="121"/>
      <c r="X872" s="121"/>
      <c r="Y872" s="121"/>
      <c r="Z872" s="121"/>
    </row>
    <row r="873" customFormat="false" ht="15.75" hidden="false" customHeight="false" outlineLevel="0" collapsed="false">
      <c r="A873" s="121"/>
      <c r="B873" s="121"/>
      <c r="C873" s="121"/>
      <c r="D873" s="121"/>
      <c r="E873" s="121"/>
      <c r="F873" s="121"/>
      <c r="G873" s="121"/>
      <c r="H873" s="121"/>
      <c r="I873" s="121"/>
      <c r="J873" s="121"/>
      <c r="K873" s="121"/>
      <c r="L873" s="121"/>
      <c r="M873" s="121"/>
      <c r="N873" s="121"/>
      <c r="O873" s="121"/>
      <c r="P873" s="121"/>
      <c r="Q873" s="121"/>
      <c r="R873" s="121"/>
      <c r="S873" s="121"/>
      <c r="T873" s="121"/>
      <c r="U873" s="121"/>
      <c r="V873" s="121"/>
      <c r="W873" s="121"/>
      <c r="X873" s="121"/>
      <c r="Y873" s="121"/>
      <c r="Z873" s="121"/>
    </row>
    <row r="874" customFormat="false" ht="15.75" hidden="false" customHeight="false" outlineLevel="0" collapsed="false">
      <c r="A874" s="121"/>
      <c r="B874" s="121"/>
      <c r="C874" s="121"/>
      <c r="D874" s="121"/>
      <c r="E874" s="121"/>
      <c r="F874" s="121"/>
      <c r="G874" s="121"/>
      <c r="H874" s="121"/>
      <c r="I874" s="121"/>
      <c r="J874" s="121"/>
      <c r="K874" s="121"/>
      <c r="L874" s="121"/>
      <c r="M874" s="121"/>
      <c r="N874" s="121"/>
      <c r="O874" s="121"/>
      <c r="P874" s="121"/>
      <c r="Q874" s="121"/>
      <c r="R874" s="121"/>
      <c r="S874" s="121"/>
      <c r="T874" s="121"/>
      <c r="U874" s="121"/>
      <c r="V874" s="121"/>
      <c r="W874" s="121"/>
      <c r="X874" s="121"/>
      <c r="Y874" s="121"/>
      <c r="Z874" s="121"/>
    </row>
    <row r="875" customFormat="false" ht="15.75" hidden="false" customHeight="false" outlineLevel="0" collapsed="false">
      <c r="A875" s="121"/>
      <c r="B875" s="121"/>
      <c r="C875" s="121"/>
      <c r="D875" s="121"/>
      <c r="E875" s="121"/>
      <c r="F875" s="121"/>
      <c r="G875" s="121"/>
      <c r="H875" s="121"/>
      <c r="I875" s="121"/>
      <c r="J875" s="121"/>
      <c r="K875" s="121"/>
      <c r="L875" s="121"/>
      <c r="M875" s="121"/>
      <c r="N875" s="121"/>
      <c r="O875" s="121"/>
      <c r="P875" s="121"/>
      <c r="Q875" s="121"/>
      <c r="R875" s="121"/>
      <c r="S875" s="121"/>
      <c r="T875" s="121"/>
      <c r="U875" s="121"/>
      <c r="V875" s="121"/>
      <c r="W875" s="121"/>
      <c r="X875" s="121"/>
      <c r="Y875" s="121"/>
      <c r="Z875" s="121"/>
    </row>
    <row r="876" customFormat="false" ht="15.75" hidden="false" customHeight="false" outlineLevel="0" collapsed="false">
      <c r="A876" s="121"/>
      <c r="B876" s="121"/>
      <c r="C876" s="121"/>
      <c r="D876" s="121"/>
      <c r="E876" s="121"/>
      <c r="F876" s="121"/>
      <c r="G876" s="121"/>
      <c r="H876" s="121"/>
      <c r="I876" s="121"/>
      <c r="J876" s="121"/>
      <c r="K876" s="121"/>
      <c r="L876" s="121"/>
      <c r="M876" s="121"/>
      <c r="N876" s="121"/>
      <c r="O876" s="121"/>
      <c r="P876" s="121"/>
      <c r="Q876" s="121"/>
      <c r="R876" s="121"/>
      <c r="S876" s="121"/>
      <c r="T876" s="121"/>
      <c r="U876" s="121"/>
      <c r="V876" s="121"/>
      <c r="W876" s="121"/>
      <c r="X876" s="121"/>
      <c r="Y876" s="121"/>
      <c r="Z876" s="121"/>
    </row>
    <row r="877" customFormat="false" ht="15.75" hidden="false" customHeight="false" outlineLevel="0" collapsed="false">
      <c r="A877" s="121"/>
      <c r="B877" s="121"/>
      <c r="C877" s="121"/>
      <c r="D877" s="121"/>
      <c r="E877" s="121"/>
      <c r="F877" s="121"/>
      <c r="G877" s="121"/>
      <c r="H877" s="121"/>
      <c r="I877" s="121"/>
      <c r="J877" s="121"/>
      <c r="K877" s="121"/>
      <c r="L877" s="121"/>
      <c r="M877" s="121"/>
      <c r="N877" s="121"/>
      <c r="O877" s="121"/>
      <c r="P877" s="121"/>
      <c r="Q877" s="121"/>
      <c r="R877" s="121"/>
      <c r="S877" s="121"/>
      <c r="T877" s="121"/>
      <c r="U877" s="121"/>
      <c r="V877" s="121"/>
      <c r="W877" s="121"/>
      <c r="X877" s="121"/>
      <c r="Y877" s="121"/>
      <c r="Z877" s="121"/>
    </row>
    <row r="878" customFormat="false" ht="15.75" hidden="false" customHeight="false" outlineLevel="0" collapsed="false">
      <c r="A878" s="121"/>
      <c r="B878" s="121"/>
      <c r="C878" s="121"/>
      <c r="D878" s="121"/>
      <c r="E878" s="121"/>
      <c r="F878" s="121"/>
      <c r="G878" s="121"/>
      <c r="H878" s="121"/>
      <c r="I878" s="121"/>
      <c r="J878" s="121"/>
      <c r="K878" s="121"/>
      <c r="L878" s="121"/>
      <c r="M878" s="121"/>
      <c r="N878" s="121"/>
      <c r="O878" s="121"/>
      <c r="P878" s="121"/>
      <c r="Q878" s="121"/>
      <c r="R878" s="121"/>
      <c r="S878" s="121"/>
      <c r="T878" s="121"/>
      <c r="U878" s="121"/>
      <c r="V878" s="121"/>
      <c r="W878" s="121"/>
      <c r="X878" s="121"/>
      <c r="Y878" s="121"/>
      <c r="Z878" s="121"/>
    </row>
    <row r="879" customFormat="false" ht="15.75" hidden="false" customHeight="false" outlineLevel="0" collapsed="false">
      <c r="A879" s="121"/>
      <c r="B879" s="121"/>
      <c r="C879" s="121"/>
      <c r="D879" s="121"/>
      <c r="E879" s="121"/>
      <c r="F879" s="121"/>
      <c r="G879" s="121"/>
      <c r="H879" s="121"/>
      <c r="I879" s="121"/>
      <c r="J879" s="121"/>
      <c r="K879" s="121"/>
      <c r="L879" s="121"/>
      <c r="M879" s="121"/>
      <c r="N879" s="121"/>
      <c r="O879" s="121"/>
      <c r="P879" s="121"/>
      <c r="Q879" s="121"/>
      <c r="R879" s="121"/>
      <c r="S879" s="121"/>
      <c r="T879" s="121"/>
      <c r="U879" s="121"/>
      <c r="V879" s="121"/>
      <c r="W879" s="121"/>
      <c r="X879" s="121"/>
      <c r="Y879" s="121"/>
      <c r="Z879" s="121"/>
    </row>
    <row r="880" customFormat="false" ht="15.75" hidden="false" customHeight="false" outlineLevel="0" collapsed="false">
      <c r="A880" s="121"/>
      <c r="B880" s="121"/>
      <c r="C880" s="121"/>
      <c r="D880" s="121"/>
      <c r="E880" s="121"/>
      <c r="F880" s="121"/>
      <c r="G880" s="121"/>
      <c r="H880" s="121"/>
      <c r="I880" s="121"/>
      <c r="J880" s="121"/>
      <c r="K880" s="121"/>
      <c r="L880" s="121"/>
      <c r="M880" s="121"/>
      <c r="N880" s="121"/>
      <c r="O880" s="121"/>
      <c r="P880" s="121"/>
      <c r="Q880" s="121"/>
      <c r="R880" s="121"/>
      <c r="S880" s="121"/>
      <c r="T880" s="121"/>
      <c r="U880" s="121"/>
      <c r="V880" s="121"/>
      <c r="W880" s="121"/>
      <c r="X880" s="121"/>
      <c r="Y880" s="121"/>
      <c r="Z880" s="121"/>
    </row>
    <row r="881" customFormat="false" ht="15.75" hidden="false" customHeight="false" outlineLevel="0" collapsed="false">
      <c r="A881" s="121"/>
      <c r="B881" s="121"/>
      <c r="C881" s="121"/>
      <c r="D881" s="121"/>
      <c r="E881" s="121"/>
      <c r="F881" s="121"/>
      <c r="G881" s="121"/>
      <c r="H881" s="121"/>
      <c r="I881" s="121"/>
      <c r="J881" s="121"/>
      <c r="K881" s="121"/>
      <c r="L881" s="121"/>
      <c r="M881" s="121"/>
      <c r="N881" s="121"/>
      <c r="O881" s="121"/>
      <c r="P881" s="121"/>
      <c r="Q881" s="121"/>
      <c r="R881" s="121"/>
      <c r="S881" s="121"/>
      <c r="T881" s="121"/>
      <c r="U881" s="121"/>
      <c r="V881" s="121"/>
      <c r="W881" s="121"/>
      <c r="X881" s="121"/>
      <c r="Y881" s="121"/>
      <c r="Z881" s="121"/>
    </row>
    <row r="882" customFormat="false" ht="15.75" hidden="false" customHeight="false" outlineLevel="0" collapsed="false">
      <c r="A882" s="121"/>
      <c r="B882" s="121"/>
      <c r="C882" s="121"/>
      <c r="D882" s="121"/>
      <c r="E882" s="121"/>
      <c r="F882" s="121"/>
      <c r="G882" s="121"/>
      <c r="H882" s="121"/>
      <c r="I882" s="121"/>
      <c r="J882" s="121"/>
      <c r="K882" s="121"/>
      <c r="L882" s="121"/>
      <c r="M882" s="121"/>
      <c r="N882" s="121"/>
      <c r="O882" s="121"/>
      <c r="P882" s="121"/>
      <c r="Q882" s="121"/>
      <c r="R882" s="121"/>
      <c r="S882" s="121"/>
      <c r="T882" s="121"/>
      <c r="U882" s="121"/>
      <c r="V882" s="121"/>
      <c r="W882" s="121"/>
      <c r="X882" s="121"/>
      <c r="Y882" s="121"/>
      <c r="Z882" s="121"/>
    </row>
    <row r="883" customFormat="false" ht="15.75" hidden="false" customHeight="false" outlineLevel="0" collapsed="false">
      <c r="A883" s="121"/>
      <c r="B883" s="121"/>
      <c r="C883" s="121"/>
      <c r="D883" s="121"/>
      <c r="E883" s="121"/>
      <c r="F883" s="121"/>
      <c r="G883" s="121"/>
      <c r="H883" s="121"/>
      <c r="I883" s="121"/>
      <c r="J883" s="121"/>
      <c r="K883" s="121"/>
      <c r="L883" s="121"/>
      <c r="M883" s="121"/>
      <c r="N883" s="121"/>
      <c r="O883" s="121"/>
      <c r="P883" s="121"/>
      <c r="Q883" s="121"/>
      <c r="R883" s="121"/>
      <c r="S883" s="121"/>
      <c r="T883" s="121"/>
      <c r="U883" s="121"/>
      <c r="V883" s="121"/>
      <c r="W883" s="121"/>
      <c r="X883" s="121"/>
      <c r="Y883" s="121"/>
      <c r="Z883" s="121"/>
    </row>
    <row r="884" customFormat="false" ht="15.75" hidden="false" customHeight="false" outlineLevel="0" collapsed="false">
      <c r="A884" s="121"/>
      <c r="B884" s="121"/>
      <c r="C884" s="121"/>
      <c r="D884" s="121"/>
      <c r="E884" s="121"/>
      <c r="F884" s="121"/>
      <c r="G884" s="121"/>
      <c r="H884" s="121"/>
      <c r="I884" s="121"/>
      <c r="J884" s="121"/>
      <c r="K884" s="121"/>
      <c r="L884" s="121"/>
      <c r="M884" s="121"/>
      <c r="N884" s="121"/>
      <c r="O884" s="121"/>
      <c r="P884" s="121"/>
      <c r="Q884" s="121"/>
      <c r="R884" s="121"/>
      <c r="S884" s="121"/>
      <c r="T884" s="121"/>
      <c r="U884" s="121"/>
      <c r="V884" s="121"/>
      <c r="W884" s="121"/>
      <c r="X884" s="121"/>
      <c r="Y884" s="121"/>
      <c r="Z884" s="121"/>
    </row>
    <row r="885" customFormat="false" ht="15.75" hidden="false" customHeight="false" outlineLevel="0" collapsed="false">
      <c r="A885" s="121"/>
      <c r="B885" s="121"/>
      <c r="C885" s="121"/>
      <c r="D885" s="121"/>
      <c r="E885" s="121"/>
      <c r="F885" s="121"/>
      <c r="G885" s="121"/>
      <c r="H885" s="121"/>
      <c r="I885" s="121"/>
      <c r="J885" s="121"/>
      <c r="K885" s="121"/>
      <c r="L885" s="121"/>
      <c r="M885" s="121"/>
      <c r="N885" s="121"/>
      <c r="O885" s="121"/>
      <c r="P885" s="121"/>
      <c r="Q885" s="121"/>
      <c r="R885" s="121"/>
      <c r="S885" s="121"/>
      <c r="T885" s="121"/>
      <c r="U885" s="121"/>
      <c r="V885" s="121"/>
      <c r="W885" s="121"/>
      <c r="X885" s="121"/>
      <c r="Y885" s="121"/>
      <c r="Z885" s="121"/>
    </row>
    <row r="886" customFormat="false" ht="15.75" hidden="false" customHeight="false" outlineLevel="0" collapsed="false">
      <c r="A886" s="121"/>
      <c r="B886" s="121"/>
      <c r="C886" s="121"/>
      <c r="D886" s="121"/>
      <c r="E886" s="121"/>
      <c r="F886" s="121"/>
      <c r="G886" s="121"/>
      <c r="H886" s="121"/>
      <c r="I886" s="121"/>
      <c r="J886" s="121"/>
      <c r="K886" s="121"/>
      <c r="L886" s="121"/>
      <c r="M886" s="121"/>
      <c r="N886" s="121"/>
      <c r="O886" s="121"/>
      <c r="P886" s="121"/>
      <c r="Q886" s="121"/>
      <c r="R886" s="121"/>
      <c r="S886" s="121"/>
      <c r="T886" s="121"/>
      <c r="U886" s="121"/>
      <c r="V886" s="121"/>
      <c r="W886" s="121"/>
      <c r="X886" s="121"/>
      <c r="Y886" s="121"/>
      <c r="Z886" s="121"/>
    </row>
    <row r="887" customFormat="false" ht="15.75" hidden="false" customHeight="false" outlineLevel="0" collapsed="false">
      <c r="A887" s="121"/>
      <c r="B887" s="121"/>
      <c r="C887" s="121"/>
      <c r="D887" s="121"/>
      <c r="E887" s="121"/>
      <c r="F887" s="121"/>
      <c r="G887" s="121"/>
      <c r="H887" s="121"/>
      <c r="I887" s="121"/>
      <c r="J887" s="121"/>
      <c r="K887" s="121"/>
      <c r="L887" s="121"/>
      <c r="M887" s="121"/>
      <c r="N887" s="121"/>
      <c r="O887" s="121"/>
      <c r="P887" s="121"/>
      <c r="Q887" s="121"/>
      <c r="R887" s="121"/>
      <c r="S887" s="121"/>
      <c r="T887" s="121"/>
      <c r="U887" s="121"/>
      <c r="V887" s="121"/>
      <c r="W887" s="121"/>
      <c r="X887" s="121"/>
      <c r="Y887" s="121"/>
      <c r="Z887" s="121"/>
    </row>
    <row r="888" customFormat="false" ht="15.75" hidden="false" customHeight="false" outlineLevel="0" collapsed="false">
      <c r="A888" s="121"/>
      <c r="B888" s="121"/>
      <c r="C888" s="121"/>
      <c r="D888" s="121"/>
      <c r="E888" s="121"/>
      <c r="F888" s="121"/>
      <c r="G888" s="121"/>
      <c r="H888" s="121"/>
      <c r="I888" s="121"/>
      <c r="J888" s="121"/>
      <c r="K888" s="121"/>
      <c r="L888" s="121"/>
      <c r="M888" s="121"/>
      <c r="N888" s="121"/>
      <c r="O888" s="121"/>
      <c r="P888" s="121"/>
      <c r="Q888" s="121"/>
      <c r="R888" s="121"/>
      <c r="S888" s="121"/>
      <c r="T888" s="121"/>
      <c r="U888" s="121"/>
      <c r="V888" s="121"/>
      <c r="W888" s="121"/>
      <c r="X888" s="121"/>
      <c r="Y888" s="121"/>
      <c r="Z888" s="121"/>
    </row>
    <row r="889" customFormat="false" ht="15.75" hidden="false" customHeight="false" outlineLevel="0" collapsed="false">
      <c r="A889" s="121"/>
      <c r="B889" s="121"/>
      <c r="C889" s="121"/>
      <c r="D889" s="121"/>
      <c r="E889" s="121"/>
      <c r="F889" s="121"/>
      <c r="G889" s="121"/>
      <c r="H889" s="121"/>
      <c r="I889" s="121"/>
      <c r="J889" s="121"/>
      <c r="K889" s="121"/>
      <c r="L889" s="121"/>
      <c r="M889" s="121"/>
      <c r="N889" s="121"/>
      <c r="O889" s="121"/>
      <c r="P889" s="121"/>
      <c r="Q889" s="121"/>
      <c r="R889" s="121"/>
      <c r="S889" s="121"/>
      <c r="T889" s="121"/>
      <c r="U889" s="121"/>
      <c r="V889" s="121"/>
      <c r="W889" s="121"/>
      <c r="X889" s="121"/>
      <c r="Y889" s="121"/>
      <c r="Z889" s="121"/>
    </row>
    <row r="890" customFormat="false" ht="15.75" hidden="false" customHeight="false" outlineLevel="0" collapsed="false">
      <c r="A890" s="121"/>
      <c r="B890" s="121"/>
      <c r="C890" s="121"/>
      <c r="D890" s="121"/>
      <c r="E890" s="121"/>
      <c r="F890" s="121"/>
      <c r="G890" s="121"/>
      <c r="H890" s="121"/>
      <c r="I890" s="121"/>
      <c r="J890" s="121"/>
      <c r="K890" s="121"/>
      <c r="L890" s="121"/>
      <c r="M890" s="121"/>
      <c r="N890" s="121"/>
      <c r="O890" s="121"/>
      <c r="P890" s="121"/>
      <c r="Q890" s="121"/>
      <c r="R890" s="121"/>
      <c r="S890" s="121"/>
      <c r="T890" s="121"/>
      <c r="U890" s="121"/>
      <c r="V890" s="121"/>
      <c r="W890" s="121"/>
      <c r="X890" s="121"/>
      <c r="Y890" s="121"/>
      <c r="Z890" s="121"/>
    </row>
    <row r="891" customFormat="false" ht="15.75" hidden="false" customHeight="false" outlineLevel="0" collapsed="false">
      <c r="A891" s="121"/>
      <c r="B891" s="121"/>
      <c r="C891" s="121"/>
      <c r="D891" s="121"/>
      <c r="E891" s="121"/>
      <c r="F891" s="121"/>
      <c r="G891" s="121"/>
      <c r="H891" s="121"/>
      <c r="I891" s="121"/>
      <c r="J891" s="121"/>
      <c r="K891" s="121"/>
      <c r="L891" s="121"/>
      <c r="M891" s="121"/>
      <c r="N891" s="121"/>
      <c r="O891" s="121"/>
      <c r="P891" s="121"/>
      <c r="Q891" s="121"/>
      <c r="R891" s="121"/>
      <c r="S891" s="121"/>
      <c r="T891" s="121"/>
      <c r="U891" s="121"/>
      <c r="V891" s="121"/>
      <c r="W891" s="121"/>
      <c r="X891" s="121"/>
      <c r="Y891" s="121"/>
      <c r="Z891" s="121"/>
    </row>
    <row r="892" customFormat="false" ht="15.75" hidden="false" customHeight="false" outlineLevel="0" collapsed="false">
      <c r="A892" s="121"/>
      <c r="B892" s="121"/>
      <c r="C892" s="121"/>
      <c r="D892" s="121"/>
      <c r="E892" s="121"/>
      <c r="F892" s="121"/>
      <c r="G892" s="121"/>
      <c r="H892" s="121"/>
      <c r="I892" s="121"/>
      <c r="J892" s="121"/>
      <c r="K892" s="121"/>
      <c r="L892" s="121"/>
      <c r="M892" s="121"/>
      <c r="N892" s="121"/>
      <c r="O892" s="121"/>
      <c r="P892" s="121"/>
      <c r="Q892" s="121"/>
      <c r="R892" s="121"/>
      <c r="S892" s="121"/>
      <c r="T892" s="121"/>
      <c r="U892" s="121"/>
      <c r="V892" s="121"/>
      <c r="W892" s="121"/>
      <c r="X892" s="121"/>
      <c r="Y892" s="121"/>
      <c r="Z892" s="121"/>
    </row>
    <row r="893" customFormat="false" ht="15.75" hidden="false" customHeight="false" outlineLevel="0" collapsed="false">
      <c r="A893" s="121"/>
      <c r="B893" s="121"/>
      <c r="C893" s="121"/>
      <c r="D893" s="121"/>
      <c r="E893" s="121"/>
      <c r="F893" s="121"/>
      <c r="G893" s="121"/>
      <c r="H893" s="121"/>
      <c r="I893" s="121"/>
      <c r="J893" s="121"/>
      <c r="K893" s="121"/>
      <c r="L893" s="121"/>
      <c r="M893" s="121"/>
      <c r="N893" s="121"/>
      <c r="O893" s="121"/>
      <c r="P893" s="121"/>
      <c r="Q893" s="121"/>
      <c r="R893" s="121"/>
      <c r="S893" s="121"/>
      <c r="T893" s="121"/>
      <c r="U893" s="121"/>
      <c r="V893" s="121"/>
      <c r="W893" s="121"/>
      <c r="X893" s="121"/>
      <c r="Y893" s="121"/>
      <c r="Z893" s="121"/>
    </row>
    <row r="894" customFormat="false" ht="15.75" hidden="false" customHeight="false" outlineLevel="0" collapsed="false">
      <c r="A894" s="121"/>
      <c r="B894" s="121"/>
      <c r="C894" s="121"/>
      <c r="D894" s="121"/>
      <c r="E894" s="121"/>
      <c r="F894" s="121"/>
      <c r="G894" s="121"/>
      <c r="H894" s="121"/>
      <c r="I894" s="121"/>
      <c r="J894" s="121"/>
      <c r="K894" s="121"/>
      <c r="L894" s="121"/>
      <c r="M894" s="121"/>
      <c r="N894" s="121"/>
      <c r="O894" s="121"/>
      <c r="P894" s="121"/>
      <c r="Q894" s="121"/>
      <c r="R894" s="121"/>
      <c r="S894" s="121"/>
      <c r="T894" s="121"/>
      <c r="U894" s="121"/>
      <c r="V894" s="121"/>
      <c r="W894" s="121"/>
      <c r="X894" s="121"/>
      <c r="Y894" s="121"/>
      <c r="Z894" s="121"/>
    </row>
    <row r="895" customFormat="false" ht="15.75" hidden="false" customHeight="false" outlineLevel="0" collapsed="false">
      <c r="A895" s="121"/>
      <c r="B895" s="121"/>
      <c r="C895" s="121"/>
      <c r="D895" s="121"/>
      <c r="E895" s="121"/>
      <c r="F895" s="121"/>
      <c r="G895" s="121"/>
      <c r="H895" s="121"/>
      <c r="I895" s="121"/>
      <c r="J895" s="121"/>
      <c r="K895" s="121"/>
      <c r="L895" s="121"/>
      <c r="M895" s="121"/>
      <c r="N895" s="121"/>
      <c r="O895" s="121"/>
      <c r="P895" s="121"/>
      <c r="Q895" s="121"/>
      <c r="R895" s="121"/>
      <c r="S895" s="121"/>
      <c r="T895" s="121"/>
      <c r="U895" s="121"/>
      <c r="V895" s="121"/>
      <c r="W895" s="121"/>
      <c r="X895" s="121"/>
      <c r="Y895" s="121"/>
      <c r="Z895" s="121"/>
    </row>
    <row r="896" customFormat="false" ht="15.75" hidden="false" customHeight="false" outlineLevel="0" collapsed="false">
      <c r="A896" s="121"/>
      <c r="B896" s="121"/>
      <c r="C896" s="121"/>
      <c r="D896" s="121"/>
      <c r="E896" s="121"/>
      <c r="F896" s="121"/>
      <c r="G896" s="121"/>
      <c r="H896" s="121"/>
      <c r="I896" s="121"/>
      <c r="J896" s="121"/>
      <c r="K896" s="121"/>
      <c r="L896" s="121"/>
      <c r="M896" s="121"/>
      <c r="N896" s="121"/>
      <c r="O896" s="121"/>
      <c r="P896" s="121"/>
      <c r="Q896" s="121"/>
      <c r="R896" s="121"/>
      <c r="S896" s="121"/>
      <c r="T896" s="121"/>
      <c r="U896" s="121"/>
      <c r="V896" s="121"/>
      <c r="W896" s="121"/>
      <c r="X896" s="121"/>
      <c r="Y896" s="121"/>
      <c r="Z896" s="121"/>
    </row>
    <row r="897" customFormat="false" ht="15.75" hidden="false" customHeight="false" outlineLevel="0" collapsed="false">
      <c r="A897" s="121"/>
      <c r="B897" s="121"/>
      <c r="C897" s="121"/>
      <c r="D897" s="121"/>
      <c r="E897" s="121"/>
      <c r="F897" s="121"/>
      <c r="G897" s="121"/>
      <c r="H897" s="121"/>
      <c r="I897" s="121"/>
      <c r="J897" s="121"/>
      <c r="K897" s="121"/>
      <c r="L897" s="121"/>
      <c r="M897" s="121"/>
      <c r="N897" s="121"/>
      <c r="O897" s="121"/>
      <c r="P897" s="121"/>
      <c r="Q897" s="121"/>
      <c r="R897" s="121"/>
      <c r="S897" s="121"/>
      <c r="T897" s="121"/>
      <c r="U897" s="121"/>
      <c r="V897" s="121"/>
      <c r="W897" s="121"/>
      <c r="X897" s="121"/>
      <c r="Y897" s="121"/>
      <c r="Z897" s="121"/>
    </row>
    <row r="898" customFormat="false" ht="15.75" hidden="false" customHeight="false" outlineLevel="0" collapsed="false">
      <c r="A898" s="121"/>
      <c r="B898" s="121"/>
      <c r="C898" s="121"/>
      <c r="D898" s="121"/>
      <c r="E898" s="121"/>
      <c r="F898" s="121"/>
      <c r="G898" s="121"/>
      <c r="H898" s="121"/>
      <c r="I898" s="121"/>
      <c r="J898" s="121"/>
      <c r="K898" s="121"/>
      <c r="L898" s="121"/>
      <c r="M898" s="121"/>
      <c r="N898" s="121"/>
      <c r="O898" s="121"/>
      <c r="P898" s="121"/>
      <c r="Q898" s="121"/>
      <c r="R898" s="121"/>
      <c r="S898" s="121"/>
      <c r="T898" s="121"/>
      <c r="U898" s="121"/>
      <c r="V898" s="121"/>
      <c r="W898" s="121"/>
      <c r="X898" s="121"/>
      <c r="Y898" s="121"/>
      <c r="Z898" s="121"/>
    </row>
    <row r="899" customFormat="false" ht="15.75" hidden="false" customHeight="false" outlineLevel="0" collapsed="false">
      <c r="A899" s="121"/>
      <c r="B899" s="121"/>
      <c r="C899" s="121"/>
      <c r="D899" s="121"/>
      <c r="E899" s="121"/>
      <c r="F899" s="121"/>
      <c r="G899" s="121"/>
      <c r="H899" s="121"/>
      <c r="I899" s="121"/>
      <c r="J899" s="121"/>
      <c r="K899" s="121"/>
      <c r="L899" s="121"/>
      <c r="M899" s="121"/>
      <c r="N899" s="121"/>
      <c r="O899" s="121"/>
      <c r="P899" s="121"/>
      <c r="Q899" s="121"/>
      <c r="R899" s="121"/>
      <c r="S899" s="121"/>
      <c r="T899" s="121"/>
      <c r="U899" s="121"/>
      <c r="V899" s="121"/>
      <c r="W899" s="121"/>
      <c r="X899" s="121"/>
      <c r="Y899" s="121"/>
      <c r="Z899" s="121"/>
    </row>
    <row r="900" customFormat="false" ht="15.75" hidden="false" customHeight="false" outlineLevel="0" collapsed="false">
      <c r="A900" s="121"/>
      <c r="B900" s="121"/>
      <c r="C900" s="121"/>
      <c r="D900" s="121"/>
      <c r="E900" s="121"/>
      <c r="F900" s="121"/>
      <c r="G900" s="121"/>
      <c r="H900" s="121"/>
      <c r="I900" s="121"/>
      <c r="J900" s="121"/>
      <c r="K900" s="121"/>
      <c r="L900" s="121"/>
      <c r="M900" s="121"/>
      <c r="N900" s="121"/>
      <c r="O900" s="121"/>
      <c r="P900" s="121"/>
      <c r="Q900" s="121"/>
      <c r="R900" s="121"/>
      <c r="S900" s="121"/>
      <c r="T900" s="121"/>
      <c r="U900" s="121"/>
      <c r="V900" s="121"/>
      <c r="W900" s="121"/>
      <c r="X900" s="121"/>
      <c r="Y900" s="121"/>
      <c r="Z900" s="121"/>
    </row>
    <row r="901" customFormat="false" ht="15.75" hidden="false" customHeight="false" outlineLevel="0" collapsed="false">
      <c r="A901" s="121"/>
      <c r="B901" s="121"/>
      <c r="C901" s="121"/>
      <c r="D901" s="121"/>
      <c r="E901" s="121"/>
      <c r="F901" s="121"/>
      <c r="G901" s="121"/>
      <c r="H901" s="121"/>
      <c r="I901" s="121"/>
      <c r="J901" s="121"/>
      <c r="K901" s="121"/>
      <c r="L901" s="121"/>
      <c r="M901" s="121"/>
      <c r="N901" s="121"/>
      <c r="O901" s="121"/>
      <c r="P901" s="121"/>
      <c r="Q901" s="121"/>
      <c r="R901" s="121"/>
      <c r="S901" s="121"/>
      <c r="T901" s="121"/>
      <c r="U901" s="121"/>
      <c r="V901" s="121"/>
      <c r="W901" s="121"/>
      <c r="X901" s="121"/>
      <c r="Y901" s="121"/>
      <c r="Z901" s="121"/>
    </row>
    <row r="902" customFormat="false" ht="15.75" hidden="false" customHeight="false" outlineLevel="0" collapsed="false">
      <c r="A902" s="121"/>
      <c r="B902" s="121"/>
      <c r="C902" s="121"/>
      <c r="D902" s="121"/>
      <c r="E902" s="121"/>
      <c r="F902" s="121"/>
      <c r="G902" s="121"/>
      <c r="H902" s="121"/>
      <c r="I902" s="121"/>
      <c r="J902" s="121"/>
      <c r="K902" s="121"/>
      <c r="L902" s="121"/>
      <c r="M902" s="121"/>
      <c r="N902" s="121"/>
      <c r="O902" s="121"/>
      <c r="P902" s="121"/>
      <c r="Q902" s="121"/>
      <c r="R902" s="121"/>
      <c r="S902" s="121"/>
      <c r="T902" s="121"/>
      <c r="U902" s="121"/>
      <c r="V902" s="121"/>
      <c r="W902" s="121"/>
      <c r="X902" s="121"/>
      <c r="Y902" s="121"/>
      <c r="Z902" s="121"/>
    </row>
    <row r="903" customFormat="false" ht="15.75" hidden="false" customHeight="false" outlineLevel="0" collapsed="false">
      <c r="A903" s="121"/>
      <c r="B903" s="121"/>
      <c r="C903" s="121"/>
      <c r="D903" s="121"/>
      <c r="E903" s="121"/>
      <c r="F903" s="121"/>
      <c r="G903" s="121"/>
      <c r="H903" s="121"/>
      <c r="I903" s="121"/>
      <c r="J903" s="121"/>
      <c r="K903" s="121"/>
      <c r="L903" s="121"/>
      <c r="M903" s="121"/>
      <c r="N903" s="121"/>
      <c r="O903" s="121"/>
      <c r="P903" s="121"/>
      <c r="Q903" s="121"/>
      <c r="R903" s="121"/>
      <c r="S903" s="121"/>
      <c r="T903" s="121"/>
      <c r="U903" s="121"/>
      <c r="V903" s="121"/>
      <c r="W903" s="121"/>
      <c r="X903" s="121"/>
      <c r="Y903" s="121"/>
      <c r="Z903" s="121"/>
    </row>
    <row r="904" customFormat="false" ht="15.75" hidden="false" customHeight="false" outlineLevel="0" collapsed="false">
      <c r="A904" s="121"/>
      <c r="B904" s="121"/>
      <c r="C904" s="121"/>
      <c r="D904" s="121"/>
      <c r="E904" s="121"/>
      <c r="F904" s="121"/>
      <c r="G904" s="121"/>
      <c r="H904" s="121"/>
      <c r="I904" s="121"/>
      <c r="J904" s="121"/>
      <c r="K904" s="121"/>
      <c r="L904" s="121"/>
      <c r="M904" s="121"/>
      <c r="N904" s="121"/>
      <c r="O904" s="121"/>
      <c r="P904" s="121"/>
      <c r="Q904" s="121"/>
      <c r="R904" s="121"/>
      <c r="S904" s="121"/>
      <c r="T904" s="121"/>
      <c r="U904" s="121"/>
      <c r="V904" s="121"/>
      <c r="W904" s="121"/>
      <c r="X904" s="121"/>
      <c r="Y904" s="121"/>
      <c r="Z904" s="121"/>
    </row>
    <row r="905" customFormat="false" ht="15.75" hidden="false" customHeight="false" outlineLevel="0" collapsed="false">
      <c r="A905" s="121"/>
      <c r="B905" s="121"/>
      <c r="C905" s="121"/>
      <c r="D905" s="121"/>
      <c r="E905" s="121"/>
      <c r="F905" s="121"/>
      <c r="G905" s="121"/>
      <c r="H905" s="121"/>
      <c r="I905" s="121"/>
      <c r="J905" s="121"/>
      <c r="K905" s="121"/>
      <c r="L905" s="121"/>
      <c r="M905" s="121"/>
      <c r="N905" s="121"/>
      <c r="O905" s="121"/>
      <c r="P905" s="121"/>
      <c r="Q905" s="121"/>
      <c r="R905" s="121"/>
      <c r="S905" s="121"/>
      <c r="T905" s="121"/>
      <c r="U905" s="121"/>
      <c r="V905" s="121"/>
      <c r="W905" s="121"/>
      <c r="X905" s="121"/>
      <c r="Y905" s="121"/>
      <c r="Z905" s="121"/>
    </row>
    <row r="906" customFormat="false" ht="15.75" hidden="false" customHeight="false" outlineLevel="0" collapsed="false">
      <c r="A906" s="121"/>
      <c r="B906" s="121"/>
      <c r="C906" s="121"/>
      <c r="D906" s="121"/>
      <c r="E906" s="121"/>
      <c r="F906" s="121"/>
      <c r="G906" s="121"/>
      <c r="H906" s="121"/>
      <c r="I906" s="121"/>
      <c r="J906" s="121"/>
      <c r="K906" s="121"/>
      <c r="L906" s="121"/>
      <c r="M906" s="121"/>
      <c r="N906" s="121"/>
      <c r="O906" s="121"/>
      <c r="P906" s="121"/>
      <c r="Q906" s="121"/>
      <c r="R906" s="121"/>
      <c r="S906" s="121"/>
      <c r="T906" s="121"/>
      <c r="U906" s="121"/>
      <c r="V906" s="121"/>
      <c r="W906" s="121"/>
      <c r="X906" s="121"/>
      <c r="Y906" s="121"/>
      <c r="Z906" s="121"/>
    </row>
    <row r="907" customFormat="false" ht="15.75" hidden="false" customHeight="false" outlineLevel="0" collapsed="false">
      <c r="A907" s="121"/>
      <c r="B907" s="121"/>
      <c r="C907" s="121"/>
      <c r="D907" s="121"/>
      <c r="E907" s="121"/>
      <c r="F907" s="121"/>
      <c r="G907" s="121"/>
      <c r="H907" s="121"/>
      <c r="I907" s="121"/>
      <c r="J907" s="121"/>
      <c r="K907" s="121"/>
      <c r="L907" s="121"/>
      <c r="M907" s="121"/>
      <c r="N907" s="121"/>
      <c r="O907" s="121"/>
      <c r="P907" s="121"/>
      <c r="Q907" s="121"/>
      <c r="R907" s="121"/>
      <c r="S907" s="121"/>
      <c r="T907" s="121"/>
      <c r="U907" s="121"/>
      <c r="V907" s="121"/>
      <c r="W907" s="121"/>
      <c r="X907" s="121"/>
      <c r="Y907" s="121"/>
      <c r="Z907" s="121"/>
    </row>
    <row r="908" customFormat="false" ht="15.75" hidden="false" customHeight="false" outlineLevel="0" collapsed="false">
      <c r="A908" s="121"/>
      <c r="B908" s="121"/>
      <c r="C908" s="121"/>
      <c r="D908" s="121"/>
      <c r="E908" s="121"/>
      <c r="F908" s="121"/>
      <c r="G908" s="121"/>
      <c r="H908" s="121"/>
      <c r="I908" s="121"/>
      <c r="J908" s="121"/>
      <c r="K908" s="121"/>
      <c r="L908" s="121"/>
      <c r="M908" s="121"/>
      <c r="N908" s="121"/>
      <c r="O908" s="121"/>
      <c r="P908" s="121"/>
      <c r="Q908" s="121"/>
      <c r="R908" s="121"/>
      <c r="S908" s="121"/>
      <c r="T908" s="121"/>
      <c r="U908" s="121"/>
      <c r="V908" s="121"/>
      <c r="W908" s="121"/>
      <c r="X908" s="121"/>
      <c r="Y908" s="121"/>
      <c r="Z908" s="121"/>
    </row>
    <row r="909" customFormat="false" ht="15.75" hidden="false" customHeight="false" outlineLevel="0" collapsed="false">
      <c r="A909" s="121"/>
      <c r="B909" s="121"/>
      <c r="C909" s="121"/>
      <c r="D909" s="121"/>
      <c r="E909" s="121"/>
      <c r="F909" s="121"/>
      <c r="G909" s="121"/>
      <c r="H909" s="121"/>
      <c r="I909" s="121"/>
      <c r="J909" s="121"/>
      <c r="K909" s="121"/>
      <c r="L909" s="121"/>
      <c r="M909" s="121"/>
      <c r="N909" s="121"/>
      <c r="O909" s="121"/>
      <c r="P909" s="121"/>
      <c r="Q909" s="121"/>
      <c r="R909" s="121"/>
      <c r="S909" s="121"/>
      <c r="T909" s="121"/>
      <c r="U909" s="121"/>
      <c r="V909" s="121"/>
      <c r="W909" s="121"/>
      <c r="X909" s="121"/>
      <c r="Y909" s="121"/>
      <c r="Z909" s="121"/>
    </row>
    <row r="910" customFormat="false" ht="15.75" hidden="false" customHeight="false" outlineLevel="0" collapsed="false">
      <c r="A910" s="121"/>
      <c r="B910" s="121"/>
      <c r="C910" s="121"/>
      <c r="D910" s="121"/>
      <c r="E910" s="121"/>
      <c r="F910" s="121"/>
      <c r="G910" s="121"/>
      <c r="H910" s="121"/>
      <c r="I910" s="121"/>
      <c r="J910" s="121"/>
      <c r="K910" s="121"/>
      <c r="L910" s="121"/>
      <c r="M910" s="121"/>
      <c r="N910" s="121"/>
      <c r="O910" s="121"/>
      <c r="P910" s="121"/>
      <c r="Q910" s="121"/>
      <c r="R910" s="121"/>
      <c r="S910" s="121"/>
      <c r="T910" s="121"/>
      <c r="U910" s="121"/>
      <c r="V910" s="121"/>
      <c r="W910" s="121"/>
      <c r="X910" s="121"/>
      <c r="Y910" s="121"/>
      <c r="Z910" s="121"/>
    </row>
    <row r="911" customFormat="false" ht="15.75" hidden="false" customHeight="false" outlineLevel="0" collapsed="false">
      <c r="A911" s="121"/>
      <c r="B911" s="121"/>
      <c r="C911" s="121"/>
      <c r="D911" s="121"/>
      <c r="E911" s="121"/>
      <c r="F911" s="121"/>
      <c r="G911" s="121"/>
      <c r="H911" s="121"/>
      <c r="I911" s="121"/>
      <c r="J911" s="121"/>
      <c r="K911" s="121"/>
      <c r="L911" s="121"/>
      <c r="M911" s="121"/>
      <c r="N911" s="121"/>
      <c r="O911" s="121"/>
      <c r="P911" s="121"/>
      <c r="Q911" s="121"/>
      <c r="R911" s="121"/>
      <c r="S911" s="121"/>
      <c r="T911" s="121"/>
      <c r="U911" s="121"/>
      <c r="V911" s="121"/>
      <c r="W911" s="121"/>
      <c r="X911" s="121"/>
      <c r="Y911" s="121"/>
      <c r="Z911" s="121"/>
    </row>
    <row r="912" customFormat="false" ht="15.75" hidden="false" customHeight="false" outlineLevel="0" collapsed="false">
      <c r="A912" s="121"/>
      <c r="B912" s="121"/>
      <c r="C912" s="121"/>
      <c r="D912" s="121"/>
      <c r="E912" s="121"/>
      <c r="F912" s="121"/>
      <c r="G912" s="121"/>
      <c r="H912" s="121"/>
      <c r="I912" s="121"/>
      <c r="J912" s="121"/>
      <c r="K912" s="121"/>
      <c r="L912" s="121"/>
      <c r="M912" s="121"/>
      <c r="N912" s="121"/>
      <c r="O912" s="121"/>
      <c r="P912" s="121"/>
      <c r="Q912" s="121"/>
      <c r="R912" s="121"/>
      <c r="S912" s="121"/>
      <c r="T912" s="121"/>
      <c r="U912" s="121"/>
      <c r="V912" s="121"/>
      <c r="W912" s="121"/>
      <c r="X912" s="121"/>
      <c r="Y912" s="121"/>
      <c r="Z912" s="121"/>
    </row>
    <row r="913" customFormat="false" ht="15.75" hidden="false" customHeight="false" outlineLevel="0" collapsed="false">
      <c r="A913" s="121"/>
      <c r="B913" s="121"/>
      <c r="C913" s="121"/>
      <c r="D913" s="121"/>
      <c r="E913" s="121"/>
      <c r="F913" s="121"/>
      <c r="G913" s="121"/>
      <c r="H913" s="121"/>
      <c r="I913" s="121"/>
      <c r="J913" s="121"/>
      <c r="K913" s="121"/>
      <c r="L913" s="121"/>
      <c r="M913" s="121"/>
      <c r="N913" s="121"/>
      <c r="O913" s="121"/>
      <c r="P913" s="121"/>
      <c r="Q913" s="121"/>
      <c r="R913" s="121"/>
      <c r="S913" s="121"/>
      <c r="T913" s="121"/>
      <c r="U913" s="121"/>
      <c r="V913" s="121"/>
      <c r="W913" s="121"/>
      <c r="X913" s="121"/>
      <c r="Y913" s="121"/>
      <c r="Z913" s="121"/>
    </row>
    <row r="914" customFormat="false" ht="15.75" hidden="false" customHeight="false" outlineLevel="0" collapsed="false">
      <c r="A914" s="121"/>
      <c r="B914" s="121"/>
      <c r="C914" s="121"/>
      <c r="D914" s="121"/>
      <c r="E914" s="121"/>
      <c r="F914" s="121"/>
      <c r="G914" s="121"/>
      <c r="H914" s="121"/>
      <c r="I914" s="121"/>
      <c r="J914" s="121"/>
      <c r="K914" s="121"/>
      <c r="L914" s="121"/>
      <c r="M914" s="121"/>
      <c r="N914" s="121"/>
      <c r="O914" s="121"/>
      <c r="P914" s="121"/>
      <c r="Q914" s="121"/>
      <c r="R914" s="121"/>
      <c r="S914" s="121"/>
      <c r="T914" s="121"/>
      <c r="U914" s="121"/>
      <c r="V914" s="121"/>
      <c r="W914" s="121"/>
      <c r="X914" s="121"/>
      <c r="Y914" s="121"/>
      <c r="Z914" s="121"/>
    </row>
    <row r="915" customFormat="false" ht="15.75" hidden="false" customHeight="false" outlineLevel="0" collapsed="false">
      <c r="A915" s="121"/>
      <c r="B915" s="121"/>
      <c r="C915" s="121"/>
      <c r="D915" s="121"/>
      <c r="E915" s="121"/>
      <c r="F915" s="121"/>
      <c r="G915" s="121"/>
      <c r="H915" s="121"/>
      <c r="I915" s="121"/>
      <c r="J915" s="121"/>
      <c r="K915" s="121"/>
      <c r="L915" s="121"/>
      <c r="M915" s="121"/>
      <c r="N915" s="121"/>
      <c r="O915" s="121"/>
      <c r="P915" s="121"/>
      <c r="Q915" s="121"/>
      <c r="R915" s="121"/>
      <c r="S915" s="121"/>
      <c r="T915" s="121"/>
      <c r="U915" s="121"/>
      <c r="V915" s="121"/>
      <c r="W915" s="121"/>
      <c r="X915" s="121"/>
      <c r="Y915" s="121"/>
      <c r="Z915" s="121"/>
    </row>
    <row r="916" customFormat="false" ht="15.75" hidden="false" customHeight="false" outlineLevel="0" collapsed="false">
      <c r="A916" s="121"/>
      <c r="B916" s="121"/>
      <c r="C916" s="121"/>
      <c r="D916" s="121"/>
      <c r="E916" s="121"/>
      <c r="F916" s="121"/>
      <c r="G916" s="121"/>
      <c r="H916" s="121"/>
      <c r="I916" s="121"/>
      <c r="J916" s="121"/>
      <c r="K916" s="121"/>
      <c r="L916" s="121"/>
      <c r="M916" s="121"/>
      <c r="N916" s="121"/>
      <c r="O916" s="121"/>
      <c r="P916" s="121"/>
      <c r="Q916" s="121"/>
      <c r="R916" s="121"/>
      <c r="S916" s="121"/>
      <c r="T916" s="121"/>
      <c r="U916" s="121"/>
      <c r="V916" s="121"/>
      <c r="W916" s="121"/>
      <c r="X916" s="121"/>
      <c r="Y916" s="121"/>
      <c r="Z916" s="121"/>
    </row>
    <row r="917" customFormat="false" ht="15.75" hidden="false" customHeight="false" outlineLevel="0" collapsed="false">
      <c r="A917" s="121"/>
      <c r="B917" s="121"/>
      <c r="C917" s="121"/>
      <c r="D917" s="121"/>
      <c r="E917" s="121"/>
      <c r="F917" s="121"/>
      <c r="G917" s="121"/>
      <c r="H917" s="121"/>
      <c r="I917" s="121"/>
      <c r="J917" s="121"/>
      <c r="K917" s="121"/>
      <c r="L917" s="121"/>
      <c r="M917" s="121"/>
      <c r="N917" s="121"/>
      <c r="O917" s="121"/>
      <c r="P917" s="121"/>
      <c r="Q917" s="121"/>
      <c r="R917" s="121"/>
      <c r="S917" s="121"/>
      <c r="T917" s="121"/>
      <c r="U917" s="121"/>
      <c r="V917" s="121"/>
      <c r="W917" s="121"/>
      <c r="X917" s="121"/>
      <c r="Y917" s="121"/>
      <c r="Z917" s="121"/>
    </row>
    <row r="918" customFormat="false" ht="15.75" hidden="false" customHeight="false" outlineLevel="0" collapsed="false">
      <c r="A918" s="121"/>
      <c r="B918" s="121"/>
      <c r="C918" s="121"/>
      <c r="D918" s="121"/>
      <c r="E918" s="121"/>
      <c r="F918" s="121"/>
      <c r="G918" s="121"/>
      <c r="H918" s="121"/>
      <c r="I918" s="121"/>
      <c r="J918" s="121"/>
      <c r="K918" s="121"/>
      <c r="L918" s="121"/>
      <c r="M918" s="121"/>
      <c r="N918" s="121"/>
      <c r="O918" s="121"/>
      <c r="P918" s="121"/>
      <c r="Q918" s="121"/>
      <c r="R918" s="121"/>
      <c r="S918" s="121"/>
      <c r="T918" s="121"/>
      <c r="U918" s="121"/>
      <c r="V918" s="121"/>
      <c r="W918" s="121"/>
      <c r="X918" s="121"/>
      <c r="Y918" s="121"/>
      <c r="Z918" s="121"/>
    </row>
    <row r="919" customFormat="false" ht="15.75" hidden="false" customHeight="false" outlineLevel="0" collapsed="false">
      <c r="A919" s="121"/>
      <c r="B919" s="121"/>
      <c r="C919" s="121"/>
      <c r="D919" s="121"/>
      <c r="E919" s="121"/>
      <c r="F919" s="121"/>
      <c r="G919" s="121"/>
      <c r="H919" s="121"/>
      <c r="I919" s="121"/>
      <c r="J919" s="121"/>
      <c r="K919" s="121"/>
      <c r="L919" s="121"/>
      <c r="M919" s="121"/>
      <c r="N919" s="121"/>
      <c r="O919" s="121"/>
      <c r="P919" s="121"/>
      <c r="Q919" s="121"/>
      <c r="R919" s="121"/>
      <c r="S919" s="121"/>
      <c r="T919" s="121"/>
      <c r="U919" s="121"/>
      <c r="V919" s="121"/>
      <c r="W919" s="121"/>
      <c r="X919" s="121"/>
      <c r="Y919" s="121"/>
      <c r="Z919" s="121"/>
    </row>
    <row r="920" customFormat="false" ht="15.75" hidden="false" customHeight="false" outlineLevel="0" collapsed="false">
      <c r="A920" s="121"/>
      <c r="B920" s="121"/>
      <c r="C920" s="121"/>
      <c r="D920" s="121"/>
      <c r="E920" s="121"/>
      <c r="F920" s="121"/>
      <c r="G920" s="121"/>
      <c r="H920" s="121"/>
      <c r="I920" s="121"/>
      <c r="J920" s="121"/>
      <c r="K920" s="121"/>
      <c r="L920" s="121"/>
      <c r="M920" s="121"/>
      <c r="N920" s="121"/>
      <c r="O920" s="121"/>
      <c r="P920" s="121"/>
      <c r="Q920" s="121"/>
      <c r="R920" s="121"/>
      <c r="S920" s="121"/>
      <c r="T920" s="121"/>
      <c r="U920" s="121"/>
      <c r="V920" s="121"/>
      <c r="W920" s="121"/>
      <c r="X920" s="121"/>
      <c r="Y920" s="121"/>
      <c r="Z920" s="121"/>
    </row>
    <row r="921" customFormat="false" ht="15.75" hidden="false" customHeight="false" outlineLevel="0" collapsed="false">
      <c r="A921" s="121"/>
      <c r="B921" s="121"/>
      <c r="C921" s="121"/>
      <c r="D921" s="121"/>
      <c r="E921" s="121"/>
      <c r="F921" s="121"/>
      <c r="G921" s="121"/>
      <c r="H921" s="121"/>
      <c r="I921" s="121"/>
      <c r="J921" s="121"/>
      <c r="K921" s="121"/>
      <c r="L921" s="121"/>
      <c r="M921" s="121"/>
      <c r="N921" s="121"/>
      <c r="O921" s="121"/>
      <c r="P921" s="121"/>
      <c r="Q921" s="121"/>
      <c r="R921" s="121"/>
      <c r="S921" s="121"/>
      <c r="T921" s="121"/>
      <c r="U921" s="121"/>
      <c r="V921" s="121"/>
      <c r="W921" s="121"/>
      <c r="X921" s="121"/>
      <c r="Y921" s="121"/>
      <c r="Z921" s="121"/>
    </row>
    <row r="922" customFormat="false" ht="15.75" hidden="false" customHeight="false" outlineLevel="0" collapsed="false">
      <c r="A922" s="121"/>
      <c r="B922" s="121"/>
      <c r="C922" s="121"/>
      <c r="D922" s="121"/>
      <c r="E922" s="121"/>
      <c r="F922" s="121"/>
      <c r="G922" s="121"/>
      <c r="H922" s="121"/>
      <c r="I922" s="121"/>
      <c r="J922" s="121"/>
      <c r="K922" s="121"/>
      <c r="L922" s="121"/>
      <c r="M922" s="121"/>
      <c r="N922" s="121"/>
      <c r="O922" s="121"/>
      <c r="P922" s="121"/>
      <c r="Q922" s="121"/>
      <c r="R922" s="121"/>
      <c r="S922" s="121"/>
      <c r="T922" s="121"/>
      <c r="U922" s="121"/>
      <c r="V922" s="121"/>
      <c r="W922" s="121"/>
      <c r="X922" s="121"/>
      <c r="Y922" s="121"/>
      <c r="Z922" s="121"/>
    </row>
    <row r="923" customFormat="false" ht="15.75" hidden="false" customHeight="false" outlineLevel="0" collapsed="false">
      <c r="A923" s="121"/>
      <c r="B923" s="121"/>
      <c r="C923" s="121"/>
      <c r="D923" s="121"/>
      <c r="E923" s="121"/>
      <c r="F923" s="121"/>
      <c r="G923" s="121"/>
      <c r="H923" s="121"/>
      <c r="I923" s="121"/>
      <c r="J923" s="121"/>
      <c r="K923" s="121"/>
      <c r="L923" s="121"/>
      <c r="M923" s="121"/>
      <c r="N923" s="121"/>
      <c r="O923" s="121"/>
      <c r="P923" s="121"/>
      <c r="Q923" s="121"/>
      <c r="R923" s="121"/>
      <c r="S923" s="121"/>
      <c r="T923" s="121"/>
      <c r="U923" s="121"/>
      <c r="V923" s="121"/>
      <c r="W923" s="121"/>
      <c r="X923" s="121"/>
      <c r="Y923" s="121"/>
      <c r="Z923" s="121"/>
    </row>
    <row r="924" customFormat="false" ht="15.75" hidden="false" customHeight="false" outlineLevel="0" collapsed="false">
      <c r="A924" s="121"/>
      <c r="B924" s="121"/>
      <c r="C924" s="121"/>
      <c r="D924" s="121"/>
      <c r="E924" s="121"/>
      <c r="F924" s="121"/>
      <c r="G924" s="121"/>
      <c r="H924" s="121"/>
      <c r="I924" s="121"/>
      <c r="J924" s="121"/>
      <c r="K924" s="121"/>
      <c r="L924" s="121"/>
      <c r="M924" s="121"/>
      <c r="N924" s="121"/>
      <c r="O924" s="121"/>
      <c r="P924" s="121"/>
      <c r="Q924" s="121"/>
      <c r="R924" s="121"/>
      <c r="S924" s="121"/>
      <c r="T924" s="121"/>
      <c r="U924" s="121"/>
      <c r="V924" s="121"/>
      <c r="W924" s="121"/>
      <c r="X924" s="121"/>
      <c r="Y924" s="121"/>
      <c r="Z924" s="121"/>
    </row>
    <row r="925" customFormat="false" ht="15.75" hidden="false" customHeight="false" outlineLevel="0" collapsed="false">
      <c r="A925" s="121"/>
      <c r="B925" s="121"/>
      <c r="C925" s="121"/>
      <c r="D925" s="121"/>
      <c r="E925" s="121"/>
      <c r="F925" s="121"/>
      <c r="G925" s="121"/>
      <c r="H925" s="121"/>
      <c r="I925" s="121"/>
      <c r="J925" s="121"/>
      <c r="K925" s="121"/>
      <c r="L925" s="121"/>
      <c r="M925" s="121"/>
      <c r="N925" s="121"/>
      <c r="O925" s="121"/>
      <c r="P925" s="121"/>
      <c r="Q925" s="121"/>
      <c r="R925" s="121"/>
      <c r="S925" s="121"/>
      <c r="T925" s="121"/>
      <c r="U925" s="121"/>
      <c r="V925" s="121"/>
      <c r="W925" s="121"/>
      <c r="X925" s="121"/>
      <c r="Y925" s="121"/>
      <c r="Z925" s="121"/>
    </row>
    <row r="926" customFormat="false" ht="15.75" hidden="false" customHeight="false" outlineLevel="0" collapsed="false">
      <c r="A926" s="121"/>
      <c r="B926" s="121"/>
      <c r="C926" s="121"/>
      <c r="D926" s="121"/>
      <c r="E926" s="121"/>
      <c r="F926" s="121"/>
      <c r="G926" s="121"/>
      <c r="H926" s="121"/>
      <c r="I926" s="121"/>
      <c r="J926" s="121"/>
      <c r="K926" s="121"/>
      <c r="L926" s="121"/>
      <c r="M926" s="121"/>
      <c r="N926" s="121"/>
      <c r="O926" s="121"/>
      <c r="P926" s="121"/>
      <c r="Q926" s="121"/>
      <c r="R926" s="121"/>
      <c r="S926" s="121"/>
      <c r="T926" s="121"/>
      <c r="U926" s="121"/>
      <c r="V926" s="121"/>
      <c r="W926" s="121"/>
      <c r="X926" s="121"/>
      <c r="Y926" s="121"/>
      <c r="Z926" s="121"/>
    </row>
    <row r="927" customFormat="false" ht="15.75" hidden="false" customHeight="false" outlineLevel="0" collapsed="false">
      <c r="A927" s="121"/>
      <c r="B927" s="121"/>
      <c r="C927" s="121"/>
      <c r="D927" s="121"/>
      <c r="E927" s="121"/>
      <c r="F927" s="121"/>
      <c r="G927" s="121"/>
      <c r="H927" s="121"/>
      <c r="I927" s="121"/>
      <c r="J927" s="121"/>
      <c r="K927" s="121"/>
      <c r="L927" s="121"/>
      <c r="M927" s="121"/>
      <c r="N927" s="121"/>
      <c r="O927" s="121"/>
      <c r="P927" s="121"/>
      <c r="Q927" s="121"/>
      <c r="R927" s="121"/>
      <c r="S927" s="121"/>
      <c r="T927" s="121"/>
      <c r="U927" s="121"/>
      <c r="V927" s="121"/>
      <c r="W927" s="121"/>
      <c r="X927" s="121"/>
      <c r="Y927" s="121"/>
      <c r="Z927" s="121"/>
    </row>
    <row r="928" customFormat="false" ht="15.75" hidden="false" customHeight="false" outlineLevel="0" collapsed="false">
      <c r="A928" s="121"/>
      <c r="B928" s="121"/>
      <c r="C928" s="121"/>
      <c r="D928" s="121"/>
      <c r="E928" s="121"/>
      <c r="F928" s="121"/>
      <c r="G928" s="121"/>
      <c r="H928" s="121"/>
      <c r="I928" s="121"/>
      <c r="J928" s="121"/>
      <c r="K928" s="121"/>
      <c r="L928" s="121"/>
      <c r="M928" s="121"/>
      <c r="N928" s="121"/>
      <c r="O928" s="121"/>
      <c r="P928" s="121"/>
      <c r="Q928" s="121"/>
      <c r="R928" s="121"/>
      <c r="S928" s="121"/>
      <c r="T928" s="121"/>
      <c r="U928" s="121"/>
      <c r="V928" s="121"/>
      <c r="W928" s="121"/>
      <c r="X928" s="121"/>
      <c r="Y928" s="121"/>
      <c r="Z928" s="121"/>
    </row>
    <row r="929" customFormat="false" ht="15.75" hidden="false" customHeight="false" outlineLevel="0" collapsed="false">
      <c r="A929" s="121"/>
      <c r="B929" s="121"/>
      <c r="C929" s="121"/>
      <c r="D929" s="121"/>
      <c r="E929" s="121"/>
      <c r="F929" s="121"/>
      <c r="G929" s="121"/>
      <c r="H929" s="121"/>
      <c r="I929" s="121"/>
      <c r="J929" s="121"/>
      <c r="K929" s="121"/>
      <c r="L929" s="121"/>
      <c r="M929" s="121"/>
      <c r="N929" s="121"/>
      <c r="O929" s="121"/>
      <c r="P929" s="121"/>
      <c r="Q929" s="121"/>
      <c r="R929" s="121"/>
      <c r="S929" s="121"/>
      <c r="T929" s="121"/>
      <c r="U929" s="121"/>
      <c r="V929" s="121"/>
      <c r="W929" s="121"/>
      <c r="X929" s="121"/>
      <c r="Y929" s="121"/>
      <c r="Z929" s="121"/>
    </row>
    <row r="930" customFormat="false" ht="15.75" hidden="false" customHeight="false" outlineLevel="0" collapsed="false">
      <c r="A930" s="121"/>
      <c r="B930" s="121"/>
      <c r="C930" s="121"/>
      <c r="D930" s="121"/>
      <c r="E930" s="121"/>
      <c r="F930" s="121"/>
      <c r="G930" s="121"/>
      <c r="H930" s="121"/>
      <c r="I930" s="121"/>
      <c r="J930" s="121"/>
      <c r="K930" s="121"/>
      <c r="L930" s="121"/>
      <c r="M930" s="121"/>
      <c r="N930" s="121"/>
      <c r="O930" s="121"/>
      <c r="P930" s="121"/>
      <c r="Q930" s="121"/>
      <c r="R930" s="121"/>
      <c r="S930" s="121"/>
      <c r="T930" s="121"/>
      <c r="U930" s="121"/>
      <c r="V930" s="121"/>
      <c r="W930" s="121"/>
      <c r="X930" s="121"/>
      <c r="Y930" s="121"/>
      <c r="Z930" s="121"/>
    </row>
    <row r="931" customFormat="false" ht="15.75" hidden="false" customHeight="false" outlineLevel="0" collapsed="false">
      <c r="A931" s="121"/>
      <c r="B931" s="121"/>
      <c r="C931" s="121"/>
      <c r="D931" s="121"/>
      <c r="E931" s="121"/>
      <c r="F931" s="121"/>
      <c r="G931" s="121"/>
      <c r="H931" s="121"/>
      <c r="I931" s="121"/>
      <c r="J931" s="121"/>
      <c r="K931" s="121"/>
      <c r="L931" s="121"/>
      <c r="M931" s="121"/>
      <c r="N931" s="121"/>
      <c r="O931" s="121"/>
      <c r="P931" s="121"/>
      <c r="Q931" s="121"/>
      <c r="R931" s="121"/>
      <c r="S931" s="121"/>
      <c r="T931" s="121"/>
      <c r="U931" s="121"/>
      <c r="V931" s="121"/>
      <c r="W931" s="121"/>
      <c r="X931" s="121"/>
      <c r="Y931" s="121"/>
      <c r="Z931" s="121"/>
    </row>
    <row r="932" customFormat="false" ht="15.75" hidden="false" customHeight="false" outlineLevel="0" collapsed="false">
      <c r="A932" s="121"/>
      <c r="B932" s="121"/>
      <c r="C932" s="121"/>
      <c r="D932" s="121"/>
      <c r="E932" s="121"/>
      <c r="F932" s="121"/>
      <c r="G932" s="121"/>
      <c r="H932" s="121"/>
      <c r="I932" s="121"/>
      <c r="J932" s="121"/>
      <c r="K932" s="121"/>
      <c r="L932" s="121"/>
      <c r="M932" s="121"/>
      <c r="N932" s="121"/>
      <c r="O932" s="121"/>
      <c r="P932" s="121"/>
      <c r="Q932" s="121"/>
      <c r="R932" s="121"/>
      <c r="S932" s="121"/>
      <c r="T932" s="121"/>
      <c r="U932" s="121"/>
      <c r="V932" s="121"/>
      <c r="W932" s="121"/>
      <c r="X932" s="121"/>
      <c r="Y932" s="121"/>
      <c r="Z932" s="121"/>
    </row>
    <row r="933" customFormat="false" ht="15.75" hidden="false" customHeight="false" outlineLevel="0" collapsed="false">
      <c r="A933" s="121"/>
      <c r="B933" s="121"/>
      <c r="C933" s="121"/>
      <c r="D933" s="121"/>
      <c r="E933" s="121"/>
      <c r="F933" s="121"/>
      <c r="G933" s="121"/>
      <c r="H933" s="121"/>
      <c r="I933" s="121"/>
      <c r="J933" s="121"/>
      <c r="K933" s="121"/>
      <c r="L933" s="121"/>
      <c r="M933" s="121"/>
      <c r="N933" s="121"/>
      <c r="O933" s="121"/>
      <c r="P933" s="121"/>
      <c r="Q933" s="121"/>
      <c r="R933" s="121"/>
      <c r="S933" s="121"/>
      <c r="T933" s="121"/>
      <c r="U933" s="121"/>
      <c r="V933" s="121"/>
      <c r="W933" s="121"/>
      <c r="X933" s="121"/>
      <c r="Y933" s="121"/>
      <c r="Z933" s="121"/>
    </row>
    <row r="934" customFormat="false" ht="15.75" hidden="false" customHeight="false" outlineLevel="0" collapsed="false">
      <c r="A934" s="121"/>
      <c r="B934" s="121"/>
      <c r="C934" s="121"/>
      <c r="D934" s="121"/>
      <c r="E934" s="121"/>
      <c r="F934" s="121"/>
      <c r="G934" s="121"/>
      <c r="H934" s="121"/>
      <c r="I934" s="121"/>
      <c r="J934" s="121"/>
      <c r="K934" s="121"/>
      <c r="L934" s="121"/>
      <c r="M934" s="121"/>
      <c r="N934" s="121"/>
      <c r="O934" s="121"/>
      <c r="P934" s="121"/>
      <c r="Q934" s="121"/>
      <c r="R934" s="121"/>
      <c r="S934" s="121"/>
      <c r="T934" s="121"/>
      <c r="U934" s="121"/>
      <c r="V934" s="121"/>
      <c r="W934" s="121"/>
      <c r="X934" s="121"/>
      <c r="Y934" s="121"/>
      <c r="Z934" s="121"/>
    </row>
    <row r="935" customFormat="false" ht="15.75" hidden="false" customHeight="false" outlineLevel="0" collapsed="false">
      <c r="A935" s="121"/>
      <c r="B935" s="121"/>
      <c r="C935" s="121"/>
      <c r="D935" s="121"/>
      <c r="E935" s="121"/>
      <c r="F935" s="121"/>
      <c r="G935" s="121"/>
      <c r="H935" s="121"/>
      <c r="I935" s="121"/>
      <c r="J935" s="121"/>
      <c r="K935" s="121"/>
      <c r="L935" s="121"/>
      <c r="M935" s="121"/>
      <c r="N935" s="121"/>
      <c r="O935" s="121"/>
      <c r="P935" s="121"/>
      <c r="Q935" s="121"/>
      <c r="R935" s="121"/>
      <c r="S935" s="121"/>
      <c r="T935" s="121"/>
      <c r="U935" s="121"/>
      <c r="V935" s="121"/>
      <c r="W935" s="121"/>
      <c r="X935" s="121"/>
      <c r="Y935" s="121"/>
      <c r="Z935" s="121"/>
    </row>
    <row r="936" customFormat="false" ht="15.75" hidden="false" customHeight="false" outlineLevel="0" collapsed="false">
      <c r="A936" s="121"/>
      <c r="B936" s="121"/>
      <c r="C936" s="121"/>
      <c r="D936" s="121"/>
      <c r="E936" s="121"/>
      <c r="F936" s="121"/>
      <c r="G936" s="121"/>
      <c r="H936" s="121"/>
      <c r="I936" s="121"/>
      <c r="J936" s="121"/>
      <c r="K936" s="121"/>
      <c r="L936" s="121"/>
      <c r="M936" s="121"/>
      <c r="N936" s="121"/>
      <c r="O936" s="121"/>
      <c r="P936" s="121"/>
      <c r="Q936" s="121"/>
      <c r="R936" s="121"/>
      <c r="S936" s="121"/>
      <c r="T936" s="121"/>
      <c r="U936" s="121"/>
      <c r="V936" s="121"/>
      <c r="W936" s="121"/>
      <c r="X936" s="121"/>
      <c r="Y936" s="121"/>
      <c r="Z936" s="121"/>
    </row>
    <row r="937" customFormat="false" ht="15.75" hidden="false" customHeight="false" outlineLevel="0" collapsed="false">
      <c r="A937" s="121"/>
      <c r="B937" s="121"/>
      <c r="C937" s="121"/>
      <c r="D937" s="121"/>
      <c r="E937" s="121"/>
      <c r="F937" s="121"/>
      <c r="G937" s="121"/>
      <c r="H937" s="121"/>
      <c r="I937" s="121"/>
      <c r="J937" s="121"/>
      <c r="K937" s="121"/>
      <c r="L937" s="121"/>
      <c r="M937" s="121"/>
      <c r="N937" s="121"/>
      <c r="O937" s="121"/>
      <c r="P937" s="121"/>
      <c r="Q937" s="121"/>
      <c r="R937" s="121"/>
      <c r="S937" s="121"/>
      <c r="T937" s="121"/>
      <c r="U937" s="121"/>
      <c r="V937" s="121"/>
      <c r="W937" s="121"/>
      <c r="X937" s="121"/>
      <c r="Y937" s="121"/>
      <c r="Z937" s="121"/>
    </row>
    <row r="938" customFormat="false" ht="15.75" hidden="false" customHeight="false" outlineLevel="0" collapsed="false">
      <c r="A938" s="121"/>
      <c r="B938" s="121"/>
      <c r="C938" s="121"/>
      <c r="D938" s="121"/>
      <c r="E938" s="121"/>
      <c r="F938" s="121"/>
      <c r="G938" s="121"/>
      <c r="H938" s="121"/>
      <c r="I938" s="121"/>
      <c r="J938" s="121"/>
      <c r="K938" s="121"/>
      <c r="L938" s="121"/>
      <c r="M938" s="121"/>
      <c r="N938" s="121"/>
      <c r="O938" s="121"/>
      <c r="P938" s="121"/>
      <c r="Q938" s="121"/>
      <c r="R938" s="121"/>
      <c r="S938" s="121"/>
      <c r="T938" s="121"/>
      <c r="U938" s="121"/>
      <c r="V938" s="121"/>
      <c r="W938" s="121"/>
      <c r="X938" s="121"/>
      <c r="Y938" s="121"/>
      <c r="Z938" s="121"/>
    </row>
    <row r="939" customFormat="false" ht="15.75" hidden="false" customHeight="false" outlineLevel="0" collapsed="false">
      <c r="A939" s="121"/>
      <c r="B939" s="121"/>
      <c r="C939" s="121"/>
      <c r="D939" s="121"/>
      <c r="E939" s="121"/>
      <c r="F939" s="121"/>
      <c r="G939" s="121"/>
      <c r="H939" s="121"/>
      <c r="I939" s="121"/>
      <c r="J939" s="121"/>
      <c r="K939" s="121"/>
      <c r="L939" s="121"/>
      <c r="M939" s="121"/>
      <c r="N939" s="121"/>
      <c r="O939" s="121"/>
      <c r="P939" s="121"/>
      <c r="Q939" s="121"/>
      <c r="R939" s="121"/>
      <c r="S939" s="121"/>
      <c r="T939" s="121"/>
      <c r="U939" s="121"/>
      <c r="V939" s="121"/>
      <c r="W939" s="121"/>
      <c r="X939" s="121"/>
      <c r="Y939" s="121"/>
      <c r="Z939" s="121"/>
    </row>
    <row r="940" customFormat="false" ht="15.75" hidden="false" customHeight="false" outlineLevel="0" collapsed="false">
      <c r="A940" s="121"/>
      <c r="B940" s="121"/>
      <c r="C940" s="121"/>
      <c r="D940" s="121"/>
      <c r="E940" s="121"/>
      <c r="F940" s="121"/>
      <c r="G940" s="121"/>
      <c r="H940" s="121"/>
      <c r="I940" s="121"/>
      <c r="J940" s="121"/>
      <c r="K940" s="121"/>
      <c r="L940" s="121"/>
      <c r="M940" s="121"/>
      <c r="N940" s="121"/>
      <c r="O940" s="121"/>
      <c r="P940" s="121"/>
      <c r="Q940" s="121"/>
      <c r="R940" s="121"/>
      <c r="S940" s="121"/>
      <c r="T940" s="121"/>
      <c r="U940" s="121"/>
      <c r="V940" s="121"/>
      <c r="W940" s="121"/>
      <c r="X940" s="121"/>
      <c r="Y940" s="121"/>
      <c r="Z940" s="121"/>
    </row>
    <row r="941" customFormat="false" ht="15.75" hidden="false" customHeight="false" outlineLevel="0" collapsed="false">
      <c r="A941" s="121"/>
      <c r="B941" s="121"/>
      <c r="C941" s="121"/>
      <c r="D941" s="121"/>
      <c r="E941" s="121"/>
      <c r="F941" s="121"/>
      <c r="G941" s="121"/>
      <c r="H941" s="121"/>
      <c r="I941" s="121"/>
      <c r="J941" s="121"/>
      <c r="K941" s="121"/>
      <c r="L941" s="121"/>
      <c r="M941" s="121"/>
      <c r="N941" s="121"/>
      <c r="O941" s="121"/>
      <c r="P941" s="121"/>
      <c r="Q941" s="121"/>
      <c r="R941" s="121"/>
      <c r="S941" s="121"/>
      <c r="T941" s="121"/>
      <c r="U941" s="121"/>
      <c r="V941" s="121"/>
      <c r="W941" s="121"/>
      <c r="X941" s="121"/>
      <c r="Y941" s="121"/>
      <c r="Z941" s="121"/>
    </row>
    <row r="942" customFormat="false" ht="15.75" hidden="false" customHeight="false" outlineLevel="0" collapsed="false">
      <c r="A942" s="121"/>
      <c r="B942" s="121"/>
      <c r="C942" s="121"/>
      <c r="D942" s="121"/>
      <c r="E942" s="121"/>
      <c r="F942" s="121"/>
      <c r="G942" s="121"/>
      <c r="H942" s="121"/>
      <c r="I942" s="121"/>
      <c r="J942" s="121"/>
      <c r="K942" s="121"/>
      <c r="L942" s="121"/>
      <c r="M942" s="121"/>
      <c r="N942" s="121"/>
      <c r="O942" s="121"/>
      <c r="P942" s="121"/>
      <c r="Q942" s="121"/>
      <c r="R942" s="121"/>
      <c r="S942" s="121"/>
      <c r="T942" s="121"/>
      <c r="U942" s="121"/>
      <c r="V942" s="121"/>
      <c r="W942" s="121"/>
      <c r="X942" s="121"/>
      <c r="Y942" s="121"/>
      <c r="Z942" s="121"/>
    </row>
    <row r="943" customFormat="false" ht="15.75" hidden="false" customHeight="false" outlineLevel="0" collapsed="false">
      <c r="A943" s="121"/>
      <c r="B943" s="121"/>
      <c r="C943" s="121"/>
      <c r="D943" s="121"/>
      <c r="E943" s="121"/>
      <c r="F943" s="121"/>
      <c r="G943" s="121"/>
      <c r="H943" s="121"/>
      <c r="I943" s="121"/>
      <c r="J943" s="121"/>
      <c r="K943" s="121"/>
      <c r="L943" s="121"/>
      <c r="M943" s="121"/>
      <c r="N943" s="121"/>
      <c r="O943" s="121"/>
      <c r="P943" s="121"/>
      <c r="Q943" s="121"/>
      <c r="R943" s="121"/>
      <c r="S943" s="121"/>
      <c r="T943" s="121"/>
      <c r="U943" s="121"/>
      <c r="V943" s="121"/>
      <c r="W943" s="121"/>
      <c r="X943" s="121"/>
      <c r="Y943" s="121"/>
      <c r="Z943" s="121"/>
    </row>
    <row r="944" customFormat="false" ht="15.75" hidden="false" customHeight="false" outlineLevel="0" collapsed="false">
      <c r="A944" s="121"/>
      <c r="B944" s="121"/>
      <c r="C944" s="121"/>
      <c r="D944" s="121"/>
      <c r="E944" s="121"/>
      <c r="F944" s="121"/>
      <c r="G944" s="121"/>
      <c r="H944" s="121"/>
      <c r="I944" s="121"/>
      <c r="J944" s="121"/>
      <c r="K944" s="121"/>
      <c r="L944" s="121"/>
      <c r="M944" s="121"/>
      <c r="N944" s="121"/>
      <c r="O944" s="121"/>
      <c r="P944" s="121"/>
      <c r="Q944" s="121"/>
      <c r="R944" s="121"/>
      <c r="S944" s="121"/>
      <c r="T944" s="121"/>
      <c r="U944" s="121"/>
      <c r="V944" s="121"/>
      <c r="W944" s="121"/>
      <c r="X944" s="121"/>
      <c r="Y944" s="121"/>
      <c r="Z944" s="121"/>
    </row>
    <row r="945" customFormat="false" ht="15.75" hidden="false" customHeight="false" outlineLevel="0" collapsed="false">
      <c r="A945" s="121"/>
      <c r="B945" s="121"/>
      <c r="C945" s="121"/>
      <c r="D945" s="121"/>
      <c r="E945" s="121"/>
      <c r="F945" s="121"/>
      <c r="G945" s="121"/>
      <c r="H945" s="121"/>
      <c r="I945" s="121"/>
      <c r="J945" s="121"/>
      <c r="K945" s="121"/>
      <c r="L945" s="121"/>
      <c r="M945" s="121"/>
      <c r="N945" s="121"/>
      <c r="O945" s="121"/>
      <c r="P945" s="121"/>
      <c r="Q945" s="121"/>
      <c r="R945" s="121"/>
      <c r="S945" s="121"/>
      <c r="T945" s="121"/>
      <c r="U945" s="121"/>
      <c r="V945" s="121"/>
      <c r="W945" s="121"/>
      <c r="X945" s="121"/>
      <c r="Y945" s="121"/>
      <c r="Z945" s="121"/>
    </row>
    <row r="946" customFormat="false" ht="15.75" hidden="false" customHeight="false" outlineLevel="0" collapsed="false">
      <c r="A946" s="121"/>
      <c r="B946" s="121"/>
      <c r="C946" s="121"/>
      <c r="D946" s="121"/>
      <c r="E946" s="121"/>
      <c r="F946" s="121"/>
      <c r="G946" s="121"/>
      <c r="H946" s="121"/>
      <c r="I946" s="121"/>
      <c r="J946" s="121"/>
      <c r="K946" s="121"/>
      <c r="L946" s="121"/>
      <c r="M946" s="121"/>
      <c r="N946" s="121"/>
      <c r="O946" s="121"/>
      <c r="P946" s="121"/>
      <c r="Q946" s="121"/>
      <c r="R946" s="121"/>
      <c r="S946" s="121"/>
      <c r="T946" s="121"/>
      <c r="U946" s="121"/>
      <c r="V946" s="121"/>
      <c r="W946" s="121"/>
      <c r="X946" s="121"/>
      <c r="Y946" s="121"/>
      <c r="Z946" s="121"/>
    </row>
    <row r="947" customFormat="false" ht="15.75" hidden="false" customHeight="false" outlineLevel="0" collapsed="false">
      <c r="A947" s="121"/>
      <c r="B947" s="121"/>
      <c r="C947" s="121"/>
      <c r="D947" s="121"/>
      <c r="E947" s="121"/>
      <c r="F947" s="121"/>
      <c r="G947" s="121"/>
      <c r="H947" s="121"/>
      <c r="I947" s="121"/>
      <c r="J947" s="121"/>
      <c r="K947" s="121"/>
      <c r="L947" s="121"/>
      <c r="M947" s="121"/>
      <c r="N947" s="121"/>
      <c r="O947" s="121"/>
      <c r="P947" s="121"/>
      <c r="Q947" s="121"/>
      <c r="R947" s="121"/>
      <c r="S947" s="121"/>
      <c r="T947" s="121"/>
      <c r="U947" s="121"/>
      <c r="V947" s="121"/>
      <c r="W947" s="121"/>
      <c r="X947" s="121"/>
      <c r="Y947" s="121"/>
      <c r="Z947" s="121"/>
    </row>
    <row r="948" customFormat="false" ht="15.75" hidden="false" customHeight="false" outlineLevel="0" collapsed="false">
      <c r="A948" s="121"/>
      <c r="B948" s="121"/>
      <c r="C948" s="121"/>
      <c r="D948" s="121"/>
      <c r="E948" s="121"/>
      <c r="F948" s="121"/>
      <c r="G948" s="121"/>
      <c r="H948" s="121"/>
      <c r="I948" s="121"/>
      <c r="J948" s="121"/>
      <c r="K948" s="121"/>
      <c r="L948" s="121"/>
      <c r="M948" s="121"/>
      <c r="N948" s="121"/>
      <c r="O948" s="121"/>
      <c r="P948" s="121"/>
      <c r="Q948" s="121"/>
      <c r="R948" s="121"/>
      <c r="S948" s="121"/>
      <c r="T948" s="121"/>
      <c r="U948" s="121"/>
      <c r="V948" s="121"/>
      <c r="W948" s="121"/>
      <c r="X948" s="121"/>
      <c r="Y948" s="121"/>
      <c r="Z948" s="121"/>
    </row>
    <row r="949" customFormat="false" ht="15.75" hidden="false" customHeight="false" outlineLevel="0" collapsed="false">
      <c r="A949" s="121"/>
      <c r="B949" s="121"/>
      <c r="C949" s="121"/>
      <c r="D949" s="121"/>
      <c r="E949" s="121"/>
      <c r="F949" s="121"/>
      <c r="G949" s="121"/>
      <c r="H949" s="121"/>
      <c r="I949" s="121"/>
      <c r="J949" s="121"/>
      <c r="K949" s="121"/>
      <c r="L949" s="121"/>
      <c r="M949" s="121"/>
      <c r="N949" s="121"/>
      <c r="O949" s="121"/>
      <c r="P949" s="121"/>
      <c r="Q949" s="121"/>
      <c r="R949" s="121"/>
      <c r="S949" s="121"/>
      <c r="T949" s="121"/>
      <c r="U949" s="121"/>
      <c r="V949" s="121"/>
      <c r="W949" s="121"/>
      <c r="X949" s="121"/>
      <c r="Y949" s="121"/>
      <c r="Z949" s="121"/>
    </row>
    <row r="950" customFormat="false" ht="15.75" hidden="false" customHeight="false" outlineLevel="0" collapsed="false">
      <c r="A950" s="121"/>
      <c r="B950" s="121"/>
      <c r="C950" s="121"/>
      <c r="D950" s="121"/>
      <c r="E950" s="121"/>
      <c r="F950" s="121"/>
      <c r="G950" s="121"/>
      <c r="H950" s="121"/>
      <c r="I950" s="121"/>
      <c r="J950" s="121"/>
      <c r="K950" s="121"/>
      <c r="L950" s="121"/>
      <c r="M950" s="121"/>
      <c r="N950" s="121"/>
      <c r="O950" s="121"/>
      <c r="P950" s="121"/>
      <c r="Q950" s="121"/>
      <c r="R950" s="121"/>
      <c r="S950" s="121"/>
      <c r="T950" s="121"/>
      <c r="U950" s="121"/>
      <c r="V950" s="121"/>
      <c r="W950" s="121"/>
      <c r="X950" s="121"/>
      <c r="Y950" s="121"/>
      <c r="Z950" s="121"/>
    </row>
    <row r="951" customFormat="false" ht="15.75" hidden="false" customHeight="false" outlineLevel="0" collapsed="false">
      <c r="A951" s="121"/>
      <c r="B951" s="121"/>
      <c r="C951" s="121"/>
      <c r="D951" s="121"/>
      <c r="E951" s="121"/>
      <c r="F951" s="121"/>
      <c r="G951" s="121"/>
      <c r="H951" s="121"/>
      <c r="I951" s="121"/>
      <c r="J951" s="121"/>
      <c r="K951" s="121"/>
      <c r="L951" s="121"/>
      <c r="M951" s="121"/>
      <c r="N951" s="121"/>
      <c r="O951" s="121"/>
      <c r="P951" s="121"/>
      <c r="Q951" s="121"/>
      <c r="R951" s="121"/>
      <c r="S951" s="121"/>
      <c r="T951" s="121"/>
      <c r="U951" s="121"/>
      <c r="V951" s="121"/>
      <c r="W951" s="121"/>
      <c r="X951" s="121"/>
      <c r="Y951" s="121"/>
      <c r="Z951" s="121"/>
    </row>
    <row r="952" customFormat="false" ht="15.75" hidden="false" customHeight="false" outlineLevel="0" collapsed="false">
      <c r="A952" s="121"/>
      <c r="B952" s="121"/>
      <c r="C952" s="121"/>
      <c r="D952" s="121"/>
      <c r="E952" s="121"/>
      <c r="F952" s="121"/>
      <c r="G952" s="121"/>
      <c r="H952" s="121"/>
      <c r="I952" s="121"/>
      <c r="J952" s="121"/>
      <c r="K952" s="121"/>
      <c r="L952" s="121"/>
      <c r="M952" s="121"/>
      <c r="N952" s="121"/>
      <c r="O952" s="121"/>
      <c r="P952" s="121"/>
      <c r="Q952" s="121"/>
      <c r="R952" s="121"/>
      <c r="S952" s="121"/>
      <c r="T952" s="121"/>
      <c r="U952" s="121"/>
      <c r="V952" s="121"/>
      <c r="W952" s="121"/>
      <c r="X952" s="121"/>
      <c r="Y952" s="121"/>
      <c r="Z952" s="121"/>
    </row>
    <row r="953" customFormat="false" ht="15.75" hidden="false" customHeight="false" outlineLevel="0" collapsed="false">
      <c r="A953" s="121"/>
      <c r="B953" s="121"/>
      <c r="C953" s="121"/>
      <c r="D953" s="121"/>
      <c r="E953" s="121"/>
      <c r="F953" s="121"/>
      <c r="G953" s="121"/>
      <c r="H953" s="121"/>
      <c r="I953" s="121"/>
      <c r="J953" s="121"/>
      <c r="K953" s="121"/>
      <c r="L953" s="121"/>
      <c r="M953" s="121"/>
      <c r="N953" s="121"/>
      <c r="O953" s="121"/>
      <c r="P953" s="121"/>
      <c r="Q953" s="121"/>
      <c r="R953" s="121"/>
      <c r="S953" s="121"/>
      <c r="T953" s="121"/>
      <c r="U953" s="121"/>
      <c r="V953" s="121"/>
      <c r="W953" s="121"/>
      <c r="X953" s="121"/>
      <c r="Y953" s="121"/>
      <c r="Z953" s="121"/>
    </row>
    <row r="954" customFormat="false" ht="15.75" hidden="false" customHeight="false" outlineLevel="0" collapsed="false">
      <c r="A954" s="121"/>
      <c r="B954" s="121"/>
      <c r="C954" s="121"/>
      <c r="D954" s="121"/>
      <c r="E954" s="121"/>
      <c r="F954" s="121"/>
      <c r="G954" s="121"/>
      <c r="H954" s="121"/>
      <c r="I954" s="121"/>
      <c r="J954" s="121"/>
      <c r="K954" s="121"/>
      <c r="L954" s="121"/>
      <c r="M954" s="121"/>
      <c r="N954" s="121"/>
      <c r="O954" s="121"/>
      <c r="P954" s="121"/>
      <c r="Q954" s="121"/>
      <c r="R954" s="121"/>
      <c r="S954" s="121"/>
      <c r="T954" s="121"/>
      <c r="U954" s="121"/>
      <c r="V954" s="121"/>
      <c r="W954" s="121"/>
      <c r="X954" s="121"/>
      <c r="Y954" s="121"/>
      <c r="Z954" s="121"/>
    </row>
    <row r="955" customFormat="false" ht="15.75" hidden="false" customHeight="false" outlineLevel="0" collapsed="false">
      <c r="A955" s="121"/>
      <c r="B955" s="121"/>
      <c r="C955" s="121"/>
      <c r="D955" s="121"/>
      <c r="E955" s="121"/>
      <c r="F955" s="121"/>
      <c r="G955" s="121"/>
      <c r="H955" s="121"/>
      <c r="I955" s="121"/>
      <c r="J955" s="121"/>
      <c r="K955" s="121"/>
      <c r="L955" s="121"/>
      <c r="M955" s="121"/>
      <c r="N955" s="121"/>
      <c r="O955" s="121"/>
      <c r="P955" s="121"/>
      <c r="Q955" s="121"/>
      <c r="R955" s="121"/>
      <c r="S955" s="121"/>
      <c r="T955" s="121"/>
      <c r="U955" s="121"/>
      <c r="V955" s="121"/>
      <c r="W955" s="121"/>
      <c r="X955" s="121"/>
      <c r="Y955" s="121"/>
      <c r="Z955" s="121"/>
    </row>
    <row r="956" customFormat="false" ht="15.75" hidden="false" customHeight="false" outlineLevel="0" collapsed="false">
      <c r="A956" s="121"/>
      <c r="B956" s="121"/>
      <c r="C956" s="121"/>
      <c r="D956" s="121"/>
      <c r="E956" s="121"/>
      <c r="F956" s="121"/>
      <c r="G956" s="121"/>
      <c r="H956" s="121"/>
      <c r="I956" s="121"/>
      <c r="J956" s="121"/>
      <c r="K956" s="121"/>
      <c r="L956" s="121"/>
      <c r="M956" s="121"/>
      <c r="N956" s="121"/>
      <c r="O956" s="121"/>
      <c r="P956" s="121"/>
      <c r="Q956" s="121"/>
      <c r="R956" s="121"/>
      <c r="S956" s="121"/>
      <c r="T956" s="121"/>
      <c r="U956" s="121"/>
      <c r="V956" s="121"/>
      <c r="W956" s="121"/>
      <c r="X956" s="121"/>
      <c r="Y956" s="121"/>
      <c r="Z956" s="121"/>
    </row>
    <row r="957" customFormat="false" ht="15.75" hidden="false" customHeight="false" outlineLevel="0" collapsed="false">
      <c r="A957" s="121"/>
      <c r="B957" s="121"/>
      <c r="C957" s="121"/>
      <c r="D957" s="121"/>
      <c r="E957" s="121"/>
      <c r="F957" s="121"/>
      <c r="G957" s="121"/>
      <c r="H957" s="121"/>
      <c r="I957" s="121"/>
      <c r="J957" s="121"/>
      <c r="K957" s="121"/>
      <c r="L957" s="121"/>
      <c r="M957" s="121"/>
      <c r="N957" s="121"/>
      <c r="O957" s="121"/>
      <c r="P957" s="121"/>
      <c r="Q957" s="121"/>
      <c r="R957" s="121"/>
      <c r="S957" s="121"/>
      <c r="T957" s="121"/>
      <c r="U957" s="121"/>
      <c r="V957" s="121"/>
      <c r="W957" s="121"/>
      <c r="X957" s="121"/>
      <c r="Y957" s="121"/>
      <c r="Z957" s="121"/>
    </row>
    <row r="958" customFormat="false" ht="15.75" hidden="false" customHeight="false" outlineLevel="0" collapsed="false">
      <c r="A958" s="121"/>
      <c r="B958" s="121"/>
      <c r="C958" s="121"/>
      <c r="D958" s="121"/>
      <c r="E958" s="121"/>
      <c r="F958" s="121"/>
      <c r="G958" s="121"/>
      <c r="H958" s="121"/>
      <c r="I958" s="121"/>
      <c r="J958" s="121"/>
      <c r="K958" s="121"/>
      <c r="L958" s="121"/>
      <c r="M958" s="121"/>
      <c r="N958" s="121"/>
      <c r="O958" s="121"/>
      <c r="P958" s="121"/>
      <c r="Q958" s="121"/>
      <c r="R958" s="121"/>
      <c r="S958" s="121"/>
      <c r="T958" s="121"/>
      <c r="U958" s="121"/>
      <c r="V958" s="121"/>
      <c r="W958" s="121"/>
      <c r="X958" s="121"/>
      <c r="Y958" s="121"/>
      <c r="Z958" s="121"/>
    </row>
    <row r="959" customFormat="false" ht="15.75" hidden="false" customHeight="false" outlineLevel="0" collapsed="false">
      <c r="A959" s="121"/>
      <c r="B959" s="121"/>
      <c r="C959" s="121"/>
      <c r="D959" s="121"/>
      <c r="E959" s="121"/>
      <c r="F959" s="121"/>
      <c r="G959" s="121"/>
      <c r="H959" s="121"/>
      <c r="I959" s="121"/>
      <c r="J959" s="121"/>
      <c r="K959" s="121"/>
      <c r="L959" s="121"/>
      <c r="M959" s="121"/>
      <c r="N959" s="121"/>
      <c r="O959" s="121"/>
      <c r="P959" s="121"/>
      <c r="Q959" s="121"/>
      <c r="R959" s="121"/>
      <c r="S959" s="121"/>
      <c r="T959" s="121"/>
      <c r="U959" s="121"/>
      <c r="V959" s="121"/>
      <c r="W959" s="121"/>
      <c r="X959" s="121"/>
      <c r="Y959" s="121"/>
      <c r="Z959" s="121"/>
    </row>
    <row r="960" customFormat="false" ht="15.75" hidden="false" customHeight="false" outlineLevel="0" collapsed="false">
      <c r="A960" s="121"/>
      <c r="B960" s="121"/>
      <c r="C960" s="121"/>
      <c r="D960" s="121"/>
      <c r="E960" s="121"/>
      <c r="F960" s="121"/>
      <c r="G960" s="121"/>
      <c r="H960" s="121"/>
      <c r="I960" s="121"/>
      <c r="J960" s="121"/>
      <c r="K960" s="121"/>
      <c r="L960" s="121"/>
      <c r="M960" s="121"/>
      <c r="N960" s="121"/>
      <c r="O960" s="121"/>
      <c r="P960" s="121"/>
      <c r="Q960" s="121"/>
      <c r="R960" s="121"/>
      <c r="S960" s="121"/>
      <c r="T960" s="121"/>
      <c r="U960" s="121"/>
      <c r="V960" s="121"/>
      <c r="W960" s="121"/>
      <c r="X960" s="121"/>
      <c r="Y960" s="121"/>
      <c r="Z960" s="121"/>
    </row>
    <row r="961" customFormat="false" ht="15.75" hidden="false" customHeight="false" outlineLevel="0" collapsed="false">
      <c r="A961" s="121"/>
      <c r="B961" s="121"/>
      <c r="C961" s="121"/>
      <c r="D961" s="121"/>
      <c r="E961" s="121"/>
      <c r="F961" s="121"/>
      <c r="G961" s="121"/>
      <c r="H961" s="121"/>
      <c r="I961" s="121"/>
      <c r="J961" s="121"/>
      <c r="K961" s="121"/>
      <c r="L961" s="121"/>
      <c r="M961" s="121"/>
      <c r="N961" s="121"/>
      <c r="O961" s="121"/>
      <c r="P961" s="121"/>
      <c r="Q961" s="121"/>
      <c r="R961" s="121"/>
      <c r="S961" s="121"/>
      <c r="T961" s="121"/>
      <c r="U961" s="121"/>
      <c r="V961" s="121"/>
      <c r="W961" s="121"/>
      <c r="X961" s="121"/>
      <c r="Y961" s="121"/>
      <c r="Z961" s="121"/>
    </row>
    <row r="962" customFormat="false" ht="15.75" hidden="false" customHeight="false" outlineLevel="0" collapsed="false">
      <c r="A962" s="121"/>
      <c r="B962" s="121"/>
      <c r="C962" s="121"/>
      <c r="D962" s="121"/>
      <c r="E962" s="121"/>
      <c r="F962" s="121"/>
      <c r="G962" s="121"/>
      <c r="H962" s="121"/>
      <c r="I962" s="121"/>
      <c r="J962" s="121"/>
      <c r="K962" s="121"/>
      <c r="L962" s="121"/>
      <c r="M962" s="121"/>
      <c r="N962" s="121"/>
      <c r="O962" s="121"/>
      <c r="P962" s="121"/>
      <c r="Q962" s="121"/>
      <c r="R962" s="121"/>
      <c r="S962" s="121"/>
      <c r="T962" s="121"/>
      <c r="U962" s="121"/>
      <c r="V962" s="121"/>
      <c r="W962" s="121"/>
      <c r="X962" s="121"/>
      <c r="Y962" s="121"/>
      <c r="Z962" s="121"/>
    </row>
    <row r="963" customFormat="false" ht="15.75" hidden="false" customHeight="false" outlineLevel="0" collapsed="false">
      <c r="A963" s="121"/>
      <c r="B963" s="121"/>
      <c r="C963" s="121"/>
      <c r="D963" s="121"/>
      <c r="E963" s="121"/>
      <c r="F963" s="121"/>
      <c r="G963" s="121"/>
      <c r="H963" s="121"/>
      <c r="I963" s="121"/>
      <c r="J963" s="121"/>
      <c r="K963" s="121"/>
      <c r="L963" s="121"/>
      <c r="M963" s="121"/>
      <c r="N963" s="121"/>
      <c r="O963" s="121"/>
      <c r="P963" s="121"/>
      <c r="Q963" s="121"/>
      <c r="R963" s="121"/>
      <c r="S963" s="121"/>
      <c r="T963" s="121"/>
      <c r="U963" s="121"/>
      <c r="V963" s="121"/>
      <c r="W963" s="121"/>
      <c r="X963" s="121"/>
      <c r="Y963" s="121"/>
      <c r="Z963" s="121"/>
    </row>
    <row r="964" customFormat="false" ht="15.75" hidden="false" customHeight="false" outlineLevel="0" collapsed="false">
      <c r="A964" s="121"/>
      <c r="B964" s="121"/>
      <c r="C964" s="121"/>
      <c r="D964" s="121"/>
      <c r="E964" s="121"/>
      <c r="F964" s="121"/>
      <c r="G964" s="121"/>
      <c r="H964" s="121"/>
      <c r="I964" s="121"/>
      <c r="J964" s="121"/>
      <c r="K964" s="121"/>
      <c r="L964" s="121"/>
      <c r="M964" s="121"/>
      <c r="N964" s="121"/>
      <c r="O964" s="121"/>
      <c r="P964" s="121"/>
      <c r="Q964" s="121"/>
      <c r="R964" s="121"/>
      <c r="S964" s="121"/>
      <c r="T964" s="121"/>
      <c r="U964" s="121"/>
      <c r="V964" s="121"/>
      <c r="W964" s="121"/>
      <c r="X964" s="121"/>
      <c r="Y964" s="121"/>
      <c r="Z964" s="121"/>
    </row>
    <row r="965" customFormat="false" ht="15.75" hidden="false" customHeight="false" outlineLevel="0" collapsed="false">
      <c r="A965" s="121"/>
      <c r="B965" s="121"/>
      <c r="C965" s="121"/>
      <c r="D965" s="121"/>
      <c r="E965" s="121"/>
      <c r="F965" s="121"/>
      <c r="G965" s="121"/>
      <c r="H965" s="121"/>
      <c r="I965" s="121"/>
      <c r="J965" s="121"/>
      <c r="K965" s="121"/>
      <c r="L965" s="121"/>
      <c r="M965" s="121"/>
      <c r="N965" s="121"/>
      <c r="O965" s="121"/>
      <c r="P965" s="121"/>
      <c r="Q965" s="121"/>
      <c r="R965" s="121"/>
      <c r="S965" s="121"/>
      <c r="T965" s="121"/>
      <c r="U965" s="121"/>
      <c r="V965" s="121"/>
      <c r="W965" s="121"/>
      <c r="X965" s="121"/>
      <c r="Y965" s="121"/>
      <c r="Z965" s="121"/>
    </row>
    <row r="966" customFormat="false" ht="15.75" hidden="false" customHeight="false" outlineLevel="0" collapsed="false">
      <c r="A966" s="121"/>
      <c r="B966" s="121"/>
      <c r="C966" s="121"/>
      <c r="D966" s="121"/>
      <c r="E966" s="121"/>
      <c r="F966" s="121"/>
      <c r="G966" s="121"/>
      <c r="H966" s="121"/>
      <c r="I966" s="121"/>
      <c r="J966" s="121"/>
      <c r="K966" s="121"/>
      <c r="L966" s="121"/>
      <c r="M966" s="121"/>
      <c r="N966" s="121"/>
      <c r="O966" s="121"/>
      <c r="P966" s="121"/>
      <c r="Q966" s="121"/>
      <c r="R966" s="121"/>
      <c r="S966" s="121"/>
      <c r="T966" s="121"/>
      <c r="U966" s="121"/>
      <c r="V966" s="121"/>
      <c r="W966" s="121"/>
      <c r="X966" s="121"/>
      <c r="Y966" s="121"/>
      <c r="Z966" s="121"/>
    </row>
    <row r="967" customFormat="false" ht="15.75" hidden="false" customHeight="false" outlineLevel="0" collapsed="false">
      <c r="A967" s="121"/>
      <c r="B967" s="121"/>
      <c r="C967" s="121"/>
      <c r="D967" s="121"/>
      <c r="E967" s="121"/>
      <c r="F967" s="121"/>
      <c r="G967" s="121"/>
      <c r="H967" s="121"/>
      <c r="I967" s="121"/>
      <c r="J967" s="121"/>
      <c r="K967" s="121"/>
      <c r="L967" s="121"/>
      <c r="M967" s="121"/>
      <c r="N967" s="121"/>
      <c r="O967" s="121"/>
      <c r="P967" s="121"/>
      <c r="Q967" s="121"/>
      <c r="R967" s="121"/>
      <c r="S967" s="121"/>
      <c r="T967" s="121"/>
      <c r="U967" s="121"/>
      <c r="V967" s="121"/>
      <c r="W967" s="121"/>
      <c r="X967" s="121"/>
      <c r="Y967" s="121"/>
      <c r="Z967" s="121"/>
    </row>
    <row r="968" customFormat="false" ht="15.75" hidden="false" customHeight="false" outlineLevel="0" collapsed="false">
      <c r="A968" s="121"/>
      <c r="B968" s="121"/>
      <c r="C968" s="121"/>
      <c r="D968" s="121"/>
      <c r="E968" s="121"/>
      <c r="F968" s="121"/>
      <c r="G968" s="121"/>
      <c r="H968" s="121"/>
      <c r="I968" s="121"/>
      <c r="J968" s="121"/>
      <c r="K968" s="121"/>
      <c r="L968" s="121"/>
      <c r="M968" s="121"/>
      <c r="N968" s="121"/>
      <c r="O968" s="121"/>
      <c r="P968" s="121"/>
      <c r="Q968" s="121"/>
      <c r="R968" s="121"/>
      <c r="S968" s="121"/>
      <c r="T968" s="121"/>
      <c r="U968" s="121"/>
      <c r="V968" s="121"/>
      <c r="W968" s="121"/>
      <c r="X968" s="121"/>
      <c r="Y968" s="121"/>
      <c r="Z968" s="121"/>
    </row>
    <row r="969" customFormat="false" ht="15.75" hidden="false" customHeight="false" outlineLevel="0" collapsed="false">
      <c r="A969" s="121"/>
      <c r="B969" s="121"/>
      <c r="C969" s="121"/>
      <c r="D969" s="121"/>
      <c r="E969" s="121"/>
      <c r="F969" s="121"/>
      <c r="G969" s="121"/>
      <c r="H969" s="121"/>
      <c r="I969" s="121"/>
      <c r="J969" s="121"/>
      <c r="K969" s="121"/>
      <c r="L969" s="121"/>
      <c r="M969" s="121"/>
      <c r="N969" s="121"/>
      <c r="O969" s="121"/>
      <c r="P969" s="121"/>
      <c r="Q969" s="121"/>
      <c r="R969" s="121"/>
      <c r="S969" s="121"/>
      <c r="T969" s="121"/>
      <c r="U969" s="121"/>
      <c r="V969" s="121"/>
      <c r="W969" s="121"/>
      <c r="X969" s="121"/>
      <c r="Y969" s="121"/>
      <c r="Z969" s="121"/>
    </row>
    <row r="970" customFormat="false" ht="15.75" hidden="false" customHeight="false" outlineLevel="0" collapsed="false">
      <c r="A970" s="121"/>
      <c r="B970" s="121"/>
      <c r="C970" s="121"/>
      <c r="D970" s="121"/>
      <c r="E970" s="121"/>
      <c r="F970" s="121"/>
      <c r="G970" s="121"/>
      <c r="H970" s="121"/>
      <c r="I970" s="121"/>
      <c r="J970" s="121"/>
      <c r="K970" s="121"/>
      <c r="L970" s="121"/>
      <c r="M970" s="121"/>
      <c r="N970" s="121"/>
      <c r="O970" s="121"/>
      <c r="P970" s="121"/>
      <c r="Q970" s="121"/>
      <c r="R970" s="121"/>
      <c r="S970" s="121"/>
      <c r="T970" s="121"/>
      <c r="U970" s="121"/>
      <c r="V970" s="121"/>
      <c r="W970" s="121"/>
      <c r="X970" s="121"/>
      <c r="Y970" s="121"/>
      <c r="Z970" s="121"/>
    </row>
    <row r="971" customFormat="false" ht="15.75" hidden="false" customHeight="false" outlineLevel="0" collapsed="false">
      <c r="A971" s="121"/>
      <c r="B971" s="121"/>
      <c r="C971" s="121"/>
      <c r="D971" s="121"/>
      <c r="E971" s="121"/>
      <c r="F971" s="121"/>
      <c r="G971" s="121"/>
      <c r="H971" s="121"/>
      <c r="I971" s="121"/>
      <c r="J971" s="121"/>
      <c r="K971" s="121"/>
      <c r="L971" s="121"/>
      <c r="M971" s="121"/>
      <c r="N971" s="121"/>
      <c r="O971" s="121"/>
      <c r="P971" s="121"/>
      <c r="Q971" s="121"/>
      <c r="R971" s="121"/>
      <c r="S971" s="121"/>
      <c r="T971" s="121"/>
      <c r="U971" s="121"/>
      <c r="V971" s="121"/>
      <c r="W971" s="121"/>
      <c r="X971" s="121"/>
      <c r="Y971" s="121"/>
      <c r="Z971" s="121"/>
    </row>
    <row r="972" customFormat="false" ht="15.75" hidden="false" customHeight="false" outlineLevel="0" collapsed="false">
      <c r="A972" s="121"/>
      <c r="B972" s="121"/>
      <c r="C972" s="121"/>
      <c r="D972" s="121"/>
      <c r="E972" s="121"/>
      <c r="F972" s="121"/>
      <c r="G972" s="121"/>
      <c r="H972" s="121"/>
      <c r="I972" s="121"/>
      <c r="J972" s="121"/>
      <c r="K972" s="121"/>
      <c r="L972" s="121"/>
      <c r="M972" s="121"/>
      <c r="N972" s="121"/>
      <c r="O972" s="121"/>
      <c r="P972" s="121"/>
      <c r="Q972" s="121"/>
      <c r="R972" s="121"/>
      <c r="S972" s="121"/>
      <c r="T972" s="121"/>
      <c r="U972" s="121"/>
      <c r="V972" s="121"/>
      <c r="W972" s="121"/>
      <c r="X972" s="121"/>
      <c r="Y972" s="121"/>
      <c r="Z972" s="121"/>
    </row>
    <row r="973" customFormat="false" ht="15.75" hidden="false" customHeight="false" outlineLevel="0" collapsed="false">
      <c r="A973" s="121"/>
      <c r="B973" s="121"/>
      <c r="C973" s="121"/>
      <c r="D973" s="121"/>
      <c r="E973" s="121"/>
      <c r="F973" s="121"/>
      <c r="G973" s="121"/>
      <c r="H973" s="121"/>
      <c r="I973" s="121"/>
      <c r="J973" s="121"/>
      <c r="K973" s="121"/>
      <c r="L973" s="121"/>
      <c r="M973" s="121"/>
      <c r="N973" s="121"/>
      <c r="O973" s="121"/>
      <c r="P973" s="121"/>
      <c r="Q973" s="121"/>
      <c r="R973" s="121"/>
      <c r="S973" s="121"/>
      <c r="T973" s="121"/>
      <c r="U973" s="121"/>
      <c r="V973" s="121"/>
      <c r="W973" s="121"/>
      <c r="X973" s="121"/>
      <c r="Y973" s="121"/>
      <c r="Z973" s="121"/>
    </row>
    <row r="974" customFormat="false" ht="15.75" hidden="false" customHeight="false" outlineLevel="0" collapsed="false">
      <c r="A974" s="121"/>
      <c r="B974" s="121"/>
      <c r="C974" s="121"/>
      <c r="D974" s="121"/>
      <c r="E974" s="121"/>
      <c r="F974" s="121"/>
      <c r="G974" s="121"/>
      <c r="H974" s="121"/>
      <c r="I974" s="121"/>
      <c r="J974" s="121"/>
      <c r="K974" s="121"/>
      <c r="L974" s="121"/>
      <c r="M974" s="121"/>
      <c r="N974" s="121"/>
      <c r="O974" s="121"/>
      <c r="P974" s="121"/>
      <c r="Q974" s="121"/>
      <c r="R974" s="121"/>
      <c r="S974" s="121"/>
      <c r="T974" s="121"/>
      <c r="U974" s="121"/>
      <c r="V974" s="121"/>
      <c r="W974" s="121"/>
      <c r="X974" s="121"/>
      <c r="Y974" s="121"/>
      <c r="Z974" s="121"/>
    </row>
    <row r="975" customFormat="false" ht="15.75" hidden="false" customHeight="false" outlineLevel="0" collapsed="false">
      <c r="A975" s="121"/>
      <c r="B975" s="121"/>
      <c r="C975" s="121"/>
      <c r="D975" s="121"/>
      <c r="E975" s="121"/>
      <c r="F975" s="121"/>
      <c r="G975" s="121"/>
      <c r="H975" s="121"/>
      <c r="I975" s="121"/>
      <c r="J975" s="121"/>
      <c r="K975" s="121"/>
      <c r="L975" s="121"/>
      <c r="M975" s="121"/>
      <c r="N975" s="121"/>
      <c r="O975" s="121"/>
      <c r="P975" s="121"/>
      <c r="Q975" s="121"/>
      <c r="R975" s="121"/>
      <c r="S975" s="121"/>
      <c r="T975" s="121"/>
      <c r="U975" s="121"/>
      <c r="V975" s="121"/>
      <c r="W975" s="121"/>
      <c r="X975" s="121"/>
      <c r="Y975" s="121"/>
      <c r="Z975" s="121"/>
    </row>
    <row r="976" customFormat="false" ht="15.75" hidden="false" customHeight="false" outlineLevel="0" collapsed="false">
      <c r="A976" s="121"/>
      <c r="B976" s="121"/>
      <c r="C976" s="121"/>
      <c r="D976" s="121"/>
      <c r="E976" s="121"/>
      <c r="F976" s="121"/>
      <c r="G976" s="121"/>
      <c r="H976" s="121"/>
      <c r="I976" s="121"/>
      <c r="J976" s="121"/>
      <c r="K976" s="121"/>
      <c r="L976" s="121"/>
      <c r="M976" s="121"/>
      <c r="N976" s="121"/>
      <c r="O976" s="121"/>
      <c r="P976" s="121"/>
      <c r="Q976" s="121"/>
      <c r="R976" s="121"/>
      <c r="S976" s="121"/>
      <c r="T976" s="121"/>
      <c r="U976" s="121"/>
      <c r="V976" s="121"/>
      <c r="W976" s="121"/>
      <c r="X976" s="121"/>
      <c r="Y976" s="121"/>
      <c r="Z976" s="121"/>
    </row>
    <row r="977" customFormat="false" ht="15.75" hidden="false" customHeight="false" outlineLevel="0" collapsed="false">
      <c r="A977" s="121"/>
      <c r="B977" s="121"/>
      <c r="C977" s="121"/>
      <c r="D977" s="121"/>
      <c r="E977" s="121"/>
      <c r="F977" s="121"/>
      <c r="G977" s="121"/>
      <c r="H977" s="121"/>
      <c r="I977" s="121"/>
      <c r="J977" s="121"/>
      <c r="K977" s="121"/>
      <c r="L977" s="121"/>
      <c r="M977" s="121"/>
      <c r="N977" s="121"/>
      <c r="O977" s="121"/>
      <c r="P977" s="121"/>
      <c r="Q977" s="121"/>
      <c r="R977" s="121"/>
      <c r="S977" s="121"/>
      <c r="T977" s="121"/>
      <c r="U977" s="121"/>
      <c r="V977" s="121"/>
      <c r="W977" s="121"/>
      <c r="X977" s="121"/>
      <c r="Y977" s="121"/>
      <c r="Z977" s="121"/>
    </row>
    <row r="978" customFormat="false" ht="15.75" hidden="false" customHeight="false" outlineLevel="0" collapsed="false">
      <c r="A978" s="121"/>
      <c r="B978" s="121"/>
      <c r="C978" s="121"/>
      <c r="D978" s="121"/>
      <c r="E978" s="121"/>
      <c r="F978" s="121"/>
      <c r="G978" s="121"/>
      <c r="H978" s="121"/>
      <c r="I978" s="121"/>
      <c r="J978" s="121"/>
      <c r="K978" s="121"/>
      <c r="L978" s="121"/>
      <c r="M978" s="121"/>
      <c r="N978" s="121"/>
      <c r="O978" s="121"/>
      <c r="P978" s="121"/>
      <c r="Q978" s="121"/>
      <c r="R978" s="121"/>
      <c r="S978" s="121"/>
      <c r="T978" s="121"/>
      <c r="U978" s="121"/>
      <c r="V978" s="121"/>
      <c r="W978" s="121"/>
      <c r="X978" s="121"/>
      <c r="Y978" s="121"/>
      <c r="Z978" s="121"/>
    </row>
    <row r="979" customFormat="false" ht="15.75" hidden="false" customHeight="false" outlineLevel="0" collapsed="false">
      <c r="A979" s="121"/>
      <c r="B979" s="121"/>
      <c r="C979" s="121"/>
      <c r="D979" s="121"/>
      <c r="E979" s="121"/>
      <c r="F979" s="121"/>
      <c r="G979" s="121"/>
      <c r="H979" s="121"/>
      <c r="I979" s="121"/>
      <c r="J979" s="121"/>
      <c r="K979" s="121"/>
      <c r="L979" s="121"/>
      <c r="M979" s="121"/>
      <c r="N979" s="121"/>
      <c r="O979" s="121"/>
      <c r="P979" s="121"/>
      <c r="Q979" s="121"/>
      <c r="R979" s="121"/>
      <c r="S979" s="121"/>
      <c r="T979" s="121"/>
      <c r="U979" s="121"/>
      <c r="V979" s="121"/>
      <c r="W979" s="121"/>
      <c r="X979" s="121"/>
      <c r="Y979" s="121"/>
      <c r="Z979" s="121"/>
    </row>
    <row r="980" customFormat="false" ht="15.75" hidden="false" customHeight="false" outlineLevel="0" collapsed="false">
      <c r="A980" s="121"/>
      <c r="B980" s="121"/>
      <c r="C980" s="121"/>
      <c r="D980" s="121"/>
      <c r="E980" s="121"/>
      <c r="F980" s="121"/>
      <c r="G980" s="121"/>
      <c r="H980" s="121"/>
      <c r="I980" s="121"/>
      <c r="J980" s="121"/>
      <c r="K980" s="121"/>
      <c r="L980" s="121"/>
      <c r="M980" s="121"/>
      <c r="N980" s="121"/>
      <c r="O980" s="121"/>
      <c r="P980" s="121"/>
      <c r="Q980" s="121"/>
      <c r="R980" s="121"/>
      <c r="S980" s="121"/>
      <c r="T980" s="121"/>
      <c r="U980" s="121"/>
      <c r="V980" s="121"/>
      <c r="W980" s="121"/>
      <c r="X980" s="121"/>
      <c r="Y980" s="121"/>
      <c r="Z980" s="121"/>
    </row>
    <row r="981" customFormat="false" ht="15.75" hidden="false" customHeight="false" outlineLevel="0" collapsed="false">
      <c r="A981" s="121"/>
      <c r="B981" s="121"/>
      <c r="C981" s="121"/>
      <c r="D981" s="121"/>
      <c r="E981" s="121"/>
      <c r="F981" s="121"/>
      <c r="G981" s="121"/>
      <c r="H981" s="121"/>
      <c r="I981" s="121"/>
      <c r="J981" s="121"/>
      <c r="K981" s="121"/>
      <c r="L981" s="121"/>
      <c r="M981" s="121"/>
      <c r="N981" s="121"/>
      <c r="O981" s="121"/>
      <c r="P981" s="121"/>
      <c r="Q981" s="121"/>
      <c r="R981" s="121"/>
      <c r="S981" s="121"/>
      <c r="T981" s="121"/>
      <c r="U981" s="121"/>
      <c r="V981" s="121"/>
      <c r="W981" s="121"/>
      <c r="X981" s="121"/>
      <c r="Y981" s="121"/>
      <c r="Z981" s="121"/>
    </row>
    <row r="982" customFormat="false" ht="15.75" hidden="false" customHeight="false" outlineLevel="0" collapsed="false">
      <c r="A982" s="121"/>
      <c r="B982" s="121"/>
      <c r="C982" s="121"/>
      <c r="D982" s="121"/>
      <c r="E982" s="121"/>
      <c r="F982" s="121"/>
      <c r="G982" s="121"/>
      <c r="H982" s="121"/>
      <c r="I982" s="121"/>
      <c r="J982" s="121"/>
      <c r="K982" s="121"/>
      <c r="L982" s="121"/>
      <c r="M982" s="121"/>
      <c r="N982" s="121"/>
      <c r="O982" s="121"/>
      <c r="P982" s="121"/>
      <c r="Q982" s="121"/>
      <c r="R982" s="121"/>
      <c r="S982" s="121"/>
      <c r="T982" s="121"/>
      <c r="U982" s="121"/>
      <c r="V982" s="121"/>
      <c r="W982" s="121"/>
      <c r="X982" s="121"/>
      <c r="Y982" s="121"/>
      <c r="Z982" s="121"/>
    </row>
    <row r="983" customFormat="false" ht="15.75" hidden="false" customHeight="false" outlineLevel="0" collapsed="false">
      <c r="A983" s="121"/>
      <c r="B983" s="121"/>
      <c r="C983" s="121"/>
      <c r="D983" s="121"/>
      <c r="E983" s="121"/>
      <c r="F983" s="121"/>
      <c r="G983" s="121"/>
      <c r="H983" s="121"/>
      <c r="I983" s="121"/>
      <c r="J983" s="121"/>
      <c r="K983" s="121"/>
      <c r="L983" s="121"/>
      <c r="M983" s="121"/>
      <c r="N983" s="121"/>
      <c r="O983" s="121"/>
      <c r="P983" s="121"/>
      <c r="Q983" s="121"/>
      <c r="R983" s="121"/>
      <c r="S983" s="121"/>
      <c r="T983" s="121"/>
      <c r="U983" s="121"/>
      <c r="V983" s="121"/>
      <c r="W983" s="121"/>
      <c r="X983" s="121"/>
      <c r="Y983" s="121"/>
      <c r="Z983" s="121"/>
    </row>
    <row r="984" customFormat="false" ht="15.75" hidden="false" customHeight="false" outlineLevel="0" collapsed="false">
      <c r="A984" s="121"/>
      <c r="B984" s="121"/>
      <c r="C984" s="121"/>
      <c r="D984" s="121"/>
      <c r="E984" s="121"/>
      <c r="F984" s="121"/>
      <c r="G984" s="121"/>
      <c r="H984" s="121"/>
      <c r="I984" s="121"/>
      <c r="J984" s="121"/>
      <c r="K984" s="121"/>
      <c r="L984" s="121"/>
      <c r="M984" s="121"/>
      <c r="N984" s="121"/>
      <c r="O984" s="121"/>
      <c r="P984" s="121"/>
      <c r="Q984" s="121"/>
      <c r="R984" s="121"/>
      <c r="S984" s="121"/>
      <c r="T984" s="121"/>
      <c r="U984" s="121"/>
      <c r="V984" s="121"/>
      <c r="W984" s="121"/>
      <c r="X984" s="121"/>
      <c r="Y984" s="121"/>
      <c r="Z984" s="121"/>
    </row>
    <row r="985" customFormat="false" ht="15.75" hidden="false" customHeight="false" outlineLevel="0" collapsed="false">
      <c r="A985" s="121"/>
      <c r="B985" s="121"/>
      <c r="C985" s="121"/>
      <c r="D985" s="121"/>
      <c r="E985" s="121"/>
      <c r="F985" s="121"/>
      <c r="G985" s="121"/>
      <c r="H985" s="121"/>
      <c r="I985" s="121"/>
      <c r="J985" s="121"/>
      <c r="K985" s="121"/>
      <c r="L985" s="121"/>
      <c r="M985" s="121"/>
      <c r="N985" s="121"/>
      <c r="O985" s="121"/>
      <c r="P985" s="121"/>
      <c r="Q985" s="121"/>
      <c r="R985" s="121"/>
      <c r="S985" s="121"/>
      <c r="T985" s="121"/>
      <c r="U985" s="121"/>
      <c r="V985" s="121"/>
      <c r="W985" s="121"/>
      <c r="X985" s="121"/>
      <c r="Y985" s="121"/>
      <c r="Z985" s="121"/>
    </row>
    <row r="986" customFormat="false" ht="15.75" hidden="false" customHeight="false" outlineLevel="0" collapsed="false">
      <c r="A986" s="121"/>
      <c r="B986" s="121"/>
      <c r="C986" s="121"/>
      <c r="D986" s="121"/>
      <c r="E986" s="121"/>
      <c r="F986" s="121"/>
      <c r="G986" s="121"/>
      <c r="H986" s="121"/>
      <c r="I986" s="121"/>
      <c r="J986" s="121"/>
      <c r="K986" s="121"/>
      <c r="L986" s="121"/>
      <c r="M986" s="121"/>
      <c r="N986" s="121"/>
      <c r="O986" s="121"/>
      <c r="P986" s="121"/>
      <c r="Q986" s="121"/>
      <c r="R986" s="121"/>
      <c r="S986" s="121"/>
      <c r="T986" s="121"/>
      <c r="U986" s="121"/>
      <c r="V986" s="121"/>
      <c r="W986" s="121"/>
      <c r="X986" s="121"/>
      <c r="Y986" s="121"/>
      <c r="Z986" s="121"/>
    </row>
    <row r="987" customFormat="false" ht="15.75" hidden="false" customHeight="false" outlineLevel="0" collapsed="false">
      <c r="A987" s="121"/>
      <c r="B987" s="121"/>
      <c r="C987" s="121"/>
      <c r="D987" s="121"/>
      <c r="E987" s="121"/>
      <c r="F987" s="121"/>
      <c r="G987" s="121"/>
      <c r="H987" s="121"/>
      <c r="I987" s="121"/>
      <c r="J987" s="121"/>
      <c r="K987" s="121"/>
      <c r="L987" s="121"/>
      <c r="M987" s="121"/>
      <c r="N987" s="121"/>
      <c r="O987" s="121"/>
      <c r="P987" s="121"/>
      <c r="Q987" s="121"/>
      <c r="R987" s="121"/>
      <c r="S987" s="121"/>
      <c r="T987" s="121"/>
      <c r="U987" s="121"/>
      <c r="V987" s="121"/>
      <c r="W987" s="121"/>
      <c r="X987" s="121"/>
      <c r="Y987" s="121"/>
      <c r="Z987" s="121"/>
    </row>
    <row r="988" customFormat="false" ht="15.75" hidden="false" customHeight="false" outlineLevel="0" collapsed="false">
      <c r="A988" s="121"/>
      <c r="B988" s="121"/>
      <c r="C988" s="121"/>
      <c r="D988" s="121"/>
      <c r="E988" s="121"/>
      <c r="F988" s="121"/>
      <c r="G988" s="121"/>
      <c r="H988" s="121"/>
      <c r="I988" s="121"/>
      <c r="J988" s="121"/>
      <c r="K988" s="121"/>
      <c r="L988" s="121"/>
      <c r="M988" s="121"/>
      <c r="N988" s="121"/>
      <c r="O988" s="121"/>
      <c r="P988" s="121"/>
      <c r="Q988" s="121"/>
      <c r="R988" s="121"/>
      <c r="S988" s="121"/>
      <c r="T988" s="121"/>
      <c r="U988" s="121"/>
      <c r="V988" s="121"/>
      <c r="W988" s="121"/>
      <c r="X988" s="121"/>
      <c r="Y988" s="121"/>
      <c r="Z988" s="121"/>
    </row>
    <row r="989" customFormat="false" ht="15.75" hidden="false" customHeight="false" outlineLevel="0" collapsed="false">
      <c r="A989" s="121"/>
      <c r="B989" s="121"/>
      <c r="C989" s="121"/>
      <c r="D989" s="121"/>
      <c r="E989" s="121"/>
      <c r="F989" s="121"/>
      <c r="G989" s="121"/>
      <c r="H989" s="121"/>
      <c r="I989" s="121"/>
      <c r="J989" s="121"/>
      <c r="K989" s="121"/>
      <c r="L989" s="121"/>
      <c r="M989" s="121"/>
      <c r="N989" s="121"/>
      <c r="O989" s="121"/>
      <c r="P989" s="121"/>
      <c r="Q989" s="121"/>
      <c r="R989" s="121"/>
      <c r="S989" s="121"/>
      <c r="T989" s="121"/>
      <c r="U989" s="121"/>
      <c r="V989" s="121"/>
      <c r="W989" s="121"/>
      <c r="X989" s="121"/>
      <c r="Y989" s="121"/>
      <c r="Z989" s="121"/>
    </row>
    <row r="990" customFormat="false" ht="15.75" hidden="false" customHeight="false" outlineLevel="0" collapsed="false">
      <c r="A990" s="121"/>
      <c r="B990" s="121"/>
      <c r="C990" s="121"/>
      <c r="D990" s="121"/>
      <c r="E990" s="121"/>
      <c r="F990" s="121"/>
      <c r="G990" s="121"/>
      <c r="H990" s="121"/>
      <c r="I990" s="121"/>
      <c r="J990" s="121"/>
      <c r="K990" s="121"/>
      <c r="L990" s="121"/>
      <c r="M990" s="121"/>
      <c r="N990" s="121"/>
      <c r="O990" s="121"/>
      <c r="P990" s="121"/>
      <c r="Q990" s="121"/>
      <c r="R990" s="121"/>
      <c r="S990" s="121"/>
      <c r="T990" s="121"/>
      <c r="U990" s="121"/>
      <c r="V990" s="121"/>
      <c r="W990" s="121"/>
      <c r="X990" s="121"/>
      <c r="Y990" s="121"/>
      <c r="Z990" s="121"/>
    </row>
    <row r="991" customFormat="false" ht="15.75" hidden="false" customHeight="false" outlineLevel="0" collapsed="false">
      <c r="A991" s="121"/>
      <c r="B991" s="121"/>
      <c r="C991" s="121"/>
      <c r="D991" s="121"/>
      <c r="E991" s="121"/>
      <c r="F991" s="121"/>
      <c r="G991" s="121"/>
      <c r="H991" s="121"/>
      <c r="I991" s="121"/>
      <c r="J991" s="121"/>
      <c r="K991" s="121"/>
      <c r="L991" s="121"/>
      <c r="M991" s="121"/>
      <c r="N991" s="121"/>
      <c r="O991" s="121"/>
      <c r="P991" s="121"/>
      <c r="Q991" s="121"/>
      <c r="R991" s="121"/>
      <c r="S991" s="121"/>
      <c r="T991" s="121"/>
      <c r="U991" s="121"/>
      <c r="V991" s="121"/>
      <c r="W991" s="121"/>
      <c r="X991" s="121"/>
      <c r="Y991" s="121"/>
      <c r="Z991" s="121"/>
    </row>
    <row r="992" customFormat="false" ht="15.75" hidden="false" customHeight="false" outlineLevel="0" collapsed="false">
      <c r="A992" s="121"/>
      <c r="B992" s="121"/>
      <c r="C992" s="121"/>
      <c r="D992" s="121"/>
      <c r="E992" s="121"/>
      <c r="F992" s="121"/>
      <c r="G992" s="121"/>
      <c r="H992" s="121"/>
      <c r="I992" s="121"/>
      <c r="J992" s="121"/>
      <c r="K992" s="121"/>
      <c r="L992" s="121"/>
      <c r="M992" s="121"/>
      <c r="N992" s="121"/>
      <c r="O992" s="121"/>
      <c r="P992" s="121"/>
      <c r="Q992" s="121"/>
      <c r="R992" s="121"/>
      <c r="S992" s="121"/>
      <c r="T992" s="121"/>
      <c r="U992" s="121"/>
      <c r="V992" s="121"/>
      <c r="W992" s="121"/>
      <c r="X992" s="121"/>
      <c r="Y992" s="121"/>
      <c r="Z992" s="121"/>
    </row>
    <row r="993" customFormat="false" ht="15.75" hidden="false" customHeight="false" outlineLevel="0" collapsed="false">
      <c r="A993" s="121"/>
      <c r="B993" s="121"/>
      <c r="C993" s="121"/>
      <c r="D993" s="121"/>
      <c r="E993" s="121"/>
      <c r="F993" s="121"/>
      <c r="G993" s="121"/>
      <c r="H993" s="121"/>
      <c r="I993" s="121"/>
      <c r="J993" s="121"/>
      <c r="K993" s="121"/>
      <c r="L993" s="121"/>
      <c r="M993" s="121"/>
      <c r="N993" s="121"/>
      <c r="O993" s="121"/>
      <c r="P993" s="121"/>
      <c r="Q993" s="121"/>
      <c r="R993" s="121"/>
      <c r="S993" s="121"/>
      <c r="T993" s="121"/>
      <c r="U993" s="121"/>
      <c r="V993" s="121"/>
      <c r="W993" s="121"/>
      <c r="X993" s="121"/>
      <c r="Y993" s="121"/>
      <c r="Z993" s="121"/>
    </row>
    <row r="994" customFormat="false" ht="15.75" hidden="false" customHeight="false" outlineLevel="0" collapsed="false">
      <c r="A994" s="121"/>
      <c r="B994" s="121"/>
      <c r="C994" s="121"/>
      <c r="D994" s="121"/>
      <c r="E994" s="121"/>
      <c r="F994" s="121"/>
      <c r="G994" s="121"/>
      <c r="H994" s="121"/>
      <c r="I994" s="121"/>
      <c r="J994" s="121"/>
      <c r="K994" s="121"/>
      <c r="L994" s="121"/>
      <c r="M994" s="121"/>
      <c r="N994" s="121"/>
      <c r="O994" s="121"/>
      <c r="P994" s="121"/>
      <c r="Q994" s="121"/>
      <c r="R994" s="121"/>
      <c r="S994" s="121"/>
      <c r="T994" s="121"/>
      <c r="U994" s="121"/>
      <c r="V994" s="121"/>
      <c r="W994" s="121"/>
      <c r="X994" s="121"/>
      <c r="Y994" s="121"/>
      <c r="Z994" s="121"/>
    </row>
    <row r="995" customFormat="false" ht="15.75" hidden="false" customHeight="false" outlineLevel="0" collapsed="false">
      <c r="A995" s="121"/>
      <c r="B995" s="121"/>
      <c r="C995" s="121"/>
      <c r="D995" s="121"/>
      <c r="E995" s="121"/>
      <c r="F995" s="121"/>
      <c r="G995" s="121"/>
      <c r="H995" s="121"/>
      <c r="I995" s="121"/>
      <c r="J995" s="121"/>
      <c r="K995" s="121"/>
      <c r="L995" s="121"/>
      <c r="M995" s="121"/>
      <c r="N995" s="121"/>
      <c r="O995" s="121"/>
      <c r="P995" s="121"/>
      <c r="Q995" s="121"/>
      <c r="R995" s="121"/>
      <c r="S995" s="121"/>
      <c r="T995" s="121"/>
      <c r="U995" s="121"/>
      <c r="V995" s="121"/>
      <c r="W995" s="121"/>
      <c r="X995" s="121"/>
      <c r="Y995" s="121"/>
      <c r="Z995" s="121"/>
    </row>
    <row r="996" customFormat="false" ht="15.75" hidden="false" customHeight="false" outlineLevel="0" collapsed="false">
      <c r="A996" s="121"/>
      <c r="B996" s="121"/>
      <c r="C996" s="121"/>
      <c r="D996" s="121"/>
      <c r="E996" s="121"/>
      <c r="F996" s="121"/>
      <c r="G996" s="121"/>
      <c r="H996" s="121"/>
      <c r="I996" s="121"/>
      <c r="J996" s="121"/>
      <c r="K996" s="121"/>
      <c r="L996" s="121"/>
      <c r="M996" s="121"/>
      <c r="N996" s="121"/>
      <c r="O996" s="121"/>
      <c r="P996" s="121"/>
      <c r="Q996" s="121"/>
      <c r="R996" s="121"/>
      <c r="S996" s="121"/>
      <c r="T996" s="121"/>
      <c r="U996" s="121"/>
      <c r="V996" s="121"/>
      <c r="W996" s="121"/>
      <c r="X996" s="121"/>
      <c r="Y996" s="121"/>
      <c r="Z996" s="121"/>
    </row>
    <row r="997" customFormat="false" ht="15.75" hidden="false" customHeight="false" outlineLevel="0" collapsed="false">
      <c r="A997" s="121"/>
      <c r="B997" s="121"/>
      <c r="C997" s="121"/>
      <c r="D997" s="121"/>
      <c r="E997" s="121"/>
      <c r="F997" s="121"/>
      <c r="G997" s="121"/>
      <c r="H997" s="121"/>
      <c r="I997" s="121"/>
      <c r="J997" s="121"/>
      <c r="K997" s="121"/>
      <c r="L997" s="121"/>
      <c r="M997" s="121"/>
      <c r="N997" s="121"/>
      <c r="O997" s="121"/>
      <c r="P997" s="121"/>
      <c r="Q997" s="121"/>
      <c r="R997" s="121"/>
      <c r="S997" s="121"/>
      <c r="T997" s="121"/>
      <c r="U997" s="121"/>
      <c r="V997" s="121"/>
      <c r="W997" s="121"/>
      <c r="X997" s="121"/>
      <c r="Y997" s="121"/>
      <c r="Z997" s="121"/>
    </row>
    <row r="998" customFormat="false" ht="15.75" hidden="false" customHeight="false" outlineLevel="0" collapsed="false">
      <c r="A998" s="121"/>
      <c r="B998" s="121"/>
      <c r="C998" s="121"/>
      <c r="D998" s="121"/>
      <c r="E998" s="121"/>
      <c r="F998" s="121"/>
      <c r="G998" s="121"/>
      <c r="H998" s="121"/>
      <c r="I998" s="121"/>
      <c r="J998" s="121"/>
      <c r="K998" s="121"/>
      <c r="L998" s="121"/>
      <c r="M998" s="121"/>
      <c r="N998" s="121"/>
      <c r="O998" s="121"/>
      <c r="P998" s="121"/>
      <c r="Q998" s="121"/>
      <c r="R998" s="121"/>
      <c r="S998" s="121"/>
      <c r="T998" s="121"/>
      <c r="U998" s="121"/>
      <c r="V998" s="121"/>
      <c r="W998" s="121"/>
      <c r="X998" s="121"/>
      <c r="Y998" s="121"/>
      <c r="Z998" s="121"/>
    </row>
    <row r="999" customFormat="false" ht="15.75" hidden="false" customHeight="false" outlineLevel="0" collapsed="false">
      <c r="A999" s="121"/>
      <c r="B999" s="121"/>
      <c r="C999" s="121"/>
      <c r="D999" s="121"/>
      <c r="E999" s="121"/>
      <c r="F999" s="121"/>
      <c r="G999" s="121"/>
      <c r="H999" s="121"/>
      <c r="I999" s="121"/>
      <c r="J999" s="121"/>
      <c r="K999" s="121"/>
      <c r="L999" s="121"/>
      <c r="M999" s="121"/>
      <c r="N999" s="121"/>
      <c r="O999" s="121"/>
      <c r="P999" s="121"/>
      <c r="Q999" s="121"/>
      <c r="R999" s="121"/>
      <c r="S999" s="121"/>
      <c r="T999" s="121"/>
      <c r="U999" s="121"/>
      <c r="V999" s="121"/>
      <c r="W999" s="121"/>
      <c r="X999" s="121"/>
      <c r="Y999" s="121"/>
      <c r="Z999" s="121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A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6.89"/>
  </cols>
  <sheetData>
    <row r="1" customFormat="false" ht="15.75" hidden="false" customHeight="false" outlineLevel="0" collapsed="false">
      <c r="A1" s="121"/>
      <c r="B1" s="126"/>
      <c r="C1" s="121"/>
      <c r="D1" s="121"/>
      <c r="E1" s="127"/>
      <c r="F1" s="121"/>
      <c r="G1" s="121"/>
      <c r="H1" s="121"/>
      <c r="I1" s="121"/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  <c r="AA1" s="121"/>
    </row>
    <row r="2" customFormat="false" ht="15.75" hidden="false" customHeight="false" outlineLevel="0" collapsed="false">
      <c r="A2" s="121"/>
      <c r="B2" s="121"/>
      <c r="C2" s="121"/>
      <c r="D2" s="121"/>
      <c r="E2" s="127"/>
      <c r="F2" s="121"/>
      <c r="G2" s="121"/>
      <c r="H2" s="121"/>
      <c r="I2" s="121"/>
      <c r="J2" s="121"/>
      <c r="K2" s="121"/>
      <c r="L2" s="121"/>
      <c r="M2" s="121"/>
      <c r="N2" s="121"/>
      <c r="O2" s="121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  <c r="AA2" s="121"/>
    </row>
    <row r="3" customFormat="false" ht="15.75" hidden="false" customHeight="false" outlineLevel="0" collapsed="false">
      <c r="A3" s="121"/>
      <c r="B3" s="121"/>
      <c r="C3" s="121"/>
      <c r="D3" s="121"/>
      <c r="E3" s="127"/>
      <c r="F3" s="121"/>
      <c r="G3" s="121"/>
      <c r="H3" s="121"/>
      <c r="I3" s="121"/>
      <c r="J3" s="121"/>
      <c r="K3" s="121"/>
      <c r="L3" s="121"/>
      <c r="M3" s="121"/>
      <c r="N3" s="121"/>
      <c r="O3" s="121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  <c r="AA3" s="121"/>
    </row>
    <row r="4" customFormat="false" ht="15.75" hidden="false" customHeight="false" outlineLevel="0" collapsed="false">
      <c r="A4" s="121"/>
      <c r="B4" s="121"/>
      <c r="C4" s="121"/>
      <c r="D4" s="121"/>
      <c r="E4" s="127"/>
      <c r="F4" s="121"/>
      <c r="G4" s="121"/>
      <c r="H4" s="121"/>
      <c r="I4" s="121"/>
      <c r="J4" s="121"/>
      <c r="K4" s="121"/>
      <c r="L4" s="121"/>
      <c r="M4" s="121"/>
      <c r="N4" s="121"/>
      <c r="O4" s="121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  <c r="AA4" s="121"/>
    </row>
    <row r="5" customFormat="false" ht="15.75" hidden="false" customHeight="false" outlineLevel="0" collapsed="false">
      <c r="A5" s="121"/>
      <c r="B5" s="121"/>
      <c r="C5" s="121"/>
      <c r="D5" s="121"/>
      <c r="E5" s="127"/>
      <c r="F5" s="121"/>
      <c r="G5" s="121"/>
      <c r="H5" s="121"/>
      <c r="I5" s="121"/>
      <c r="J5" s="121"/>
      <c r="K5" s="121"/>
      <c r="L5" s="121"/>
      <c r="M5" s="121"/>
      <c r="N5" s="121"/>
      <c r="O5" s="121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  <c r="AA5" s="121"/>
    </row>
    <row r="6" customFormat="false" ht="15.75" hidden="false" customHeight="false" outlineLevel="0" collapsed="false">
      <c r="A6" s="121"/>
      <c r="B6" s="121"/>
      <c r="C6" s="121"/>
      <c r="D6" s="121"/>
      <c r="E6" s="127"/>
      <c r="F6" s="121"/>
      <c r="G6" s="121"/>
      <c r="H6" s="121"/>
      <c r="I6" s="121"/>
      <c r="J6" s="121"/>
      <c r="K6" s="121"/>
      <c r="L6" s="121"/>
      <c r="M6" s="121"/>
      <c r="N6" s="121"/>
      <c r="O6" s="121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  <c r="AA6" s="121"/>
    </row>
    <row r="7" customFormat="false" ht="15.75" hidden="false" customHeight="false" outlineLevel="0" collapsed="false">
      <c r="A7" s="121"/>
      <c r="B7" s="121"/>
      <c r="C7" s="121"/>
      <c r="D7" s="121"/>
      <c r="E7" s="127"/>
      <c r="F7" s="121"/>
      <c r="G7" s="121"/>
      <c r="H7" s="121"/>
      <c r="I7" s="121"/>
      <c r="J7" s="121"/>
      <c r="K7" s="121"/>
      <c r="L7" s="121"/>
      <c r="M7" s="121"/>
      <c r="N7" s="121"/>
      <c r="O7" s="121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  <c r="AA7" s="121"/>
    </row>
    <row r="8" customFormat="false" ht="15.75" hidden="false" customHeight="false" outlineLevel="0" collapsed="false">
      <c r="A8" s="121"/>
      <c r="B8" s="121"/>
      <c r="C8" s="121"/>
      <c r="D8" s="121"/>
      <c r="E8" s="127"/>
      <c r="F8" s="121"/>
      <c r="G8" s="121"/>
      <c r="H8" s="121"/>
      <c r="I8" s="121"/>
      <c r="J8" s="121"/>
      <c r="K8" s="121"/>
      <c r="L8" s="121"/>
      <c r="M8" s="121"/>
      <c r="N8" s="121"/>
      <c r="O8" s="121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  <c r="AA8" s="121"/>
    </row>
    <row r="9" customFormat="false" ht="15.75" hidden="false" customHeight="false" outlineLevel="0" collapsed="false">
      <c r="A9" s="121"/>
      <c r="B9" s="121"/>
      <c r="C9" s="121"/>
      <c r="D9" s="121"/>
      <c r="E9" s="127"/>
      <c r="F9" s="121"/>
      <c r="G9" s="121"/>
      <c r="H9" s="121"/>
      <c r="I9" s="121"/>
      <c r="J9" s="121"/>
      <c r="K9" s="121"/>
      <c r="L9" s="121"/>
      <c r="M9" s="121"/>
      <c r="N9" s="121"/>
      <c r="O9" s="121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  <c r="AA9" s="121"/>
    </row>
    <row r="10" customFormat="false" ht="15.75" hidden="false" customHeight="false" outlineLevel="0" collapsed="false">
      <c r="A10" s="121"/>
      <c r="B10" s="121"/>
      <c r="C10" s="121"/>
      <c r="D10" s="121"/>
      <c r="E10" s="127"/>
      <c r="F10" s="121"/>
      <c r="G10" s="121"/>
      <c r="H10" s="121"/>
      <c r="I10" s="121"/>
      <c r="J10" s="121"/>
      <c r="K10" s="121"/>
      <c r="L10" s="121"/>
      <c r="M10" s="121"/>
      <c r="N10" s="121"/>
      <c r="O10" s="121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1"/>
      <c r="AA10" s="121"/>
    </row>
    <row r="11" customFormat="false" ht="15.75" hidden="false" customHeight="false" outlineLevel="0" collapsed="false">
      <c r="A11" s="121"/>
      <c r="B11" s="121"/>
      <c r="C11" s="121"/>
      <c r="D11" s="121"/>
      <c r="E11" s="127"/>
      <c r="F11" s="121"/>
      <c r="G11" s="121"/>
      <c r="H11" s="121"/>
      <c r="I11" s="121"/>
      <c r="J11" s="121"/>
      <c r="K11" s="121"/>
      <c r="L11" s="121"/>
      <c r="M11" s="121"/>
      <c r="N11" s="121"/>
      <c r="O11" s="121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  <c r="AA11" s="121"/>
    </row>
    <row r="12" customFormat="false" ht="15.75" hidden="false" customHeight="false" outlineLevel="0" collapsed="false">
      <c r="A12" s="121"/>
      <c r="B12" s="121"/>
      <c r="C12" s="121"/>
      <c r="D12" s="121"/>
      <c r="E12" s="127"/>
      <c r="F12" s="121"/>
      <c r="G12" s="121"/>
      <c r="H12" s="121"/>
      <c r="I12" s="121"/>
      <c r="J12" s="121"/>
      <c r="K12" s="121"/>
      <c r="L12" s="121"/>
      <c r="M12" s="121"/>
      <c r="N12" s="121"/>
      <c r="O12" s="121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  <c r="AA12" s="121"/>
    </row>
    <row r="13" customFormat="false" ht="15.75" hidden="false" customHeight="false" outlineLevel="0" collapsed="false">
      <c r="A13" s="121"/>
      <c r="B13" s="121"/>
      <c r="C13" s="121"/>
      <c r="D13" s="121"/>
      <c r="E13" s="127"/>
      <c r="F13" s="121"/>
      <c r="G13" s="121"/>
      <c r="H13" s="121"/>
      <c r="I13" s="121"/>
      <c r="J13" s="121"/>
      <c r="K13" s="121"/>
      <c r="L13" s="121"/>
      <c r="M13" s="121"/>
      <c r="N13" s="121"/>
      <c r="O13" s="121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  <c r="AA13" s="121"/>
    </row>
    <row r="14" customFormat="false" ht="15.75" hidden="false" customHeight="false" outlineLevel="0" collapsed="false">
      <c r="A14" s="121"/>
      <c r="B14" s="121"/>
      <c r="C14" s="121"/>
      <c r="D14" s="121"/>
      <c r="E14" s="127"/>
      <c r="F14" s="121"/>
      <c r="G14" s="121"/>
      <c r="H14" s="121"/>
      <c r="I14" s="121"/>
      <c r="J14" s="121"/>
      <c r="K14" s="121"/>
      <c r="L14" s="121"/>
      <c r="M14" s="121"/>
      <c r="N14" s="121"/>
      <c r="O14" s="121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  <c r="AA14" s="121"/>
    </row>
    <row r="15" customFormat="false" ht="15.75" hidden="false" customHeight="false" outlineLevel="0" collapsed="false">
      <c r="A15" s="121"/>
      <c r="B15" s="121"/>
      <c r="C15" s="121"/>
      <c r="D15" s="121"/>
      <c r="E15" s="127"/>
      <c r="F15" s="121"/>
      <c r="G15" s="121"/>
      <c r="H15" s="121"/>
      <c r="I15" s="121"/>
      <c r="J15" s="121"/>
      <c r="K15" s="121"/>
      <c r="L15" s="121"/>
      <c r="M15" s="121"/>
      <c r="N15" s="121"/>
      <c r="O15" s="121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  <c r="AA15" s="121"/>
    </row>
    <row r="16" customFormat="false" ht="15.75" hidden="false" customHeight="false" outlineLevel="0" collapsed="false">
      <c r="A16" s="121"/>
      <c r="B16" s="121"/>
      <c r="C16" s="121"/>
      <c r="D16" s="121"/>
      <c r="E16" s="127"/>
      <c r="F16" s="121"/>
      <c r="G16" s="121"/>
      <c r="H16" s="121"/>
      <c r="I16" s="121"/>
      <c r="J16" s="121"/>
      <c r="K16" s="121"/>
      <c r="L16" s="121"/>
      <c r="M16" s="121"/>
      <c r="N16" s="121"/>
      <c r="O16" s="121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  <c r="AA16" s="121"/>
    </row>
    <row r="17" customFormat="false" ht="15.75" hidden="false" customHeight="false" outlineLevel="0" collapsed="false">
      <c r="A17" s="121"/>
      <c r="B17" s="121"/>
      <c r="C17" s="121"/>
      <c r="D17" s="121"/>
      <c r="E17" s="127"/>
      <c r="F17" s="121"/>
      <c r="G17" s="121"/>
      <c r="H17" s="121"/>
      <c r="I17" s="121"/>
      <c r="J17" s="121"/>
      <c r="K17" s="121"/>
      <c r="L17" s="121"/>
      <c r="M17" s="121"/>
      <c r="N17" s="121"/>
      <c r="O17" s="121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  <c r="AA17" s="121"/>
    </row>
    <row r="18" customFormat="false" ht="15.75" hidden="false" customHeight="false" outlineLevel="0" collapsed="false">
      <c r="A18" s="121"/>
      <c r="B18" s="121"/>
      <c r="C18" s="121"/>
      <c r="D18" s="121"/>
      <c r="E18" s="127"/>
      <c r="F18" s="121"/>
      <c r="G18" s="121"/>
      <c r="H18" s="121"/>
      <c r="I18" s="121"/>
      <c r="J18" s="121"/>
      <c r="K18" s="121"/>
      <c r="L18" s="121"/>
      <c r="M18" s="121"/>
      <c r="N18" s="121"/>
      <c r="O18" s="121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  <c r="AA18" s="121"/>
    </row>
    <row r="19" customFormat="false" ht="15.75" hidden="false" customHeight="false" outlineLevel="0" collapsed="false">
      <c r="A19" s="121"/>
      <c r="B19" s="121"/>
      <c r="C19" s="121"/>
      <c r="D19" s="121"/>
      <c r="E19" s="127"/>
      <c r="F19" s="121"/>
      <c r="G19" s="121"/>
      <c r="H19" s="121"/>
      <c r="I19" s="121"/>
      <c r="J19" s="121"/>
      <c r="K19" s="121"/>
      <c r="L19" s="121"/>
      <c r="M19" s="121"/>
      <c r="N19" s="121"/>
      <c r="O19" s="121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  <c r="AA19" s="121"/>
    </row>
    <row r="20" customFormat="false" ht="15.75" hidden="false" customHeight="false" outlineLevel="0" collapsed="false">
      <c r="A20" s="121"/>
      <c r="B20" s="121"/>
      <c r="C20" s="121"/>
      <c r="D20" s="121"/>
      <c r="E20" s="127"/>
      <c r="F20" s="121"/>
      <c r="G20" s="121"/>
      <c r="H20" s="121"/>
      <c r="I20" s="121"/>
      <c r="J20" s="121"/>
      <c r="K20" s="121"/>
      <c r="L20" s="121"/>
      <c r="M20" s="121"/>
      <c r="N20" s="121"/>
      <c r="O20" s="121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  <c r="AA20" s="121"/>
    </row>
    <row r="21" customFormat="false" ht="15.75" hidden="false" customHeight="false" outlineLevel="0" collapsed="false">
      <c r="A21" s="121" t="str">
        <f aca="false">IF(ISBLANK(B21),"",B21&amp;"|"&amp;C21)</f>
        <v/>
      </c>
      <c r="B21" s="121"/>
      <c r="C21" s="121"/>
      <c r="D21" s="121"/>
      <c r="E21" s="127"/>
      <c r="F21" s="121"/>
      <c r="G21" s="121"/>
      <c r="H21" s="121"/>
      <c r="I21" s="121"/>
      <c r="J21" s="121"/>
      <c r="K21" s="121"/>
      <c r="L21" s="121"/>
      <c r="M21" s="121"/>
      <c r="N21" s="121"/>
      <c r="O21" s="121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  <c r="AA21" s="121"/>
    </row>
    <row r="22" customFormat="false" ht="15.75" hidden="false" customHeight="false" outlineLevel="0" collapsed="false">
      <c r="A22" s="121" t="str">
        <f aca="false">IF(ISBLANK(B22),"",B22&amp;"|"&amp;C22)</f>
        <v/>
      </c>
      <c r="B22" s="121"/>
      <c r="C22" s="121"/>
      <c r="D22" s="121"/>
      <c r="E22" s="127"/>
      <c r="F22" s="121"/>
      <c r="G22" s="121"/>
      <c r="H22" s="121"/>
      <c r="I22" s="121"/>
      <c r="J22" s="121"/>
      <c r="K22" s="121"/>
      <c r="L22" s="121"/>
      <c r="M22" s="121"/>
      <c r="N22" s="121"/>
      <c r="O22" s="121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  <c r="AA22" s="121"/>
    </row>
    <row r="23" customFormat="false" ht="15.75" hidden="false" customHeight="false" outlineLevel="0" collapsed="false">
      <c r="A23" s="121" t="str">
        <f aca="false">IF(ISBLANK(B23),"",B23&amp;"|"&amp;C23)</f>
        <v/>
      </c>
      <c r="B23" s="121"/>
      <c r="C23" s="121"/>
      <c r="D23" s="121"/>
      <c r="E23" s="127"/>
      <c r="F23" s="121"/>
      <c r="G23" s="121"/>
      <c r="H23" s="121"/>
      <c r="I23" s="121"/>
      <c r="J23" s="121"/>
      <c r="K23" s="121"/>
      <c r="L23" s="121"/>
      <c r="M23" s="121"/>
      <c r="N23" s="121"/>
      <c r="O23" s="121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  <c r="AA23" s="121"/>
    </row>
    <row r="24" customFormat="false" ht="15.75" hidden="false" customHeight="false" outlineLevel="0" collapsed="false">
      <c r="A24" s="121" t="str">
        <f aca="false">IF(ISBLANK(B24),"",B24&amp;"|"&amp;C24)</f>
        <v/>
      </c>
      <c r="B24" s="121"/>
      <c r="C24" s="121"/>
      <c r="D24" s="121"/>
      <c r="E24" s="127"/>
      <c r="F24" s="121"/>
      <c r="G24" s="121"/>
      <c r="H24" s="121"/>
      <c r="I24" s="121"/>
      <c r="J24" s="121"/>
      <c r="K24" s="121"/>
      <c r="L24" s="121"/>
      <c r="M24" s="121"/>
      <c r="N24" s="121"/>
      <c r="O24" s="121"/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  <c r="AA24" s="121"/>
    </row>
    <row r="25" customFormat="false" ht="15.75" hidden="false" customHeight="false" outlineLevel="0" collapsed="false">
      <c r="A25" s="121" t="str">
        <f aca="false">IF(ISBLANK(B25),"",B25&amp;"|"&amp;C25)</f>
        <v/>
      </c>
      <c r="B25" s="121"/>
      <c r="C25" s="121"/>
      <c r="D25" s="121"/>
      <c r="E25" s="127"/>
      <c r="F25" s="121"/>
      <c r="G25" s="121"/>
      <c r="H25" s="121"/>
      <c r="I25" s="121"/>
      <c r="J25" s="121"/>
      <c r="K25" s="121"/>
      <c r="L25" s="121"/>
      <c r="M25" s="121"/>
      <c r="N25" s="121"/>
      <c r="O25" s="121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  <c r="AA25" s="121"/>
    </row>
    <row r="26" customFormat="false" ht="15.75" hidden="false" customHeight="false" outlineLevel="0" collapsed="false">
      <c r="A26" s="121" t="str">
        <f aca="false">IF(ISBLANK(B26),"",B26&amp;"|"&amp;C26)</f>
        <v/>
      </c>
      <c r="B26" s="121"/>
      <c r="C26" s="121"/>
      <c r="D26" s="121"/>
      <c r="E26" s="127"/>
      <c r="F26" s="121"/>
      <c r="G26" s="121"/>
      <c r="H26" s="121"/>
      <c r="I26" s="121"/>
      <c r="J26" s="121"/>
      <c r="K26" s="121"/>
      <c r="L26" s="121"/>
      <c r="M26" s="121"/>
      <c r="N26" s="121"/>
      <c r="O26" s="121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  <c r="AA26" s="121"/>
    </row>
    <row r="27" customFormat="false" ht="15.75" hidden="false" customHeight="false" outlineLevel="0" collapsed="false">
      <c r="A27" s="121" t="str">
        <f aca="false">IF(ISBLANK(B27),"",B27&amp;"|"&amp;C27)</f>
        <v/>
      </c>
      <c r="B27" s="121"/>
      <c r="C27" s="121"/>
      <c r="D27" s="121"/>
      <c r="E27" s="127"/>
      <c r="F27" s="121"/>
      <c r="G27" s="121"/>
      <c r="H27" s="121"/>
      <c r="I27" s="121"/>
      <c r="J27" s="121"/>
      <c r="K27" s="121"/>
      <c r="L27" s="121"/>
      <c r="M27" s="121"/>
      <c r="N27" s="121"/>
      <c r="O27" s="121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  <c r="AA27" s="121"/>
    </row>
    <row r="28" customFormat="false" ht="15.75" hidden="false" customHeight="false" outlineLevel="0" collapsed="false">
      <c r="A28" s="121" t="str">
        <f aca="false">IF(ISBLANK(B28),"",B28&amp;"|"&amp;C28)</f>
        <v/>
      </c>
      <c r="B28" s="121"/>
      <c r="C28" s="121"/>
      <c r="D28" s="121"/>
      <c r="E28" s="127"/>
      <c r="F28" s="121"/>
      <c r="G28" s="121"/>
      <c r="H28" s="121"/>
      <c r="I28" s="121"/>
      <c r="J28" s="121"/>
      <c r="K28" s="121"/>
      <c r="L28" s="121"/>
      <c r="M28" s="121"/>
      <c r="N28" s="121"/>
      <c r="O28" s="121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  <c r="AA28" s="121"/>
    </row>
    <row r="29" customFormat="false" ht="15.75" hidden="false" customHeight="false" outlineLevel="0" collapsed="false">
      <c r="A29" s="121" t="str">
        <f aca="false">IF(ISBLANK(B29),"",B29&amp;"|"&amp;C29)</f>
        <v/>
      </c>
      <c r="B29" s="121"/>
      <c r="C29" s="121"/>
      <c r="D29" s="121"/>
      <c r="E29" s="127"/>
      <c r="F29" s="121"/>
      <c r="G29" s="121"/>
      <c r="H29" s="121"/>
      <c r="I29" s="121"/>
      <c r="J29" s="121"/>
      <c r="K29" s="121"/>
      <c r="L29" s="121"/>
      <c r="M29" s="121"/>
      <c r="N29" s="121"/>
      <c r="O29" s="121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  <c r="AA29" s="121"/>
    </row>
    <row r="30" customFormat="false" ht="15.75" hidden="false" customHeight="false" outlineLevel="0" collapsed="false">
      <c r="A30" s="121" t="str">
        <f aca="false">IF(ISBLANK(B30),"",B30&amp;"|"&amp;C30)</f>
        <v/>
      </c>
      <c r="B30" s="121"/>
      <c r="C30" s="121"/>
      <c r="D30" s="121"/>
      <c r="E30" s="127"/>
      <c r="F30" s="121"/>
      <c r="G30" s="121"/>
      <c r="H30" s="121"/>
      <c r="I30" s="121"/>
      <c r="J30" s="121"/>
      <c r="K30" s="121"/>
      <c r="L30" s="121"/>
      <c r="M30" s="121"/>
      <c r="N30" s="121"/>
      <c r="O30" s="121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  <c r="AA30" s="121"/>
    </row>
    <row r="31" customFormat="false" ht="15.75" hidden="false" customHeight="false" outlineLevel="0" collapsed="false">
      <c r="A31" s="121" t="str">
        <f aca="false">IF(ISBLANK(B31),"",B31&amp;"|"&amp;C31)</f>
        <v/>
      </c>
      <c r="B31" s="121"/>
      <c r="C31" s="121"/>
      <c r="D31" s="121"/>
      <c r="E31" s="127"/>
      <c r="F31" s="121"/>
      <c r="G31" s="121"/>
      <c r="H31" s="121"/>
      <c r="I31" s="121"/>
      <c r="J31" s="121"/>
      <c r="K31" s="121"/>
      <c r="L31" s="121"/>
      <c r="M31" s="121"/>
      <c r="N31" s="121"/>
      <c r="O31" s="121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  <c r="AA31" s="121"/>
    </row>
    <row r="32" customFormat="false" ht="15.75" hidden="false" customHeight="false" outlineLevel="0" collapsed="false">
      <c r="A32" s="121" t="str">
        <f aca="false">IF(ISBLANK(B32),"",B32&amp;"|"&amp;C32)</f>
        <v/>
      </c>
      <c r="B32" s="121"/>
      <c r="C32" s="121"/>
      <c r="D32" s="121"/>
      <c r="E32" s="127"/>
      <c r="F32" s="121"/>
      <c r="G32" s="121"/>
      <c r="H32" s="121"/>
      <c r="I32" s="121"/>
      <c r="J32" s="121"/>
      <c r="K32" s="121"/>
      <c r="L32" s="121"/>
      <c r="M32" s="121"/>
      <c r="N32" s="121"/>
      <c r="O32" s="121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  <c r="AA32" s="121"/>
    </row>
    <row r="33" customFormat="false" ht="15.75" hidden="false" customHeight="false" outlineLevel="0" collapsed="false">
      <c r="A33" s="121" t="str">
        <f aca="false">IF(ISBLANK(B33),"",B33&amp;"|"&amp;C33)</f>
        <v/>
      </c>
      <c r="B33" s="121"/>
      <c r="C33" s="121"/>
      <c r="D33" s="121"/>
      <c r="E33" s="127"/>
      <c r="F33" s="121"/>
      <c r="G33" s="121"/>
      <c r="H33" s="121"/>
      <c r="I33" s="121"/>
      <c r="J33" s="121"/>
      <c r="K33" s="121"/>
      <c r="L33" s="121"/>
      <c r="M33" s="121"/>
      <c r="N33" s="121"/>
      <c r="O33" s="121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  <c r="AA33" s="121"/>
    </row>
    <row r="34" customFormat="false" ht="15.75" hidden="false" customHeight="false" outlineLevel="0" collapsed="false">
      <c r="A34" s="121" t="str">
        <f aca="false">IF(ISBLANK(B34),"",B34&amp;"|"&amp;C34)</f>
        <v/>
      </c>
      <c r="B34" s="121"/>
      <c r="C34" s="121"/>
      <c r="D34" s="121"/>
      <c r="E34" s="127"/>
      <c r="F34" s="121"/>
      <c r="G34" s="121"/>
      <c r="H34" s="121"/>
      <c r="I34" s="121"/>
      <c r="J34" s="121"/>
      <c r="K34" s="121"/>
      <c r="L34" s="121"/>
      <c r="M34" s="121"/>
      <c r="N34" s="121"/>
      <c r="O34" s="121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  <c r="AA34" s="121"/>
    </row>
    <row r="35" customFormat="false" ht="15.75" hidden="false" customHeight="false" outlineLevel="0" collapsed="false">
      <c r="A35" s="121" t="str">
        <f aca="false">IF(ISBLANK(B35),"",B35&amp;"|"&amp;C35)</f>
        <v/>
      </c>
      <c r="B35" s="121"/>
      <c r="C35" s="121"/>
      <c r="D35" s="121"/>
      <c r="E35" s="127"/>
      <c r="F35" s="121"/>
      <c r="G35" s="121"/>
      <c r="H35" s="121"/>
      <c r="I35" s="121"/>
      <c r="J35" s="121"/>
      <c r="K35" s="121"/>
      <c r="L35" s="121"/>
      <c r="M35" s="121"/>
      <c r="N35" s="121"/>
      <c r="O35" s="121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  <c r="AA35" s="121"/>
    </row>
    <row r="36" customFormat="false" ht="15.75" hidden="false" customHeight="false" outlineLevel="0" collapsed="false">
      <c r="A36" s="121" t="str">
        <f aca="false">IF(ISBLANK(B36),"",B36&amp;"|"&amp;C36)</f>
        <v/>
      </c>
      <c r="B36" s="121"/>
      <c r="C36" s="121"/>
      <c r="D36" s="121"/>
      <c r="E36" s="127"/>
      <c r="F36" s="121"/>
      <c r="G36" s="121"/>
      <c r="H36" s="121"/>
      <c r="I36" s="121"/>
      <c r="J36" s="121"/>
      <c r="K36" s="121"/>
      <c r="L36" s="121"/>
      <c r="M36" s="121"/>
      <c r="N36" s="121"/>
      <c r="O36" s="121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  <c r="AA36" s="121"/>
    </row>
    <row r="37" customFormat="false" ht="15.75" hidden="false" customHeight="false" outlineLevel="0" collapsed="false">
      <c r="A37" s="121" t="str">
        <f aca="false">IF(ISBLANK(B37),"",B37&amp;"|"&amp;C37)</f>
        <v/>
      </c>
      <c r="B37" s="121"/>
      <c r="C37" s="121"/>
      <c r="D37" s="121"/>
      <c r="E37" s="127"/>
      <c r="F37" s="121"/>
      <c r="G37" s="121"/>
      <c r="H37" s="121"/>
      <c r="I37" s="121"/>
      <c r="J37" s="121"/>
      <c r="K37" s="121"/>
      <c r="L37" s="121"/>
      <c r="M37" s="121"/>
      <c r="N37" s="121"/>
      <c r="O37" s="121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  <c r="AA37" s="121"/>
    </row>
    <row r="38" customFormat="false" ht="15.75" hidden="false" customHeight="false" outlineLevel="0" collapsed="false">
      <c r="A38" s="121" t="str">
        <f aca="false">IF(ISBLANK(B38),"",B38&amp;"|"&amp;C38)</f>
        <v/>
      </c>
      <c r="B38" s="121"/>
      <c r="C38" s="121"/>
      <c r="D38" s="121"/>
      <c r="E38" s="127"/>
      <c r="F38" s="121"/>
      <c r="G38" s="121"/>
      <c r="H38" s="121"/>
      <c r="I38" s="121"/>
      <c r="J38" s="121"/>
      <c r="K38" s="121"/>
      <c r="L38" s="121"/>
      <c r="M38" s="121"/>
      <c r="N38" s="121"/>
      <c r="O38" s="121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  <c r="AA38" s="121"/>
    </row>
    <row r="39" customFormat="false" ht="15.75" hidden="false" customHeight="false" outlineLevel="0" collapsed="false">
      <c r="A39" s="121" t="str">
        <f aca="false">IF(ISBLANK(B39),"",B39&amp;"|"&amp;C39)</f>
        <v/>
      </c>
      <c r="B39" s="121"/>
      <c r="C39" s="121"/>
      <c r="D39" s="121"/>
      <c r="E39" s="127"/>
      <c r="F39" s="121"/>
      <c r="G39" s="121"/>
      <c r="H39" s="121"/>
      <c r="I39" s="121"/>
      <c r="J39" s="121"/>
      <c r="K39" s="121"/>
      <c r="L39" s="121"/>
      <c r="M39" s="121"/>
      <c r="N39" s="121"/>
      <c r="O39" s="121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  <c r="AA39" s="121"/>
    </row>
    <row r="40" customFormat="false" ht="15.75" hidden="false" customHeight="false" outlineLevel="0" collapsed="false">
      <c r="A40" s="121" t="str">
        <f aca="false">IF(ISBLANK(B40),"",B40&amp;"|"&amp;C40)</f>
        <v/>
      </c>
      <c r="B40" s="121"/>
      <c r="C40" s="121"/>
      <c r="D40" s="121"/>
      <c r="E40" s="127"/>
      <c r="F40" s="121"/>
      <c r="G40" s="121"/>
      <c r="H40" s="121"/>
      <c r="I40" s="121"/>
      <c r="J40" s="121"/>
      <c r="K40" s="121"/>
      <c r="L40" s="121"/>
      <c r="M40" s="121"/>
      <c r="N40" s="121"/>
      <c r="O40" s="121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  <c r="AA40" s="121"/>
    </row>
    <row r="41" customFormat="false" ht="15.75" hidden="false" customHeight="false" outlineLevel="0" collapsed="false">
      <c r="A41" s="121" t="str">
        <f aca="false">IF(ISBLANK(B41),"",B41&amp;"|"&amp;C41)</f>
        <v/>
      </c>
      <c r="B41" s="121"/>
      <c r="C41" s="121"/>
      <c r="D41" s="121"/>
      <c r="E41" s="127"/>
      <c r="F41" s="121"/>
      <c r="G41" s="121"/>
      <c r="H41" s="121"/>
      <c r="I41" s="121"/>
      <c r="J41" s="121"/>
      <c r="K41" s="121"/>
      <c r="L41" s="121"/>
      <c r="M41" s="121"/>
      <c r="N41" s="121"/>
      <c r="O41" s="121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  <c r="AA41" s="121"/>
    </row>
    <row r="42" customFormat="false" ht="15.75" hidden="false" customHeight="false" outlineLevel="0" collapsed="false">
      <c r="A42" s="121" t="str">
        <f aca="false">IF(ISBLANK(B42),"",B42&amp;"|"&amp;C42)</f>
        <v/>
      </c>
      <c r="B42" s="121"/>
      <c r="C42" s="121"/>
      <c r="D42" s="121"/>
      <c r="E42" s="127"/>
      <c r="F42" s="121"/>
      <c r="G42" s="121"/>
      <c r="H42" s="121"/>
      <c r="I42" s="121"/>
      <c r="J42" s="121"/>
      <c r="K42" s="121"/>
      <c r="L42" s="121"/>
      <c r="M42" s="121"/>
      <c r="N42" s="121"/>
      <c r="O42" s="121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  <c r="AA42" s="121"/>
    </row>
    <row r="43" customFormat="false" ht="15.75" hidden="false" customHeight="false" outlineLevel="0" collapsed="false">
      <c r="A43" s="121" t="str">
        <f aca="false">IF(ISBLANK(B43),"",B43&amp;"|"&amp;C43)</f>
        <v/>
      </c>
      <c r="B43" s="121"/>
      <c r="C43" s="121"/>
      <c r="D43" s="121"/>
      <c r="E43" s="127"/>
      <c r="F43" s="121"/>
      <c r="G43" s="121"/>
      <c r="H43" s="121"/>
      <c r="I43" s="121"/>
      <c r="J43" s="121"/>
      <c r="K43" s="121"/>
      <c r="L43" s="121"/>
      <c r="M43" s="121"/>
      <c r="N43" s="121"/>
      <c r="O43" s="121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  <c r="AA43" s="121"/>
    </row>
    <row r="44" customFormat="false" ht="15.75" hidden="false" customHeight="false" outlineLevel="0" collapsed="false">
      <c r="A44" s="121" t="str">
        <f aca="false">IF(ISBLANK(B44),"",B44&amp;"|"&amp;C44)</f>
        <v/>
      </c>
      <c r="B44" s="121"/>
      <c r="C44" s="121"/>
      <c r="D44" s="121"/>
      <c r="E44" s="127"/>
      <c r="F44" s="121"/>
      <c r="G44" s="121"/>
      <c r="H44" s="121"/>
      <c r="I44" s="121"/>
      <c r="J44" s="121"/>
      <c r="K44" s="121"/>
      <c r="L44" s="121"/>
      <c r="M44" s="121"/>
      <c r="N44" s="121"/>
      <c r="O44" s="121"/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  <c r="AA44" s="121"/>
    </row>
    <row r="45" customFormat="false" ht="15.75" hidden="false" customHeight="false" outlineLevel="0" collapsed="false">
      <c r="A45" s="121" t="str">
        <f aca="false">IF(ISBLANK(B45),"",B45&amp;"|"&amp;C45)</f>
        <v/>
      </c>
      <c r="B45" s="121"/>
      <c r="C45" s="121"/>
      <c r="D45" s="121"/>
      <c r="E45" s="127"/>
      <c r="F45" s="121"/>
      <c r="G45" s="121"/>
      <c r="H45" s="121"/>
      <c r="I45" s="121"/>
      <c r="J45" s="121"/>
      <c r="K45" s="121"/>
      <c r="L45" s="121"/>
      <c r="M45" s="121"/>
      <c r="N45" s="121"/>
      <c r="O45" s="121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  <c r="AA45" s="121"/>
    </row>
    <row r="46" customFormat="false" ht="15.75" hidden="false" customHeight="false" outlineLevel="0" collapsed="false">
      <c r="A46" s="121" t="str">
        <f aca="false">IF(ISBLANK(B46),"",B46&amp;"|"&amp;C46)</f>
        <v/>
      </c>
      <c r="B46" s="121"/>
      <c r="C46" s="121"/>
      <c r="D46" s="121"/>
      <c r="E46" s="127"/>
      <c r="F46" s="121"/>
      <c r="G46" s="121"/>
      <c r="H46" s="121"/>
      <c r="I46" s="121"/>
      <c r="J46" s="121"/>
      <c r="K46" s="121"/>
      <c r="L46" s="121"/>
      <c r="M46" s="121"/>
      <c r="N46" s="121"/>
      <c r="O46" s="121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  <c r="AA46" s="121"/>
    </row>
    <row r="47" customFormat="false" ht="15.75" hidden="false" customHeight="false" outlineLevel="0" collapsed="false">
      <c r="A47" s="121" t="str">
        <f aca="false">IF(ISBLANK(B47),"",B47&amp;"|"&amp;C47)</f>
        <v/>
      </c>
      <c r="B47" s="121"/>
      <c r="C47" s="121"/>
      <c r="D47" s="121"/>
      <c r="E47" s="127"/>
      <c r="F47" s="121"/>
      <c r="G47" s="121"/>
      <c r="H47" s="121"/>
      <c r="I47" s="121"/>
      <c r="J47" s="121"/>
      <c r="K47" s="121"/>
      <c r="L47" s="121"/>
      <c r="M47" s="121"/>
      <c r="N47" s="121"/>
      <c r="O47" s="121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  <c r="AA47" s="121"/>
    </row>
    <row r="48" customFormat="false" ht="15.75" hidden="false" customHeight="false" outlineLevel="0" collapsed="false">
      <c r="A48" s="121" t="str">
        <f aca="false">IF(ISBLANK(B48),"",B48&amp;"|"&amp;C48)</f>
        <v/>
      </c>
      <c r="B48" s="121"/>
      <c r="C48" s="121"/>
      <c r="D48" s="121"/>
      <c r="E48" s="127"/>
      <c r="F48" s="121"/>
      <c r="G48" s="121"/>
      <c r="H48" s="121"/>
      <c r="I48" s="121"/>
      <c r="J48" s="121"/>
      <c r="K48" s="121"/>
      <c r="L48" s="121"/>
      <c r="M48" s="121"/>
      <c r="N48" s="121"/>
      <c r="O48" s="121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  <c r="AA48" s="121"/>
    </row>
    <row r="49" customFormat="false" ht="15.75" hidden="false" customHeight="false" outlineLevel="0" collapsed="false">
      <c r="A49" s="121" t="str">
        <f aca="false">IF(ISBLANK(B49),"",B49&amp;"|"&amp;C49)</f>
        <v/>
      </c>
      <c r="B49" s="121"/>
      <c r="C49" s="121"/>
      <c r="D49" s="121"/>
      <c r="E49" s="127"/>
      <c r="F49" s="121"/>
      <c r="G49" s="121"/>
      <c r="H49" s="121"/>
      <c r="I49" s="121"/>
      <c r="J49" s="121"/>
      <c r="K49" s="121"/>
      <c r="L49" s="121"/>
      <c r="M49" s="121"/>
      <c r="N49" s="121"/>
      <c r="O49" s="121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  <c r="AA49" s="121"/>
    </row>
    <row r="50" customFormat="false" ht="15.75" hidden="false" customHeight="false" outlineLevel="0" collapsed="false">
      <c r="A50" s="121" t="str">
        <f aca="false">IF(ISBLANK(B50),"",B50&amp;"|"&amp;C50)</f>
        <v/>
      </c>
      <c r="B50" s="121"/>
      <c r="C50" s="121"/>
      <c r="D50" s="121"/>
      <c r="E50" s="127"/>
      <c r="F50" s="121"/>
      <c r="G50" s="121"/>
      <c r="H50" s="121"/>
      <c r="I50" s="121"/>
      <c r="J50" s="121"/>
      <c r="K50" s="121"/>
      <c r="L50" s="121"/>
      <c r="M50" s="121"/>
      <c r="N50" s="121"/>
      <c r="O50" s="121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  <c r="AA50" s="121"/>
    </row>
    <row r="51" customFormat="false" ht="15.75" hidden="false" customHeight="false" outlineLevel="0" collapsed="false">
      <c r="A51" s="121" t="str">
        <f aca="false">IF(ISBLANK(B51),"",B51&amp;"|"&amp;C51)</f>
        <v/>
      </c>
      <c r="B51" s="121"/>
      <c r="C51" s="121"/>
      <c r="D51" s="121"/>
      <c r="E51" s="127"/>
      <c r="F51" s="121"/>
      <c r="G51" s="121"/>
      <c r="H51" s="121"/>
      <c r="I51" s="121"/>
      <c r="J51" s="121"/>
      <c r="K51" s="121"/>
      <c r="L51" s="121"/>
      <c r="M51" s="121"/>
      <c r="N51" s="121"/>
      <c r="O51" s="121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  <c r="AA51" s="121"/>
    </row>
    <row r="52" customFormat="false" ht="15.75" hidden="false" customHeight="false" outlineLevel="0" collapsed="false">
      <c r="A52" s="121" t="str">
        <f aca="false">IF(ISBLANK(B52),"",B52&amp;"|"&amp;C52)</f>
        <v/>
      </c>
      <c r="B52" s="121"/>
      <c r="C52" s="121"/>
      <c r="D52" s="121"/>
      <c r="E52" s="127"/>
      <c r="F52" s="121"/>
      <c r="G52" s="121"/>
      <c r="H52" s="121"/>
      <c r="I52" s="121"/>
      <c r="J52" s="121"/>
      <c r="K52" s="121"/>
      <c r="L52" s="121"/>
      <c r="M52" s="121"/>
      <c r="N52" s="121"/>
      <c r="O52" s="121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  <c r="AA52" s="121"/>
    </row>
    <row r="53" customFormat="false" ht="15.75" hidden="false" customHeight="false" outlineLevel="0" collapsed="false">
      <c r="A53" s="121" t="str">
        <f aca="false">IF(ISBLANK(B53),"",B53&amp;"|"&amp;C53)</f>
        <v/>
      </c>
      <c r="B53" s="121"/>
      <c r="C53" s="121"/>
      <c r="D53" s="121"/>
      <c r="E53" s="127"/>
      <c r="F53" s="121"/>
      <c r="G53" s="121"/>
      <c r="H53" s="121"/>
      <c r="I53" s="121"/>
      <c r="J53" s="121"/>
      <c r="K53" s="121"/>
      <c r="L53" s="121"/>
      <c r="M53" s="121"/>
      <c r="N53" s="121"/>
      <c r="O53" s="121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  <c r="AA53" s="121"/>
    </row>
    <row r="54" customFormat="false" ht="15.75" hidden="false" customHeight="false" outlineLevel="0" collapsed="false">
      <c r="A54" s="121" t="str">
        <f aca="false">IF(ISBLANK(B54),"",B54&amp;"|"&amp;C54)</f>
        <v/>
      </c>
      <c r="B54" s="121"/>
      <c r="C54" s="121"/>
      <c r="D54" s="121"/>
      <c r="E54" s="127"/>
      <c r="F54" s="121"/>
      <c r="G54" s="121"/>
      <c r="H54" s="121"/>
      <c r="I54" s="121"/>
      <c r="J54" s="121"/>
      <c r="K54" s="121"/>
      <c r="L54" s="121"/>
      <c r="M54" s="121"/>
      <c r="N54" s="121"/>
      <c r="O54" s="121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  <c r="AA54" s="121"/>
    </row>
    <row r="55" customFormat="false" ht="15.75" hidden="false" customHeight="false" outlineLevel="0" collapsed="false">
      <c r="A55" s="121" t="str">
        <f aca="false">IF(ISBLANK(B55),"",B55&amp;"|"&amp;C55)</f>
        <v/>
      </c>
      <c r="B55" s="121"/>
      <c r="C55" s="121"/>
      <c r="D55" s="121"/>
      <c r="E55" s="127"/>
      <c r="F55" s="121"/>
      <c r="G55" s="121"/>
      <c r="H55" s="121"/>
      <c r="I55" s="121"/>
      <c r="J55" s="121"/>
      <c r="K55" s="121"/>
      <c r="L55" s="121"/>
      <c r="M55" s="121"/>
      <c r="N55" s="121"/>
      <c r="O55" s="121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  <c r="AA55" s="121"/>
    </row>
    <row r="56" customFormat="false" ht="15.75" hidden="false" customHeight="false" outlineLevel="0" collapsed="false">
      <c r="A56" s="121" t="str">
        <f aca="false">IF(ISBLANK(B56),"",B56&amp;"|"&amp;C56)</f>
        <v/>
      </c>
      <c r="B56" s="121"/>
      <c r="C56" s="121"/>
      <c r="D56" s="121"/>
      <c r="E56" s="127"/>
      <c r="F56" s="121"/>
      <c r="G56" s="121"/>
      <c r="H56" s="121"/>
      <c r="I56" s="121"/>
      <c r="J56" s="121"/>
      <c r="K56" s="121"/>
      <c r="L56" s="121"/>
      <c r="M56" s="121"/>
      <c r="N56" s="121"/>
      <c r="O56" s="121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  <c r="AA56" s="121"/>
    </row>
    <row r="57" customFormat="false" ht="15.75" hidden="false" customHeight="false" outlineLevel="0" collapsed="false">
      <c r="A57" s="121" t="str">
        <f aca="false">IF(ISBLANK(B57),"",B57&amp;"|"&amp;C57)</f>
        <v/>
      </c>
      <c r="B57" s="121"/>
      <c r="C57" s="121"/>
      <c r="D57" s="121"/>
      <c r="E57" s="127"/>
      <c r="F57" s="121"/>
      <c r="G57" s="121"/>
      <c r="H57" s="121"/>
      <c r="I57" s="121"/>
      <c r="J57" s="121"/>
      <c r="K57" s="121"/>
      <c r="L57" s="121"/>
      <c r="M57" s="121"/>
      <c r="N57" s="121"/>
      <c r="O57" s="121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  <c r="AA57" s="121"/>
    </row>
    <row r="58" customFormat="false" ht="15.75" hidden="false" customHeight="false" outlineLevel="0" collapsed="false">
      <c r="A58" s="121" t="str">
        <f aca="false">IF(ISBLANK(B58),"",B58&amp;"|"&amp;C58)</f>
        <v/>
      </c>
      <c r="B58" s="121"/>
      <c r="C58" s="121"/>
      <c r="D58" s="121"/>
      <c r="E58" s="127"/>
      <c r="F58" s="121"/>
      <c r="G58" s="121"/>
      <c r="H58" s="121"/>
      <c r="I58" s="121"/>
      <c r="J58" s="121"/>
      <c r="K58" s="121"/>
      <c r="L58" s="121"/>
      <c r="M58" s="121"/>
      <c r="N58" s="121"/>
      <c r="O58" s="121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  <c r="AA58" s="121"/>
    </row>
    <row r="59" customFormat="false" ht="15.75" hidden="false" customHeight="false" outlineLevel="0" collapsed="false">
      <c r="A59" s="121" t="str">
        <f aca="false">IF(ISBLANK(B59),"",B59&amp;"|"&amp;C59)</f>
        <v/>
      </c>
      <c r="B59" s="121"/>
      <c r="C59" s="121"/>
      <c r="D59" s="121"/>
      <c r="E59" s="127"/>
      <c r="F59" s="121"/>
      <c r="G59" s="121"/>
      <c r="H59" s="121"/>
      <c r="I59" s="121"/>
      <c r="J59" s="121"/>
      <c r="K59" s="121"/>
      <c r="L59" s="121"/>
      <c r="M59" s="121"/>
      <c r="N59" s="121"/>
      <c r="O59" s="121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  <c r="AA59" s="121"/>
    </row>
    <row r="60" customFormat="false" ht="15.75" hidden="false" customHeight="false" outlineLevel="0" collapsed="false">
      <c r="A60" s="121" t="str">
        <f aca="false">IF(ISBLANK(B60),"",B60&amp;"|"&amp;C60)</f>
        <v/>
      </c>
      <c r="B60" s="121"/>
      <c r="C60" s="121"/>
      <c r="D60" s="121"/>
      <c r="E60" s="127"/>
      <c r="F60" s="121"/>
      <c r="G60" s="121"/>
      <c r="H60" s="121"/>
      <c r="I60" s="121"/>
      <c r="J60" s="121"/>
      <c r="K60" s="121"/>
      <c r="L60" s="121"/>
      <c r="M60" s="121"/>
      <c r="N60" s="121"/>
      <c r="O60" s="121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  <c r="AA60" s="121"/>
    </row>
    <row r="61" customFormat="false" ht="15.75" hidden="false" customHeight="false" outlineLevel="0" collapsed="false">
      <c r="A61" s="121" t="str">
        <f aca="false">IF(ISBLANK(B61),"",B61&amp;"|"&amp;C61)</f>
        <v/>
      </c>
      <c r="B61" s="121"/>
      <c r="C61" s="121"/>
      <c r="D61" s="121"/>
      <c r="E61" s="127"/>
      <c r="F61" s="121"/>
      <c r="G61" s="121"/>
      <c r="H61" s="121"/>
      <c r="I61" s="121"/>
      <c r="J61" s="121"/>
      <c r="K61" s="121"/>
      <c r="L61" s="121"/>
      <c r="M61" s="121"/>
      <c r="N61" s="121"/>
      <c r="O61" s="121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  <c r="AA61" s="121"/>
    </row>
    <row r="62" customFormat="false" ht="15.75" hidden="false" customHeight="false" outlineLevel="0" collapsed="false">
      <c r="A62" s="121" t="str">
        <f aca="false">IF(ISBLANK(B62),"",B62&amp;"|"&amp;C62)</f>
        <v/>
      </c>
      <c r="B62" s="121"/>
      <c r="C62" s="121"/>
      <c r="D62" s="121"/>
      <c r="E62" s="127"/>
      <c r="F62" s="121"/>
      <c r="G62" s="121"/>
      <c r="H62" s="121"/>
      <c r="I62" s="121"/>
      <c r="J62" s="121"/>
      <c r="K62" s="121"/>
      <c r="L62" s="121"/>
      <c r="M62" s="121"/>
      <c r="N62" s="121"/>
      <c r="O62" s="121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  <c r="AA62" s="121"/>
    </row>
    <row r="63" customFormat="false" ht="15.75" hidden="false" customHeight="false" outlineLevel="0" collapsed="false">
      <c r="A63" s="121" t="str">
        <f aca="false">IF(ISBLANK(B63),"",B63&amp;"|"&amp;C63)</f>
        <v/>
      </c>
      <c r="B63" s="121"/>
      <c r="C63" s="121"/>
      <c r="D63" s="121"/>
      <c r="E63" s="127"/>
      <c r="F63" s="121"/>
      <c r="G63" s="121"/>
      <c r="H63" s="121"/>
      <c r="I63" s="121"/>
      <c r="J63" s="121"/>
      <c r="K63" s="121"/>
      <c r="L63" s="121"/>
      <c r="M63" s="121"/>
      <c r="N63" s="121"/>
      <c r="O63" s="121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  <c r="AA63" s="121"/>
    </row>
    <row r="64" customFormat="false" ht="15.75" hidden="false" customHeight="false" outlineLevel="0" collapsed="false">
      <c r="A64" s="121" t="str">
        <f aca="false">IF(ISBLANK(B64),"",B64&amp;"|"&amp;C64)</f>
        <v/>
      </c>
      <c r="B64" s="121"/>
      <c r="C64" s="121"/>
      <c r="D64" s="121"/>
      <c r="E64" s="127"/>
      <c r="F64" s="121"/>
      <c r="G64" s="121"/>
      <c r="H64" s="121"/>
      <c r="I64" s="121"/>
      <c r="J64" s="121"/>
      <c r="K64" s="121"/>
      <c r="L64" s="121"/>
      <c r="M64" s="121"/>
      <c r="N64" s="121"/>
      <c r="O64" s="121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  <c r="AA64" s="121"/>
    </row>
    <row r="65" customFormat="false" ht="15.75" hidden="false" customHeight="false" outlineLevel="0" collapsed="false">
      <c r="A65" s="121" t="str">
        <f aca="false">IF(ISBLANK(B65),"",B65&amp;"|"&amp;C65)</f>
        <v/>
      </c>
      <c r="B65" s="121"/>
      <c r="C65" s="121"/>
      <c r="D65" s="121"/>
      <c r="E65" s="127"/>
      <c r="F65" s="121"/>
      <c r="G65" s="121"/>
      <c r="H65" s="121"/>
      <c r="I65" s="121"/>
      <c r="J65" s="121"/>
      <c r="K65" s="121"/>
      <c r="L65" s="121"/>
      <c r="M65" s="121"/>
      <c r="N65" s="121"/>
      <c r="O65" s="121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  <c r="AA65" s="121"/>
    </row>
    <row r="66" customFormat="false" ht="15.75" hidden="false" customHeight="false" outlineLevel="0" collapsed="false">
      <c r="A66" s="121" t="str">
        <f aca="false">IF(ISBLANK(B66),"",B66&amp;"|"&amp;C66)</f>
        <v/>
      </c>
      <c r="B66" s="121"/>
      <c r="C66" s="121"/>
      <c r="D66" s="121"/>
      <c r="E66" s="127"/>
      <c r="F66" s="121"/>
      <c r="G66" s="121"/>
      <c r="H66" s="121"/>
      <c r="I66" s="121"/>
      <c r="J66" s="121"/>
      <c r="K66" s="121"/>
      <c r="L66" s="121"/>
      <c r="M66" s="121"/>
      <c r="N66" s="121"/>
      <c r="O66" s="121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  <c r="AA66" s="121"/>
    </row>
    <row r="67" customFormat="false" ht="15.75" hidden="false" customHeight="false" outlineLevel="0" collapsed="false">
      <c r="A67" s="121" t="str">
        <f aca="false">IF(ISBLANK(B67),"",B67&amp;"|"&amp;C67)</f>
        <v/>
      </c>
      <c r="B67" s="121"/>
      <c r="C67" s="121"/>
      <c r="D67" s="121"/>
      <c r="E67" s="127"/>
      <c r="F67" s="121"/>
      <c r="G67" s="121"/>
      <c r="H67" s="121"/>
      <c r="I67" s="121"/>
      <c r="J67" s="121"/>
      <c r="K67" s="121"/>
      <c r="L67" s="121"/>
      <c r="M67" s="121"/>
      <c r="N67" s="121"/>
      <c r="O67" s="121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  <c r="AA67" s="121"/>
    </row>
    <row r="68" customFormat="false" ht="15.75" hidden="false" customHeight="false" outlineLevel="0" collapsed="false">
      <c r="A68" s="121" t="str">
        <f aca="false">IF(ISBLANK(B68),"",B68&amp;"|"&amp;C68)</f>
        <v/>
      </c>
      <c r="B68" s="121"/>
      <c r="C68" s="121"/>
      <c r="D68" s="121"/>
      <c r="E68" s="127"/>
      <c r="F68" s="121"/>
      <c r="G68" s="121"/>
      <c r="H68" s="121"/>
      <c r="I68" s="121"/>
      <c r="J68" s="121"/>
      <c r="K68" s="121"/>
      <c r="L68" s="121"/>
      <c r="M68" s="121"/>
      <c r="N68" s="121"/>
      <c r="O68" s="121"/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  <c r="AA68" s="121"/>
    </row>
    <row r="69" customFormat="false" ht="15.75" hidden="false" customHeight="false" outlineLevel="0" collapsed="false">
      <c r="A69" s="121" t="str">
        <f aca="false">IF(ISBLANK(B69),"",B69&amp;"|"&amp;C69)</f>
        <v/>
      </c>
      <c r="B69" s="121"/>
      <c r="C69" s="121"/>
      <c r="D69" s="121"/>
      <c r="E69" s="127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  <c r="AA69" s="121"/>
    </row>
    <row r="70" customFormat="false" ht="15.75" hidden="false" customHeight="false" outlineLevel="0" collapsed="false">
      <c r="A70" s="121" t="str">
        <f aca="false">IF(ISBLANK(B70),"",B70&amp;"|"&amp;C70)</f>
        <v/>
      </c>
      <c r="B70" s="121"/>
      <c r="C70" s="121"/>
      <c r="D70" s="121"/>
      <c r="E70" s="127"/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  <c r="AA70" s="121"/>
    </row>
    <row r="71" customFormat="false" ht="15.75" hidden="false" customHeight="false" outlineLevel="0" collapsed="false">
      <c r="A71" s="121" t="str">
        <f aca="false">IF(ISBLANK(B71),"",B71&amp;"|"&amp;C71)</f>
        <v/>
      </c>
      <c r="B71" s="121"/>
      <c r="C71" s="121"/>
      <c r="D71" s="121"/>
      <c r="E71" s="127"/>
      <c r="F71" s="121"/>
      <c r="G71" s="121"/>
      <c r="H71" s="121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  <c r="AA71" s="121"/>
    </row>
    <row r="72" customFormat="false" ht="15.75" hidden="false" customHeight="false" outlineLevel="0" collapsed="false">
      <c r="A72" s="121" t="str">
        <f aca="false">IF(ISBLANK(B72),"",B72&amp;"|"&amp;C72)</f>
        <v/>
      </c>
      <c r="B72" s="121"/>
      <c r="C72" s="121"/>
      <c r="D72" s="121"/>
      <c r="E72" s="127"/>
      <c r="F72" s="121"/>
      <c r="G72" s="121"/>
      <c r="H72" s="121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  <c r="AA72" s="121"/>
    </row>
    <row r="73" customFormat="false" ht="15.75" hidden="false" customHeight="false" outlineLevel="0" collapsed="false">
      <c r="A73" s="121" t="str">
        <f aca="false">IF(ISBLANK(B73),"",B73&amp;"|"&amp;C73)</f>
        <v/>
      </c>
      <c r="B73" s="121"/>
      <c r="C73" s="121"/>
      <c r="D73" s="121"/>
      <c r="E73" s="127"/>
      <c r="F73" s="121"/>
      <c r="G73" s="121"/>
      <c r="H73" s="121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  <c r="AA73" s="121"/>
    </row>
    <row r="74" customFormat="false" ht="15.75" hidden="false" customHeight="false" outlineLevel="0" collapsed="false">
      <c r="A74" s="121" t="str">
        <f aca="false">IF(ISBLANK(B74),"",B74&amp;"|"&amp;C74)</f>
        <v/>
      </c>
      <c r="B74" s="121"/>
      <c r="C74" s="121"/>
      <c r="D74" s="121"/>
      <c r="E74" s="127"/>
      <c r="F74" s="121"/>
      <c r="G74" s="121"/>
      <c r="H74" s="121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  <c r="AA74" s="121"/>
    </row>
    <row r="75" customFormat="false" ht="15.75" hidden="false" customHeight="false" outlineLevel="0" collapsed="false">
      <c r="A75" s="121" t="str">
        <f aca="false">IF(ISBLANK(B75),"",B75&amp;"|"&amp;C75)</f>
        <v/>
      </c>
      <c r="B75" s="121"/>
      <c r="C75" s="121"/>
      <c r="D75" s="121"/>
      <c r="E75" s="127"/>
      <c r="F75" s="121"/>
      <c r="G75" s="121"/>
      <c r="H75" s="121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  <c r="AA75" s="121"/>
    </row>
    <row r="76" customFormat="false" ht="15.75" hidden="false" customHeight="false" outlineLevel="0" collapsed="false">
      <c r="A76" s="121" t="str">
        <f aca="false">IF(ISBLANK(B76),"",B76&amp;"|"&amp;C76)</f>
        <v/>
      </c>
      <c r="B76" s="121"/>
      <c r="C76" s="121"/>
      <c r="D76" s="121"/>
      <c r="E76" s="127"/>
      <c r="F76" s="121"/>
      <c r="G76" s="121"/>
      <c r="H76" s="121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  <c r="AA76" s="121"/>
    </row>
    <row r="77" customFormat="false" ht="15.75" hidden="false" customHeight="false" outlineLevel="0" collapsed="false">
      <c r="A77" s="121" t="str">
        <f aca="false">IF(ISBLANK(B77),"",B77&amp;"|"&amp;C77)</f>
        <v/>
      </c>
      <c r="B77" s="121"/>
      <c r="C77" s="121"/>
      <c r="D77" s="121"/>
      <c r="E77" s="127"/>
      <c r="F77" s="121"/>
      <c r="G77" s="121"/>
      <c r="H77" s="121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  <c r="AA77" s="121"/>
    </row>
    <row r="78" customFormat="false" ht="15.75" hidden="false" customHeight="false" outlineLevel="0" collapsed="false">
      <c r="A78" s="121" t="str">
        <f aca="false">IF(ISBLANK(B78),"",B78&amp;"|"&amp;C78)</f>
        <v/>
      </c>
      <c r="B78" s="121"/>
      <c r="C78" s="121"/>
      <c r="D78" s="121"/>
      <c r="E78" s="127"/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  <c r="AA78" s="121"/>
    </row>
    <row r="79" customFormat="false" ht="15.75" hidden="false" customHeight="false" outlineLevel="0" collapsed="false">
      <c r="A79" s="121" t="str">
        <f aca="false">IF(ISBLANK(B79),"",B79&amp;"|"&amp;C79)</f>
        <v/>
      </c>
      <c r="B79" s="121"/>
      <c r="C79" s="121"/>
      <c r="D79" s="121"/>
      <c r="E79" s="127"/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  <c r="AA79" s="121"/>
    </row>
    <row r="80" customFormat="false" ht="15.75" hidden="false" customHeight="false" outlineLevel="0" collapsed="false">
      <c r="A80" s="121" t="str">
        <f aca="false">IF(ISBLANK(B80),"",B80&amp;"|"&amp;C80)</f>
        <v/>
      </c>
      <c r="B80" s="121"/>
      <c r="C80" s="121"/>
      <c r="D80" s="121"/>
      <c r="E80" s="127"/>
      <c r="F80" s="121"/>
      <c r="G80" s="121"/>
      <c r="H80" s="121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  <c r="AA80" s="121"/>
    </row>
    <row r="81" customFormat="false" ht="15.75" hidden="false" customHeight="false" outlineLevel="0" collapsed="false">
      <c r="A81" s="121" t="str">
        <f aca="false">IF(ISBLANK(B81),"",B81&amp;"|"&amp;C81)</f>
        <v/>
      </c>
      <c r="B81" s="121"/>
      <c r="C81" s="121"/>
      <c r="D81" s="121"/>
      <c r="E81" s="127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  <c r="AA81" s="121"/>
    </row>
    <row r="82" customFormat="false" ht="15.75" hidden="false" customHeight="false" outlineLevel="0" collapsed="false">
      <c r="A82" s="121" t="str">
        <f aca="false">IF(ISBLANK(B82),"",B82&amp;"|"&amp;C82)</f>
        <v/>
      </c>
      <c r="B82" s="121"/>
      <c r="C82" s="121"/>
      <c r="D82" s="121"/>
      <c r="E82" s="127"/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  <c r="AA82" s="121"/>
    </row>
    <row r="83" customFormat="false" ht="15.75" hidden="false" customHeight="false" outlineLevel="0" collapsed="false">
      <c r="A83" s="121" t="str">
        <f aca="false">IF(ISBLANK(B83),"",B83&amp;"|"&amp;C83)</f>
        <v/>
      </c>
      <c r="B83" s="121"/>
      <c r="C83" s="121"/>
      <c r="D83" s="121"/>
      <c r="E83" s="127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  <c r="AA83" s="121"/>
    </row>
    <row r="84" customFormat="false" ht="15.75" hidden="false" customHeight="false" outlineLevel="0" collapsed="false">
      <c r="A84" s="121" t="str">
        <f aca="false">IF(ISBLANK(B84),"",B84&amp;"|"&amp;C84)</f>
        <v/>
      </c>
      <c r="B84" s="121"/>
      <c r="C84" s="121"/>
      <c r="D84" s="121"/>
      <c r="E84" s="127"/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  <c r="AA84" s="121"/>
    </row>
    <row r="85" customFormat="false" ht="15.75" hidden="false" customHeight="false" outlineLevel="0" collapsed="false">
      <c r="A85" s="121" t="str">
        <f aca="false">IF(ISBLANK(B85),"",B85&amp;"|"&amp;C85)</f>
        <v/>
      </c>
      <c r="B85" s="121"/>
      <c r="C85" s="121"/>
      <c r="D85" s="121"/>
      <c r="E85" s="127"/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  <c r="AA85" s="121"/>
    </row>
    <row r="86" customFormat="false" ht="15.75" hidden="false" customHeight="false" outlineLevel="0" collapsed="false">
      <c r="A86" s="121" t="str">
        <f aca="false">IF(ISBLANK(B86),"",B86&amp;"|"&amp;C86)</f>
        <v/>
      </c>
      <c r="B86" s="121"/>
      <c r="C86" s="121"/>
      <c r="D86" s="121"/>
      <c r="E86" s="127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  <c r="AA86" s="121"/>
    </row>
    <row r="87" customFormat="false" ht="15.75" hidden="false" customHeight="false" outlineLevel="0" collapsed="false">
      <c r="A87" s="121" t="str">
        <f aca="false">IF(ISBLANK(B87),"",B87&amp;"|"&amp;C87)</f>
        <v/>
      </c>
      <c r="B87" s="121"/>
      <c r="C87" s="121"/>
      <c r="D87" s="121"/>
      <c r="E87" s="127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  <c r="AA87" s="121"/>
    </row>
    <row r="88" customFormat="false" ht="15.75" hidden="false" customHeight="false" outlineLevel="0" collapsed="false">
      <c r="A88" s="121" t="str">
        <f aca="false">IF(ISBLANK(B88),"",B88&amp;"|"&amp;C88)</f>
        <v/>
      </c>
      <c r="B88" s="121"/>
      <c r="C88" s="121"/>
      <c r="D88" s="121"/>
      <c r="E88" s="127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  <c r="AA88" s="121"/>
    </row>
    <row r="89" customFormat="false" ht="15.75" hidden="false" customHeight="false" outlineLevel="0" collapsed="false">
      <c r="A89" s="121" t="str">
        <f aca="false">IF(ISBLANK(B89),"",B89&amp;"|"&amp;C89)</f>
        <v/>
      </c>
      <c r="B89" s="121"/>
      <c r="C89" s="121"/>
      <c r="D89" s="121"/>
      <c r="E89" s="127"/>
      <c r="F89" s="121"/>
      <c r="G89" s="121"/>
      <c r="H89" s="121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  <c r="AA89" s="121"/>
    </row>
    <row r="90" customFormat="false" ht="15.75" hidden="false" customHeight="false" outlineLevel="0" collapsed="false">
      <c r="A90" s="121" t="str">
        <f aca="false">IF(ISBLANK(B90),"",B90&amp;"|"&amp;C90)</f>
        <v/>
      </c>
      <c r="B90" s="121"/>
      <c r="C90" s="121"/>
      <c r="D90" s="121"/>
      <c r="E90" s="127"/>
      <c r="F90" s="121"/>
      <c r="G90" s="121"/>
      <c r="H90" s="121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  <c r="AA90" s="121"/>
    </row>
    <row r="91" customFormat="false" ht="15.75" hidden="false" customHeight="false" outlineLevel="0" collapsed="false">
      <c r="A91" s="121" t="str">
        <f aca="false">IF(ISBLANK(B91),"",B91&amp;"|"&amp;C91)</f>
        <v/>
      </c>
      <c r="B91" s="121"/>
      <c r="C91" s="121"/>
      <c r="D91" s="121"/>
      <c r="E91" s="127"/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  <c r="AA91" s="121"/>
    </row>
    <row r="92" customFormat="false" ht="15.75" hidden="false" customHeight="false" outlineLevel="0" collapsed="false">
      <c r="A92" s="121" t="str">
        <f aca="false">IF(ISBLANK(B92),"",B92&amp;"|"&amp;C92)</f>
        <v/>
      </c>
      <c r="B92" s="121"/>
      <c r="C92" s="121"/>
      <c r="D92" s="121"/>
      <c r="E92" s="127"/>
      <c r="F92" s="121"/>
      <c r="G92" s="121"/>
      <c r="H92" s="121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  <c r="AA92" s="121"/>
    </row>
    <row r="93" customFormat="false" ht="15.75" hidden="false" customHeight="false" outlineLevel="0" collapsed="false">
      <c r="A93" s="121" t="str">
        <f aca="false">IF(ISBLANK(B93),"",B93&amp;"|"&amp;C93)</f>
        <v/>
      </c>
      <c r="B93" s="121"/>
      <c r="C93" s="121"/>
      <c r="D93" s="121"/>
      <c r="E93" s="127"/>
      <c r="F93" s="121"/>
      <c r="G93" s="121"/>
      <c r="H93" s="121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  <c r="AA93" s="121"/>
    </row>
    <row r="94" customFormat="false" ht="15.75" hidden="false" customHeight="false" outlineLevel="0" collapsed="false">
      <c r="A94" s="121" t="str">
        <f aca="false">IF(ISBLANK(B94),"",B94&amp;"|"&amp;C94)</f>
        <v/>
      </c>
      <c r="B94" s="121"/>
      <c r="C94" s="121"/>
      <c r="D94" s="121"/>
      <c r="E94" s="127"/>
      <c r="F94" s="121"/>
      <c r="G94" s="121"/>
      <c r="H94" s="121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  <c r="AA94" s="121"/>
    </row>
    <row r="95" customFormat="false" ht="15.75" hidden="false" customHeight="false" outlineLevel="0" collapsed="false">
      <c r="A95" s="121" t="str">
        <f aca="false">IF(ISBLANK(B95),"",B95&amp;"|"&amp;C95)</f>
        <v/>
      </c>
      <c r="B95" s="121"/>
      <c r="C95" s="121"/>
      <c r="D95" s="121"/>
      <c r="E95" s="127"/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  <c r="AA95" s="121"/>
    </row>
    <row r="96" customFormat="false" ht="15.75" hidden="false" customHeight="false" outlineLevel="0" collapsed="false">
      <c r="A96" s="121" t="str">
        <f aca="false">IF(ISBLANK(B96),"",B96&amp;"|"&amp;C96)</f>
        <v/>
      </c>
      <c r="B96" s="121"/>
      <c r="C96" s="121"/>
      <c r="D96" s="121"/>
      <c r="E96" s="127"/>
      <c r="F96" s="121"/>
      <c r="G96" s="121"/>
      <c r="H96" s="121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  <c r="AA96" s="121"/>
    </row>
    <row r="97" customFormat="false" ht="15.75" hidden="false" customHeight="false" outlineLevel="0" collapsed="false">
      <c r="A97" s="121" t="str">
        <f aca="false">IF(ISBLANK(B97),"",B97&amp;"|"&amp;C97)</f>
        <v/>
      </c>
      <c r="B97" s="121"/>
      <c r="C97" s="121"/>
      <c r="D97" s="121"/>
      <c r="E97" s="127"/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  <c r="AA97" s="121"/>
    </row>
    <row r="98" customFormat="false" ht="15.75" hidden="false" customHeight="false" outlineLevel="0" collapsed="false">
      <c r="A98" s="121" t="str">
        <f aca="false">IF(ISBLANK(B98),"",B98&amp;"|"&amp;C98)</f>
        <v/>
      </c>
      <c r="B98" s="121"/>
      <c r="C98" s="121"/>
      <c r="D98" s="121"/>
      <c r="E98" s="127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  <c r="AA98" s="121"/>
    </row>
    <row r="99" customFormat="false" ht="15.75" hidden="false" customHeight="false" outlineLevel="0" collapsed="false">
      <c r="A99" s="121" t="str">
        <f aca="false">IF(ISBLANK(B99),"",B99&amp;"|"&amp;C99)</f>
        <v/>
      </c>
      <c r="B99" s="121"/>
      <c r="C99" s="121"/>
      <c r="D99" s="121"/>
      <c r="E99" s="127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  <c r="AA99" s="121"/>
    </row>
    <row r="100" customFormat="false" ht="15.75" hidden="false" customHeight="false" outlineLevel="0" collapsed="false">
      <c r="A100" s="121" t="str">
        <f aca="false">IF(ISBLANK(B100),"",B100&amp;"|"&amp;C100)</f>
        <v/>
      </c>
      <c r="B100" s="121"/>
      <c r="C100" s="121"/>
      <c r="D100" s="121"/>
      <c r="E100" s="127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  <c r="AA100" s="121"/>
    </row>
    <row r="101" customFormat="false" ht="15.75" hidden="false" customHeight="false" outlineLevel="0" collapsed="false">
      <c r="A101" s="121" t="str">
        <f aca="false">IF(ISBLANK(B101),"",B101&amp;"|"&amp;C101)</f>
        <v/>
      </c>
      <c r="B101" s="121"/>
      <c r="C101" s="121"/>
      <c r="D101" s="121"/>
      <c r="E101" s="127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  <c r="AA101" s="121"/>
    </row>
    <row r="102" customFormat="false" ht="15.75" hidden="false" customHeight="false" outlineLevel="0" collapsed="false">
      <c r="A102" s="121" t="str">
        <f aca="false">IF(ISBLANK(B102),"",B102&amp;"|"&amp;C102)</f>
        <v/>
      </c>
      <c r="B102" s="121"/>
      <c r="C102" s="121"/>
      <c r="D102" s="121"/>
      <c r="E102" s="127"/>
      <c r="F102" s="121"/>
      <c r="G102" s="121"/>
      <c r="H102" s="121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  <c r="AA102" s="121"/>
    </row>
    <row r="103" customFormat="false" ht="15.75" hidden="false" customHeight="false" outlineLevel="0" collapsed="false">
      <c r="A103" s="121" t="str">
        <f aca="false">IF(ISBLANK(B103),"",B103&amp;"|"&amp;C103)</f>
        <v/>
      </c>
      <c r="B103" s="121"/>
      <c r="C103" s="121"/>
      <c r="D103" s="121"/>
      <c r="E103" s="127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  <c r="AA103" s="121"/>
    </row>
    <row r="104" customFormat="false" ht="15.75" hidden="false" customHeight="false" outlineLevel="0" collapsed="false">
      <c r="A104" s="121" t="str">
        <f aca="false">IF(ISBLANK(B104),"",B104&amp;"|"&amp;C104)</f>
        <v/>
      </c>
      <c r="B104" s="121"/>
      <c r="C104" s="121"/>
      <c r="D104" s="121"/>
      <c r="E104" s="127"/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  <c r="AA104" s="121"/>
    </row>
    <row r="105" customFormat="false" ht="15.75" hidden="false" customHeight="false" outlineLevel="0" collapsed="false">
      <c r="A105" s="121" t="str">
        <f aca="false">IF(ISBLANK(B105),"",B105&amp;"|"&amp;C105)</f>
        <v/>
      </c>
      <c r="B105" s="121"/>
      <c r="C105" s="121"/>
      <c r="D105" s="121"/>
      <c r="E105" s="127"/>
      <c r="F105" s="121"/>
      <c r="G105" s="121"/>
      <c r="H105" s="121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  <c r="AA105" s="121"/>
    </row>
    <row r="106" customFormat="false" ht="15.75" hidden="false" customHeight="false" outlineLevel="0" collapsed="false">
      <c r="A106" s="121" t="str">
        <f aca="false">IF(ISBLANK(B106),"",B106&amp;"|"&amp;C106)</f>
        <v/>
      </c>
      <c r="B106" s="121"/>
      <c r="C106" s="121"/>
      <c r="D106" s="121"/>
      <c r="E106" s="127"/>
      <c r="F106" s="121"/>
      <c r="G106" s="121"/>
      <c r="H106" s="121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  <c r="AA106" s="121"/>
    </row>
    <row r="107" customFormat="false" ht="15.75" hidden="false" customHeight="false" outlineLevel="0" collapsed="false">
      <c r="A107" s="121" t="str">
        <f aca="false">IF(ISBLANK(B107),"",B107&amp;"|"&amp;C107)</f>
        <v/>
      </c>
      <c r="B107" s="121"/>
      <c r="C107" s="121"/>
      <c r="D107" s="121"/>
      <c r="E107" s="127"/>
      <c r="F107" s="121"/>
      <c r="G107" s="121"/>
      <c r="H107" s="121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  <c r="AA107" s="121"/>
    </row>
    <row r="108" customFormat="false" ht="15.75" hidden="false" customHeight="false" outlineLevel="0" collapsed="false">
      <c r="A108" s="121" t="str">
        <f aca="false">IF(ISBLANK(B108),"",B108&amp;"|"&amp;C108)</f>
        <v/>
      </c>
      <c r="B108" s="121"/>
      <c r="C108" s="121"/>
      <c r="D108" s="121"/>
      <c r="E108" s="127"/>
      <c r="F108" s="121"/>
      <c r="G108" s="121"/>
      <c r="H108" s="121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  <c r="AA108" s="121"/>
    </row>
    <row r="109" customFormat="false" ht="15.75" hidden="false" customHeight="false" outlineLevel="0" collapsed="false">
      <c r="A109" s="121" t="str">
        <f aca="false">IF(ISBLANK(B109),"",B109&amp;"|"&amp;C109)</f>
        <v/>
      </c>
      <c r="B109" s="121"/>
      <c r="C109" s="121"/>
      <c r="D109" s="121"/>
      <c r="E109" s="127"/>
      <c r="F109" s="121"/>
      <c r="G109" s="121"/>
      <c r="H109" s="121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  <c r="AA109" s="121"/>
    </row>
    <row r="110" customFormat="false" ht="15.75" hidden="false" customHeight="false" outlineLevel="0" collapsed="false">
      <c r="A110" s="121" t="str">
        <f aca="false">IF(ISBLANK(B110),"",B110&amp;"|"&amp;C110)</f>
        <v/>
      </c>
      <c r="B110" s="121"/>
      <c r="C110" s="121"/>
      <c r="D110" s="121"/>
      <c r="E110" s="127"/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  <c r="AA110" s="121"/>
    </row>
    <row r="111" customFormat="false" ht="15.75" hidden="false" customHeight="false" outlineLevel="0" collapsed="false">
      <c r="A111" s="121" t="str">
        <f aca="false">IF(ISBLANK(B111),"",B111&amp;"|"&amp;C111)</f>
        <v/>
      </c>
      <c r="B111" s="121"/>
      <c r="C111" s="121"/>
      <c r="D111" s="121"/>
      <c r="E111" s="127"/>
      <c r="F111" s="121"/>
      <c r="G111" s="121"/>
      <c r="H111" s="121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  <c r="AA111" s="121"/>
    </row>
    <row r="112" customFormat="false" ht="15.75" hidden="false" customHeight="false" outlineLevel="0" collapsed="false">
      <c r="A112" s="121" t="str">
        <f aca="false">IF(ISBLANK(B112),"",B112&amp;"|"&amp;C112)</f>
        <v/>
      </c>
      <c r="B112" s="121"/>
      <c r="C112" s="121"/>
      <c r="D112" s="121"/>
      <c r="E112" s="127"/>
      <c r="F112" s="121"/>
      <c r="G112" s="121"/>
      <c r="H112" s="121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  <c r="AA112" s="121"/>
    </row>
    <row r="113" customFormat="false" ht="15.75" hidden="false" customHeight="false" outlineLevel="0" collapsed="false">
      <c r="A113" s="121" t="str">
        <f aca="false">IF(ISBLANK(B113),"",B113&amp;"|"&amp;C113)</f>
        <v/>
      </c>
      <c r="B113" s="121"/>
      <c r="C113" s="121"/>
      <c r="D113" s="121"/>
      <c r="E113" s="127"/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  <c r="AA113" s="121"/>
    </row>
    <row r="114" customFormat="false" ht="15.75" hidden="false" customHeight="false" outlineLevel="0" collapsed="false">
      <c r="A114" s="121" t="str">
        <f aca="false">IF(ISBLANK(B114),"",B114&amp;"|"&amp;C114)</f>
        <v/>
      </c>
      <c r="B114" s="121"/>
      <c r="C114" s="121"/>
      <c r="D114" s="121"/>
      <c r="E114" s="127"/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  <c r="AA114" s="121"/>
    </row>
    <row r="115" customFormat="false" ht="15.75" hidden="false" customHeight="false" outlineLevel="0" collapsed="false">
      <c r="A115" s="121" t="str">
        <f aca="false">IF(ISBLANK(B115),"",B115&amp;"|"&amp;C115)</f>
        <v/>
      </c>
      <c r="B115" s="121"/>
      <c r="C115" s="121"/>
      <c r="D115" s="121"/>
      <c r="E115" s="127"/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  <c r="AA115" s="121"/>
    </row>
    <row r="116" customFormat="false" ht="15.75" hidden="false" customHeight="false" outlineLevel="0" collapsed="false">
      <c r="A116" s="121" t="str">
        <f aca="false">IF(ISBLANK(B116),"",B116&amp;"|"&amp;C116)</f>
        <v/>
      </c>
      <c r="B116" s="121"/>
      <c r="C116" s="121"/>
      <c r="D116" s="121"/>
      <c r="E116" s="127"/>
      <c r="F116" s="121"/>
      <c r="G116" s="121"/>
      <c r="H116" s="121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  <c r="AA116" s="121"/>
    </row>
    <row r="117" customFormat="false" ht="15.75" hidden="false" customHeight="false" outlineLevel="0" collapsed="false">
      <c r="A117" s="121" t="str">
        <f aca="false">IF(ISBLANK(B117),"",B117&amp;"|"&amp;C117)</f>
        <v/>
      </c>
      <c r="B117" s="121"/>
      <c r="C117" s="121"/>
      <c r="D117" s="121"/>
      <c r="E117" s="127"/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  <c r="AA117" s="121"/>
    </row>
    <row r="118" customFormat="false" ht="15.75" hidden="false" customHeight="false" outlineLevel="0" collapsed="false">
      <c r="A118" s="121" t="str">
        <f aca="false">IF(ISBLANK(B118),"",B118&amp;"|"&amp;C118)</f>
        <v/>
      </c>
      <c r="B118" s="121"/>
      <c r="C118" s="121"/>
      <c r="D118" s="121"/>
      <c r="E118" s="127"/>
      <c r="F118" s="121"/>
      <c r="G118" s="121"/>
      <c r="H118" s="121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  <c r="AA118" s="121"/>
    </row>
    <row r="119" customFormat="false" ht="15.75" hidden="false" customHeight="false" outlineLevel="0" collapsed="false">
      <c r="A119" s="121" t="str">
        <f aca="false">IF(ISBLANK(B119),"",B119&amp;"|"&amp;C119)</f>
        <v/>
      </c>
      <c r="B119" s="121"/>
      <c r="C119" s="121"/>
      <c r="D119" s="121"/>
      <c r="E119" s="127"/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  <c r="AA119" s="121"/>
    </row>
    <row r="120" customFormat="false" ht="15.75" hidden="false" customHeight="false" outlineLevel="0" collapsed="false">
      <c r="A120" s="121" t="str">
        <f aca="false">IF(ISBLANK(B120),"",B120&amp;"|"&amp;C120)</f>
        <v/>
      </c>
      <c r="B120" s="121"/>
      <c r="C120" s="121"/>
      <c r="D120" s="121"/>
      <c r="E120" s="127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  <c r="AA120" s="121"/>
    </row>
    <row r="121" customFormat="false" ht="15.75" hidden="false" customHeight="false" outlineLevel="0" collapsed="false">
      <c r="A121" s="121" t="str">
        <f aca="false">IF(ISBLANK(B121),"",B121&amp;"|"&amp;C121)</f>
        <v/>
      </c>
      <c r="B121" s="121"/>
      <c r="C121" s="121"/>
      <c r="D121" s="121"/>
      <c r="E121" s="127"/>
      <c r="F121" s="121"/>
      <c r="G121" s="121"/>
      <c r="H121" s="121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  <c r="AA121" s="121"/>
    </row>
    <row r="122" customFormat="false" ht="15.75" hidden="false" customHeight="false" outlineLevel="0" collapsed="false">
      <c r="A122" s="121" t="str">
        <f aca="false">IF(ISBLANK(B122),"",B122&amp;"|"&amp;C122)</f>
        <v/>
      </c>
      <c r="B122" s="121"/>
      <c r="C122" s="121"/>
      <c r="D122" s="121"/>
      <c r="E122" s="127"/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  <c r="AA122" s="121"/>
    </row>
    <row r="123" customFormat="false" ht="15.75" hidden="false" customHeight="false" outlineLevel="0" collapsed="false">
      <c r="A123" s="121" t="str">
        <f aca="false">IF(ISBLANK(B123),"",B123&amp;"|"&amp;C123)</f>
        <v/>
      </c>
      <c r="B123" s="121"/>
      <c r="C123" s="121"/>
      <c r="D123" s="121"/>
      <c r="E123" s="127"/>
      <c r="F123" s="121"/>
      <c r="G123" s="121"/>
      <c r="H123" s="121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  <c r="AA123" s="121"/>
    </row>
    <row r="124" customFormat="false" ht="15.75" hidden="false" customHeight="false" outlineLevel="0" collapsed="false">
      <c r="A124" s="121" t="str">
        <f aca="false">IF(ISBLANK(B124),"",B124&amp;"|"&amp;C124)</f>
        <v/>
      </c>
      <c r="B124" s="121"/>
      <c r="C124" s="121"/>
      <c r="D124" s="121"/>
      <c r="E124" s="127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  <c r="AA124" s="121"/>
    </row>
    <row r="125" customFormat="false" ht="15.75" hidden="false" customHeight="false" outlineLevel="0" collapsed="false">
      <c r="A125" s="121" t="str">
        <f aca="false">IF(ISBLANK(B125),"",B125&amp;"|"&amp;C125)</f>
        <v/>
      </c>
      <c r="B125" s="121"/>
      <c r="C125" s="121"/>
      <c r="D125" s="121"/>
      <c r="E125" s="127"/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  <c r="AA125" s="121"/>
    </row>
    <row r="126" customFormat="false" ht="15.75" hidden="false" customHeight="false" outlineLevel="0" collapsed="false">
      <c r="A126" s="121" t="str">
        <f aca="false">IF(ISBLANK(B126),"",B126&amp;"|"&amp;C126)</f>
        <v/>
      </c>
      <c r="B126" s="121"/>
      <c r="C126" s="121"/>
      <c r="D126" s="121"/>
      <c r="E126" s="127"/>
      <c r="F126" s="121"/>
      <c r="G126" s="121"/>
      <c r="H126" s="121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  <c r="AA126" s="121"/>
    </row>
    <row r="127" customFormat="false" ht="15.75" hidden="false" customHeight="false" outlineLevel="0" collapsed="false">
      <c r="A127" s="121" t="str">
        <f aca="false">IF(ISBLANK(B127),"",B127&amp;"|"&amp;C127)</f>
        <v/>
      </c>
      <c r="B127" s="121"/>
      <c r="C127" s="121"/>
      <c r="D127" s="121"/>
      <c r="E127" s="127"/>
      <c r="F127" s="121"/>
      <c r="G127" s="121"/>
      <c r="H127" s="121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  <c r="AA127" s="121"/>
    </row>
    <row r="128" customFormat="false" ht="15.75" hidden="false" customHeight="false" outlineLevel="0" collapsed="false">
      <c r="A128" s="121" t="str">
        <f aca="false">IF(ISBLANK(B128),"",B128&amp;"|"&amp;C128)</f>
        <v/>
      </c>
      <c r="B128" s="121"/>
      <c r="C128" s="121"/>
      <c r="D128" s="121"/>
      <c r="E128" s="127"/>
      <c r="F128" s="121"/>
      <c r="G128" s="121"/>
      <c r="H128" s="121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  <c r="AA128" s="121"/>
    </row>
    <row r="129" customFormat="false" ht="15.75" hidden="false" customHeight="false" outlineLevel="0" collapsed="false">
      <c r="A129" s="121" t="str">
        <f aca="false">IF(ISBLANK(B129),"",B129&amp;"|"&amp;C129)</f>
        <v/>
      </c>
      <c r="B129" s="121"/>
      <c r="C129" s="121"/>
      <c r="D129" s="121"/>
      <c r="E129" s="127"/>
      <c r="F129" s="121"/>
      <c r="G129" s="121"/>
      <c r="H129" s="121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  <c r="AA129" s="121"/>
    </row>
    <row r="130" customFormat="false" ht="15.75" hidden="false" customHeight="false" outlineLevel="0" collapsed="false">
      <c r="A130" s="121" t="str">
        <f aca="false">IF(ISBLANK(B130),"",B130&amp;"|"&amp;C130)</f>
        <v/>
      </c>
      <c r="B130" s="121"/>
      <c r="C130" s="121"/>
      <c r="D130" s="121"/>
      <c r="E130" s="127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  <c r="AA130" s="121"/>
    </row>
    <row r="131" customFormat="false" ht="15.75" hidden="false" customHeight="false" outlineLevel="0" collapsed="false">
      <c r="A131" s="121" t="str">
        <f aca="false">IF(ISBLANK(B131),"",B131&amp;"|"&amp;C131)</f>
        <v/>
      </c>
      <c r="B131" s="121"/>
      <c r="C131" s="121"/>
      <c r="D131" s="121"/>
      <c r="E131" s="127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  <c r="AA131" s="121"/>
    </row>
    <row r="132" customFormat="false" ht="15.75" hidden="false" customHeight="false" outlineLevel="0" collapsed="false">
      <c r="A132" s="121" t="str">
        <f aca="false">IF(ISBLANK(B132),"",B132&amp;"|"&amp;C132)</f>
        <v/>
      </c>
      <c r="B132" s="121"/>
      <c r="C132" s="121"/>
      <c r="D132" s="121"/>
      <c r="E132" s="127"/>
      <c r="F132" s="121"/>
      <c r="G132" s="121"/>
      <c r="H132" s="121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  <c r="AA132" s="121"/>
    </row>
    <row r="133" customFormat="false" ht="15.75" hidden="false" customHeight="false" outlineLevel="0" collapsed="false">
      <c r="A133" s="121" t="str">
        <f aca="false">IF(ISBLANK(B133),"",B133&amp;"|"&amp;C133)</f>
        <v/>
      </c>
      <c r="B133" s="121"/>
      <c r="C133" s="121"/>
      <c r="D133" s="121"/>
      <c r="E133" s="127"/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  <c r="AA133" s="121"/>
    </row>
    <row r="134" customFormat="false" ht="15.75" hidden="false" customHeight="false" outlineLevel="0" collapsed="false">
      <c r="A134" s="121" t="str">
        <f aca="false">IF(ISBLANK(B134),"",B134&amp;"|"&amp;C134)</f>
        <v/>
      </c>
      <c r="B134" s="121"/>
      <c r="C134" s="121"/>
      <c r="D134" s="121"/>
      <c r="E134" s="127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  <c r="AA134" s="121"/>
    </row>
    <row r="135" customFormat="false" ht="15.75" hidden="false" customHeight="false" outlineLevel="0" collapsed="false">
      <c r="A135" s="121" t="str">
        <f aca="false">IF(ISBLANK(B135),"",B135&amp;"|"&amp;C135)</f>
        <v/>
      </c>
      <c r="B135" s="121"/>
      <c r="C135" s="121"/>
      <c r="D135" s="121"/>
      <c r="E135" s="127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  <c r="AA135" s="121"/>
    </row>
    <row r="136" customFormat="false" ht="15.75" hidden="false" customHeight="false" outlineLevel="0" collapsed="false">
      <c r="A136" s="121" t="str">
        <f aca="false">IF(ISBLANK(B136),"",B136&amp;"|"&amp;C136)</f>
        <v/>
      </c>
      <c r="B136" s="121"/>
      <c r="C136" s="121"/>
      <c r="D136" s="121"/>
      <c r="E136" s="127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  <c r="AA136" s="121"/>
    </row>
    <row r="137" customFormat="false" ht="15.75" hidden="false" customHeight="false" outlineLevel="0" collapsed="false">
      <c r="A137" s="121" t="str">
        <f aca="false">IF(ISBLANK(B137),"",B137&amp;"|"&amp;C137)</f>
        <v/>
      </c>
      <c r="B137" s="121"/>
      <c r="C137" s="121"/>
      <c r="D137" s="121"/>
      <c r="E137" s="127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  <c r="AA137" s="121"/>
    </row>
    <row r="138" customFormat="false" ht="15.75" hidden="false" customHeight="false" outlineLevel="0" collapsed="false">
      <c r="A138" s="121" t="str">
        <f aca="false">IF(ISBLANK(B138),"",B138&amp;"|"&amp;C138)</f>
        <v/>
      </c>
      <c r="B138" s="121"/>
      <c r="C138" s="121"/>
      <c r="D138" s="121"/>
      <c r="E138" s="127"/>
      <c r="F138" s="121"/>
      <c r="G138" s="121"/>
      <c r="H138" s="121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  <c r="AA138" s="121"/>
    </row>
    <row r="139" customFormat="false" ht="15.75" hidden="false" customHeight="false" outlineLevel="0" collapsed="false">
      <c r="A139" s="121" t="str">
        <f aca="false">IF(ISBLANK(B139),"",B139&amp;"|"&amp;C139)</f>
        <v/>
      </c>
      <c r="B139" s="121"/>
      <c r="C139" s="121"/>
      <c r="D139" s="121"/>
      <c r="E139" s="127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  <c r="AA139" s="121"/>
    </row>
    <row r="140" customFormat="false" ht="15.75" hidden="false" customHeight="false" outlineLevel="0" collapsed="false">
      <c r="A140" s="121" t="str">
        <f aca="false">IF(ISBLANK(B140),"",B140&amp;"|"&amp;C140)</f>
        <v/>
      </c>
      <c r="B140" s="121"/>
      <c r="C140" s="121"/>
      <c r="D140" s="121"/>
      <c r="E140" s="127"/>
      <c r="F140" s="121"/>
      <c r="G140" s="121"/>
      <c r="H140" s="121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  <c r="AA140" s="121"/>
    </row>
    <row r="141" customFormat="false" ht="15.75" hidden="false" customHeight="false" outlineLevel="0" collapsed="false">
      <c r="A141" s="121" t="str">
        <f aca="false">IF(ISBLANK(B141),"",B141&amp;"|"&amp;C141)</f>
        <v/>
      </c>
      <c r="B141" s="121"/>
      <c r="C141" s="121"/>
      <c r="D141" s="121"/>
      <c r="E141" s="127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  <c r="AA141" s="121"/>
    </row>
    <row r="142" customFormat="false" ht="15.75" hidden="false" customHeight="false" outlineLevel="0" collapsed="false">
      <c r="A142" s="121" t="str">
        <f aca="false">IF(ISBLANK(B142),"",B142&amp;"|"&amp;C142)</f>
        <v/>
      </c>
      <c r="B142" s="121"/>
      <c r="C142" s="121"/>
      <c r="D142" s="121"/>
      <c r="E142" s="127"/>
      <c r="F142" s="121"/>
      <c r="G142" s="121"/>
      <c r="H142" s="121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  <c r="AA142" s="121"/>
    </row>
    <row r="143" customFormat="false" ht="15.75" hidden="false" customHeight="false" outlineLevel="0" collapsed="false">
      <c r="A143" s="121" t="str">
        <f aca="false">IF(ISBLANK(B143),"",B143&amp;"|"&amp;C143)</f>
        <v/>
      </c>
      <c r="B143" s="121"/>
      <c r="C143" s="121"/>
      <c r="D143" s="121"/>
      <c r="E143" s="127"/>
      <c r="F143" s="121"/>
      <c r="G143" s="121"/>
      <c r="H143" s="121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  <c r="AA143" s="121"/>
    </row>
    <row r="144" customFormat="false" ht="15.75" hidden="false" customHeight="false" outlineLevel="0" collapsed="false">
      <c r="A144" s="121" t="str">
        <f aca="false">IF(ISBLANK(B144),"",B144&amp;"|"&amp;C144)</f>
        <v/>
      </c>
      <c r="B144" s="121"/>
      <c r="C144" s="121"/>
      <c r="D144" s="121"/>
      <c r="E144" s="127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  <c r="AA144" s="121"/>
    </row>
    <row r="145" customFormat="false" ht="15.75" hidden="false" customHeight="false" outlineLevel="0" collapsed="false">
      <c r="A145" s="121" t="str">
        <f aca="false">IF(ISBLANK(B145),"",B145&amp;"|"&amp;C145)</f>
        <v/>
      </c>
      <c r="B145" s="121"/>
      <c r="C145" s="121"/>
      <c r="D145" s="121"/>
      <c r="E145" s="127"/>
      <c r="F145" s="121"/>
      <c r="G145" s="121"/>
      <c r="H145" s="121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  <c r="AA145" s="121"/>
    </row>
    <row r="146" customFormat="false" ht="15.75" hidden="false" customHeight="false" outlineLevel="0" collapsed="false">
      <c r="A146" s="121" t="str">
        <f aca="false">IF(ISBLANK(B146),"",B146&amp;"|"&amp;C146)</f>
        <v/>
      </c>
      <c r="B146" s="121"/>
      <c r="C146" s="121"/>
      <c r="D146" s="121"/>
      <c r="E146" s="127"/>
      <c r="F146" s="121"/>
      <c r="G146" s="121"/>
      <c r="H146" s="121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  <c r="AA146" s="121"/>
    </row>
    <row r="147" customFormat="false" ht="15.75" hidden="false" customHeight="false" outlineLevel="0" collapsed="false">
      <c r="A147" s="121" t="str">
        <f aca="false">IF(ISBLANK(B147),"",B147&amp;"|"&amp;C147)</f>
        <v/>
      </c>
      <c r="B147" s="121"/>
      <c r="C147" s="121"/>
      <c r="D147" s="121"/>
      <c r="E147" s="127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  <c r="AA147" s="121"/>
    </row>
    <row r="148" customFormat="false" ht="15.75" hidden="false" customHeight="false" outlineLevel="0" collapsed="false">
      <c r="A148" s="121" t="str">
        <f aca="false">IF(ISBLANK(B148),"",B148&amp;"|"&amp;C148)</f>
        <v/>
      </c>
      <c r="B148" s="121"/>
      <c r="C148" s="121"/>
      <c r="D148" s="121"/>
      <c r="E148" s="127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  <c r="AA148" s="121"/>
    </row>
    <row r="149" customFormat="false" ht="15.75" hidden="false" customHeight="false" outlineLevel="0" collapsed="false">
      <c r="A149" s="121" t="str">
        <f aca="false">IF(ISBLANK(B149),"",B149&amp;"|"&amp;C149)</f>
        <v/>
      </c>
      <c r="B149" s="121"/>
      <c r="C149" s="121"/>
      <c r="D149" s="121"/>
      <c r="E149" s="127"/>
      <c r="F149" s="121"/>
      <c r="G149" s="121"/>
      <c r="H149" s="121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  <c r="AA149" s="121"/>
    </row>
    <row r="150" customFormat="false" ht="15.75" hidden="false" customHeight="false" outlineLevel="0" collapsed="false">
      <c r="A150" s="121" t="str">
        <f aca="false">IF(ISBLANK(B150),"",B150&amp;"|"&amp;C150)</f>
        <v/>
      </c>
      <c r="B150" s="121"/>
      <c r="C150" s="121"/>
      <c r="D150" s="121"/>
      <c r="E150" s="127"/>
      <c r="F150" s="121"/>
      <c r="G150" s="121"/>
      <c r="H150" s="121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  <c r="AA150" s="121"/>
    </row>
    <row r="151" customFormat="false" ht="15.75" hidden="false" customHeight="false" outlineLevel="0" collapsed="false">
      <c r="A151" s="121" t="str">
        <f aca="false">IF(ISBLANK(B151),"",B151&amp;"|"&amp;C151)</f>
        <v/>
      </c>
      <c r="B151" s="121"/>
      <c r="C151" s="121"/>
      <c r="D151" s="121"/>
      <c r="E151" s="127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  <c r="AA151" s="121"/>
    </row>
    <row r="152" customFormat="false" ht="15.75" hidden="false" customHeight="false" outlineLevel="0" collapsed="false">
      <c r="A152" s="121" t="str">
        <f aca="false">IF(ISBLANK(B152),"",B152&amp;"|"&amp;C152)</f>
        <v/>
      </c>
      <c r="B152" s="121"/>
      <c r="C152" s="121"/>
      <c r="D152" s="121"/>
      <c r="E152" s="127"/>
      <c r="F152" s="121"/>
      <c r="G152" s="121"/>
      <c r="H152" s="121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  <c r="AA152" s="121"/>
    </row>
    <row r="153" customFormat="false" ht="15.75" hidden="false" customHeight="false" outlineLevel="0" collapsed="false">
      <c r="A153" s="121" t="str">
        <f aca="false">IF(ISBLANK(B153),"",B153&amp;"|"&amp;C153)</f>
        <v/>
      </c>
      <c r="B153" s="121"/>
      <c r="C153" s="121"/>
      <c r="D153" s="121"/>
      <c r="E153" s="127"/>
      <c r="F153" s="121"/>
      <c r="G153" s="121"/>
      <c r="H153" s="121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  <c r="AA153" s="121"/>
    </row>
    <row r="154" customFormat="false" ht="15.75" hidden="false" customHeight="false" outlineLevel="0" collapsed="false">
      <c r="A154" s="121" t="str">
        <f aca="false">IF(ISBLANK(B154),"",B154&amp;"|"&amp;C154)</f>
        <v/>
      </c>
      <c r="B154" s="121"/>
      <c r="C154" s="121"/>
      <c r="D154" s="121"/>
      <c r="E154" s="127"/>
      <c r="F154" s="121"/>
      <c r="G154" s="121"/>
      <c r="H154" s="121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  <c r="AA154" s="121"/>
    </row>
    <row r="155" customFormat="false" ht="15.75" hidden="false" customHeight="false" outlineLevel="0" collapsed="false">
      <c r="A155" s="121" t="str">
        <f aca="false">IF(ISBLANK(B155),"",B155&amp;"|"&amp;C155)</f>
        <v/>
      </c>
      <c r="B155" s="121"/>
      <c r="C155" s="121"/>
      <c r="D155" s="121"/>
      <c r="E155" s="127"/>
      <c r="F155" s="121"/>
      <c r="G155" s="121"/>
      <c r="H155" s="121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  <c r="AA155" s="121"/>
    </row>
    <row r="156" customFormat="false" ht="15.75" hidden="false" customHeight="false" outlineLevel="0" collapsed="false">
      <c r="A156" s="121" t="str">
        <f aca="false">IF(ISBLANK(B156),"",B156&amp;"|"&amp;C156)</f>
        <v/>
      </c>
      <c r="B156" s="121"/>
      <c r="C156" s="121"/>
      <c r="D156" s="121"/>
      <c r="E156" s="127"/>
      <c r="F156" s="121"/>
      <c r="G156" s="121"/>
      <c r="H156" s="121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  <c r="AA156" s="121"/>
    </row>
    <row r="157" customFormat="false" ht="15.75" hidden="false" customHeight="false" outlineLevel="0" collapsed="false">
      <c r="A157" s="121" t="str">
        <f aca="false">IF(ISBLANK(B157),"",B157&amp;"|"&amp;C157)</f>
        <v/>
      </c>
      <c r="B157" s="121"/>
      <c r="C157" s="121"/>
      <c r="D157" s="121"/>
      <c r="E157" s="127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  <c r="AA157" s="121"/>
    </row>
    <row r="158" customFormat="false" ht="15.75" hidden="false" customHeight="false" outlineLevel="0" collapsed="false">
      <c r="A158" s="121" t="str">
        <f aca="false">IF(ISBLANK(B158),"",B158&amp;"|"&amp;C158)</f>
        <v/>
      </c>
      <c r="B158" s="121"/>
      <c r="C158" s="121"/>
      <c r="D158" s="121"/>
      <c r="E158" s="127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  <c r="AA158" s="121"/>
    </row>
    <row r="159" customFormat="false" ht="15.75" hidden="false" customHeight="false" outlineLevel="0" collapsed="false">
      <c r="A159" s="121" t="str">
        <f aca="false">IF(ISBLANK(B159),"",B159&amp;"|"&amp;C159)</f>
        <v/>
      </c>
      <c r="B159" s="121"/>
      <c r="C159" s="121"/>
      <c r="D159" s="121"/>
      <c r="E159" s="127"/>
      <c r="F159" s="121"/>
      <c r="G159" s="121"/>
      <c r="H159" s="121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  <c r="AA159" s="121"/>
    </row>
    <row r="160" customFormat="false" ht="15.75" hidden="false" customHeight="false" outlineLevel="0" collapsed="false">
      <c r="A160" s="121" t="str">
        <f aca="false">IF(ISBLANK(B160),"",B160&amp;"|"&amp;C160)</f>
        <v/>
      </c>
      <c r="B160" s="121"/>
      <c r="C160" s="121"/>
      <c r="D160" s="121"/>
      <c r="E160" s="127"/>
      <c r="F160" s="121"/>
      <c r="G160" s="121"/>
      <c r="H160" s="121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  <c r="AA160" s="121"/>
    </row>
    <row r="161" customFormat="false" ht="15.75" hidden="false" customHeight="false" outlineLevel="0" collapsed="false">
      <c r="A161" s="121" t="str">
        <f aca="false">IF(ISBLANK(B161),"",B161&amp;"|"&amp;C161)</f>
        <v/>
      </c>
      <c r="B161" s="121"/>
      <c r="C161" s="121"/>
      <c r="D161" s="121"/>
      <c r="E161" s="127"/>
      <c r="F161" s="121"/>
      <c r="G161" s="121"/>
      <c r="H161" s="121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  <c r="AA161" s="121"/>
    </row>
    <row r="162" customFormat="false" ht="15.75" hidden="false" customHeight="false" outlineLevel="0" collapsed="false">
      <c r="A162" s="121" t="str">
        <f aca="false">IF(ISBLANK(B162),"",B162&amp;"|"&amp;C162)</f>
        <v/>
      </c>
      <c r="B162" s="121"/>
      <c r="C162" s="121"/>
      <c r="D162" s="121"/>
      <c r="E162" s="127"/>
      <c r="F162" s="121"/>
      <c r="G162" s="121"/>
      <c r="H162" s="121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  <c r="AA162" s="121"/>
    </row>
    <row r="163" customFormat="false" ht="15.75" hidden="false" customHeight="false" outlineLevel="0" collapsed="false">
      <c r="A163" s="121" t="str">
        <f aca="false">IF(ISBLANK(B163),"",B163&amp;"|"&amp;C163)</f>
        <v/>
      </c>
      <c r="B163" s="121"/>
      <c r="C163" s="121"/>
      <c r="D163" s="121"/>
      <c r="E163" s="127"/>
      <c r="F163" s="121"/>
      <c r="G163" s="121"/>
      <c r="H163" s="121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  <c r="AA163" s="121"/>
    </row>
    <row r="164" customFormat="false" ht="15.75" hidden="false" customHeight="false" outlineLevel="0" collapsed="false">
      <c r="A164" s="121" t="str">
        <f aca="false">IF(ISBLANK(B164),"",B164&amp;"|"&amp;C164)</f>
        <v/>
      </c>
      <c r="B164" s="121"/>
      <c r="C164" s="121"/>
      <c r="D164" s="121"/>
      <c r="E164" s="127"/>
      <c r="F164" s="121"/>
      <c r="G164" s="121"/>
      <c r="H164" s="121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  <c r="AA164" s="121"/>
    </row>
    <row r="165" customFormat="false" ht="15.75" hidden="false" customHeight="false" outlineLevel="0" collapsed="false">
      <c r="A165" s="121" t="str">
        <f aca="false">IF(ISBLANK(B165),"",B165&amp;"|"&amp;C165)</f>
        <v/>
      </c>
      <c r="B165" s="121"/>
      <c r="C165" s="121"/>
      <c r="D165" s="121"/>
      <c r="E165" s="127"/>
      <c r="F165" s="121"/>
      <c r="G165" s="121"/>
      <c r="H165" s="121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  <c r="AA165" s="121"/>
    </row>
    <row r="166" customFormat="false" ht="15.75" hidden="false" customHeight="false" outlineLevel="0" collapsed="false">
      <c r="A166" s="121" t="str">
        <f aca="false">IF(ISBLANK(B166),"",B166&amp;"|"&amp;C166)</f>
        <v/>
      </c>
      <c r="B166" s="121"/>
      <c r="C166" s="121"/>
      <c r="D166" s="121"/>
      <c r="E166" s="127"/>
      <c r="F166" s="121"/>
      <c r="G166" s="121"/>
      <c r="H166" s="121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  <c r="AA166" s="121"/>
    </row>
    <row r="167" customFormat="false" ht="15.75" hidden="false" customHeight="false" outlineLevel="0" collapsed="false">
      <c r="A167" s="121" t="str">
        <f aca="false">IF(ISBLANK(B167),"",B167&amp;"|"&amp;C167)</f>
        <v/>
      </c>
      <c r="B167" s="121"/>
      <c r="C167" s="121"/>
      <c r="D167" s="121"/>
      <c r="E167" s="127"/>
      <c r="F167" s="121"/>
      <c r="G167" s="121"/>
      <c r="H167" s="121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  <c r="AA167" s="121"/>
    </row>
    <row r="168" customFormat="false" ht="15.75" hidden="false" customHeight="false" outlineLevel="0" collapsed="false">
      <c r="A168" s="121" t="str">
        <f aca="false">IF(ISBLANK(B168),"",B168&amp;"|"&amp;C168)</f>
        <v/>
      </c>
      <c r="B168" s="121"/>
      <c r="C168" s="121"/>
      <c r="D168" s="121"/>
      <c r="E168" s="127"/>
      <c r="F168" s="121"/>
      <c r="G168" s="121"/>
      <c r="H168" s="121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  <c r="AA168" s="121"/>
    </row>
    <row r="169" customFormat="false" ht="15.75" hidden="false" customHeight="false" outlineLevel="0" collapsed="false">
      <c r="A169" s="121" t="str">
        <f aca="false">IF(ISBLANK(B169),"",B169&amp;"|"&amp;C169)</f>
        <v/>
      </c>
      <c r="B169" s="121"/>
      <c r="C169" s="121"/>
      <c r="D169" s="121"/>
      <c r="E169" s="127"/>
      <c r="F169" s="121"/>
      <c r="G169" s="121"/>
      <c r="H169" s="121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  <c r="AA169" s="121"/>
    </row>
    <row r="170" customFormat="false" ht="15.75" hidden="false" customHeight="false" outlineLevel="0" collapsed="false">
      <c r="A170" s="121" t="str">
        <f aca="false">IF(ISBLANK(B170),"",B170&amp;"|"&amp;C170)</f>
        <v/>
      </c>
      <c r="B170" s="121"/>
      <c r="C170" s="121"/>
      <c r="D170" s="121"/>
      <c r="E170" s="127"/>
      <c r="F170" s="121"/>
      <c r="G170" s="121"/>
      <c r="H170" s="121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  <c r="AA170" s="121"/>
    </row>
    <row r="171" customFormat="false" ht="15.75" hidden="false" customHeight="false" outlineLevel="0" collapsed="false">
      <c r="A171" s="121" t="str">
        <f aca="false">IF(ISBLANK(B171),"",B171&amp;"|"&amp;C171)</f>
        <v/>
      </c>
      <c r="B171" s="121"/>
      <c r="C171" s="121"/>
      <c r="D171" s="121"/>
      <c r="E171" s="127"/>
      <c r="F171" s="121"/>
      <c r="G171" s="121"/>
      <c r="H171" s="121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  <c r="AA171" s="121"/>
    </row>
    <row r="172" customFormat="false" ht="15.75" hidden="false" customHeight="false" outlineLevel="0" collapsed="false">
      <c r="A172" s="121" t="str">
        <f aca="false">IF(ISBLANK(B172),"",B172&amp;"|"&amp;C172)</f>
        <v/>
      </c>
      <c r="B172" s="121"/>
      <c r="C172" s="121"/>
      <c r="D172" s="121"/>
      <c r="E172" s="127"/>
      <c r="F172" s="121"/>
      <c r="G172" s="121"/>
      <c r="H172" s="121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  <c r="AA172" s="121"/>
    </row>
    <row r="173" customFormat="false" ht="15.75" hidden="false" customHeight="false" outlineLevel="0" collapsed="false">
      <c r="A173" s="121" t="str">
        <f aca="false">IF(ISBLANK(B173),"",B173&amp;"|"&amp;C173)</f>
        <v/>
      </c>
      <c r="B173" s="121"/>
      <c r="C173" s="121"/>
      <c r="D173" s="121"/>
      <c r="E173" s="127"/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  <c r="AA173" s="121"/>
    </row>
    <row r="174" customFormat="false" ht="15.75" hidden="false" customHeight="false" outlineLevel="0" collapsed="false">
      <c r="A174" s="121" t="str">
        <f aca="false">IF(ISBLANK(B174),"",B174&amp;"|"&amp;C174)</f>
        <v/>
      </c>
      <c r="B174" s="121"/>
      <c r="C174" s="121"/>
      <c r="D174" s="121"/>
      <c r="E174" s="127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  <c r="AA174" s="121"/>
    </row>
    <row r="175" customFormat="false" ht="15.75" hidden="false" customHeight="false" outlineLevel="0" collapsed="false">
      <c r="A175" s="121" t="str">
        <f aca="false">IF(ISBLANK(B175),"",B175&amp;"|"&amp;C175)</f>
        <v/>
      </c>
      <c r="B175" s="121"/>
      <c r="C175" s="121"/>
      <c r="D175" s="121"/>
      <c r="E175" s="127"/>
      <c r="F175" s="121"/>
      <c r="G175" s="121"/>
      <c r="H175" s="121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  <c r="AA175" s="121"/>
    </row>
    <row r="176" customFormat="false" ht="15.75" hidden="false" customHeight="false" outlineLevel="0" collapsed="false">
      <c r="A176" s="121" t="str">
        <f aca="false">IF(ISBLANK(B176),"",B176&amp;"|"&amp;C176)</f>
        <v/>
      </c>
      <c r="B176" s="121"/>
      <c r="C176" s="121"/>
      <c r="D176" s="121"/>
      <c r="E176" s="127"/>
      <c r="F176" s="121"/>
      <c r="G176" s="121"/>
      <c r="H176" s="121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  <c r="AA176" s="121"/>
    </row>
    <row r="177" customFormat="false" ht="15.75" hidden="false" customHeight="false" outlineLevel="0" collapsed="false">
      <c r="A177" s="121" t="str">
        <f aca="false">IF(ISBLANK(B177),"",B177&amp;"|"&amp;C177)</f>
        <v/>
      </c>
      <c r="B177" s="121"/>
      <c r="C177" s="121"/>
      <c r="D177" s="121"/>
      <c r="E177" s="127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  <c r="AA177" s="121"/>
    </row>
    <row r="178" customFormat="false" ht="15.75" hidden="false" customHeight="false" outlineLevel="0" collapsed="false">
      <c r="A178" s="121" t="str">
        <f aca="false">IF(ISBLANK(B178),"",B178&amp;"|"&amp;C178)</f>
        <v/>
      </c>
      <c r="B178" s="121"/>
      <c r="C178" s="121"/>
      <c r="D178" s="121"/>
      <c r="E178" s="127"/>
      <c r="F178" s="121"/>
      <c r="G178" s="121"/>
      <c r="H178" s="121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  <c r="AA178" s="121"/>
    </row>
    <row r="179" customFormat="false" ht="15.75" hidden="false" customHeight="false" outlineLevel="0" collapsed="false">
      <c r="A179" s="121" t="str">
        <f aca="false">IF(ISBLANK(B179),"",B179&amp;"|"&amp;C179)</f>
        <v/>
      </c>
      <c r="B179" s="121"/>
      <c r="C179" s="121"/>
      <c r="D179" s="121"/>
      <c r="E179" s="127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  <c r="AA179" s="121"/>
    </row>
    <row r="180" customFormat="false" ht="15.75" hidden="false" customHeight="false" outlineLevel="0" collapsed="false">
      <c r="A180" s="121" t="str">
        <f aca="false">IF(ISBLANK(B180),"",B180&amp;"|"&amp;C180)</f>
        <v/>
      </c>
      <c r="B180" s="121"/>
      <c r="C180" s="121"/>
      <c r="D180" s="121"/>
      <c r="E180" s="127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  <c r="AA180" s="121"/>
    </row>
    <row r="181" customFormat="false" ht="15.75" hidden="false" customHeight="false" outlineLevel="0" collapsed="false">
      <c r="A181" s="121" t="str">
        <f aca="false">IF(ISBLANK(B181),"",B181&amp;"|"&amp;C181)</f>
        <v/>
      </c>
      <c r="B181" s="121"/>
      <c r="C181" s="121"/>
      <c r="D181" s="121"/>
      <c r="E181" s="127"/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  <c r="AA181" s="121"/>
    </row>
    <row r="182" customFormat="false" ht="15.75" hidden="false" customHeight="false" outlineLevel="0" collapsed="false">
      <c r="A182" s="121" t="str">
        <f aca="false">IF(ISBLANK(B182),"",B182&amp;"|"&amp;C182)</f>
        <v/>
      </c>
      <c r="B182" s="121"/>
      <c r="C182" s="121"/>
      <c r="D182" s="121"/>
      <c r="E182" s="127"/>
      <c r="F182" s="121"/>
      <c r="G182" s="121"/>
      <c r="H182" s="121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  <c r="AA182" s="121"/>
    </row>
    <row r="183" customFormat="false" ht="15.75" hidden="false" customHeight="false" outlineLevel="0" collapsed="false">
      <c r="A183" s="121" t="str">
        <f aca="false">IF(ISBLANK(B183),"",B183&amp;"|"&amp;C183)</f>
        <v/>
      </c>
      <c r="B183" s="121"/>
      <c r="C183" s="121"/>
      <c r="D183" s="121"/>
      <c r="E183" s="127"/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  <c r="AA183" s="121"/>
    </row>
    <row r="184" customFormat="false" ht="15.75" hidden="false" customHeight="false" outlineLevel="0" collapsed="false">
      <c r="A184" s="121" t="str">
        <f aca="false">IF(ISBLANK(B184),"",B184&amp;"|"&amp;C184)</f>
        <v/>
      </c>
      <c r="B184" s="121"/>
      <c r="C184" s="121"/>
      <c r="D184" s="121"/>
      <c r="E184" s="127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  <c r="AA184" s="121"/>
    </row>
    <row r="185" customFormat="false" ht="15.75" hidden="false" customHeight="false" outlineLevel="0" collapsed="false">
      <c r="A185" s="121" t="str">
        <f aca="false">IF(ISBLANK(B185),"",B185&amp;"|"&amp;C185)</f>
        <v/>
      </c>
      <c r="B185" s="121"/>
      <c r="C185" s="121"/>
      <c r="D185" s="121"/>
      <c r="E185" s="127"/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  <c r="AA185" s="121"/>
    </row>
    <row r="186" customFormat="false" ht="15.75" hidden="false" customHeight="false" outlineLevel="0" collapsed="false">
      <c r="A186" s="121" t="str">
        <f aca="false">IF(ISBLANK(B186),"",B186&amp;"|"&amp;C186)</f>
        <v/>
      </c>
      <c r="B186" s="121"/>
      <c r="C186" s="121"/>
      <c r="D186" s="121"/>
      <c r="E186" s="127"/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  <c r="AA186" s="121"/>
    </row>
    <row r="187" customFormat="false" ht="15.75" hidden="false" customHeight="false" outlineLevel="0" collapsed="false">
      <c r="A187" s="121" t="str">
        <f aca="false">IF(ISBLANK(B187),"",B187&amp;"|"&amp;C187)</f>
        <v/>
      </c>
      <c r="B187" s="121"/>
      <c r="C187" s="121"/>
      <c r="D187" s="121"/>
      <c r="E187" s="127"/>
      <c r="F187" s="121"/>
      <c r="G187" s="121"/>
      <c r="H187" s="121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  <c r="AA187" s="121"/>
    </row>
    <row r="188" customFormat="false" ht="15.75" hidden="false" customHeight="false" outlineLevel="0" collapsed="false">
      <c r="A188" s="121" t="str">
        <f aca="false">IF(ISBLANK(B188),"",B188&amp;"|"&amp;C188)</f>
        <v/>
      </c>
      <c r="B188" s="121"/>
      <c r="C188" s="121"/>
      <c r="D188" s="121"/>
      <c r="E188" s="127"/>
      <c r="F188" s="121"/>
      <c r="G188" s="121"/>
      <c r="H188" s="121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  <c r="AA188" s="121"/>
    </row>
    <row r="189" customFormat="false" ht="15.75" hidden="false" customHeight="false" outlineLevel="0" collapsed="false">
      <c r="A189" s="121" t="str">
        <f aca="false">IF(ISBLANK(B189),"",B189&amp;"|"&amp;C189)</f>
        <v/>
      </c>
      <c r="B189" s="121"/>
      <c r="C189" s="121"/>
      <c r="D189" s="121"/>
      <c r="E189" s="127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  <c r="AA189" s="121"/>
    </row>
    <row r="190" customFormat="false" ht="15.75" hidden="false" customHeight="false" outlineLevel="0" collapsed="false">
      <c r="A190" s="121" t="str">
        <f aca="false">IF(ISBLANK(B190),"",B190&amp;"|"&amp;C190)</f>
        <v/>
      </c>
      <c r="B190" s="121"/>
      <c r="C190" s="121"/>
      <c r="D190" s="121"/>
      <c r="E190" s="127"/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  <c r="AA190" s="121"/>
    </row>
    <row r="191" customFormat="false" ht="15.75" hidden="false" customHeight="false" outlineLevel="0" collapsed="false">
      <c r="A191" s="121" t="str">
        <f aca="false">IF(ISBLANK(B191),"",B191&amp;"|"&amp;C191)</f>
        <v/>
      </c>
      <c r="B191" s="121"/>
      <c r="C191" s="121"/>
      <c r="D191" s="121"/>
      <c r="E191" s="127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  <c r="AA191" s="121"/>
    </row>
    <row r="192" customFormat="false" ht="15.75" hidden="false" customHeight="false" outlineLevel="0" collapsed="false">
      <c r="A192" s="121" t="str">
        <f aca="false">IF(ISBLANK(B192),"",B192&amp;"|"&amp;C192)</f>
        <v/>
      </c>
      <c r="B192" s="121"/>
      <c r="C192" s="121"/>
      <c r="D192" s="121"/>
      <c r="E192" s="127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  <c r="AA192" s="121"/>
    </row>
    <row r="193" customFormat="false" ht="15.75" hidden="false" customHeight="false" outlineLevel="0" collapsed="false">
      <c r="A193" s="121" t="str">
        <f aca="false">IF(ISBLANK(B193),"",B193&amp;"|"&amp;C193)</f>
        <v/>
      </c>
      <c r="B193" s="121"/>
      <c r="C193" s="121"/>
      <c r="D193" s="121"/>
      <c r="E193" s="127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  <c r="AA193" s="121"/>
    </row>
    <row r="194" customFormat="false" ht="15.75" hidden="false" customHeight="false" outlineLevel="0" collapsed="false">
      <c r="A194" s="121" t="str">
        <f aca="false">IF(ISBLANK(B194),"",B194&amp;"|"&amp;C194)</f>
        <v/>
      </c>
      <c r="B194" s="121"/>
      <c r="C194" s="121"/>
      <c r="D194" s="121"/>
      <c r="E194" s="127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  <c r="AA194" s="121"/>
    </row>
    <row r="195" customFormat="false" ht="15.75" hidden="false" customHeight="false" outlineLevel="0" collapsed="false">
      <c r="A195" s="121" t="str">
        <f aca="false">IF(ISBLANK(B195),"",B195&amp;"|"&amp;C195)</f>
        <v/>
      </c>
      <c r="B195" s="121"/>
      <c r="C195" s="121"/>
      <c r="D195" s="121"/>
      <c r="E195" s="127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  <c r="AA195" s="121"/>
    </row>
    <row r="196" customFormat="false" ht="15.75" hidden="false" customHeight="false" outlineLevel="0" collapsed="false">
      <c r="A196" s="121" t="str">
        <f aca="false">IF(ISBLANK(B196),"",B196&amp;"|"&amp;C196)</f>
        <v/>
      </c>
      <c r="B196" s="121"/>
      <c r="C196" s="121"/>
      <c r="D196" s="121"/>
      <c r="E196" s="127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  <c r="AA196" s="121"/>
    </row>
    <row r="197" customFormat="false" ht="15.75" hidden="false" customHeight="false" outlineLevel="0" collapsed="false">
      <c r="A197" s="121" t="str">
        <f aca="false">IF(ISBLANK(B197),"",B197&amp;"|"&amp;C197)</f>
        <v/>
      </c>
      <c r="B197" s="121"/>
      <c r="C197" s="121"/>
      <c r="D197" s="121"/>
      <c r="E197" s="127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  <c r="AA197" s="121"/>
    </row>
    <row r="198" customFormat="false" ht="15.75" hidden="false" customHeight="false" outlineLevel="0" collapsed="false">
      <c r="A198" s="121" t="str">
        <f aca="false">IF(ISBLANK(B198),"",B198&amp;"|"&amp;C198)</f>
        <v/>
      </c>
      <c r="B198" s="121"/>
      <c r="C198" s="121"/>
      <c r="D198" s="121"/>
      <c r="E198" s="127"/>
      <c r="F198" s="121"/>
      <c r="G198" s="121"/>
      <c r="H198" s="121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  <c r="AA198" s="121"/>
    </row>
    <row r="199" customFormat="false" ht="15.75" hidden="false" customHeight="false" outlineLevel="0" collapsed="false">
      <c r="A199" s="121" t="str">
        <f aca="false">IF(ISBLANK(B199),"",B199&amp;"|"&amp;C199)</f>
        <v/>
      </c>
      <c r="B199" s="121"/>
      <c r="C199" s="121"/>
      <c r="D199" s="121"/>
      <c r="E199" s="127"/>
      <c r="F199" s="121"/>
      <c r="G199" s="121"/>
      <c r="H199" s="121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  <c r="AA199" s="121"/>
    </row>
    <row r="200" customFormat="false" ht="15.75" hidden="false" customHeight="false" outlineLevel="0" collapsed="false">
      <c r="A200" s="121" t="str">
        <f aca="false">IF(ISBLANK(B200),"",B200&amp;"|"&amp;C200)</f>
        <v/>
      </c>
      <c r="B200" s="121"/>
      <c r="C200" s="121"/>
      <c r="D200" s="121"/>
      <c r="E200" s="127"/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  <c r="AA200" s="121"/>
    </row>
    <row r="201" customFormat="false" ht="15.75" hidden="false" customHeight="false" outlineLevel="0" collapsed="false">
      <c r="A201" s="121" t="str">
        <f aca="false">IF(ISBLANK(B201),"",B201&amp;"|"&amp;C201)</f>
        <v/>
      </c>
      <c r="B201" s="121"/>
      <c r="C201" s="121"/>
      <c r="D201" s="121"/>
      <c r="E201" s="127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  <c r="AA201" s="121"/>
    </row>
    <row r="202" customFormat="false" ht="15.75" hidden="false" customHeight="false" outlineLevel="0" collapsed="false">
      <c r="A202" s="121" t="str">
        <f aca="false">IF(ISBLANK(B202),"",B202&amp;"|"&amp;C202)</f>
        <v/>
      </c>
      <c r="B202" s="121"/>
      <c r="C202" s="121"/>
      <c r="D202" s="121"/>
      <c r="E202" s="127"/>
      <c r="F202" s="121"/>
      <c r="G202" s="121"/>
      <c r="H202" s="121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  <c r="AA202" s="121"/>
    </row>
    <row r="203" customFormat="false" ht="15.75" hidden="false" customHeight="false" outlineLevel="0" collapsed="false">
      <c r="A203" s="121" t="str">
        <f aca="false">IF(ISBLANK(B203),"",B203&amp;"|"&amp;C203)</f>
        <v/>
      </c>
      <c r="B203" s="121"/>
      <c r="C203" s="121"/>
      <c r="D203" s="121"/>
      <c r="E203" s="127"/>
      <c r="F203" s="121"/>
      <c r="G203" s="121"/>
      <c r="H203" s="121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  <c r="AA203" s="121"/>
    </row>
    <row r="204" customFormat="false" ht="15.75" hidden="false" customHeight="false" outlineLevel="0" collapsed="false">
      <c r="A204" s="121" t="str">
        <f aca="false">IF(ISBLANK(B204),"",B204&amp;"|"&amp;C204)</f>
        <v/>
      </c>
      <c r="B204" s="121"/>
      <c r="C204" s="121"/>
      <c r="D204" s="121"/>
      <c r="E204" s="127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  <c r="AA204" s="121"/>
    </row>
    <row r="205" customFormat="false" ht="15.75" hidden="false" customHeight="false" outlineLevel="0" collapsed="false">
      <c r="A205" s="121" t="str">
        <f aca="false">IF(ISBLANK(B205),"",B205&amp;"|"&amp;C205)</f>
        <v/>
      </c>
      <c r="B205" s="121"/>
      <c r="C205" s="121"/>
      <c r="D205" s="121"/>
      <c r="E205" s="127"/>
      <c r="F205" s="121"/>
      <c r="G205" s="121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  <c r="AA205" s="121"/>
    </row>
    <row r="206" customFormat="false" ht="15.75" hidden="false" customHeight="false" outlineLevel="0" collapsed="false">
      <c r="A206" s="121" t="str">
        <f aca="false">IF(ISBLANK(B206),"",B206&amp;"|"&amp;C206)</f>
        <v/>
      </c>
      <c r="B206" s="121"/>
      <c r="C206" s="121"/>
      <c r="D206" s="121"/>
      <c r="E206" s="127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  <c r="AA206" s="121"/>
    </row>
    <row r="207" customFormat="false" ht="15.75" hidden="false" customHeight="false" outlineLevel="0" collapsed="false">
      <c r="A207" s="121" t="str">
        <f aca="false">IF(ISBLANK(B207),"",B207&amp;"|"&amp;C207)</f>
        <v/>
      </c>
      <c r="B207" s="121"/>
      <c r="C207" s="121"/>
      <c r="D207" s="121"/>
      <c r="E207" s="127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  <c r="AA207" s="121"/>
    </row>
    <row r="208" customFormat="false" ht="15.75" hidden="false" customHeight="false" outlineLevel="0" collapsed="false">
      <c r="A208" s="121" t="str">
        <f aca="false">IF(ISBLANK(B208),"",B208&amp;"|"&amp;C208)</f>
        <v/>
      </c>
      <c r="B208" s="121"/>
      <c r="C208" s="121"/>
      <c r="D208" s="121"/>
      <c r="E208" s="127"/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  <c r="AA208" s="121"/>
    </row>
    <row r="209" customFormat="false" ht="15.75" hidden="false" customHeight="false" outlineLevel="0" collapsed="false">
      <c r="A209" s="121" t="str">
        <f aca="false">IF(ISBLANK(B209),"",B209&amp;"|"&amp;C209)</f>
        <v/>
      </c>
      <c r="B209" s="121"/>
      <c r="C209" s="121"/>
      <c r="D209" s="121"/>
      <c r="E209" s="127"/>
      <c r="F209" s="121"/>
      <c r="G209" s="121"/>
      <c r="H209" s="121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  <c r="AA209" s="121"/>
    </row>
    <row r="210" customFormat="false" ht="15.75" hidden="false" customHeight="false" outlineLevel="0" collapsed="false">
      <c r="A210" s="121" t="str">
        <f aca="false">IF(ISBLANK(B210),"",B210&amp;"|"&amp;C210)</f>
        <v/>
      </c>
      <c r="B210" s="121"/>
      <c r="C210" s="121"/>
      <c r="D210" s="121"/>
      <c r="E210" s="127"/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  <c r="AA210" s="121"/>
    </row>
    <row r="211" customFormat="false" ht="15.75" hidden="false" customHeight="false" outlineLevel="0" collapsed="false">
      <c r="A211" s="121" t="str">
        <f aca="false">IF(ISBLANK(B211),"",B211&amp;"|"&amp;C211)</f>
        <v/>
      </c>
      <c r="B211" s="121"/>
      <c r="C211" s="121"/>
      <c r="D211" s="121"/>
      <c r="E211" s="127"/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  <c r="AA211" s="121"/>
    </row>
    <row r="212" customFormat="false" ht="15.75" hidden="false" customHeight="false" outlineLevel="0" collapsed="false">
      <c r="A212" s="121" t="str">
        <f aca="false">IF(ISBLANK(B212),"",B212&amp;"|"&amp;C212)</f>
        <v/>
      </c>
      <c r="B212" s="121"/>
      <c r="C212" s="121"/>
      <c r="D212" s="121"/>
      <c r="E212" s="127"/>
      <c r="F212" s="121"/>
      <c r="G212" s="121"/>
      <c r="H212" s="121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  <c r="AA212" s="121"/>
    </row>
    <row r="213" customFormat="false" ht="15.75" hidden="false" customHeight="false" outlineLevel="0" collapsed="false">
      <c r="A213" s="121" t="str">
        <f aca="false">IF(ISBLANK(B213),"",B213&amp;"|"&amp;C213)</f>
        <v/>
      </c>
      <c r="B213" s="121"/>
      <c r="C213" s="121"/>
      <c r="D213" s="121"/>
      <c r="E213" s="127"/>
      <c r="F213" s="121"/>
      <c r="G213" s="121"/>
      <c r="H213" s="121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  <c r="AA213" s="121"/>
    </row>
    <row r="214" customFormat="false" ht="15.75" hidden="false" customHeight="false" outlineLevel="0" collapsed="false">
      <c r="A214" s="121" t="str">
        <f aca="false">IF(ISBLANK(B214),"",B214&amp;"|"&amp;C214)</f>
        <v/>
      </c>
      <c r="B214" s="121"/>
      <c r="C214" s="121"/>
      <c r="D214" s="121"/>
      <c r="E214" s="127"/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  <c r="AA214" s="121"/>
    </row>
    <row r="215" customFormat="false" ht="15.75" hidden="false" customHeight="false" outlineLevel="0" collapsed="false">
      <c r="A215" s="121" t="str">
        <f aca="false">IF(ISBLANK(B215),"",B215&amp;"|"&amp;C215)</f>
        <v/>
      </c>
      <c r="B215" s="121"/>
      <c r="C215" s="121"/>
      <c r="D215" s="121"/>
      <c r="E215" s="127"/>
      <c r="F215" s="121"/>
      <c r="G215" s="121"/>
      <c r="H215" s="121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  <c r="AA215" s="121"/>
    </row>
    <row r="216" customFormat="false" ht="15.75" hidden="false" customHeight="false" outlineLevel="0" collapsed="false">
      <c r="A216" s="121" t="str">
        <f aca="false">IF(ISBLANK(B216),"",B216&amp;"|"&amp;C216)</f>
        <v/>
      </c>
      <c r="B216" s="121"/>
      <c r="C216" s="121"/>
      <c r="D216" s="121"/>
      <c r="E216" s="127"/>
      <c r="F216" s="121"/>
      <c r="G216" s="121"/>
      <c r="H216" s="121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  <c r="AA216" s="121"/>
    </row>
    <row r="217" customFormat="false" ht="15.75" hidden="false" customHeight="false" outlineLevel="0" collapsed="false">
      <c r="A217" s="121" t="str">
        <f aca="false">IF(ISBLANK(B217),"",B217&amp;"|"&amp;C217)</f>
        <v/>
      </c>
      <c r="B217" s="121"/>
      <c r="C217" s="121"/>
      <c r="D217" s="121"/>
      <c r="E217" s="127"/>
      <c r="F217" s="121"/>
      <c r="G217" s="121"/>
      <c r="H217" s="121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  <c r="AA217" s="121"/>
    </row>
    <row r="218" customFormat="false" ht="15.75" hidden="false" customHeight="false" outlineLevel="0" collapsed="false">
      <c r="A218" s="121" t="str">
        <f aca="false">IF(ISBLANK(B218),"",B218&amp;"|"&amp;C218)</f>
        <v/>
      </c>
      <c r="B218" s="121"/>
      <c r="C218" s="121"/>
      <c r="D218" s="121"/>
      <c r="E218" s="127"/>
      <c r="F218" s="121"/>
      <c r="G218" s="121"/>
      <c r="H218" s="121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  <c r="AA218" s="121"/>
    </row>
    <row r="219" customFormat="false" ht="15.75" hidden="false" customHeight="false" outlineLevel="0" collapsed="false">
      <c r="A219" s="121" t="str">
        <f aca="false">IF(ISBLANK(B219),"",B219&amp;"|"&amp;C219)</f>
        <v/>
      </c>
      <c r="B219" s="121"/>
      <c r="C219" s="121"/>
      <c r="D219" s="121"/>
      <c r="E219" s="127"/>
      <c r="F219" s="121"/>
      <c r="G219" s="121"/>
      <c r="H219" s="121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  <c r="AA219" s="121"/>
    </row>
    <row r="220" customFormat="false" ht="15.75" hidden="false" customHeight="false" outlineLevel="0" collapsed="false">
      <c r="A220" s="121" t="str">
        <f aca="false">IF(ISBLANK(B220),"",B220&amp;"|"&amp;C220)</f>
        <v/>
      </c>
      <c r="B220" s="121"/>
      <c r="C220" s="121"/>
      <c r="D220" s="121"/>
      <c r="E220" s="127"/>
      <c r="F220" s="121"/>
      <c r="G220" s="121"/>
      <c r="H220" s="121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21"/>
      <c r="T220" s="121"/>
      <c r="U220" s="121"/>
      <c r="V220" s="121"/>
      <c r="W220" s="121"/>
      <c r="X220" s="121"/>
      <c r="Y220" s="121"/>
      <c r="Z220" s="121"/>
      <c r="AA220" s="121"/>
    </row>
    <row r="221" customFormat="false" ht="15.75" hidden="false" customHeight="false" outlineLevel="0" collapsed="false">
      <c r="A221" s="121" t="str">
        <f aca="false">IF(ISBLANK(B221),"",B221&amp;"|"&amp;C221)</f>
        <v/>
      </c>
      <c r="B221" s="121"/>
      <c r="C221" s="121"/>
      <c r="D221" s="121"/>
      <c r="E221" s="127"/>
      <c r="F221" s="121"/>
      <c r="G221" s="121"/>
      <c r="H221" s="121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21"/>
      <c r="T221" s="121"/>
      <c r="U221" s="121"/>
      <c r="V221" s="121"/>
      <c r="W221" s="121"/>
      <c r="X221" s="121"/>
      <c r="Y221" s="121"/>
      <c r="Z221" s="121"/>
      <c r="AA221" s="121"/>
    </row>
    <row r="222" customFormat="false" ht="15.75" hidden="false" customHeight="false" outlineLevel="0" collapsed="false">
      <c r="A222" s="121" t="str">
        <f aca="false">IF(ISBLANK(B222),"",B222&amp;"|"&amp;C222)</f>
        <v/>
      </c>
      <c r="B222" s="121"/>
      <c r="C222" s="121"/>
      <c r="D222" s="121"/>
      <c r="E222" s="127"/>
      <c r="F222" s="121"/>
      <c r="G222" s="121"/>
      <c r="H222" s="121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21"/>
      <c r="T222" s="121"/>
      <c r="U222" s="121"/>
      <c r="V222" s="121"/>
      <c r="W222" s="121"/>
      <c r="X222" s="121"/>
      <c r="Y222" s="121"/>
      <c r="Z222" s="121"/>
      <c r="AA222" s="121"/>
    </row>
    <row r="223" customFormat="false" ht="15.75" hidden="false" customHeight="false" outlineLevel="0" collapsed="false">
      <c r="A223" s="121" t="str">
        <f aca="false">IF(ISBLANK(B223),"",B223&amp;"|"&amp;C223)</f>
        <v/>
      </c>
      <c r="B223" s="121"/>
      <c r="C223" s="121"/>
      <c r="D223" s="121"/>
      <c r="E223" s="127"/>
      <c r="F223" s="121"/>
      <c r="G223" s="121"/>
      <c r="H223" s="121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21"/>
      <c r="T223" s="121"/>
      <c r="U223" s="121"/>
      <c r="V223" s="121"/>
      <c r="W223" s="121"/>
      <c r="X223" s="121"/>
      <c r="Y223" s="121"/>
      <c r="Z223" s="121"/>
      <c r="AA223" s="121"/>
    </row>
    <row r="224" customFormat="false" ht="15.75" hidden="false" customHeight="false" outlineLevel="0" collapsed="false">
      <c r="A224" s="121" t="str">
        <f aca="false">IF(ISBLANK(B224),"",B224&amp;"|"&amp;C224)</f>
        <v/>
      </c>
      <c r="B224" s="121"/>
      <c r="C224" s="121"/>
      <c r="D224" s="121"/>
      <c r="E224" s="127"/>
      <c r="F224" s="121"/>
      <c r="G224" s="121"/>
      <c r="H224" s="121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  <c r="AA224" s="121"/>
    </row>
    <row r="225" customFormat="false" ht="15.75" hidden="false" customHeight="false" outlineLevel="0" collapsed="false">
      <c r="A225" s="121" t="str">
        <f aca="false">IF(ISBLANK(B225),"",B225&amp;"|"&amp;C225)</f>
        <v/>
      </c>
      <c r="B225" s="121"/>
      <c r="C225" s="121"/>
      <c r="D225" s="121"/>
      <c r="E225" s="127"/>
      <c r="F225" s="121"/>
      <c r="G225" s="121"/>
      <c r="H225" s="121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  <c r="AA225" s="121"/>
    </row>
    <row r="226" customFormat="false" ht="15.75" hidden="false" customHeight="false" outlineLevel="0" collapsed="false">
      <c r="A226" s="121" t="str">
        <f aca="false">IF(ISBLANK(B226),"",B226&amp;"|"&amp;C226)</f>
        <v/>
      </c>
      <c r="B226" s="121"/>
      <c r="C226" s="121"/>
      <c r="D226" s="121"/>
      <c r="E226" s="127"/>
      <c r="F226" s="121"/>
      <c r="G226" s="121"/>
      <c r="H226" s="121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  <c r="AA226" s="121"/>
    </row>
    <row r="227" customFormat="false" ht="15.75" hidden="false" customHeight="false" outlineLevel="0" collapsed="false">
      <c r="A227" s="121" t="str">
        <f aca="false">IF(ISBLANK(B227),"",B227&amp;"|"&amp;C227)</f>
        <v/>
      </c>
      <c r="B227" s="121"/>
      <c r="C227" s="121"/>
      <c r="D227" s="121"/>
      <c r="E227" s="127"/>
      <c r="F227" s="121"/>
      <c r="G227" s="121"/>
      <c r="H227" s="121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  <c r="AA227" s="121"/>
    </row>
    <row r="228" customFormat="false" ht="15.75" hidden="false" customHeight="false" outlineLevel="0" collapsed="false">
      <c r="A228" s="121" t="str">
        <f aca="false">IF(ISBLANK(B228),"",B228&amp;"|"&amp;C228)</f>
        <v/>
      </c>
      <c r="B228" s="121"/>
      <c r="C228" s="121"/>
      <c r="D228" s="121"/>
      <c r="E228" s="127"/>
      <c r="F228" s="121"/>
      <c r="G228" s="121"/>
      <c r="H228" s="121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  <c r="AA228" s="121"/>
    </row>
    <row r="229" customFormat="false" ht="15.75" hidden="false" customHeight="false" outlineLevel="0" collapsed="false">
      <c r="A229" s="121" t="str">
        <f aca="false">IF(ISBLANK(B229),"",B229&amp;"|"&amp;C229)</f>
        <v/>
      </c>
      <c r="B229" s="121"/>
      <c r="C229" s="121"/>
      <c r="D229" s="121"/>
      <c r="E229" s="127"/>
      <c r="F229" s="121"/>
      <c r="G229" s="121"/>
      <c r="H229" s="121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  <c r="AA229" s="121"/>
    </row>
    <row r="230" customFormat="false" ht="15.75" hidden="false" customHeight="false" outlineLevel="0" collapsed="false">
      <c r="A230" s="121" t="str">
        <f aca="false">IF(ISBLANK(B230),"",B230&amp;"|"&amp;C230)</f>
        <v/>
      </c>
      <c r="B230" s="121"/>
      <c r="C230" s="121"/>
      <c r="D230" s="121"/>
      <c r="E230" s="127"/>
      <c r="F230" s="121"/>
      <c r="G230" s="121"/>
      <c r="H230" s="121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  <c r="AA230" s="121"/>
    </row>
    <row r="231" customFormat="false" ht="15.75" hidden="false" customHeight="false" outlineLevel="0" collapsed="false">
      <c r="A231" s="121" t="str">
        <f aca="false">IF(ISBLANK(B231),"",B231&amp;"|"&amp;C231)</f>
        <v/>
      </c>
      <c r="B231" s="121"/>
      <c r="C231" s="121"/>
      <c r="D231" s="121"/>
      <c r="E231" s="127"/>
      <c r="F231" s="121"/>
      <c r="G231" s="121"/>
      <c r="H231" s="121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21"/>
      <c r="T231" s="121"/>
      <c r="U231" s="121"/>
      <c r="V231" s="121"/>
      <c r="W231" s="121"/>
      <c r="X231" s="121"/>
      <c r="Y231" s="121"/>
      <c r="Z231" s="121"/>
      <c r="AA231" s="121"/>
    </row>
    <row r="232" customFormat="false" ht="15.75" hidden="false" customHeight="false" outlineLevel="0" collapsed="false">
      <c r="A232" s="121" t="str">
        <f aca="false">IF(ISBLANK(B232),"",B232&amp;"|"&amp;C232)</f>
        <v/>
      </c>
      <c r="B232" s="121"/>
      <c r="C232" s="121"/>
      <c r="D232" s="121"/>
      <c r="E232" s="127"/>
      <c r="F232" s="121"/>
      <c r="G232" s="121"/>
      <c r="H232" s="121"/>
      <c r="I232" s="121"/>
      <c r="J232" s="121"/>
      <c r="K232" s="121"/>
      <c r="L232" s="121"/>
      <c r="M232" s="121"/>
      <c r="N232" s="121"/>
      <c r="O232" s="121"/>
      <c r="P232" s="121"/>
      <c r="Q232" s="121"/>
      <c r="R232" s="121"/>
      <c r="S232" s="121"/>
      <c r="T232" s="121"/>
      <c r="U232" s="121"/>
      <c r="V232" s="121"/>
      <c r="W232" s="121"/>
      <c r="X232" s="121"/>
      <c r="Y232" s="121"/>
      <c r="Z232" s="121"/>
      <c r="AA232" s="121"/>
    </row>
    <row r="233" customFormat="false" ht="15.75" hidden="false" customHeight="false" outlineLevel="0" collapsed="false">
      <c r="A233" s="121" t="str">
        <f aca="false">IF(ISBLANK(B233),"",B233&amp;"|"&amp;C233)</f>
        <v/>
      </c>
      <c r="B233" s="121"/>
      <c r="C233" s="121"/>
      <c r="D233" s="121"/>
      <c r="E233" s="127"/>
      <c r="F233" s="121"/>
      <c r="G233" s="121"/>
      <c r="H233" s="121"/>
      <c r="I233" s="121"/>
      <c r="J233" s="121"/>
      <c r="K233" s="121"/>
      <c r="L233" s="121"/>
      <c r="M233" s="121"/>
      <c r="N233" s="121"/>
      <c r="O233" s="121"/>
      <c r="P233" s="121"/>
      <c r="Q233" s="121"/>
      <c r="R233" s="121"/>
      <c r="S233" s="121"/>
      <c r="T233" s="121"/>
      <c r="U233" s="121"/>
      <c r="V233" s="121"/>
      <c r="W233" s="121"/>
      <c r="X233" s="121"/>
      <c r="Y233" s="121"/>
      <c r="Z233" s="121"/>
      <c r="AA233" s="121"/>
    </row>
    <row r="234" customFormat="false" ht="15.75" hidden="false" customHeight="false" outlineLevel="0" collapsed="false">
      <c r="A234" s="121" t="str">
        <f aca="false">IF(ISBLANK(B234),"",B234&amp;"|"&amp;C234)</f>
        <v/>
      </c>
      <c r="B234" s="121"/>
      <c r="C234" s="121"/>
      <c r="D234" s="121"/>
      <c r="E234" s="127"/>
      <c r="F234" s="121"/>
      <c r="G234" s="121"/>
      <c r="H234" s="121"/>
      <c r="I234" s="121"/>
      <c r="J234" s="121"/>
      <c r="K234" s="121"/>
      <c r="L234" s="121"/>
      <c r="M234" s="121"/>
      <c r="N234" s="121"/>
      <c r="O234" s="121"/>
      <c r="P234" s="121"/>
      <c r="Q234" s="121"/>
      <c r="R234" s="121"/>
      <c r="S234" s="121"/>
      <c r="T234" s="121"/>
      <c r="U234" s="121"/>
      <c r="V234" s="121"/>
      <c r="W234" s="121"/>
      <c r="X234" s="121"/>
      <c r="Y234" s="121"/>
      <c r="Z234" s="121"/>
      <c r="AA234" s="121"/>
    </row>
    <row r="235" customFormat="false" ht="15.75" hidden="false" customHeight="false" outlineLevel="0" collapsed="false">
      <c r="A235" s="121" t="str">
        <f aca="false">IF(ISBLANK(B235),"",B235&amp;"|"&amp;C235)</f>
        <v/>
      </c>
      <c r="B235" s="121"/>
      <c r="C235" s="121"/>
      <c r="D235" s="121"/>
      <c r="E235" s="127"/>
      <c r="F235" s="121"/>
      <c r="G235" s="121"/>
      <c r="H235" s="121"/>
      <c r="I235" s="121"/>
      <c r="J235" s="121"/>
      <c r="K235" s="121"/>
      <c r="L235" s="121"/>
      <c r="M235" s="121"/>
      <c r="N235" s="121"/>
      <c r="O235" s="121"/>
      <c r="P235" s="121"/>
      <c r="Q235" s="121"/>
      <c r="R235" s="121"/>
      <c r="S235" s="121"/>
      <c r="T235" s="121"/>
      <c r="U235" s="121"/>
      <c r="V235" s="121"/>
      <c r="W235" s="121"/>
      <c r="X235" s="121"/>
      <c r="Y235" s="121"/>
      <c r="Z235" s="121"/>
      <c r="AA235" s="121"/>
    </row>
    <row r="236" customFormat="false" ht="15.75" hidden="false" customHeight="false" outlineLevel="0" collapsed="false">
      <c r="A236" s="121" t="str">
        <f aca="false">IF(ISBLANK(B236),"",B236&amp;"|"&amp;C236)</f>
        <v/>
      </c>
      <c r="B236" s="121"/>
      <c r="C236" s="121"/>
      <c r="D236" s="121"/>
      <c r="E236" s="127"/>
      <c r="F236" s="121"/>
      <c r="G236" s="121"/>
      <c r="H236" s="121"/>
      <c r="I236" s="121"/>
      <c r="J236" s="121"/>
      <c r="K236" s="121"/>
      <c r="L236" s="121"/>
      <c r="M236" s="121"/>
      <c r="N236" s="121"/>
      <c r="O236" s="121"/>
      <c r="P236" s="121"/>
      <c r="Q236" s="121"/>
      <c r="R236" s="121"/>
      <c r="S236" s="121"/>
      <c r="T236" s="121"/>
      <c r="U236" s="121"/>
      <c r="V236" s="121"/>
      <c r="W236" s="121"/>
      <c r="X236" s="121"/>
      <c r="Y236" s="121"/>
      <c r="Z236" s="121"/>
      <c r="AA236" s="121"/>
    </row>
    <row r="237" customFormat="false" ht="15.75" hidden="false" customHeight="false" outlineLevel="0" collapsed="false">
      <c r="A237" s="121" t="str">
        <f aca="false">IF(ISBLANK(B237),"",B237&amp;"|"&amp;C237)</f>
        <v/>
      </c>
      <c r="B237" s="121"/>
      <c r="C237" s="121"/>
      <c r="D237" s="121"/>
      <c r="E237" s="127"/>
      <c r="F237" s="121"/>
      <c r="G237" s="121"/>
      <c r="H237" s="121"/>
      <c r="I237" s="121"/>
      <c r="J237" s="121"/>
      <c r="K237" s="121"/>
      <c r="L237" s="121"/>
      <c r="M237" s="121"/>
      <c r="N237" s="121"/>
      <c r="O237" s="121"/>
      <c r="P237" s="121"/>
      <c r="Q237" s="121"/>
      <c r="R237" s="121"/>
      <c r="S237" s="121"/>
      <c r="T237" s="121"/>
      <c r="U237" s="121"/>
      <c r="V237" s="121"/>
      <c r="W237" s="121"/>
      <c r="X237" s="121"/>
      <c r="Y237" s="121"/>
      <c r="Z237" s="121"/>
      <c r="AA237" s="121"/>
    </row>
    <row r="238" customFormat="false" ht="15.75" hidden="false" customHeight="false" outlineLevel="0" collapsed="false">
      <c r="A238" s="121" t="str">
        <f aca="false">IF(ISBLANK(B238),"",B238&amp;"|"&amp;C238)</f>
        <v/>
      </c>
      <c r="B238" s="121"/>
      <c r="C238" s="121"/>
      <c r="D238" s="121"/>
      <c r="E238" s="127"/>
      <c r="F238" s="121"/>
      <c r="G238" s="121"/>
      <c r="H238" s="121"/>
      <c r="I238" s="121"/>
      <c r="J238" s="121"/>
      <c r="K238" s="121"/>
      <c r="L238" s="121"/>
      <c r="M238" s="121"/>
      <c r="N238" s="121"/>
      <c r="O238" s="121"/>
      <c r="P238" s="121"/>
      <c r="Q238" s="121"/>
      <c r="R238" s="121"/>
      <c r="S238" s="121"/>
      <c r="T238" s="121"/>
      <c r="U238" s="121"/>
      <c r="V238" s="121"/>
      <c r="W238" s="121"/>
      <c r="X238" s="121"/>
      <c r="Y238" s="121"/>
      <c r="Z238" s="121"/>
      <c r="AA238" s="121"/>
    </row>
    <row r="239" customFormat="false" ht="15.75" hidden="false" customHeight="false" outlineLevel="0" collapsed="false">
      <c r="A239" s="121" t="str">
        <f aca="false">IF(ISBLANK(B239),"",B239&amp;"|"&amp;C239)</f>
        <v/>
      </c>
      <c r="B239" s="121"/>
      <c r="C239" s="121"/>
      <c r="D239" s="121"/>
      <c r="E239" s="127"/>
      <c r="F239" s="121"/>
      <c r="G239" s="121"/>
      <c r="H239" s="121"/>
      <c r="I239" s="121"/>
      <c r="J239" s="121"/>
      <c r="K239" s="121"/>
      <c r="L239" s="121"/>
      <c r="M239" s="121"/>
      <c r="N239" s="121"/>
      <c r="O239" s="121"/>
      <c r="P239" s="121"/>
      <c r="Q239" s="121"/>
      <c r="R239" s="121"/>
      <c r="S239" s="121"/>
      <c r="T239" s="121"/>
      <c r="U239" s="121"/>
      <c r="V239" s="121"/>
      <c r="W239" s="121"/>
      <c r="X239" s="121"/>
      <c r="Y239" s="121"/>
      <c r="Z239" s="121"/>
      <c r="AA239" s="121"/>
    </row>
    <row r="240" customFormat="false" ht="15.75" hidden="false" customHeight="false" outlineLevel="0" collapsed="false">
      <c r="A240" s="121" t="str">
        <f aca="false">IF(ISBLANK(B240),"",B240&amp;"|"&amp;C240)</f>
        <v/>
      </c>
      <c r="B240" s="121"/>
      <c r="C240" s="121"/>
      <c r="D240" s="121"/>
      <c r="E240" s="127"/>
      <c r="F240" s="121"/>
      <c r="G240" s="121"/>
      <c r="H240" s="121"/>
      <c r="I240" s="121"/>
      <c r="J240" s="121"/>
      <c r="K240" s="121"/>
      <c r="L240" s="121"/>
      <c r="M240" s="121"/>
      <c r="N240" s="121"/>
      <c r="O240" s="121"/>
      <c r="P240" s="121"/>
      <c r="Q240" s="121"/>
      <c r="R240" s="121"/>
      <c r="S240" s="121"/>
      <c r="T240" s="121"/>
      <c r="U240" s="121"/>
      <c r="V240" s="121"/>
      <c r="W240" s="121"/>
      <c r="X240" s="121"/>
      <c r="Y240" s="121"/>
      <c r="Z240" s="121"/>
      <c r="AA240" s="121"/>
    </row>
    <row r="241" customFormat="false" ht="15.75" hidden="false" customHeight="false" outlineLevel="0" collapsed="false">
      <c r="A241" s="121" t="str">
        <f aca="false">IF(ISBLANK(B241),"",B241&amp;"|"&amp;C241)</f>
        <v/>
      </c>
      <c r="B241" s="121"/>
      <c r="C241" s="121"/>
      <c r="D241" s="121"/>
      <c r="E241" s="127"/>
      <c r="F241" s="121"/>
      <c r="G241" s="121"/>
      <c r="H241" s="121"/>
      <c r="I241" s="121"/>
      <c r="J241" s="121"/>
      <c r="K241" s="121"/>
      <c r="L241" s="121"/>
      <c r="M241" s="121"/>
      <c r="N241" s="121"/>
      <c r="O241" s="121"/>
      <c r="P241" s="121"/>
      <c r="Q241" s="121"/>
      <c r="R241" s="121"/>
      <c r="S241" s="121"/>
      <c r="T241" s="121"/>
      <c r="U241" s="121"/>
      <c r="V241" s="121"/>
      <c r="W241" s="121"/>
      <c r="X241" s="121"/>
      <c r="Y241" s="121"/>
      <c r="Z241" s="121"/>
      <c r="AA241" s="121"/>
    </row>
    <row r="242" customFormat="false" ht="15.75" hidden="false" customHeight="false" outlineLevel="0" collapsed="false">
      <c r="A242" s="121" t="str">
        <f aca="false">IF(ISBLANK(B242),"",B242&amp;"|"&amp;C242)</f>
        <v/>
      </c>
      <c r="B242" s="121"/>
      <c r="C242" s="121"/>
      <c r="D242" s="121"/>
      <c r="E242" s="127"/>
      <c r="F242" s="121"/>
      <c r="G242" s="121"/>
      <c r="H242" s="121"/>
      <c r="I242" s="121"/>
      <c r="J242" s="121"/>
      <c r="K242" s="121"/>
      <c r="L242" s="121"/>
      <c r="M242" s="121"/>
      <c r="N242" s="121"/>
      <c r="O242" s="121"/>
      <c r="P242" s="121"/>
      <c r="Q242" s="121"/>
      <c r="R242" s="121"/>
      <c r="S242" s="121"/>
      <c r="T242" s="121"/>
      <c r="U242" s="121"/>
      <c r="V242" s="121"/>
      <c r="W242" s="121"/>
      <c r="X242" s="121"/>
      <c r="Y242" s="121"/>
      <c r="Z242" s="121"/>
      <c r="AA242" s="121"/>
    </row>
    <row r="243" customFormat="false" ht="15.75" hidden="false" customHeight="false" outlineLevel="0" collapsed="false">
      <c r="A243" s="121" t="str">
        <f aca="false">IF(ISBLANK(B243),"",B243&amp;"|"&amp;C243)</f>
        <v/>
      </c>
      <c r="B243" s="121"/>
      <c r="C243" s="121"/>
      <c r="D243" s="121"/>
      <c r="E243" s="127"/>
      <c r="F243" s="121"/>
      <c r="G243" s="121"/>
      <c r="H243" s="121"/>
      <c r="I243" s="121"/>
      <c r="J243" s="121"/>
      <c r="K243" s="121"/>
      <c r="L243" s="121"/>
      <c r="M243" s="121"/>
      <c r="N243" s="121"/>
      <c r="O243" s="121"/>
      <c r="P243" s="121"/>
      <c r="Q243" s="121"/>
      <c r="R243" s="121"/>
      <c r="S243" s="121"/>
      <c r="T243" s="121"/>
      <c r="U243" s="121"/>
      <c r="V243" s="121"/>
      <c r="W243" s="121"/>
      <c r="X243" s="121"/>
      <c r="Y243" s="121"/>
      <c r="Z243" s="121"/>
      <c r="AA243" s="121"/>
    </row>
    <row r="244" customFormat="false" ht="15.75" hidden="false" customHeight="false" outlineLevel="0" collapsed="false">
      <c r="A244" s="121" t="str">
        <f aca="false">IF(ISBLANK(B244),"",B244&amp;"|"&amp;C244)</f>
        <v/>
      </c>
      <c r="B244" s="121"/>
      <c r="C244" s="121"/>
      <c r="D244" s="121"/>
      <c r="E244" s="127"/>
      <c r="F244" s="121"/>
      <c r="G244" s="121"/>
      <c r="H244" s="121"/>
      <c r="I244" s="121"/>
      <c r="J244" s="121"/>
      <c r="K244" s="121"/>
      <c r="L244" s="121"/>
      <c r="M244" s="121"/>
      <c r="N244" s="121"/>
      <c r="O244" s="121"/>
      <c r="P244" s="121"/>
      <c r="Q244" s="121"/>
      <c r="R244" s="121"/>
      <c r="S244" s="121"/>
      <c r="T244" s="121"/>
      <c r="U244" s="121"/>
      <c r="V244" s="121"/>
      <c r="W244" s="121"/>
      <c r="X244" s="121"/>
      <c r="Y244" s="121"/>
      <c r="Z244" s="121"/>
      <c r="AA244" s="121"/>
    </row>
    <row r="245" customFormat="false" ht="15.75" hidden="false" customHeight="false" outlineLevel="0" collapsed="false">
      <c r="A245" s="121" t="str">
        <f aca="false">IF(ISBLANK(B245),"",B245&amp;"|"&amp;C245)</f>
        <v/>
      </c>
      <c r="B245" s="121"/>
      <c r="C245" s="121"/>
      <c r="D245" s="121"/>
      <c r="E245" s="127"/>
      <c r="F245" s="121"/>
      <c r="G245" s="121"/>
      <c r="H245" s="121"/>
      <c r="I245" s="121"/>
      <c r="J245" s="121"/>
      <c r="K245" s="121"/>
      <c r="L245" s="121"/>
      <c r="M245" s="121"/>
      <c r="N245" s="121"/>
      <c r="O245" s="121"/>
      <c r="P245" s="121"/>
      <c r="Q245" s="121"/>
      <c r="R245" s="121"/>
      <c r="S245" s="121"/>
      <c r="T245" s="121"/>
      <c r="U245" s="121"/>
      <c r="V245" s="121"/>
      <c r="W245" s="121"/>
      <c r="X245" s="121"/>
      <c r="Y245" s="121"/>
      <c r="Z245" s="121"/>
      <c r="AA245" s="121"/>
    </row>
    <row r="246" customFormat="false" ht="15.75" hidden="false" customHeight="false" outlineLevel="0" collapsed="false">
      <c r="A246" s="121" t="str">
        <f aca="false">IF(ISBLANK(B246),"",B246&amp;"|"&amp;C246)</f>
        <v/>
      </c>
      <c r="B246" s="121"/>
      <c r="C246" s="121"/>
      <c r="D246" s="121"/>
      <c r="E246" s="127"/>
      <c r="F246" s="121"/>
      <c r="G246" s="121"/>
      <c r="H246" s="121"/>
      <c r="I246" s="121"/>
      <c r="J246" s="121"/>
      <c r="K246" s="121"/>
      <c r="L246" s="121"/>
      <c r="M246" s="121"/>
      <c r="N246" s="121"/>
      <c r="O246" s="121"/>
      <c r="P246" s="121"/>
      <c r="Q246" s="121"/>
      <c r="R246" s="121"/>
      <c r="S246" s="121"/>
      <c r="T246" s="121"/>
      <c r="U246" s="121"/>
      <c r="V246" s="121"/>
      <c r="W246" s="121"/>
      <c r="X246" s="121"/>
      <c r="Y246" s="121"/>
      <c r="Z246" s="121"/>
      <c r="AA246" s="121"/>
    </row>
    <row r="247" customFormat="false" ht="15.75" hidden="false" customHeight="false" outlineLevel="0" collapsed="false">
      <c r="A247" s="121" t="str">
        <f aca="false">IF(ISBLANK(B247),"",B247&amp;"|"&amp;C247)</f>
        <v/>
      </c>
      <c r="B247" s="121"/>
      <c r="C247" s="121"/>
      <c r="D247" s="121"/>
      <c r="E247" s="127"/>
      <c r="F247" s="121"/>
      <c r="G247" s="121"/>
      <c r="H247" s="121"/>
      <c r="I247" s="121"/>
      <c r="J247" s="121"/>
      <c r="K247" s="121"/>
      <c r="L247" s="121"/>
      <c r="M247" s="121"/>
      <c r="N247" s="121"/>
      <c r="O247" s="121"/>
      <c r="P247" s="121"/>
      <c r="Q247" s="121"/>
      <c r="R247" s="121"/>
      <c r="S247" s="121"/>
      <c r="T247" s="121"/>
      <c r="U247" s="121"/>
      <c r="V247" s="121"/>
      <c r="W247" s="121"/>
      <c r="X247" s="121"/>
      <c r="Y247" s="121"/>
      <c r="Z247" s="121"/>
      <c r="AA247" s="121"/>
    </row>
    <row r="248" customFormat="false" ht="15.75" hidden="false" customHeight="false" outlineLevel="0" collapsed="false">
      <c r="A248" s="121" t="str">
        <f aca="false">IF(ISBLANK(B248),"",B248&amp;"|"&amp;C248)</f>
        <v/>
      </c>
      <c r="B248" s="121"/>
      <c r="C248" s="121"/>
      <c r="D248" s="121"/>
      <c r="E248" s="127"/>
      <c r="F248" s="121"/>
      <c r="G248" s="121"/>
      <c r="H248" s="121"/>
      <c r="I248" s="121"/>
      <c r="J248" s="121"/>
      <c r="K248" s="121"/>
      <c r="L248" s="121"/>
      <c r="M248" s="121"/>
      <c r="N248" s="121"/>
      <c r="O248" s="121"/>
      <c r="P248" s="121"/>
      <c r="Q248" s="121"/>
      <c r="R248" s="121"/>
      <c r="S248" s="121"/>
      <c r="T248" s="121"/>
      <c r="U248" s="121"/>
      <c r="V248" s="121"/>
      <c r="W248" s="121"/>
      <c r="X248" s="121"/>
      <c r="Y248" s="121"/>
      <c r="Z248" s="121"/>
      <c r="AA248" s="121"/>
    </row>
    <row r="249" customFormat="false" ht="15.75" hidden="false" customHeight="false" outlineLevel="0" collapsed="false">
      <c r="A249" s="121" t="str">
        <f aca="false">IF(ISBLANK(B249),"",B249&amp;"|"&amp;C249)</f>
        <v/>
      </c>
      <c r="B249" s="121"/>
      <c r="C249" s="121"/>
      <c r="D249" s="121"/>
      <c r="E249" s="127"/>
      <c r="F249" s="121"/>
      <c r="G249" s="121"/>
      <c r="H249" s="121"/>
      <c r="I249" s="121"/>
      <c r="J249" s="121"/>
      <c r="K249" s="121"/>
      <c r="L249" s="121"/>
      <c r="M249" s="121"/>
      <c r="N249" s="121"/>
      <c r="O249" s="121"/>
      <c r="P249" s="121"/>
      <c r="Q249" s="121"/>
      <c r="R249" s="121"/>
      <c r="S249" s="121"/>
      <c r="T249" s="121"/>
      <c r="U249" s="121"/>
      <c r="V249" s="121"/>
      <c r="W249" s="121"/>
      <c r="X249" s="121"/>
      <c r="Y249" s="121"/>
      <c r="Z249" s="121"/>
      <c r="AA249" s="121"/>
    </row>
    <row r="250" customFormat="false" ht="15.75" hidden="false" customHeight="false" outlineLevel="0" collapsed="false">
      <c r="A250" s="121" t="str">
        <f aca="false">IF(ISBLANK(B250),"",B250&amp;"|"&amp;C250)</f>
        <v/>
      </c>
      <c r="B250" s="121"/>
      <c r="C250" s="121"/>
      <c r="D250" s="121"/>
      <c r="E250" s="127"/>
      <c r="F250" s="121"/>
      <c r="G250" s="121"/>
      <c r="H250" s="121"/>
      <c r="I250" s="121"/>
      <c r="J250" s="121"/>
      <c r="K250" s="121"/>
      <c r="L250" s="121"/>
      <c r="M250" s="121"/>
      <c r="N250" s="121"/>
      <c r="O250" s="121"/>
      <c r="P250" s="121"/>
      <c r="Q250" s="121"/>
      <c r="R250" s="121"/>
      <c r="S250" s="121"/>
      <c r="T250" s="121"/>
      <c r="U250" s="121"/>
      <c r="V250" s="121"/>
      <c r="W250" s="121"/>
      <c r="X250" s="121"/>
      <c r="Y250" s="121"/>
      <c r="Z250" s="121"/>
      <c r="AA250" s="121"/>
    </row>
    <row r="251" customFormat="false" ht="15.75" hidden="false" customHeight="false" outlineLevel="0" collapsed="false">
      <c r="A251" s="121" t="str">
        <f aca="false">IF(ISBLANK(B251),"",B251&amp;"|"&amp;C251)</f>
        <v/>
      </c>
      <c r="B251" s="121"/>
      <c r="C251" s="121"/>
      <c r="D251" s="121"/>
      <c r="E251" s="127"/>
      <c r="F251" s="121"/>
      <c r="G251" s="121"/>
      <c r="H251" s="121"/>
      <c r="I251" s="121"/>
      <c r="J251" s="121"/>
      <c r="K251" s="121"/>
      <c r="L251" s="121"/>
      <c r="M251" s="121"/>
      <c r="N251" s="121"/>
      <c r="O251" s="121"/>
      <c r="P251" s="121"/>
      <c r="Q251" s="121"/>
      <c r="R251" s="121"/>
      <c r="S251" s="121"/>
      <c r="T251" s="121"/>
      <c r="U251" s="121"/>
      <c r="V251" s="121"/>
      <c r="W251" s="121"/>
      <c r="X251" s="121"/>
      <c r="Y251" s="121"/>
      <c r="Z251" s="121"/>
      <c r="AA251" s="121"/>
    </row>
    <row r="252" customFormat="false" ht="15.75" hidden="false" customHeight="false" outlineLevel="0" collapsed="false">
      <c r="A252" s="121" t="str">
        <f aca="false">IF(ISBLANK(B252),"",B252&amp;"|"&amp;C252)</f>
        <v/>
      </c>
      <c r="B252" s="121"/>
      <c r="C252" s="121"/>
      <c r="D252" s="121"/>
      <c r="E252" s="127"/>
      <c r="F252" s="121"/>
      <c r="G252" s="121"/>
      <c r="H252" s="121"/>
      <c r="I252" s="121"/>
      <c r="J252" s="121"/>
      <c r="K252" s="121"/>
      <c r="L252" s="121"/>
      <c r="M252" s="121"/>
      <c r="N252" s="121"/>
      <c r="O252" s="121"/>
      <c r="P252" s="121"/>
      <c r="Q252" s="121"/>
      <c r="R252" s="121"/>
      <c r="S252" s="121"/>
      <c r="T252" s="121"/>
      <c r="U252" s="121"/>
      <c r="V252" s="121"/>
      <c r="W252" s="121"/>
      <c r="X252" s="121"/>
      <c r="Y252" s="121"/>
      <c r="Z252" s="121"/>
      <c r="AA252" s="121"/>
    </row>
    <row r="253" customFormat="false" ht="15.75" hidden="false" customHeight="false" outlineLevel="0" collapsed="false">
      <c r="A253" s="121" t="str">
        <f aca="false">IF(ISBLANK(B253),"",B253&amp;"|"&amp;C253)</f>
        <v/>
      </c>
      <c r="B253" s="121"/>
      <c r="C253" s="121"/>
      <c r="D253" s="121"/>
      <c r="E253" s="127"/>
      <c r="F253" s="121"/>
      <c r="G253" s="121"/>
      <c r="H253" s="121"/>
      <c r="I253" s="121"/>
      <c r="J253" s="121"/>
      <c r="K253" s="121"/>
      <c r="L253" s="121"/>
      <c r="M253" s="121"/>
      <c r="N253" s="121"/>
      <c r="O253" s="121"/>
      <c r="P253" s="121"/>
      <c r="Q253" s="121"/>
      <c r="R253" s="121"/>
      <c r="S253" s="121"/>
      <c r="T253" s="121"/>
      <c r="U253" s="121"/>
      <c r="V253" s="121"/>
      <c r="W253" s="121"/>
      <c r="X253" s="121"/>
      <c r="Y253" s="121"/>
      <c r="Z253" s="121"/>
      <c r="AA253" s="121"/>
    </row>
    <row r="254" customFormat="false" ht="15.75" hidden="false" customHeight="false" outlineLevel="0" collapsed="false">
      <c r="A254" s="121" t="str">
        <f aca="false">IF(ISBLANK(B254),"",B254&amp;"|"&amp;C254)</f>
        <v/>
      </c>
      <c r="B254" s="121"/>
      <c r="C254" s="121"/>
      <c r="D254" s="121"/>
      <c r="E254" s="127"/>
      <c r="F254" s="121"/>
      <c r="G254" s="121"/>
      <c r="H254" s="121"/>
      <c r="I254" s="121"/>
      <c r="J254" s="121"/>
      <c r="K254" s="121"/>
      <c r="L254" s="121"/>
      <c r="M254" s="121"/>
      <c r="N254" s="121"/>
      <c r="O254" s="121"/>
      <c r="P254" s="121"/>
      <c r="Q254" s="121"/>
      <c r="R254" s="121"/>
      <c r="S254" s="121"/>
      <c r="T254" s="121"/>
      <c r="U254" s="121"/>
      <c r="V254" s="121"/>
      <c r="W254" s="121"/>
      <c r="X254" s="121"/>
      <c r="Y254" s="121"/>
      <c r="Z254" s="121"/>
      <c r="AA254" s="121"/>
    </row>
    <row r="255" customFormat="false" ht="15.75" hidden="false" customHeight="false" outlineLevel="0" collapsed="false">
      <c r="A255" s="121" t="str">
        <f aca="false">IF(ISBLANK(B255),"",B255&amp;"|"&amp;C255)</f>
        <v/>
      </c>
      <c r="B255" s="121"/>
      <c r="C255" s="121"/>
      <c r="D255" s="121"/>
      <c r="E255" s="127"/>
      <c r="F255" s="121"/>
      <c r="G255" s="121"/>
      <c r="H255" s="121"/>
      <c r="I255" s="121"/>
      <c r="J255" s="121"/>
      <c r="K255" s="121"/>
      <c r="L255" s="121"/>
      <c r="M255" s="121"/>
      <c r="N255" s="121"/>
      <c r="O255" s="121"/>
      <c r="P255" s="121"/>
      <c r="Q255" s="121"/>
      <c r="R255" s="121"/>
      <c r="S255" s="121"/>
      <c r="T255" s="121"/>
      <c r="U255" s="121"/>
      <c r="V255" s="121"/>
      <c r="W255" s="121"/>
      <c r="X255" s="121"/>
      <c r="Y255" s="121"/>
      <c r="Z255" s="121"/>
      <c r="AA255" s="121"/>
    </row>
    <row r="256" customFormat="false" ht="15.75" hidden="false" customHeight="false" outlineLevel="0" collapsed="false">
      <c r="A256" s="121" t="str">
        <f aca="false">IF(ISBLANK(B256),"",B256&amp;"|"&amp;C256)</f>
        <v/>
      </c>
      <c r="B256" s="121"/>
      <c r="C256" s="121"/>
      <c r="D256" s="121"/>
      <c r="E256" s="127"/>
      <c r="F256" s="121"/>
      <c r="G256" s="121"/>
      <c r="H256" s="121"/>
      <c r="I256" s="121"/>
      <c r="J256" s="121"/>
      <c r="K256" s="121"/>
      <c r="L256" s="121"/>
      <c r="M256" s="121"/>
      <c r="N256" s="121"/>
      <c r="O256" s="121"/>
      <c r="P256" s="121"/>
      <c r="Q256" s="121"/>
      <c r="R256" s="121"/>
      <c r="S256" s="121"/>
      <c r="T256" s="121"/>
      <c r="U256" s="121"/>
      <c r="V256" s="121"/>
      <c r="W256" s="121"/>
      <c r="X256" s="121"/>
      <c r="Y256" s="121"/>
      <c r="Z256" s="121"/>
      <c r="AA256" s="121"/>
    </row>
    <row r="257" customFormat="false" ht="15.75" hidden="false" customHeight="false" outlineLevel="0" collapsed="false">
      <c r="A257" s="121" t="str">
        <f aca="false">IF(ISBLANK(B257),"",B257&amp;"|"&amp;C257)</f>
        <v/>
      </c>
      <c r="B257" s="121"/>
      <c r="C257" s="121"/>
      <c r="D257" s="121"/>
      <c r="E257" s="127"/>
      <c r="F257" s="121"/>
      <c r="G257" s="121"/>
      <c r="H257" s="121"/>
      <c r="I257" s="121"/>
      <c r="J257" s="121"/>
      <c r="K257" s="121"/>
      <c r="L257" s="121"/>
      <c r="M257" s="121"/>
      <c r="N257" s="121"/>
      <c r="O257" s="121"/>
      <c r="P257" s="121"/>
      <c r="Q257" s="121"/>
      <c r="R257" s="121"/>
      <c r="S257" s="121"/>
      <c r="T257" s="121"/>
      <c r="U257" s="121"/>
      <c r="V257" s="121"/>
      <c r="W257" s="121"/>
      <c r="X257" s="121"/>
      <c r="Y257" s="121"/>
      <c r="Z257" s="121"/>
      <c r="AA257" s="121"/>
    </row>
    <row r="258" customFormat="false" ht="15.75" hidden="false" customHeight="false" outlineLevel="0" collapsed="false">
      <c r="A258" s="121" t="str">
        <f aca="false">IF(ISBLANK(B258),"",B258&amp;"|"&amp;C258)</f>
        <v/>
      </c>
      <c r="B258" s="121"/>
      <c r="C258" s="121"/>
      <c r="D258" s="121"/>
      <c r="E258" s="127"/>
      <c r="F258" s="121"/>
      <c r="G258" s="121"/>
      <c r="H258" s="121"/>
      <c r="I258" s="121"/>
      <c r="J258" s="121"/>
      <c r="K258" s="121"/>
      <c r="L258" s="121"/>
      <c r="M258" s="121"/>
      <c r="N258" s="121"/>
      <c r="O258" s="121"/>
      <c r="P258" s="121"/>
      <c r="Q258" s="121"/>
      <c r="R258" s="121"/>
      <c r="S258" s="121"/>
      <c r="T258" s="121"/>
      <c r="U258" s="121"/>
      <c r="V258" s="121"/>
      <c r="W258" s="121"/>
      <c r="X258" s="121"/>
      <c r="Y258" s="121"/>
      <c r="Z258" s="121"/>
      <c r="AA258" s="121"/>
    </row>
    <row r="259" customFormat="false" ht="15.75" hidden="false" customHeight="false" outlineLevel="0" collapsed="false">
      <c r="A259" s="121" t="str">
        <f aca="false">IF(ISBLANK(B259),"",B259&amp;"|"&amp;C259)</f>
        <v/>
      </c>
      <c r="B259" s="121"/>
      <c r="C259" s="121"/>
      <c r="D259" s="121"/>
      <c r="E259" s="127"/>
      <c r="F259" s="121"/>
      <c r="G259" s="121"/>
      <c r="H259" s="121"/>
      <c r="I259" s="121"/>
      <c r="J259" s="121"/>
      <c r="K259" s="121"/>
      <c r="L259" s="121"/>
      <c r="M259" s="121"/>
      <c r="N259" s="121"/>
      <c r="O259" s="121"/>
      <c r="P259" s="121"/>
      <c r="Q259" s="121"/>
      <c r="R259" s="121"/>
      <c r="S259" s="121"/>
      <c r="T259" s="121"/>
      <c r="U259" s="121"/>
      <c r="V259" s="121"/>
      <c r="W259" s="121"/>
      <c r="X259" s="121"/>
      <c r="Y259" s="121"/>
      <c r="Z259" s="121"/>
      <c r="AA259" s="121"/>
    </row>
    <row r="260" customFormat="false" ht="15.75" hidden="false" customHeight="false" outlineLevel="0" collapsed="false">
      <c r="A260" s="121" t="str">
        <f aca="false">IF(ISBLANK(B260),"",B260&amp;"|"&amp;C260)</f>
        <v/>
      </c>
      <c r="B260" s="121"/>
      <c r="C260" s="121"/>
      <c r="D260" s="121"/>
      <c r="E260" s="127"/>
      <c r="F260" s="121"/>
      <c r="G260" s="121"/>
      <c r="H260" s="121"/>
      <c r="I260" s="121"/>
      <c r="J260" s="121"/>
      <c r="K260" s="121"/>
      <c r="L260" s="121"/>
      <c r="M260" s="121"/>
      <c r="N260" s="121"/>
      <c r="O260" s="121"/>
      <c r="P260" s="121"/>
      <c r="Q260" s="121"/>
      <c r="R260" s="121"/>
      <c r="S260" s="121"/>
      <c r="T260" s="121"/>
      <c r="U260" s="121"/>
      <c r="V260" s="121"/>
      <c r="W260" s="121"/>
      <c r="X260" s="121"/>
      <c r="Y260" s="121"/>
      <c r="Z260" s="121"/>
      <c r="AA260" s="121"/>
    </row>
    <row r="261" customFormat="false" ht="15.75" hidden="false" customHeight="false" outlineLevel="0" collapsed="false">
      <c r="A261" s="121" t="str">
        <f aca="false">IF(ISBLANK(B261),"",B261&amp;"|"&amp;C261)</f>
        <v/>
      </c>
      <c r="B261" s="121"/>
      <c r="C261" s="121"/>
      <c r="D261" s="121"/>
      <c r="E261" s="127"/>
      <c r="F261" s="121"/>
      <c r="G261" s="121"/>
      <c r="H261" s="121"/>
      <c r="I261" s="121"/>
      <c r="J261" s="121"/>
      <c r="K261" s="121"/>
      <c r="L261" s="121"/>
      <c r="M261" s="121"/>
      <c r="N261" s="121"/>
      <c r="O261" s="121"/>
      <c r="P261" s="121"/>
      <c r="Q261" s="121"/>
      <c r="R261" s="121"/>
      <c r="S261" s="121"/>
      <c r="T261" s="121"/>
      <c r="U261" s="121"/>
      <c r="V261" s="121"/>
      <c r="W261" s="121"/>
      <c r="X261" s="121"/>
      <c r="Y261" s="121"/>
      <c r="Z261" s="121"/>
      <c r="AA261" s="121"/>
    </row>
    <row r="262" customFormat="false" ht="15.75" hidden="false" customHeight="false" outlineLevel="0" collapsed="false">
      <c r="A262" s="121" t="str">
        <f aca="false">IF(ISBLANK(B262),"",B262&amp;"|"&amp;C262)</f>
        <v/>
      </c>
      <c r="B262" s="121"/>
      <c r="C262" s="121"/>
      <c r="D262" s="121"/>
      <c r="E262" s="127"/>
      <c r="F262" s="121"/>
      <c r="G262" s="121"/>
      <c r="H262" s="121"/>
      <c r="I262" s="121"/>
      <c r="J262" s="121"/>
      <c r="K262" s="121"/>
      <c r="L262" s="121"/>
      <c r="M262" s="121"/>
      <c r="N262" s="121"/>
      <c r="O262" s="121"/>
      <c r="P262" s="121"/>
      <c r="Q262" s="121"/>
      <c r="R262" s="121"/>
      <c r="S262" s="121"/>
      <c r="T262" s="121"/>
      <c r="U262" s="121"/>
      <c r="V262" s="121"/>
      <c r="W262" s="121"/>
      <c r="X262" s="121"/>
      <c r="Y262" s="121"/>
      <c r="Z262" s="121"/>
      <c r="AA262" s="121"/>
    </row>
    <row r="263" customFormat="false" ht="15.75" hidden="false" customHeight="false" outlineLevel="0" collapsed="false">
      <c r="A263" s="121" t="str">
        <f aca="false">IF(ISBLANK(B263),"",B263&amp;"|"&amp;C263)</f>
        <v/>
      </c>
      <c r="B263" s="121"/>
      <c r="C263" s="121"/>
      <c r="D263" s="121"/>
      <c r="E263" s="127"/>
      <c r="F263" s="121"/>
      <c r="G263" s="121"/>
      <c r="H263" s="121"/>
      <c r="I263" s="121"/>
      <c r="J263" s="121"/>
      <c r="K263" s="121"/>
      <c r="L263" s="121"/>
      <c r="M263" s="121"/>
      <c r="N263" s="121"/>
      <c r="O263" s="121"/>
      <c r="P263" s="121"/>
      <c r="Q263" s="121"/>
      <c r="R263" s="121"/>
      <c r="S263" s="121"/>
      <c r="T263" s="121"/>
      <c r="U263" s="121"/>
      <c r="V263" s="121"/>
      <c r="W263" s="121"/>
      <c r="X263" s="121"/>
      <c r="Y263" s="121"/>
      <c r="Z263" s="121"/>
      <c r="AA263" s="121"/>
    </row>
    <row r="264" customFormat="false" ht="15.75" hidden="false" customHeight="false" outlineLevel="0" collapsed="false">
      <c r="A264" s="121" t="str">
        <f aca="false">IF(ISBLANK(B264),"",B264&amp;"|"&amp;C264)</f>
        <v/>
      </c>
      <c r="B264" s="121"/>
      <c r="C264" s="121"/>
      <c r="D264" s="121"/>
      <c r="E264" s="127"/>
      <c r="F264" s="121"/>
      <c r="G264" s="121"/>
      <c r="H264" s="121"/>
      <c r="I264" s="121"/>
      <c r="J264" s="121"/>
      <c r="K264" s="121"/>
      <c r="L264" s="121"/>
      <c r="M264" s="121"/>
      <c r="N264" s="121"/>
      <c r="O264" s="121"/>
      <c r="P264" s="121"/>
      <c r="Q264" s="121"/>
      <c r="R264" s="121"/>
      <c r="S264" s="121"/>
      <c r="T264" s="121"/>
      <c r="U264" s="121"/>
      <c r="V264" s="121"/>
      <c r="W264" s="121"/>
      <c r="X264" s="121"/>
      <c r="Y264" s="121"/>
      <c r="Z264" s="121"/>
      <c r="AA264" s="121"/>
    </row>
    <row r="265" customFormat="false" ht="15.75" hidden="false" customHeight="false" outlineLevel="0" collapsed="false">
      <c r="A265" s="121" t="str">
        <f aca="false">IF(ISBLANK(B265),"",B265&amp;"|"&amp;C265)</f>
        <v/>
      </c>
      <c r="B265" s="121"/>
      <c r="C265" s="121"/>
      <c r="D265" s="121"/>
      <c r="E265" s="127"/>
      <c r="F265" s="121"/>
      <c r="G265" s="121"/>
      <c r="H265" s="121"/>
      <c r="I265" s="121"/>
      <c r="J265" s="121"/>
      <c r="K265" s="121"/>
      <c r="L265" s="121"/>
      <c r="M265" s="121"/>
      <c r="N265" s="121"/>
      <c r="O265" s="121"/>
      <c r="P265" s="121"/>
      <c r="Q265" s="121"/>
      <c r="R265" s="121"/>
      <c r="S265" s="121"/>
      <c r="T265" s="121"/>
      <c r="U265" s="121"/>
      <c r="V265" s="121"/>
      <c r="W265" s="121"/>
      <c r="X265" s="121"/>
      <c r="Y265" s="121"/>
      <c r="Z265" s="121"/>
      <c r="AA265" s="121"/>
    </row>
    <row r="266" customFormat="false" ht="15.75" hidden="false" customHeight="false" outlineLevel="0" collapsed="false">
      <c r="A266" s="121" t="str">
        <f aca="false">IF(ISBLANK(B266),"",B266&amp;"|"&amp;C266)</f>
        <v/>
      </c>
      <c r="B266" s="121"/>
      <c r="C266" s="121"/>
      <c r="D266" s="121"/>
      <c r="E266" s="127"/>
      <c r="F266" s="121"/>
      <c r="G266" s="121"/>
      <c r="H266" s="121"/>
      <c r="I266" s="121"/>
      <c r="J266" s="121"/>
      <c r="K266" s="121"/>
      <c r="L266" s="121"/>
      <c r="M266" s="121"/>
      <c r="N266" s="121"/>
      <c r="O266" s="121"/>
      <c r="P266" s="121"/>
      <c r="Q266" s="121"/>
      <c r="R266" s="121"/>
      <c r="S266" s="121"/>
      <c r="T266" s="121"/>
      <c r="U266" s="121"/>
      <c r="V266" s="121"/>
      <c r="W266" s="121"/>
      <c r="X266" s="121"/>
      <c r="Y266" s="121"/>
      <c r="Z266" s="121"/>
      <c r="AA266" s="121"/>
    </row>
    <row r="267" customFormat="false" ht="15.75" hidden="false" customHeight="false" outlineLevel="0" collapsed="false">
      <c r="A267" s="121" t="str">
        <f aca="false">IF(ISBLANK(B267),"",B267&amp;"|"&amp;C267)</f>
        <v/>
      </c>
      <c r="B267" s="121"/>
      <c r="C267" s="121"/>
      <c r="D267" s="121"/>
      <c r="E267" s="127"/>
      <c r="F267" s="121"/>
      <c r="G267" s="121"/>
      <c r="H267" s="121"/>
      <c r="I267" s="121"/>
      <c r="J267" s="121"/>
      <c r="K267" s="121"/>
      <c r="L267" s="121"/>
      <c r="M267" s="121"/>
      <c r="N267" s="121"/>
      <c r="O267" s="121"/>
      <c r="P267" s="121"/>
      <c r="Q267" s="121"/>
      <c r="R267" s="121"/>
      <c r="S267" s="121"/>
      <c r="T267" s="121"/>
      <c r="U267" s="121"/>
      <c r="V267" s="121"/>
      <c r="W267" s="121"/>
      <c r="X267" s="121"/>
      <c r="Y267" s="121"/>
      <c r="Z267" s="121"/>
      <c r="AA267" s="121"/>
    </row>
    <row r="268" customFormat="false" ht="15.75" hidden="false" customHeight="false" outlineLevel="0" collapsed="false">
      <c r="A268" s="121" t="str">
        <f aca="false">IF(ISBLANK(B268),"",B268&amp;"|"&amp;C268)</f>
        <v/>
      </c>
      <c r="B268" s="121"/>
      <c r="C268" s="121"/>
      <c r="D268" s="121"/>
      <c r="E268" s="127"/>
      <c r="F268" s="121"/>
      <c r="G268" s="121"/>
      <c r="H268" s="121"/>
      <c r="I268" s="121"/>
      <c r="J268" s="121"/>
      <c r="K268" s="121"/>
      <c r="L268" s="121"/>
      <c r="M268" s="121"/>
      <c r="N268" s="121"/>
      <c r="O268" s="121"/>
      <c r="P268" s="121"/>
      <c r="Q268" s="121"/>
      <c r="R268" s="121"/>
      <c r="S268" s="121"/>
      <c r="T268" s="121"/>
      <c r="U268" s="121"/>
      <c r="V268" s="121"/>
      <c r="W268" s="121"/>
      <c r="X268" s="121"/>
      <c r="Y268" s="121"/>
      <c r="Z268" s="121"/>
      <c r="AA268" s="121"/>
    </row>
    <row r="269" customFormat="false" ht="15.75" hidden="false" customHeight="false" outlineLevel="0" collapsed="false">
      <c r="A269" s="121" t="str">
        <f aca="false">IF(ISBLANK(B269),"",B269&amp;"|"&amp;C269)</f>
        <v/>
      </c>
      <c r="B269" s="121"/>
      <c r="C269" s="121"/>
      <c r="D269" s="121"/>
      <c r="E269" s="127"/>
      <c r="F269" s="121"/>
      <c r="G269" s="121"/>
      <c r="H269" s="121"/>
      <c r="I269" s="121"/>
      <c r="J269" s="121"/>
      <c r="K269" s="121"/>
      <c r="L269" s="121"/>
      <c r="M269" s="121"/>
      <c r="N269" s="121"/>
      <c r="O269" s="121"/>
      <c r="P269" s="121"/>
      <c r="Q269" s="121"/>
      <c r="R269" s="121"/>
      <c r="S269" s="121"/>
      <c r="T269" s="121"/>
      <c r="U269" s="121"/>
      <c r="V269" s="121"/>
      <c r="W269" s="121"/>
      <c r="X269" s="121"/>
      <c r="Y269" s="121"/>
      <c r="Z269" s="121"/>
      <c r="AA269" s="121"/>
    </row>
    <row r="270" customFormat="false" ht="15.75" hidden="false" customHeight="false" outlineLevel="0" collapsed="false">
      <c r="A270" s="121" t="str">
        <f aca="false">IF(ISBLANK(B270),"",B270&amp;"|"&amp;C270)</f>
        <v/>
      </c>
      <c r="B270" s="121"/>
      <c r="C270" s="121"/>
      <c r="D270" s="121"/>
      <c r="E270" s="127"/>
      <c r="F270" s="121"/>
      <c r="G270" s="121"/>
      <c r="H270" s="121"/>
      <c r="I270" s="121"/>
      <c r="J270" s="121"/>
      <c r="K270" s="121"/>
      <c r="L270" s="121"/>
      <c r="M270" s="121"/>
      <c r="N270" s="121"/>
      <c r="O270" s="121"/>
      <c r="P270" s="121"/>
      <c r="Q270" s="121"/>
      <c r="R270" s="121"/>
      <c r="S270" s="121"/>
      <c r="T270" s="121"/>
      <c r="U270" s="121"/>
      <c r="V270" s="121"/>
      <c r="W270" s="121"/>
      <c r="X270" s="121"/>
      <c r="Y270" s="121"/>
      <c r="Z270" s="121"/>
      <c r="AA270" s="121"/>
    </row>
    <row r="271" customFormat="false" ht="15.75" hidden="false" customHeight="false" outlineLevel="0" collapsed="false">
      <c r="A271" s="121" t="str">
        <f aca="false">IF(ISBLANK(B271),"",B271&amp;"|"&amp;C271)</f>
        <v/>
      </c>
      <c r="B271" s="121"/>
      <c r="C271" s="121"/>
      <c r="D271" s="121"/>
      <c r="E271" s="127"/>
      <c r="F271" s="121"/>
      <c r="G271" s="121"/>
      <c r="H271" s="121"/>
      <c r="I271" s="121"/>
      <c r="J271" s="121"/>
      <c r="K271" s="121"/>
      <c r="L271" s="121"/>
      <c r="M271" s="121"/>
      <c r="N271" s="121"/>
      <c r="O271" s="121"/>
      <c r="P271" s="121"/>
      <c r="Q271" s="121"/>
      <c r="R271" s="121"/>
      <c r="S271" s="121"/>
      <c r="T271" s="121"/>
      <c r="U271" s="121"/>
      <c r="V271" s="121"/>
      <c r="W271" s="121"/>
      <c r="X271" s="121"/>
      <c r="Y271" s="121"/>
      <c r="Z271" s="121"/>
      <c r="AA271" s="121"/>
    </row>
    <row r="272" customFormat="false" ht="15.75" hidden="false" customHeight="false" outlineLevel="0" collapsed="false">
      <c r="A272" s="121" t="str">
        <f aca="false">IF(ISBLANK(B272),"",B272&amp;"|"&amp;C272)</f>
        <v/>
      </c>
      <c r="B272" s="121"/>
      <c r="C272" s="121"/>
      <c r="D272" s="121"/>
      <c r="E272" s="127"/>
      <c r="F272" s="121"/>
      <c r="G272" s="121"/>
      <c r="H272" s="121"/>
      <c r="I272" s="121"/>
      <c r="J272" s="121"/>
      <c r="K272" s="121"/>
      <c r="L272" s="121"/>
      <c r="M272" s="121"/>
      <c r="N272" s="121"/>
      <c r="O272" s="121"/>
      <c r="P272" s="121"/>
      <c r="Q272" s="121"/>
      <c r="R272" s="121"/>
      <c r="S272" s="121"/>
      <c r="T272" s="121"/>
      <c r="U272" s="121"/>
      <c r="V272" s="121"/>
      <c r="W272" s="121"/>
      <c r="X272" s="121"/>
      <c r="Y272" s="121"/>
      <c r="Z272" s="121"/>
      <c r="AA272" s="121"/>
    </row>
    <row r="273" customFormat="false" ht="15.75" hidden="false" customHeight="false" outlineLevel="0" collapsed="false">
      <c r="A273" s="121" t="str">
        <f aca="false">IF(ISBLANK(B273),"",B273&amp;"|"&amp;C273)</f>
        <v/>
      </c>
      <c r="B273" s="121"/>
      <c r="C273" s="121"/>
      <c r="D273" s="121"/>
      <c r="E273" s="127"/>
      <c r="F273" s="121"/>
      <c r="G273" s="121"/>
      <c r="H273" s="121"/>
      <c r="I273" s="121"/>
      <c r="J273" s="121"/>
      <c r="K273" s="121"/>
      <c r="L273" s="121"/>
      <c r="M273" s="121"/>
      <c r="N273" s="121"/>
      <c r="O273" s="121"/>
      <c r="P273" s="121"/>
      <c r="Q273" s="121"/>
      <c r="R273" s="121"/>
      <c r="S273" s="121"/>
      <c r="T273" s="121"/>
      <c r="U273" s="121"/>
      <c r="V273" s="121"/>
      <c r="W273" s="121"/>
      <c r="X273" s="121"/>
      <c r="Y273" s="121"/>
      <c r="Z273" s="121"/>
      <c r="AA273" s="121"/>
    </row>
    <row r="274" customFormat="false" ht="15.75" hidden="false" customHeight="false" outlineLevel="0" collapsed="false">
      <c r="A274" s="121" t="str">
        <f aca="false">IF(ISBLANK(B274),"",B274&amp;"|"&amp;C274)</f>
        <v/>
      </c>
      <c r="B274" s="121"/>
      <c r="C274" s="121"/>
      <c r="D274" s="121"/>
      <c r="E274" s="127"/>
      <c r="F274" s="121"/>
      <c r="G274" s="121"/>
      <c r="H274" s="121"/>
      <c r="I274" s="121"/>
      <c r="J274" s="121"/>
      <c r="K274" s="121"/>
      <c r="L274" s="121"/>
      <c r="M274" s="121"/>
      <c r="N274" s="121"/>
      <c r="O274" s="121"/>
      <c r="P274" s="121"/>
      <c r="Q274" s="121"/>
      <c r="R274" s="121"/>
      <c r="S274" s="121"/>
      <c r="T274" s="121"/>
      <c r="U274" s="121"/>
      <c r="V274" s="121"/>
      <c r="W274" s="121"/>
      <c r="X274" s="121"/>
      <c r="Y274" s="121"/>
      <c r="Z274" s="121"/>
      <c r="AA274" s="121"/>
    </row>
    <row r="275" customFormat="false" ht="15.75" hidden="false" customHeight="false" outlineLevel="0" collapsed="false">
      <c r="A275" s="121" t="str">
        <f aca="false">IF(ISBLANK(B275),"",B275&amp;"|"&amp;C275)</f>
        <v/>
      </c>
      <c r="B275" s="121"/>
      <c r="C275" s="121"/>
      <c r="D275" s="121"/>
      <c r="E275" s="127"/>
      <c r="F275" s="121"/>
      <c r="G275" s="121"/>
      <c r="H275" s="121"/>
      <c r="I275" s="121"/>
      <c r="J275" s="121"/>
      <c r="K275" s="121"/>
      <c r="L275" s="121"/>
      <c r="M275" s="121"/>
      <c r="N275" s="121"/>
      <c r="O275" s="121"/>
      <c r="P275" s="121"/>
      <c r="Q275" s="121"/>
      <c r="R275" s="121"/>
      <c r="S275" s="121"/>
      <c r="T275" s="121"/>
      <c r="U275" s="121"/>
      <c r="V275" s="121"/>
      <c r="W275" s="121"/>
      <c r="X275" s="121"/>
      <c r="Y275" s="121"/>
      <c r="Z275" s="121"/>
      <c r="AA275" s="121"/>
    </row>
    <row r="276" customFormat="false" ht="15.75" hidden="false" customHeight="false" outlineLevel="0" collapsed="false">
      <c r="A276" s="121" t="str">
        <f aca="false">IF(ISBLANK(B276),"",B276&amp;"|"&amp;C276)</f>
        <v/>
      </c>
      <c r="B276" s="121"/>
      <c r="C276" s="121"/>
      <c r="D276" s="121"/>
      <c r="E276" s="127"/>
      <c r="F276" s="121"/>
      <c r="G276" s="121"/>
      <c r="H276" s="121"/>
      <c r="I276" s="121"/>
      <c r="J276" s="121"/>
      <c r="K276" s="121"/>
      <c r="L276" s="121"/>
      <c r="M276" s="121"/>
      <c r="N276" s="121"/>
      <c r="O276" s="121"/>
      <c r="P276" s="121"/>
      <c r="Q276" s="121"/>
      <c r="R276" s="121"/>
      <c r="S276" s="121"/>
      <c r="T276" s="121"/>
      <c r="U276" s="121"/>
      <c r="V276" s="121"/>
      <c r="W276" s="121"/>
      <c r="X276" s="121"/>
      <c r="Y276" s="121"/>
      <c r="Z276" s="121"/>
      <c r="AA276" s="121"/>
    </row>
    <row r="277" customFormat="false" ht="15.75" hidden="false" customHeight="false" outlineLevel="0" collapsed="false">
      <c r="A277" s="121" t="str">
        <f aca="false">IF(ISBLANK(B277),"",B277&amp;"|"&amp;C277)</f>
        <v/>
      </c>
      <c r="B277" s="121"/>
      <c r="C277" s="121"/>
      <c r="D277" s="121"/>
      <c r="E277" s="127"/>
      <c r="F277" s="121"/>
      <c r="G277" s="121"/>
      <c r="H277" s="121"/>
      <c r="I277" s="121"/>
      <c r="J277" s="121"/>
      <c r="K277" s="121"/>
      <c r="L277" s="121"/>
      <c r="M277" s="121"/>
      <c r="N277" s="121"/>
      <c r="O277" s="121"/>
      <c r="P277" s="121"/>
      <c r="Q277" s="121"/>
      <c r="R277" s="121"/>
      <c r="S277" s="121"/>
      <c r="T277" s="121"/>
      <c r="U277" s="121"/>
      <c r="V277" s="121"/>
      <c r="W277" s="121"/>
      <c r="X277" s="121"/>
      <c r="Y277" s="121"/>
      <c r="Z277" s="121"/>
      <c r="AA277" s="121"/>
    </row>
    <row r="278" customFormat="false" ht="15.75" hidden="false" customHeight="false" outlineLevel="0" collapsed="false">
      <c r="A278" s="121" t="str">
        <f aca="false">IF(ISBLANK(B278),"",B278&amp;"|"&amp;C278)</f>
        <v/>
      </c>
      <c r="B278" s="121"/>
      <c r="C278" s="121"/>
      <c r="D278" s="121"/>
      <c r="E278" s="127"/>
      <c r="F278" s="121"/>
      <c r="G278" s="121"/>
      <c r="H278" s="121"/>
      <c r="I278" s="121"/>
      <c r="J278" s="121"/>
      <c r="K278" s="121"/>
      <c r="L278" s="121"/>
      <c r="M278" s="121"/>
      <c r="N278" s="121"/>
      <c r="O278" s="121"/>
      <c r="P278" s="121"/>
      <c r="Q278" s="121"/>
      <c r="R278" s="121"/>
      <c r="S278" s="121"/>
      <c r="T278" s="121"/>
      <c r="U278" s="121"/>
      <c r="V278" s="121"/>
      <c r="W278" s="121"/>
      <c r="X278" s="121"/>
      <c r="Y278" s="121"/>
      <c r="Z278" s="121"/>
      <c r="AA278" s="121"/>
    </row>
    <row r="279" customFormat="false" ht="15.75" hidden="false" customHeight="false" outlineLevel="0" collapsed="false">
      <c r="A279" s="121" t="str">
        <f aca="false">IF(ISBLANK(B279),"",B279&amp;"|"&amp;C279)</f>
        <v/>
      </c>
      <c r="B279" s="121"/>
      <c r="C279" s="121"/>
      <c r="D279" s="121"/>
      <c r="E279" s="127"/>
      <c r="F279" s="121"/>
      <c r="G279" s="121"/>
      <c r="H279" s="121"/>
      <c r="I279" s="121"/>
      <c r="J279" s="121"/>
      <c r="K279" s="121"/>
      <c r="L279" s="121"/>
      <c r="M279" s="121"/>
      <c r="N279" s="121"/>
      <c r="O279" s="121"/>
      <c r="P279" s="121"/>
      <c r="Q279" s="121"/>
      <c r="R279" s="121"/>
      <c r="S279" s="121"/>
      <c r="T279" s="121"/>
      <c r="U279" s="121"/>
      <c r="V279" s="121"/>
      <c r="W279" s="121"/>
      <c r="X279" s="121"/>
      <c r="Y279" s="121"/>
      <c r="Z279" s="121"/>
      <c r="AA279" s="121"/>
    </row>
    <row r="280" customFormat="false" ht="15.75" hidden="false" customHeight="false" outlineLevel="0" collapsed="false">
      <c r="A280" s="121" t="str">
        <f aca="false">IF(ISBLANK(B280),"",B280&amp;"|"&amp;C280)</f>
        <v/>
      </c>
      <c r="B280" s="121"/>
      <c r="C280" s="121"/>
      <c r="D280" s="121"/>
      <c r="E280" s="127"/>
      <c r="F280" s="121"/>
      <c r="G280" s="121"/>
      <c r="H280" s="121"/>
      <c r="I280" s="121"/>
      <c r="J280" s="121"/>
      <c r="K280" s="121"/>
      <c r="L280" s="121"/>
      <c r="M280" s="121"/>
      <c r="N280" s="121"/>
      <c r="O280" s="121"/>
      <c r="P280" s="121"/>
      <c r="Q280" s="121"/>
      <c r="R280" s="121"/>
      <c r="S280" s="121"/>
      <c r="T280" s="121"/>
      <c r="U280" s="121"/>
      <c r="V280" s="121"/>
      <c r="W280" s="121"/>
      <c r="X280" s="121"/>
      <c r="Y280" s="121"/>
      <c r="Z280" s="121"/>
      <c r="AA280" s="121"/>
    </row>
    <row r="281" customFormat="false" ht="15.75" hidden="false" customHeight="false" outlineLevel="0" collapsed="false">
      <c r="A281" s="121" t="str">
        <f aca="false">IF(ISBLANK(B281),"",B281&amp;"|"&amp;C281)</f>
        <v/>
      </c>
      <c r="B281" s="121"/>
      <c r="C281" s="121"/>
      <c r="D281" s="121"/>
      <c r="E281" s="127"/>
      <c r="F281" s="121"/>
      <c r="G281" s="121"/>
      <c r="H281" s="121"/>
      <c r="I281" s="121"/>
      <c r="J281" s="121"/>
      <c r="K281" s="121"/>
      <c r="L281" s="121"/>
      <c r="M281" s="121"/>
      <c r="N281" s="121"/>
      <c r="O281" s="121"/>
      <c r="P281" s="121"/>
      <c r="Q281" s="121"/>
      <c r="R281" s="121"/>
      <c r="S281" s="121"/>
      <c r="T281" s="121"/>
      <c r="U281" s="121"/>
      <c r="V281" s="121"/>
      <c r="W281" s="121"/>
      <c r="X281" s="121"/>
      <c r="Y281" s="121"/>
      <c r="Z281" s="121"/>
      <c r="AA281" s="121"/>
    </row>
    <row r="282" customFormat="false" ht="15.75" hidden="false" customHeight="false" outlineLevel="0" collapsed="false">
      <c r="A282" s="121" t="str">
        <f aca="false">IF(ISBLANK(B282),"",B282&amp;"|"&amp;C282)</f>
        <v/>
      </c>
      <c r="B282" s="121"/>
      <c r="C282" s="121"/>
      <c r="D282" s="121"/>
      <c r="E282" s="127"/>
      <c r="F282" s="121"/>
      <c r="G282" s="121"/>
      <c r="H282" s="121"/>
      <c r="I282" s="121"/>
      <c r="J282" s="121"/>
      <c r="K282" s="121"/>
      <c r="L282" s="121"/>
      <c r="M282" s="121"/>
      <c r="N282" s="121"/>
      <c r="O282" s="121"/>
      <c r="P282" s="121"/>
      <c r="Q282" s="121"/>
      <c r="R282" s="121"/>
      <c r="S282" s="121"/>
      <c r="T282" s="121"/>
      <c r="U282" s="121"/>
      <c r="V282" s="121"/>
      <c r="W282" s="121"/>
      <c r="X282" s="121"/>
      <c r="Y282" s="121"/>
      <c r="Z282" s="121"/>
      <c r="AA282" s="121"/>
    </row>
    <row r="283" customFormat="false" ht="15.75" hidden="false" customHeight="false" outlineLevel="0" collapsed="false">
      <c r="A283" s="121" t="str">
        <f aca="false">IF(ISBLANK(B283),"",B283&amp;"|"&amp;C283)</f>
        <v/>
      </c>
      <c r="B283" s="121"/>
      <c r="C283" s="121"/>
      <c r="D283" s="121"/>
      <c r="E283" s="127"/>
      <c r="F283" s="121"/>
      <c r="G283" s="121"/>
      <c r="H283" s="121"/>
      <c r="I283" s="121"/>
      <c r="J283" s="121"/>
      <c r="K283" s="121"/>
      <c r="L283" s="121"/>
      <c r="M283" s="121"/>
      <c r="N283" s="121"/>
      <c r="O283" s="121"/>
      <c r="P283" s="121"/>
      <c r="Q283" s="121"/>
      <c r="R283" s="121"/>
      <c r="S283" s="121"/>
      <c r="T283" s="121"/>
      <c r="U283" s="121"/>
      <c r="V283" s="121"/>
      <c r="W283" s="121"/>
      <c r="X283" s="121"/>
      <c r="Y283" s="121"/>
      <c r="Z283" s="121"/>
      <c r="AA283" s="121"/>
    </row>
    <row r="284" customFormat="false" ht="15.75" hidden="false" customHeight="false" outlineLevel="0" collapsed="false">
      <c r="A284" s="121" t="str">
        <f aca="false">IF(ISBLANK(B284),"",B284&amp;"|"&amp;C284)</f>
        <v/>
      </c>
      <c r="B284" s="121"/>
      <c r="C284" s="121"/>
      <c r="D284" s="121"/>
      <c r="E284" s="127"/>
      <c r="F284" s="121"/>
      <c r="G284" s="121"/>
      <c r="H284" s="121"/>
      <c r="I284" s="121"/>
      <c r="J284" s="121"/>
      <c r="K284" s="121"/>
      <c r="L284" s="121"/>
      <c r="M284" s="121"/>
      <c r="N284" s="121"/>
      <c r="O284" s="121"/>
      <c r="P284" s="121"/>
      <c r="Q284" s="121"/>
      <c r="R284" s="121"/>
      <c r="S284" s="121"/>
      <c r="T284" s="121"/>
      <c r="U284" s="121"/>
      <c r="V284" s="121"/>
      <c r="W284" s="121"/>
      <c r="X284" s="121"/>
      <c r="Y284" s="121"/>
      <c r="Z284" s="121"/>
      <c r="AA284" s="121"/>
    </row>
    <row r="285" customFormat="false" ht="15.75" hidden="false" customHeight="false" outlineLevel="0" collapsed="false">
      <c r="A285" s="121" t="str">
        <f aca="false">IF(ISBLANK(B285),"",B285&amp;"|"&amp;C285)</f>
        <v/>
      </c>
      <c r="B285" s="121"/>
      <c r="C285" s="121"/>
      <c r="D285" s="121"/>
      <c r="E285" s="127"/>
      <c r="F285" s="121"/>
      <c r="G285" s="121"/>
      <c r="H285" s="121"/>
      <c r="I285" s="121"/>
      <c r="J285" s="121"/>
      <c r="K285" s="121"/>
      <c r="L285" s="121"/>
      <c r="M285" s="121"/>
      <c r="N285" s="121"/>
      <c r="O285" s="121"/>
      <c r="P285" s="121"/>
      <c r="Q285" s="121"/>
      <c r="R285" s="121"/>
      <c r="S285" s="121"/>
      <c r="T285" s="121"/>
      <c r="U285" s="121"/>
      <c r="V285" s="121"/>
      <c r="W285" s="121"/>
      <c r="X285" s="121"/>
      <c r="Y285" s="121"/>
      <c r="Z285" s="121"/>
      <c r="AA285" s="121"/>
    </row>
    <row r="286" customFormat="false" ht="15.75" hidden="false" customHeight="false" outlineLevel="0" collapsed="false">
      <c r="A286" s="121" t="str">
        <f aca="false">IF(ISBLANK(B286),"",B286&amp;"|"&amp;C286)</f>
        <v/>
      </c>
      <c r="B286" s="121"/>
      <c r="C286" s="121"/>
      <c r="D286" s="121"/>
      <c r="E286" s="127"/>
      <c r="F286" s="121"/>
      <c r="G286" s="121"/>
      <c r="H286" s="121"/>
      <c r="I286" s="121"/>
      <c r="J286" s="121"/>
      <c r="K286" s="121"/>
      <c r="L286" s="121"/>
      <c r="M286" s="121"/>
      <c r="N286" s="121"/>
      <c r="O286" s="121"/>
      <c r="P286" s="121"/>
      <c r="Q286" s="121"/>
      <c r="R286" s="121"/>
      <c r="S286" s="121"/>
      <c r="T286" s="121"/>
      <c r="U286" s="121"/>
      <c r="V286" s="121"/>
      <c r="W286" s="121"/>
      <c r="X286" s="121"/>
      <c r="Y286" s="121"/>
      <c r="Z286" s="121"/>
      <c r="AA286" s="121"/>
    </row>
    <row r="287" customFormat="false" ht="15.75" hidden="false" customHeight="false" outlineLevel="0" collapsed="false">
      <c r="A287" s="121" t="str">
        <f aca="false">IF(ISBLANK(B287),"",B287&amp;"|"&amp;C287)</f>
        <v/>
      </c>
      <c r="B287" s="121"/>
      <c r="C287" s="121"/>
      <c r="D287" s="121"/>
      <c r="E287" s="127"/>
      <c r="F287" s="121"/>
      <c r="G287" s="121"/>
      <c r="H287" s="121"/>
      <c r="I287" s="121"/>
      <c r="J287" s="121"/>
      <c r="K287" s="121"/>
      <c r="L287" s="121"/>
      <c r="M287" s="121"/>
      <c r="N287" s="121"/>
      <c r="O287" s="121"/>
      <c r="P287" s="121"/>
      <c r="Q287" s="121"/>
      <c r="R287" s="121"/>
      <c r="S287" s="121"/>
      <c r="T287" s="121"/>
      <c r="U287" s="121"/>
      <c r="V287" s="121"/>
      <c r="W287" s="121"/>
      <c r="X287" s="121"/>
      <c r="Y287" s="121"/>
      <c r="Z287" s="121"/>
      <c r="AA287" s="121"/>
    </row>
    <row r="288" customFormat="false" ht="15.75" hidden="false" customHeight="false" outlineLevel="0" collapsed="false">
      <c r="A288" s="121" t="str">
        <f aca="false">IF(ISBLANK(B288),"",B288&amp;"|"&amp;C288)</f>
        <v/>
      </c>
      <c r="B288" s="121"/>
      <c r="C288" s="121"/>
      <c r="D288" s="121"/>
      <c r="E288" s="127"/>
      <c r="F288" s="121"/>
      <c r="G288" s="121"/>
      <c r="H288" s="121"/>
      <c r="I288" s="121"/>
      <c r="J288" s="121"/>
      <c r="K288" s="121"/>
      <c r="L288" s="121"/>
      <c r="M288" s="121"/>
      <c r="N288" s="121"/>
      <c r="O288" s="121"/>
      <c r="P288" s="121"/>
      <c r="Q288" s="121"/>
      <c r="R288" s="121"/>
      <c r="S288" s="121"/>
      <c r="T288" s="121"/>
      <c r="U288" s="121"/>
      <c r="V288" s="121"/>
      <c r="W288" s="121"/>
      <c r="X288" s="121"/>
      <c r="Y288" s="121"/>
      <c r="Z288" s="121"/>
      <c r="AA288" s="121"/>
    </row>
    <row r="289" customFormat="false" ht="15.75" hidden="false" customHeight="false" outlineLevel="0" collapsed="false">
      <c r="A289" s="121" t="str">
        <f aca="false">IF(ISBLANK(B289),"",B289&amp;"|"&amp;C289)</f>
        <v/>
      </c>
      <c r="B289" s="121"/>
      <c r="C289" s="121"/>
      <c r="D289" s="121"/>
      <c r="E289" s="127"/>
      <c r="F289" s="121"/>
      <c r="G289" s="121"/>
      <c r="H289" s="121"/>
      <c r="I289" s="121"/>
      <c r="J289" s="121"/>
      <c r="K289" s="121"/>
      <c r="L289" s="121"/>
      <c r="M289" s="121"/>
      <c r="N289" s="121"/>
      <c r="O289" s="121"/>
      <c r="P289" s="121"/>
      <c r="Q289" s="121"/>
      <c r="R289" s="121"/>
      <c r="S289" s="121"/>
      <c r="T289" s="121"/>
      <c r="U289" s="121"/>
      <c r="V289" s="121"/>
      <c r="W289" s="121"/>
      <c r="X289" s="121"/>
      <c r="Y289" s="121"/>
      <c r="Z289" s="121"/>
      <c r="AA289" s="121"/>
    </row>
    <row r="290" customFormat="false" ht="15.75" hidden="false" customHeight="false" outlineLevel="0" collapsed="false">
      <c r="A290" s="121" t="str">
        <f aca="false">IF(ISBLANK(B290),"",B290&amp;"|"&amp;C290)</f>
        <v/>
      </c>
      <c r="B290" s="121"/>
      <c r="C290" s="121"/>
      <c r="D290" s="121"/>
      <c r="E290" s="127"/>
      <c r="F290" s="121"/>
      <c r="G290" s="121"/>
      <c r="H290" s="121"/>
      <c r="I290" s="121"/>
      <c r="J290" s="121"/>
      <c r="K290" s="121"/>
      <c r="L290" s="121"/>
      <c r="M290" s="121"/>
      <c r="N290" s="121"/>
      <c r="O290" s="121"/>
      <c r="P290" s="121"/>
      <c r="Q290" s="121"/>
      <c r="R290" s="121"/>
      <c r="S290" s="121"/>
      <c r="T290" s="121"/>
      <c r="U290" s="121"/>
      <c r="V290" s="121"/>
      <c r="W290" s="121"/>
      <c r="X290" s="121"/>
      <c r="Y290" s="121"/>
      <c r="Z290" s="121"/>
      <c r="AA290" s="121"/>
    </row>
    <row r="291" customFormat="false" ht="15.75" hidden="false" customHeight="false" outlineLevel="0" collapsed="false">
      <c r="A291" s="121" t="str">
        <f aca="false">IF(ISBLANK(B291),"",B291&amp;"|"&amp;C291)</f>
        <v/>
      </c>
      <c r="B291" s="121"/>
      <c r="C291" s="121"/>
      <c r="D291" s="121"/>
      <c r="E291" s="127"/>
      <c r="F291" s="121"/>
      <c r="G291" s="121"/>
      <c r="H291" s="121"/>
      <c r="I291" s="121"/>
      <c r="J291" s="121"/>
      <c r="K291" s="121"/>
      <c r="L291" s="121"/>
      <c r="M291" s="121"/>
      <c r="N291" s="121"/>
      <c r="O291" s="121"/>
      <c r="P291" s="121"/>
      <c r="Q291" s="121"/>
      <c r="R291" s="121"/>
      <c r="S291" s="121"/>
      <c r="T291" s="121"/>
      <c r="U291" s="121"/>
      <c r="V291" s="121"/>
      <c r="W291" s="121"/>
      <c r="X291" s="121"/>
      <c r="Y291" s="121"/>
      <c r="Z291" s="121"/>
      <c r="AA291" s="121"/>
    </row>
    <row r="292" customFormat="false" ht="15.75" hidden="false" customHeight="false" outlineLevel="0" collapsed="false">
      <c r="A292" s="121" t="str">
        <f aca="false">IF(ISBLANK(B292),"",B292&amp;"|"&amp;C292)</f>
        <v/>
      </c>
      <c r="B292" s="121"/>
      <c r="C292" s="121"/>
      <c r="D292" s="121"/>
      <c r="E292" s="127"/>
      <c r="F292" s="121"/>
      <c r="G292" s="121"/>
      <c r="H292" s="121"/>
      <c r="I292" s="121"/>
      <c r="J292" s="121"/>
      <c r="K292" s="121"/>
      <c r="L292" s="121"/>
      <c r="M292" s="121"/>
      <c r="N292" s="121"/>
      <c r="O292" s="121"/>
      <c r="P292" s="121"/>
      <c r="Q292" s="121"/>
      <c r="R292" s="121"/>
      <c r="S292" s="121"/>
      <c r="T292" s="121"/>
      <c r="U292" s="121"/>
      <c r="V292" s="121"/>
      <c r="W292" s="121"/>
      <c r="X292" s="121"/>
      <c r="Y292" s="121"/>
      <c r="Z292" s="121"/>
      <c r="AA292" s="121"/>
    </row>
    <row r="293" customFormat="false" ht="15.75" hidden="false" customHeight="false" outlineLevel="0" collapsed="false">
      <c r="A293" s="121" t="str">
        <f aca="false">IF(ISBLANK(B293),"",B293&amp;"|"&amp;C293)</f>
        <v/>
      </c>
      <c r="B293" s="121"/>
      <c r="C293" s="121"/>
      <c r="D293" s="121"/>
      <c r="E293" s="127"/>
      <c r="F293" s="121"/>
      <c r="G293" s="121"/>
      <c r="H293" s="121"/>
      <c r="I293" s="121"/>
      <c r="J293" s="121"/>
      <c r="K293" s="121"/>
      <c r="L293" s="121"/>
      <c r="M293" s="121"/>
      <c r="N293" s="121"/>
      <c r="O293" s="121"/>
      <c r="P293" s="121"/>
      <c r="Q293" s="121"/>
      <c r="R293" s="121"/>
      <c r="S293" s="121"/>
      <c r="T293" s="121"/>
      <c r="U293" s="121"/>
      <c r="V293" s="121"/>
      <c r="W293" s="121"/>
      <c r="X293" s="121"/>
      <c r="Y293" s="121"/>
      <c r="Z293" s="121"/>
      <c r="AA293" s="121"/>
    </row>
    <row r="294" customFormat="false" ht="15.75" hidden="false" customHeight="false" outlineLevel="0" collapsed="false">
      <c r="A294" s="121" t="str">
        <f aca="false">IF(ISBLANK(B294),"",B294&amp;"|"&amp;C294)</f>
        <v/>
      </c>
      <c r="B294" s="121"/>
      <c r="C294" s="121"/>
      <c r="D294" s="121"/>
      <c r="E294" s="127"/>
      <c r="F294" s="121"/>
      <c r="G294" s="121"/>
      <c r="H294" s="121"/>
      <c r="I294" s="121"/>
      <c r="J294" s="121"/>
      <c r="K294" s="121"/>
      <c r="L294" s="121"/>
      <c r="M294" s="121"/>
      <c r="N294" s="121"/>
      <c r="O294" s="121"/>
      <c r="P294" s="121"/>
      <c r="Q294" s="121"/>
      <c r="R294" s="121"/>
      <c r="S294" s="121"/>
      <c r="T294" s="121"/>
      <c r="U294" s="121"/>
      <c r="V294" s="121"/>
      <c r="W294" s="121"/>
      <c r="X294" s="121"/>
      <c r="Y294" s="121"/>
      <c r="Z294" s="121"/>
      <c r="AA294" s="121"/>
    </row>
    <row r="295" customFormat="false" ht="15.75" hidden="false" customHeight="false" outlineLevel="0" collapsed="false">
      <c r="A295" s="121" t="str">
        <f aca="false">IF(ISBLANK(B295),"",B295&amp;"|"&amp;C295)</f>
        <v/>
      </c>
      <c r="B295" s="121"/>
      <c r="C295" s="121"/>
      <c r="D295" s="121"/>
      <c r="E295" s="127"/>
      <c r="F295" s="121"/>
      <c r="G295" s="121"/>
      <c r="H295" s="121"/>
      <c r="I295" s="121"/>
      <c r="J295" s="121"/>
      <c r="K295" s="121"/>
      <c r="L295" s="121"/>
      <c r="M295" s="121"/>
      <c r="N295" s="121"/>
      <c r="O295" s="121"/>
      <c r="P295" s="121"/>
      <c r="Q295" s="121"/>
      <c r="R295" s="121"/>
      <c r="S295" s="121"/>
      <c r="T295" s="121"/>
      <c r="U295" s="121"/>
      <c r="V295" s="121"/>
      <c r="W295" s="121"/>
      <c r="X295" s="121"/>
      <c r="Y295" s="121"/>
      <c r="Z295" s="121"/>
      <c r="AA295" s="121"/>
    </row>
    <row r="296" customFormat="false" ht="15.75" hidden="false" customHeight="false" outlineLevel="0" collapsed="false">
      <c r="A296" s="121" t="str">
        <f aca="false">IF(ISBLANK(B296),"",B296&amp;"|"&amp;C296)</f>
        <v/>
      </c>
      <c r="B296" s="121"/>
      <c r="C296" s="121"/>
      <c r="D296" s="121"/>
      <c r="E296" s="127"/>
      <c r="F296" s="121"/>
      <c r="G296" s="121"/>
      <c r="H296" s="121"/>
      <c r="I296" s="121"/>
      <c r="J296" s="121"/>
      <c r="K296" s="121"/>
      <c r="L296" s="121"/>
      <c r="M296" s="121"/>
      <c r="N296" s="121"/>
      <c r="O296" s="121"/>
      <c r="P296" s="121"/>
      <c r="Q296" s="121"/>
      <c r="R296" s="121"/>
      <c r="S296" s="121"/>
      <c r="T296" s="121"/>
      <c r="U296" s="121"/>
      <c r="V296" s="121"/>
      <c r="W296" s="121"/>
      <c r="X296" s="121"/>
      <c r="Y296" s="121"/>
      <c r="Z296" s="121"/>
      <c r="AA296" s="121"/>
    </row>
    <row r="297" customFormat="false" ht="15.75" hidden="false" customHeight="false" outlineLevel="0" collapsed="false">
      <c r="A297" s="121" t="str">
        <f aca="false">IF(ISBLANK(B297),"",B297&amp;"|"&amp;C297)</f>
        <v/>
      </c>
      <c r="B297" s="121"/>
      <c r="C297" s="121"/>
      <c r="D297" s="121"/>
      <c r="E297" s="127"/>
      <c r="F297" s="121"/>
      <c r="G297" s="121"/>
      <c r="H297" s="121"/>
      <c r="I297" s="121"/>
      <c r="J297" s="121"/>
      <c r="K297" s="121"/>
      <c r="L297" s="121"/>
      <c r="M297" s="121"/>
      <c r="N297" s="121"/>
      <c r="O297" s="121"/>
      <c r="P297" s="121"/>
      <c r="Q297" s="121"/>
      <c r="R297" s="121"/>
      <c r="S297" s="121"/>
      <c r="T297" s="121"/>
      <c r="U297" s="121"/>
      <c r="V297" s="121"/>
      <c r="W297" s="121"/>
      <c r="X297" s="121"/>
      <c r="Y297" s="121"/>
      <c r="Z297" s="121"/>
      <c r="AA297" s="121"/>
    </row>
    <row r="298" customFormat="false" ht="15.75" hidden="false" customHeight="false" outlineLevel="0" collapsed="false">
      <c r="A298" s="121" t="str">
        <f aca="false">IF(ISBLANK(B298),"",B298&amp;"|"&amp;C298)</f>
        <v/>
      </c>
      <c r="B298" s="121"/>
      <c r="C298" s="121"/>
      <c r="D298" s="121"/>
      <c r="E298" s="127"/>
      <c r="F298" s="121"/>
      <c r="G298" s="121"/>
      <c r="H298" s="121"/>
      <c r="I298" s="121"/>
      <c r="J298" s="121"/>
      <c r="K298" s="121"/>
      <c r="L298" s="121"/>
      <c r="M298" s="121"/>
      <c r="N298" s="121"/>
      <c r="O298" s="121"/>
      <c r="P298" s="121"/>
      <c r="Q298" s="121"/>
      <c r="R298" s="121"/>
      <c r="S298" s="121"/>
      <c r="T298" s="121"/>
      <c r="U298" s="121"/>
      <c r="V298" s="121"/>
      <c r="W298" s="121"/>
      <c r="X298" s="121"/>
      <c r="Y298" s="121"/>
      <c r="Z298" s="121"/>
      <c r="AA298" s="121"/>
    </row>
    <row r="299" customFormat="false" ht="15.75" hidden="false" customHeight="false" outlineLevel="0" collapsed="false">
      <c r="A299" s="121" t="str">
        <f aca="false">IF(ISBLANK(B299),"",B299&amp;"|"&amp;C299)</f>
        <v/>
      </c>
      <c r="B299" s="121"/>
      <c r="C299" s="121"/>
      <c r="D299" s="121"/>
      <c r="E299" s="127"/>
      <c r="F299" s="121"/>
      <c r="G299" s="121"/>
      <c r="H299" s="121"/>
      <c r="I299" s="121"/>
      <c r="J299" s="121"/>
      <c r="K299" s="121"/>
      <c r="L299" s="121"/>
      <c r="M299" s="121"/>
      <c r="N299" s="121"/>
      <c r="O299" s="121"/>
      <c r="P299" s="121"/>
      <c r="Q299" s="121"/>
      <c r="R299" s="121"/>
      <c r="S299" s="121"/>
      <c r="T299" s="121"/>
      <c r="U299" s="121"/>
      <c r="V299" s="121"/>
      <c r="W299" s="121"/>
      <c r="X299" s="121"/>
      <c r="Y299" s="121"/>
      <c r="Z299" s="121"/>
      <c r="AA299" s="121"/>
    </row>
    <row r="300" customFormat="false" ht="15.75" hidden="false" customHeight="false" outlineLevel="0" collapsed="false">
      <c r="A300" s="121" t="str">
        <f aca="false">IF(ISBLANK(B300),"",B300&amp;"|"&amp;C300)</f>
        <v/>
      </c>
      <c r="B300" s="121"/>
      <c r="C300" s="121"/>
      <c r="D300" s="121"/>
      <c r="E300" s="127"/>
      <c r="F300" s="121"/>
      <c r="G300" s="121"/>
      <c r="H300" s="121"/>
      <c r="I300" s="121"/>
      <c r="J300" s="121"/>
      <c r="K300" s="121"/>
      <c r="L300" s="121"/>
      <c r="M300" s="121"/>
      <c r="N300" s="121"/>
      <c r="O300" s="121"/>
      <c r="P300" s="121"/>
      <c r="Q300" s="121"/>
      <c r="R300" s="121"/>
      <c r="S300" s="121"/>
      <c r="T300" s="121"/>
      <c r="U300" s="121"/>
      <c r="V300" s="121"/>
      <c r="W300" s="121"/>
      <c r="X300" s="121"/>
      <c r="Y300" s="121"/>
      <c r="Z300" s="121"/>
      <c r="AA300" s="121"/>
    </row>
    <row r="301" customFormat="false" ht="15.75" hidden="false" customHeight="false" outlineLevel="0" collapsed="false">
      <c r="A301" s="121" t="str">
        <f aca="false">IF(ISBLANK(B301),"",B301&amp;"|"&amp;C301)</f>
        <v/>
      </c>
      <c r="B301" s="121"/>
      <c r="C301" s="121"/>
      <c r="D301" s="121"/>
      <c r="E301" s="127"/>
      <c r="F301" s="121"/>
      <c r="G301" s="121"/>
      <c r="H301" s="121"/>
      <c r="I301" s="121"/>
      <c r="J301" s="121"/>
      <c r="K301" s="121"/>
      <c r="L301" s="121"/>
      <c r="M301" s="121"/>
      <c r="N301" s="121"/>
      <c r="O301" s="121"/>
      <c r="P301" s="121"/>
      <c r="Q301" s="121"/>
      <c r="R301" s="121"/>
      <c r="S301" s="121"/>
      <c r="T301" s="121"/>
      <c r="U301" s="121"/>
      <c r="V301" s="121"/>
      <c r="W301" s="121"/>
      <c r="X301" s="121"/>
      <c r="Y301" s="121"/>
      <c r="Z301" s="121"/>
      <c r="AA301" s="121"/>
    </row>
    <row r="302" customFormat="false" ht="15.75" hidden="false" customHeight="false" outlineLevel="0" collapsed="false">
      <c r="A302" s="121" t="str">
        <f aca="false">IF(ISBLANK(B302),"",B302&amp;"|"&amp;C302)</f>
        <v/>
      </c>
      <c r="B302" s="121"/>
      <c r="C302" s="121"/>
      <c r="D302" s="121"/>
      <c r="E302" s="127"/>
      <c r="F302" s="121"/>
      <c r="G302" s="121"/>
      <c r="H302" s="121"/>
      <c r="I302" s="121"/>
      <c r="J302" s="121"/>
      <c r="K302" s="121"/>
      <c r="L302" s="121"/>
      <c r="M302" s="121"/>
      <c r="N302" s="121"/>
      <c r="O302" s="121"/>
      <c r="P302" s="121"/>
      <c r="Q302" s="121"/>
      <c r="R302" s="121"/>
      <c r="S302" s="121"/>
      <c r="T302" s="121"/>
      <c r="U302" s="121"/>
      <c r="V302" s="121"/>
      <c r="W302" s="121"/>
      <c r="X302" s="121"/>
      <c r="Y302" s="121"/>
      <c r="Z302" s="121"/>
      <c r="AA302" s="121"/>
    </row>
    <row r="303" customFormat="false" ht="15.75" hidden="false" customHeight="false" outlineLevel="0" collapsed="false">
      <c r="A303" s="121" t="str">
        <f aca="false">IF(ISBLANK(B303),"",B303&amp;"|"&amp;C303)</f>
        <v/>
      </c>
      <c r="B303" s="121"/>
      <c r="C303" s="121"/>
      <c r="D303" s="121"/>
      <c r="E303" s="127"/>
      <c r="F303" s="121"/>
      <c r="G303" s="121"/>
      <c r="H303" s="121"/>
      <c r="I303" s="121"/>
      <c r="J303" s="121"/>
      <c r="K303" s="121"/>
      <c r="L303" s="121"/>
      <c r="M303" s="121"/>
      <c r="N303" s="121"/>
      <c r="O303" s="121"/>
      <c r="P303" s="121"/>
      <c r="Q303" s="121"/>
      <c r="R303" s="121"/>
      <c r="S303" s="121"/>
      <c r="T303" s="121"/>
      <c r="U303" s="121"/>
      <c r="V303" s="121"/>
      <c r="W303" s="121"/>
      <c r="X303" s="121"/>
      <c r="Y303" s="121"/>
      <c r="Z303" s="121"/>
      <c r="AA303" s="121"/>
    </row>
    <row r="304" customFormat="false" ht="15.75" hidden="false" customHeight="false" outlineLevel="0" collapsed="false">
      <c r="A304" s="121" t="str">
        <f aca="false">IF(ISBLANK(B304),"",B304&amp;"|"&amp;C304)</f>
        <v/>
      </c>
      <c r="B304" s="121"/>
      <c r="C304" s="121"/>
      <c r="D304" s="121"/>
      <c r="E304" s="127"/>
      <c r="F304" s="121"/>
      <c r="G304" s="121"/>
      <c r="H304" s="121"/>
      <c r="I304" s="121"/>
      <c r="J304" s="121"/>
      <c r="K304" s="121"/>
      <c r="L304" s="121"/>
      <c r="M304" s="121"/>
      <c r="N304" s="121"/>
      <c r="O304" s="121"/>
      <c r="P304" s="121"/>
      <c r="Q304" s="121"/>
      <c r="R304" s="121"/>
      <c r="S304" s="121"/>
      <c r="T304" s="121"/>
      <c r="U304" s="121"/>
      <c r="V304" s="121"/>
      <c r="W304" s="121"/>
      <c r="X304" s="121"/>
      <c r="Y304" s="121"/>
      <c r="Z304" s="121"/>
      <c r="AA304" s="121"/>
    </row>
    <row r="305" customFormat="false" ht="15.75" hidden="false" customHeight="false" outlineLevel="0" collapsed="false">
      <c r="A305" s="121" t="str">
        <f aca="false">IF(ISBLANK(B305),"",B305&amp;"|"&amp;C305)</f>
        <v/>
      </c>
      <c r="B305" s="121"/>
      <c r="C305" s="121"/>
      <c r="D305" s="121"/>
      <c r="E305" s="127"/>
      <c r="F305" s="121"/>
      <c r="G305" s="121"/>
      <c r="H305" s="121"/>
      <c r="I305" s="121"/>
      <c r="J305" s="121"/>
      <c r="K305" s="121"/>
      <c r="L305" s="121"/>
      <c r="M305" s="121"/>
      <c r="N305" s="121"/>
      <c r="O305" s="121"/>
      <c r="P305" s="121"/>
      <c r="Q305" s="121"/>
      <c r="R305" s="121"/>
      <c r="S305" s="121"/>
      <c r="T305" s="121"/>
      <c r="U305" s="121"/>
      <c r="V305" s="121"/>
      <c r="W305" s="121"/>
      <c r="X305" s="121"/>
      <c r="Y305" s="121"/>
      <c r="Z305" s="121"/>
      <c r="AA305" s="121"/>
    </row>
    <row r="306" customFormat="false" ht="15.75" hidden="false" customHeight="false" outlineLevel="0" collapsed="false">
      <c r="A306" s="121" t="str">
        <f aca="false">IF(ISBLANK(B306),"",B306&amp;"|"&amp;C306)</f>
        <v/>
      </c>
      <c r="B306" s="121"/>
      <c r="C306" s="121"/>
      <c r="D306" s="121"/>
      <c r="E306" s="127"/>
      <c r="F306" s="121"/>
      <c r="G306" s="121"/>
      <c r="H306" s="121"/>
      <c r="I306" s="121"/>
      <c r="J306" s="121"/>
      <c r="K306" s="121"/>
      <c r="L306" s="121"/>
      <c r="M306" s="121"/>
      <c r="N306" s="121"/>
      <c r="O306" s="121"/>
      <c r="P306" s="121"/>
      <c r="Q306" s="121"/>
      <c r="R306" s="121"/>
      <c r="S306" s="121"/>
      <c r="T306" s="121"/>
      <c r="U306" s="121"/>
      <c r="V306" s="121"/>
      <c r="W306" s="121"/>
      <c r="X306" s="121"/>
      <c r="Y306" s="121"/>
      <c r="Z306" s="121"/>
      <c r="AA306" s="121"/>
    </row>
    <row r="307" customFormat="false" ht="15.75" hidden="false" customHeight="false" outlineLevel="0" collapsed="false">
      <c r="A307" s="121" t="str">
        <f aca="false">IF(ISBLANK(B307),"",B307&amp;"|"&amp;C307)</f>
        <v/>
      </c>
      <c r="B307" s="121"/>
      <c r="C307" s="121"/>
      <c r="D307" s="121"/>
      <c r="E307" s="127"/>
      <c r="F307" s="121"/>
      <c r="G307" s="121"/>
      <c r="H307" s="121"/>
      <c r="I307" s="121"/>
      <c r="J307" s="121"/>
      <c r="K307" s="121"/>
      <c r="L307" s="121"/>
      <c r="M307" s="121"/>
      <c r="N307" s="121"/>
      <c r="O307" s="121"/>
      <c r="P307" s="121"/>
      <c r="Q307" s="121"/>
      <c r="R307" s="121"/>
      <c r="S307" s="121"/>
      <c r="T307" s="121"/>
      <c r="U307" s="121"/>
      <c r="V307" s="121"/>
      <c r="W307" s="121"/>
      <c r="X307" s="121"/>
      <c r="Y307" s="121"/>
      <c r="Z307" s="121"/>
      <c r="AA307" s="121"/>
    </row>
    <row r="308" customFormat="false" ht="15.75" hidden="false" customHeight="false" outlineLevel="0" collapsed="false">
      <c r="A308" s="121" t="str">
        <f aca="false">IF(ISBLANK(B308),"",B308&amp;"|"&amp;C308)</f>
        <v/>
      </c>
      <c r="B308" s="121"/>
      <c r="C308" s="121"/>
      <c r="D308" s="121"/>
      <c r="E308" s="127"/>
      <c r="F308" s="121"/>
      <c r="G308" s="121"/>
      <c r="H308" s="121"/>
      <c r="I308" s="121"/>
      <c r="J308" s="121"/>
      <c r="K308" s="121"/>
      <c r="L308" s="121"/>
      <c r="M308" s="121"/>
      <c r="N308" s="121"/>
      <c r="O308" s="121"/>
      <c r="P308" s="121"/>
      <c r="Q308" s="121"/>
      <c r="R308" s="121"/>
      <c r="S308" s="121"/>
      <c r="T308" s="121"/>
      <c r="U308" s="121"/>
      <c r="V308" s="121"/>
      <c r="W308" s="121"/>
      <c r="X308" s="121"/>
      <c r="Y308" s="121"/>
      <c r="Z308" s="121"/>
      <c r="AA308" s="121"/>
    </row>
    <row r="309" customFormat="false" ht="15.75" hidden="false" customHeight="false" outlineLevel="0" collapsed="false">
      <c r="A309" s="121" t="str">
        <f aca="false">IF(ISBLANK(B309),"",B309&amp;"|"&amp;C309)</f>
        <v/>
      </c>
      <c r="B309" s="121"/>
      <c r="C309" s="121"/>
      <c r="D309" s="121"/>
      <c r="E309" s="127"/>
      <c r="F309" s="121"/>
      <c r="G309" s="121"/>
      <c r="H309" s="121"/>
      <c r="I309" s="121"/>
      <c r="J309" s="121"/>
      <c r="K309" s="121"/>
      <c r="L309" s="121"/>
      <c r="M309" s="121"/>
      <c r="N309" s="121"/>
      <c r="O309" s="121"/>
      <c r="P309" s="121"/>
      <c r="Q309" s="121"/>
      <c r="R309" s="121"/>
      <c r="S309" s="121"/>
      <c r="T309" s="121"/>
      <c r="U309" s="121"/>
      <c r="V309" s="121"/>
      <c r="W309" s="121"/>
      <c r="X309" s="121"/>
      <c r="Y309" s="121"/>
      <c r="Z309" s="121"/>
      <c r="AA309" s="121"/>
    </row>
    <row r="310" customFormat="false" ht="15.75" hidden="false" customHeight="false" outlineLevel="0" collapsed="false">
      <c r="A310" s="121" t="str">
        <f aca="false">IF(ISBLANK(B310),"",B310&amp;"|"&amp;C310)</f>
        <v/>
      </c>
      <c r="B310" s="121"/>
      <c r="C310" s="121"/>
      <c r="D310" s="121"/>
      <c r="E310" s="127"/>
      <c r="F310" s="121"/>
      <c r="G310" s="121"/>
      <c r="H310" s="121"/>
      <c r="I310" s="121"/>
      <c r="J310" s="121"/>
      <c r="K310" s="121"/>
      <c r="L310" s="121"/>
      <c r="M310" s="121"/>
      <c r="N310" s="121"/>
      <c r="O310" s="121"/>
      <c r="P310" s="121"/>
      <c r="Q310" s="121"/>
      <c r="R310" s="121"/>
      <c r="S310" s="121"/>
      <c r="T310" s="121"/>
      <c r="U310" s="121"/>
      <c r="V310" s="121"/>
      <c r="W310" s="121"/>
      <c r="X310" s="121"/>
      <c r="Y310" s="121"/>
      <c r="Z310" s="121"/>
      <c r="AA310" s="121"/>
    </row>
    <row r="311" customFormat="false" ht="15.75" hidden="false" customHeight="false" outlineLevel="0" collapsed="false">
      <c r="A311" s="121" t="str">
        <f aca="false">IF(ISBLANK(B311),"",B311&amp;"|"&amp;C311)</f>
        <v/>
      </c>
      <c r="B311" s="121"/>
      <c r="C311" s="121"/>
      <c r="D311" s="121"/>
      <c r="E311" s="127"/>
      <c r="F311" s="121"/>
      <c r="G311" s="121"/>
      <c r="H311" s="121"/>
      <c r="I311" s="121"/>
      <c r="J311" s="121"/>
      <c r="K311" s="121"/>
      <c r="L311" s="121"/>
      <c r="M311" s="121"/>
      <c r="N311" s="121"/>
      <c r="O311" s="121"/>
      <c r="P311" s="121"/>
      <c r="Q311" s="121"/>
      <c r="R311" s="121"/>
      <c r="S311" s="121"/>
      <c r="T311" s="121"/>
      <c r="U311" s="121"/>
      <c r="V311" s="121"/>
      <c r="W311" s="121"/>
      <c r="X311" s="121"/>
      <c r="Y311" s="121"/>
      <c r="Z311" s="121"/>
      <c r="AA311" s="121"/>
    </row>
    <row r="312" customFormat="false" ht="15.75" hidden="false" customHeight="false" outlineLevel="0" collapsed="false">
      <c r="A312" s="121" t="str">
        <f aca="false">IF(ISBLANK(B312),"",B312&amp;"|"&amp;C312)</f>
        <v/>
      </c>
      <c r="B312" s="121"/>
      <c r="C312" s="121"/>
      <c r="D312" s="121"/>
      <c r="E312" s="127"/>
      <c r="F312" s="121"/>
      <c r="G312" s="121"/>
      <c r="H312" s="121"/>
      <c r="I312" s="121"/>
      <c r="J312" s="121"/>
      <c r="K312" s="121"/>
      <c r="L312" s="121"/>
      <c r="M312" s="121"/>
      <c r="N312" s="121"/>
      <c r="O312" s="121"/>
      <c r="P312" s="121"/>
      <c r="Q312" s="121"/>
      <c r="R312" s="121"/>
      <c r="S312" s="121"/>
      <c r="T312" s="121"/>
      <c r="U312" s="121"/>
      <c r="V312" s="121"/>
      <c r="W312" s="121"/>
      <c r="X312" s="121"/>
      <c r="Y312" s="121"/>
      <c r="Z312" s="121"/>
      <c r="AA312" s="121"/>
    </row>
    <row r="313" customFormat="false" ht="15.75" hidden="false" customHeight="false" outlineLevel="0" collapsed="false">
      <c r="A313" s="121" t="str">
        <f aca="false">IF(ISBLANK(B313),"",B313&amp;"|"&amp;C313)</f>
        <v/>
      </c>
      <c r="B313" s="121"/>
      <c r="C313" s="121"/>
      <c r="D313" s="121"/>
      <c r="E313" s="127"/>
      <c r="F313" s="121"/>
      <c r="G313" s="121"/>
      <c r="H313" s="121"/>
      <c r="I313" s="121"/>
      <c r="J313" s="121"/>
      <c r="K313" s="121"/>
      <c r="L313" s="121"/>
      <c r="M313" s="121"/>
      <c r="N313" s="121"/>
      <c r="O313" s="121"/>
      <c r="P313" s="121"/>
      <c r="Q313" s="121"/>
      <c r="R313" s="121"/>
      <c r="S313" s="121"/>
      <c r="T313" s="121"/>
      <c r="U313" s="121"/>
      <c r="V313" s="121"/>
      <c r="W313" s="121"/>
      <c r="X313" s="121"/>
      <c r="Y313" s="121"/>
      <c r="Z313" s="121"/>
      <c r="AA313" s="121"/>
    </row>
    <row r="314" customFormat="false" ht="15.75" hidden="false" customHeight="false" outlineLevel="0" collapsed="false">
      <c r="A314" s="121" t="str">
        <f aca="false">IF(ISBLANK(B314),"",B314&amp;"|"&amp;C314)</f>
        <v/>
      </c>
      <c r="B314" s="121"/>
      <c r="C314" s="121"/>
      <c r="D314" s="121"/>
      <c r="E314" s="127"/>
      <c r="F314" s="121"/>
      <c r="G314" s="121"/>
      <c r="H314" s="121"/>
      <c r="I314" s="121"/>
      <c r="J314" s="121"/>
      <c r="K314" s="121"/>
      <c r="L314" s="121"/>
      <c r="M314" s="121"/>
      <c r="N314" s="121"/>
      <c r="O314" s="121"/>
      <c r="P314" s="121"/>
      <c r="Q314" s="121"/>
      <c r="R314" s="121"/>
      <c r="S314" s="121"/>
      <c r="T314" s="121"/>
      <c r="U314" s="121"/>
      <c r="V314" s="121"/>
      <c r="W314" s="121"/>
      <c r="X314" s="121"/>
      <c r="Y314" s="121"/>
      <c r="Z314" s="121"/>
      <c r="AA314" s="121"/>
    </row>
    <row r="315" customFormat="false" ht="15.75" hidden="false" customHeight="false" outlineLevel="0" collapsed="false">
      <c r="A315" s="121" t="str">
        <f aca="false">IF(ISBLANK(B315),"",B315&amp;"|"&amp;C315)</f>
        <v/>
      </c>
      <c r="B315" s="121"/>
      <c r="C315" s="121"/>
      <c r="D315" s="121"/>
      <c r="E315" s="127"/>
      <c r="F315" s="121"/>
      <c r="G315" s="121"/>
      <c r="H315" s="121"/>
      <c r="I315" s="121"/>
      <c r="J315" s="121"/>
      <c r="K315" s="121"/>
      <c r="L315" s="121"/>
      <c r="M315" s="121"/>
      <c r="N315" s="121"/>
      <c r="O315" s="121"/>
      <c r="P315" s="121"/>
      <c r="Q315" s="121"/>
      <c r="R315" s="121"/>
      <c r="S315" s="121"/>
      <c r="T315" s="121"/>
      <c r="U315" s="121"/>
      <c r="V315" s="121"/>
      <c r="W315" s="121"/>
      <c r="X315" s="121"/>
      <c r="Y315" s="121"/>
      <c r="Z315" s="121"/>
      <c r="AA315" s="121"/>
    </row>
    <row r="316" customFormat="false" ht="15.75" hidden="false" customHeight="false" outlineLevel="0" collapsed="false">
      <c r="A316" s="121" t="str">
        <f aca="false">IF(ISBLANK(B316),"",B316&amp;"|"&amp;C316)</f>
        <v/>
      </c>
      <c r="B316" s="121"/>
      <c r="C316" s="121"/>
      <c r="D316" s="121"/>
      <c r="E316" s="127"/>
      <c r="F316" s="121"/>
      <c r="G316" s="121"/>
      <c r="H316" s="121"/>
      <c r="I316" s="121"/>
      <c r="J316" s="121"/>
      <c r="K316" s="121"/>
      <c r="L316" s="121"/>
      <c r="M316" s="121"/>
      <c r="N316" s="121"/>
      <c r="O316" s="121"/>
      <c r="P316" s="121"/>
      <c r="Q316" s="121"/>
      <c r="R316" s="121"/>
      <c r="S316" s="121"/>
      <c r="T316" s="121"/>
      <c r="U316" s="121"/>
      <c r="V316" s="121"/>
      <c r="W316" s="121"/>
      <c r="X316" s="121"/>
      <c r="Y316" s="121"/>
      <c r="Z316" s="121"/>
      <c r="AA316" s="121"/>
    </row>
    <row r="317" customFormat="false" ht="15.75" hidden="false" customHeight="false" outlineLevel="0" collapsed="false">
      <c r="A317" s="121" t="str">
        <f aca="false">IF(ISBLANK(B317),"",B317&amp;"|"&amp;C317)</f>
        <v/>
      </c>
      <c r="B317" s="121"/>
      <c r="C317" s="121"/>
      <c r="D317" s="121"/>
      <c r="E317" s="127"/>
      <c r="F317" s="121"/>
      <c r="G317" s="121"/>
      <c r="H317" s="121"/>
      <c r="I317" s="121"/>
      <c r="J317" s="121"/>
      <c r="K317" s="121"/>
      <c r="L317" s="121"/>
      <c r="M317" s="121"/>
      <c r="N317" s="121"/>
      <c r="O317" s="121"/>
      <c r="P317" s="121"/>
      <c r="Q317" s="121"/>
      <c r="R317" s="121"/>
      <c r="S317" s="121"/>
      <c r="T317" s="121"/>
      <c r="U317" s="121"/>
      <c r="V317" s="121"/>
      <c r="W317" s="121"/>
      <c r="X317" s="121"/>
      <c r="Y317" s="121"/>
      <c r="Z317" s="121"/>
      <c r="AA317" s="121"/>
    </row>
    <row r="318" customFormat="false" ht="15.75" hidden="false" customHeight="false" outlineLevel="0" collapsed="false">
      <c r="A318" s="121" t="str">
        <f aca="false">IF(ISBLANK(B318),"",B318&amp;"|"&amp;C318)</f>
        <v/>
      </c>
      <c r="B318" s="121"/>
      <c r="C318" s="121"/>
      <c r="D318" s="121"/>
      <c r="E318" s="127"/>
      <c r="F318" s="121"/>
      <c r="G318" s="121"/>
      <c r="H318" s="121"/>
      <c r="I318" s="121"/>
      <c r="J318" s="121"/>
      <c r="K318" s="121"/>
      <c r="L318" s="121"/>
      <c r="M318" s="121"/>
      <c r="N318" s="121"/>
      <c r="O318" s="121"/>
      <c r="P318" s="121"/>
      <c r="Q318" s="121"/>
      <c r="R318" s="121"/>
      <c r="S318" s="121"/>
      <c r="T318" s="121"/>
      <c r="U318" s="121"/>
      <c r="V318" s="121"/>
      <c r="W318" s="121"/>
      <c r="X318" s="121"/>
      <c r="Y318" s="121"/>
      <c r="Z318" s="121"/>
      <c r="AA318" s="121"/>
    </row>
    <row r="319" customFormat="false" ht="15.75" hidden="false" customHeight="false" outlineLevel="0" collapsed="false">
      <c r="A319" s="121" t="str">
        <f aca="false">IF(ISBLANK(B319),"",B319&amp;"|"&amp;C319)</f>
        <v/>
      </c>
      <c r="B319" s="121"/>
      <c r="C319" s="121"/>
      <c r="D319" s="121"/>
      <c r="E319" s="127"/>
      <c r="F319" s="121"/>
      <c r="G319" s="121"/>
      <c r="H319" s="121"/>
      <c r="I319" s="121"/>
      <c r="J319" s="121"/>
      <c r="K319" s="121"/>
      <c r="L319" s="121"/>
      <c r="M319" s="121"/>
      <c r="N319" s="121"/>
      <c r="O319" s="121"/>
      <c r="P319" s="121"/>
      <c r="Q319" s="121"/>
      <c r="R319" s="121"/>
      <c r="S319" s="121"/>
      <c r="T319" s="121"/>
      <c r="U319" s="121"/>
      <c r="V319" s="121"/>
      <c r="W319" s="121"/>
      <c r="X319" s="121"/>
      <c r="Y319" s="121"/>
      <c r="Z319" s="121"/>
      <c r="AA319" s="121"/>
    </row>
    <row r="320" customFormat="false" ht="15.75" hidden="false" customHeight="false" outlineLevel="0" collapsed="false">
      <c r="A320" s="121" t="str">
        <f aca="false">IF(ISBLANK(B320),"",B320&amp;"|"&amp;C320)</f>
        <v/>
      </c>
      <c r="B320" s="121"/>
      <c r="C320" s="121"/>
      <c r="D320" s="121"/>
      <c r="E320" s="127"/>
      <c r="F320" s="121"/>
      <c r="G320" s="121"/>
      <c r="H320" s="121"/>
      <c r="I320" s="121"/>
      <c r="J320" s="121"/>
      <c r="K320" s="121"/>
      <c r="L320" s="121"/>
      <c r="M320" s="121"/>
      <c r="N320" s="121"/>
      <c r="O320" s="121"/>
      <c r="P320" s="121"/>
      <c r="Q320" s="121"/>
      <c r="R320" s="121"/>
      <c r="S320" s="121"/>
      <c r="T320" s="121"/>
      <c r="U320" s="121"/>
      <c r="V320" s="121"/>
      <c r="W320" s="121"/>
      <c r="X320" s="121"/>
      <c r="Y320" s="121"/>
      <c r="Z320" s="121"/>
      <c r="AA320" s="121"/>
    </row>
    <row r="321" customFormat="false" ht="15.75" hidden="false" customHeight="false" outlineLevel="0" collapsed="false">
      <c r="A321" s="121" t="str">
        <f aca="false">IF(ISBLANK(B321),"",B321&amp;"|"&amp;C321)</f>
        <v/>
      </c>
      <c r="B321" s="121"/>
      <c r="C321" s="121"/>
      <c r="D321" s="121"/>
      <c r="E321" s="127"/>
      <c r="F321" s="121"/>
      <c r="G321" s="121"/>
      <c r="H321" s="121"/>
      <c r="I321" s="121"/>
      <c r="J321" s="121"/>
      <c r="K321" s="121"/>
      <c r="L321" s="121"/>
      <c r="M321" s="121"/>
      <c r="N321" s="121"/>
      <c r="O321" s="121"/>
      <c r="P321" s="121"/>
      <c r="Q321" s="121"/>
      <c r="R321" s="121"/>
      <c r="S321" s="121"/>
      <c r="T321" s="121"/>
      <c r="U321" s="121"/>
      <c r="V321" s="121"/>
      <c r="W321" s="121"/>
      <c r="X321" s="121"/>
      <c r="Y321" s="121"/>
      <c r="Z321" s="121"/>
      <c r="AA321" s="121"/>
    </row>
    <row r="322" customFormat="false" ht="15.75" hidden="false" customHeight="false" outlineLevel="0" collapsed="false">
      <c r="A322" s="121" t="str">
        <f aca="false">IF(ISBLANK(B322),"",B322&amp;"|"&amp;C322)</f>
        <v/>
      </c>
      <c r="B322" s="121"/>
      <c r="C322" s="121"/>
      <c r="D322" s="121"/>
      <c r="E322" s="127"/>
      <c r="F322" s="121"/>
      <c r="G322" s="121"/>
      <c r="H322" s="121"/>
      <c r="I322" s="121"/>
      <c r="J322" s="121"/>
      <c r="K322" s="121"/>
      <c r="L322" s="121"/>
      <c r="M322" s="121"/>
      <c r="N322" s="121"/>
      <c r="O322" s="121"/>
      <c r="P322" s="121"/>
      <c r="Q322" s="121"/>
      <c r="R322" s="121"/>
      <c r="S322" s="121"/>
      <c r="T322" s="121"/>
      <c r="U322" s="121"/>
      <c r="V322" s="121"/>
      <c r="W322" s="121"/>
      <c r="X322" s="121"/>
      <c r="Y322" s="121"/>
      <c r="Z322" s="121"/>
      <c r="AA322" s="121"/>
    </row>
    <row r="323" customFormat="false" ht="15.75" hidden="false" customHeight="false" outlineLevel="0" collapsed="false">
      <c r="A323" s="121" t="str">
        <f aca="false">IF(ISBLANK(B323),"",B323&amp;"|"&amp;C323)</f>
        <v/>
      </c>
      <c r="B323" s="121"/>
      <c r="C323" s="121"/>
      <c r="D323" s="121"/>
      <c r="E323" s="127"/>
      <c r="F323" s="121"/>
      <c r="G323" s="121"/>
      <c r="H323" s="121"/>
      <c r="I323" s="121"/>
      <c r="J323" s="121"/>
      <c r="K323" s="121"/>
      <c r="L323" s="121"/>
      <c r="M323" s="121"/>
      <c r="N323" s="121"/>
      <c r="O323" s="121"/>
      <c r="P323" s="121"/>
      <c r="Q323" s="121"/>
      <c r="R323" s="121"/>
      <c r="S323" s="121"/>
      <c r="T323" s="121"/>
      <c r="U323" s="121"/>
      <c r="V323" s="121"/>
      <c r="W323" s="121"/>
      <c r="X323" s="121"/>
      <c r="Y323" s="121"/>
      <c r="Z323" s="121"/>
      <c r="AA323" s="121"/>
    </row>
    <row r="324" customFormat="false" ht="15.75" hidden="false" customHeight="false" outlineLevel="0" collapsed="false">
      <c r="A324" s="121" t="str">
        <f aca="false">IF(ISBLANK(B324),"",B324&amp;"|"&amp;C324)</f>
        <v/>
      </c>
      <c r="B324" s="121"/>
      <c r="C324" s="121"/>
      <c r="D324" s="121"/>
      <c r="E324" s="127"/>
      <c r="F324" s="121"/>
      <c r="G324" s="121"/>
      <c r="H324" s="121"/>
      <c r="I324" s="121"/>
      <c r="J324" s="121"/>
      <c r="K324" s="121"/>
      <c r="L324" s="121"/>
      <c r="M324" s="121"/>
      <c r="N324" s="121"/>
      <c r="O324" s="121"/>
      <c r="P324" s="121"/>
      <c r="Q324" s="121"/>
      <c r="R324" s="121"/>
      <c r="S324" s="121"/>
      <c r="T324" s="121"/>
      <c r="U324" s="121"/>
      <c r="V324" s="121"/>
      <c r="W324" s="121"/>
      <c r="X324" s="121"/>
      <c r="Y324" s="121"/>
      <c r="Z324" s="121"/>
      <c r="AA324" s="121"/>
    </row>
    <row r="325" customFormat="false" ht="15.75" hidden="false" customHeight="false" outlineLevel="0" collapsed="false">
      <c r="A325" s="121" t="str">
        <f aca="false">IF(ISBLANK(B325),"",B325&amp;"|"&amp;C325)</f>
        <v/>
      </c>
      <c r="B325" s="121"/>
      <c r="C325" s="121"/>
      <c r="D325" s="121"/>
      <c r="E325" s="127"/>
      <c r="F325" s="121"/>
      <c r="G325" s="121"/>
      <c r="H325" s="121"/>
      <c r="I325" s="121"/>
      <c r="J325" s="121"/>
      <c r="K325" s="121"/>
      <c r="L325" s="121"/>
      <c r="M325" s="121"/>
      <c r="N325" s="121"/>
      <c r="O325" s="121"/>
      <c r="P325" s="121"/>
      <c r="Q325" s="121"/>
      <c r="R325" s="121"/>
      <c r="S325" s="121"/>
      <c r="T325" s="121"/>
      <c r="U325" s="121"/>
      <c r="V325" s="121"/>
      <c r="W325" s="121"/>
      <c r="X325" s="121"/>
      <c r="Y325" s="121"/>
      <c r="Z325" s="121"/>
      <c r="AA325" s="121"/>
    </row>
    <row r="326" customFormat="false" ht="15.75" hidden="false" customHeight="false" outlineLevel="0" collapsed="false">
      <c r="A326" s="121" t="str">
        <f aca="false">IF(ISBLANK(B326),"",B326&amp;"|"&amp;C326)</f>
        <v/>
      </c>
      <c r="B326" s="121"/>
      <c r="C326" s="121"/>
      <c r="D326" s="121"/>
      <c r="E326" s="127"/>
      <c r="F326" s="121"/>
      <c r="G326" s="121"/>
      <c r="H326" s="121"/>
      <c r="I326" s="121"/>
      <c r="J326" s="121"/>
      <c r="K326" s="121"/>
      <c r="L326" s="121"/>
      <c r="M326" s="121"/>
      <c r="N326" s="121"/>
      <c r="O326" s="121"/>
      <c r="P326" s="121"/>
      <c r="Q326" s="121"/>
      <c r="R326" s="121"/>
      <c r="S326" s="121"/>
      <c r="T326" s="121"/>
      <c r="U326" s="121"/>
      <c r="V326" s="121"/>
      <c r="W326" s="121"/>
      <c r="X326" s="121"/>
      <c r="Y326" s="121"/>
      <c r="Z326" s="121"/>
      <c r="AA326" s="121"/>
    </row>
    <row r="327" customFormat="false" ht="15.75" hidden="false" customHeight="false" outlineLevel="0" collapsed="false">
      <c r="A327" s="121" t="str">
        <f aca="false">IF(ISBLANK(B327),"",B327&amp;"|"&amp;C327)</f>
        <v/>
      </c>
      <c r="B327" s="121"/>
      <c r="C327" s="121"/>
      <c r="D327" s="121"/>
      <c r="E327" s="127"/>
      <c r="F327" s="121"/>
      <c r="G327" s="121"/>
      <c r="H327" s="121"/>
      <c r="I327" s="121"/>
      <c r="J327" s="121"/>
      <c r="K327" s="121"/>
      <c r="L327" s="121"/>
      <c r="M327" s="121"/>
      <c r="N327" s="121"/>
      <c r="O327" s="121"/>
      <c r="P327" s="121"/>
      <c r="Q327" s="121"/>
      <c r="R327" s="121"/>
      <c r="S327" s="121"/>
      <c r="T327" s="121"/>
      <c r="U327" s="121"/>
      <c r="V327" s="121"/>
      <c r="W327" s="121"/>
      <c r="X327" s="121"/>
      <c r="Y327" s="121"/>
      <c r="Z327" s="121"/>
      <c r="AA327" s="121"/>
    </row>
    <row r="328" customFormat="false" ht="15.75" hidden="false" customHeight="false" outlineLevel="0" collapsed="false">
      <c r="A328" s="121" t="str">
        <f aca="false">IF(ISBLANK(B328),"",B328&amp;"|"&amp;C328)</f>
        <v/>
      </c>
      <c r="B328" s="121"/>
      <c r="C328" s="121"/>
      <c r="D328" s="121"/>
      <c r="E328" s="127"/>
      <c r="F328" s="121"/>
      <c r="G328" s="121"/>
      <c r="H328" s="121"/>
      <c r="I328" s="121"/>
      <c r="J328" s="121"/>
      <c r="K328" s="121"/>
      <c r="L328" s="121"/>
      <c r="M328" s="121"/>
      <c r="N328" s="121"/>
      <c r="O328" s="121"/>
      <c r="P328" s="121"/>
      <c r="Q328" s="121"/>
      <c r="R328" s="121"/>
      <c r="S328" s="121"/>
      <c r="T328" s="121"/>
      <c r="U328" s="121"/>
      <c r="V328" s="121"/>
      <c r="W328" s="121"/>
      <c r="X328" s="121"/>
      <c r="Y328" s="121"/>
      <c r="Z328" s="121"/>
      <c r="AA328" s="121"/>
    </row>
    <row r="329" customFormat="false" ht="15.75" hidden="false" customHeight="false" outlineLevel="0" collapsed="false">
      <c r="A329" s="121" t="str">
        <f aca="false">IF(ISBLANK(B329),"",B329&amp;"|"&amp;C329)</f>
        <v/>
      </c>
      <c r="B329" s="121"/>
      <c r="C329" s="121"/>
      <c r="D329" s="121"/>
      <c r="E329" s="127"/>
      <c r="F329" s="121"/>
      <c r="G329" s="121"/>
      <c r="H329" s="121"/>
      <c r="I329" s="121"/>
      <c r="J329" s="121"/>
      <c r="K329" s="121"/>
      <c r="L329" s="121"/>
      <c r="M329" s="121"/>
      <c r="N329" s="121"/>
      <c r="O329" s="121"/>
      <c r="P329" s="121"/>
      <c r="Q329" s="121"/>
      <c r="R329" s="121"/>
      <c r="S329" s="121"/>
      <c r="T329" s="121"/>
      <c r="U329" s="121"/>
      <c r="V329" s="121"/>
      <c r="W329" s="121"/>
      <c r="X329" s="121"/>
      <c r="Y329" s="121"/>
      <c r="Z329" s="121"/>
      <c r="AA329" s="121"/>
    </row>
    <row r="330" customFormat="false" ht="15.75" hidden="false" customHeight="false" outlineLevel="0" collapsed="false">
      <c r="A330" s="121" t="str">
        <f aca="false">IF(ISBLANK(B330),"",B330&amp;"|"&amp;C330)</f>
        <v/>
      </c>
      <c r="B330" s="121"/>
      <c r="C330" s="121"/>
      <c r="D330" s="121"/>
      <c r="E330" s="127"/>
      <c r="F330" s="121"/>
      <c r="G330" s="121"/>
      <c r="H330" s="121"/>
      <c r="I330" s="121"/>
      <c r="J330" s="121"/>
      <c r="K330" s="121"/>
      <c r="L330" s="121"/>
      <c r="M330" s="121"/>
      <c r="N330" s="121"/>
      <c r="O330" s="121"/>
      <c r="P330" s="121"/>
      <c r="Q330" s="121"/>
      <c r="R330" s="121"/>
      <c r="S330" s="121"/>
      <c r="T330" s="121"/>
      <c r="U330" s="121"/>
      <c r="V330" s="121"/>
      <c r="W330" s="121"/>
      <c r="X330" s="121"/>
      <c r="Y330" s="121"/>
      <c r="Z330" s="121"/>
      <c r="AA330" s="121"/>
    </row>
    <row r="331" customFormat="false" ht="15.75" hidden="false" customHeight="false" outlineLevel="0" collapsed="false">
      <c r="A331" s="121" t="str">
        <f aca="false">IF(ISBLANK(B331),"",B331&amp;"|"&amp;C331)</f>
        <v/>
      </c>
      <c r="B331" s="121"/>
      <c r="C331" s="121"/>
      <c r="D331" s="121"/>
      <c r="E331" s="127"/>
      <c r="F331" s="121"/>
      <c r="G331" s="121"/>
      <c r="H331" s="121"/>
      <c r="I331" s="121"/>
      <c r="J331" s="121"/>
      <c r="K331" s="121"/>
      <c r="L331" s="121"/>
      <c r="M331" s="121"/>
      <c r="N331" s="121"/>
      <c r="O331" s="121"/>
      <c r="P331" s="121"/>
      <c r="Q331" s="121"/>
      <c r="R331" s="121"/>
      <c r="S331" s="121"/>
      <c r="T331" s="121"/>
      <c r="U331" s="121"/>
      <c r="V331" s="121"/>
      <c r="W331" s="121"/>
      <c r="X331" s="121"/>
      <c r="Y331" s="121"/>
      <c r="Z331" s="121"/>
      <c r="AA331" s="121"/>
    </row>
    <row r="332" customFormat="false" ht="15.75" hidden="false" customHeight="false" outlineLevel="0" collapsed="false">
      <c r="A332" s="121" t="str">
        <f aca="false">IF(ISBLANK(B332),"",B332&amp;"|"&amp;C332)</f>
        <v/>
      </c>
      <c r="B332" s="121"/>
      <c r="C332" s="121"/>
      <c r="D332" s="121"/>
      <c r="E332" s="127"/>
      <c r="F332" s="121"/>
      <c r="G332" s="121"/>
      <c r="H332" s="121"/>
      <c r="I332" s="121"/>
      <c r="J332" s="121"/>
      <c r="K332" s="121"/>
      <c r="L332" s="121"/>
      <c r="M332" s="121"/>
      <c r="N332" s="121"/>
      <c r="O332" s="121"/>
      <c r="P332" s="121"/>
      <c r="Q332" s="121"/>
      <c r="R332" s="121"/>
      <c r="S332" s="121"/>
      <c r="T332" s="121"/>
      <c r="U332" s="121"/>
      <c r="V332" s="121"/>
      <c r="W332" s="121"/>
      <c r="X332" s="121"/>
      <c r="Y332" s="121"/>
      <c r="Z332" s="121"/>
      <c r="AA332" s="121"/>
    </row>
    <row r="333" customFormat="false" ht="15.75" hidden="false" customHeight="false" outlineLevel="0" collapsed="false">
      <c r="A333" s="121" t="str">
        <f aca="false">IF(ISBLANK(B333),"",B333&amp;"|"&amp;C333)</f>
        <v/>
      </c>
      <c r="B333" s="121"/>
      <c r="C333" s="121"/>
      <c r="D333" s="121"/>
      <c r="E333" s="127"/>
      <c r="F333" s="121"/>
      <c r="G333" s="121"/>
      <c r="H333" s="121"/>
      <c r="I333" s="121"/>
      <c r="J333" s="121"/>
      <c r="K333" s="121"/>
      <c r="L333" s="121"/>
      <c r="M333" s="121"/>
      <c r="N333" s="121"/>
      <c r="O333" s="121"/>
      <c r="P333" s="121"/>
      <c r="Q333" s="121"/>
      <c r="R333" s="121"/>
      <c r="S333" s="121"/>
      <c r="T333" s="121"/>
      <c r="U333" s="121"/>
      <c r="V333" s="121"/>
      <c r="W333" s="121"/>
      <c r="X333" s="121"/>
      <c r="Y333" s="121"/>
      <c r="Z333" s="121"/>
      <c r="AA333" s="121"/>
    </row>
    <row r="334" customFormat="false" ht="15.75" hidden="false" customHeight="false" outlineLevel="0" collapsed="false">
      <c r="A334" s="121" t="str">
        <f aca="false">IF(ISBLANK(B334),"",B334&amp;"|"&amp;C334)</f>
        <v/>
      </c>
      <c r="B334" s="121"/>
      <c r="C334" s="121"/>
      <c r="D334" s="121"/>
      <c r="E334" s="127"/>
      <c r="F334" s="121"/>
      <c r="G334" s="121"/>
      <c r="H334" s="121"/>
      <c r="I334" s="121"/>
      <c r="J334" s="121"/>
      <c r="K334" s="121"/>
      <c r="L334" s="121"/>
      <c r="M334" s="121"/>
      <c r="N334" s="121"/>
      <c r="O334" s="121"/>
      <c r="P334" s="121"/>
      <c r="Q334" s="121"/>
      <c r="R334" s="121"/>
      <c r="S334" s="121"/>
      <c r="T334" s="121"/>
      <c r="U334" s="121"/>
      <c r="V334" s="121"/>
      <c r="W334" s="121"/>
      <c r="X334" s="121"/>
      <c r="Y334" s="121"/>
      <c r="Z334" s="121"/>
      <c r="AA334" s="121"/>
    </row>
    <row r="335" customFormat="false" ht="15.75" hidden="false" customHeight="false" outlineLevel="0" collapsed="false">
      <c r="A335" s="121" t="str">
        <f aca="false">IF(ISBLANK(B335),"",B335&amp;"|"&amp;C335)</f>
        <v/>
      </c>
      <c r="B335" s="121"/>
      <c r="C335" s="121"/>
      <c r="D335" s="121"/>
      <c r="E335" s="127"/>
      <c r="F335" s="121"/>
      <c r="G335" s="121"/>
      <c r="H335" s="121"/>
      <c r="I335" s="121"/>
      <c r="J335" s="121"/>
      <c r="K335" s="121"/>
      <c r="L335" s="121"/>
      <c r="M335" s="121"/>
      <c r="N335" s="121"/>
      <c r="O335" s="121"/>
      <c r="P335" s="121"/>
      <c r="Q335" s="121"/>
      <c r="R335" s="121"/>
      <c r="S335" s="121"/>
      <c r="T335" s="121"/>
      <c r="U335" s="121"/>
      <c r="V335" s="121"/>
      <c r="W335" s="121"/>
      <c r="X335" s="121"/>
      <c r="Y335" s="121"/>
      <c r="Z335" s="121"/>
      <c r="AA335" s="121"/>
    </row>
    <row r="336" customFormat="false" ht="15.75" hidden="false" customHeight="false" outlineLevel="0" collapsed="false">
      <c r="A336" s="121" t="str">
        <f aca="false">IF(ISBLANK(B336),"",B336&amp;"|"&amp;C336)</f>
        <v/>
      </c>
      <c r="B336" s="121"/>
      <c r="C336" s="121"/>
      <c r="D336" s="121"/>
      <c r="E336" s="127"/>
      <c r="F336" s="121"/>
      <c r="G336" s="121"/>
      <c r="H336" s="121"/>
      <c r="I336" s="121"/>
      <c r="J336" s="121"/>
      <c r="K336" s="121"/>
      <c r="L336" s="121"/>
      <c r="M336" s="121"/>
      <c r="N336" s="121"/>
      <c r="O336" s="121"/>
      <c r="P336" s="121"/>
      <c r="Q336" s="121"/>
      <c r="R336" s="121"/>
      <c r="S336" s="121"/>
      <c r="T336" s="121"/>
      <c r="U336" s="121"/>
      <c r="V336" s="121"/>
      <c r="W336" s="121"/>
      <c r="X336" s="121"/>
      <c r="Y336" s="121"/>
      <c r="Z336" s="121"/>
      <c r="AA336" s="121"/>
    </row>
    <row r="337" customFormat="false" ht="15.75" hidden="false" customHeight="false" outlineLevel="0" collapsed="false">
      <c r="A337" s="121" t="str">
        <f aca="false">IF(ISBLANK(B337),"",B337&amp;"|"&amp;C337)</f>
        <v/>
      </c>
      <c r="B337" s="121"/>
      <c r="C337" s="121"/>
      <c r="D337" s="121"/>
      <c r="E337" s="127"/>
      <c r="F337" s="121"/>
      <c r="G337" s="121"/>
      <c r="H337" s="121"/>
      <c r="I337" s="121"/>
      <c r="J337" s="121"/>
      <c r="K337" s="121"/>
      <c r="L337" s="121"/>
      <c r="M337" s="121"/>
      <c r="N337" s="121"/>
      <c r="O337" s="121"/>
      <c r="P337" s="121"/>
      <c r="Q337" s="121"/>
      <c r="R337" s="121"/>
      <c r="S337" s="121"/>
      <c r="T337" s="121"/>
      <c r="U337" s="121"/>
      <c r="V337" s="121"/>
      <c r="W337" s="121"/>
      <c r="X337" s="121"/>
      <c r="Y337" s="121"/>
      <c r="Z337" s="121"/>
      <c r="AA337" s="121"/>
    </row>
    <row r="338" customFormat="false" ht="15.75" hidden="false" customHeight="false" outlineLevel="0" collapsed="false">
      <c r="A338" s="121" t="str">
        <f aca="false">IF(ISBLANK(B338),"",B338&amp;"|"&amp;C338)</f>
        <v/>
      </c>
      <c r="B338" s="121"/>
      <c r="C338" s="121"/>
      <c r="D338" s="121"/>
      <c r="E338" s="127"/>
      <c r="F338" s="121"/>
      <c r="G338" s="121"/>
      <c r="H338" s="121"/>
      <c r="I338" s="121"/>
      <c r="J338" s="121"/>
      <c r="K338" s="121"/>
      <c r="L338" s="121"/>
      <c r="M338" s="121"/>
      <c r="N338" s="121"/>
      <c r="O338" s="121"/>
      <c r="P338" s="121"/>
      <c r="Q338" s="121"/>
      <c r="R338" s="121"/>
      <c r="S338" s="121"/>
      <c r="T338" s="121"/>
      <c r="U338" s="121"/>
      <c r="V338" s="121"/>
      <c r="W338" s="121"/>
      <c r="X338" s="121"/>
      <c r="Y338" s="121"/>
      <c r="Z338" s="121"/>
      <c r="AA338" s="121"/>
    </row>
    <row r="339" customFormat="false" ht="15.75" hidden="false" customHeight="false" outlineLevel="0" collapsed="false">
      <c r="A339" s="121" t="str">
        <f aca="false">IF(ISBLANK(B339),"",B339&amp;"|"&amp;C339)</f>
        <v/>
      </c>
      <c r="B339" s="121"/>
      <c r="C339" s="121"/>
      <c r="D339" s="121"/>
      <c r="E339" s="127"/>
      <c r="F339" s="121"/>
      <c r="G339" s="121"/>
      <c r="H339" s="121"/>
      <c r="I339" s="121"/>
      <c r="J339" s="121"/>
      <c r="K339" s="121"/>
      <c r="L339" s="121"/>
      <c r="M339" s="121"/>
      <c r="N339" s="121"/>
      <c r="O339" s="121"/>
      <c r="P339" s="121"/>
      <c r="Q339" s="121"/>
      <c r="R339" s="121"/>
      <c r="S339" s="121"/>
      <c r="T339" s="121"/>
      <c r="U339" s="121"/>
      <c r="V339" s="121"/>
      <c r="W339" s="121"/>
      <c r="X339" s="121"/>
      <c r="Y339" s="121"/>
      <c r="Z339" s="121"/>
      <c r="AA339" s="121"/>
    </row>
    <row r="340" customFormat="false" ht="15.75" hidden="false" customHeight="false" outlineLevel="0" collapsed="false">
      <c r="A340" s="121" t="str">
        <f aca="false">IF(ISBLANK(B340),"",B340&amp;"|"&amp;C340)</f>
        <v/>
      </c>
      <c r="B340" s="121"/>
      <c r="C340" s="121"/>
      <c r="D340" s="121"/>
      <c r="E340" s="127"/>
      <c r="F340" s="121"/>
      <c r="G340" s="121"/>
      <c r="H340" s="121"/>
      <c r="I340" s="121"/>
      <c r="J340" s="121"/>
      <c r="K340" s="121"/>
      <c r="L340" s="121"/>
      <c r="M340" s="121"/>
      <c r="N340" s="121"/>
      <c r="O340" s="121"/>
      <c r="P340" s="121"/>
      <c r="Q340" s="121"/>
      <c r="R340" s="121"/>
      <c r="S340" s="121"/>
      <c r="T340" s="121"/>
      <c r="U340" s="121"/>
      <c r="V340" s="121"/>
      <c r="W340" s="121"/>
      <c r="X340" s="121"/>
      <c r="Y340" s="121"/>
      <c r="Z340" s="121"/>
      <c r="AA340" s="121"/>
    </row>
    <row r="341" customFormat="false" ht="15.75" hidden="false" customHeight="false" outlineLevel="0" collapsed="false">
      <c r="A341" s="121" t="str">
        <f aca="false">IF(ISBLANK(B341),"",B341&amp;"|"&amp;C341)</f>
        <v/>
      </c>
      <c r="B341" s="121"/>
      <c r="C341" s="121"/>
      <c r="D341" s="121"/>
      <c r="E341" s="127"/>
      <c r="F341" s="121"/>
      <c r="G341" s="121"/>
      <c r="H341" s="121"/>
      <c r="I341" s="121"/>
      <c r="J341" s="121"/>
      <c r="K341" s="121"/>
      <c r="L341" s="121"/>
      <c r="M341" s="121"/>
      <c r="N341" s="121"/>
      <c r="O341" s="121"/>
      <c r="P341" s="121"/>
      <c r="Q341" s="121"/>
      <c r="R341" s="121"/>
      <c r="S341" s="121"/>
      <c r="T341" s="121"/>
      <c r="U341" s="121"/>
      <c r="V341" s="121"/>
      <c r="W341" s="121"/>
      <c r="X341" s="121"/>
      <c r="Y341" s="121"/>
      <c r="Z341" s="121"/>
      <c r="AA341" s="121"/>
    </row>
    <row r="342" customFormat="false" ht="15.75" hidden="false" customHeight="false" outlineLevel="0" collapsed="false">
      <c r="A342" s="121" t="str">
        <f aca="false">IF(ISBLANK(B342),"",B342&amp;"|"&amp;C342)</f>
        <v/>
      </c>
      <c r="B342" s="121"/>
      <c r="C342" s="121"/>
      <c r="D342" s="121"/>
      <c r="E342" s="127"/>
      <c r="F342" s="121"/>
      <c r="G342" s="121"/>
      <c r="H342" s="121"/>
      <c r="I342" s="121"/>
      <c r="J342" s="121"/>
      <c r="K342" s="121"/>
      <c r="L342" s="121"/>
      <c r="M342" s="121"/>
      <c r="N342" s="121"/>
      <c r="O342" s="121"/>
      <c r="P342" s="121"/>
      <c r="Q342" s="121"/>
      <c r="R342" s="121"/>
      <c r="S342" s="121"/>
      <c r="T342" s="121"/>
      <c r="U342" s="121"/>
      <c r="V342" s="121"/>
      <c r="W342" s="121"/>
      <c r="X342" s="121"/>
      <c r="Y342" s="121"/>
      <c r="Z342" s="121"/>
      <c r="AA342" s="121"/>
    </row>
    <row r="343" customFormat="false" ht="15.75" hidden="false" customHeight="false" outlineLevel="0" collapsed="false">
      <c r="A343" s="121" t="str">
        <f aca="false">IF(ISBLANK(B343),"",B343&amp;"|"&amp;C343)</f>
        <v/>
      </c>
      <c r="B343" s="121"/>
      <c r="C343" s="121"/>
      <c r="D343" s="121"/>
      <c r="E343" s="127"/>
      <c r="F343" s="121"/>
      <c r="G343" s="121"/>
      <c r="H343" s="121"/>
      <c r="I343" s="121"/>
      <c r="J343" s="121"/>
      <c r="K343" s="121"/>
      <c r="L343" s="121"/>
      <c r="M343" s="121"/>
      <c r="N343" s="121"/>
      <c r="O343" s="121"/>
      <c r="P343" s="121"/>
      <c r="Q343" s="121"/>
      <c r="R343" s="121"/>
      <c r="S343" s="121"/>
      <c r="T343" s="121"/>
      <c r="U343" s="121"/>
      <c r="V343" s="121"/>
      <c r="W343" s="121"/>
      <c r="X343" s="121"/>
      <c r="Y343" s="121"/>
      <c r="Z343" s="121"/>
      <c r="AA343" s="121"/>
    </row>
    <row r="344" customFormat="false" ht="15.75" hidden="false" customHeight="false" outlineLevel="0" collapsed="false">
      <c r="A344" s="121" t="str">
        <f aca="false">IF(ISBLANK(B344),"",B344&amp;"|"&amp;C344)</f>
        <v/>
      </c>
      <c r="B344" s="121"/>
      <c r="C344" s="121"/>
      <c r="D344" s="121"/>
      <c r="E344" s="127"/>
      <c r="F344" s="121"/>
      <c r="G344" s="121"/>
      <c r="H344" s="121"/>
      <c r="I344" s="121"/>
      <c r="J344" s="121"/>
      <c r="K344" s="121"/>
      <c r="L344" s="121"/>
      <c r="M344" s="121"/>
      <c r="N344" s="121"/>
      <c r="O344" s="121"/>
      <c r="P344" s="121"/>
      <c r="Q344" s="121"/>
      <c r="R344" s="121"/>
      <c r="S344" s="121"/>
      <c r="T344" s="121"/>
      <c r="U344" s="121"/>
      <c r="V344" s="121"/>
      <c r="W344" s="121"/>
      <c r="X344" s="121"/>
      <c r="Y344" s="121"/>
      <c r="Z344" s="121"/>
      <c r="AA344" s="121"/>
    </row>
    <row r="345" customFormat="false" ht="15.75" hidden="false" customHeight="false" outlineLevel="0" collapsed="false">
      <c r="A345" s="121" t="str">
        <f aca="false">IF(ISBLANK(B345),"",B345&amp;"|"&amp;C345)</f>
        <v/>
      </c>
      <c r="B345" s="121"/>
      <c r="C345" s="121"/>
      <c r="D345" s="121"/>
      <c r="E345" s="127"/>
      <c r="F345" s="121"/>
      <c r="G345" s="121"/>
      <c r="H345" s="121"/>
      <c r="I345" s="121"/>
      <c r="J345" s="121"/>
      <c r="K345" s="121"/>
      <c r="L345" s="121"/>
      <c r="M345" s="121"/>
      <c r="N345" s="121"/>
      <c r="O345" s="121"/>
      <c r="P345" s="121"/>
      <c r="Q345" s="121"/>
      <c r="R345" s="121"/>
      <c r="S345" s="121"/>
      <c r="T345" s="121"/>
      <c r="U345" s="121"/>
      <c r="V345" s="121"/>
      <c r="W345" s="121"/>
      <c r="X345" s="121"/>
      <c r="Y345" s="121"/>
      <c r="Z345" s="121"/>
      <c r="AA345" s="121"/>
    </row>
    <row r="346" customFormat="false" ht="15.75" hidden="false" customHeight="false" outlineLevel="0" collapsed="false">
      <c r="A346" s="121" t="str">
        <f aca="false">IF(ISBLANK(B346),"",B346&amp;"|"&amp;C346)</f>
        <v/>
      </c>
      <c r="B346" s="121"/>
      <c r="C346" s="121"/>
      <c r="D346" s="121"/>
      <c r="E346" s="127"/>
      <c r="F346" s="121"/>
      <c r="G346" s="121"/>
      <c r="H346" s="121"/>
      <c r="I346" s="121"/>
      <c r="J346" s="121"/>
      <c r="K346" s="121"/>
      <c r="L346" s="121"/>
      <c r="M346" s="121"/>
      <c r="N346" s="121"/>
      <c r="O346" s="121"/>
      <c r="P346" s="121"/>
      <c r="Q346" s="121"/>
      <c r="R346" s="121"/>
      <c r="S346" s="121"/>
      <c r="T346" s="121"/>
      <c r="U346" s="121"/>
      <c r="V346" s="121"/>
      <c r="W346" s="121"/>
      <c r="X346" s="121"/>
      <c r="Y346" s="121"/>
      <c r="Z346" s="121"/>
      <c r="AA346" s="121"/>
    </row>
    <row r="347" customFormat="false" ht="15.75" hidden="false" customHeight="false" outlineLevel="0" collapsed="false">
      <c r="A347" s="121" t="str">
        <f aca="false">IF(ISBLANK(B347),"",B347&amp;"|"&amp;C347)</f>
        <v/>
      </c>
      <c r="B347" s="121"/>
      <c r="C347" s="121"/>
      <c r="D347" s="121"/>
      <c r="E347" s="127"/>
      <c r="F347" s="121"/>
      <c r="G347" s="121"/>
      <c r="H347" s="121"/>
      <c r="I347" s="121"/>
      <c r="J347" s="121"/>
      <c r="K347" s="121"/>
      <c r="L347" s="121"/>
      <c r="M347" s="121"/>
      <c r="N347" s="121"/>
      <c r="O347" s="121"/>
      <c r="P347" s="121"/>
      <c r="Q347" s="121"/>
      <c r="R347" s="121"/>
      <c r="S347" s="121"/>
      <c r="T347" s="121"/>
      <c r="U347" s="121"/>
      <c r="V347" s="121"/>
      <c r="W347" s="121"/>
      <c r="X347" s="121"/>
      <c r="Y347" s="121"/>
      <c r="Z347" s="121"/>
      <c r="AA347" s="121"/>
    </row>
    <row r="348" customFormat="false" ht="15.75" hidden="false" customHeight="false" outlineLevel="0" collapsed="false">
      <c r="A348" s="121" t="str">
        <f aca="false">IF(ISBLANK(B348),"",B348&amp;"|"&amp;C348)</f>
        <v/>
      </c>
      <c r="B348" s="121"/>
      <c r="C348" s="121"/>
      <c r="D348" s="121"/>
      <c r="E348" s="127"/>
      <c r="F348" s="121"/>
      <c r="G348" s="121"/>
      <c r="H348" s="121"/>
      <c r="I348" s="121"/>
      <c r="J348" s="121"/>
      <c r="K348" s="121"/>
      <c r="L348" s="121"/>
      <c r="M348" s="121"/>
      <c r="N348" s="121"/>
      <c r="O348" s="121"/>
      <c r="P348" s="121"/>
      <c r="Q348" s="121"/>
      <c r="R348" s="121"/>
      <c r="S348" s="121"/>
      <c r="T348" s="121"/>
      <c r="U348" s="121"/>
      <c r="V348" s="121"/>
      <c r="W348" s="121"/>
      <c r="X348" s="121"/>
      <c r="Y348" s="121"/>
      <c r="Z348" s="121"/>
      <c r="AA348" s="121"/>
    </row>
    <row r="349" customFormat="false" ht="15.75" hidden="false" customHeight="false" outlineLevel="0" collapsed="false">
      <c r="A349" s="121" t="str">
        <f aca="false">IF(ISBLANK(B349),"",B349&amp;"|"&amp;C349)</f>
        <v/>
      </c>
      <c r="B349" s="121"/>
      <c r="C349" s="121"/>
      <c r="D349" s="121"/>
      <c r="E349" s="127"/>
      <c r="F349" s="121"/>
      <c r="G349" s="121"/>
      <c r="H349" s="121"/>
      <c r="I349" s="121"/>
      <c r="J349" s="121"/>
      <c r="K349" s="121"/>
      <c r="L349" s="121"/>
      <c r="M349" s="121"/>
      <c r="N349" s="121"/>
      <c r="O349" s="121"/>
      <c r="P349" s="121"/>
      <c r="Q349" s="121"/>
      <c r="R349" s="121"/>
      <c r="S349" s="121"/>
      <c r="T349" s="121"/>
      <c r="U349" s="121"/>
      <c r="V349" s="121"/>
      <c r="W349" s="121"/>
      <c r="X349" s="121"/>
      <c r="Y349" s="121"/>
      <c r="Z349" s="121"/>
      <c r="AA349" s="121"/>
    </row>
    <row r="350" customFormat="false" ht="15.75" hidden="false" customHeight="false" outlineLevel="0" collapsed="false">
      <c r="A350" s="121" t="str">
        <f aca="false">IF(ISBLANK(B350),"",B350&amp;"|"&amp;C350)</f>
        <v/>
      </c>
      <c r="B350" s="121"/>
      <c r="C350" s="121"/>
      <c r="D350" s="121"/>
      <c r="E350" s="127"/>
      <c r="F350" s="121"/>
      <c r="G350" s="121"/>
      <c r="H350" s="121"/>
      <c r="I350" s="121"/>
      <c r="J350" s="121"/>
      <c r="K350" s="121"/>
      <c r="L350" s="121"/>
      <c r="M350" s="121"/>
      <c r="N350" s="121"/>
      <c r="O350" s="121"/>
      <c r="P350" s="121"/>
      <c r="Q350" s="121"/>
      <c r="R350" s="121"/>
      <c r="S350" s="121"/>
      <c r="T350" s="121"/>
      <c r="U350" s="121"/>
      <c r="V350" s="121"/>
      <c r="W350" s="121"/>
      <c r="X350" s="121"/>
      <c r="Y350" s="121"/>
      <c r="Z350" s="121"/>
      <c r="AA350" s="121"/>
    </row>
    <row r="351" customFormat="false" ht="15.75" hidden="false" customHeight="false" outlineLevel="0" collapsed="false">
      <c r="A351" s="121" t="str">
        <f aca="false">IF(ISBLANK(B351),"",B351&amp;"|"&amp;C351)</f>
        <v/>
      </c>
      <c r="B351" s="121"/>
      <c r="C351" s="121"/>
      <c r="D351" s="121"/>
      <c r="E351" s="127"/>
      <c r="F351" s="121"/>
      <c r="G351" s="121"/>
      <c r="H351" s="121"/>
      <c r="I351" s="121"/>
      <c r="J351" s="121"/>
      <c r="K351" s="121"/>
      <c r="L351" s="121"/>
      <c r="M351" s="121"/>
      <c r="N351" s="121"/>
      <c r="O351" s="121"/>
      <c r="P351" s="121"/>
      <c r="Q351" s="121"/>
      <c r="R351" s="121"/>
      <c r="S351" s="121"/>
      <c r="T351" s="121"/>
      <c r="U351" s="121"/>
      <c r="V351" s="121"/>
      <c r="W351" s="121"/>
      <c r="X351" s="121"/>
      <c r="Y351" s="121"/>
      <c r="Z351" s="121"/>
      <c r="AA351" s="121"/>
    </row>
    <row r="352" customFormat="false" ht="15.75" hidden="false" customHeight="false" outlineLevel="0" collapsed="false">
      <c r="A352" s="121" t="str">
        <f aca="false">IF(ISBLANK(B352),"",B352&amp;"|"&amp;C352)</f>
        <v/>
      </c>
      <c r="B352" s="121"/>
      <c r="C352" s="121"/>
      <c r="D352" s="121"/>
      <c r="E352" s="127"/>
      <c r="F352" s="121"/>
      <c r="G352" s="121"/>
      <c r="H352" s="121"/>
      <c r="I352" s="121"/>
      <c r="J352" s="121"/>
      <c r="K352" s="121"/>
      <c r="L352" s="121"/>
      <c r="M352" s="121"/>
      <c r="N352" s="121"/>
      <c r="O352" s="121"/>
      <c r="P352" s="121"/>
      <c r="Q352" s="121"/>
      <c r="R352" s="121"/>
      <c r="S352" s="121"/>
      <c r="T352" s="121"/>
      <c r="U352" s="121"/>
      <c r="V352" s="121"/>
      <c r="W352" s="121"/>
      <c r="X352" s="121"/>
      <c r="Y352" s="121"/>
      <c r="Z352" s="121"/>
      <c r="AA352" s="121"/>
    </row>
    <row r="353" customFormat="false" ht="15.75" hidden="false" customHeight="false" outlineLevel="0" collapsed="false">
      <c r="A353" s="121" t="str">
        <f aca="false">IF(ISBLANK(B353),"",B353&amp;"|"&amp;C353)</f>
        <v/>
      </c>
      <c r="B353" s="121"/>
      <c r="C353" s="121"/>
      <c r="D353" s="121"/>
      <c r="E353" s="127"/>
      <c r="F353" s="121"/>
      <c r="G353" s="121"/>
      <c r="H353" s="121"/>
      <c r="I353" s="121"/>
      <c r="J353" s="121"/>
      <c r="K353" s="121"/>
      <c r="L353" s="121"/>
      <c r="M353" s="121"/>
      <c r="N353" s="121"/>
      <c r="O353" s="121"/>
      <c r="P353" s="121"/>
      <c r="Q353" s="121"/>
      <c r="R353" s="121"/>
      <c r="S353" s="121"/>
      <c r="T353" s="121"/>
      <c r="U353" s="121"/>
      <c r="V353" s="121"/>
      <c r="W353" s="121"/>
      <c r="X353" s="121"/>
      <c r="Y353" s="121"/>
      <c r="Z353" s="121"/>
      <c r="AA353" s="121"/>
    </row>
    <row r="354" customFormat="false" ht="15.75" hidden="false" customHeight="false" outlineLevel="0" collapsed="false">
      <c r="A354" s="121" t="str">
        <f aca="false">IF(ISBLANK(B354),"",B354&amp;"|"&amp;C354)</f>
        <v/>
      </c>
      <c r="B354" s="121"/>
      <c r="C354" s="121"/>
      <c r="D354" s="121"/>
      <c r="E354" s="127"/>
      <c r="F354" s="121"/>
      <c r="G354" s="121"/>
      <c r="H354" s="121"/>
      <c r="I354" s="121"/>
      <c r="J354" s="121"/>
      <c r="K354" s="121"/>
      <c r="L354" s="121"/>
      <c r="M354" s="121"/>
      <c r="N354" s="121"/>
      <c r="O354" s="121"/>
      <c r="P354" s="121"/>
      <c r="Q354" s="121"/>
      <c r="R354" s="121"/>
      <c r="S354" s="121"/>
      <c r="T354" s="121"/>
      <c r="U354" s="121"/>
      <c r="V354" s="121"/>
      <c r="W354" s="121"/>
      <c r="X354" s="121"/>
      <c r="Y354" s="121"/>
      <c r="Z354" s="121"/>
      <c r="AA354" s="121"/>
    </row>
    <row r="355" customFormat="false" ht="15.75" hidden="false" customHeight="false" outlineLevel="0" collapsed="false">
      <c r="A355" s="121" t="str">
        <f aca="false">IF(ISBLANK(B355),"",B355&amp;"|"&amp;C355)</f>
        <v/>
      </c>
      <c r="B355" s="121"/>
      <c r="C355" s="121"/>
      <c r="D355" s="121"/>
      <c r="E355" s="127"/>
      <c r="F355" s="121"/>
      <c r="G355" s="121"/>
      <c r="H355" s="121"/>
      <c r="I355" s="121"/>
      <c r="J355" s="121"/>
      <c r="K355" s="121"/>
      <c r="L355" s="121"/>
      <c r="M355" s="121"/>
      <c r="N355" s="121"/>
      <c r="O355" s="121"/>
      <c r="P355" s="121"/>
      <c r="Q355" s="121"/>
      <c r="R355" s="121"/>
      <c r="S355" s="121"/>
      <c r="T355" s="121"/>
      <c r="U355" s="121"/>
      <c r="V355" s="121"/>
      <c r="W355" s="121"/>
      <c r="X355" s="121"/>
      <c r="Y355" s="121"/>
      <c r="Z355" s="121"/>
      <c r="AA355" s="121"/>
    </row>
    <row r="356" customFormat="false" ht="15.75" hidden="false" customHeight="false" outlineLevel="0" collapsed="false">
      <c r="A356" s="121" t="str">
        <f aca="false">IF(ISBLANK(B356),"",B356&amp;"|"&amp;C356)</f>
        <v/>
      </c>
      <c r="B356" s="121"/>
      <c r="C356" s="121"/>
      <c r="D356" s="121"/>
      <c r="E356" s="127"/>
      <c r="F356" s="121"/>
      <c r="G356" s="121"/>
      <c r="H356" s="121"/>
      <c r="I356" s="121"/>
      <c r="J356" s="121"/>
      <c r="K356" s="121"/>
      <c r="L356" s="121"/>
      <c r="M356" s="121"/>
      <c r="N356" s="121"/>
      <c r="O356" s="121"/>
      <c r="P356" s="121"/>
      <c r="Q356" s="121"/>
      <c r="R356" s="121"/>
      <c r="S356" s="121"/>
      <c r="T356" s="121"/>
      <c r="U356" s="121"/>
      <c r="V356" s="121"/>
      <c r="W356" s="121"/>
      <c r="X356" s="121"/>
      <c r="Y356" s="121"/>
      <c r="Z356" s="121"/>
      <c r="AA356" s="121"/>
    </row>
    <row r="357" customFormat="false" ht="15.75" hidden="false" customHeight="false" outlineLevel="0" collapsed="false">
      <c r="A357" s="121" t="str">
        <f aca="false">IF(ISBLANK(B357),"",B357&amp;"|"&amp;C357)</f>
        <v/>
      </c>
      <c r="B357" s="121"/>
      <c r="C357" s="121"/>
      <c r="D357" s="121"/>
      <c r="E357" s="127"/>
      <c r="F357" s="121"/>
      <c r="G357" s="121"/>
      <c r="H357" s="121"/>
      <c r="I357" s="121"/>
      <c r="J357" s="121"/>
      <c r="K357" s="121"/>
      <c r="L357" s="121"/>
      <c r="M357" s="121"/>
      <c r="N357" s="121"/>
      <c r="O357" s="121"/>
      <c r="P357" s="121"/>
      <c r="Q357" s="121"/>
      <c r="R357" s="121"/>
      <c r="S357" s="121"/>
      <c r="T357" s="121"/>
      <c r="U357" s="121"/>
      <c r="V357" s="121"/>
      <c r="W357" s="121"/>
      <c r="X357" s="121"/>
      <c r="Y357" s="121"/>
      <c r="Z357" s="121"/>
      <c r="AA357" s="121"/>
    </row>
    <row r="358" customFormat="false" ht="15.75" hidden="false" customHeight="false" outlineLevel="0" collapsed="false">
      <c r="A358" s="121" t="str">
        <f aca="false">IF(ISBLANK(B358),"",B358&amp;"|"&amp;C358)</f>
        <v/>
      </c>
      <c r="B358" s="121"/>
      <c r="C358" s="121"/>
      <c r="D358" s="121"/>
      <c r="E358" s="127"/>
      <c r="F358" s="121"/>
      <c r="G358" s="121"/>
      <c r="H358" s="121"/>
      <c r="I358" s="121"/>
      <c r="J358" s="121"/>
      <c r="K358" s="121"/>
      <c r="L358" s="121"/>
      <c r="M358" s="121"/>
      <c r="N358" s="121"/>
      <c r="O358" s="121"/>
      <c r="P358" s="121"/>
      <c r="Q358" s="121"/>
      <c r="R358" s="121"/>
      <c r="S358" s="121"/>
      <c r="T358" s="121"/>
      <c r="U358" s="121"/>
      <c r="V358" s="121"/>
      <c r="W358" s="121"/>
      <c r="X358" s="121"/>
      <c r="Y358" s="121"/>
      <c r="Z358" s="121"/>
      <c r="AA358" s="121"/>
    </row>
    <row r="359" customFormat="false" ht="15.75" hidden="false" customHeight="false" outlineLevel="0" collapsed="false">
      <c r="A359" s="121" t="str">
        <f aca="false">IF(ISBLANK(B359),"",B359&amp;"|"&amp;C359)</f>
        <v/>
      </c>
      <c r="B359" s="121"/>
      <c r="C359" s="121"/>
      <c r="D359" s="121"/>
      <c r="E359" s="127"/>
      <c r="F359" s="121"/>
      <c r="G359" s="121"/>
      <c r="H359" s="121"/>
      <c r="I359" s="121"/>
      <c r="J359" s="121"/>
      <c r="K359" s="121"/>
      <c r="L359" s="121"/>
      <c r="M359" s="121"/>
      <c r="N359" s="121"/>
      <c r="O359" s="121"/>
      <c r="P359" s="121"/>
      <c r="Q359" s="121"/>
      <c r="R359" s="121"/>
      <c r="S359" s="121"/>
      <c r="T359" s="121"/>
      <c r="U359" s="121"/>
      <c r="V359" s="121"/>
      <c r="W359" s="121"/>
      <c r="X359" s="121"/>
      <c r="Y359" s="121"/>
      <c r="Z359" s="121"/>
      <c r="AA359" s="121"/>
    </row>
    <row r="360" customFormat="false" ht="15.75" hidden="false" customHeight="false" outlineLevel="0" collapsed="false">
      <c r="A360" s="121" t="str">
        <f aca="false">IF(ISBLANK(B360),"",B360&amp;"|"&amp;C360)</f>
        <v/>
      </c>
      <c r="B360" s="121"/>
      <c r="C360" s="121"/>
      <c r="D360" s="121"/>
      <c r="E360" s="127"/>
      <c r="F360" s="121"/>
      <c r="G360" s="121"/>
      <c r="H360" s="121"/>
      <c r="I360" s="121"/>
      <c r="J360" s="121"/>
      <c r="K360" s="121"/>
      <c r="L360" s="121"/>
      <c r="M360" s="121"/>
      <c r="N360" s="121"/>
      <c r="O360" s="121"/>
      <c r="P360" s="121"/>
      <c r="Q360" s="121"/>
      <c r="R360" s="121"/>
      <c r="S360" s="121"/>
      <c r="T360" s="121"/>
      <c r="U360" s="121"/>
      <c r="V360" s="121"/>
      <c r="W360" s="121"/>
      <c r="X360" s="121"/>
      <c r="Y360" s="121"/>
      <c r="Z360" s="121"/>
      <c r="AA360" s="121"/>
    </row>
    <row r="361" customFormat="false" ht="15.75" hidden="false" customHeight="false" outlineLevel="0" collapsed="false">
      <c r="A361" s="121" t="str">
        <f aca="false">IF(ISBLANK(B361),"",B361&amp;"|"&amp;C361)</f>
        <v/>
      </c>
      <c r="B361" s="121"/>
      <c r="C361" s="121"/>
      <c r="D361" s="121"/>
      <c r="E361" s="127"/>
      <c r="F361" s="121"/>
      <c r="G361" s="121"/>
      <c r="H361" s="121"/>
      <c r="I361" s="121"/>
      <c r="J361" s="121"/>
      <c r="K361" s="121"/>
      <c r="L361" s="121"/>
      <c r="M361" s="121"/>
      <c r="N361" s="121"/>
      <c r="O361" s="121"/>
      <c r="P361" s="121"/>
      <c r="Q361" s="121"/>
      <c r="R361" s="121"/>
      <c r="S361" s="121"/>
      <c r="T361" s="121"/>
      <c r="U361" s="121"/>
      <c r="V361" s="121"/>
      <c r="W361" s="121"/>
      <c r="X361" s="121"/>
      <c r="Y361" s="121"/>
      <c r="Z361" s="121"/>
      <c r="AA361" s="121"/>
    </row>
    <row r="362" customFormat="false" ht="15.75" hidden="false" customHeight="false" outlineLevel="0" collapsed="false">
      <c r="A362" s="121" t="str">
        <f aca="false">IF(ISBLANK(B362),"",B362&amp;"|"&amp;C362)</f>
        <v/>
      </c>
      <c r="B362" s="121"/>
      <c r="C362" s="121"/>
      <c r="D362" s="121"/>
      <c r="E362" s="127"/>
      <c r="F362" s="121"/>
      <c r="G362" s="121"/>
      <c r="H362" s="121"/>
      <c r="I362" s="121"/>
      <c r="J362" s="121"/>
      <c r="K362" s="121"/>
      <c r="L362" s="121"/>
      <c r="M362" s="121"/>
      <c r="N362" s="121"/>
      <c r="O362" s="121"/>
      <c r="P362" s="121"/>
      <c r="Q362" s="121"/>
      <c r="R362" s="121"/>
      <c r="S362" s="121"/>
      <c r="T362" s="121"/>
      <c r="U362" s="121"/>
      <c r="V362" s="121"/>
      <c r="W362" s="121"/>
      <c r="X362" s="121"/>
      <c r="Y362" s="121"/>
      <c r="Z362" s="121"/>
      <c r="AA362" s="121"/>
    </row>
    <row r="363" customFormat="false" ht="15.75" hidden="false" customHeight="false" outlineLevel="0" collapsed="false">
      <c r="A363" s="121" t="str">
        <f aca="false">IF(ISBLANK(B363),"",B363&amp;"|"&amp;C363)</f>
        <v/>
      </c>
      <c r="B363" s="121"/>
      <c r="C363" s="121"/>
      <c r="D363" s="121"/>
      <c r="E363" s="127"/>
      <c r="F363" s="121"/>
      <c r="G363" s="121"/>
      <c r="H363" s="121"/>
      <c r="I363" s="121"/>
      <c r="J363" s="121"/>
      <c r="K363" s="121"/>
      <c r="L363" s="121"/>
      <c r="M363" s="121"/>
      <c r="N363" s="121"/>
      <c r="O363" s="121"/>
      <c r="P363" s="121"/>
      <c r="Q363" s="121"/>
      <c r="R363" s="121"/>
      <c r="S363" s="121"/>
      <c r="T363" s="121"/>
      <c r="U363" s="121"/>
      <c r="V363" s="121"/>
      <c r="W363" s="121"/>
      <c r="X363" s="121"/>
      <c r="Y363" s="121"/>
      <c r="Z363" s="121"/>
      <c r="AA363" s="121"/>
    </row>
    <row r="364" customFormat="false" ht="15.75" hidden="false" customHeight="false" outlineLevel="0" collapsed="false">
      <c r="A364" s="121" t="str">
        <f aca="false">IF(ISBLANK(B364),"",B364&amp;"|"&amp;C364)</f>
        <v/>
      </c>
      <c r="B364" s="121"/>
      <c r="C364" s="121"/>
      <c r="D364" s="121"/>
      <c r="E364" s="127"/>
      <c r="F364" s="121"/>
      <c r="G364" s="121"/>
      <c r="H364" s="121"/>
      <c r="I364" s="121"/>
      <c r="J364" s="121"/>
      <c r="K364" s="121"/>
      <c r="L364" s="121"/>
      <c r="M364" s="121"/>
      <c r="N364" s="121"/>
      <c r="O364" s="121"/>
      <c r="P364" s="121"/>
      <c r="Q364" s="121"/>
      <c r="R364" s="121"/>
      <c r="S364" s="121"/>
      <c r="T364" s="121"/>
      <c r="U364" s="121"/>
      <c r="V364" s="121"/>
      <c r="W364" s="121"/>
      <c r="X364" s="121"/>
      <c r="Y364" s="121"/>
      <c r="Z364" s="121"/>
      <c r="AA364" s="121"/>
    </row>
    <row r="365" customFormat="false" ht="15.75" hidden="false" customHeight="false" outlineLevel="0" collapsed="false">
      <c r="A365" s="121" t="str">
        <f aca="false">IF(ISBLANK(B365),"",B365&amp;"|"&amp;C365)</f>
        <v/>
      </c>
      <c r="B365" s="121"/>
      <c r="C365" s="121"/>
      <c r="D365" s="121"/>
      <c r="E365" s="127"/>
      <c r="F365" s="121"/>
      <c r="G365" s="121"/>
      <c r="H365" s="121"/>
      <c r="I365" s="121"/>
      <c r="J365" s="121"/>
      <c r="K365" s="121"/>
      <c r="L365" s="121"/>
      <c r="M365" s="121"/>
      <c r="N365" s="121"/>
      <c r="O365" s="121"/>
      <c r="P365" s="121"/>
      <c r="Q365" s="121"/>
      <c r="R365" s="121"/>
      <c r="S365" s="121"/>
      <c r="T365" s="121"/>
      <c r="U365" s="121"/>
      <c r="V365" s="121"/>
      <c r="W365" s="121"/>
      <c r="X365" s="121"/>
      <c r="Y365" s="121"/>
      <c r="Z365" s="121"/>
      <c r="AA365" s="121"/>
    </row>
    <row r="366" customFormat="false" ht="15.75" hidden="false" customHeight="false" outlineLevel="0" collapsed="false">
      <c r="A366" s="121" t="str">
        <f aca="false">IF(ISBLANK(B366),"",B366&amp;"|"&amp;C366)</f>
        <v/>
      </c>
      <c r="B366" s="121"/>
      <c r="C366" s="121"/>
      <c r="D366" s="121"/>
      <c r="E366" s="127"/>
      <c r="F366" s="121"/>
      <c r="G366" s="121"/>
      <c r="H366" s="121"/>
      <c r="I366" s="121"/>
      <c r="J366" s="121"/>
      <c r="K366" s="121"/>
      <c r="L366" s="121"/>
      <c r="M366" s="121"/>
      <c r="N366" s="121"/>
      <c r="O366" s="121"/>
      <c r="P366" s="121"/>
      <c r="Q366" s="121"/>
      <c r="R366" s="121"/>
      <c r="S366" s="121"/>
      <c r="T366" s="121"/>
      <c r="U366" s="121"/>
      <c r="V366" s="121"/>
      <c r="W366" s="121"/>
      <c r="X366" s="121"/>
      <c r="Y366" s="121"/>
      <c r="Z366" s="121"/>
      <c r="AA366" s="121"/>
    </row>
    <row r="367" customFormat="false" ht="15.75" hidden="false" customHeight="false" outlineLevel="0" collapsed="false">
      <c r="A367" s="121" t="str">
        <f aca="false">IF(ISBLANK(B367),"",B367&amp;"|"&amp;C367)</f>
        <v/>
      </c>
      <c r="B367" s="121"/>
      <c r="C367" s="121"/>
      <c r="D367" s="121"/>
      <c r="E367" s="127"/>
      <c r="F367" s="121"/>
      <c r="G367" s="121"/>
      <c r="H367" s="121"/>
      <c r="I367" s="121"/>
      <c r="J367" s="121"/>
      <c r="K367" s="121"/>
      <c r="L367" s="121"/>
      <c r="M367" s="121"/>
      <c r="N367" s="121"/>
      <c r="O367" s="121"/>
      <c r="P367" s="121"/>
      <c r="Q367" s="121"/>
      <c r="R367" s="121"/>
      <c r="S367" s="121"/>
      <c r="T367" s="121"/>
      <c r="U367" s="121"/>
      <c r="V367" s="121"/>
      <c r="W367" s="121"/>
      <c r="X367" s="121"/>
      <c r="Y367" s="121"/>
      <c r="Z367" s="121"/>
      <c r="AA367" s="121"/>
    </row>
    <row r="368" customFormat="false" ht="15.75" hidden="false" customHeight="false" outlineLevel="0" collapsed="false">
      <c r="A368" s="121" t="str">
        <f aca="false">IF(ISBLANK(B368),"",B368&amp;"|"&amp;C368)</f>
        <v/>
      </c>
      <c r="B368" s="121"/>
      <c r="C368" s="121"/>
      <c r="D368" s="121"/>
      <c r="E368" s="127"/>
      <c r="F368" s="121"/>
      <c r="G368" s="121"/>
      <c r="H368" s="121"/>
      <c r="I368" s="121"/>
      <c r="J368" s="121"/>
      <c r="K368" s="121"/>
      <c r="L368" s="121"/>
      <c r="M368" s="121"/>
      <c r="N368" s="121"/>
      <c r="O368" s="121"/>
      <c r="P368" s="121"/>
      <c r="Q368" s="121"/>
      <c r="R368" s="121"/>
      <c r="S368" s="121"/>
      <c r="T368" s="121"/>
      <c r="U368" s="121"/>
      <c r="V368" s="121"/>
      <c r="W368" s="121"/>
      <c r="X368" s="121"/>
      <c r="Y368" s="121"/>
      <c r="Z368" s="121"/>
      <c r="AA368" s="121"/>
    </row>
    <row r="369" customFormat="false" ht="15.75" hidden="false" customHeight="false" outlineLevel="0" collapsed="false">
      <c r="A369" s="121" t="str">
        <f aca="false">IF(ISBLANK(B369),"",B369&amp;"|"&amp;C369)</f>
        <v/>
      </c>
      <c r="B369" s="121"/>
      <c r="C369" s="121"/>
      <c r="D369" s="121"/>
      <c r="E369" s="127"/>
      <c r="F369" s="121"/>
      <c r="G369" s="121"/>
      <c r="H369" s="121"/>
      <c r="I369" s="121"/>
      <c r="J369" s="121"/>
      <c r="K369" s="121"/>
      <c r="L369" s="121"/>
      <c r="M369" s="121"/>
      <c r="N369" s="121"/>
      <c r="O369" s="121"/>
      <c r="P369" s="121"/>
      <c r="Q369" s="121"/>
      <c r="R369" s="121"/>
      <c r="S369" s="121"/>
      <c r="T369" s="121"/>
      <c r="U369" s="121"/>
      <c r="V369" s="121"/>
      <c r="W369" s="121"/>
      <c r="X369" s="121"/>
      <c r="Y369" s="121"/>
      <c r="Z369" s="121"/>
      <c r="AA369" s="121"/>
    </row>
    <row r="370" customFormat="false" ht="15.75" hidden="false" customHeight="false" outlineLevel="0" collapsed="false">
      <c r="A370" s="121" t="str">
        <f aca="false">IF(ISBLANK(B370),"",B370&amp;"|"&amp;C370)</f>
        <v/>
      </c>
      <c r="B370" s="121"/>
      <c r="C370" s="121"/>
      <c r="D370" s="121"/>
      <c r="E370" s="127"/>
      <c r="F370" s="121"/>
      <c r="G370" s="121"/>
      <c r="H370" s="121"/>
      <c r="I370" s="121"/>
      <c r="J370" s="121"/>
      <c r="K370" s="121"/>
      <c r="L370" s="121"/>
      <c r="M370" s="121"/>
      <c r="N370" s="121"/>
      <c r="O370" s="121"/>
      <c r="P370" s="121"/>
      <c r="Q370" s="121"/>
      <c r="R370" s="121"/>
      <c r="S370" s="121"/>
      <c r="T370" s="121"/>
      <c r="U370" s="121"/>
      <c r="V370" s="121"/>
      <c r="W370" s="121"/>
      <c r="X370" s="121"/>
      <c r="Y370" s="121"/>
      <c r="Z370" s="121"/>
      <c r="AA370" s="121"/>
    </row>
    <row r="371" customFormat="false" ht="15.75" hidden="false" customHeight="false" outlineLevel="0" collapsed="false">
      <c r="A371" s="121" t="str">
        <f aca="false">IF(ISBLANK(B371),"",B371&amp;"|"&amp;C371)</f>
        <v/>
      </c>
      <c r="B371" s="121"/>
      <c r="C371" s="121"/>
      <c r="D371" s="121"/>
      <c r="E371" s="127"/>
      <c r="F371" s="121"/>
      <c r="G371" s="121"/>
      <c r="H371" s="121"/>
      <c r="I371" s="121"/>
      <c r="J371" s="121"/>
      <c r="K371" s="121"/>
      <c r="L371" s="121"/>
      <c r="M371" s="121"/>
      <c r="N371" s="121"/>
      <c r="O371" s="121"/>
      <c r="P371" s="121"/>
      <c r="Q371" s="121"/>
      <c r="R371" s="121"/>
      <c r="S371" s="121"/>
      <c r="T371" s="121"/>
      <c r="U371" s="121"/>
      <c r="V371" s="121"/>
      <c r="W371" s="121"/>
      <c r="X371" s="121"/>
      <c r="Y371" s="121"/>
      <c r="Z371" s="121"/>
      <c r="AA371" s="121"/>
    </row>
    <row r="372" customFormat="false" ht="15.75" hidden="false" customHeight="false" outlineLevel="0" collapsed="false">
      <c r="A372" s="121" t="str">
        <f aca="false">IF(ISBLANK(B372),"",B372&amp;"|"&amp;C372)</f>
        <v/>
      </c>
      <c r="B372" s="121"/>
      <c r="C372" s="121"/>
      <c r="D372" s="121"/>
      <c r="E372" s="127"/>
      <c r="F372" s="121"/>
      <c r="G372" s="121"/>
      <c r="H372" s="121"/>
      <c r="I372" s="121"/>
      <c r="J372" s="121"/>
      <c r="K372" s="121"/>
      <c r="L372" s="121"/>
      <c r="M372" s="121"/>
      <c r="N372" s="121"/>
      <c r="O372" s="121"/>
      <c r="P372" s="121"/>
      <c r="Q372" s="121"/>
      <c r="R372" s="121"/>
      <c r="S372" s="121"/>
      <c r="T372" s="121"/>
      <c r="U372" s="121"/>
      <c r="V372" s="121"/>
      <c r="W372" s="121"/>
      <c r="X372" s="121"/>
      <c r="Y372" s="121"/>
      <c r="Z372" s="121"/>
      <c r="AA372" s="121"/>
    </row>
    <row r="373" customFormat="false" ht="15.75" hidden="false" customHeight="false" outlineLevel="0" collapsed="false">
      <c r="A373" s="121" t="str">
        <f aca="false">IF(ISBLANK(B373),"",B373&amp;"|"&amp;C373)</f>
        <v/>
      </c>
      <c r="B373" s="121"/>
      <c r="C373" s="121"/>
      <c r="D373" s="121"/>
      <c r="E373" s="127"/>
      <c r="F373" s="121"/>
      <c r="G373" s="121"/>
      <c r="H373" s="121"/>
      <c r="I373" s="121"/>
      <c r="J373" s="121"/>
      <c r="K373" s="121"/>
      <c r="L373" s="121"/>
      <c r="M373" s="121"/>
      <c r="N373" s="121"/>
      <c r="O373" s="121"/>
      <c r="P373" s="121"/>
      <c r="Q373" s="121"/>
      <c r="R373" s="121"/>
      <c r="S373" s="121"/>
      <c r="T373" s="121"/>
      <c r="U373" s="121"/>
      <c r="V373" s="121"/>
      <c r="W373" s="121"/>
      <c r="X373" s="121"/>
      <c r="Y373" s="121"/>
      <c r="Z373" s="121"/>
      <c r="AA373" s="121"/>
    </row>
    <row r="374" customFormat="false" ht="15.75" hidden="false" customHeight="false" outlineLevel="0" collapsed="false">
      <c r="A374" s="121" t="str">
        <f aca="false">IF(ISBLANK(B374),"",B374&amp;"|"&amp;C374)</f>
        <v/>
      </c>
      <c r="B374" s="121"/>
      <c r="C374" s="121"/>
      <c r="D374" s="121"/>
      <c r="E374" s="127"/>
      <c r="F374" s="121"/>
      <c r="G374" s="121"/>
      <c r="H374" s="121"/>
      <c r="I374" s="121"/>
      <c r="J374" s="121"/>
      <c r="K374" s="121"/>
      <c r="L374" s="121"/>
      <c r="M374" s="121"/>
      <c r="N374" s="121"/>
      <c r="O374" s="121"/>
      <c r="P374" s="121"/>
      <c r="Q374" s="121"/>
      <c r="R374" s="121"/>
      <c r="S374" s="121"/>
      <c r="T374" s="121"/>
      <c r="U374" s="121"/>
      <c r="V374" s="121"/>
      <c r="W374" s="121"/>
      <c r="X374" s="121"/>
      <c r="Y374" s="121"/>
      <c r="Z374" s="121"/>
      <c r="AA374" s="121"/>
    </row>
    <row r="375" customFormat="false" ht="15.75" hidden="false" customHeight="false" outlineLevel="0" collapsed="false">
      <c r="A375" s="121" t="str">
        <f aca="false">IF(ISBLANK(B375),"",B375&amp;"|"&amp;C375)</f>
        <v/>
      </c>
      <c r="B375" s="121"/>
      <c r="C375" s="121"/>
      <c r="D375" s="121"/>
      <c r="E375" s="127"/>
      <c r="F375" s="121"/>
      <c r="G375" s="121"/>
      <c r="H375" s="121"/>
      <c r="I375" s="121"/>
      <c r="J375" s="121"/>
      <c r="K375" s="121"/>
      <c r="L375" s="121"/>
      <c r="M375" s="121"/>
      <c r="N375" s="121"/>
      <c r="O375" s="121"/>
      <c r="P375" s="121"/>
      <c r="Q375" s="121"/>
      <c r="R375" s="121"/>
      <c r="S375" s="121"/>
      <c r="T375" s="121"/>
      <c r="U375" s="121"/>
      <c r="V375" s="121"/>
      <c r="W375" s="121"/>
      <c r="X375" s="121"/>
      <c r="Y375" s="121"/>
      <c r="Z375" s="121"/>
      <c r="AA375" s="121"/>
    </row>
    <row r="376" customFormat="false" ht="15.75" hidden="false" customHeight="false" outlineLevel="0" collapsed="false">
      <c r="A376" s="121" t="str">
        <f aca="false">IF(ISBLANK(B376),"",B376&amp;"|"&amp;C376)</f>
        <v/>
      </c>
      <c r="B376" s="121"/>
      <c r="C376" s="121"/>
      <c r="D376" s="121"/>
      <c r="E376" s="127"/>
      <c r="F376" s="121"/>
      <c r="G376" s="121"/>
      <c r="H376" s="121"/>
      <c r="I376" s="121"/>
      <c r="J376" s="121"/>
      <c r="K376" s="121"/>
      <c r="L376" s="121"/>
      <c r="M376" s="121"/>
      <c r="N376" s="121"/>
      <c r="O376" s="121"/>
      <c r="P376" s="121"/>
      <c r="Q376" s="121"/>
      <c r="R376" s="121"/>
      <c r="S376" s="121"/>
      <c r="T376" s="121"/>
      <c r="U376" s="121"/>
      <c r="V376" s="121"/>
      <c r="W376" s="121"/>
      <c r="X376" s="121"/>
      <c r="Y376" s="121"/>
      <c r="Z376" s="121"/>
      <c r="AA376" s="121"/>
    </row>
    <row r="377" customFormat="false" ht="15.75" hidden="false" customHeight="false" outlineLevel="0" collapsed="false">
      <c r="A377" s="121" t="str">
        <f aca="false">IF(ISBLANK(B377),"",B377&amp;"|"&amp;C377)</f>
        <v/>
      </c>
      <c r="B377" s="121"/>
      <c r="C377" s="121"/>
      <c r="D377" s="121"/>
      <c r="E377" s="127"/>
      <c r="F377" s="121"/>
      <c r="G377" s="121"/>
      <c r="H377" s="121"/>
      <c r="I377" s="121"/>
      <c r="J377" s="121"/>
      <c r="K377" s="121"/>
      <c r="L377" s="121"/>
      <c r="M377" s="121"/>
      <c r="N377" s="121"/>
      <c r="O377" s="121"/>
      <c r="P377" s="121"/>
      <c r="Q377" s="121"/>
      <c r="R377" s="121"/>
      <c r="S377" s="121"/>
      <c r="T377" s="121"/>
      <c r="U377" s="121"/>
      <c r="V377" s="121"/>
      <c r="W377" s="121"/>
      <c r="X377" s="121"/>
      <c r="Y377" s="121"/>
      <c r="Z377" s="121"/>
      <c r="AA377" s="121"/>
    </row>
    <row r="378" customFormat="false" ht="15.75" hidden="false" customHeight="false" outlineLevel="0" collapsed="false">
      <c r="A378" s="121" t="str">
        <f aca="false">IF(ISBLANK(B378),"",B378&amp;"|"&amp;C378)</f>
        <v/>
      </c>
      <c r="B378" s="121"/>
      <c r="C378" s="121"/>
      <c r="D378" s="121"/>
      <c r="E378" s="127"/>
      <c r="F378" s="121"/>
      <c r="G378" s="121"/>
      <c r="H378" s="121"/>
      <c r="I378" s="121"/>
      <c r="J378" s="121"/>
      <c r="K378" s="121"/>
      <c r="L378" s="121"/>
      <c r="M378" s="121"/>
      <c r="N378" s="121"/>
      <c r="O378" s="121"/>
      <c r="P378" s="121"/>
      <c r="Q378" s="121"/>
      <c r="R378" s="121"/>
      <c r="S378" s="121"/>
      <c r="T378" s="121"/>
      <c r="U378" s="121"/>
      <c r="V378" s="121"/>
      <c r="W378" s="121"/>
      <c r="X378" s="121"/>
      <c r="Y378" s="121"/>
      <c r="Z378" s="121"/>
      <c r="AA378" s="121"/>
    </row>
    <row r="379" customFormat="false" ht="15.75" hidden="false" customHeight="false" outlineLevel="0" collapsed="false">
      <c r="A379" s="121" t="str">
        <f aca="false">IF(ISBLANK(B379),"",B379&amp;"|"&amp;C379)</f>
        <v/>
      </c>
      <c r="B379" s="121"/>
      <c r="C379" s="121"/>
      <c r="D379" s="121"/>
      <c r="E379" s="127"/>
      <c r="F379" s="121"/>
      <c r="G379" s="121"/>
      <c r="H379" s="121"/>
      <c r="I379" s="121"/>
      <c r="J379" s="121"/>
      <c r="K379" s="121"/>
      <c r="L379" s="121"/>
      <c r="M379" s="121"/>
      <c r="N379" s="121"/>
      <c r="O379" s="121"/>
      <c r="P379" s="121"/>
      <c r="Q379" s="121"/>
      <c r="R379" s="121"/>
      <c r="S379" s="121"/>
      <c r="T379" s="121"/>
      <c r="U379" s="121"/>
      <c r="V379" s="121"/>
      <c r="W379" s="121"/>
      <c r="X379" s="121"/>
      <c r="Y379" s="121"/>
      <c r="Z379" s="121"/>
      <c r="AA379" s="121"/>
    </row>
    <row r="380" customFormat="false" ht="15.75" hidden="false" customHeight="false" outlineLevel="0" collapsed="false">
      <c r="A380" s="121" t="str">
        <f aca="false">IF(ISBLANK(B380),"",B380&amp;"|"&amp;C380)</f>
        <v/>
      </c>
      <c r="B380" s="121"/>
      <c r="C380" s="121"/>
      <c r="D380" s="121"/>
      <c r="E380" s="127"/>
      <c r="F380" s="121"/>
      <c r="G380" s="121"/>
      <c r="H380" s="121"/>
      <c r="I380" s="121"/>
      <c r="J380" s="121"/>
      <c r="K380" s="121"/>
      <c r="L380" s="121"/>
      <c r="M380" s="121"/>
      <c r="N380" s="121"/>
      <c r="O380" s="121"/>
      <c r="P380" s="121"/>
      <c r="Q380" s="121"/>
      <c r="R380" s="121"/>
      <c r="S380" s="121"/>
      <c r="T380" s="121"/>
      <c r="U380" s="121"/>
      <c r="V380" s="121"/>
      <c r="W380" s="121"/>
      <c r="X380" s="121"/>
      <c r="Y380" s="121"/>
      <c r="Z380" s="121"/>
      <c r="AA380" s="121"/>
    </row>
    <row r="381" customFormat="false" ht="15.75" hidden="false" customHeight="false" outlineLevel="0" collapsed="false">
      <c r="A381" s="121" t="str">
        <f aca="false">IF(ISBLANK(B381),"",B381&amp;"|"&amp;C381)</f>
        <v/>
      </c>
      <c r="B381" s="121"/>
      <c r="C381" s="121"/>
      <c r="D381" s="121"/>
      <c r="E381" s="127"/>
      <c r="F381" s="121"/>
      <c r="G381" s="121"/>
      <c r="H381" s="121"/>
      <c r="I381" s="121"/>
      <c r="J381" s="121"/>
      <c r="K381" s="121"/>
      <c r="L381" s="121"/>
      <c r="M381" s="121"/>
      <c r="N381" s="121"/>
      <c r="O381" s="121"/>
      <c r="P381" s="121"/>
      <c r="Q381" s="121"/>
      <c r="R381" s="121"/>
      <c r="S381" s="121"/>
      <c r="T381" s="121"/>
      <c r="U381" s="121"/>
      <c r="V381" s="121"/>
      <c r="W381" s="121"/>
      <c r="X381" s="121"/>
      <c r="Y381" s="121"/>
      <c r="Z381" s="121"/>
      <c r="AA381" s="121"/>
    </row>
    <row r="382" customFormat="false" ht="15.75" hidden="false" customHeight="false" outlineLevel="0" collapsed="false">
      <c r="A382" s="121" t="str">
        <f aca="false">IF(ISBLANK(B382),"",B382&amp;"|"&amp;C382)</f>
        <v/>
      </c>
      <c r="B382" s="121"/>
      <c r="C382" s="121"/>
      <c r="D382" s="121"/>
      <c r="E382" s="127"/>
      <c r="F382" s="121"/>
      <c r="G382" s="121"/>
      <c r="H382" s="121"/>
      <c r="I382" s="121"/>
      <c r="J382" s="121"/>
      <c r="K382" s="121"/>
      <c r="L382" s="121"/>
      <c r="M382" s="121"/>
      <c r="N382" s="121"/>
      <c r="O382" s="121"/>
      <c r="P382" s="121"/>
      <c r="Q382" s="121"/>
      <c r="R382" s="121"/>
      <c r="S382" s="121"/>
      <c r="T382" s="121"/>
      <c r="U382" s="121"/>
      <c r="V382" s="121"/>
      <c r="W382" s="121"/>
      <c r="X382" s="121"/>
      <c r="Y382" s="121"/>
      <c r="Z382" s="121"/>
      <c r="AA382" s="121"/>
    </row>
    <row r="383" customFormat="false" ht="15.75" hidden="false" customHeight="false" outlineLevel="0" collapsed="false">
      <c r="A383" s="121" t="str">
        <f aca="false">IF(ISBLANK(B383),"",B383&amp;"|"&amp;C383)</f>
        <v/>
      </c>
      <c r="B383" s="121"/>
      <c r="C383" s="121"/>
      <c r="D383" s="121"/>
      <c r="E383" s="127"/>
      <c r="F383" s="121"/>
      <c r="G383" s="121"/>
      <c r="H383" s="121"/>
      <c r="I383" s="121"/>
      <c r="J383" s="121"/>
      <c r="K383" s="121"/>
      <c r="L383" s="121"/>
      <c r="M383" s="121"/>
      <c r="N383" s="121"/>
      <c r="O383" s="121"/>
      <c r="P383" s="121"/>
      <c r="Q383" s="121"/>
      <c r="R383" s="121"/>
      <c r="S383" s="121"/>
      <c r="T383" s="121"/>
      <c r="U383" s="121"/>
      <c r="V383" s="121"/>
      <c r="W383" s="121"/>
      <c r="X383" s="121"/>
      <c r="Y383" s="121"/>
      <c r="Z383" s="121"/>
      <c r="AA383" s="121"/>
    </row>
    <row r="384" customFormat="false" ht="15.75" hidden="false" customHeight="false" outlineLevel="0" collapsed="false">
      <c r="A384" s="121" t="str">
        <f aca="false">IF(ISBLANK(B384),"",B384&amp;"|"&amp;C384)</f>
        <v/>
      </c>
      <c r="B384" s="121"/>
      <c r="C384" s="121"/>
      <c r="D384" s="121"/>
      <c r="E384" s="127"/>
      <c r="F384" s="121"/>
      <c r="G384" s="121"/>
      <c r="H384" s="121"/>
      <c r="I384" s="121"/>
      <c r="J384" s="121"/>
      <c r="K384" s="121"/>
      <c r="L384" s="121"/>
      <c r="M384" s="121"/>
      <c r="N384" s="121"/>
      <c r="O384" s="121"/>
      <c r="P384" s="121"/>
      <c r="Q384" s="121"/>
      <c r="R384" s="121"/>
      <c r="S384" s="121"/>
      <c r="T384" s="121"/>
      <c r="U384" s="121"/>
      <c r="V384" s="121"/>
      <c r="W384" s="121"/>
      <c r="X384" s="121"/>
      <c r="Y384" s="121"/>
      <c r="Z384" s="121"/>
      <c r="AA384" s="121"/>
    </row>
    <row r="385" customFormat="false" ht="15.75" hidden="false" customHeight="false" outlineLevel="0" collapsed="false">
      <c r="A385" s="121" t="str">
        <f aca="false">IF(ISBLANK(B385),"",B385&amp;"|"&amp;C385)</f>
        <v/>
      </c>
      <c r="B385" s="121"/>
      <c r="C385" s="121"/>
      <c r="D385" s="121"/>
      <c r="E385" s="127"/>
      <c r="F385" s="121"/>
      <c r="G385" s="121"/>
      <c r="H385" s="121"/>
      <c r="I385" s="121"/>
      <c r="J385" s="121"/>
      <c r="K385" s="121"/>
      <c r="L385" s="121"/>
      <c r="M385" s="121"/>
      <c r="N385" s="121"/>
      <c r="O385" s="121"/>
      <c r="P385" s="121"/>
      <c r="Q385" s="121"/>
      <c r="R385" s="121"/>
      <c r="S385" s="121"/>
      <c r="T385" s="121"/>
      <c r="U385" s="121"/>
      <c r="V385" s="121"/>
      <c r="W385" s="121"/>
      <c r="X385" s="121"/>
      <c r="Y385" s="121"/>
      <c r="Z385" s="121"/>
      <c r="AA385" s="121"/>
    </row>
    <row r="386" customFormat="false" ht="15.75" hidden="false" customHeight="false" outlineLevel="0" collapsed="false">
      <c r="A386" s="121" t="str">
        <f aca="false">IF(ISBLANK(B386),"",B386&amp;"|"&amp;C386)</f>
        <v/>
      </c>
      <c r="B386" s="121"/>
      <c r="C386" s="121"/>
      <c r="D386" s="121"/>
      <c r="E386" s="127"/>
      <c r="F386" s="121"/>
      <c r="G386" s="121"/>
      <c r="H386" s="121"/>
      <c r="I386" s="121"/>
      <c r="J386" s="121"/>
      <c r="K386" s="121"/>
      <c r="L386" s="121"/>
      <c r="M386" s="121"/>
      <c r="N386" s="121"/>
      <c r="O386" s="121"/>
      <c r="P386" s="121"/>
      <c r="Q386" s="121"/>
      <c r="R386" s="121"/>
      <c r="S386" s="121"/>
      <c r="T386" s="121"/>
      <c r="U386" s="121"/>
      <c r="V386" s="121"/>
      <c r="W386" s="121"/>
      <c r="X386" s="121"/>
      <c r="Y386" s="121"/>
      <c r="Z386" s="121"/>
      <c r="AA386" s="121"/>
    </row>
    <row r="387" customFormat="false" ht="15.75" hidden="false" customHeight="false" outlineLevel="0" collapsed="false">
      <c r="A387" s="121" t="str">
        <f aca="false">IF(ISBLANK(B387),"",B387&amp;"|"&amp;C387)</f>
        <v/>
      </c>
      <c r="B387" s="121"/>
      <c r="C387" s="121"/>
      <c r="D387" s="121"/>
      <c r="E387" s="127"/>
      <c r="F387" s="121"/>
      <c r="G387" s="121"/>
      <c r="H387" s="121"/>
      <c r="I387" s="121"/>
      <c r="J387" s="121"/>
      <c r="K387" s="121"/>
      <c r="L387" s="121"/>
      <c r="M387" s="121"/>
      <c r="N387" s="121"/>
      <c r="O387" s="121"/>
      <c r="P387" s="121"/>
      <c r="Q387" s="121"/>
      <c r="R387" s="121"/>
      <c r="S387" s="121"/>
      <c r="T387" s="121"/>
      <c r="U387" s="121"/>
      <c r="V387" s="121"/>
      <c r="W387" s="121"/>
      <c r="X387" s="121"/>
      <c r="Y387" s="121"/>
      <c r="Z387" s="121"/>
      <c r="AA387" s="121"/>
    </row>
    <row r="388" customFormat="false" ht="15.75" hidden="false" customHeight="false" outlineLevel="0" collapsed="false">
      <c r="A388" s="121" t="str">
        <f aca="false">IF(ISBLANK(B388),"",B388&amp;"|"&amp;C388)</f>
        <v/>
      </c>
      <c r="B388" s="121"/>
      <c r="C388" s="121"/>
      <c r="D388" s="121"/>
      <c r="E388" s="127"/>
      <c r="F388" s="121"/>
      <c r="G388" s="121"/>
      <c r="H388" s="121"/>
      <c r="I388" s="121"/>
      <c r="J388" s="121"/>
      <c r="K388" s="121"/>
      <c r="L388" s="121"/>
      <c r="M388" s="121"/>
      <c r="N388" s="121"/>
      <c r="O388" s="121"/>
      <c r="P388" s="121"/>
      <c r="Q388" s="121"/>
      <c r="R388" s="121"/>
      <c r="S388" s="121"/>
      <c r="T388" s="121"/>
      <c r="U388" s="121"/>
      <c r="V388" s="121"/>
      <c r="W388" s="121"/>
      <c r="X388" s="121"/>
      <c r="Y388" s="121"/>
      <c r="Z388" s="121"/>
      <c r="AA388" s="121"/>
    </row>
    <row r="389" customFormat="false" ht="15.75" hidden="false" customHeight="false" outlineLevel="0" collapsed="false">
      <c r="A389" s="121" t="str">
        <f aca="false">IF(ISBLANK(B389),"",B389&amp;"|"&amp;C389)</f>
        <v/>
      </c>
      <c r="B389" s="121"/>
      <c r="C389" s="121"/>
      <c r="D389" s="121"/>
      <c r="E389" s="127"/>
      <c r="F389" s="121"/>
      <c r="G389" s="121"/>
      <c r="H389" s="121"/>
      <c r="I389" s="121"/>
      <c r="J389" s="121"/>
      <c r="K389" s="121"/>
      <c r="L389" s="121"/>
      <c r="M389" s="121"/>
      <c r="N389" s="121"/>
      <c r="O389" s="121"/>
      <c r="P389" s="121"/>
      <c r="Q389" s="121"/>
      <c r="R389" s="121"/>
      <c r="S389" s="121"/>
      <c r="T389" s="121"/>
      <c r="U389" s="121"/>
      <c r="V389" s="121"/>
      <c r="W389" s="121"/>
      <c r="X389" s="121"/>
      <c r="Y389" s="121"/>
      <c r="Z389" s="121"/>
      <c r="AA389" s="121"/>
    </row>
    <row r="390" customFormat="false" ht="15.75" hidden="false" customHeight="false" outlineLevel="0" collapsed="false">
      <c r="A390" s="121" t="str">
        <f aca="false">IF(ISBLANK(B390),"",B390&amp;"|"&amp;C390)</f>
        <v/>
      </c>
      <c r="B390" s="121"/>
      <c r="C390" s="121"/>
      <c r="D390" s="121"/>
      <c r="E390" s="127"/>
      <c r="F390" s="121"/>
      <c r="G390" s="121"/>
      <c r="H390" s="121"/>
      <c r="I390" s="121"/>
      <c r="J390" s="121"/>
      <c r="K390" s="121"/>
      <c r="L390" s="121"/>
      <c r="M390" s="121"/>
      <c r="N390" s="121"/>
      <c r="O390" s="121"/>
      <c r="P390" s="121"/>
      <c r="Q390" s="121"/>
      <c r="R390" s="121"/>
      <c r="S390" s="121"/>
      <c r="T390" s="121"/>
      <c r="U390" s="121"/>
      <c r="V390" s="121"/>
      <c r="W390" s="121"/>
      <c r="X390" s="121"/>
      <c r="Y390" s="121"/>
      <c r="Z390" s="121"/>
      <c r="AA390" s="121"/>
    </row>
    <row r="391" customFormat="false" ht="15.75" hidden="false" customHeight="false" outlineLevel="0" collapsed="false">
      <c r="A391" s="121" t="str">
        <f aca="false">IF(ISBLANK(B391),"",B391&amp;"|"&amp;C391)</f>
        <v/>
      </c>
      <c r="B391" s="121"/>
      <c r="C391" s="121"/>
      <c r="D391" s="121"/>
      <c r="E391" s="127"/>
      <c r="F391" s="121"/>
      <c r="G391" s="121"/>
      <c r="H391" s="121"/>
      <c r="I391" s="121"/>
      <c r="J391" s="121"/>
      <c r="K391" s="121"/>
      <c r="L391" s="121"/>
      <c r="M391" s="121"/>
      <c r="N391" s="121"/>
      <c r="O391" s="121"/>
      <c r="P391" s="121"/>
      <c r="Q391" s="121"/>
      <c r="R391" s="121"/>
      <c r="S391" s="121"/>
      <c r="T391" s="121"/>
      <c r="U391" s="121"/>
      <c r="V391" s="121"/>
      <c r="W391" s="121"/>
      <c r="X391" s="121"/>
      <c r="Y391" s="121"/>
      <c r="Z391" s="121"/>
      <c r="AA391" s="121"/>
    </row>
    <row r="392" customFormat="false" ht="15.75" hidden="false" customHeight="false" outlineLevel="0" collapsed="false">
      <c r="A392" s="121" t="str">
        <f aca="false">IF(ISBLANK(B392),"",B392&amp;"|"&amp;C392)</f>
        <v/>
      </c>
      <c r="B392" s="121"/>
      <c r="C392" s="121"/>
      <c r="D392" s="121"/>
      <c r="E392" s="127"/>
      <c r="F392" s="121"/>
      <c r="G392" s="121"/>
      <c r="H392" s="121"/>
      <c r="I392" s="121"/>
      <c r="J392" s="121"/>
      <c r="K392" s="121"/>
      <c r="L392" s="121"/>
      <c r="M392" s="121"/>
      <c r="N392" s="121"/>
      <c r="O392" s="121"/>
      <c r="P392" s="121"/>
      <c r="Q392" s="121"/>
      <c r="R392" s="121"/>
      <c r="S392" s="121"/>
      <c r="T392" s="121"/>
      <c r="U392" s="121"/>
      <c r="V392" s="121"/>
      <c r="W392" s="121"/>
      <c r="X392" s="121"/>
      <c r="Y392" s="121"/>
      <c r="Z392" s="121"/>
      <c r="AA392" s="121"/>
    </row>
    <row r="393" customFormat="false" ht="15.75" hidden="false" customHeight="false" outlineLevel="0" collapsed="false">
      <c r="A393" s="121" t="str">
        <f aca="false">IF(ISBLANK(B393),"",B393&amp;"|"&amp;C393)</f>
        <v/>
      </c>
      <c r="B393" s="121"/>
      <c r="C393" s="121"/>
      <c r="D393" s="121"/>
      <c r="E393" s="127"/>
      <c r="F393" s="121"/>
      <c r="G393" s="121"/>
      <c r="H393" s="121"/>
      <c r="I393" s="121"/>
      <c r="J393" s="121"/>
      <c r="K393" s="121"/>
      <c r="L393" s="121"/>
      <c r="M393" s="121"/>
      <c r="N393" s="121"/>
      <c r="O393" s="121"/>
      <c r="P393" s="121"/>
      <c r="Q393" s="121"/>
      <c r="R393" s="121"/>
      <c r="S393" s="121"/>
      <c r="T393" s="121"/>
      <c r="U393" s="121"/>
      <c r="V393" s="121"/>
      <c r="W393" s="121"/>
      <c r="X393" s="121"/>
      <c r="Y393" s="121"/>
      <c r="Z393" s="121"/>
      <c r="AA393" s="121"/>
    </row>
    <row r="394" customFormat="false" ht="15.75" hidden="false" customHeight="false" outlineLevel="0" collapsed="false">
      <c r="A394" s="121" t="str">
        <f aca="false">IF(ISBLANK(B394),"",B394&amp;"|"&amp;C394)</f>
        <v/>
      </c>
      <c r="B394" s="121"/>
      <c r="C394" s="121"/>
      <c r="D394" s="121"/>
      <c r="E394" s="127"/>
      <c r="F394" s="121"/>
      <c r="G394" s="121"/>
      <c r="H394" s="121"/>
      <c r="I394" s="121"/>
      <c r="J394" s="121"/>
      <c r="K394" s="121"/>
      <c r="L394" s="121"/>
      <c r="M394" s="121"/>
      <c r="N394" s="121"/>
      <c r="O394" s="121"/>
      <c r="P394" s="121"/>
      <c r="Q394" s="121"/>
      <c r="R394" s="121"/>
      <c r="S394" s="121"/>
      <c r="T394" s="121"/>
      <c r="U394" s="121"/>
      <c r="V394" s="121"/>
      <c r="W394" s="121"/>
      <c r="X394" s="121"/>
      <c r="Y394" s="121"/>
      <c r="Z394" s="121"/>
      <c r="AA394" s="121"/>
    </row>
    <row r="395" customFormat="false" ht="15.75" hidden="false" customHeight="false" outlineLevel="0" collapsed="false">
      <c r="A395" s="121" t="str">
        <f aca="false">IF(ISBLANK(B395),"",B395&amp;"|"&amp;C395)</f>
        <v/>
      </c>
      <c r="B395" s="121"/>
      <c r="C395" s="121"/>
      <c r="D395" s="121"/>
      <c r="E395" s="127"/>
      <c r="F395" s="121"/>
      <c r="G395" s="121"/>
      <c r="H395" s="121"/>
      <c r="I395" s="121"/>
      <c r="J395" s="121"/>
      <c r="K395" s="121"/>
      <c r="L395" s="121"/>
      <c r="M395" s="121"/>
      <c r="N395" s="121"/>
      <c r="O395" s="121"/>
      <c r="P395" s="121"/>
      <c r="Q395" s="121"/>
      <c r="R395" s="121"/>
      <c r="S395" s="121"/>
      <c r="T395" s="121"/>
      <c r="U395" s="121"/>
      <c r="V395" s="121"/>
      <c r="W395" s="121"/>
      <c r="X395" s="121"/>
      <c r="Y395" s="121"/>
      <c r="Z395" s="121"/>
      <c r="AA395" s="121"/>
    </row>
    <row r="396" customFormat="false" ht="15.75" hidden="false" customHeight="false" outlineLevel="0" collapsed="false">
      <c r="A396" s="121" t="str">
        <f aca="false">IF(ISBLANK(B396),"",B396&amp;"|"&amp;C396)</f>
        <v/>
      </c>
      <c r="B396" s="121"/>
      <c r="C396" s="121"/>
      <c r="D396" s="121"/>
      <c r="E396" s="127"/>
      <c r="F396" s="121"/>
      <c r="G396" s="121"/>
      <c r="H396" s="121"/>
      <c r="I396" s="121"/>
      <c r="J396" s="121"/>
      <c r="K396" s="121"/>
      <c r="L396" s="121"/>
      <c r="M396" s="121"/>
      <c r="N396" s="121"/>
      <c r="O396" s="121"/>
      <c r="P396" s="121"/>
      <c r="Q396" s="121"/>
      <c r="R396" s="121"/>
      <c r="S396" s="121"/>
      <c r="T396" s="121"/>
      <c r="U396" s="121"/>
      <c r="V396" s="121"/>
      <c r="W396" s="121"/>
      <c r="X396" s="121"/>
      <c r="Y396" s="121"/>
      <c r="Z396" s="121"/>
      <c r="AA396" s="121"/>
    </row>
    <row r="397" customFormat="false" ht="15.75" hidden="false" customHeight="false" outlineLevel="0" collapsed="false">
      <c r="A397" s="121" t="str">
        <f aca="false">IF(ISBLANK(B397),"",B397&amp;"|"&amp;C397)</f>
        <v/>
      </c>
      <c r="B397" s="121"/>
      <c r="C397" s="121"/>
      <c r="D397" s="121"/>
      <c r="E397" s="127"/>
      <c r="F397" s="121"/>
      <c r="G397" s="121"/>
      <c r="H397" s="121"/>
      <c r="I397" s="121"/>
      <c r="J397" s="121"/>
      <c r="K397" s="121"/>
      <c r="L397" s="121"/>
      <c r="M397" s="121"/>
      <c r="N397" s="121"/>
      <c r="O397" s="121"/>
      <c r="P397" s="121"/>
      <c r="Q397" s="121"/>
      <c r="R397" s="121"/>
      <c r="S397" s="121"/>
      <c r="T397" s="121"/>
      <c r="U397" s="121"/>
      <c r="V397" s="121"/>
      <c r="W397" s="121"/>
      <c r="X397" s="121"/>
      <c r="Y397" s="121"/>
      <c r="Z397" s="121"/>
      <c r="AA397" s="121"/>
    </row>
    <row r="398" customFormat="false" ht="15.75" hidden="false" customHeight="false" outlineLevel="0" collapsed="false">
      <c r="A398" s="121" t="str">
        <f aca="false">IF(ISBLANK(B398),"",B398&amp;"|"&amp;C398)</f>
        <v/>
      </c>
      <c r="B398" s="121"/>
      <c r="C398" s="121"/>
      <c r="D398" s="121"/>
      <c r="E398" s="127"/>
      <c r="F398" s="121"/>
      <c r="G398" s="121"/>
      <c r="H398" s="121"/>
      <c r="I398" s="121"/>
      <c r="J398" s="121"/>
      <c r="K398" s="121"/>
      <c r="L398" s="121"/>
      <c r="M398" s="121"/>
      <c r="N398" s="121"/>
      <c r="O398" s="121"/>
      <c r="P398" s="121"/>
      <c r="Q398" s="121"/>
      <c r="R398" s="121"/>
      <c r="S398" s="121"/>
      <c r="T398" s="121"/>
      <c r="U398" s="121"/>
      <c r="V398" s="121"/>
      <c r="W398" s="121"/>
      <c r="X398" s="121"/>
      <c r="Y398" s="121"/>
      <c r="Z398" s="121"/>
      <c r="AA398" s="121"/>
    </row>
    <row r="399" customFormat="false" ht="15.75" hidden="false" customHeight="false" outlineLevel="0" collapsed="false">
      <c r="A399" s="121" t="str">
        <f aca="false">IF(ISBLANK(B399),"",B399&amp;"|"&amp;C399)</f>
        <v/>
      </c>
      <c r="B399" s="121"/>
      <c r="C399" s="121"/>
      <c r="D399" s="121"/>
      <c r="E399" s="127"/>
      <c r="F399" s="121"/>
      <c r="G399" s="121"/>
      <c r="H399" s="121"/>
      <c r="I399" s="121"/>
      <c r="J399" s="121"/>
      <c r="K399" s="121"/>
      <c r="L399" s="121"/>
      <c r="M399" s="121"/>
      <c r="N399" s="121"/>
      <c r="O399" s="121"/>
      <c r="P399" s="121"/>
      <c r="Q399" s="121"/>
      <c r="R399" s="121"/>
      <c r="S399" s="121"/>
      <c r="T399" s="121"/>
      <c r="U399" s="121"/>
      <c r="V399" s="121"/>
      <c r="W399" s="121"/>
      <c r="X399" s="121"/>
      <c r="Y399" s="121"/>
      <c r="Z399" s="121"/>
      <c r="AA399" s="121"/>
    </row>
    <row r="400" customFormat="false" ht="15.75" hidden="false" customHeight="false" outlineLevel="0" collapsed="false">
      <c r="A400" s="121" t="str">
        <f aca="false">IF(ISBLANK(B400),"",B400&amp;"|"&amp;C400)</f>
        <v/>
      </c>
      <c r="B400" s="121"/>
      <c r="C400" s="121"/>
      <c r="D400" s="121"/>
      <c r="E400" s="127"/>
      <c r="F400" s="121"/>
      <c r="G400" s="121"/>
      <c r="H400" s="121"/>
      <c r="I400" s="121"/>
      <c r="J400" s="121"/>
      <c r="K400" s="121"/>
      <c r="L400" s="121"/>
      <c r="M400" s="121"/>
      <c r="N400" s="121"/>
      <c r="O400" s="121"/>
      <c r="P400" s="121"/>
      <c r="Q400" s="121"/>
      <c r="R400" s="121"/>
      <c r="S400" s="121"/>
      <c r="T400" s="121"/>
      <c r="U400" s="121"/>
      <c r="V400" s="121"/>
      <c r="W400" s="121"/>
      <c r="X400" s="121"/>
      <c r="Y400" s="121"/>
      <c r="Z400" s="121"/>
      <c r="AA400" s="121"/>
    </row>
    <row r="401" customFormat="false" ht="15.75" hidden="false" customHeight="false" outlineLevel="0" collapsed="false">
      <c r="A401" s="121" t="str">
        <f aca="false">IF(ISBLANK(B401),"",B401&amp;"|"&amp;C401)</f>
        <v/>
      </c>
      <c r="B401" s="121"/>
      <c r="C401" s="121"/>
      <c r="D401" s="121"/>
      <c r="E401" s="127"/>
      <c r="F401" s="121"/>
      <c r="G401" s="121"/>
      <c r="H401" s="121"/>
      <c r="I401" s="121"/>
      <c r="J401" s="121"/>
      <c r="K401" s="121"/>
      <c r="L401" s="121"/>
      <c r="M401" s="121"/>
      <c r="N401" s="121"/>
      <c r="O401" s="121"/>
      <c r="P401" s="121"/>
      <c r="Q401" s="121"/>
      <c r="R401" s="121"/>
      <c r="S401" s="121"/>
      <c r="T401" s="121"/>
      <c r="U401" s="121"/>
      <c r="V401" s="121"/>
      <c r="W401" s="121"/>
      <c r="X401" s="121"/>
      <c r="Y401" s="121"/>
      <c r="Z401" s="121"/>
      <c r="AA401" s="121"/>
    </row>
    <row r="402" customFormat="false" ht="15.75" hidden="false" customHeight="false" outlineLevel="0" collapsed="false">
      <c r="A402" s="121" t="str">
        <f aca="false">IF(ISBLANK(B402),"",B402&amp;"|"&amp;C402)</f>
        <v/>
      </c>
      <c r="B402" s="121"/>
      <c r="C402" s="121"/>
      <c r="D402" s="121"/>
      <c r="E402" s="127"/>
      <c r="F402" s="121"/>
      <c r="G402" s="121"/>
      <c r="H402" s="121"/>
      <c r="I402" s="121"/>
      <c r="J402" s="121"/>
      <c r="K402" s="121"/>
      <c r="L402" s="121"/>
      <c r="M402" s="121"/>
      <c r="N402" s="121"/>
      <c r="O402" s="121"/>
      <c r="P402" s="121"/>
      <c r="Q402" s="121"/>
      <c r="R402" s="121"/>
      <c r="S402" s="121"/>
      <c r="T402" s="121"/>
      <c r="U402" s="121"/>
      <c r="V402" s="121"/>
      <c r="W402" s="121"/>
      <c r="X402" s="121"/>
      <c r="Y402" s="121"/>
      <c r="Z402" s="121"/>
      <c r="AA402" s="121"/>
    </row>
    <row r="403" customFormat="false" ht="15.75" hidden="false" customHeight="false" outlineLevel="0" collapsed="false">
      <c r="A403" s="121" t="str">
        <f aca="false">IF(ISBLANK(B403),"",B403&amp;"|"&amp;C403)</f>
        <v/>
      </c>
      <c r="B403" s="121"/>
      <c r="C403" s="121"/>
      <c r="D403" s="121"/>
      <c r="E403" s="127"/>
      <c r="F403" s="121"/>
      <c r="G403" s="121"/>
      <c r="H403" s="121"/>
      <c r="I403" s="121"/>
      <c r="J403" s="121"/>
      <c r="K403" s="121"/>
      <c r="L403" s="121"/>
      <c r="M403" s="121"/>
      <c r="N403" s="121"/>
      <c r="O403" s="121"/>
      <c r="P403" s="121"/>
      <c r="Q403" s="121"/>
      <c r="R403" s="121"/>
      <c r="S403" s="121"/>
      <c r="T403" s="121"/>
      <c r="U403" s="121"/>
      <c r="V403" s="121"/>
      <c r="W403" s="121"/>
      <c r="X403" s="121"/>
      <c r="Y403" s="121"/>
      <c r="Z403" s="121"/>
      <c r="AA403" s="121"/>
    </row>
    <row r="404" customFormat="false" ht="15.75" hidden="false" customHeight="false" outlineLevel="0" collapsed="false">
      <c r="A404" s="121" t="str">
        <f aca="false">IF(ISBLANK(B404),"",B404&amp;"|"&amp;C404)</f>
        <v/>
      </c>
      <c r="B404" s="121"/>
      <c r="C404" s="121"/>
      <c r="D404" s="121"/>
      <c r="E404" s="127"/>
      <c r="F404" s="121"/>
      <c r="G404" s="121"/>
      <c r="H404" s="121"/>
      <c r="I404" s="121"/>
      <c r="J404" s="121"/>
      <c r="K404" s="121"/>
      <c r="L404" s="121"/>
      <c r="M404" s="121"/>
      <c r="N404" s="121"/>
      <c r="O404" s="121"/>
      <c r="P404" s="121"/>
      <c r="Q404" s="121"/>
      <c r="R404" s="121"/>
      <c r="S404" s="121"/>
      <c r="T404" s="121"/>
      <c r="U404" s="121"/>
      <c r="V404" s="121"/>
      <c r="W404" s="121"/>
      <c r="X404" s="121"/>
      <c r="Y404" s="121"/>
      <c r="Z404" s="121"/>
      <c r="AA404" s="121"/>
    </row>
    <row r="405" customFormat="false" ht="15.75" hidden="false" customHeight="false" outlineLevel="0" collapsed="false">
      <c r="A405" s="121" t="str">
        <f aca="false">IF(ISBLANK(B405),"",B405&amp;"|"&amp;C405)</f>
        <v/>
      </c>
      <c r="B405" s="121"/>
      <c r="C405" s="121"/>
      <c r="D405" s="121"/>
      <c r="E405" s="127"/>
      <c r="F405" s="121"/>
      <c r="G405" s="121"/>
      <c r="H405" s="121"/>
      <c r="I405" s="121"/>
      <c r="J405" s="121"/>
      <c r="K405" s="121"/>
      <c r="L405" s="121"/>
      <c r="M405" s="121"/>
      <c r="N405" s="121"/>
      <c r="O405" s="121"/>
      <c r="P405" s="121"/>
      <c r="Q405" s="121"/>
      <c r="R405" s="121"/>
      <c r="S405" s="121"/>
      <c r="T405" s="121"/>
      <c r="U405" s="121"/>
      <c r="V405" s="121"/>
      <c r="W405" s="121"/>
      <c r="X405" s="121"/>
      <c r="Y405" s="121"/>
      <c r="Z405" s="121"/>
      <c r="AA405" s="121"/>
    </row>
    <row r="406" customFormat="false" ht="15.75" hidden="false" customHeight="false" outlineLevel="0" collapsed="false">
      <c r="A406" s="121" t="str">
        <f aca="false">IF(ISBLANK(B406),"",B406&amp;"|"&amp;C406)</f>
        <v/>
      </c>
      <c r="B406" s="121"/>
      <c r="C406" s="121"/>
      <c r="D406" s="121"/>
      <c r="E406" s="127"/>
      <c r="F406" s="121"/>
      <c r="G406" s="121"/>
      <c r="H406" s="121"/>
      <c r="I406" s="121"/>
      <c r="J406" s="121"/>
      <c r="K406" s="121"/>
      <c r="L406" s="121"/>
      <c r="M406" s="121"/>
      <c r="N406" s="121"/>
      <c r="O406" s="121"/>
      <c r="P406" s="121"/>
      <c r="Q406" s="121"/>
      <c r="R406" s="121"/>
      <c r="S406" s="121"/>
      <c r="T406" s="121"/>
      <c r="U406" s="121"/>
      <c r="V406" s="121"/>
      <c r="W406" s="121"/>
      <c r="X406" s="121"/>
      <c r="Y406" s="121"/>
      <c r="Z406" s="121"/>
      <c r="AA406" s="121"/>
    </row>
    <row r="407" customFormat="false" ht="15.75" hidden="false" customHeight="false" outlineLevel="0" collapsed="false">
      <c r="A407" s="121" t="str">
        <f aca="false">IF(ISBLANK(B407),"",B407&amp;"|"&amp;C407)</f>
        <v/>
      </c>
      <c r="B407" s="121"/>
      <c r="C407" s="121"/>
      <c r="D407" s="121"/>
      <c r="E407" s="127"/>
      <c r="F407" s="121"/>
      <c r="G407" s="121"/>
      <c r="H407" s="121"/>
      <c r="I407" s="121"/>
      <c r="J407" s="121"/>
      <c r="K407" s="121"/>
      <c r="L407" s="121"/>
      <c r="M407" s="121"/>
      <c r="N407" s="121"/>
      <c r="O407" s="121"/>
      <c r="P407" s="121"/>
      <c r="Q407" s="121"/>
      <c r="R407" s="121"/>
      <c r="S407" s="121"/>
      <c r="T407" s="121"/>
      <c r="U407" s="121"/>
      <c r="V407" s="121"/>
      <c r="W407" s="121"/>
      <c r="X407" s="121"/>
      <c r="Y407" s="121"/>
      <c r="Z407" s="121"/>
      <c r="AA407" s="121"/>
    </row>
    <row r="408" customFormat="false" ht="15.75" hidden="false" customHeight="false" outlineLevel="0" collapsed="false">
      <c r="A408" s="121" t="str">
        <f aca="false">IF(ISBLANK(B408),"",B408&amp;"|"&amp;C408)</f>
        <v/>
      </c>
      <c r="B408" s="121"/>
      <c r="C408" s="121"/>
      <c r="D408" s="121"/>
      <c r="E408" s="127"/>
      <c r="F408" s="121"/>
      <c r="G408" s="121"/>
      <c r="H408" s="121"/>
      <c r="I408" s="121"/>
      <c r="J408" s="121"/>
      <c r="K408" s="121"/>
      <c r="L408" s="121"/>
      <c r="M408" s="121"/>
      <c r="N408" s="121"/>
      <c r="O408" s="121"/>
      <c r="P408" s="121"/>
      <c r="Q408" s="121"/>
      <c r="R408" s="121"/>
      <c r="S408" s="121"/>
      <c r="T408" s="121"/>
      <c r="U408" s="121"/>
      <c r="V408" s="121"/>
      <c r="W408" s="121"/>
      <c r="X408" s="121"/>
      <c r="Y408" s="121"/>
      <c r="Z408" s="121"/>
      <c r="AA408" s="121"/>
    </row>
    <row r="409" customFormat="false" ht="15.75" hidden="false" customHeight="false" outlineLevel="0" collapsed="false">
      <c r="A409" s="121" t="str">
        <f aca="false">IF(ISBLANK(B409),"",B409&amp;"|"&amp;C409)</f>
        <v/>
      </c>
      <c r="B409" s="121"/>
      <c r="C409" s="121"/>
      <c r="D409" s="121"/>
      <c r="E409" s="127"/>
      <c r="F409" s="121"/>
      <c r="G409" s="121"/>
      <c r="H409" s="121"/>
      <c r="I409" s="121"/>
      <c r="J409" s="121"/>
      <c r="K409" s="121"/>
      <c r="L409" s="121"/>
      <c r="M409" s="121"/>
      <c r="N409" s="121"/>
      <c r="O409" s="121"/>
      <c r="P409" s="121"/>
      <c r="Q409" s="121"/>
      <c r="R409" s="121"/>
      <c r="S409" s="121"/>
      <c r="T409" s="121"/>
      <c r="U409" s="121"/>
      <c r="V409" s="121"/>
      <c r="W409" s="121"/>
      <c r="X409" s="121"/>
      <c r="Y409" s="121"/>
      <c r="Z409" s="121"/>
      <c r="AA409" s="121"/>
    </row>
    <row r="410" customFormat="false" ht="15.75" hidden="false" customHeight="false" outlineLevel="0" collapsed="false">
      <c r="A410" s="121" t="str">
        <f aca="false">IF(ISBLANK(B410),"",B410&amp;"|"&amp;C410)</f>
        <v/>
      </c>
      <c r="B410" s="121"/>
      <c r="C410" s="121"/>
      <c r="D410" s="121"/>
      <c r="E410" s="127"/>
      <c r="F410" s="121"/>
      <c r="G410" s="121"/>
      <c r="H410" s="121"/>
      <c r="I410" s="121"/>
      <c r="J410" s="121"/>
      <c r="K410" s="121"/>
      <c r="L410" s="121"/>
      <c r="M410" s="121"/>
      <c r="N410" s="121"/>
      <c r="O410" s="121"/>
      <c r="P410" s="121"/>
      <c r="Q410" s="121"/>
      <c r="R410" s="121"/>
      <c r="S410" s="121"/>
      <c r="T410" s="121"/>
      <c r="U410" s="121"/>
      <c r="V410" s="121"/>
      <c r="W410" s="121"/>
      <c r="X410" s="121"/>
      <c r="Y410" s="121"/>
      <c r="Z410" s="121"/>
      <c r="AA410" s="121"/>
    </row>
    <row r="411" customFormat="false" ht="15.75" hidden="false" customHeight="false" outlineLevel="0" collapsed="false">
      <c r="A411" s="121" t="str">
        <f aca="false">IF(ISBLANK(B411),"",B411&amp;"|"&amp;C411)</f>
        <v/>
      </c>
      <c r="B411" s="121"/>
      <c r="C411" s="121"/>
      <c r="D411" s="121"/>
      <c r="E411" s="127"/>
      <c r="F411" s="121"/>
      <c r="G411" s="121"/>
      <c r="H411" s="121"/>
      <c r="I411" s="121"/>
      <c r="J411" s="121"/>
      <c r="K411" s="121"/>
      <c r="L411" s="121"/>
      <c r="M411" s="121"/>
      <c r="N411" s="121"/>
      <c r="O411" s="121"/>
      <c r="P411" s="121"/>
      <c r="Q411" s="121"/>
      <c r="R411" s="121"/>
      <c r="S411" s="121"/>
      <c r="T411" s="121"/>
      <c r="U411" s="121"/>
      <c r="V411" s="121"/>
      <c r="W411" s="121"/>
      <c r="X411" s="121"/>
      <c r="Y411" s="121"/>
      <c r="Z411" s="121"/>
      <c r="AA411" s="121"/>
    </row>
    <row r="412" customFormat="false" ht="15.75" hidden="false" customHeight="false" outlineLevel="0" collapsed="false">
      <c r="A412" s="121" t="str">
        <f aca="false">IF(ISBLANK(B412),"",B412&amp;"|"&amp;C412)</f>
        <v/>
      </c>
      <c r="B412" s="121"/>
      <c r="C412" s="121"/>
      <c r="D412" s="121"/>
      <c r="E412" s="127"/>
      <c r="F412" s="121"/>
      <c r="G412" s="121"/>
      <c r="H412" s="121"/>
      <c r="I412" s="121"/>
      <c r="J412" s="121"/>
      <c r="K412" s="121"/>
      <c r="L412" s="121"/>
      <c r="M412" s="121"/>
      <c r="N412" s="121"/>
      <c r="O412" s="121"/>
      <c r="P412" s="121"/>
      <c r="Q412" s="121"/>
      <c r="R412" s="121"/>
      <c r="S412" s="121"/>
      <c r="T412" s="121"/>
      <c r="U412" s="121"/>
      <c r="V412" s="121"/>
      <c r="W412" s="121"/>
      <c r="X412" s="121"/>
      <c r="Y412" s="121"/>
      <c r="Z412" s="121"/>
      <c r="AA412" s="121"/>
    </row>
    <row r="413" customFormat="false" ht="15.75" hidden="false" customHeight="false" outlineLevel="0" collapsed="false">
      <c r="A413" s="121" t="str">
        <f aca="false">IF(ISBLANK(B413),"",B413&amp;"|"&amp;C413)</f>
        <v/>
      </c>
      <c r="B413" s="121"/>
      <c r="C413" s="121"/>
      <c r="D413" s="121"/>
      <c r="E413" s="127"/>
      <c r="F413" s="121"/>
      <c r="G413" s="121"/>
      <c r="H413" s="121"/>
      <c r="I413" s="121"/>
      <c r="J413" s="121"/>
      <c r="K413" s="121"/>
      <c r="L413" s="121"/>
      <c r="M413" s="121"/>
      <c r="N413" s="121"/>
      <c r="O413" s="121"/>
      <c r="P413" s="121"/>
      <c r="Q413" s="121"/>
      <c r="R413" s="121"/>
      <c r="S413" s="121"/>
      <c r="T413" s="121"/>
      <c r="U413" s="121"/>
      <c r="V413" s="121"/>
      <c r="W413" s="121"/>
      <c r="X413" s="121"/>
      <c r="Y413" s="121"/>
      <c r="Z413" s="121"/>
      <c r="AA413" s="121"/>
    </row>
    <row r="414" customFormat="false" ht="15.75" hidden="false" customHeight="false" outlineLevel="0" collapsed="false">
      <c r="A414" s="121" t="str">
        <f aca="false">IF(ISBLANK(B414),"",B414&amp;"|"&amp;C414)</f>
        <v/>
      </c>
      <c r="B414" s="121"/>
      <c r="C414" s="121"/>
      <c r="D414" s="121"/>
      <c r="E414" s="127"/>
      <c r="F414" s="121"/>
      <c r="G414" s="121"/>
      <c r="H414" s="121"/>
      <c r="I414" s="121"/>
      <c r="J414" s="121"/>
      <c r="K414" s="121"/>
      <c r="L414" s="121"/>
      <c r="M414" s="121"/>
      <c r="N414" s="121"/>
      <c r="O414" s="121"/>
      <c r="P414" s="121"/>
      <c r="Q414" s="121"/>
      <c r="R414" s="121"/>
      <c r="S414" s="121"/>
      <c r="T414" s="121"/>
      <c r="U414" s="121"/>
      <c r="V414" s="121"/>
      <c r="W414" s="121"/>
      <c r="X414" s="121"/>
      <c r="Y414" s="121"/>
      <c r="Z414" s="121"/>
      <c r="AA414" s="121"/>
    </row>
    <row r="415" customFormat="false" ht="15.75" hidden="false" customHeight="false" outlineLevel="0" collapsed="false">
      <c r="A415" s="121" t="str">
        <f aca="false">IF(ISBLANK(B415),"",B415&amp;"|"&amp;C415)</f>
        <v/>
      </c>
      <c r="B415" s="121"/>
      <c r="C415" s="121"/>
      <c r="D415" s="121"/>
      <c r="E415" s="127"/>
      <c r="F415" s="121"/>
      <c r="G415" s="121"/>
      <c r="H415" s="121"/>
      <c r="I415" s="121"/>
      <c r="J415" s="121"/>
      <c r="K415" s="121"/>
      <c r="L415" s="121"/>
      <c r="M415" s="121"/>
      <c r="N415" s="121"/>
      <c r="O415" s="121"/>
      <c r="P415" s="121"/>
      <c r="Q415" s="121"/>
      <c r="R415" s="121"/>
      <c r="S415" s="121"/>
      <c r="T415" s="121"/>
      <c r="U415" s="121"/>
      <c r="V415" s="121"/>
      <c r="W415" s="121"/>
      <c r="X415" s="121"/>
      <c r="Y415" s="121"/>
      <c r="Z415" s="121"/>
      <c r="AA415" s="121"/>
    </row>
    <row r="416" customFormat="false" ht="15.75" hidden="false" customHeight="false" outlineLevel="0" collapsed="false">
      <c r="A416" s="121" t="str">
        <f aca="false">IF(ISBLANK(B416),"",B416&amp;"|"&amp;C416)</f>
        <v/>
      </c>
      <c r="B416" s="121"/>
      <c r="C416" s="121"/>
      <c r="D416" s="121"/>
      <c r="E416" s="127"/>
      <c r="F416" s="121"/>
      <c r="G416" s="121"/>
      <c r="H416" s="121"/>
      <c r="I416" s="121"/>
      <c r="J416" s="121"/>
      <c r="K416" s="121"/>
      <c r="L416" s="121"/>
      <c r="M416" s="121"/>
      <c r="N416" s="121"/>
      <c r="O416" s="121"/>
      <c r="P416" s="121"/>
      <c r="Q416" s="121"/>
      <c r="R416" s="121"/>
      <c r="S416" s="121"/>
      <c r="T416" s="121"/>
      <c r="U416" s="121"/>
      <c r="V416" s="121"/>
      <c r="W416" s="121"/>
      <c r="X416" s="121"/>
      <c r="Y416" s="121"/>
      <c r="Z416" s="121"/>
      <c r="AA416" s="121"/>
    </row>
    <row r="417" customFormat="false" ht="15.75" hidden="false" customHeight="false" outlineLevel="0" collapsed="false">
      <c r="A417" s="121" t="str">
        <f aca="false">IF(ISBLANK(B417),"",B417&amp;"|"&amp;C417)</f>
        <v/>
      </c>
      <c r="B417" s="121"/>
      <c r="C417" s="121"/>
      <c r="D417" s="121"/>
      <c r="E417" s="127"/>
      <c r="F417" s="121"/>
      <c r="G417" s="121"/>
      <c r="H417" s="121"/>
      <c r="I417" s="121"/>
      <c r="J417" s="121"/>
      <c r="K417" s="121"/>
      <c r="L417" s="121"/>
      <c r="M417" s="121"/>
      <c r="N417" s="121"/>
      <c r="O417" s="121"/>
      <c r="P417" s="121"/>
      <c r="Q417" s="121"/>
      <c r="R417" s="121"/>
      <c r="S417" s="121"/>
      <c r="T417" s="121"/>
      <c r="U417" s="121"/>
      <c r="V417" s="121"/>
      <c r="W417" s="121"/>
      <c r="X417" s="121"/>
      <c r="Y417" s="121"/>
      <c r="Z417" s="121"/>
      <c r="AA417" s="121"/>
    </row>
    <row r="418" customFormat="false" ht="15.75" hidden="false" customHeight="false" outlineLevel="0" collapsed="false">
      <c r="A418" s="121" t="str">
        <f aca="false">IF(ISBLANK(B418),"",B418&amp;"|"&amp;C418)</f>
        <v/>
      </c>
      <c r="B418" s="121"/>
      <c r="C418" s="121"/>
      <c r="D418" s="121"/>
      <c r="E418" s="127"/>
      <c r="F418" s="121"/>
      <c r="G418" s="121"/>
      <c r="H418" s="121"/>
      <c r="I418" s="121"/>
      <c r="J418" s="121"/>
      <c r="K418" s="121"/>
      <c r="L418" s="121"/>
      <c r="M418" s="121"/>
      <c r="N418" s="121"/>
      <c r="O418" s="121"/>
      <c r="P418" s="121"/>
      <c r="Q418" s="121"/>
      <c r="R418" s="121"/>
      <c r="S418" s="121"/>
      <c r="T418" s="121"/>
      <c r="U418" s="121"/>
      <c r="V418" s="121"/>
      <c r="W418" s="121"/>
      <c r="X418" s="121"/>
      <c r="Y418" s="121"/>
      <c r="Z418" s="121"/>
      <c r="AA418" s="121"/>
    </row>
    <row r="419" customFormat="false" ht="15.75" hidden="false" customHeight="false" outlineLevel="0" collapsed="false">
      <c r="A419" s="121" t="str">
        <f aca="false">IF(ISBLANK(B419),"",B419&amp;"|"&amp;C419)</f>
        <v/>
      </c>
      <c r="B419" s="121"/>
      <c r="C419" s="121"/>
      <c r="D419" s="121"/>
      <c r="E419" s="127"/>
      <c r="F419" s="121"/>
      <c r="G419" s="121"/>
      <c r="H419" s="121"/>
      <c r="I419" s="121"/>
      <c r="J419" s="121"/>
      <c r="K419" s="121"/>
      <c r="L419" s="121"/>
      <c r="M419" s="121"/>
      <c r="N419" s="121"/>
      <c r="O419" s="121"/>
      <c r="P419" s="121"/>
      <c r="Q419" s="121"/>
      <c r="R419" s="121"/>
      <c r="S419" s="121"/>
      <c r="T419" s="121"/>
      <c r="U419" s="121"/>
      <c r="V419" s="121"/>
      <c r="W419" s="121"/>
      <c r="X419" s="121"/>
      <c r="Y419" s="121"/>
      <c r="Z419" s="121"/>
      <c r="AA419" s="121"/>
    </row>
    <row r="420" customFormat="false" ht="15.75" hidden="false" customHeight="false" outlineLevel="0" collapsed="false">
      <c r="A420" s="121" t="str">
        <f aca="false">IF(ISBLANK(B420),"",B420&amp;"|"&amp;C420)</f>
        <v/>
      </c>
      <c r="B420" s="121"/>
      <c r="C420" s="121"/>
      <c r="D420" s="121"/>
      <c r="E420" s="127"/>
      <c r="F420" s="121"/>
      <c r="G420" s="121"/>
      <c r="H420" s="121"/>
      <c r="I420" s="121"/>
      <c r="J420" s="121"/>
      <c r="K420" s="121"/>
      <c r="L420" s="121"/>
      <c r="M420" s="121"/>
      <c r="N420" s="121"/>
      <c r="O420" s="121"/>
      <c r="P420" s="121"/>
      <c r="Q420" s="121"/>
      <c r="R420" s="121"/>
      <c r="S420" s="121"/>
      <c r="T420" s="121"/>
      <c r="U420" s="121"/>
      <c r="V420" s="121"/>
      <c r="W420" s="121"/>
      <c r="X420" s="121"/>
      <c r="Y420" s="121"/>
      <c r="Z420" s="121"/>
      <c r="AA420" s="121"/>
    </row>
    <row r="421" customFormat="false" ht="15.75" hidden="false" customHeight="false" outlineLevel="0" collapsed="false">
      <c r="A421" s="121" t="str">
        <f aca="false">IF(ISBLANK(B421),"",B421&amp;"|"&amp;C421)</f>
        <v/>
      </c>
      <c r="B421" s="121"/>
      <c r="C421" s="121"/>
      <c r="D421" s="121"/>
      <c r="E421" s="127"/>
      <c r="F421" s="121"/>
      <c r="G421" s="121"/>
      <c r="H421" s="121"/>
      <c r="I421" s="121"/>
      <c r="J421" s="121"/>
      <c r="K421" s="121"/>
      <c r="L421" s="121"/>
      <c r="M421" s="121"/>
      <c r="N421" s="121"/>
      <c r="O421" s="121"/>
      <c r="P421" s="121"/>
      <c r="Q421" s="121"/>
      <c r="R421" s="121"/>
      <c r="S421" s="121"/>
      <c r="T421" s="121"/>
      <c r="U421" s="121"/>
      <c r="V421" s="121"/>
      <c r="W421" s="121"/>
      <c r="X421" s="121"/>
      <c r="Y421" s="121"/>
      <c r="Z421" s="121"/>
      <c r="AA421" s="121"/>
    </row>
    <row r="422" customFormat="false" ht="15.75" hidden="false" customHeight="false" outlineLevel="0" collapsed="false">
      <c r="A422" s="121" t="str">
        <f aca="false">IF(ISBLANK(B422),"",B422&amp;"|"&amp;C422)</f>
        <v/>
      </c>
      <c r="B422" s="121"/>
      <c r="C422" s="121"/>
      <c r="D422" s="121"/>
      <c r="E422" s="127"/>
      <c r="F422" s="121"/>
      <c r="G422" s="121"/>
      <c r="H422" s="121"/>
      <c r="I422" s="121"/>
      <c r="J422" s="121"/>
      <c r="K422" s="121"/>
      <c r="L422" s="121"/>
      <c r="M422" s="121"/>
      <c r="N422" s="121"/>
      <c r="O422" s="121"/>
      <c r="P422" s="121"/>
      <c r="Q422" s="121"/>
      <c r="R422" s="121"/>
      <c r="S422" s="121"/>
      <c r="T422" s="121"/>
      <c r="U422" s="121"/>
      <c r="V422" s="121"/>
      <c r="W422" s="121"/>
      <c r="X422" s="121"/>
      <c r="Y422" s="121"/>
      <c r="Z422" s="121"/>
      <c r="AA422" s="121"/>
    </row>
    <row r="423" customFormat="false" ht="15.75" hidden="false" customHeight="false" outlineLevel="0" collapsed="false">
      <c r="A423" s="121" t="str">
        <f aca="false">IF(ISBLANK(B423),"",B423&amp;"|"&amp;C423)</f>
        <v/>
      </c>
      <c r="B423" s="121"/>
      <c r="C423" s="121"/>
      <c r="D423" s="121"/>
      <c r="E423" s="127"/>
      <c r="F423" s="121"/>
      <c r="G423" s="121"/>
      <c r="H423" s="121"/>
      <c r="I423" s="121"/>
      <c r="J423" s="121"/>
      <c r="K423" s="121"/>
      <c r="L423" s="121"/>
      <c r="M423" s="121"/>
      <c r="N423" s="121"/>
      <c r="O423" s="121"/>
      <c r="P423" s="121"/>
      <c r="Q423" s="121"/>
      <c r="R423" s="121"/>
      <c r="S423" s="121"/>
      <c r="T423" s="121"/>
      <c r="U423" s="121"/>
      <c r="V423" s="121"/>
      <c r="W423" s="121"/>
      <c r="X423" s="121"/>
      <c r="Y423" s="121"/>
      <c r="Z423" s="121"/>
      <c r="AA423" s="121"/>
    </row>
    <row r="424" customFormat="false" ht="15.75" hidden="false" customHeight="false" outlineLevel="0" collapsed="false">
      <c r="A424" s="121" t="str">
        <f aca="false">IF(ISBLANK(B424),"",B424&amp;"|"&amp;C424)</f>
        <v/>
      </c>
      <c r="B424" s="121"/>
      <c r="C424" s="121"/>
      <c r="D424" s="121"/>
      <c r="E424" s="127"/>
      <c r="F424" s="121"/>
      <c r="G424" s="121"/>
      <c r="H424" s="121"/>
      <c r="I424" s="121"/>
      <c r="J424" s="121"/>
      <c r="K424" s="121"/>
      <c r="L424" s="121"/>
      <c r="M424" s="121"/>
      <c r="N424" s="121"/>
      <c r="O424" s="121"/>
      <c r="P424" s="121"/>
      <c r="Q424" s="121"/>
      <c r="R424" s="121"/>
      <c r="S424" s="121"/>
      <c r="T424" s="121"/>
      <c r="U424" s="121"/>
      <c r="V424" s="121"/>
      <c r="W424" s="121"/>
      <c r="X424" s="121"/>
      <c r="Y424" s="121"/>
      <c r="Z424" s="121"/>
      <c r="AA424" s="121"/>
    </row>
    <row r="425" customFormat="false" ht="15.75" hidden="false" customHeight="false" outlineLevel="0" collapsed="false">
      <c r="A425" s="121" t="str">
        <f aca="false">IF(ISBLANK(B425),"",B425&amp;"|"&amp;C425)</f>
        <v/>
      </c>
      <c r="B425" s="121"/>
      <c r="C425" s="121"/>
      <c r="D425" s="121"/>
      <c r="E425" s="127"/>
      <c r="F425" s="121"/>
      <c r="G425" s="121"/>
      <c r="H425" s="121"/>
      <c r="I425" s="121"/>
      <c r="J425" s="121"/>
      <c r="K425" s="121"/>
      <c r="L425" s="121"/>
      <c r="M425" s="121"/>
      <c r="N425" s="121"/>
      <c r="O425" s="121"/>
      <c r="P425" s="121"/>
      <c r="Q425" s="121"/>
      <c r="R425" s="121"/>
      <c r="S425" s="121"/>
      <c r="T425" s="121"/>
      <c r="U425" s="121"/>
      <c r="V425" s="121"/>
      <c r="W425" s="121"/>
      <c r="X425" s="121"/>
      <c r="Y425" s="121"/>
      <c r="Z425" s="121"/>
      <c r="AA425" s="121"/>
    </row>
    <row r="426" customFormat="false" ht="15.75" hidden="false" customHeight="false" outlineLevel="0" collapsed="false">
      <c r="A426" s="121" t="str">
        <f aca="false">IF(ISBLANK(B426),"",B426&amp;"|"&amp;C426)</f>
        <v/>
      </c>
      <c r="B426" s="121"/>
      <c r="C426" s="121"/>
      <c r="D426" s="121"/>
      <c r="E426" s="127"/>
      <c r="F426" s="121"/>
      <c r="G426" s="121"/>
      <c r="H426" s="121"/>
      <c r="I426" s="121"/>
      <c r="J426" s="121"/>
      <c r="K426" s="121"/>
      <c r="L426" s="121"/>
      <c r="M426" s="121"/>
      <c r="N426" s="121"/>
      <c r="O426" s="121"/>
      <c r="P426" s="121"/>
      <c r="Q426" s="121"/>
      <c r="R426" s="121"/>
      <c r="S426" s="121"/>
      <c r="T426" s="121"/>
      <c r="U426" s="121"/>
      <c r="V426" s="121"/>
      <c r="W426" s="121"/>
      <c r="X426" s="121"/>
      <c r="Y426" s="121"/>
      <c r="Z426" s="121"/>
      <c r="AA426" s="121"/>
    </row>
    <row r="427" customFormat="false" ht="15.75" hidden="false" customHeight="false" outlineLevel="0" collapsed="false">
      <c r="A427" s="121" t="str">
        <f aca="false">IF(ISBLANK(B427),"",B427&amp;"|"&amp;C427)</f>
        <v/>
      </c>
      <c r="B427" s="121"/>
      <c r="C427" s="121"/>
      <c r="D427" s="121"/>
      <c r="E427" s="127"/>
      <c r="F427" s="121"/>
      <c r="G427" s="121"/>
      <c r="H427" s="121"/>
      <c r="I427" s="121"/>
      <c r="J427" s="121"/>
      <c r="K427" s="121"/>
      <c r="L427" s="121"/>
      <c r="M427" s="121"/>
      <c r="N427" s="121"/>
      <c r="O427" s="121"/>
      <c r="P427" s="121"/>
      <c r="Q427" s="121"/>
      <c r="R427" s="121"/>
      <c r="S427" s="121"/>
      <c r="T427" s="121"/>
      <c r="U427" s="121"/>
      <c r="V427" s="121"/>
      <c r="W427" s="121"/>
      <c r="X427" s="121"/>
      <c r="Y427" s="121"/>
      <c r="Z427" s="121"/>
      <c r="AA427" s="121"/>
    </row>
    <row r="428" customFormat="false" ht="15.75" hidden="false" customHeight="false" outlineLevel="0" collapsed="false">
      <c r="A428" s="121" t="str">
        <f aca="false">IF(ISBLANK(B428),"",B428&amp;"|"&amp;C428)</f>
        <v/>
      </c>
      <c r="B428" s="121"/>
      <c r="C428" s="121"/>
      <c r="D428" s="121"/>
      <c r="E428" s="127"/>
      <c r="F428" s="121"/>
      <c r="G428" s="121"/>
      <c r="H428" s="121"/>
      <c r="I428" s="121"/>
      <c r="J428" s="121"/>
      <c r="K428" s="121"/>
      <c r="L428" s="121"/>
      <c r="M428" s="121"/>
      <c r="N428" s="121"/>
      <c r="O428" s="121"/>
      <c r="P428" s="121"/>
      <c r="Q428" s="121"/>
      <c r="R428" s="121"/>
      <c r="S428" s="121"/>
      <c r="T428" s="121"/>
      <c r="U428" s="121"/>
      <c r="V428" s="121"/>
      <c r="W428" s="121"/>
      <c r="X428" s="121"/>
      <c r="Y428" s="121"/>
      <c r="Z428" s="121"/>
      <c r="AA428" s="121"/>
    </row>
    <row r="429" customFormat="false" ht="15.75" hidden="false" customHeight="false" outlineLevel="0" collapsed="false">
      <c r="A429" s="121" t="str">
        <f aca="false">IF(ISBLANK(B429),"",B429&amp;"|"&amp;C429)</f>
        <v/>
      </c>
      <c r="B429" s="121"/>
      <c r="C429" s="121"/>
      <c r="D429" s="121"/>
      <c r="E429" s="127"/>
      <c r="F429" s="121"/>
      <c r="G429" s="121"/>
      <c r="H429" s="121"/>
      <c r="I429" s="121"/>
      <c r="J429" s="121"/>
      <c r="K429" s="121"/>
      <c r="L429" s="121"/>
      <c r="M429" s="121"/>
      <c r="N429" s="121"/>
      <c r="O429" s="121"/>
      <c r="P429" s="121"/>
      <c r="Q429" s="121"/>
      <c r="R429" s="121"/>
      <c r="S429" s="121"/>
      <c r="T429" s="121"/>
      <c r="U429" s="121"/>
      <c r="V429" s="121"/>
      <c r="W429" s="121"/>
      <c r="X429" s="121"/>
      <c r="Y429" s="121"/>
      <c r="Z429" s="121"/>
      <c r="AA429" s="121"/>
    </row>
    <row r="430" customFormat="false" ht="15.75" hidden="false" customHeight="false" outlineLevel="0" collapsed="false">
      <c r="A430" s="121" t="str">
        <f aca="false">IF(ISBLANK(B430),"",B430&amp;"|"&amp;C430)</f>
        <v/>
      </c>
      <c r="B430" s="121"/>
      <c r="C430" s="121"/>
      <c r="D430" s="121"/>
      <c r="E430" s="127"/>
      <c r="F430" s="121"/>
      <c r="G430" s="121"/>
      <c r="H430" s="121"/>
      <c r="I430" s="121"/>
      <c r="J430" s="121"/>
      <c r="K430" s="121"/>
      <c r="L430" s="121"/>
      <c r="M430" s="121"/>
      <c r="N430" s="121"/>
      <c r="O430" s="121"/>
      <c r="P430" s="121"/>
      <c r="Q430" s="121"/>
      <c r="R430" s="121"/>
      <c r="S430" s="121"/>
      <c r="T430" s="121"/>
      <c r="U430" s="121"/>
      <c r="V430" s="121"/>
      <c r="W430" s="121"/>
      <c r="X430" s="121"/>
      <c r="Y430" s="121"/>
      <c r="Z430" s="121"/>
      <c r="AA430" s="121"/>
    </row>
    <row r="431" customFormat="false" ht="15.75" hidden="false" customHeight="false" outlineLevel="0" collapsed="false">
      <c r="A431" s="121" t="str">
        <f aca="false">IF(ISBLANK(B431),"",B431&amp;"|"&amp;C431)</f>
        <v/>
      </c>
      <c r="B431" s="121"/>
      <c r="C431" s="121"/>
      <c r="D431" s="121"/>
      <c r="E431" s="127"/>
      <c r="F431" s="121"/>
      <c r="G431" s="121"/>
      <c r="H431" s="121"/>
      <c r="I431" s="121"/>
      <c r="J431" s="121"/>
      <c r="K431" s="121"/>
      <c r="L431" s="121"/>
      <c r="M431" s="121"/>
      <c r="N431" s="121"/>
      <c r="O431" s="121"/>
      <c r="P431" s="121"/>
      <c r="Q431" s="121"/>
      <c r="R431" s="121"/>
      <c r="S431" s="121"/>
      <c r="T431" s="121"/>
      <c r="U431" s="121"/>
      <c r="V431" s="121"/>
      <c r="W431" s="121"/>
      <c r="X431" s="121"/>
      <c r="Y431" s="121"/>
      <c r="Z431" s="121"/>
      <c r="AA431" s="121"/>
    </row>
    <row r="432" customFormat="false" ht="15.75" hidden="false" customHeight="false" outlineLevel="0" collapsed="false">
      <c r="A432" s="121" t="str">
        <f aca="false">IF(ISBLANK(B432),"",B432&amp;"|"&amp;C432)</f>
        <v/>
      </c>
      <c r="B432" s="121"/>
      <c r="C432" s="121"/>
      <c r="D432" s="121"/>
      <c r="E432" s="127"/>
      <c r="F432" s="121"/>
      <c r="G432" s="121"/>
      <c r="H432" s="121"/>
      <c r="I432" s="121"/>
      <c r="J432" s="121"/>
      <c r="K432" s="121"/>
      <c r="L432" s="121"/>
      <c r="M432" s="121"/>
      <c r="N432" s="121"/>
      <c r="O432" s="121"/>
      <c r="P432" s="121"/>
      <c r="Q432" s="121"/>
      <c r="R432" s="121"/>
      <c r="S432" s="121"/>
      <c r="T432" s="121"/>
      <c r="U432" s="121"/>
      <c r="V432" s="121"/>
      <c r="W432" s="121"/>
      <c r="X432" s="121"/>
      <c r="Y432" s="121"/>
      <c r="Z432" s="121"/>
      <c r="AA432" s="121"/>
    </row>
    <row r="433" customFormat="false" ht="15.75" hidden="false" customHeight="false" outlineLevel="0" collapsed="false">
      <c r="A433" s="121" t="str">
        <f aca="false">IF(ISBLANK(B433),"",B433&amp;"|"&amp;C433)</f>
        <v/>
      </c>
      <c r="B433" s="121"/>
      <c r="C433" s="121"/>
      <c r="D433" s="121"/>
      <c r="E433" s="127"/>
      <c r="F433" s="121"/>
      <c r="G433" s="121"/>
      <c r="H433" s="121"/>
      <c r="I433" s="121"/>
      <c r="J433" s="121"/>
      <c r="K433" s="121"/>
      <c r="L433" s="121"/>
      <c r="M433" s="121"/>
      <c r="N433" s="121"/>
      <c r="O433" s="121"/>
      <c r="P433" s="121"/>
      <c r="Q433" s="121"/>
      <c r="R433" s="121"/>
      <c r="S433" s="121"/>
      <c r="T433" s="121"/>
      <c r="U433" s="121"/>
      <c r="V433" s="121"/>
      <c r="W433" s="121"/>
      <c r="X433" s="121"/>
      <c r="Y433" s="121"/>
      <c r="Z433" s="121"/>
      <c r="AA433" s="121"/>
    </row>
    <row r="434" customFormat="false" ht="15.75" hidden="false" customHeight="false" outlineLevel="0" collapsed="false">
      <c r="A434" s="121" t="str">
        <f aca="false">IF(ISBLANK(B434),"",B434&amp;"|"&amp;C434)</f>
        <v/>
      </c>
      <c r="B434" s="121"/>
      <c r="C434" s="121"/>
      <c r="D434" s="121"/>
      <c r="E434" s="127"/>
      <c r="F434" s="121"/>
      <c r="G434" s="121"/>
      <c r="H434" s="121"/>
      <c r="I434" s="121"/>
      <c r="J434" s="121"/>
      <c r="K434" s="121"/>
      <c r="L434" s="121"/>
      <c r="M434" s="121"/>
      <c r="N434" s="121"/>
      <c r="O434" s="121"/>
      <c r="P434" s="121"/>
      <c r="Q434" s="121"/>
      <c r="R434" s="121"/>
      <c r="S434" s="121"/>
      <c r="T434" s="121"/>
      <c r="U434" s="121"/>
      <c r="V434" s="121"/>
      <c r="W434" s="121"/>
      <c r="X434" s="121"/>
      <c r="Y434" s="121"/>
      <c r="Z434" s="121"/>
      <c r="AA434" s="121"/>
    </row>
    <row r="435" customFormat="false" ht="15.75" hidden="false" customHeight="false" outlineLevel="0" collapsed="false">
      <c r="A435" s="121" t="str">
        <f aca="false">IF(ISBLANK(B435),"",B435&amp;"|"&amp;C435)</f>
        <v/>
      </c>
      <c r="B435" s="121"/>
      <c r="C435" s="121"/>
      <c r="D435" s="121"/>
      <c r="E435" s="127"/>
      <c r="F435" s="121"/>
      <c r="G435" s="121"/>
      <c r="H435" s="121"/>
      <c r="I435" s="121"/>
      <c r="J435" s="121"/>
      <c r="K435" s="121"/>
      <c r="L435" s="121"/>
      <c r="M435" s="121"/>
      <c r="N435" s="121"/>
      <c r="O435" s="121"/>
      <c r="P435" s="121"/>
      <c r="Q435" s="121"/>
      <c r="R435" s="121"/>
      <c r="S435" s="121"/>
      <c r="T435" s="121"/>
      <c r="U435" s="121"/>
      <c r="V435" s="121"/>
      <c r="W435" s="121"/>
      <c r="X435" s="121"/>
      <c r="Y435" s="121"/>
      <c r="Z435" s="121"/>
      <c r="AA435" s="121"/>
    </row>
    <row r="436" customFormat="false" ht="15.75" hidden="false" customHeight="false" outlineLevel="0" collapsed="false">
      <c r="A436" s="121" t="str">
        <f aca="false">IF(ISBLANK(B436),"",B436&amp;"|"&amp;C436)</f>
        <v/>
      </c>
      <c r="B436" s="121"/>
      <c r="C436" s="121"/>
      <c r="D436" s="121"/>
      <c r="E436" s="127"/>
      <c r="F436" s="121"/>
      <c r="G436" s="121"/>
      <c r="H436" s="121"/>
      <c r="I436" s="121"/>
      <c r="J436" s="121"/>
      <c r="K436" s="121"/>
      <c r="L436" s="121"/>
      <c r="M436" s="121"/>
      <c r="N436" s="121"/>
      <c r="O436" s="121"/>
      <c r="P436" s="121"/>
      <c r="Q436" s="121"/>
      <c r="R436" s="121"/>
      <c r="S436" s="121"/>
      <c r="T436" s="121"/>
      <c r="U436" s="121"/>
      <c r="V436" s="121"/>
      <c r="W436" s="121"/>
      <c r="X436" s="121"/>
      <c r="Y436" s="121"/>
      <c r="Z436" s="121"/>
      <c r="AA436" s="121"/>
    </row>
    <row r="437" customFormat="false" ht="15.75" hidden="false" customHeight="false" outlineLevel="0" collapsed="false">
      <c r="A437" s="121" t="str">
        <f aca="false">IF(ISBLANK(B437),"",B437&amp;"|"&amp;C437)</f>
        <v/>
      </c>
      <c r="B437" s="121"/>
      <c r="C437" s="121"/>
      <c r="D437" s="121"/>
      <c r="E437" s="127"/>
      <c r="F437" s="121"/>
      <c r="G437" s="121"/>
      <c r="H437" s="121"/>
      <c r="I437" s="121"/>
      <c r="J437" s="121"/>
      <c r="K437" s="121"/>
      <c r="L437" s="121"/>
      <c r="M437" s="121"/>
      <c r="N437" s="121"/>
      <c r="O437" s="121"/>
      <c r="P437" s="121"/>
      <c r="Q437" s="121"/>
      <c r="R437" s="121"/>
      <c r="S437" s="121"/>
      <c r="T437" s="121"/>
      <c r="U437" s="121"/>
      <c r="V437" s="121"/>
      <c r="W437" s="121"/>
      <c r="X437" s="121"/>
      <c r="Y437" s="121"/>
      <c r="Z437" s="121"/>
      <c r="AA437" s="121"/>
    </row>
    <row r="438" customFormat="false" ht="15.75" hidden="false" customHeight="false" outlineLevel="0" collapsed="false">
      <c r="A438" s="121" t="str">
        <f aca="false">IF(ISBLANK(B438),"",B438&amp;"|"&amp;C438)</f>
        <v/>
      </c>
      <c r="B438" s="121"/>
      <c r="C438" s="121"/>
      <c r="D438" s="121"/>
      <c r="E438" s="127"/>
      <c r="F438" s="121"/>
      <c r="G438" s="121"/>
      <c r="H438" s="121"/>
      <c r="I438" s="121"/>
      <c r="J438" s="121"/>
      <c r="K438" s="121"/>
      <c r="L438" s="121"/>
      <c r="M438" s="121"/>
      <c r="N438" s="121"/>
      <c r="O438" s="121"/>
      <c r="P438" s="121"/>
      <c r="Q438" s="121"/>
      <c r="R438" s="121"/>
      <c r="S438" s="121"/>
      <c r="T438" s="121"/>
      <c r="U438" s="121"/>
      <c r="V438" s="121"/>
      <c r="W438" s="121"/>
      <c r="X438" s="121"/>
      <c r="Y438" s="121"/>
      <c r="Z438" s="121"/>
      <c r="AA438" s="121"/>
    </row>
    <row r="439" customFormat="false" ht="15.75" hidden="false" customHeight="false" outlineLevel="0" collapsed="false">
      <c r="A439" s="121" t="str">
        <f aca="false">IF(ISBLANK(B439),"",B439&amp;"|"&amp;C439)</f>
        <v/>
      </c>
      <c r="B439" s="121"/>
      <c r="C439" s="121"/>
      <c r="D439" s="121"/>
      <c r="E439" s="127"/>
      <c r="F439" s="121"/>
      <c r="G439" s="121"/>
      <c r="H439" s="121"/>
      <c r="I439" s="121"/>
      <c r="J439" s="121"/>
      <c r="K439" s="121"/>
      <c r="L439" s="121"/>
      <c r="M439" s="121"/>
      <c r="N439" s="121"/>
      <c r="O439" s="121"/>
      <c r="P439" s="121"/>
      <c r="Q439" s="121"/>
      <c r="R439" s="121"/>
      <c r="S439" s="121"/>
      <c r="T439" s="121"/>
      <c r="U439" s="121"/>
      <c r="V439" s="121"/>
      <c r="W439" s="121"/>
      <c r="X439" s="121"/>
      <c r="Y439" s="121"/>
      <c r="Z439" s="121"/>
      <c r="AA439" s="121"/>
    </row>
    <row r="440" customFormat="false" ht="15.75" hidden="false" customHeight="false" outlineLevel="0" collapsed="false">
      <c r="A440" s="121" t="str">
        <f aca="false">IF(ISBLANK(B440),"",B440&amp;"|"&amp;C440)</f>
        <v/>
      </c>
      <c r="B440" s="121"/>
      <c r="C440" s="121"/>
      <c r="D440" s="121"/>
      <c r="E440" s="127"/>
      <c r="F440" s="121"/>
      <c r="G440" s="121"/>
      <c r="H440" s="121"/>
      <c r="I440" s="121"/>
      <c r="J440" s="121"/>
      <c r="K440" s="121"/>
      <c r="L440" s="121"/>
      <c r="M440" s="121"/>
      <c r="N440" s="121"/>
      <c r="O440" s="121"/>
      <c r="P440" s="121"/>
      <c r="Q440" s="121"/>
      <c r="R440" s="121"/>
      <c r="S440" s="121"/>
      <c r="T440" s="121"/>
      <c r="U440" s="121"/>
      <c r="V440" s="121"/>
      <c r="W440" s="121"/>
      <c r="X440" s="121"/>
      <c r="Y440" s="121"/>
      <c r="Z440" s="121"/>
      <c r="AA440" s="121"/>
    </row>
    <row r="441" customFormat="false" ht="15.75" hidden="false" customHeight="false" outlineLevel="0" collapsed="false">
      <c r="A441" s="121" t="str">
        <f aca="false">IF(ISBLANK(B441),"",B441&amp;"|"&amp;C441)</f>
        <v/>
      </c>
      <c r="B441" s="121"/>
      <c r="C441" s="121"/>
      <c r="D441" s="121"/>
      <c r="E441" s="127"/>
      <c r="F441" s="121"/>
      <c r="G441" s="121"/>
      <c r="H441" s="121"/>
      <c r="I441" s="121"/>
      <c r="J441" s="121"/>
      <c r="K441" s="121"/>
      <c r="L441" s="121"/>
      <c r="M441" s="121"/>
      <c r="N441" s="121"/>
      <c r="O441" s="121"/>
      <c r="P441" s="121"/>
      <c r="Q441" s="121"/>
      <c r="R441" s="121"/>
      <c r="S441" s="121"/>
      <c r="T441" s="121"/>
      <c r="U441" s="121"/>
      <c r="V441" s="121"/>
      <c r="W441" s="121"/>
      <c r="X441" s="121"/>
      <c r="Y441" s="121"/>
      <c r="Z441" s="121"/>
      <c r="AA441" s="121"/>
    </row>
    <row r="442" customFormat="false" ht="15.75" hidden="false" customHeight="false" outlineLevel="0" collapsed="false">
      <c r="A442" s="121" t="str">
        <f aca="false">IF(ISBLANK(B442),"",B442&amp;"|"&amp;C442)</f>
        <v/>
      </c>
      <c r="B442" s="121"/>
      <c r="C442" s="121"/>
      <c r="D442" s="121"/>
      <c r="E442" s="127"/>
      <c r="F442" s="121"/>
      <c r="G442" s="121"/>
      <c r="H442" s="121"/>
      <c r="I442" s="121"/>
      <c r="J442" s="121"/>
      <c r="K442" s="121"/>
      <c r="L442" s="121"/>
      <c r="M442" s="121"/>
      <c r="N442" s="121"/>
      <c r="O442" s="121"/>
      <c r="P442" s="121"/>
      <c r="Q442" s="121"/>
      <c r="R442" s="121"/>
      <c r="S442" s="121"/>
      <c r="T442" s="121"/>
      <c r="U442" s="121"/>
      <c r="V442" s="121"/>
      <c r="W442" s="121"/>
      <c r="X442" s="121"/>
      <c r="Y442" s="121"/>
      <c r="Z442" s="121"/>
      <c r="AA442" s="121"/>
    </row>
    <row r="443" customFormat="false" ht="15.75" hidden="false" customHeight="false" outlineLevel="0" collapsed="false">
      <c r="A443" s="121" t="str">
        <f aca="false">IF(ISBLANK(B443),"",B443&amp;"|"&amp;C443)</f>
        <v/>
      </c>
      <c r="B443" s="121"/>
      <c r="C443" s="121"/>
      <c r="D443" s="121"/>
      <c r="E443" s="127"/>
      <c r="F443" s="121"/>
      <c r="G443" s="121"/>
      <c r="H443" s="121"/>
      <c r="I443" s="121"/>
      <c r="J443" s="121"/>
      <c r="K443" s="121"/>
      <c r="L443" s="121"/>
      <c r="M443" s="121"/>
      <c r="N443" s="121"/>
      <c r="O443" s="121"/>
      <c r="P443" s="121"/>
      <c r="Q443" s="121"/>
      <c r="R443" s="121"/>
      <c r="S443" s="121"/>
      <c r="T443" s="121"/>
      <c r="U443" s="121"/>
      <c r="V443" s="121"/>
      <c r="W443" s="121"/>
      <c r="X443" s="121"/>
      <c r="Y443" s="121"/>
      <c r="Z443" s="121"/>
      <c r="AA443" s="121"/>
    </row>
    <row r="444" customFormat="false" ht="15.75" hidden="false" customHeight="false" outlineLevel="0" collapsed="false">
      <c r="A444" s="121" t="str">
        <f aca="false">IF(ISBLANK(B444),"",B444&amp;"|"&amp;C444)</f>
        <v/>
      </c>
      <c r="B444" s="121"/>
      <c r="C444" s="121"/>
      <c r="D444" s="121"/>
      <c r="E444" s="127"/>
      <c r="F444" s="121"/>
      <c r="G444" s="121"/>
      <c r="H444" s="121"/>
      <c r="I444" s="121"/>
      <c r="J444" s="121"/>
      <c r="K444" s="121"/>
      <c r="L444" s="121"/>
      <c r="M444" s="121"/>
      <c r="N444" s="121"/>
      <c r="O444" s="121"/>
      <c r="P444" s="121"/>
      <c r="Q444" s="121"/>
      <c r="R444" s="121"/>
      <c r="S444" s="121"/>
      <c r="T444" s="121"/>
      <c r="U444" s="121"/>
      <c r="V444" s="121"/>
      <c r="W444" s="121"/>
      <c r="X444" s="121"/>
      <c r="Y444" s="121"/>
      <c r="Z444" s="121"/>
      <c r="AA444" s="121"/>
    </row>
    <row r="445" customFormat="false" ht="15.75" hidden="false" customHeight="false" outlineLevel="0" collapsed="false">
      <c r="A445" s="121" t="str">
        <f aca="false">IF(ISBLANK(B445),"",B445&amp;"|"&amp;C445)</f>
        <v/>
      </c>
      <c r="B445" s="121"/>
      <c r="C445" s="121"/>
      <c r="D445" s="121"/>
      <c r="E445" s="127"/>
      <c r="F445" s="121"/>
      <c r="G445" s="121"/>
      <c r="H445" s="121"/>
      <c r="I445" s="121"/>
      <c r="J445" s="121"/>
      <c r="K445" s="121"/>
      <c r="L445" s="121"/>
      <c r="M445" s="121"/>
      <c r="N445" s="121"/>
      <c r="O445" s="121"/>
      <c r="P445" s="121"/>
      <c r="Q445" s="121"/>
      <c r="R445" s="121"/>
      <c r="S445" s="121"/>
      <c r="T445" s="121"/>
      <c r="U445" s="121"/>
      <c r="V445" s="121"/>
      <c r="W445" s="121"/>
      <c r="X445" s="121"/>
      <c r="Y445" s="121"/>
      <c r="Z445" s="121"/>
      <c r="AA445" s="121"/>
    </row>
    <row r="446" customFormat="false" ht="15.75" hidden="false" customHeight="false" outlineLevel="0" collapsed="false">
      <c r="A446" s="121" t="str">
        <f aca="false">IF(ISBLANK(B446),"",B446&amp;"|"&amp;C446)</f>
        <v/>
      </c>
      <c r="B446" s="121"/>
      <c r="C446" s="121"/>
      <c r="D446" s="121"/>
      <c r="E446" s="127"/>
      <c r="F446" s="121"/>
      <c r="G446" s="121"/>
      <c r="H446" s="121"/>
      <c r="I446" s="121"/>
      <c r="J446" s="121"/>
      <c r="K446" s="121"/>
      <c r="L446" s="121"/>
      <c r="M446" s="121"/>
      <c r="N446" s="121"/>
      <c r="O446" s="121"/>
      <c r="P446" s="121"/>
      <c r="Q446" s="121"/>
      <c r="R446" s="121"/>
      <c r="S446" s="121"/>
      <c r="T446" s="121"/>
      <c r="U446" s="121"/>
      <c r="V446" s="121"/>
      <c r="W446" s="121"/>
      <c r="X446" s="121"/>
      <c r="Y446" s="121"/>
      <c r="Z446" s="121"/>
      <c r="AA446" s="121"/>
    </row>
    <row r="447" customFormat="false" ht="15.75" hidden="false" customHeight="false" outlineLevel="0" collapsed="false">
      <c r="A447" s="121" t="str">
        <f aca="false">IF(ISBLANK(B447),"",B447&amp;"|"&amp;C447)</f>
        <v/>
      </c>
      <c r="B447" s="121"/>
      <c r="C447" s="121"/>
      <c r="D447" s="121"/>
      <c r="E447" s="127"/>
      <c r="F447" s="121"/>
      <c r="G447" s="121"/>
      <c r="H447" s="121"/>
      <c r="I447" s="121"/>
      <c r="J447" s="121"/>
      <c r="K447" s="121"/>
      <c r="L447" s="121"/>
      <c r="M447" s="121"/>
      <c r="N447" s="121"/>
      <c r="O447" s="121"/>
      <c r="P447" s="121"/>
      <c r="Q447" s="121"/>
      <c r="R447" s="121"/>
      <c r="S447" s="121"/>
      <c r="T447" s="121"/>
      <c r="U447" s="121"/>
      <c r="V447" s="121"/>
      <c r="W447" s="121"/>
      <c r="X447" s="121"/>
      <c r="Y447" s="121"/>
      <c r="Z447" s="121"/>
      <c r="AA447" s="121"/>
    </row>
    <row r="448" customFormat="false" ht="15.75" hidden="false" customHeight="false" outlineLevel="0" collapsed="false">
      <c r="A448" s="121" t="str">
        <f aca="false">IF(ISBLANK(B448),"",B448&amp;"|"&amp;C448)</f>
        <v/>
      </c>
      <c r="B448" s="121"/>
      <c r="C448" s="121"/>
      <c r="D448" s="121"/>
      <c r="E448" s="127"/>
      <c r="F448" s="121"/>
      <c r="G448" s="121"/>
      <c r="H448" s="121"/>
      <c r="I448" s="121"/>
      <c r="J448" s="121"/>
      <c r="K448" s="121"/>
      <c r="L448" s="121"/>
      <c r="M448" s="121"/>
      <c r="N448" s="121"/>
      <c r="O448" s="121"/>
      <c r="P448" s="121"/>
      <c r="Q448" s="121"/>
      <c r="R448" s="121"/>
      <c r="S448" s="121"/>
      <c r="T448" s="121"/>
      <c r="U448" s="121"/>
      <c r="V448" s="121"/>
      <c r="W448" s="121"/>
      <c r="X448" s="121"/>
      <c r="Y448" s="121"/>
      <c r="Z448" s="121"/>
      <c r="AA448" s="121"/>
    </row>
    <row r="449" customFormat="false" ht="15.75" hidden="false" customHeight="false" outlineLevel="0" collapsed="false">
      <c r="A449" s="121" t="str">
        <f aca="false">IF(ISBLANK(B449),"",B449&amp;"|"&amp;C449)</f>
        <v/>
      </c>
      <c r="B449" s="121"/>
      <c r="C449" s="121"/>
      <c r="D449" s="121"/>
      <c r="E449" s="127"/>
      <c r="F449" s="121"/>
      <c r="G449" s="121"/>
      <c r="H449" s="121"/>
      <c r="I449" s="121"/>
      <c r="J449" s="121"/>
      <c r="K449" s="121"/>
      <c r="L449" s="121"/>
      <c r="M449" s="121"/>
      <c r="N449" s="121"/>
      <c r="O449" s="121"/>
      <c r="P449" s="121"/>
      <c r="Q449" s="121"/>
      <c r="R449" s="121"/>
      <c r="S449" s="121"/>
      <c r="T449" s="121"/>
      <c r="U449" s="121"/>
      <c r="V449" s="121"/>
      <c r="W449" s="121"/>
      <c r="X449" s="121"/>
      <c r="Y449" s="121"/>
      <c r="Z449" s="121"/>
      <c r="AA449" s="121"/>
    </row>
    <row r="450" customFormat="false" ht="15.75" hidden="false" customHeight="false" outlineLevel="0" collapsed="false">
      <c r="A450" s="121" t="str">
        <f aca="false">IF(ISBLANK(B450),"",B450&amp;"|"&amp;C450)</f>
        <v/>
      </c>
      <c r="B450" s="121"/>
      <c r="C450" s="121"/>
      <c r="D450" s="121"/>
      <c r="E450" s="127"/>
      <c r="F450" s="121"/>
      <c r="G450" s="121"/>
      <c r="H450" s="121"/>
      <c r="I450" s="121"/>
      <c r="J450" s="121"/>
      <c r="K450" s="121"/>
      <c r="L450" s="121"/>
      <c r="M450" s="121"/>
      <c r="N450" s="121"/>
      <c r="O450" s="121"/>
      <c r="P450" s="121"/>
      <c r="Q450" s="121"/>
      <c r="R450" s="121"/>
      <c r="S450" s="121"/>
      <c r="T450" s="121"/>
      <c r="U450" s="121"/>
      <c r="V450" s="121"/>
      <c r="W450" s="121"/>
      <c r="X450" s="121"/>
      <c r="Y450" s="121"/>
      <c r="Z450" s="121"/>
      <c r="AA450" s="121"/>
    </row>
    <row r="451" customFormat="false" ht="15.75" hidden="false" customHeight="false" outlineLevel="0" collapsed="false">
      <c r="A451" s="121" t="str">
        <f aca="false">IF(ISBLANK(B451),"",B451&amp;"|"&amp;C451)</f>
        <v/>
      </c>
      <c r="B451" s="121"/>
      <c r="C451" s="121"/>
      <c r="D451" s="121"/>
      <c r="E451" s="127"/>
      <c r="F451" s="121"/>
      <c r="G451" s="121"/>
      <c r="H451" s="121"/>
      <c r="I451" s="121"/>
      <c r="J451" s="121"/>
      <c r="K451" s="121"/>
      <c r="L451" s="121"/>
      <c r="M451" s="121"/>
      <c r="N451" s="121"/>
      <c r="O451" s="121"/>
      <c r="P451" s="121"/>
      <c r="Q451" s="121"/>
      <c r="R451" s="121"/>
      <c r="S451" s="121"/>
      <c r="T451" s="121"/>
      <c r="U451" s="121"/>
      <c r="V451" s="121"/>
      <c r="W451" s="121"/>
      <c r="X451" s="121"/>
      <c r="Y451" s="121"/>
      <c r="Z451" s="121"/>
      <c r="AA451" s="121"/>
    </row>
    <row r="452" customFormat="false" ht="15.75" hidden="false" customHeight="false" outlineLevel="0" collapsed="false">
      <c r="A452" s="121" t="str">
        <f aca="false">IF(ISBLANK(B452),"",B452&amp;"|"&amp;C452)</f>
        <v/>
      </c>
      <c r="B452" s="121"/>
      <c r="C452" s="121"/>
      <c r="D452" s="121"/>
      <c r="E452" s="127"/>
      <c r="F452" s="121"/>
      <c r="G452" s="121"/>
      <c r="H452" s="121"/>
      <c r="I452" s="121"/>
      <c r="J452" s="121"/>
      <c r="K452" s="121"/>
      <c r="L452" s="121"/>
      <c r="M452" s="121"/>
      <c r="N452" s="121"/>
      <c r="O452" s="121"/>
      <c r="P452" s="121"/>
      <c r="Q452" s="121"/>
      <c r="R452" s="121"/>
      <c r="S452" s="121"/>
      <c r="T452" s="121"/>
      <c r="U452" s="121"/>
      <c r="V452" s="121"/>
      <c r="W452" s="121"/>
      <c r="X452" s="121"/>
      <c r="Y452" s="121"/>
      <c r="Z452" s="121"/>
      <c r="AA452" s="121"/>
    </row>
    <row r="453" customFormat="false" ht="15.75" hidden="false" customHeight="false" outlineLevel="0" collapsed="false">
      <c r="A453" s="121" t="str">
        <f aca="false">IF(ISBLANK(B453),"",B453&amp;"|"&amp;C453)</f>
        <v/>
      </c>
      <c r="B453" s="121"/>
      <c r="C453" s="121"/>
      <c r="D453" s="121"/>
      <c r="E453" s="127"/>
      <c r="F453" s="121"/>
      <c r="G453" s="121"/>
      <c r="H453" s="121"/>
      <c r="I453" s="121"/>
      <c r="J453" s="121"/>
      <c r="K453" s="121"/>
      <c r="L453" s="121"/>
      <c r="M453" s="121"/>
      <c r="N453" s="121"/>
      <c r="O453" s="121"/>
      <c r="P453" s="121"/>
      <c r="Q453" s="121"/>
      <c r="R453" s="121"/>
      <c r="S453" s="121"/>
      <c r="T453" s="121"/>
      <c r="U453" s="121"/>
      <c r="V453" s="121"/>
      <c r="W453" s="121"/>
      <c r="X453" s="121"/>
      <c r="Y453" s="121"/>
      <c r="Z453" s="121"/>
      <c r="AA453" s="121"/>
    </row>
    <row r="454" customFormat="false" ht="15.75" hidden="false" customHeight="false" outlineLevel="0" collapsed="false">
      <c r="A454" s="121" t="str">
        <f aca="false">IF(ISBLANK(B454),"",B454&amp;"|"&amp;C454)</f>
        <v/>
      </c>
      <c r="B454" s="121"/>
      <c r="C454" s="121"/>
      <c r="D454" s="121"/>
      <c r="E454" s="127"/>
      <c r="F454" s="121"/>
      <c r="G454" s="121"/>
      <c r="H454" s="121"/>
      <c r="I454" s="121"/>
      <c r="J454" s="121"/>
      <c r="K454" s="121"/>
      <c r="L454" s="121"/>
      <c r="M454" s="121"/>
      <c r="N454" s="121"/>
      <c r="O454" s="121"/>
      <c r="P454" s="121"/>
      <c r="Q454" s="121"/>
      <c r="R454" s="121"/>
      <c r="S454" s="121"/>
      <c r="T454" s="121"/>
      <c r="U454" s="121"/>
      <c r="V454" s="121"/>
      <c r="W454" s="121"/>
      <c r="X454" s="121"/>
      <c r="Y454" s="121"/>
      <c r="Z454" s="121"/>
      <c r="AA454" s="121"/>
    </row>
    <row r="455" customFormat="false" ht="15.75" hidden="false" customHeight="false" outlineLevel="0" collapsed="false">
      <c r="A455" s="121" t="str">
        <f aca="false">IF(ISBLANK(B455),"",B455&amp;"|"&amp;C455)</f>
        <v/>
      </c>
      <c r="B455" s="121"/>
      <c r="C455" s="121"/>
      <c r="D455" s="121"/>
      <c r="E455" s="127"/>
      <c r="F455" s="121"/>
      <c r="G455" s="121"/>
      <c r="H455" s="121"/>
      <c r="I455" s="121"/>
      <c r="J455" s="121"/>
      <c r="K455" s="121"/>
      <c r="L455" s="121"/>
      <c r="M455" s="121"/>
      <c r="N455" s="121"/>
      <c r="O455" s="121"/>
      <c r="P455" s="121"/>
      <c r="Q455" s="121"/>
      <c r="R455" s="121"/>
      <c r="S455" s="121"/>
      <c r="T455" s="121"/>
      <c r="U455" s="121"/>
      <c r="V455" s="121"/>
      <c r="W455" s="121"/>
      <c r="X455" s="121"/>
      <c r="Y455" s="121"/>
      <c r="Z455" s="121"/>
      <c r="AA455" s="121"/>
    </row>
    <row r="456" customFormat="false" ht="15.75" hidden="false" customHeight="false" outlineLevel="0" collapsed="false">
      <c r="A456" s="121" t="str">
        <f aca="false">IF(ISBLANK(B456),"",B456&amp;"|"&amp;C456)</f>
        <v/>
      </c>
      <c r="B456" s="121"/>
      <c r="C456" s="121"/>
      <c r="D456" s="121"/>
      <c r="E456" s="127"/>
      <c r="F456" s="121"/>
      <c r="G456" s="121"/>
      <c r="H456" s="121"/>
      <c r="I456" s="121"/>
      <c r="J456" s="121"/>
      <c r="K456" s="121"/>
      <c r="L456" s="121"/>
      <c r="M456" s="121"/>
      <c r="N456" s="121"/>
      <c r="O456" s="121"/>
      <c r="P456" s="121"/>
      <c r="Q456" s="121"/>
      <c r="R456" s="121"/>
      <c r="S456" s="121"/>
      <c r="T456" s="121"/>
      <c r="U456" s="121"/>
      <c r="V456" s="121"/>
      <c r="W456" s="121"/>
      <c r="X456" s="121"/>
      <c r="Y456" s="121"/>
      <c r="Z456" s="121"/>
      <c r="AA456" s="121"/>
    </row>
    <row r="457" customFormat="false" ht="15.75" hidden="false" customHeight="false" outlineLevel="0" collapsed="false">
      <c r="A457" s="121" t="str">
        <f aca="false">IF(ISBLANK(B457),"",B457&amp;"|"&amp;C457)</f>
        <v/>
      </c>
      <c r="B457" s="121"/>
      <c r="C457" s="121"/>
      <c r="D457" s="121"/>
      <c r="E457" s="127"/>
      <c r="F457" s="121"/>
      <c r="G457" s="121"/>
      <c r="H457" s="121"/>
      <c r="I457" s="121"/>
      <c r="J457" s="121"/>
      <c r="K457" s="121"/>
      <c r="L457" s="121"/>
      <c r="M457" s="121"/>
      <c r="N457" s="121"/>
      <c r="O457" s="121"/>
      <c r="P457" s="121"/>
      <c r="Q457" s="121"/>
      <c r="R457" s="121"/>
      <c r="S457" s="121"/>
      <c r="T457" s="121"/>
      <c r="U457" s="121"/>
      <c r="V457" s="121"/>
      <c r="W457" s="121"/>
      <c r="X457" s="121"/>
      <c r="Y457" s="121"/>
      <c r="Z457" s="121"/>
      <c r="AA457" s="121"/>
    </row>
    <row r="458" customFormat="false" ht="15.75" hidden="false" customHeight="false" outlineLevel="0" collapsed="false">
      <c r="A458" s="121" t="str">
        <f aca="false">IF(ISBLANK(B458),"",B458&amp;"|"&amp;C458)</f>
        <v/>
      </c>
      <c r="B458" s="121"/>
      <c r="C458" s="121"/>
      <c r="D458" s="121"/>
      <c r="E458" s="127"/>
      <c r="F458" s="121"/>
      <c r="G458" s="121"/>
      <c r="H458" s="121"/>
      <c r="I458" s="121"/>
      <c r="J458" s="121"/>
      <c r="K458" s="121"/>
      <c r="L458" s="121"/>
      <c r="M458" s="121"/>
      <c r="N458" s="121"/>
      <c r="O458" s="121"/>
      <c r="P458" s="121"/>
      <c r="Q458" s="121"/>
      <c r="R458" s="121"/>
      <c r="S458" s="121"/>
      <c r="T458" s="121"/>
      <c r="U458" s="121"/>
      <c r="V458" s="121"/>
      <c r="W458" s="121"/>
      <c r="X458" s="121"/>
      <c r="Y458" s="121"/>
      <c r="Z458" s="121"/>
      <c r="AA458" s="121"/>
    </row>
    <row r="459" customFormat="false" ht="15.75" hidden="false" customHeight="false" outlineLevel="0" collapsed="false">
      <c r="A459" s="121" t="str">
        <f aca="false">IF(ISBLANK(B459),"",B459&amp;"|"&amp;C459)</f>
        <v/>
      </c>
      <c r="B459" s="121"/>
      <c r="C459" s="121"/>
      <c r="D459" s="121"/>
      <c r="E459" s="127"/>
      <c r="F459" s="121"/>
      <c r="G459" s="121"/>
      <c r="H459" s="121"/>
      <c r="I459" s="121"/>
      <c r="J459" s="121"/>
      <c r="K459" s="121"/>
      <c r="L459" s="121"/>
      <c r="M459" s="121"/>
      <c r="N459" s="121"/>
      <c r="O459" s="121"/>
      <c r="P459" s="121"/>
      <c r="Q459" s="121"/>
      <c r="R459" s="121"/>
      <c r="S459" s="121"/>
      <c r="T459" s="121"/>
      <c r="U459" s="121"/>
      <c r="V459" s="121"/>
      <c r="W459" s="121"/>
      <c r="X459" s="121"/>
      <c r="Y459" s="121"/>
      <c r="Z459" s="121"/>
      <c r="AA459" s="121"/>
    </row>
    <row r="460" customFormat="false" ht="15.75" hidden="false" customHeight="false" outlineLevel="0" collapsed="false">
      <c r="A460" s="121" t="str">
        <f aca="false">IF(ISBLANK(B460),"",B460&amp;"|"&amp;C460)</f>
        <v/>
      </c>
      <c r="B460" s="121"/>
      <c r="C460" s="121"/>
      <c r="D460" s="121"/>
      <c r="E460" s="127"/>
      <c r="F460" s="121"/>
      <c r="G460" s="121"/>
      <c r="H460" s="121"/>
      <c r="I460" s="121"/>
      <c r="J460" s="121"/>
      <c r="K460" s="121"/>
      <c r="L460" s="121"/>
      <c r="M460" s="121"/>
      <c r="N460" s="121"/>
      <c r="O460" s="121"/>
      <c r="P460" s="121"/>
      <c r="Q460" s="121"/>
      <c r="R460" s="121"/>
      <c r="S460" s="121"/>
      <c r="T460" s="121"/>
      <c r="U460" s="121"/>
      <c r="V460" s="121"/>
      <c r="W460" s="121"/>
      <c r="X460" s="121"/>
      <c r="Y460" s="121"/>
      <c r="Z460" s="121"/>
      <c r="AA460" s="121"/>
    </row>
    <row r="461" customFormat="false" ht="15.75" hidden="false" customHeight="false" outlineLevel="0" collapsed="false">
      <c r="A461" s="121" t="str">
        <f aca="false">IF(ISBLANK(B461),"",B461&amp;"|"&amp;C461)</f>
        <v/>
      </c>
      <c r="B461" s="121"/>
      <c r="C461" s="121"/>
      <c r="D461" s="121"/>
      <c r="E461" s="127"/>
      <c r="F461" s="121"/>
      <c r="G461" s="121"/>
      <c r="H461" s="121"/>
      <c r="I461" s="121"/>
      <c r="J461" s="121"/>
      <c r="K461" s="121"/>
      <c r="L461" s="121"/>
      <c r="M461" s="121"/>
      <c r="N461" s="121"/>
      <c r="O461" s="121"/>
      <c r="P461" s="121"/>
      <c r="Q461" s="121"/>
      <c r="R461" s="121"/>
      <c r="S461" s="121"/>
      <c r="T461" s="121"/>
      <c r="U461" s="121"/>
      <c r="V461" s="121"/>
      <c r="W461" s="121"/>
      <c r="X461" s="121"/>
      <c r="Y461" s="121"/>
      <c r="Z461" s="121"/>
      <c r="AA461" s="121"/>
    </row>
    <row r="462" customFormat="false" ht="15.75" hidden="false" customHeight="false" outlineLevel="0" collapsed="false">
      <c r="A462" s="121" t="str">
        <f aca="false">IF(ISBLANK(B462),"",B462&amp;"|"&amp;C462)</f>
        <v/>
      </c>
      <c r="B462" s="121"/>
      <c r="C462" s="121"/>
      <c r="D462" s="121"/>
      <c r="E462" s="127"/>
      <c r="F462" s="121"/>
      <c r="G462" s="121"/>
      <c r="H462" s="121"/>
      <c r="I462" s="121"/>
      <c r="J462" s="121"/>
      <c r="K462" s="121"/>
      <c r="L462" s="121"/>
      <c r="M462" s="121"/>
      <c r="N462" s="121"/>
      <c r="O462" s="121"/>
      <c r="P462" s="121"/>
      <c r="Q462" s="121"/>
      <c r="R462" s="121"/>
      <c r="S462" s="121"/>
      <c r="T462" s="121"/>
      <c r="U462" s="121"/>
      <c r="V462" s="121"/>
      <c r="W462" s="121"/>
      <c r="X462" s="121"/>
      <c r="Y462" s="121"/>
      <c r="Z462" s="121"/>
      <c r="AA462" s="121"/>
    </row>
    <row r="463" customFormat="false" ht="15.75" hidden="false" customHeight="false" outlineLevel="0" collapsed="false">
      <c r="A463" s="121" t="str">
        <f aca="false">IF(ISBLANK(B463),"",B463&amp;"|"&amp;C463)</f>
        <v/>
      </c>
      <c r="B463" s="121"/>
      <c r="C463" s="121"/>
      <c r="D463" s="121"/>
      <c r="E463" s="127"/>
      <c r="F463" s="121"/>
      <c r="G463" s="121"/>
      <c r="H463" s="121"/>
      <c r="I463" s="121"/>
      <c r="J463" s="121"/>
      <c r="K463" s="121"/>
      <c r="L463" s="121"/>
      <c r="M463" s="121"/>
      <c r="N463" s="121"/>
      <c r="O463" s="121"/>
      <c r="P463" s="121"/>
      <c r="Q463" s="121"/>
      <c r="R463" s="121"/>
      <c r="S463" s="121"/>
      <c r="T463" s="121"/>
      <c r="U463" s="121"/>
      <c r="V463" s="121"/>
      <c r="W463" s="121"/>
      <c r="X463" s="121"/>
      <c r="Y463" s="121"/>
      <c r="Z463" s="121"/>
      <c r="AA463" s="121"/>
    </row>
    <row r="464" customFormat="false" ht="15.75" hidden="false" customHeight="false" outlineLevel="0" collapsed="false">
      <c r="A464" s="121" t="str">
        <f aca="false">IF(ISBLANK(B464),"",B464&amp;"|"&amp;C464)</f>
        <v/>
      </c>
      <c r="B464" s="121"/>
      <c r="C464" s="121"/>
      <c r="D464" s="121"/>
      <c r="E464" s="127"/>
      <c r="F464" s="121"/>
      <c r="G464" s="121"/>
      <c r="H464" s="121"/>
      <c r="I464" s="121"/>
      <c r="J464" s="121"/>
      <c r="K464" s="121"/>
      <c r="L464" s="121"/>
      <c r="M464" s="121"/>
      <c r="N464" s="121"/>
      <c r="O464" s="121"/>
      <c r="P464" s="121"/>
      <c r="Q464" s="121"/>
      <c r="R464" s="121"/>
      <c r="S464" s="121"/>
      <c r="T464" s="121"/>
      <c r="U464" s="121"/>
      <c r="V464" s="121"/>
      <c r="W464" s="121"/>
      <c r="X464" s="121"/>
      <c r="Y464" s="121"/>
      <c r="Z464" s="121"/>
      <c r="AA464" s="121"/>
    </row>
    <row r="465" customFormat="false" ht="15.75" hidden="false" customHeight="false" outlineLevel="0" collapsed="false">
      <c r="A465" s="121" t="str">
        <f aca="false">IF(ISBLANK(B465),"",B465&amp;"|"&amp;C465)</f>
        <v/>
      </c>
      <c r="B465" s="121"/>
      <c r="C465" s="121"/>
      <c r="D465" s="121"/>
      <c r="E465" s="127"/>
      <c r="F465" s="121"/>
      <c r="G465" s="121"/>
      <c r="H465" s="121"/>
      <c r="I465" s="121"/>
      <c r="J465" s="121"/>
      <c r="K465" s="121"/>
      <c r="L465" s="121"/>
      <c r="M465" s="121"/>
      <c r="N465" s="121"/>
      <c r="O465" s="121"/>
      <c r="P465" s="121"/>
      <c r="Q465" s="121"/>
      <c r="R465" s="121"/>
      <c r="S465" s="121"/>
      <c r="T465" s="121"/>
      <c r="U465" s="121"/>
      <c r="V465" s="121"/>
      <c r="W465" s="121"/>
      <c r="X465" s="121"/>
      <c r="Y465" s="121"/>
      <c r="Z465" s="121"/>
      <c r="AA465" s="121"/>
    </row>
    <row r="466" customFormat="false" ht="15.75" hidden="false" customHeight="false" outlineLevel="0" collapsed="false">
      <c r="A466" s="121" t="str">
        <f aca="false">IF(ISBLANK(B466),"",B466&amp;"|"&amp;C466)</f>
        <v/>
      </c>
      <c r="B466" s="121"/>
      <c r="C466" s="121"/>
      <c r="D466" s="121"/>
      <c r="E466" s="127"/>
      <c r="F466" s="121"/>
      <c r="G466" s="121"/>
      <c r="H466" s="121"/>
      <c r="I466" s="121"/>
      <c r="J466" s="121"/>
      <c r="K466" s="121"/>
      <c r="L466" s="121"/>
      <c r="M466" s="121"/>
      <c r="N466" s="121"/>
      <c r="O466" s="121"/>
      <c r="P466" s="121"/>
      <c r="Q466" s="121"/>
      <c r="R466" s="121"/>
      <c r="S466" s="121"/>
      <c r="T466" s="121"/>
      <c r="U466" s="121"/>
      <c r="V466" s="121"/>
      <c r="W466" s="121"/>
      <c r="X466" s="121"/>
      <c r="Y466" s="121"/>
      <c r="Z466" s="121"/>
      <c r="AA466" s="121"/>
    </row>
    <row r="467" customFormat="false" ht="15.75" hidden="false" customHeight="false" outlineLevel="0" collapsed="false">
      <c r="A467" s="121" t="str">
        <f aca="false">IF(ISBLANK(B467),"",B467&amp;"|"&amp;C467)</f>
        <v/>
      </c>
      <c r="B467" s="121"/>
      <c r="C467" s="121"/>
      <c r="D467" s="121"/>
      <c r="E467" s="127"/>
      <c r="F467" s="121"/>
      <c r="G467" s="121"/>
      <c r="H467" s="121"/>
      <c r="I467" s="121"/>
      <c r="J467" s="121"/>
      <c r="K467" s="121"/>
      <c r="L467" s="121"/>
      <c r="M467" s="121"/>
      <c r="N467" s="121"/>
      <c r="O467" s="121"/>
      <c r="P467" s="121"/>
      <c r="Q467" s="121"/>
      <c r="R467" s="121"/>
      <c r="S467" s="121"/>
      <c r="T467" s="121"/>
      <c r="U467" s="121"/>
      <c r="V467" s="121"/>
      <c r="W467" s="121"/>
      <c r="X467" s="121"/>
      <c r="Y467" s="121"/>
      <c r="Z467" s="121"/>
      <c r="AA467" s="121"/>
    </row>
    <row r="468" customFormat="false" ht="15.75" hidden="false" customHeight="false" outlineLevel="0" collapsed="false">
      <c r="A468" s="121" t="str">
        <f aca="false">IF(ISBLANK(B468),"",B468&amp;"|"&amp;C468)</f>
        <v/>
      </c>
      <c r="B468" s="121"/>
      <c r="C468" s="121"/>
      <c r="D468" s="121"/>
      <c r="E468" s="127"/>
      <c r="F468" s="121"/>
      <c r="G468" s="121"/>
      <c r="H468" s="121"/>
      <c r="I468" s="121"/>
      <c r="J468" s="121"/>
      <c r="K468" s="121"/>
      <c r="L468" s="121"/>
      <c r="M468" s="121"/>
      <c r="N468" s="121"/>
      <c r="O468" s="121"/>
      <c r="P468" s="121"/>
      <c r="Q468" s="121"/>
      <c r="R468" s="121"/>
      <c r="S468" s="121"/>
      <c r="T468" s="121"/>
      <c r="U468" s="121"/>
      <c r="V468" s="121"/>
      <c r="W468" s="121"/>
      <c r="X468" s="121"/>
      <c r="Y468" s="121"/>
      <c r="Z468" s="121"/>
      <c r="AA468" s="121"/>
    </row>
    <row r="469" customFormat="false" ht="15.75" hidden="false" customHeight="false" outlineLevel="0" collapsed="false">
      <c r="A469" s="121" t="str">
        <f aca="false">IF(ISBLANK(B469),"",B469&amp;"|"&amp;C469)</f>
        <v/>
      </c>
      <c r="B469" s="121"/>
      <c r="C469" s="121"/>
      <c r="D469" s="121"/>
      <c r="E469" s="127"/>
      <c r="F469" s="121"/>
      <c r="G469" s="121"/>
      <c r="H469" s="121"/>
      <c r="I469" s="121"/>
      <c r="J469" s="121"/>
      <c r="K469" s="121"/>
      <c r="L469" s="121"/>
      <c r="M469" s="121"/>
      <c r="N469" s="121"/>
      <c r="O469" s="121"/>
      <c r="P469" s="121"/>
      <c r="Q469" s="121"/>
      <c r="R469" s="121"/>
      <c r="S469" s="121"/>
      <c r="T469" s="121"/>
      <c r="U469" s="121"/>
      <c r="V469" s="121"/>
      <c r="W469" s="121"/>
      <c r="X469" s="121"/>
      <c r="Y469" s="121"/>
      <c r="Z469" s="121"/>
      <c r="AA469" s="121"/>
    </row>
    <row r="470" customFormat="false" ht="15.75" hidden="false" customHeight="false" outlineLevel="0" collapsed="false">
      <c r="A470" s="121" t="str">
        <f aca="false">IF(ISBLANK(B470),"",B470&amp;"|"&amp;C470)</f>
        <v/>
      </c>
      <c r="B470" s="121"/>
      <c r="C470" s="121"/>
      <c r="D470" s="121"/>
      <c r="E470" s="127"/>
      <c r="F470" s="121"/>
      <c r="G470" s="121"/>
      <c r="H470" s="121"/>
      <c r="I470" s="121"/>
      <c r="J470" s="121"/>
      <c r="K470" s="121"/>
      <c r="L470" s="121"/>
      <c r="M470" s="121"/>
      <c r="N470" s="121"/>
      <c r="O470" s="121"/>
      <c r="P470" s="121"/>
      <c r="Q470" s="121"/>
      <c r="R470" s="121"/>
      <c r="S470" s="121"/>
      <c r="T470" s="121"/>
      <c r="U470" s="121"/>
      <c r="V470" s="121"/>
      <c r="W470" s="121"/>
      <c r="X470" s="121"/>
      <c r="Y470" s="121"/>
      <c r="Z470" s="121"/>
      <c r="AA470" s="121"/>
    </row>
    <row r="471" customFormat="false" ht="15.75" hidden="false" customHeight="false" outlineLevel="0" collapsed="false">
      <c r="A471" s="121" t="str">
        <f aca="false">IF(ISBLANK(B471),"",B471&amp;"|"&amp;C471)</f>
        <v/>
      </c>
      <c r="B471" s="121"/>
      <c r="C471" s="121"/>
      <c r="D471" s="121"/>
      <c r="E471" s="127"/>
      <c r="F471" s="121"/>
      <c r="G471" s="121"/>
      <c r="H471" s="121"/>
      <c r="I471" s="121"/>
      <c r="J471" s="121"/>
      <c r="K471" s="121"/>
      <c r="L471" s="121"/>
      <c r="M471" s="121"/>
      <c r="N471" s="121"/>
      <c r="O471" s="121"/>
      <c r="P471" s="121"/>
      <c r="Q471" s="121"/>
      <c r="R471" s="121"/>
      <c r="S471" s="121"/>
      <c r="T471" s="121"/>
      <c r="U471" s="121"/>
      <c r="V471" s="121"/>
      <c r="W471" s="121"/>
      <c r="X471" s="121"/>
      <c r="Y471" s="121"/>
      <c r="Z471" s="121"/>
      <c r="AA471" s="121"/>
    </row>
    <row r="472" customFormat="false" ht="15.75" hidden="false" customHeight="false" outlineLevel="0" collapsed="false">
      <c r="A472" s="121" t="str">
        <f aca="false">IF(ISBLANK(B472),"",B472&amp;"|"&amp;C472)</f>
        <v/>
      </c>
      <c r="B472" s="121"/>
      <c r="C472" s="121"/>
      <c r="D472" s="121"/>
      <c r="E472" s="127"/>
      <c r="F472" s="121"/>
      <c r="G472" s="121"/>
      <c r="H472" s="121"/>
      <c r="I472" s="121"/>
      <c r="J472" s="121"/>
      <c r="K472" s="121"/>
      <c r="L472" s="121"/>
      <c r="M472" s="121"/>
      <c r="N472" s="121"/>
      <c r="O472" s="121"/>
      <c r="P472" s="121"/>
      <c r="Q472" s="121"/>
      <c r="R472" s="121"/>
      <c r="S472" s="121"/>
      <c r="T472" s="121"/>
      <c r="U472" s="121"/>
      <c r="V472" s="121"/>
      <c r="W472" s="121"/>
      <c r="X472" s="121"/>
      <c r="Y472" s="121"/>
      <c r="Z472" s="121"/>
      <c r="AA472" s="121"/>
    </row>
    <row r="473" customFormat="false" ht="15.75" hidden="false" customHeight="false" outlineLevel="0" collapsed="false">
      <c r="A473" s="121" t="str">
        <f aca="false">IF(ISBLANK(B473),"",B473&amp;"|"&amp;C473)</f>
        <v/>
      </c>
      <c r="B473" s="121"/>
      <c r="C473" s="121"/>
      <c r="D473" s="121"/>
      <c r="E473" s="127"/>
      <c r="F473" s="121"/>
      <c r="G473" s="121"/>
      <c r="H473" s="121"/>
      <c r="I473" s="121"/>
      <c r="J473" s="121"/>
      <c r="K473" s="121"/>
      <c r="L473" s="121"/>
      <c r="M473" s="121"/>
      <c r="N473" s="121"/>
      <c r="O473" s="121"/>
      <c r="P473" s="121"/>
      <c r="Q473" s="121"/>
      <c r="R473" s="121"/>
      <c r="S473" s="121"/>
      <c r="T473" s="121"/>
      <c r="U473" s="121"/>
      <c r="V473" s="121"/>
      <c r="W473" s="121"/>
      <c r="X473" s="121"/>
      <c r="Y473" s="121"/>
      <c r="Z473" s="121"/>
      <c r="AA473" s="121"/>
    </row>
    <row r="474" customFormat="false" ht="15.75" hidden="false" customHeight="false" outlineLevel="0" collapsed="false">
      <c r="A474" s="121" t="str">
        <f aca="false">IF(ISBLANK(B474),"",B474&amp;"|"&amp;C474)</f>
        <v/>
      </c>
      <c r="B474" s="121"/>
      <c r="C474" s="121"/>
      <c r="D474" s="121"/>
      <c r="E474" s="127"/>
      <c r="F474" s="121"/>
      <c r="G474" s="121"/>
      <c r="H474" s="121"/>
      <c r="I474" s="121"/>
      <c r="J474" s="121"/>
      <c r="K474" s="121"/>
      <c r="L474" s="121"/>
      <c r="M474" s="121"/>
      <c r="N474" s="121"/>
      <c r="O474" s="121"/>
      <c r="P474" s="121"/>
      <c r="Q474" s="121"/>
      <c r="R474" s="121"/>
      <c r="S474" s="121"/>
      <c r="T474" s="121"/>
      <c r="U474" s="121"/>
      <c r="V474" s="121"/>
      <c r="W474" s="121"/>
      <c r="X474" s="121"/>
      <c r="Y474" s="121"/>
      <c r="Z474" s="121"/>
      <c r="AA474" s="121"/>
    </row>
    <row r="475" customFormat="false" ht="15.75" hidden="false" customHeight="false" outlineLevel="0" collapsed="false">
      <c r="A475" s="121" t="str">
        <f aca="false">IF(ISBLANK(B475),"",B475&amp;"|"&amp;C475)</f>
        <v/>
      </c>
      <c r="B475" s="121"/>
      <c r="C475" s="121"/>
      <c r="D475" s="121"/>
      <c r="E475" s="127"/>
      <c r="F475" s="121"/>
      <c r="G475" s="121"/>
      <c r="H475" s="121"/>
      <c r="I475" s="121"/>
      <c r="J475" s="121"/>
      <c r="K475" s="121"/>
      <c r="L475" s="121"/>
      <c r="M475" s="121"/>
      <c r="N475" s="121"/>
      <c r="O475" s="121"/>
      <c r="P475" s="121"/>
      <c r="Q475" s="121"/>
      <c r="R475" s="121"/>
      <c r="S475" s="121"/>
      <c r="T475" s="121"/>
      <c r="U475" s="121"/>
      <c r="V475" s="121"/>
      <c r="W475" s="121"/>
      <c r="X475" s="121"/>
      <c r="Y475" s="121"/>
      <c r="Z475" s="121"/>
      <c r="AA475" s="121"/>
    </row>
    <row r="476" customFormat="false" ht="15.75" hidden="false" customHeight="false" outlineLevel="0" collapsed="false">
      <c r="A476" s="121" t="str">
        <f aca="false">IF(ISBLANK(B476),"",B476&amp;"|"&amp;C476)</f>
        <v/>
      </c>
      <c r="B476" s="121"/>
      <c r="C476" s="121"/>
      <c r="D476" s="121"/>
      <c r="E476" s="127"/>
      <c r="F476" s="121"/>
      <c r="G476" s="121"/>
      <c r="H476" s="121"/>
      <c r="I476" s="121"/>
      <c r="J476" s="121"/>
      <c r="K476" s="121"/>
      <c r="L476" s="121"/>
      <c r="M476" s="121"/>
      <c r="N476" s="121"/>
      <c r="O476" s="121"/>
      <c r="P476" s="121"/>
      <c r="Q476" s="121"/>
      <c r="R476" s="121"/>
      <c r="S476" s="121"/>
      <c r="T476" s="121"/>
      <c r="U476" s="121"/>
      <c r="V476" s="121"/>
      <c r="W476" s="121"/>
      <c r="X476" s="121"/>
      <c r="Y476" s="121"/>
      <c r="Z476" s="121"/>
      <c r="AA476" s="121"/>
    </row>
    <row r="477" customFormat="false" ht="15.75" hidden="false" customHeight="false" outlineLevel="0" collapsed="false">
      <c r="A477" s="121" t="str">
        <f aca="false">IF(ISBLANK(B477),"",B477&amp;"|"&amp;C477)</f>
        <v/>
      </c>
      <c r="B477" s="121"/>
      <c r="C477" s="121"/>
      <c r="D477" s="121"/>
      <c r="E477" s="127"/>
      <c r="F477" s="121"/>
      <c r="G477" s="121"/>
      <c r="H477" s="121"/>
      <c r="I477" s="121"/>
      <c r="J477" s="121"/>
      <c r="K477" s="121"/>
      <c r="L477" s="121"/>
      <c r="M477" s="121"/>
      <c r="N477" s="121"/>
      <c r="O477" s="121"/>
      <c r="P477" s="121"/>
      <c r="Q477" s="121"/>
      <c r="R477" s="121"/>
      <c r="S477" s="121"/>
      <c r="T477" s="121"/>
      <c r="U477" s="121"/>
      <c r="V477" s="121"/>
      <c r="W477" s="121"/>
      <c r="X477" s="121"/>
      <c r="Y477" s="121"/>
      <c r="Z477" s="121"/>
      <c r="AA477" s="121"/>
    </row>
    <row r="478" customFormat="false" ht="15.75" hidden="false" customHeight="false" outlineLevel="0" collapsed="false">
      <c r="A478" s="121" t="str">
        <f aca="false">IF(ISBLANK(B478),"",B478&amp;"|"&amp;C478)</f>
        <v/>
      </c>
      <c r="B478" s="121"/>
      <c r="C478" s="121"/>
      <c r="D478" s="121"/>
      <c r="E478" s="127"/>
      <c r="F478" s="121"/>
      <c r="G478" s="121"/>
      <c r="H478" s="121"/>
      <c r="I478" s="121"/>
      <c r="J478" s="121"/>
      <c r="K478" s="121"/>
      <c r="L478" s="121"/>
      <c r="M478" s="121"/>
      <c r="N478" s="121"/>
      <c r="O478" s="121"/>
      <c r="P478" s="121"/>
      <c r="Q478" s="121"/>
      <c r="R478" s="121"/>
      <c r="S478" s="121"/>
      <c r="T478" s="121"/>
      <c r="U478" s="121"/>
      <c r="V478" s="121"/>
      <c r="W478" s="121"/>
      <c r="X478" s="121"/>
      <c r="Y478" s="121"/>
      <c r="Z478" s="121"/>
      <c r="AA478" s="121"/>
    </row>
    <row r="479" customFormat="false" ht="15.75" hidden="false" customHeight="false" outlineLevel="0" collapsed="false">
      <c r="A479" s="121" t="str">
        <f aca="false">IF(ISBLANK(B479),"",B479&amp;"|"&amp;C479)</f>
        <v/>
      </c>
      <c r="B479" s="121"/>
      <c r="C479" s="121"/>
      <c r="D479" s="121"/>
      <c r="E479" s="127"/>
      <c r="F479" s="121"/>
      <c r="G479" s="121"/>
      <c r="H479" s="121"/>
      <c r="I479" s="121"/>
      <c r="J479" s="121"/>
      <c r="K479" s="121"/>
      <c r="L479" s="121"/>
      <c r="M479" s="121"/>
      <c r="N479" s="121"/>
      <c r="O479" s="121"/>
      <c r="P479" s="121"/>
      <c r="Q479" s="121"/>
      <c r="R479" s="121"/>
      <c r="S479" s="121"/>
      <c r="T479" s="121"/>
      <c r="U479" s="121"/>
      <c r="V479" s="121"/>
      <c r="W479" s="121"/>
      <c r="X479" s="121"/>
      <c r="Y479" s="121"/>
      <c r="Z479" s="121"/>
      <c r="AA479" s="121"/>
    </row>
    <row r="480" customFormat="false" ht="15.75" hidden="false" customHeight="false" outlineLevel="0" collapsed="false">
      <c r="A480" s="121" t="str">
        <f aca="false">IF(ISBLANK(B480),"",B480&amp;"|"&amp;C480)</f>
        <v/>
      </c>
      <c r="B480" s="121"/>
      <c r="C480" s="121"/>
      <c r="D480" s="121"/>
      <c r="E480" s="127"/>
      <c r="F480" s="121"/>
      <c r="G480" s="121"/>
      <c r="H480" s="121"/>
      <c r="I480" s="121"/>
      <c r="J480" s="121"/>
      <c r="K480" s="121"/>
      <c r="L480" s="121"/>
      <c r="M480" s="121"/>
      <c r="N480" s="121"/>
      <c r="O480" s="121"/>
      <c r="P480" s="121"/>
      <c r="Q480" s="121"/>
      <c r="R480" s="121"/>
      <c r="S480" s="121"/>
      <c r="T480" s="121"/>
      <c r="U480" s="121"/>
      <c r="V480" s="121"/>
      <c r="W480" s="121"/>
      <c r="X480" s="121"/>
      <c r="Y480" s="121"/>
      <c r="Z480" s="121"/>
      <c r="AA480" s="121"/>
    </row>
    <row r="481" customFormat="false" ht="15.75" hidden="false" customHeight="false" outlineLevel="0" collapsed="false">
      <c r="A481" s="121" t="str">
        <f aca="false">IF(ISBLANK(B481),"",B481&amp;"|"&amp;C481)</f>
        <v/>
      </c>
      <c r="B481" s="121"/>
      <c r="C481" s="121"/>
      <c r="D481" s="121"/>
      <c r="E481" s="127"/>
      <c r="F481" s="121"/>
      <c r="G481" s="121"/>
      <c r="H481" s="121"/>
      <c r="I481" s="121"/>
      <c r="J481" s="121"/>
      <c r="K481" s="121"/>
      <c r="L481" s="121"/>
      <c r="M481" s="121"/>
      <c r="N481" s="121"/>
      <c r="O481" s="121"/>
      <c r="P481" s="121"/>
      <c r="Q481" s="121"/>
      <c r="R481" s="121"/>
      <c r="S481" s="121"/>
      <c r="T481" s="121"/>
      <c r="U481" s="121"/>
      <c r="V481" s="121"/>
      <c r="W481" s="121"/>
      <c r="X481" s="121"/>
      <c r="Y481" s="121"/>
      <c r="Z481" s="121"/>
      <c r="AA481" s="121"/>
    </row>
    <row r="482" customFormat="false" ht="15.75" hidden="false" customHeight="false" outlineLevel="0" collapsed="false">
      <c r="A482" s="121" t="str">
        <f aca="false">IF(ISBLANK(B482),"",B482&amp;"|"&amp;C482)</f>
        <v/>
      </c>
      <c r="B482" s="121"/>
      <c r="C482" s="121"/>
      <c r="D482" s="121"/>
      <c r="E482" s="127"/>
      <c r="F482" s="121"/>
      <c r="G482" s="121"/>
      <c r="H482" s="121"/>
      <c r="I482" s="121"/>
      <c r="J482" s="121"/>
      <c r="K482" s="121"/>
      <c r="L482" s="121"/>
      <c r="M482" s="121"/>
      <c r="N482" s="121"/>
      <c r="O482" s="121"/>
      <c r="P482" s="121"/>
      <c r="Q482" s="121"/>
      <c r="R482" s="121"/>
      <c r="S482" s="121"/>
      <c r="T482" s="121"/>
      <c r="U482" s="121"/>
      <c r="V482" s="121"/>
      <c r="W482" s="121"/>
      <c r="X482" s="121"/>
      <c r="Y482" s="121"/>
      <c r="Z482" s="121"/>
      <c r="AA482" s="121"/>
    </row>
    <row r="483" customFormat="false" ht="15.75" hidden="false" customHeight="false" outlineLevel="0" collapsed="false">
      <c r="A483" s="121" t="str">
        <f aca="false">IF(ISBLANK(B483),"",B483&amp;"|"&amp;C483)</f>
        <v/>
      </c>
      <c r="B483" s="121"/>
      <c r="C483" s="121"/>
      <c r="D483" s="121"/>
      <c r="E483" s="127"/>
      <c r="F483" s="121"/>
      <c r="G483" s="121"/>
      <c r="H483" s="121"/>
      <c r="I483" s="121"/>
      <c r="J483" s="121"/>
      <c r="K483" s="121"/>
      <c r="L483" s="121"/>
      <c r="M483" s="121"/>
      <c r="N483" s="121"/>
      <c r="O483" s="121"/>
      <c r="P483" s="121"/>
      <c r="Q483" s="121"/>
      <c r="R483" s="121"/>
      <c r="S483" s="121"/>
      <c r="T483" s="121"/>
      <c r="U483" s="121"/>
      <c r="V483" s="121"/>
      <c r="W483" s="121"/>
      <c r="X483" s="121"/>
      <c r="Y483" s="121"/>
      <c r="Z483" s="121"/>
      <c r="AA483" s="121"/>
    </row>
    <row r="484" customFormat="false" ht="15.75" hidden="false" customHeight="false" outlineLevel="0" collapsed="false">
      <c r="A484" s="121" t="str">
        <f aca="false">IF(ISBLANK(B484),"",B484&amp;"|"&amp;C484)</f>
        <v/>
      </c>
      <c r="B484" s="121"/>
      <c r="C484" s="121"/>
      <c r="D484" s="121"/>
      <c r="E484" s="127"/>
      <c r="F484" s="121"/>
      <c r="G484" s="121"/>
      <c r="H484" s="121"/>
      <c r="I484" s="121"/>
      <c r="J484" s="121"/>
      <c r="K484" s="121"/>
      <c r="L484" s="121"/>
      <c r="M484" s="121"/>
      <c r="N484" s="121"/>
      <c r="O484" s="121"/>
      <c r="P484" s="121"/>
      <c r="Q484" s="121"/>
      <c r="R484" s="121"/>
      <c r="S484" s="121"/>
      <c r="T484" s="121"/>
      <c r="U484" s="121"/>
      <c r="V484" s="121"/>
      <c r="W484" s="121"/>
      <c r="X484" s="121"/>
      <c r="Y484" s="121"/>
      <c r="Z484" s="121"/>
      <c r="AA484" s="121"/>
    </row>
    <row r="485" customFormat="false" ht="15.75" hidden="false" customHeight="false" outlineLevel="0" collapsed="false">
      <c r="A485" s="121" t="str">
        <f aca="false">IF(ISBLANK(B485),"",B485&amp;"|"&amp;C485)</f>
        <v/>
      </c>
      <c r="B485" s="121"/>
      <c r="C485" s="121"/>
      <c r="D485" s="121"/>
      <c r="E485" s="127"/>
      <c r="F485" s="121"/>
      <c r="G485" s="121"/>
      <c r="H485" s="121"/>
      <c r="I485" s="121"/>
      <c r="J485" s="121"/>
      <c r="K485" s="121"/>
      <c r="L485" s="121"/>
      <c r="M485" s="121"/>
      <c r="N485" s="121"/>
      <c r="O485" s="121"/>
      <c r="P485" s="121"/>
      <c r="Q485" s="121"/>
      <c r="R485" s="121"/>
      <c r="S485" s="121"/>
      <c r="T485" s="121"/>
      <c r="U485" s="121"/>
      <c r="V485" s="121"/>
      <c r="W485" s="121"/>
      <c r="X485" s="121"/>
      <c r="Y485" s="121"/>
      <c r="Z485" s="121"/>
      <c r="AA485" s="121"/>
    </row>
    <row r="486" customFormat="false" ht="15.75" hidden="false" customHeight="false" outlineLevel="0" collapsed="false">
      <c r="A486" s="121" t="str">
        <f aca="false">IF(ISBLANK(B486),"",B486&amp;"|"&amp;C486)</f>
        <v/>
      </c>
      <c r="B486" s="121"/>
      <c r="C486" s="121"/>
      <c r="D486" s="121"/>
      <c r="E486" s="127"/>
      <c r="F486" s="121"/>
      <c r="G486" s="121"/>
      <c r="H486" s="121"/>
      <c r="I486" s="121"/>
      <c r="J486" s="121"/>
      <c r="K486" s="121"/>
      <c r="L486" s="121"/>
      <c r="M486" s="121"/>
      <c r="N486" s="121"/>
      <c r="O486" s="121"/>
      <c r="P486" s="121"/>
      <c r="Q486" s="121"/>
      <c r="R486" s="121"/>
      <c r="S486" s="121"/>
      <c r="T486" s="121"/>
      <c r="U486" s="121"/>
      <c r="V486" s="121"/>
      <c r="W486" s="121"/>
      <c r="X486" s="121"/>
      <c r="Y486" s="121"/>
      <c r="Z486" s="121"/>
      <c r="AA486" s="121"/>
    </row>
    <row r="487" customFormat="false" ht="15.75" hidden="false" customHeight="false" outlineLevel="0" collapsed="false">
      <c r="A487" s="121" t="str">
        <f aca="false">IF(ISBLANK(B487),"",B487&amp;"|"&amp;C487)</f>
        <v/>
      </c>
      <c r="B487" s="121"/>
      <c r="C487" s="121"/>
      <c r="D487" s="121"/>
      <c r="E487" s="127"/>
      <c r="F487" s="121"/>
      <c r="G487" s="121"/>
      <c r="H487" s="121"/>
      <c r="I487" s="121"/>
      <c r="J487" s="121"/>
      <c r="K487" s="121"/>
      <c r="L487" s="121"/>
      <c r="M487" s="121"/>
      <c r="N487" s="121"/>
      <c r="O487" s="121"/>
      <c r="P487" s="121"/>
      <c r="Q487" s="121"/>
      <c r="R487" s="121"/>
      <c r="S487" s="121"/>
      <c r="T487" s="121"/>
      <c r="U487" s="121"/>
      <c r="V487" s="121"/>
      <c r="W487" s="121"/>
      <c r="X487" s="121"/>
      <c r="Y487" s="121"/>
      <c r="Z487" s="121"/>
      <c r="AA487" s="121"/>
    </row>
    <row r="488" customFormat="false" ht="15.75" hidden="false" customHeight="false" outlineLevel="0" collapsed="false">
      <c r="A488" s="121" t="str">
        <f aca="false">IF(ISBLANK(B488),"",B488&amp;"|"&amp;C488)</f>
        <v/>
      </c>
      <c r="B488" s="121"/>
      <c r="C488" s="121"/>
      <c r="D488" s="121"/>
      <c r="E488" s="127"/>
      <c r="F488" s="121"/>
      <c r="G488" s="121"/>
      <c r="H488" s="121"/>
      <c r="I488" s="121"/>
      <c r="J488" s="121"/>
      <c r="K488" s="121"/>
      <c r="L488" s="121"/>
      <c r="M488" s="121"/>
      <c r="N488" s="121"/>
      <c r="O488" s="121"/>
      <c r="P488" s="121"/>
      <c r="Q488" s="121"/>
      <c r="R488" s="121"/>
      <c r="S488" s="121"/>
      <c r="T488" s="121"/>
      <c r="U488" s="121"/>
      <c r="V488" s="121"/>
      <c r="W488" s="121"/>
      <c r="X488" s="121"/>
      <c r="Y488" s="121"/>
      <c r="Z488" s="121"/>
      <c r="AA488" s="121"/>
    </row>
    <row r="489" customFormat="false" ht="15.75" hidden="false" customHeight="false" outlineLevel="0" collapsed="false">
      <c r="A489" s="121" t="str">
        <f aca="false">IF(ISBLANK(B489),"",B489&amp;"|"&amp;C489)</f>
        <v/>
      </c>
      <c r="B489" s="121"/>
      <c r="C489" s="121"/>
      <c r="D489" s="121"/>
      <c r="E489" s="127"/>
      <c r="F489" s="121"/>
      <c r="G489" s="121"/>
      <c r="H489" s="121"/>
      <c r="I489" s="121"/>
      <c r="J489" s="121"/>
      <c r="K489" s="121"/>
      <c r="L489" s="121"/>
      <c r="M489" s="121"/>
      <c r="N489" s="121"/>
      <c r="O489" s="121"/>
      <c r="P489" s="121"/>
      <c r="Q489" s="121"/>
      <c r="R489" s="121"/>
      <c r="S489" s="121"/>
      <c r="T489" s="121"/>
      <c r="U489" s="121"/>
      <c r="V489" s="121"/>
      <c r="W489" s="121"/>
      <c r="X489" s="121"/>
      <c r="Y489" s="121"/>
      <c r="Z489" s="121"/>
      <c r="AA489" s="121"/>
    </row>
    <row r="490" customFormat="false" ht="15.75" hidden="false" customHeight="false" outlineLevel="0" collapsed="false">
      <c r="A490" s="121" t="str">
        <f aca="false">IF(ISBLANK(B490),"",B490&amp;"|"&amp;C490)</f>
        <v/>
      </c>
      <c r="B490" s="121"/>
      <c r="C490" s="121"/>
      <c r="D490" s="121"/>
      <c r="E490" s="127"/>
      <c r="F490" s="121"/>
      <c r="G490" s="121"/>
      <c r="H490" s="121"/>
      <c r="I490" s="121"/>
      <c r="J490" s="121"/>
      <c r="K490" s="121"/>
      <c r="L490" s="121"/>
      <c r="M490" s="121"/>
      <c r="N490" s="121"/>
      <c r="O490" s="121"/>
      <c r="P490" s="121"/>
      <c r="Q490" s="121"/>
      <c r="R490" s="121"/>
      <c r="S490" s="121"/>
      <c r="T490" s="121"/>
      <c r="U490" s="121"/>
      <c r="V490" s="121"/>
      <c r="W490" s="121"/>
      <c r="X490" s="121"/>
      <c r="Y490" s="121"/>
      <c r="Z490" s="121"/>
      <c r="AA490" s="121"/>
    </row>
    <row r="491" customFormat="false" ht="15.75" hidden="false" customHeight="false" outlineLevel="0" collapsed="false">
      <c r="A491" s="121" t="str">
        <f aca="false">IF(ISBLANK(B491),"",B491&amp;"|"&amp;C491)</f>
        <v/>
      </c>
      <c r="B491" s="121"/>
      <c r="C491" s="121"/>
      <c r="D491" s="121"/>
      <c r="E491" s="127"/>
      <c r="F491" s="121"/>
      <c r="G491" s="121"/>
      <c r="H491" s="121"/>
      <c r="I491" s="121"/>
      <c r="J491" s="121"/>
      <c r="K491" s="121"/>
      <c r="L491" s="121"/>
      <c r="M491" s="121"/>
      <c r="N491" s="121"/>
      <c r="O491" s="121"/>
      <c r="P491" s="121"/>
      <c r="Q491" s="121"/>
      <c r="R491" s="121"/>
      <c r="S491" s="121"/>
      <c r="T491" s="121"/>
      <c r="U491" s="121"/>
      <c r="V491" s="121"/>
      <c r="W491" s="121"/>
      <c r="X491" s="121"/>
      <c r="Y491" s="121"/>
      <c r="Z491" s="121"/>
      <c r="AA491" s="121"/>
    </row>
    <row r="492" customFormat="false" ht="15.75" hidden="false" customHeight="false" outlineLevel="0" collapsed="false">
      <c r="A492" s="121" t="str">
        <f aca="false">IF(ISBLANK(B492),"",B492&amp;"|"&amp;C492)</f>
        <v/>
      </c>
      <c r="B492" s="121"/>
      <c r="C492" s="121"/>
      <c r="D492" s="121"/>
      <c r="E492" s="127"/>
      <c r="F492" s="121"/>
      <c r="G492" s="121"/>
      <c r="H492" s="121"/>
      <c r="I492" s="121"/>
      <c r="J492" s="121"/>
      <c r="K492" s="121"/>
      <c r="L492" s="121"/>
      <c r="M492" s="121"/>
      <c r="N492" s="121"/>
      <c r="O492" s="121"/>
      <c r="P492" s="121"/>
      <c r="Q492" s="121"/>
      <c r="R492" s="121"/>
      <c r="S492" s="121"/>
      <c r="T492" s="121"/>
      <c r="U492" s="121"/>
      <c r="V492" s="121"/>
      <c r="W492" s="121"/>
      <c r="X492" s="121"/>
      <c r="Y492" s="121"/>
      <c r="Z492" s="121"/>
      <c r="AA492" s="121"/>
    </row>
    <row r="493" customFormat="false" ht="15.75" hidden="false" customHeight="false" outlineLevel="0" collapsed="false">
      <c r="A493" s="121" t="str">
        <f aca="false">IF(ISBLANK(B493),"",B493&amp;"|"&amp;C493)</f>
        <v/>
      </c>
      <c r="B493" s="121"/>
      <c r="C493" s="121"/>
      <c r="D493" s="121"/>
      <c r="E493" s="127"/>
      <c r="F493" s="121"/>
      <c r="G493" s="121"/>
      <c r="H493" s="121"/>
      <c r="I493" s="121"/>
      <c r="J493" s="121"/>
      <c r="K493" s="121"/>
      <c r="L493" s="121"/>
      <c r="M493" s="121"/>
      <c r="N493" s="121"/>
      <c r="O493" s="121"/>
      <c r="P493" s="121"/>
      <c r="Q493" s="121"/>
      <c r="R493" s="121"/>
      <c r="S493" s="121"/>
      <c r="T493" s="121"/>
      <c r="U493" s="121"/>
      <c r="V493" s="121"/>
      <c r="W493" s="121"/>
      <c r="X493" s="121"/>
      <c r="Y493" s="121"/>
      <c r="Z493" s="121"/>
      <c r="AA493" s="121"/>
    </row>
    <row r="494" customFormat="false" ht="15.75" hidden="false" customHeight="false" outlineLevel="0" collapsed="false">
      <c r="A494" s="121" t="str">
        <f aca="false">IF(ISBLANK(B494),"",B494&amp;"|"&amp;C494)</f>
        <v/>
      </c>
      <c r="B494" s="121"/>
      <c r="C494" s="121"/>
      <c r="D494" s="121"/>
      <c r="E494" s="127"/>
      <c r="F494" s="121"/>
      <c r="G494" s="121"/>
      <c r="H494" s="121"/>
      <c r="I494" s="121"/>
      <c r="J494" s="121"/>
      <c r="K494" s="121"/>
      <c r="L494" s="121"/>
      <c r="M494" s="121"/>
      <c r="N494" s="121"/>
      <c r="O494" s="121"/>
      <c r="P494" s="121"/>
      <c r="Q494" s="121"/>
      <c r="R494" s="121"/>
      <c r="S494" s="121"/>
      <c r="T494" s="121"/>
      <c r="U494" s="121"/>
      <c r="V494" s="121"/>
      <c r="W494" s="121"/>
      <c r="X494" s="121"/>
      <c r="Y494" s="121"/>
      <c r="Z494" s="121"/>
      <c r="AA494" s="121"/>
    </row>
    <row r="495" customFormat="false" ht="15.75" hidden="false" customHeight="false" outlineLevel="0" collapsed="false">
      <c r="A495" s="121" t="str">
        <f aca="false">IF(ISBLANK(B495),"",B495&amp;"|"&amp;C495)</f>
        <v/>
      </c>
      <c r="B495" s="121"/>
      <c r="C495" s="121"/>
      <c r="D495" s="121"/>
      <c r="E495" s="127"/>
      <c r="F495" s="121"/>
      <c r="G495" s="121"/>
      <c r="H495" s="121"/>
      <c r="I495" s="121"/>
      <c r="J495" s="121"/>
      <c r="K495" s="121"/>
      <c r="L495" s="121"/>
      <c r="M495" s="121"/>
      <c r="N495" s="121"/>
      <c r="O495" s="121"/>
      <c r="P495" s="121"/>
      <c r="Q495" s="121"/>
      <c r="R495" s="121"/>
      <c r="S495" s="121"/>
      <c r="T495" s="121"/>
      <c r="U495" s="121"/>
      <c r="V495" s="121"/>
      <c r="W495" s="121"/>
      <c r="X495" s="121"/>
      <c r="Y495" s="121"/>
      <c r="Z495" s="121"/>
      <c r="AA495" s="121"/>
    </row>
    <row r="496" customFormat="false" ht="15.75" hidden="false" customHeight="false" outlineLevel="0" collapsed="false">
      <c r="A496" s="121" t="str">
        <f aca="false">IF(ISBLANK(B496),"",B496&amp;"|"&amp;C496)</f>
        <v/>
      </c>
      <c r="B496" s="121"/>
      <c r="C496" s="121"/>
      <c r="D496" s="121"/>
      <c r="E496" s="127"/>
      <c r="F496" s="121"/>
      <c r="G496" s="121"/>
      <c r="H496" s="121"/>
      <c r="I496" s="121"/>
      <c r="J496" s="121"/>
      <c r="K496" s="121"/>
      <c r="L496" s="121"/>
      <c r="M496" s="121"/>
      <c r="N496" s="121"/>
      <c r="O496" s="121"/>
      <c r="P496" s="121"/>
      <c r="Q496" s="121"/>
      <c r="R496" s="121"/>
      <c r="S496" s="121"/>
      <c r="T496" s="121"/>
      <c r="U496" s="121"/>
      <c r="V496" s="121"/>
      <c r="W496" s="121"/>
      <c r="X496" s="121"/>
      <c r="Y496" s="121"/>
      <c r="Z496" s="121"/>
      <c r="AA496" s="121"/>
    </row>
    <row r="497" customFormat="false" ht="15.75" hidden="false" customHeight="false" outlineLevel="0" collapsed="false">
      <c r="A497" s="121" t="str">
        <f aca="false">IF(ISBLANK(B497),"",B497&amp;"|"&amp;C497)</f>
        <v/>
      </c>
      <c r="B497" s="121"/>
      <c r="C497" s="121"/>
      <c r="D497" s="121"/>
      <c r="E497" s="127"/>
      <c r="F497" s="121"/>
      <c r="G497" s="121"/>
      <c r="H497" s="121"/>
      <c r="I497" s="121"/>
      <c r="J497" s="121"/>
      <c r="K497" s="121"/>
      <c r="L497" s="121"/>
      <c r="M497" s="121"/>
      <c r="N497" s="121"/>
      <c r="O497" s="121"/>
      <c r="P497" s="121"/>
      <c r="Q497" s="121"/>
      <c r="R497" s="121"/>
      <c r="S497" s="121"/>
      <c r="T497" s="121"/>
      <c r="U497" s="121"/>
      <c r="V497" s="121"/>
      <c r="W497" s="121"/>
      <c r="X497" s="121"/>
      <c r="Y497" s="121"/>
      <c r="Z497" s="121"/>
      <c r="AA497" s="121"/>
    </row>
    <row r="498" customFormat="false" ht="15.75" hidden="false" customHeight="false" outlineLevel="0" collapsed="false">
      <c r="A498" s="121" t="str">
        <f aca="false">IF(ISBLANK(B498),"",B498&amp;"|"&amp;C498)</f>
        <v/>
      </c>
      <c r="B498" s="121"/>
      <c r="C498" s="121"/>
      <c r="D498" s="121"/>
      <c r="E498" s="127"/>
      <c r="F498" s="121"/>
      <c r="G498" s="121"/>
      <c r="H498" s="121"/>
      <c r="I498" s="121"/>
      <c r="J498" s="121"/>
      <c r="K498" s="121"/>
      <c r="L498" s="121"/>
      <c r="M498" s="121"/>
      <c r="N498" s="121"/>
      <c r="O498" s="121"/>
      <c r="P498" s="121"/>
      <c r="Q498" s="121"/>
      <c r="R498" s="121"/>
      <c r="S498" s="121"/>
      <c r="T498" s="121"/>
      <c r="U498" s="121"/>
      <c r="V498" s="121"/>
      <c r="W498" s="121"/>
      <c r="X498" s="121"/>
      <c r="Y498" s="121"/>
      <c r="Z498" s="121"/>
      <c r="AA498" s="121"/>
    </row>
    <row r="499" customFormat="false" ht="15.75" hidden="false" customHeight="false" outlineLevel="0" collapsed="false">
      <c r="A499" s="121" t="str">
        <f aca="false">IF(ISBLANK(B499),"",B499&amp;"|"&amp;C499)</f>
        <v/>
      </c>
      <c r="B499" s="121"/>
      <c r="C499" s="121"/>
      <c r="D499" s="121"/>
      <c r="E499" s="127"/>
      <c r="F499" s="121"/>
      <c r="G499" s="121"/>
      <c r="H499" s="121"/>
      <c r="I499" s="121"/>
      <c r="J499" s="121"/>
      <c r="K499" s="121"/>
      <c r="L499" s="121"/>
      <c r="M499" s="121"/>
      <c r="N499" s="121"/>
      <c r="O499" s="121"/>
      <c r="P499" s="121"/>
      <c r="Q499" s="121"/>
      <c r="R499" s="121"/>
      <c r="S499" s="121"/>
      <c r="T499" s="121"/>
      <c r="U499" s="121"/>
      <c r="V499" s="121"/>
      <c r="W499" s="121"/>
      <c r="X499" s="121"/>
      <c r="Y499" s="121"/>
      <c r="Z499" s="121"/>
      <c r="AA499" s="121"/>
    </row>
    <row r="500" customFormat="false" ht="15.75" hidden="false" customHeight="false" outlineLevel="0" collapsed="false">
      <c r="A500" s="121" t="str">
        <f aca="false">IF(ISBLANK(B500),"",B500&amp;"|"&amp;C500)</f>
        <v/>
      </c>
      <c r="B500" s="121"/>
      <c r="C500" s="121"/>
      <c r="D500" s="121"/>
      <c r="E500" s="127"/>
      <c r="F500" s="121"/>
      <c r="G500" s="121"/>
      <c r="H500" s="121"/>
      <c r="I500" s="121"/>
      <c r="J500" s="121"/>
      <c r="K500" s="121"/>
      <c r="L500" s="121"/>
      <c r="M500" s="121"/>
      <c r="N500" s="121"/>
      <c r="O500" s="121"/>
      <c r="P500" s="121"/>
      <c r="Q500" s="121"/>
      <c r="R500" s="121"/>
      <c r="S500" s="121"/>
      <c r="T500" s="121"/>
      <c r="U500" s="121"/>
      <c r="V500" s="121"/>
      <c r="W500" s="121"/>
      <c r="X500" s="121"/>
      <c r="Y500" s="121"/>
      <c r="Z500" s="121"/>
      <c r="AA500" s="121"/>
    </row>
    <row r="501" customFormat="false" ht="15.75" hidden="false" customHeight="false" outlineLevel="0" collapsed="false">
      <c r="A501" s="121" t="str">
        <f aca="false">IF(ISBLANK(B501),"",B501&amp;"|"&amp;C501)</f>
        <v/>
      </c>
      <c r="B501" s="121"/>
      <c r="C501" s="121"/>
      <c r="D501" s="121"/>
      <c r="E501" s="127"/>
      <c r="F501" s="121"/>
      <c r="G501" s="121"/>
      <c r="H501" s="121"/>
      <c r="I501" s="121"/>
      <c r="J501" s="121"/>
      <c r="K501" s="121"/>
      <c r="L501" s="121"/>
      <c r="M501" s="121"/>
      <c r="N501" s="121"/>
      <c r="O501" s="121"/>
      <c r="P501" s="121"/>
      <c r="Q501" s="121"/>
      <c r="R501" s="121"/>
      <c r="S501" s="121"/>
      <c r="T501" s="121"/>
      <c r="U501" s="121"/>
      <c r="V501" s="121"/>
      <c r="W501" s="121"/>
      <c r="X501" s="121"/>
      <c r="Y501" s="121"/>
      <c r="Z501" s="121"/>
      <c r="AA501" s="121"/>
    </row>
    <row r="502" customFormat="false" ht="15.75" hidden="false" customHeight="false" outlineLevel="0" collapsed="false">
      <c r="A502" s="121" t="str">
        <f aca="false">IF(ISBLANK(B502),"",B502&amp;"|"&amp;C502)</f>
        <v/>
      </c>
      <c r="B502" s="121"/>
      <c r="C502" s="121"/>
      <c r="D502" s="121"/>
      <c r="E502" s="127"/>
      <c r="F502" s="121"/>
      <c r="G502" s="121"/>
      <c r="H502" s="121"/>
      <c r="I502" s="121"/>
      <c r="J502" s="121"/>
      <c r="K502" s="121"/>
      <c r="L502" s="121"/>
      <c r="M502" s="121"/>
      <c r="N502" s="121"/>
      <c r="O502" s="121"/>
      <c r="P502" s="121"/>
      <c r="Q502" s="121"/>
      <c r="R502" s="121"/>
      <c r="S502" s="121"/>
      <c r="T502" s="121"/>
      <c r="U502" s="121"/>
      <c r="V502" s="121"/>
      <c r="W502" s="121"/>
      <c r="X502" s="121"/>
      <c r="Y502" s="121"/>
      <c r="Z502" s="121"/>
      <c r="AA502" s="121"/>
    </row>
    <row r="503" customFormat="false" ht="15.75" hidden="false" customHeight="false" outlineLevel="0" collapsed="false">
      <c r="A503" s="121" t="str">
        <f aca="false">IF(ISBLANK(B503),"",B503&amp;"|"&amp;C503)</f>
        <v/>
      </c>
      <c r="B503" s="121"/>
      <c r="C503" s="121"/>
      <c r="D503" s="121"/>
      <c r="E503" s="127"/>
      <c r="F503" s="121"/>
      <c r="G503" s="121"/>
      <c r="H503" s="121"/>
      <c r="I503" s="121"/>
      <c r="J503" s="121"/>
      <c r="K503" s="121"/>
      <c r="L503" s="121"/>
      <c r="M503" s="121"/>
      <c r="N503" s="121"/>
      <c r="O503" s="121"/>
      <c r="P503" s="121"/>
      <c r="Q503" s="121"/>
      <c r="R503" s="121"/>
      <c r="S503" s="121"/>
      <c r="T503" s="121"/>
      <c r="U503" s="121"/>
      <c r="V503" s="121"/>
      <c r="W503" s="121"/>
      <c r="X503" s="121"/>
      <c r="Y503" s="121"/>
      <c r="Z503" s="121"/>
      <c r="AA503" s="121"/>
    </row>
    <row r="504" customFormat="false" ht="15.75" hidden="false" customHeight="false" outlineLevel="0" collapsed="false">
      <c r="A504" s="121" t="str">
        <f aca="false">IF(ISBLANK(B504),"",B504&amp;"|"&amp;C504)</f>
        <v/>
      </c>
      <c r="B504" s="121"/>
      <c r="C504" s="121"/>
      <c r="D504" s="121"/>
      <c r="E504" s="127"/>
      <c r="F504" s="121"/>
      <c r="G504" s="121"/>
      <c r="H504" s="121"/>
      <c r="I504" s="121"/>
      <c r="J504" s="121"/>
      <c r="K504" s="121"/>
      <c r="L504" s="121"/>
      <c r="M504" s="121"/>
      <c r="N504" s="121"/>
      <c r="O504" s="121"/>
      <c r="P504" s="121"/>
      <c r="Q504" s="121"/>
      <c r="R504" s="121"/>
      <c r="S504" s="121"/>
      <c r="T504" s="121"/>
      <c r="U504" s="121"/>
      <c r="V504" s="121"/>
      <c r="W504" s="121"/>
      <c r="X504" s="121"/>
      <c r="Y504" s="121"/>
      <c r="Z504" s="121"/>
      <c r="AA504" s="121"/>
    </row>
    <row r="505" customFormat="false" ht="15.75" hidden="false" customHeight="false" outlineLevel="0" collapsed="false">
      <c r="A505" s="121" t="str">
        <f aca="false">IF(ISBLANK(B505),"",B505&amp;"|"&amp;C505)</f>
        <v/>
      </c>
      <c r="B505" s="121"/>
      <c r="C505" s="121"/>
      <c r="D505" s="121"/>
      <c r="E505" s="127"/>
      <c r="F505" s="121"/>
      <c r="G505" s="121"/>
      <c r="H505" s="121"/>
      <c r="I505" s="121"/>
      <c r="J505" s="121"/>
      <c r="K505" s="121"/>
      <c r="L505" s="121"/>
      <c r="M505" s="121"/>
      <c r="N505" s="121"/>
      <c r="O505" s="121"/>
      <c r="P505" s="121"/>
      <c r="Q505" s="121"/>
      <c r="R505" s="121"/>
      <c r="S505" s="121"/>
      <c r="T505" s="121"/>
      <c r="U505" s="121"/>
      <c r="V505" s="121"/>
      <c r="W505" s="121"/>
      <c r="X505" s="121"/>
      <c r="Y505" s="121"/>
      <c r="Z505" s="121"/>
      <c r="AA505" s="121"/>
    </row>
    <row r="506" customFormat="false" ht="15.75" hidden="false" customHeight="false" outlineLevel="0" collapsed="false">
      <c r="A506" s="121" t="str">
        <f aca="false">IF(ISBLANK(B506),"",B506&amp;"|"&amp;C506)</f>
        <v/>
      </c>
      <c r="B506" s="121"/>
      <c r="C506" s="121"/>
      <c r="D506" s="121"/>
      <c r="E506" s="127"/>
      <c r="F506" s="121"/>
      <c r="G506" s="121"/>
      <c r="H506" s="121"/>
      <c r="I506" s="121"/>
      <c r="J506" s="121"/>
      <c r="K506" s="121"/>
      <c r="L506" s="121"/>
      <c r="M506" s="121"/>
      <c r="N506" s="121"/>
      <c r="O506" s="121"/>
      <c r="P506" s="121"/>
      <c r="Q506" s="121"/>
      <c r="R506" s="121"/>
      <c r="S506" s="121"/>
      <c r="T506" s="121"/>
      <c r="U506" s="121"/>
      <c r="V506" s="121"/>
      <c r="W506" s="121"/>
      <c r="X506" s="121"/>
      <c r="Y506" s="121"/>
      <c r="Z506" s="121"/>
      <c r="AA506" s="121"/>
    </row>
    <row r="507" customFormat="false" ht="15.75" hidden="false" customHeight="false" outlineLevel="0" collapsed="false">
      <c r="A507" s="121" t="str">
        <f aca="false">IF(ISBLANK(B507),"",B507&amp;"|"&amp;C507)</f>
        <v/>
      </c>
      <c r="B507" s="121"/>
      <c r="C507" s="121"/>
      <c r="D507" s="121"/>
      <c r="E507" s="127"/>
      <c r="F507" s="121"/>
      <c r="G507" s="121"/>
      <c r="H507" s="121"/>
      <c r="I507" s="121"/>
      <c r="J507" s="121"/>
      <c r="K507" s="121"/>
      <c r="L507" s="121"/>
      <c r="M507" s="121"/>
      <c r="N507" s="121"/>
      <c r="O507" s="121"/>
      <c r="P507" s="121"/>
      <c r="Q507" s="121"/>
      <c r="R507" s="121"/>
      <c r="S507" s="121"/>
      <c r="T507" s="121"/>
      <c r="U507" s="121"/>
      <c r="V507" s="121"/>
      <c r="W507" s="121"/>
      <c r="X507" s="121"/>
      <c r="Y507" s="121"/>
      <c r="Z507" s="121"/>
      <c r="AA507" s="121"/>
    </row>
    <row r="508" customFormat="false" ht="15.75" hidden="false" customHeight="false" outlineLevel="0" collapsed="false">
      <c r="A508" s="121" t="str">
        <f aca="false">IF(ISBLANK(B508),"",B508&amp;"|"&amp;C508)</f>
        <v/>
      </c>
      <c r="B508" s="121"/>
      <c r="C508" s="121"/>
      <c r="D508" s="121"/>
      <c r="E508" s="127"/>
      <c r="F508" s="121"/>
      <c r="G508" s="121"/>
      <c r="H508" s="121"/>
      <c r="I508" s="121"/>
      <c r="J508" s="121"/>
      <c r="K508" s="121"/>
      <c r="L508" s="121"/>
      <c r="M508" s="121"/>
      <c r="N508" s="121"/>
      <c r="O508" s="121"/>
      <c r="P508" s="121"/>
      <c r="Q508" s="121"/>
      <c r="R508" s="121"/>
      <c r="S508" s="121"/>
      <c r="T508" s="121"/>
      <c r="U508" s="121"/>
      <c r="V508" s="121"/>
      <c r="W508" s="121"/>
      <c r="X508" s="121"/>
      <c r="Y508" s="121"/>
      <c r="Z508" s="121"/>
      <c r="AA508" s="121"/>
    </row>
    <row r="509" customFormat="false" ht="15.75" hidden="false" customHeight="false" outlineLevel="0" collapsed="false">
      <c r="A509" s="121" t="str">
        <f aca="false">IF(ISBLANK(B509),"",B509&amp;"|"&amp;C509)</f>
        <v/>
      </c>
      <c r="B509" s="121"/>
      <c r="C509" s="121"/>
      <c r="D509" s="121"/>
      <c r="E509" s="127"/>
      <c r="F509" s="121"/>
      <c r="G509" s="121"/>
      <c r="H509" s="121"/>
      <c r="I509" s="121"/>
      <c r="J509" s="121"/>
      <c r="K509" s="121"/>
      <c r="L509" s="121"/>
      <c r="M509" s="121"/>
      <c r="N509" s="121"/>
      <c r="O509" s="121"/>
      <c r="P509" s="121"/>
      <c r="Q509" s="121"/>
      <c r="R509" s="121"/>
      <c r="S509" s="121"/>
      <c r="T509" s="121"/>
      <c r="U509" s="121"/>
      <c r="V509" s="121"/>
      <c r="W509" s="121"/>
      <c r="X509" s="121"/>
      <c r="Y509" s="121"/>
      <c r="Z509" s="121"/>
      <c r="AA509" s="121"/>
    </row>
    <row r="510" customFormat="false" ht="15.75" hidden="false" customHeight="false" outlineLevel="0" collapsed="false">
      <c r="A510" s="121" t="str">
        <f aca="false">IF(ISBLANK(B510),"",B510&amp;"|"&amp;C510)</f>
        <v/>
      </c>
      <c r="B510" s="121"/>
      <c r="C510" s="121"/>
      <c r="D510" s="121"/>
      <c r="E510" s="127"/>
      <c r="F510" s="121"/>
      <c r="G510" s="121"/>
      <c r="H510" s="121"/>
      <c r="I510" s="121"/>
      <c r="J510" s="121"/>
      <c r="K510" s="121"/>
      <c r="L510" s="121"/>
      <c r="M510" s="121"/>
      <c r="N510" s="121"/>
      <c r="O510" s="121"/>
      <c r="P510" s="121"/>
      <c r="Q510" s="121"/>
      <c r="R510" s="121"/>
      <c r="S510" s="121"/>
      <c r="T510" s="121"/>
      <c r="U510" s="121"/>
      <c r="V510" s="121"/>
      <c r="W510" s="121"/>
      <c r="X510" s="121"/>
      <c r="Y510" s="121"/>
      <c r="Z510" s="121"/>
      <c r="AA510" s="121"/>
    </row>
    <row r="511" customFormat="false" ht="15.75" hidden="false" customHeight="false" outlineLevel="0" collapsed="false">
      <c r="A511" s="121" t="str">
        <f aca="false">IF(ISBLANK(B511),"",B511&amp;"|"&amp;C511)</f>
        <v/>
      </c>
      <c r="B511" s="121"/>
      <c r="C511" s="121"/>
      <c r="D511" s="121"/>
      <c r="E511" s="127"/>
      <c r="F511" s="121"/>
      <c r="G511" s="121"/>
      <c r="H511" s="121"/>
      <c r="I511" s="121"/>
      <c r="J511" s="121"/>
      <c r="K511" s="121"/>
      <c r="L511" s="121"/>
      <c r="M511" s="121"/>
      <c r="N511" s="121"/>
      <c r="O511" s="121"/>
      <c r="P511" s="121"/>
      <c r="Q511" s="121"/>
      <c r="R511" s="121"/>
      <c r="S511" s="121"/>
      <c r="T511" s="121"/>
      <c r="U511" s="121"/>
      <c r="V511" s="121"/>
      <c r="W511" s="121"/>
      <c r="X511" s="121"/>
      <c r="Y511" s="121"/>
      <c r="Z511" s="121"/>
      <c r="AA511" s="121"/>
    </row>
    <row r="512" customFormat="false" ht="15.75" hidden="false" customHeight="false" outlineLevel="0" collapsed="false">
      <c r="A512" s="121" t="str">
        <f aca="false">IF(ISBLANK(B512),"",B512&amp;"|"&amp;C512)</f>
        <v/>
      </c>
      <c r="B512" s="121"/>
      <c r="C512" s="121"/>
      <c r="D512" s="121"/>
      <c r="E512" s="127"/>
      <c r="F512" s="121"/>
      <c r="G512" s="121"/>
      <c r="H512" s="121"/>
      <c r="I512" s="121"/>
      <c r="J512" s="121"/>
      <c r="K512" s="121"/>
      <c r="L512" s="121"/>
      <c r="M512" s="121"/>
      <c r="N512" s="121"/>
      <c r="O512" s="121"/>
      <c r="P512" s="121"/>
      <c r="Q512" s="121"/>
      <c r="R512" s="121"/>
      <c r="S512" s="121"/>
      <c r="T512" s="121"/>
      <c r="U512" s="121"/>
      <c r="V512" s="121"/>
      <c r="W512" s="121"/>
      <c r="X512" s="121"/>
      <c r="Y512" s="121"/>
      <c r="Z512" s="121"/>
      <c r="AA512" s="121"/>
    </row>
    <row r="513" customFormat="false" ht="15.75" hidden="false" customHeight="false" outlineLevel="0" collapsed="false">
      <c r="A513" s="121" t="str">
        <f aca="false">IF(ISBLANK(B513),"",B513&amp;"|"&amp;C513)</f>
        <v/>
      </c>
      <c r="B513" s="121"/>
      <c r="C513" s="121"/>
      <c r="D513" s="121"/>
      <c r="E513" s="127"/>
      <c r="F513" s="121"/>
      <c r="G513" s="121"/>
      <c r="H513" s="121"/>
      <c r="I513" s="121"/>
      <c r="J513" s="121"/>
      <c r="K513" s="121"/>
      <c r="L513" s="121"/>
      <c r="M513" s="121"/>
      <c r="N513" s="121"/>
      <c r="O513" s="121"/>
      <c r="P513" s="121"/>
      <c r="Q513" s="121"/>
      <c r="R513" s="121"/>
      <c r="S513" s="121"/>
      <c r="T513" s="121"/>
      <c r="U513" s="121"/>
      <c r="V513" s="121"/>
      <c r="W513" s="121"/>
      <c r="X513" s="121"/>
      <c r="Y513" s="121"/>
      <c r="Z513" s="121"/>
      <c r="AA513" s="121"/>
    </row>
    <row r="514" customFormat="false" ht="15.75" hidden="false" customHeight="false" outlineLevel="0" collapsed="false">
      <c r="A514" s="121" t="str">
        <f aca="false">IF(ISBLANK(B514),"",B514&amp;"|"&amp;C514)</f>
        <v/>
      </c>
      <c r="B514" s="121"/>
      <c r="C514" s="121"/>
      <c r="D514" s="121"/>
      <c r="E514" s="127"/>
      <c r="F514" s="121"/>
      <c r="G514" s="121"/>
      <c r="H514" s="121"/>
      <c r="I514" s="121"/>
      <c r="J514" s="121"/>
      <c r="K514" s="121"/>
      <c r="L514" s="121"/>
      <c r="M514" s="121"/>
      <c r="N514" s="121"/>
      <c r="O514" s="121"/>
      <c r="P514" s="121"/>
      <c r="Q514" s="121"/>
      <c r="R514" s="121"/>
      <c r="S514" s="121"/>
      <c r="T514" s="121"/>
      <c r="U514" s="121"/>
      <c r="V514" s="121"/>
      <c r="W514" s="121"/>
      <c r="X514" s="121"/>
      <c r="Y514" s="121"/>
      <c r="Z514" s="121"/>
      <c r="AA514" s="121"/>
    </row>
    <row r="515" customFormat="false" ht="15.75" hidden="false" customHeight="false" outlineLevel="0" collapsed="false">
      <c r="A515" s="121" t="str">
        <f aca="false">IF(ISBLANK(B515),"",B515&amp;"|"&amp;C515)</f>
        <v/>
      </c>
      <c r="B515" s="121"/>
      <c r="C515" s="121"/>
      <c r="D515" s="121"/>
      <c r="E515" s="127"/>
      <c r="F515" s="121"/>
      <c r="G515" s="121"/>
      <c r="H515" s="121"/>
      <c r="I515" s="121"/>
      <c r="J515" s="121"/>
      <c r="K515" s="121"/>
      <c r="L515" s="121"/>
      <c r="M515" s="121"/>
      <c r="N515" s="121"/>
      <c r="O515" s="121"/>
      <c r="P515" s="121"/>
      <c r="Q515" s="121"/>
      <c r="R515" s="121"/>
      <c r="S515" s="121"/>
      <c r="T515" s="121"/>
      <c r="U515" s="121"/>
      <c r="V515" s="121"/>
      <c r="W515" s="121"/>
      <c r="X515" s="121"/>
      <c r="Y515" s="121"/>
      <c r="Z515" s="121"/>
      <c r="AA515" s="121"/>
    </row>
    <row r="516" customFormat="false" ht="15.75" hidden="false" customHeight="false" outlineLevel="0" collapsed="false">
      <c r="A516" s="121" t="str">
        <f aca="false">IF(ISBLANK(B516),"",B516&amp;"|"&amp;C516)</f>
        <v/>
      </c>
      <c r="B516" s="121"/>
      <c r="C516" s="121"/>
      <c r="D516" s="121"/>
      <c r="E516" s="127"/>
      <c r="F516" s="121"/>
      <c r="G516" s="121"/>
      <c r="H516" s="121"/>
      <c r="I516" s="121"/>
      <c r="J516" s="121"/>
      <c r="K516" s="121"/>
      <c r="L516" s="121"/>
      <c r="M516" s="121"/>
      <c r="N516" s="121"/>
      <c r="O516" s="121"/>
      <c r="P516" s="121"/>
      <c r="Q516" s="121"/>
      <c r="R516" s="121"/>
      <c r="S516" s="121"/>
      <c r="T516" s="121"/>
      <c r="U516" s="121"/>
      <c r="V516" s="121"/>
      <c r="W516" s="121"/>
      <c r="X516" s="121"/>
      <c r="Y516" s="121"/>
      <c r="Z516" s="121"/>
      <c r="AA516" s="121"/>
    </row>
    <row r="517" customFormat="false" ht="15.75" hidden="false" customHeight="false" outlineLevel="0" collapsed="false">
      <c r="A517" s="121" t="str">
        <f aca="false">IF(ISBLANK(B517),"",B517&amp;"|"&amp;C517)</f>
        <v/>
      </c>
      <c r="B517" s="121"/>
      <c r="C517" s="121"/>
      <c r="D517" s="121"/>
      <c r="E517" s="127"/>
      <c r="F517" s="121"/>
      <c r="G517" s="121"/>
      <c r="H517" s="121"/>
      <c r="I517" s="121"/>
      <c r="J517" s="121"/>
      <c r="K517" s="121"/>
      <c r="L517" s="121"/>
      <c r="M517" s="121"/>
      <c r="N517" s="121"/>
      <c r="O517" s="121"/>
      <c r="P517" s="121"/>
      <c r="Q517" s="121"/>
      <c r="R517" s="121"/>
      <c r="S517" s="121"/>
      <c r="T517" s="121"/>
      <c r="U517" s="121"/>
      <c r="V517" s="121"/>
      <c r="W517" s="121"/>
      <c r="X517" s="121"/>
      <c r="Y517" s="121"/>
      <c r="Z517" s="121"/>
      <c r="AA517" s="121"/>
    </row>
    <row r="518" customFormat="false" ht="15.75" hidden="false" customHeight="false" outlineLevel="0" collapsed="false">
      <c r="A518" s="121" t="str">
        <f aca="false">IF(ISBLANK(B518),"",B518&amp;"|"&amp;C518)</f>
        <v/>
      </c>
      <c r="B518" s="121"/>
      <c r="C518" s="121"/>
      <c r="D518" s="121"/>
      <c r="E518" s="127"/>
      <c r="F518" s="121"/>
      <c r="G518" s="121"/>
      <c r="H518" s="121"/>
      <c r="I518" s="121"/>
      <c r="J518" s="121"/>
      <c r="K518" s="121"/>
      <c r="L518" s="121"/>
      <c r="M518" s="121"/>
      <c r="N518" s="121"/>
      <c r="O518" s="121"/>
      <c r="P518" s="121"/>
      <c r="Q518" s="121"/>
      <c r="R518" s="121"/>
      <c r="S518" s="121"/>
      <c r="T518" s="121"/>
      <c r="U518" s="121"/>
      <c r="V518" s="121"/>
      <c r="W518" s="121"/>
      <c r="X518" s="121"/>
      <c r="Y518" s="121"/>
      <c r="Z518" s="121"/>
      <c r="AA518" s="121"/>
    </row>
    <row r="519" customFormat="false" ht="15.75" hidden="false" customHeight="false" outlineLevel="0" collapsed="false">
      <c r="A519" s="121" t="str">
        <f aca="false">IF(ISBLANK(B519),"",B519&amp;"|"&amp;C519)</f>
        <v/>
      </c>
      <c r="B519" s="121"/>
      <c r="C519" s="121"/>
      <c r="D519" s="121"/>
      <c r="E519" s="127"/>
      <c r="F519" s="121"/>
      <c r="G519" s="121"/>
      <c r="H519" s="121"/>
      <c r="I519" s="121"/>
      <c r="J519" s="121"/>
      <c r="K519" s="121"/>
      <c r="L519" s="121"/>
      <c r="M519" s="121"/>
      <c r="N519" s="121"/>
      <c r="O519" s="121"/>
      <c r="P519" s="121"/>
      <c r="Q519" s="121"/>
      <c r="R519" s="121"/>
      <c r="S519" s="121"/>
      <c r="T519" s="121"/>
      <c r="U519" s="121"/>
      <c r="V519" s="121"/>
      <c r="W519" s="121"/>
      <c r="X519" s="121"/>
      <c r="Y519" s="121"/>
      <c r="Z519" s="121"/>
      <c r="AA519" s="121"/>
    </row>
    <row r="520" customFormat="false" ht="15.75" hidden="false" customHeight="false" outlineLevel="0" collapsed="false">
      <c r="A520" s="121" t="str">
        <f aca="false">IF(ISBLANK(B520),"",B520&amp;"|"&amp;C520)</f>
        <v/>
      </c>
      <c r="B520" s="121"/>
      <c r="C520" s="121"/>
      <c r="D520" s="121"/>
      <c r="E520" s="127"/>
      <c r="F520" s="121"/>
      <c r="G520" s="121"/>
      <c r="H520" s="121"/>
      <c r="I520" s="121"/>
      <c r="J520" s="121"/>
      <c r="K520" s="121"/>
      <c r="L520" s="121"/>
      <c r="M520" s="121"/>
      <c r="N520" s="121"/>
      <c r="O520" s="121"/>
      <c r="P520" s="121"/>
      <c r="Q520" s="121"/>
      <c r="R520" s="121"/>
      <c r="S520" s="121"/>
      <c r="T520" s="121"/>
      <c r="U520" s="121"/>
      <c r="V520" s="121"/>
      <c r="W520" s="121"/>
      <c r="X520" s="121"/>
      <c r="Y520" s="121"/>
      <c r="Z520" s="121"/>
      <c r="AA520" s="121"/>
    </row>
    <row r="521" customFormat="false" ht="15.75" hidden="false" customHeight="false" outlineLevel="0" collapsed="false">
      <c r="A521" s="121" t="str">
        <f aca="false">IF(ISBLANK(B521),"",B521&amp;"|"&amp;C521)</f>
        <v/>
      </c>
      <c r="B521" s="121"/>
      <c r="C521" s="121"/>
      <c r="D521" s="121"/>
      <c r="E521" s="127"/>
      <c r="F521" s="121"/>
      <c r="G521" s="121"/>
      <c r="H521" s="121"/>
      <c r="I521" s="121"/>
      <c r="J521" s="121"/>
      <c r="K521" s="121"/>
      <c r="L521" s="121"/>
      <c r="M521" s="121"/>
      <c r="N521" s="121"/>
      <c r="O521" s="121"/>
      <c r="P521" s="121"/>
      <c r="Q521" s="121"/>
      <c r="R521" s="121"/>
      <c r="S521" s="121"/>
      <c r="T521" s="121"/>
      <c r="U521" s="121"/>
      <c r="V521" s="121"/>
      <c r="W521" s="121"/>
      <c r="X521" s="121"/>
      <c r="Y521" s="121"/>
      <c r="Z521" s="121"/>
      <c r="AA521" s="121"/>
    </row>
    <row r="522" customFormat="false" ht="15.75" hidden="false" customHeight="false" outlineLevel="0" collapsed="false">
      <c r="A522" s="121" t="str">
        <f aca="false">IF(ISBLANK(B522),"",B522&amp;"|"&amp;C522)</f>
        <v/>
      </c>
      <c r="B522" s="121"/>
      <c r="C522" s="121"/>
      <c r="D522" s="121"/>
      <c r="E522" s="127"/>
      <c r="F522" s="121"/>
      <c r="G522" s="121"/>
      <c r="H522" s="121"/>
      <c r="I522" s="121"/>
      <c r="J522" s="121"/>
      <c r="K522" s="121"/>
      <c r="L522" s="121"/>
      <c r="M522" s="121"/>
      <c r="N522" s="121"/>
      <c r="O522" s="121"/>
      <c r="P522" s="121"/>
      <c r="Q522" s="121"/>
      <c r="R522" s="121"/>
      <c r="S522" s="121"/>
      <c r="T522" s="121"/>
      <c r="U522" s="121"/>
      <c r="V522" s="121"/>
      <c r="W522" s="121"/>
      <c r="X522" s="121"/>
      <c r="Y522" s="121"/>
      <c r="Z522" s="121"/>
      <c r="AA522" s="121"/>
    </row>
    <row r="523" customFormat="false" ht="15.75" hidden="false" customHeight="false" outlineLevel="0" collapsed="false">
      <c r="A523" s="121" t="str">
        <f aca="false">IF(ISBLANK(B523),"",B523&amp;"|"&amp;C523)</f>
        <v/>
      </c>
      <c r="B523" s="121"/>
      <c r="C523" s="121"/>
      <c r="D523" s="121"/>
      <c r="E523" s="127"/>
      <c r="F523" s="121"/>
      <c r="G523" s="121"/>
      <c r="H523" s="121"/>
      <c r="I523" s="121"/>
      <c r="J523" s="121"/>
      <c r="K523" s="121"/>
      <c r="L523" s="121"/>
      <c r="M523" s="121"/>
      <c r="N523" s="121"/>
      <c r="O523" s="121"/>
      <c r="P523" s="121"/>
      <c r="Q523" s="121"/>
      <c r="R523" s="121"/>
      <c r="S523" s="121"/>
      <c r="T523" s="121"/>
      <c r="U523" s="121"/>
      <c r="V523" s="121"/>
      <c r="W523" s="121"/>
      <c r="X523" s="121"/>
      <c r="Y523" s="121"/>
      <c r="Z523" s="121"/>
      <c r="AA523" s="121"/>
    </row>
    <row r="524" customFormat="false" ht="15.75" hidden="false" customHeight="false" outlineLevel="0" collapsed="false">
      <c r="A524" s="121" t="str">
        <f aca="false">IF(ISBLANK(B524),"",B524&amp;"|"&amp;C524)</f>
        <v/>
      </c>
      <c r="B524" s="121"/>
      <c r="C524" s="121"/>
      <c r="D524" s="121"/>
      <c r="E524" s="127"/>
      <c r="F524" s="121"/>
      <c r="G524" s="121"/>
      <c r="H524" s="121"/>
      <c r="I524" s="121"/>
      <c r="J524" s="121"/>
      <c r="K524" s="121"/>
      <c r="L524" s="121"/>
      <c r="M524" s="121"/>
      <c r="N524" s="121"/>
      <c r="O524" s="121"/>
      <c r="P524" s="121"/>
      <c r="Q524" s="121"/>
      <c r="R524" s="121"/>
      <c r="S524" s="121"/>
      <c r="T524" s="121"/>
      <c r="U524" s="121"/>
      <c r="V524" s="121"/>
      <c r="W524" s="121"/>
      <c r="X524" s="121"/>
      <c r="Y524" s="121"/>
      <c r="Z524" s="121"/>
      <c r="AA524" s="121"/>
    </row>
    <row r="525" customFormat="false" ht="15.75" hidden="false" customHeight="false" outlineLevel="0" collapsed="false">
      <c r="A525" s="121" t="str">
        <f aca="false">IF(ISBLANK(B525),"",B525&amp;"|"&amp;C525)</f>
        <v/>
      </c>
      <c r="B525" s="121"/>
      <c r="C525" s="121"/>
      <c r="D525" s="121"/>
      <c r="E525" s="127"/>
      <c r="F525" s="121"/>
      <c r="G525" s="121"/>
      <c r="H525" s="121"/>
      <c r="I525" s="121"/>
      <c r="J525" s="121"/>
      <c r="K525" s="121"/>
      <c r="L525" s="121"/>
      <c r="M525" s="121"/>
      <c r="N525" s="121"/>
      <c r="O525" s="121"/>
      <c r="P525" s="121"/>
      <c r="Q525" s="121"/>
      <c r="R525" s="121"/>
      <c r="S525" s="121"/>
      <c r="T525" s="121"/>
      <c r="U525" s="121"/>
      <c r="V525" s="121"/>
      <c r="W525" s="121"/>
      <c r="X525" s="121"/>
      <c r="Y525" s="121"/>
      <c r="Z525" s="121"/>
      <c r="AA525" s="121"/>
    </row>
    <row r="526" customFormat="false" ht="15.75" hidden="false" customHeight="false" outlineLevel="0" collapsed="false">
      <c r="A526" s="121" t="str">
        <f aca="false">IF(ISBLANK(B526),"",B526&amp;"|"&amp;C526)</f>
        <v/>
      </c>
      <c r="B526" s="121"/>
      <c r="C526" s="121"/>
      <c r="D526" s="121"/>
      <c r="E526" s="127"/>
      <c r="F526" s="121"/>
      <c r="G526" s="121"/>
      <c r="H526" s="121"/>
      <c r="I526" s="121"/>
      <c r="J526" s="121"/>
      <c r="K526" s="121"/>
      <c r="L526" s="121"/>
      <c r="M526" s="121"/>
      <c r="N526" s="121"/>
      <c r="O526" s="121"/>
      <c r="P526" s="121"/>
      <c r="Q526" s="121"/>
      <c r="R526" s="121"/>
      <c r="S526" s="121"/>
      <c r="T526" s="121"/>
      <c r="U526" s="121"/>
      <c r="V526" s="121"/>
      <c r="W526" s="121"/>
      <c r="X526" s="121"/>
      <c r="Y526" s="121"/>
      <c r="Z526" s="121"/>
      <c r="AA526" s="121"/>
    </row>
    <row r="527" customFormat="false" ht="15.75" hidden="false" customHeight="false" outlineLevel="0" collapsed="false">
      <c r="A527" s="121" t="str">
        <f aca="false">IF(ISBLANK(B527),"",B527&amp;"|"&amp;C527)</f>
        <v/>
      </c>
      <c r="B527" s="121"/>
      <c r="C527" s="121"/>
      <c r="D527" s="121"/>
      <c r="E527" s="127"/>
      <c r="F527" s="121"/>
      <c r="G527" s="121"/>
      <c r="H527" s="121"/>
      <c r="I527" s="121"/>
      <c r="J527" s="121"/>
      <c r="K527" s="121"/>
      <c r="L527" s="121"/>
      <c r="M527" s="121"/>
      <c r="N527" s="121"/>
      <c r="O527" s="121"/>
      <c r="P527" s="121"/>
      <c r="Q527" s="121"/>
      <c r="R527" s="121"/>
      <c r="S527" s="121"/>
      <c r="T527" s="121"/>
      <c r="U527" s="121"/>
      <c r="V527" s="121"/>
      <c r="W527" s="121"/>
      <c r="X527" s="121"/>
      <c r="Y527" s="121"/>
      <c r="Z527" s="121"/>
      <c r="AA527" s="121"/>
    </row>
    <row r="528" customFormat="false" ht="15.75" hidden="false" customHeight="false" outlineLevel="0" collapsed="false">
      <c r="A528" s="121" t="str">
        <f aca="false">IF(ISBLANK(B528),"",B528&amp;"|"&amp;C528)</f>
        <v/>
      </c>
      <c r="B528" s="121"/>
      <c r="C528" s="121"/>
      <c r="D528" s="121"/>
      <c r="E528" s="127"/>
      <c r="F528" s="121"/>
      <c r="G528" s="121"/>
      <c r="H528" s="121"/>
      <c r="I528" s="121"/>
      <c r="J528" s="121"/>
      <c r="K528" s="121"/>
      <c r="L528" s="121"/>
      <c r="M528" s="121"/>
      <c r="N528" s="121"/>
      <c r="O528" s="121"/>
      <c r="P528" s="121"/>
      <c r="Q528" s="121"/>
      <c r="R528" s="121"/>
      <c r="S528" s="121"/>
      <c r="T528" s="121"/>
      <c r="U528" s="121"/>
      <c r="V528" s="121"/>
      <c r="W528" s="121"/>
      <c r="X528" s="121"/>
      <c r="Y528" s="121"/>
      <c r="Z528" s="121"/>
      <c r="AA528" s="121"/>
    </row>
    <row r="529" customFormat="false" ht="15.75" hidden="false" customHeight="false" outlineLevel="0" collapsed="false">
      <c r="A529" s="121" t="str">
        <f aca="false">IF(ISBLANK(B529),"",B529&amp;"|"&amp;C529)</f>
        <v/>
      </c>
      <c r="B529" s="121"/>
      <c r="C529" s="121"/>
      <c r="D529" s="121"/>
      <c r="E529" s="127"/>
      <c r="F529" s="121"/>
      <c r="G529" s="121"/>
      <c r="H529" s="121"/>
      <c r="I529" s="121"/>
      <c r="J529" s="121"/>
      <c r="K529" s="121"/>
      <c r="L529" s="121"/>
      <c r="M529" s="121"/>
      <c r="N529" s="121"/>
      <c r="O529" s="121"/>
      <c r="P529" s="121"/>
      <c r="Q529" s="121"/>
      <c r="R529" s="121"/>
      <c r="S529" s="121"/>
      <c r="T529" s="121"/>
      <c r="U529" s="121"/>
      <c r="V529" s="121"/>
      <c r="W529" s="121"/>
      <c r="X529" s="121"/>
      <c r="Y529" s="121"/>
      <c r="Z529" s="121"/>
      <c r="AA529" s="121"/>
    </row>
    <row r="530" customFormat="false" ht="15.75" hidden="false" customHeight="false" outlineLevel="0" collapsed="false">
      <c r="A530" s="121" t="str">
        <f aca="false">IF(ISBLANK(B530),"",B530&amp;"|"&amp;C530)</f>
        <v/>
      </c>
      <c r="B530" s="121"/>
      <c r="C530" s="121"/>
      <c r="D530" s="121"/>
      <c r="E530" s="127"/>
      <c r="F530" s="121"/>
      <c r="G530" s="121"/>
      <c r="H530" s="121"/>
      <c r="I530" s="121"/>
      <c r="J530" s="121"/>
      <c r="K530" s="121"/>
      <c r="L530" s="121"/>
      <c r="M530" s="121"/>
      <c r="N530" s="121"/>
      <c r="O530" s="121"/>
      <c r="P530" s="121"/>
      <c r="Q530" s="121"/>
      <c r="R530" s="121"/>
      <c r="S530" s="121"/>
      <c r="T530" s="121"/>
      <c r="U530" s="121"/>
      <c r="V530" s="121"/>
      <c r="W530" s="121"/>
      <c r="X530" s="121"/>
      <c r="Y530" s="121"/>
      <c r="Z530" s="121"/>
      <c r="AA530" s="121"/>
    </row>
    <row r="531" customFormat="false" ht="15.75" hidden="false" customHeight="false" outlineLevel="0" collapsed="false">
      <c r="A531" s="121" t="str">
        <f aca="false">IF(ISBLANK(B531),"",B531&amp;"|"&amp;C531)</f>
        <v/>
      </c>
      <c r="B531" s="121"/>
      <c r="C531" s="121"/>
      <c r="D531" s="121"/>
      <c r="E531" s="127"/>
      <c r="F531" s="121"/>
      <c r="G531" s="121"/>
      <c r="H531" s="121"/>
      <c r="I531" s="121"/>
      <c r="J531" s="121"/>
      <c r="K531" s="121"/>
      <c r="L531" s="121"/>
      <c r="M531" s="121"/>
      <c r="N531" s="121"/>
      <c r="O531" s="121"/>
      <c r="P531" s="121"/>
      <c r="Q531" s="121"/>
      <c r="R531" s="121"/>
      <c r="S531" s="121"/>
      <c r="T531" s="121"/>
      <c r="U531" s="121"/>
      <c r="V531" s="121"/>
      <c r="W531" s="121"/>
      <c r="X531" s="121"/>
      <c r="Y531" s="121"/>
      <c r="Z531" s="121"/>
      <c r="AA531" s="121"/>
    </row>
    <row r="532" customFormat="false" ht="15.75" hidden="false" customHeight="false" outlineLevel="0" collapsed="false">
      <c r="A532" s="121" t="str">
        <f aca="false">IF(ISBLANK(B532),"",B532&amp;"|"&amp;C532)</f>
        <v/>
      </c>
      <c r="B532" s="121"/>
      <c r="C532" s="121"/>
      <c r="D532" s="121"/>
      <c r="E532" s="127"/>
      <c r="F532" s="121"/>
      <c r="G532" s="121"/>
      <c r="H532" s="121"/>
      <c r="I532" s="121"/>
      <c r="J532" s="121"/>
      <c r="K532" s="121"/>
      <c r="L532" s="121"/>
      <c r="M532" s="121"/>
      <c r="N532" s="121"/>
      <c r="O532" s="121"/>
      <c r="P532" s="121"/>
      <c r="Q532" s="121"/>
      <c r="R532" s="121"/>
      <c r="S532" s="121"/>
      <c r="T532" s="121"/>
      <c r="U532" s="121"/>
      <c r="V532" s="121"/>
      <c r="W532" s="121"/>
      <c r="X532" s="121"/>
      <c r="Y532" s="121"/>
      <c r="Z532" s="121"/>
      <c r="AA532" s="121"/>
    </row>
    <row r="533" customFormat="false" ht="15.75" hidden="false" customHeight="false" outlineLevel="0" collapsed="false">
      <c r="A533" s="121" t="str">
        <f aca="false">IF(ISBLANK(B533),"",B533&amp;"|"&amp;C533)</f>
        <v/>
      </c>
      <c r="B533" s="121"/>
      <c r="C533" s="121"/>
      <c r="D533" s="121"/>
      <c r="E533" s="127"/>
      <c r="F533" s="121"/>
      <c r="G533" s="121"/>
      <c r="H533" s="121"/>
      <c r="I533" s="121"/>
      <c r="J533" s="121"/>
      <c r="K533" s="121"/>
      <c r="L533" s="121"/>
      <c r="M533" s="121"/>
      <c r="N533" s="121"/>
      <c r="O533" s="121"/>
      <c r="P533" s="121"/>
      <c r="Q533" s="121"/>
      <c r="R533" s="121"/>
      <c r="S533" s="121"/>
      <c r="T533" s="121"/>
      <c r="U533" s="121"/>
      <c r="V533" s="121"/>
      <c r="W533" s="121"/>
      <c r="X533" s="121"/>
      <c r="Y533" s="121"/>
      <c r="Z533" s="121"/>
      <c r="AA533" s="121"/>
    </row>
    <row r="534" customFormat="false" ht="15.75" hidden="false" customHeight="false" outlineLevel="0" collapsed="false">
      <c r="A534" s="121" t="str">
        <f aca="false">IF(ISBLANK(B534),"",B534&amp;"|"&amp;C534)</f>
        <v/>
      </c>
      <c r="B534" s="121"/>
      <c r="C534" s="121"/>
      <c r="D534" s="121"/>
      <c r="E534" s="127"/>
      <c r="F534" s="121"/>
      <c r="G534" s="121"/>
      <c r="H534" s="121"/>
      <c r="I534" s="121"/>
      <c r="J534" s="121"/>
      <c r="K534" s="121"/>
      <c r="L534" s="121"/>
      <c r="M534" s="121"/>
      <c r="N534" s="121"/>
      <c r="O534" s="121"/>
      <c r="P534" s="121"/>
      <c r="Q534" s="121"/>
      <c r="R534" s="121"/>
      <c r="S534" s="121"/>
      <c r="T534" s="121"/>
      <c r="U534" s="121"/>
      <c r="V534" s="121"/>
      <c r="W534" s="121"/>
      <c r="X534" s="121"/>
      <c r="Y534" s="121"/>
      <c r="Z534" s="121"/>
      <c r="AA534" s="121"/>
    </row>
    <row r="535" customFormat="false" ht="15.75" hidden="false" customHeight="false" outlineLevel="0" collapsed="false">
      <c r="A535" s="121" t="str">
        <f aca="false">IF(ISBLANK(B535),"",B535&amp;"|"&amp;C535)</f>
        <v/>
      </c>
      <c r="B535" s="121"/>
      <c r="C535" s="121"/>
      <c r="D535" s="121"/>
      <c r="E535" s="127"/>
      <c r="F535" s="121"/>
      <c r="G535" s="121"/>
      <c r="H535" s="121"/>
      <c r="I535" s="121"/>
      <c r="J535" s="121"/>
      <c r="K535" s="121"/>
      <c r="L535" s="121"/>
      <c r="M535" s="121"/>
      <c r="N535" s="121"/>
      <c r="O535" s="121"/>
      <c r="P535" s="121"/>
      <c r="Q535" s="121"/>
      <c r="R535" s="121"/>
      <c r="S535" s="121"/>
      <c r="T535" s="121"/>
      <c r="U535" s="121"/>
      <c r="V535" s="121"/>
      <c r="W535" s="121"/>
      <c r="X535" s="121"/>
      <c r="Y535" s="121"/>
      <c r="Z535" s="121"/>
      <c r="AA535" s="121"/>
    </row>
    <row r="536" customFormat="false" ht="15.75" hidden="false" customHeight="false" outlineLevel="0" collapsed="false">
      <c r="A536" s="121" t="str">
        <f aca="false">IF(ISBLANK(B536),"",B536&amp;"|"&amp;C536)</f>
        <v/>
      </c>
      <c r="B536" s="121"/>
      <c r="C536" s="121"/>
      <c r="D536" s="121"/>
      <c r="E536" s="127"/>
      <c r="F536" s="121"/>
      <c r="G536" s="121"/>
      <c r="H536" s="121"/>
      <c r="I536" s="121"/>
      <c r="J536" s="121"/>
      <c r="K536" s="121"/>
      <c r="L536" s="121"/>
      <c r="M536" s="121"/>
      <c r="N536" s="121"/>
      <c r="O536" s="121"/>
      <c r="P536" s="121"/>
      <c r="Q536" s="121"/>
      <c r="R536" s="121"/>
      <c r="S536" s="121"/>
      <c r="T536" s="121"/>
      <c r="U536" s="121"/>
      <c r="V536" s="121"/>
      <c r="W536" s="121"/>
      <c r="X536" s="121"/>
      <c r="Y536" s="121"/>
      <c r="Z536" s="121"/>
      <c r="AA536" s="121"/>
    </row>
    <row r="537" customFormat="false" ht="15.75" hidden="false" customHeight="false" outlineLevel="0" collapsed="false">
      <c r="A537" s="121" t="str">
        <f aca="false">IF(ISBLANK(B537),"",B537&amp;"|"&amp;C537)</f>
        <v/>
      </c>
      <c r="B537" s="121"/>
      <c r="C537" s="121"/>
      <c r="D537" s="121"/>
      <c r="E537" s="127"/>
      <c r="F537" s="121"/>
      <c r="G537" s="121"/>
      <c r="H537" s="121"/>
      <c r="I537" s="121"/>
      <c r="J537" s="121"/>
      <c r="K537" s="121"/>
      <c r="L537" s="121"/>
      <c r="M537" s="121"/>
      <c r="N537" s="121"/>
      <c r="O537" s="121"/>
      <c r="P537" s="121"/>
      <c r="Q537" s="121"/>
      <c r="R537" s="121"/>
      <c r="S537" s="121"/>
      <c r="T537" s="121"/>
      <c r="U537" s="121"/>
      <c r="V537" s="121"/>
      <c r="W537" s="121"/>
      <c r="X537" s="121"/>
      <c r="Y537" s="121"/>
      <c r="Z537" s="121"/>
      <c r="AA537" s="121"/>
    </row>
    <row r="538" customFormat="false" ht="15.75" hidden="false" customHeight="false" outlineLevel="0" collapsed="false">
      <c r="A538" s="121" t="str">
        <f aca="false">IF(ISBLANK(B538),"",B538&amp;"|"&amp;C538)</f>
        <v/>
      </c>
      <c r="B538" s="121"/>
      <c r="C538" s="121"/>
      <c r="D538" s="121"/>
      <c r="E538" s="127"/>
      <c r="F538" s="121"/>
      <c r="G538" s="121"/>
      <c r="H538" s="121"/>
      <c r="I538" s="121"/>
      <c r="J538" s="121"/>
      <c r="K538" s="121"/>
      <c r="L538" s="121"/>
      <c r="M538" s="121"/>
      <c r="N538" s="121"/>
      <c r="O538" s="121"/>
      <c r="P538" s="121"/>
      <c r="Q538" s="121"/>
      <c r="R538" s="121"/>
      <c r="S538" s="121"/>
      <c r="T538" s="121"/>
      <c r="U538" s="121"/>
      <c r="V538" s="121"/>
      <c r="W538" s="121"/>
      <c r="X538" s="121"/>
      <c r="Y538" s="121"/>
      <c r="Z538" s="121"/>
      <c r="AA538" s="121"/>
    </row>
    <row r="539" customFormat="false" ht="15.75" hidden="false" customHeight="false" outlineLevel="0" collapsed="false">
      <c r="A539" s="121" t="str">
        <f aca="false">IF(ISBLANK(B539),"",B539&amp;"|"&amp;C539)</f>
        <v/>
      </c>
      <c r="B539" s="121"/>
      <c r="C539" s="121"/>
      <c r="D539" s="121"/>
      <c r="E539" s="127"/>
      <c r="F539" s="121"/>
      <c r="G539" s="121"/>
      <c r="H539" s="121"/>
      <c r="I539" s="121"/>
      <c r="J539" s="121"/>
      <c r="K539" s="121"/>
      <c r="L539" s="121"/>
      <c r="M539" s="121"/>
      <c r="N539" s="121"/>
      <c r="O539" s="121"/>
      <c r="P539" s="121"/>
      <c r="Q539" s="121"/>
      <c r="R539" s="121"/>
      <c r="S539" s="121"/>
      <c r="T539" s="121"/>
      <c r="U539" s="121"/>
      <c r="V539" s="121"/>
      <c r="W539" s="121"/>
      <c r="X539" s="121"/>
      <c r="Y539" s="121"/>
      <c r="Z539" s="121"/>
      <c r="AA539" s="121"/>
    </row>
    <row r="540" customFormat="false" ht="15.75" hidden="false" customHeight="false" outlineLevel="0" collapsed="false">
      <c r="A540" s="121" t="str">
        <f aca="false">IF(ISBLANK(B540),"",B540&amp;"|"&amp;C540)</f>
        <v/>
      </c>
      <c r="B540" s="121"/>
      <c r="C540" s="121"/>
      <c r="D540" s="121"/>
      <c r="E540" s="127"/>
      <c r="F540" s="121"/>
      <c r="G540" s="121"/>
      <c r="H540" s="121"/>
      <c r="I540" s="121"/>
      <c r="J540" s="121"/>
      <c r="K540" s="121"/>
      <c r="L540" s="121"/>
      <c r="M540" s="121"/>
      <c r="N540" s="121"/>
      <c r="O540" s="121"/>
      <c r="P540" s="121"/>
      <c r="Q540" s="121"/>
      <c r="R540" s="121"/>
      <c r="S540" s="121"/>
      <c r="T540" s="121"/>
      <c r="U540" s="121"/>
      <c r="V540" s="121"/>
      <c r="W540" s="121"/>
      <c r="X540" s="121"/>
      <c r="Y540" s="121"/>
      <c r="Z540" s="121"/>
      <c r="AA540" s="121"/>
    </row>
    <row r="541" customFormat="false" ht="15.75" hidden="false" customHeight="false" outlineLevel="0" collapsed="false">
      <c r="A541" s="121" t="str">
        <f aca="false">IF(ISBLANK(B541),"",B541&amp;"|"&amp;C541)</f>
        <v/>
      </c>
      <c r="B541" s="121"/>
      <c r="C541" s="121"/>
      <c r="D541" s="121"/>
      <c r="E541" s="127"/>
      <c r="F541" s="121"/>
      <c r="G541" s="121"/>
      <c r="H541" s="121"/>
      <c r="I541" s="121"/>
      <c r="J541" s="121"/>
      <c r="K541" s="121"/>
      <c r="L541" s="121"/>
      <c r="M541" s="121"/>
      <c r="N541" s="121"/>
      <c r="O541" s="121"/>
      <c r="P541" s="121"/>
      <c r="Q541" s="121"/>
      <c r="R541" s="121"/>
      <c r="S541" s="121"/>
      <c r="T541" s="121"/>
      <c r="U541" s="121"/>
      <c r="V541" s="121"/>
      <c r="W541" s="121"/>
      <c r="X541" s="121"/>
      <c r="Y541" s="121"/>
      <c r="Z541" s="121"/>
      <c r="AA541" s="121"/>
    </row>
    <row r="542" customFormat="false" ht="15.75" hidden="false" customHeight="false" outlineLevel="0" collapsed="false">
      <c r="A542" s="121" t="str">
        <f aca="false">IF(ISBLANK(B542),"",B542&amp;"|"&amp;C542)</f>
        <v/>
      </c>
      <c r="B542" s="121"/>
      <c r="C542" s="121"/>
      <c r="D542" s="121"/>
      <c r="E542" s="127"/>
      <c r="F542" s="121"/>
      <c r="G542" s="121"/>
      <c r="H542" s="121"/>
      <c r="I542" s="121"/>
      <c r="J542" s="121"/>
      <c r="K542" s="121"/>
      <c r="L542" s="121"/>
      <c r="M542" s="121"/>
      <c r="N542" s="121"/>
      <c r="O542" s="121"/>
      <c r="P542" s="121"/>
      <c r="Q542" s="121"/>
      <c r="R542" s="121"/>
      <c r="S542" s="121"/>
      <c r="T542" s="121"/>
      <c r="U542" s="121"/>
      <c r="V542" s="121"/>
      <c r="W542" s="121"/>
      <c r="X542" s="121"/>
      <c r="Y542" s="121"/>
      <c r="Z542" s="121"/>
      <c r="AA542" s="121"/>
    </row>
    <row r="543" customFormat="false" ht="15.75" hidden="false" customHeight="false" outlineLevel="0" collapsed="false">
      <c r="A543" s="121" t="str">
        <f aca="false">IF(ISBLANK(B543),"",B543&amp;"|"&amp;C543)</f>
        <v/>
      </c>
      <c r="B543" s="121"/>
      <c r="C543" s="121"/>
      <c r="D543" s="121"/>
      <c r="E543" s="127"/>
      <c r="F543" s="121"/>
      <c r="G543" s="121"/>
      <c r="H543" s="121"/>
      <c r="I543" s="121"/>
      <c r="J543" s="121"/>
      <c r="K543" s="121"/>
      <c r="L543" s="121"/>
      <c r="M543" s="121"/>
      <c r="N543" s="121"/>
      <c r="O543" s="121"/>
      <c r="P543" s="121"/>
      <c r="Q543" s="121"/>
      <c r="R543" s="121"/>
      <c r="S543" s="121"/>
      <c r="T543" s="121"/>
      <c r="U543" s="121"/>
      <c r="V543" s="121"/>
      <c r="W543" s="121"/>
      <c r="X543" s="121"/>
      <c r="Y543" s="121"/>
      <c r="Z543" s="121"/>
      <c r="AA543" s="121"/>
    </row>
    <row r="544" customFormat="false" ht="15.75" hidden="false" customHeight="false" outlineLevel="0" collapsed="false">
      <c r="A544" s="121" t="str">
        <f aca="false">IF(ISBLANK(B544),"",B544&amp;"|"&amp;C544)</f>
        <v/>
      </c>
      <c r="B544" s="121"/>
      <c r="C544" s="121"/>
      <c r="D544" s="121"/>
      <c r="E544" s="127"/>
      <c r="F544" s="121"/>
      <c r="G544" s="121"/>
      <c r="H544" s="121"/>
      <c r="I544" s="121"/>
      <c r="J544" s="121"/>
      <c r="K544" s="121"/>
      <c r="L544" s="121"/>
      <c r="M544" s="121"/>
      <c r="N544" s="121"/>
      <c r="O544" s="121"/>
      <c r="P544" s="121"/>
      <c r="Q544" s="121"/>
      <c r="R544" s="121"/>
      <c r="S544" s="121"/>
      <c r="T544" s="121"/>
      <c r="U544" s="121"/>
      <c r="V544" s="121"/>
      <c r="W544" s="121"/>
      <c r="X544" s="121"/>
      <c r="Y544" s="121"/>
      <c r="Z544" s="121"/>
      <c r="AA544" s="121"/>
    </row>
    <row r="545" customFormat="false" ht="15.75" hidden="false" customHeight="false" outlineLevel="0" collapsed="false">
      <c r="A545" s="121" t="str">
        <f aca="false">IF(ISBLANK(B545),"",B545&amp;"|"&amp;C545)</f>
        <v/>
      </c>
      <c r="B545" s="121"/>
      <c r="C545" s="121"/>
      <c r="D545" s="121"/>
      <c r="E545" s="127"/>
      <c r="F545" s="121"/>
      <c r="G545" s="121"/>
      <c r="H545" s="121"/>
      <c r="I545" s="121"/>
      <c r="J545" s="121"/>
      <c r="K545" s="121"/>
      <c r="L545" s="121"/>
      <c r="M545" s="121"/>
      <c r="N545" s="121"/>
      <c r="O545" s="121"/>
      <c r="P545" s="121"/>
      <c r="Q545" s="121"/>
      <c r="R545" s="121"/>
      <c r="S545" s="121"/>
      <c r="T545" s="121"/>
      <c r="U545" s="121"/>
      <c r="V545" s="121"/>
      <c r="W545" s="121"/>
      <c r="X545" s="121"/>
      <c r="Y545" s="121"/>
      <c r="Z545" s="121"/>
      <c r="AA545" s="121"/>
    </row>
    <row r="546" customFormat="false" ht="15.75" hidden="false" customHeight="false" outlineLevel="0" collapsed="false">
      <c r="A546" s="121" t="str">
        <f aca="false">IF(ISBLANK(B546),"",B546&amp;"|"&amp;C546)</f>
        <v/>
      </c>
      <c r="B546" s="121"/>
      <c r="C546" s="121"/>
      <c r="D546" s="121"/>
      <c r="E546" s="127"/>
      <c r="F546" s="121"/>
      <c r="G546" s="121"/>
      <c r="H546" s="121"/>
      <c r="I546" s="121"/>
      <c r="J546" s="121"/>
      <c r="K546" s="121"/>
      <c r="L546" s="121"/>
      <c r="M546" s="121"/>
      <c r="N546" s="121"/>
      <c r="O546" s="121"/>
      <c r="P546" s="121"/>
      <c r="Q546" s="121"/>
      <c r="R546" s="121"/>
      <c r="S546" s="121"/>
      <c r="T546" s="121"/>
      <c r="U546" s="121"/>
      <c r="V546" s="121"/>
      <c r="W546" s="121"/>
      <c r="X546" s="121"/>
      <c r="Y546" s="121"/>
      <c r="Z546" s="121"/>
      <c r="AA546" s="121"/>
    </row>
    <row r="547" customFormat="false" ht="15.75" hidden="false" customHeight="false" outlineLevel="0" collapsed="false">
      <c r="A547" s="121" t="str">
        <f aca="false">IF(ISBLANK(B547),"",B547&amp;"|"&amp;C547)</f>
        <v/>
      </c>
      <c r="B547" s="121"/>
      <c r="C547" s="121"/>
      <c r="D547" s="121"/>
      <c r="E547" s="127"/>
      <c r="F547" s="121"/>
      <c r="G547" s="121"/>
      <c r="H547" s="121"/>
      <c r="I547" s="121"/>
      <c r="J547" s="121"/>
      <c r="K547" s="121"/>
      <c r="L547" s="121"/>
      <c r="M547" s="121"/>
      <c r="N547" s="121"/>
      <c r="O547" s="121"/>
      <c r="P547" s="121"/>
      <c r="Q547" s="121"/>
      <c r="R547" s="121"/>
      <c r="S547" s="121"/>
      <c r="T547" s="121"/>
      <c r="U547" s="121"/>
      <c r="V547" s="121"/>
      <c r="W547" s="121"/>
      <c r="X547" s="121"/>
      <c r="Y547" s="121"/>
      <c r="Z547" s="121"/>
      <c r="AA547" s="121"/>
    </row>
    <row r="548" customFormat="false" ht="15.75" hidden="false" customHeight="false" outlineLevel="0" collapsed="false">
      <c r="A548" s="121" t="str">
        <f aca="false">IF(ISBLANK(B548),"",B548&amp;"|"&amp;C548)</f>
        <v/>
      </c>
      <c r="B548" s="121"/>
      <c r="C548" s="121"/>
      <c r="D548" s="121"/>
      <c r="E548" s="127"/>
      <c r="F548" s="121"/>
      <c r="G548" s="121"/>
      <c r="H548" s="121"/>
      <c r="I548" s="121"/>
      <c r="J548" s="121"/>
      <c r="K548" s="121"/>
      <c r="L548" s="121"/>
      <c r="M548" s="121"/>
      <c r="N548" s="121"/>
      <c r="O548" s="121"/>
      <c r="P548" s="121"/>
      <c r="Q548" s="121"/>
      <c r="R548" s="121"/>
      <c r="S548" s="121"/>
      <c r="T548" s="121"/>
      <c r="U548" s="121"/>
      <c r="V548" s="121"/>
      <c r="W548" s="121"/>
      <c r="X548" s="121"/>
      <c r="Y548" s="121"/>
      <c r="Z548" s="121"/>
      <c r="AA548" s="121"/>
    </row>
    <row r="549" customFormat="false" ht="15.75" hidden="false" customHeight="false" outlineLevel="0" collapsed="false">
      <c r="A549" s="121" t="str">
        <f aca="false">IF(ISBLANK(B549),"",B549&amp;"|"&amp;C549)</f>
        <v/>
      </c>
      <c r="B549" s="121"/>
      <c r="C549" s="121"/>
      <c r="D549" s="121"/>
      <c r="E549" s="127"/>
      <c r="F549" s="121"/>
      <c r="G549" s="121"/>
      <c r="H549" s="121"/>
      <c r="I549" s="121"/>
      <c r="J549" s="121"/>
      <c r="K549" s="121"/>
      <c r="L549" s="121"/>
      <c r="M549" s="121"/>
      <c r="N549" s="121"/>
      <c r="O549" s="121"/>
      <c r="P549" s="121"/>
      <c r="Q549" s="121"/>
      <c r="R549" s="121"/>
      <c r="S549" s="121"/>
      <c r="T549" s="121"/>
      <c r="U549" s="121"/>
      <c r="V549" s="121"/>
      <c r="W549" s="121"/>
      <c r="X549" s="121"/>
      <c r="Y549" s="121"/>
      <c r="Z549" s="121"/>
      <c r="AA549" s="121"/>
    </row>
    <row r="550" customFormat="false" ht="15.75" hidden="false" customHeight="false" outlineLevel="0" collapsed="false">
      <c r="A550" s="121" t="str">
        <f aca="false">IF(ISBLANK(B550),"",B550&amp;"|"&amp;C550)</f>
        <v/>
      </c>
      <c r="B550" s="121"/>
      <c r="C550" s="121"/>
      <c r="D550" s="121"/>
      <c r="E550" s="127"/>
      <c r="F550" s="121"/>
      <c r="G550" s="121"/>
      <c r="H550" s="121"/>
      <c r="I550" s="121"/>
      <c r="J550" s="121"/>
      <c r="K550" s="121"/>
      <c r="L550" s="121"/>
      <c r="M550" s="121"/>
      <c r="N550" s="121"/>
      <c r="O550" s="121"/>
      <c r="P550" s="121"/>
      <c r="Q550" s="121"/>
      <c r="R550" s="121"/>
      <c r="S550" s="121"/>
      <c r="T550" s="121"/>
      <c r="U550" s="121"/>
      <c r="V550" s="121"/>
      <c r="W550" s="121"/>
      <c r="X550" s="121"/>
      <c r="Y550" s="121"/>
      <c r="Z550" s="121"/>
      <c r="AA550" s="121"/>
    </row>
    <row r="551" customFormat="false" ht="15.75" hidden="false" customHeight="false" outlineLevel="0" collapsed="false">
      <c r="A551" s="121" t="str">
        <f aca="false">IF(ISBLANK(B551),"",B551&amp;"|"&amp;C551)</f>
        <v/>
      </c>
      <c r="B551" s="121"/>
      <c r="C551" s="121"/>
      <c r="D551" s="121"/>
      <c r="E551" s="127"/>
      <c r="F551" s="121"/>
      <c r="G551" s="121"/>
      <c r="H551" s="121"/>
      <c r="I551" s="121"/>
      <c r="J551" s="121"/>
      <c r="K551" s="121"/>
      <c r="L551" s="121"/>
      <c r="M551" s="121"/>
      <c r="N551" s="121"/>
      <c r="O551" s="121"/>
      <c r="P551" s="121"/>
      <c r="Q551" s="121"/>
      <c r="R551" s="121"/>
      <c r="S551" s="121"/>
      <c r="T551" s="121"/>
      <c r="U551" s="121"/>
      <c r="V551" s="121"/>
      <c r="W551" s="121"/>
      <c r="X551" s="121"/>
      <c r="Y551" s="121"/>
      <c r="Z551" s="121"/>
      <c r="AA551" s="121"/>
    </row>
    <row r="552" customFormat="false" ht="15.75" hidden="false" customHeight="false" outlineLevel="0" collapsed="false">
      <c r="A552" s="121" t="str">
        <f aca="false">IF(ISBLANK(B552),"",B552&amp;"|"&amp;C552)</f>
        <v/>
      </c>
      <c r="B552" s="121"/>
      <c r="C552" s="121"/>
      <c r="D552" s="121"/>
      <c r="E552" s="127"/>
      <c r="F552" s="121"/>
      <c r="G552" s="121"/>
      <c r="H552" s="121"/>
      <c r="I552" s="121"/>
      <c r="J552" s="121"/>
      <c r="K552" s="121"/>
      <c r="L552" s="121"/>
      <c r="M552" s="121"/>
      <c r="N552" s="121"/>
      <c r="O552" s="121"/>
      <c r="P552" s="121"/>
      <c r="Q552" s="121"/>
      <c r="R552" s="121"/>
      <c r="S552" s="121"/>
      <c r="T552" s="121"/>
      <c r="U552" s="121"/>
      <c r="V552" s="121"/>
      <c r="W552" s="121"/>
      <c r="X552" s="121"/>
      <c r="Y552" s="121"/>
      <c r="Z552" s="121"/>
      <c r="AA552" s="121"/>
    </row>
    <row r="553" customFormat="false" ht="15.75" hidden="false" customHeight="false" outlineLevel="0" collapsed="false">
      <c r="A553" s="121" t="str">
        <f aca="false">IF(ISBLANK(B553),"",B553&amp;"|"&amp;C553)</f>
        <v/>
      </c>
      <c r="B553" s="121"/>
      <c r="C553" s="121"/>
      <c r="D553" s="121"/>
      <c r="E553" s="127"/>
      <c r="F553" s="121"/>
      <c r="G553" s="121"/>
      <c r="H553" s="121"/>
      <c r="I553" s="121"/>
      <c r="J553" s="121"/>
      <c r="K553" s="121"/>
      <c r="L553" s="121"/>
      <c r="M553" s="121"/>
      <c r="N553" s="121"/>
      <c r="O553" s="121"/>
      <c r="P553" s="121"/>
      <c r="Q553" s="121"/>
      <c r="R553" s="121"/>
      <c r="S553" s="121"/>
      <c r="T553" s="121"/>
      <c r="U553" s="121"/>
      <c r="V553" s="121"/>
      <c r="W553" s="121"/>
      <c r="X553" s="121"/>
      <c r="Y553" s="121"/>
      <c r="Z553" s="121"/>
      <c r="AA553" s="121"/>
    </row>
    <row r="554" customFormat="false" ht="15.75" hidden="false" customHeight="false" outlineLevel="0" collapsed="false">
      <c r="A554" s="121" t="str">
        <f aca="false">IF(ISBLANK(B554),"",B554&amp;"|"&amp;C554)</f>
        <v/>
      </c>
      <c r="B554" s="121"/>
      <c r="C554" s="121"/>
      <c r="D554" s="121"/>
      <c r="E554" s="127"/>
      <c r="F554" s="121"/>
      <c r="G554" s="121"/>
      <c r="H554" s="121"/>
      <c r="I554" s="121"/>
      <c r="J554" s="121"/>
      <c r="K554" s="121"/>
      <c r="L554" s="121"/>
      <c r="M554" s="121"/>
      <c r="N554" s="121"/>
      <c r="O554" s="121"/>
      <c r="P554" s="121"/>
      <c r="Q554" s="121"/>
      <c r="R554" s="121"/>
      <c r="S554" s="121"/>
      <c r="T554" s="121"/>
      <c r="U554" s="121"/>
      <c r="V554" s="121"/>
      <c r="W554" s="121"/>
      <c r="X554" s="121"/>
      <c r="Y554" s="121"/>
      <c r="Z554" s="121"/>
      <c r="AA554" s="121"/>
    </row>
    <row r="555" customFormat="false" ht="15.75" hidden="false" customHeight="false" outlineLevel="0" collapsed="false">
      <c r="A555" s="121" t="str">
        <f aca="false">IF(ISBLANK(B555),"",B555&amp;"|"&amp;C555)</f>
        <v/>
      </c>
      <c r="B555" s="121"/>
      <c r="C555" s="121"/>
      <c r="D555" s="121"/>
      <c r="E555" s="127"/>
      <c r="F555" s="121"/>
      <c r="G555" s="121"/>
      <c r="H555" s="121"/>
      <c r="I555" s="121"/>
      <c r="J555" s="121"/>
      <c r="K555" s="121"/>
      <c r="L555" s="121"/>
      <c r="M555" s="121"/>
      <c r="N555" s="121"/>
      <c r="O555" s="121"/>
      <c r="P555" s="121"/>
      <c r="Q555" s="121"/>
      <c r="R555" s="121"/>
      <c r="S555" s="121"/>
      <c r="T555" s="121"/>
      <c r="U555" s="121"/>
      <c r="V555" s="121"/>
      <c r="W555" s="121"/>
      <c r="X555" s="121"/>
      <c r="Y555" s="121"/>
      <c r="Z555" s="121"/>
      <c r="AA555" s="121"/>
    </row>
    <row r="556" customFormat="false" ht="15.75" hidden="false" customHeight="false" outlineLevel="0" collapsed="false">
      <c r="A556" s="121" t="str">
        <f aca="false">IF(ISBLANK(B556),"",B556&amp;"|"&amp;C556)</f>
        <v/>
      </c>
      <c r="B556" s="121"/>
      <c r="C556" s="121"/>
      <c r="D556" s="121"/>
      <c r="E556" s="127"/>
      <c r="F556" s="121"/>
      <c r="G556" s="121"/>
      <c r="H556" s="121"/>
      <c r="I556" s="121"/>
      <c r="J556" s="121"/>
      <c r="K556" s="121"/>
      <c r="L556" s="121"/>
      <c r="M556" s="121"/>
      <c r="N556" s="121"/>
      <c r="O556" s="121"/>
      <c r="P556" s="121"/>
      <c r="Q556" s="121"/>
      <c r="R556" s="121"/>
      <c r="S556" s="121"/>
      <c r="T556" s="121"/>
      <c r="U556" s="121"/>
      <c r="V556" s="121"/>
      <c r="W556" s="121"/>
      <c r="X556" s="121"/>
      <c r="Y556" s="121"/>
      <c r="Z556" s="121"/>
      <c r="AA556" s="121"/>
    </row>
    <row r="557" customFormat="false" ht="15.75" hidden="false" customHeight="false" outlineLevel="0" collapsed="false">
      <c r="A557" s="121" t="str">
        <f aca="false">IF(ISBLANK(B557),"",B557&amp;"|"&amp;C557)</f>
        <v/>
      </c>
      <c r="B557" s="121"/>
      <c r="C557" s="121"/>
      <c r="D557" s="121"/>
      <c r="E557" s="127"/>
      <c r="F557" s="121"/>
      <c r="G557" s="121"/>
      <c r="H557" s="121"/>
      <c r="I557" s="121"/>
      <c r="J557" s="121"/>
      <c r="K557" s="121"/>
      <c r="L557" s="121"/>
      <c r="M557" s="121"/>
      <c r="N557" s="121"/>
      <c r="O557" s="121"/>
      <c r="P557" s="121"/>
      <c r="Q557" s="121"/>
      <c r="R557" s="121"/>
      <c r="S557" s="121"/>
      <c r="T557" s="121"/>
      <c r="U557" s="121"/>
      <c r="V557" s="121"/>
      <c r="W557" s="121"/>
      <c r="X557" s="121"/>
      <c r="Y557" s="121"/>
      <c r="Z557" s="121"/>
      <c r="AA557" s="121"/>
    </row>
    <row r="558" customFormat="false" ht="15.75" hidden="false" customHeight="false" outlineLevel="0" collapsed="false">
      <c r="A558" s="121" t="str">
        <f aca="false">IF(ISBLANK(B558),"",B558&amp;"|"&amp;C558)</f>
        <v/>
      </c>
      <c r="B558" s="121"/>
      <c r="C558" s="121"/>
      <c r="D558" s="121"/>
      <c r="E558" s="127"/>
      <c r="F558" s="121"/>
      <c r="G558" s="121"/>
      <c r="H558" s="121"/>
      <c r="I558" s="121"/>
      <c r="J558" s="121"/>
      <c r="K558" s="121"/>
      <c r="L558" s="121"/>
      <c r="M558" s="121"/>
      <c r="N558" s="121"/>
      <c r="O558" s="121"/>
      <c r="P558" s="121"/>
      <c r="Q558" s="121"/>
      <c r="R558" s="121"/>
      <c r="S558" s="121"/>
      <c r="T558" s="121"/>
      <c r="U558" s="121"/>
      <c r="V558" s="121"/>
      <c r="W558" s="121"/>
      <c r="X558" s="121"/>
      <c r="Y558" s="121"/>
      <c r="Z558" s="121"/>
      <c r="AA558" s="121"/>
    </row>
    <row r="559" customFormat="false" ht="15.75" hidden="false" customHeight="false" outlineLevel="0" collapsed="false">
      <c r="A559" s="121" t="str">
        <f aca="false">IF(ISBLANK(B559),"",B559&amp;"|"&amp;C559)</f>
        <v/>
      </c>
      <c r="B559" s="121"/>
      <c r="C559" s="121"/>
      <c r="D559" s="121"/>
      <c r="E559" s="127"/>
      <c r="F559" s="121"/>
      <c r="G559" s="121"/>
      <c r="H559" s="121"/>
      <c r="I559" s="121"/>
      <c r="J559" s="121"/>
      <c r="K559" s="121"/>
      <c r="L559" s="121"/>
      <c r="M559" s="121"/>
      <c r="N559" s="121"/>
      <c r="O559" s="121"/>
      <c r="P559" s="121"/>
      <c r="Q559" s="121"/>
      <c r="R559" s="121"/>
      <c r="S559" s="121"/>
      <c r="T559" s="121"/>
      <c r="U559" s="121"/>
      <c r="V559" s="121"/>
      <c r="W559" s="121"/>
      <c r="X559" s="121"/>
      <c r="Y559" s="121"/>
      <c r="Z559" s="121"/>
      <c r="AA559" s="121"/>
    </row>
    <row r="560" customFormat="false" ht="15.75" hidden="false" customHeight="false" outlineLevel="0" collapsed="false">
      <c r="A560" s="121" t="str">
        <f aca="false">IF(ISBLANK(B560),"",B560&amp;"|"&amp;C560)</f>
        <v/>
      </c>
      <c r="B560" s="121"/>
      <c r="C560" s="121"/>
      <c r="D560" s="121"/>
      <c r="E560" s="127"/>
      <c r="F560" s="121"/>
      <c r="G560" s="121"/>
      <c r="H560" s="121"/>
      <c r="I560" s="121"/>
      <c r="J560" s="121"/>
      <c r="K560" s="121"/>
      <c r="L560" s="121"/>
      <c r="M560" s="121"/>
      <c r="N560" s="121"/>
      <c r="O560" s="121"/>
      <c r="P560" s="121"/>
      <c r="Q560" s="121"/>
      <c r="R560" s="121"/>
      <c r="S560" s="121"/>
      <c r="T560" s="121"/>
      <c r="U560" s="121"/>
      <c r="V560" s="121"/>
      <c r="W560" s="121"/>
      <c r="X560" s="121"/>
      <c r="Y560" s="121"/>
      <c r="Z560" s="121"/>
      <c r="AA560" s="121"/>
    </row>
    <row r="561" customFormat="false" ht="15.75" hidden="false" customHeight="false" outlineLevel="0" collapsed="false">
      <c r="A561" s="121" t="str">
        <f aca="false">IF(ISBLANK(B561),"",B561&amp;"|"&amp;C561)</f>
        <v/>
      </c>
      <c r="B561" s="121"/>
      <c r="C561" s="121"/>
      <c r="D561" s="121"/>
      <c r="E561" s="127"/>
      <c r="F561" s="121"/>
      <c r="G561" s="121"/>
      <c r="H561" s="121"/>
      <c r="I561" s="121"/>
      <c r="J561" s="121"/>
      <c r="K561" s="121"/>
      <c r="L561" s="121"/>
      <c r="M561" s="121"/>
      <c r="N561" s="121"/>
      <c r="O561" s="121"/>
      <c r="P561" s="121"/>
      <c r="Q561" s="121"/>
      <c r="R561" s="121"/>
      <c r="S561" s="121"/>
      <c r="T561" s="121"/>
      <c r="U561" s="121"/>
      <c r="V561" s="121"/>
      <c r="W561" s="121"/>
      <c r="X561" s="121"/>
      <c r="Y561" s="121"/>
      <c r="Z561" s="121"/>
      <c r="AA561" s="121"/>
    </row>
    <row r="562" customFormat="false" ht="15.75" hidden="false" customHeight="false" outlineLevel="0" collapsed="false">
      <c r="A562" s="121" t="str">
        <f aca="false">IF(ISBLANK(B562),"",B562&amp;"|"&amp;C562)</f>
        <v/>
      </c>
      <c r="B562" s="121"/>
      <c r="C562" s="121"/>
      <c r="D562" s="121"/>
      <c r="E562" s="127"/>
      <c r="F562" s="121"/>
      <c r="G562" s="121"/>
      <c r="H562" s="121"/>
      <c r="I562" s="121"/>
      <c r="J562" s="121"/>
      <c r="K562" s="121"/>
      <c r="L562" s="121"/>
      <c r="M562" s="121"/>
      <c r="N562" s="121"/>
      <c r="O562" s="121"/>
      <c r="P562" s="121"/>
      <c r="Q562" s="121"/>
      <c r="R562" s="121"/>
      <c r="S562" s="121"/>
      <c r="T562" s="121"/>
      <c r="U562" s="121"/>
      <c r="V562" s="121"/>
      <c r="W562" s="121"/>
      <c r="X562" s="121"/>
      <c r="Y562" s="121"/>
      <c r="Z562" s="121"/>
      <c r="AA562" s="121"/>
    </row>
    <row r="563" customFormat="false" ht="15.75" hidden="false" customHeight="false" outlineLevel="0" collapsed="false">
      <c r="A563" s="121" t="str">
        <f aca="false">IF(ISBLANK(B563),"",B563&amp;"|"&amp;C563)</f>
        <v/>
      </c>
      <c r="B563" s="121"/>
      <c r="C563" s="121"/>
      <c r="D563" s="121"/>
      <c r="E563" s="127"/>
      <c r="F563" s="121"/>
      <c r="G563" s="121"/>
      <c r="H563" s="121"/>
      <c r="I563" s="121"/>
      <c r="J563" s="121"/>
      <c r="K563" s="121"/>
      <c r="L563" s="121"/>
      <c r="M563" s="121"/>
      <c r="N563" s="121"/>
      <c r="O563" s="121"/>
      <c r="P563" s="121"/>
      <c r="Q563" s="121"/>
      <c r="R563" s="121"/>
      <c r="S563" s="121"/>
      <c r="T563" s="121"/>
      <c r="U563" s="121"/>
      <c r="V563" s="121"/>
      <c r="W563" s="121"/>
      <c r="X563" s="121"/>
      <c r="Y563" s="121"/>
      <c r="Z563" s="121"/>
      <c r="AA563" s="121"/>
    </row>
    <row r="564" customFormat="false" ht="15.75" hidden="false" customHeight="false" outlineLevel="0" collapsed="false">
      <c r="A564" s="121" t="str">
        <f aca="false">IF(ISBLANK(B564),"",B564&amp;"|"&amp;C564)</f>
        <v/>
      </c>
      <c r="B564" s="121"/>
      <c r="C564" s="121"/>
      <c r="D564" s="121"/>
      <c r="E564" s="127"/>
      <c r="F564" s="121"/>
      <c r="G564" s="121"/>
      <c r="H564" s="121"/>
      <c r="I564" s="121"/>
      <c r="J564" s="121"/>
      <c r="K564" s="121"/>
      <c r="L564" s="121"/>
      <c r="M564" s="121"/>
      <c r="N564" s="121"/>
      <c r="O564" s="121"/>
      <c r="P564" s="121"/>
      <c r="Q564" s="121"/>
      <c r="R564" s="121"/>
      <c r="S564" s="121"/>
      <c r="T564" s="121"/>
      <c r="U564" s="121"/>
      <c r="V564" s="121"/>
      <c r="W564" s="121"/>
      <c r="X564" s="121"/>
      <c r="Y564" s="121"/>
      <c r="Z564" s="121"/>
      <c r="AA564" s="121"/>
    </row>
    <row r="565" customFormat="false" ht="15.75" hidden="false" customHeight="false" outlineLevel="0" collapsed="false">
      <c r="A565" s="121" t="str">
        <f aca="false">IF(ISBLANK(B565),"",B565&amp;"|"&amp;C565)</f>
        <v/>
      </c>
      <c r="B565" s="121"/>
      <c r="C565" s="121"/>
      <c r="D565" s="121"/>
      <c r="E565" s="127"/>
      <c r="F565" s="121"/>
      <c r="G565" s="121"/>
      <c r="H565" s="121"/>
      <c r="I565" s="121"/>
      <c r="J565" s="121"/>
      <c r="K565" s="121"/>
      <c r="L565" s="121"/>
      <c r="M565" s="121"/>
      <c r="N565" s="121"/>
      <c r="O565" s="121"/>
      <c r="P565" s="121"/>
      <c r="Q565" s="121"/>
      <c r="R565" s="121"/>
      <c r="S565" s="121"/>
      <c r="T565" s="121"/>
      <c r="U565" s="121"/>
      <c r="V565" s="121"/>
      <c r="W565" s="121"/>
      <c r="X565" s="121"/>
      <c r="Y565" s="121"/>
      <c r="Z565" s="121"/>
      <c r="AA565" s="121"/>
    </row>
    <row r="566" customFormat="false" ht="15.75" hidden="false" customHeight="false" outlineLevel="0" collapsed="false">
      <c r="A566" s="121" t="str">
        <f aca="false">IF(ISBLANK(B566),"",B566&amp;"|"&amp;C566)</f>
        <v/>
      </c>
      <c r="B566" s="121"/>
      <c r="C566" s="121"/>
      <c r="D566" s="121"/>
      <c r="E566" s="127"/>
      <c r="F566" s="121"/>
      <c r="G566" s="121"/>
      <c r="H566" s="121"/>
      <c r="I566" s="121"/>
      <c r="J566" s="121"/>
      <c r="K566" s="121"/>
      <c r="L566" s="121"/>
      <c r="M566" s="121"/>
      <c r="N566" s="121"/>
      <c r="O566" s="121"/>
      <c r="P566" s="121"/>
      <c r="Q566" s="121"/>
      <c r="R566" s="121"/>
      <c r="S566" s="121"/>
      <c r="T566" s="121"/>
      <c r="U566" s="121"/>
      <c r="V566" s="121"/>
      <c r="W566" s="121"/>
      <c r="X566" s="121"/>
      <c r="Y566" s="121"/>
      <c r="Z566" s="121"/>
      <c r="AA566" s="121"/>
    </row>
    <row r="567" customFormat="false" ht="15.75" hidden="false" customHeight="false" outlineLevel="0" collapsed="false">
      <c r="A567" s="121" t="str">
        <f aca="false">IF(ISBLANK(B567),"",B567&amp;"|"&amp;C567)</f>
        <v/>
      </c>
      <c r="B567" s="121"/>
      <c r="C567" s="121"/>
      <c r="D567" s="121"/>
      <c r="E567" s="127"/>
      <c r="F567" s="121"/>
      <c r="G567" s="121"/>
      <c r="H567" s="121"/>
      <c r="I567" s="121"/>
      <c r="J567" s="121"/>
      <c r="K567" s="121"/>
      <c r="L567" s="121"/>
      <c r="M567" s="121"/>
      <c r="N567" s="121"/>
      <c r="O567" s="121"/>
      <c r="P567" s="121"/>
      <c r="Q567" s="121"/>
      <c r="R567" s="121"/>
      <c r="S567" s="121"/>
      <c r="T567" s="121"/>
      <c r="U567" s="121"/>
      <c r="V567" s="121"/>
      <c r="W567" s="121"/>
      <c r="X567" s="121"/>
      <c r="Y567" s="121"/>
      <c r="Z567" s="121"/>
      <c r="AA567" s="121"/>
    </row>
    <row r="568" customFormat="false" ht="15.75" hidden="false" customHeight="false" outlineLevel="0" collapsed="false">
      <c r="A568" s="121" t="str">
        <f aca="false">IF(ISBLANK(B568),"",B568&amp;"|"&amp;C568)</f>
        <v/>
      </c>
      <c r="B568" s="121"/>
      <c r="C568" s="121"/>
      <c r="D568" s="121"/>
      <c r="E568" s="127"/>
      <c r="F568" s="121"/>
      <c r="G568" s="121"/>
      <c r="H568" s="121"/>
      <c r="I568" s="121"/>
      <c r="J568" s="121"/>
      <c r="K568" s="121"/>
      <c r="L568" s="121"/>
      <c r="M568" s="121"/>
      <c r="N568" s="121"/>
      <c r="O568" s="121"/>
      <c r="P568" s="121"/>
      <c r="Q568" s="121"/>
      <c r="R568" s="121"/>
      <c r="S568" s="121"/>
      <c r="T568" s="121"/>
      <c r="U568" s="121"/>
      <c r="V568" s="121"/>
      <c r="W568" s="121"/>
      <c r="X568" s="121"/>
      <c r="Y568" s="121"/>
      <c r="Z568" s="121"/>
      <c r="AA568" s="121"/>
    </row>
    <row r="569" customFormat="false" ht="15.75" hidden="false" customHeight="false" outlineLevel="0" collapsed="false">
      <c r="A569" s="121" t="str">
        <f aca="false">IF(ISBLANK(B569),"",B569&amp;"|"&amp;C569)</f>
        <v/>
      </c>
      <c r="B569" s="121"/>
      <c r="C569" s="121"/>
      <c r="D569" s="121"/>
      <c r="E569" s="127"/>
      <c r="F569" s="121"/>
      <c r="G569" s="121"/>
      <c r="H569" s="121"/>
      <c r="I569" s="121"/>
      <c r="J569" s="121"/>
      <c r="K569" s="121"/>
      <c r="L569" s="121"/>
      <c r="M569" s="121"/>
      <c r="N569" s="121"/>
      <c r="O569" s="121"/>
      <c r="P569" s="121"/>
      <c r="Q569" s="121"/>
      <c r="R569" s="121"/>
      <c r="S569" s="121"/>
      <c r="T569" s="121"/>
      <c r="U569" s="121"/>
      <c r="V569" s="121"/>
      <c r="W569" s="121"/>
      <c r="X569" s="121"/>
      <c r="Y569" s="121"/>
      <c r="Z569" s="121"/>
      <c r="AA569" s="121"/>
    </row>
    <row r="570" customFormat="false" ht="15.75" hidden="false" customHeight="false" outlineLevel="0" collapsed="false">
      <c r="A570" s="121" t="str">
        <f aca="false">IF(ISBLANK(B570),"",B570&amp;"|"&amp;C570)</f>
        <v/>
      </c>
      <c r="B570" s="121"/>
      <c r="C570" s="121"/>
      <c r="D570" s="121"/>
      <c r="E570" s="127"/>
      <c r="F570" s="121"/>
      <c r="G570" s="121"/>
      <c r="H570" s="121"/>
      <c r="I570" s="121"/>
      <c r="J570" s="121"/>
      <c r="K570" s="121"/>
      <c r="L570" s="121"/>
      <c r="M570" s="121"/>
      <c r="N570" s="121"/>
      <c r="O570" s="121"/>
      <c r="P570" s="121"/>
      <c r="Q570" s="121"/>
      <c r="R570" s="121"/>
      <c r="S570" s="121"/>
      <c r="T570" s="121"/>
      <c r="U570" s="121"/>
      <c r="V570" s="121"/>
      <c r="W570" s="121"/>
      <c r="X570" s="121"/>
      <c r="Y570" s="121"/>
      <c r="Z570" s="121"/>
      <c r="AA570" s="121"/>
    </row>
    <row r="571" customFormat="false" ht="15.75" hidden="false" customHeight="false" outlineLevel="0" collapsed="false">
      <c r="A571" s="121" t="str">
        <f aca="false">IF(ISBLANK(B571),"",B571&amp;"|"&amp;C571)</f>
        <v/>
      </c>
      <c r="B571" s="121"/>
      <c r="C571" s="121"/>
      <c r="D571" s="121"/>
      <c r="E571" s="127"/>
      <c r="F571" s="121"/>
      <c r="G571" s="121"/>
      <c r="H571" s="121"/>
      <c r="I571" s="121"/>
      <c r="J571" s="121"/>
      <c r="K571" s="121"/>
      <c r="L571" s="121"/>
      <c r="M571" s="121"/>
      <c r="N571" s="121"/>
      <c r="O571" s="121"/>
      <c r="P571" s="121"/>
      <c r="Q571" s="121"/>
      <c r="R571" s="121"/>
      <c r="S571" s="121"/>
      <c r="T571" s="121"/>
      <c r="U571" s="121"/>
      <c r="V571" s="121"/>
      <c r="W571" s="121"/>
      <c r="X571" s="121"/>
      <c r="Y571" s="121"/>
      <c r="Z571" s="121"/>
      <c r="AA571" s="121"/>
    </row>
    <row r="572" customFormat="false" ht="15.75" hidden="false" customHeight="false" outlineLevel="0" collapsed="false">
      <c r="A572" s="121" t="str">
        <f aca="false">IF(ISBLANK(B572),"",B572&amp;"|"&amp;C572)</f>
        <v/>
      </c>
      <c r="B572" s="121"/>
      <c r="C572" s="121"/>
      <c r="D572" s="121"/>
      <c r="E572" s="127"/>
      <c r="F572" s="121"/>
      <c r="G572" s="121"/>
      <c r="H572" s="121"/>
      <c r="I572" s="121"/>
      <c r="J572" s="121"/>
      <c r="K572" s="121"/>
      <c r="L572" s="121"/>
      <c r="M572" s="121"/>
      <c r="N572" s="121"/>
      <c r="O572" s="121"/>
      <c r="P572" s="121"/>
      <c r="Q572" s="121"/>
      <c r="R572" s="121"/>
      <c r="S572" s="121"/>
      <c r="T572" s="121"/>
      <c r="U572" s="121"/>
      <c r="V572" s="121"/>
      <c r="W572" s="121"/>
      <c r="X572" s="121"/>
      <c r="Y572" s="121"/>
      <c r="Z572" s="121"/>
      <c r="AA572" s="121"/>
    </row>
    <row r="573" customFormat="false" ht="15.75" hidden="false" customHeight="false" outlineLevel="0" collapsed="false">
      <c r="A573" s="121" t="str">
        <f aca="false">IF(ISBLANK(B573),"",B573&amp;"|"&amp;C573)</f>
        <v/>
      </c>
      <c r="B573" s="121"/>
      <c r="C573" s="121"/>
      <c r="D573" s="121"/>
      <c r="E573" s="127"/>
      <c r="F573" s="121"/>
      <c r="G573" s="121"/>
      <c r="H573" s="121"/>
      <c r="I573" s="121"/>
      <c r="J573" s="121"/>
      <c r="K573" s="121"/>
      <c r="L573" s="121"/>
      <c r="M573" s="121"/>
      <c r="N573" s="121"/>
      <c r="O573" s="121"/>
      <c r="P573" s="121"/>
      <c r="Q573" s="121"/>
      <c r="R573" s="121"/>
      <c r="S573" s="121"/>
      <c r="T573" s="121"/>
      <c r="U573" s="121"/>
      <c r="V573" s="121"/>
      <c r="W573" s="121"/>
      <c r="X573" s="121"/>
      <c r="Y573" s="121"/>
      <c r="Z573" s="121"/>
      <c r="AA573" s="121"/>
    </row>
    <row r="574" customFormat="false" ht="15.75" hidden="false" customHeight="false" outlineLevel="0" collapsed="false">
      <c r="A574" s="121" t="str">
        <f aca="false">IF(ISBLANK(B574),"",B574&amp;"|"&amp;C574)</f>
        <v/>
      </c>
      <c r="B574" s="121"/>
      <c r="C574" s="121"/>
      <c r="D574" s="121"/>
      <c r="E574" s="127"/>
      <c r="F574" s="121"/>
      <c r="G574" s="121"/>
      <c r="H574" s="121"/>
      <c r="I574" s="121"/>
      <c r="J574" s="121"/>
      <c r="K574" s="121"/>
      <c r="L574" s="121"/>
      <c r="M574" s="121"/>
      <c r="N574" s="121"/>
      <c r="O574" s="121"/>
      <c r="P574" s="121"/>
      <c r="Q574" s="121"/>
      <c r="R574" s="121"/>
      <c r="S574" s="121"/>
      <c r="T574" s="121"/>
      <c r="U574" s="121"/>
      <c r="V574" s="121"/>
      <c r="W574" s="121"/>
      <c r="X574" s="121"/>
      <c r="Y574" s="121"/>
      <c r="Z574" s="121"/>
      <c r="AA574" s="121"/>
    </row>
    <row r="575" customFormat="false" ht="15.75" hidden="false" customHeight="false" outlineLevel="0" collapsed="false">
      <c r="A575" s="121" t="str">
        <f aca="false">IF(ISBLANK(B575),"",B575&amp;"|"&amp;C575)</f>
        <v/>
      </c>
      <c r="B575" s="121"/>
      <c r="C575" s="121"/>
      <c r="D575" s="121"/>
      <c r="E575" s="127"/>
      <c r="F575" s="121"/>
      <c r="G575" s="121"/>
      <c r="H575" s="121"/>
      <c r="I575" s="121"/>
      <c r="J575" s="121"/>
      <c r="K575" s="121"/>
      <c r="L575" s="121"/>
      <c r="M575" s="121"/>
      <c r="N575" s="121"/>
      <c r="O575" s="121"/>
      <c r="P575" s="121"/>
      <c r="Q575" s="121"/>
      <c r="R575" s="121"/>
      <c r="S575" s="121"/>
      <c r="T575" s="121"/>
      <c r="U575" s="121"/>
      <c r="V575" s="121"/>
      <c r="W575" s="121"/>
      <c r="X575" s="121"/>
      <c r="Y575" s="121"/>
      <c r="Z575" s="121"/>
      <c r="AA575" s="121"/>
    </row>
    <row r="576" customFormat="false" ht="15.75" hidden="false" customHeight="false" outlineLevel="0" collapsed="false">
      <c r="A576" s="121" t="str">
        <f aca="false">IF(ISBLANK(B576),"",B576&amp;"|"&amp;C576)</f>
        <v/>
      </c>
      <c r="B576" s="121"/>
      <c r="C576" s="121"/>
      <c r="D576" s="121"/>
      <c r="E576" s="127"/>
      <c r="F576" s="121"/>
      <c r="G576" s="121"/>
      <c r="H576" s="121"/>
      <c r="I576" s="121"/>
      <c r="J576" s="121"/>
      <c r="K576" s="121"/>
      <c r="L576" s="121"/>
      <c r="M576" s="121"/>
      <c r="N576" s="121"/>
      <c r="O576" s="121"/>
      <c r="P576" s="121"/>
      <c r="Q576" s="121"/>
      <c r="R576" s="121"/>
      <c r="S576" s="121"/>
      <c r="T576" s="121"/>
      <c r="U576" s="121"/>
      <c r="V576" s="121"/>
      <c r="W576" s="121"/>
      <c r="X576" s="121"/>
      <c r="Y576" s="121"/>
      <c r="Z576" s="121"/>
      <c r="AA576" s="121"/>
    </row>
    <row r="577" customFormat="false" ht="15.75" hidden="false" customHeight="false" outlineLevel="0" collapsed="false">
      <c r="A577" s="121" t="str">
        <f aca="false">IF(ISBLANK(B577),"",B577&amp;"|"&amp;C577)</f>
        <v/>
      </c>
      <c r="B577" s="121"/>
      <c r="C577" s="121"/>
      <c r="D577" s="121"/>
      <c r="E577" s="127"/>
      <c r="F577" s="121"/>
      <c r="G577" s="121"/>
      <c r="H577" s="121"/>
      <c r="I577" s="121"/>
      <c r="J577" s="121"/>
      <c r="K577" s="121"/>
      <c r="L577" s="121"/>
      <c r="M577" s="121"/>
      <c r="N577" s="121"/>
      <c r="O577" s="121"/>
      <c r="P577" s="121"/>
      <c r="Q577" s="121"/>
      <c r="R577" s="121"/>
      <c r="S577" s="121"/>
      <c r="T577" s="121"/>
      <c r="U577" s="121"/>
      <c r="V577" s="121"/>
      <c r="W577" s="121"/>
      <c r="X577" s="121"/>
      <c r="Y577" s="121"/>
      <c r="Z577" s="121"/>
      <c r="AA577" s="121"/>
    </row>
    <row r="578" customFormat="false" ht="15.75" hidden="false" customHeight="false" outlineLevel="0" collapsed="false">
      <c r="A578" s="121" t="str">
        <f aca="false">IF(ISBLANK(B578),"",B578&amp;"|"&amp;C578)</f>
        <v/>
      </c>
      <c r="B578" s="121"/>
      <c r="C578" s="121"/>
      <c r="D578" s="121"/>
      <c r="E578" s="127"/>
      <c r="F578" s="121"/>
      <c r="G578" s="121"/>
      <c r="H578" s="121"/>
      <c r="I578" s="121"/>
      <c r="J578" s="121"/>
      <c r="K578" s="121"/>
      <c r="L578" s="121"/>
      <c r="M578" s="121"/>
      <c r="N578" s="121"/>
      <c r="O578" s="121"/>
      <c r="P578" s="121"/>
      <c r="Q578" s="121"/>
      <c r="R578" s="121"/>
      <c r="S578" s="121"/>
      <c r="T578" s="121"/>
      <c r="U578" s="121"/>
      <c r="V578" s="121"/>
      <c r="W578" s="121"/>
      <c r="X578" s="121"/>
      <c r="Y578" s="121"/>
      <c r="Z578" s="121"/>
      <c r="AA578" s="121"/>
    </row>
    <row r="579" customFormat="false" ht="15.75" hidden="false" customHeight="false" outlineLevel="0" collapsed="false">
      <c r="A579" s="121" t="str">
        <f aca="false">IF(ISBLANK(B579),"",B579&amp;"|"&amp;C579)</f>
        <v/>
      </c>
      <c r="B579" s="121"/>
      <c r="C579" s="121"/>
      <c r="D579" s="121"/>
      <c r="E579" s="127"/>
      <c r="F579" s="121"/>
      <c r="G579" s="121"/>
      <c r="H579" s="121"/>
      <c r="I579" s="121"/>
      <c r="J579" s="121"/>
      <c r="K579" s="121"/>
      <c r="L579" s="121"/>
      <c r="M579" s="121"/>
      <c r="N579" s="121"/>
      <c r="O579" s="121"/>
      <c r="P579" s="121"/>
      <c r="Q579" s="121"/>
      <c r="R579" s="121"/>
      <c r="S579" s="121"/>
      <c r="T579" s="121"/>
      <c r="U579" s="121"/>
      <c r="V579" s="121"/>
      <c r="W579" s="121"/>
      <c r="X579" s="121"/>
      <c r="Y579" s="121"/>
      <c r="Z579" s="121"/>
      <c r="AA579" s="121"/>
    </row>
    <row r="580" customFormat="false" ht="15.75" hidden="false" customHeight="false" outlineLevel="0" collapsed="false">
      <c r="A580" s="121" t="str">
        <f aca="false">IF(ISBLANK(B580),"",B580&amp;"|"&amp;C580)</f>
        <v/>
      </c>
      <c r="B580" s="121"/>
      <c r="C580" s="121"/>
      <c r="D580" s="121"/>
      <c r="E580" s="127"/>
      <c r="F580" s="121"/>
      <c r="G580" s="121"/>
      <c r="H580" s="121"/>
      <c r="I580" s="121"/>
      <c r="J580" s="121"/>
      <c r="K580" s="121"/>
      <c r="L580" s="121"/>
      <c r="M580" s="121"/>
      <c r="N580" s="121"/>
      <c r="O580" s="121"/>
      <c r="P580" s="121"/>
      <c r="Q580" s="121"/>
      <c r="R580" s="121"/>
      <c r="S580" s="121"/>
      <c r="T580" s="121"/>
      <c r="U580" s="121"/>
      <c r="V580" s="121"/>
      <c r="W580" s="121"/>
      <c r="X580" s="121"/>
      <c r="Y580" s="121"/>
      <c r="Z580" s="121"/>
      <c r="AA580" s="121"/>
    </row>
    <row r="581" customFormat="false" ht="15.75" hidden="false" customHeight="false" outlineLevel="0" collapsed="false">
      <c r="A581" s="121" t="str">
        <f aca="false">IF(ISBLANK(B581),"",B581&amp;"|"&amp;C581)</f>
        <v/>
      </c>
      <c r="B581" s="121"/>
      <c r="C581" s="121"/>
      <c r="D581" s="121"/>
      <c r="E581" s="127"/>
      <c r="F581" s="121"/>
      <c r="G581" s="121"/>
      <c r="H581" s="121"/>
      <c r="I581" s="121"/>
      <c r="J581" s="121"/>
      <c r="K581" s="121"/>
      <c r="L581" s="121"/>
      <c r="M581" s="121"/>
      <c r="N581" s="121"/>
      <c r="O581" s="121"/>
      <c r="P581" s="121"/>
      <c r="Q581" s="121"/>
      <c r="R581" s="121"/>
      <c r="S581" s="121"/>
      <c r="T581" s="121"/>
      <c r="U581" s="121"/>
      <c r="V581" s="121"/>
      <c r="W581" s="121"/>
      <c r="X581" s="121"/>
      <c r="Y581" s="121"/>
      <c r="Z581" s="121"/>
      <c r="AA581" s="121"/>
    </row>
    <row r="582" customFormat="false" ht="15.75" hidden="false" customHeight="false" outlineLevel="0" collapsed="false">
      <c r="A582" s="121" t="str">
        <f aca="false">IF(ISBLANK(B582),"",B582&amp;"|"&amp;C582)</f>
        <v/>
      </c>
      <c r="B582" s="121"/>
      <c r="C582" s="121"/>
      <c r="D582" s="121"/>
      <c r="E582" s="127"/>
      <c r="F582" s="121"/>
      <c r="G582" s="121"/>
      <c r="H582" s="121"/>
      <c r="I582" s="121"/>
      <c r="J582" s="121"/>
      <c r="K582" s="121"/>
      <c r="L582" s="121"/>
      <c r="M582" s="121"/>
      <c r="N582" s="121"/>
      <c r="O582" s="121"/>
      <c r="P582" s="121"/>
      <c r="Q582" s="121"/>
      <c r="R582" s="121"/>
      <c r="S582" s="121"/>
      <c r="T582" s="121"/>
      <c r="U582" s="121"/>
      <c r="V582" s="121"/>
      <c r="W582" s="121"/>
      <c r="X582" s="121"/>
      <c r="Y582" s="121"/>
      <c r="Z582" s="121"/>
      <c r="AA582" s="121"/>
    </row>
    <row r="583" customFormat="false" ht="15.75" hidden="false" customHeight="false" outlineLevel="0" collapsed="false">
      <c r="A583" s="121" t="str">
        <f aca="false">IF(ISBLANK(B583),"",B583&amp;"|"&amp;C583)</f>
        <v/>
      </c>
      <c r="B583" s="121"/>
      <c r="C583" s="121"/>
      <c r="D583" s="121"/>
      <c r="E583" s="127"/>
      <c r="F583" s="121"/>
      <c r="G583" s="121"/>
      <c r="H583" s="121"/>
      <c r="I583" s="121"/>
      <c r="J583" s="121"/>
      <c r="K583" s="121"/>
      <c r="L583" s="121"/>
      <c r="M583" s="121"/>
      <c r="N583" s="121"/>
      <c r="O583" s="121"/>
      <c r="P583" s="121"/>
      <c r="Q583" s="121"/>
      <c r="R583" s="121"/>
      <c r="S583" s="121"/>
      <c r="T583" s="121"/>
      <c r="U583" s="121"/>
      <c r="V583" s="121"/>
      <c r="W583" s="121"/>
      <c r="X583" s="121"/>
      <c r="Y583" s="121"/>
      <c r="Z583" s="121"/>
      <c r="AA583" s="121"/>
    </row>
    <row r="584" customFormat="false" ht="15.75" hidden="false" customHeight="false" outlineLevel="0" collapsed="false">
      <c r="A584" s="121" t="str">
        <f aca="false">IF(ISBLANK(B584),"",B584&amp;"|"&amp;C584)</f>
        <v/>
      </c>
      <c r="B584" s="121"/>
      <c r="C584" s="121"/>
      <c r="D584" s="121"/>
      <c r="E584" s="127"/>
      <c r="F584" s="121"/>
      <c r="G584" s="121"/>
      <c r="H584" s="121"/>
      <c r="I584" s="121"/>
      <c r="J584" s="121"/>
      <c r="K584" s="121"/>
      <c r="L584" s="121"/>
      <c r="M584" s="121"/>
      <c r="N584" s="121"/>
      <c r="O584" s="121"/>
      <c r="P584" s="121"/>
      <c r="Q584" s="121"/>
      <c r="R584" s="121"/>
      <c r="S584" s="121"/>
      <c r="T584" s="121"/>
      <c r="U584" s="121"/>
      <c r="V584" s="121"/>
      <c r="W584" s="121"/>
      <c r="X584" s="121"/>
      <c r="Y584" s="121"/>
      <c r="Z584" s="121"/>
      <c r="AA584" s="121"/>
    </row>
    <row r="585" customFormat="false" ht="15.75" hidden="false" customHeight="false" outlineLevel="0" collapsed="false">
      <c r="A585" s="121" t="str">
        <f aca="false">IF(ISBLANK(B585),"",B585&amp;"|"&amp;C585)</f>
        <v/>
      </c>
      <c r="B585" s="121"/>
      <c r="C585" s="121"/>
      <c r="D585" s="121"/>
      <c r="E585" s="127"/>
      <c r="F585" s="121"/>
      <c r="G585" s="121"/>
      <c r="H585" s="121"/>
      <c r="I585" s="121"/>
      <c r="J585" s="121"/>
      <c r="K585" s="121"/>
      <c r="L585" s="121"/>
      <c r="M585" s="121"/>
      <c r="N585" s="121"/>
      <c r="O585" s="121"/>
      <c r="P585" s="121"/>
      <c r="Q585" s="121"/>
      <c r="R585" s="121"/>
      <c r="S585" s="121"/>
      <c r="T585" s="121"/>
      <c r="U585" s="121"/>
      <c r="V585" s="121"/>
      <c r="W585" s="121"/>
      <c r="X585" s="121"/>
      <c r="Y585" s="121"/>
      <c r="Z585" s="121"/>
      <c r="AA585" s="121"/>
    </row>
    <row r="586" customFormat="false" ht="15.75" hidden="false" customHeight="false" outlineLevel="0" collapsed="false">
      <c r="A586" s="121" t="str">
        <f aca="false">IF(ISBLANK(B586),"",B586&amp;"|"&amp;C586)</f>
        <v/>
      </c>
      <c r="B586" s="121"/>
      <c r="C586" s="121"/>
      <c r="D586" s="121"/>
      <c r="E586" s="127"/>
      <c r="F586" s="121"/>
      <c r="G586" s="121"/>
      <c r="H586" s="121"/>
      <c r="I586" s="121"/>
      <c r="J586" s="121"/>
      <c r="K586" s="121"/>
      <c r="L586" s="121"/>
      <c r="M586" s="121"/>
      <c r="N586" s="121"/>
      <c r="O586" s="121"/>
      <c r="P586" s="121"/>
      <c r="Q586" s="121"/>
      <c r="R586" s="121"/>
      <c r="S586" s="121"/>
      <c r="T586" s="121"/>
      <c r="U586" s="121"/>
      <c r="V586" s="121"/>
      <c r="W586" s="121"/>
      <c r="X586" s="121"/>
      <c r="Y586" s="121"/>
      <c r="Z586" s="121"/>
      <c r="AA586" s="121"/>
    </row>
    <row r="587" customFormat="false" ht="15.75" hidden="false" customHeight="false" outlineLevel="0" collapsed="false">
      <c r="A587" s="121" t="str">
        <f aca="false">IF(ISBLANK(B587),"",B587&amp;"|"&amp;C587)</f>
        <v/>
      </c>
      <c r="B587" s="121"/>
      <c r="C587" s="121"/>
      <c r="D587" s="121"/>
      <c r="E587" s="127"/>
      <c r="F587" s="121"/>
      <c r="G587" s="121"/>
      <c r="H587" s="121"/>
      <c r="I587" s="121"/>
      <c r="J587" s="121"/>
      <c r="K587" s="121"/>
      <c r="L587" s="121"/>
      <c r="M587" s="121"/>
      <c r="N587" s="121"/>
      <c r="O587" s="121"/>
      <c r="P587" s="121"/>
      <c r="Q587" s="121"/>
      <c r="R587" s="121"/>
      <c r="S587" s="121"/>
      <c r="T587" s="121"/>
      <c r="U587" s="121"/>
      <c r="V587" s="121"/>
      <c r="W587" s="121"/>
      <c r="X587" s="121"/>
      <c r="Y587" s="121"/>
      <c r="Z587" s="121"/>
      <c r="AA587" s="121"/>
    </row>
    <row r="588" customFormat="false" ht="15.75" hidden="false" customHeight="false" outlineLevel="0" collapsed="false">
      <c r="A588" s="121" t="str">
        <f aca="false">IF(ISBLANK(B588),"",B588&amp;"|"&amp;C588)</f>
        <v/>
      </c>
      <c r="B588" s="121"/>
      <c r="C588" s="121"/>
      <c r="D588" s="121"/>
      <c r="E588" s="127"/>
      <c r="F588" s="121"/>
      <c r="G588" s="121"/>
      <c r="H588" s="121"/>
      <c r="I588" s="121"/>
      <c r="J588" s="121"/>
      <c r="K588" s="121"/>
      <c r="L588" s="121"/>
      <c r="M588" s="121"/>
      <c r="N588" s="121"/>
      <c r="O588" s="121"/>
      <c r="P588" s="121"/>
      <c r="Q588" s="121"/>
      <c r="R588" s="121"/>
      <c r="S588" s="121"/>
      <c r="T588" s="121"/>
      <c r="U588" s="121"/>
      <c r="V588" s="121"/>
      <c r="W588" s="121"/>
      <c r="X588" s="121"/>
      <c r="Y588" s="121"/>
      <c r="Z588" s="121"/>
      <c r="AA588" s="121"/>
    </row>
    <row r="589" customFormat="false" ht="15.75" hidden="false" customHeight="false" outlineLevel="0" collapsed="false">
      <c r="A589" s="121" t="str">
        <f aca="false">IF(ISBLANK(B589),"",B589&amp;"|"&amp;C589)</f>
        <v/>
      </c>
      <c r="B589" s="121"/>
      <c r="C589" s="121"/>
      <c r="D589" s="121"/>
      <c r="E589" s="127"/>
      <c r="F589" s="121"/>
      <c r="G589" s="121"/>
      <c r="H589" s="121"/>
      <c r="I589" s="121"/>
      <c r="J589" s="121"/>
      <c r="K589" s="121"/>
      <c r="L589" s="121"/>
      <c r="M589" s="121"/>
      <c r="N589" s="121"/>
      <c r="O589" s="121"/>
      <c r="P589" s="121"/>
      <c r="Q589" s="121"/>
      <c r="R589" s="121"/>
      <c r="S589" s="121"/>
      <c r="T589" s="121"/>
      <c r="U589" s="121"/>
      <c r="V589" s="121"/>
      <c r="W589" s="121"/>
      <c r="X589" s="121"/>
      <c r="Y589" s="121"/>
      <c r="Z589" s="121"/>
      <c r="AA589" s="121"/>
    </row>
    <row r="590" customFormat="false" ht="15.75" hidden="false" customHeight="false" outlineLevel="0" collapsed="false">
      <c r="A590" s="121" t="str">
        <f aca="false">IF(ISBLANK(B590),"",B590&amp;"|"&amp;C590)</f>
        <v/>
      </c>
      <c r="B590" s="121"/>
      <c r="C590" s="121"/>
      <c r="D590" s="121"/>
      <c r="E590" s="127"/>
      <c r="F590" s="121"/>
      <c r="G590" s="121"/>
      <c r="H590" s="121"/>
      <c r="I590" s="121"/>
      <c r="J590" s="121"/>
      <c r="K590" s="121"/>
      <c r="L590" s="121"/>
      <c r="M590" s="121"/>
      <c r="N590" s="121"/>
      <c r="O590" s="121"/>
      <c r="P590" s="121"/>
      <c r="Q590" s="121"/>
      <c r="R590" s="121"/>
      <c r="S590" s="121"/>
      <c r="T590" s="121"/>
      <c r="U590" s="121"/>
      <c r="V590" s="121"/>
      <c r="W590" s="121"/>
      <c r="X590" s="121"/>
      <c r="Y590" s="121"/>
      <c r="Z590" s="121"/>
      <c r="AA590" s="121"/>
    </row>
    <row r="591" customFormat="false" ht="15.75" hidden="false" customHeight="false" outlineLevel="0" collapsed="false">
      <c r="A591" s="121" t="str">
        <f aca="false">IF(ISBLANK(B591),"",B591&amp;"|"&amp;C591)</f>
        <v/>
      </c>
      <c r="B591" s="121"/>
      <c r="C591" s="121"/>
      <c r="D591" s="121"/>
      <c r="E591" s="127"/>
      <c r="F591" s="121"/>
      <c r="G591" s="121"/>
      <c r="H591" s="121"/>
      <c r="I591" s="121"/>
      <c r="J591" s="121"/>
      <c r="K591" s="121"/>
      <c r="L591" s="121"/>
      <c r="M591" s="121"/>
      <c r="N591" s="121"/>
      <c r="O591" s="121"/>
      <c r="P591" s="121"/>
      <c r="Q591" s="121"/>
      <c r="R591" s="121"/>
      <c r="S591" s="121"/>
      <c r="T591" s="121"/>
      <c r="U591" s="121"/>
      <c r="V591" s="121"/>
      <c r="W591" s="121"/>
      <c r="X591" s="121"/>
      <c r="Y591" s="121"/>
      <c r="Z591" s="121"/>
      <c r="AA591" s="121"/>
    </row>
    <row r="592" customFormat="false" ht="15.75" hidden="false" customHeight="false" outlineLevel="0" collapsed="false">
      <c r="A592" s="121" t="str">
        <f aca="false">IF(ISBLANK(B592),"",B592&amp;"|"&amp;C592)</f>
        <v/>
      </c>
      <c r="B592" s="121"/>
      <c r="C592" s="121"/>
      <c r="D592" s="121"/>
      <c r="E592" s="127"/>
      <c r="F592" s="121"/>
      <c r="G592" s="121"/>
      <c r="H592" s="121"/>
      <c r="I592" s="121"/>
      <c r="J592" s="121"/>
      <c r="K592" s="121"/>
      <c r="L592" s="121"/>
      <c r="M592" s="121"/>
      <c r="N592" s="121"/>
      <c r="O592" s="121"/>
      <c r="P592" s="121"/>
      <c r="Q592" s="121"/>
      <c r="R592" s="121"/>
      <c r="S592" s="121"/>
      <c r="T592" s="121"/>
      <c r="U592" s="121"/>
      <c r="V592" s="121"/>
      <c r="W592" s="121"/>
      <c r="X592" s="121"/>
      <c r="Y592" s="121"/>
      <c r="Z592" s="121"/>
      <c r="AA592" s="121"/>
    </row>
    <row r="593" customFormat="false" ht="15.75" hidden="false" customHeight="false" outlineLevel="0" collapsed="false">
      <c r="A593" s="121" t="str">
        <f aca="false">IF(ISBLANK(B593),"",B593&amp;"|"&amp;C593)</f>
        <v/>
      </c>
      <c r="B593" s="121"/>
      <c r="C593" s="121"/>
      <c r="D593" s="121"/>
      <c r="E593" s="127"/>
      <c r="F593" s="121"/>
      <c r="G593" s="121"/>
      <c r="H593" s="121"/>
      <c r="I593" s="121"/>
      <c r="J593" s="121"/>
      <c r="K593" s="121"/>
      <c r="L593" s="121"/>
      <c r="M593" s="121"/>
      <c r="N593" s="121"/>
      <c r="O593" s="121"/>
      <c r="P593" s="121"/>
      <c r="Q593" s="121"/>
      <c r="R593" s="121"/>
      <c r="S593" s="121"/>
      <c r="T593" s="121"/>
      <c r="U593" s="121"/>
      <c r="V593" s="121"/>
      <c r="W593" s="121"/>
      <c r="X593" s="121"/>
      <c r="Y593" s="121"/>
      <c r="Z593" s="121"/>
      <c r="AA593" s="121"/>
    </row>
    <row r="594" customFormat="false" ht="15.75" hidden="false" customHeight="false" outlineLevel="0" collapsed="false">
      <c r="A594" s="121" t="str">
        <f aca="false">IF(ISBLANK(B594),"",B594&amp;"|"&amp;C594)</f>
        <v/>
      </c>
      <c r="B594" s="121"/>
      <c r="C594" s="121"/>
      <c r="D594" s="121"/>
      <c r="E594" s="127"/>
      <c r="F594" s="121"/>
      <c r="G594" s="121"/>
      <c r="H594" s="121"/>
      <c r="I594" s="121"/>
      <c r="J594" s="121"/>
      <c r="K594" s="121"/>
      <c r="L594" s="121"/>
      <c r="M594" s="121"/>
      <c r="N594" s="121"/>
      <c r="O594" s="121"/>
      <c r="P594" s="121"/>
      <c r="Q594" s="121"/>
      <c r="R594" s="121"/>
      <c r="S594" s="121"/>
      <c r="T594" s="121"/>
      <c r="U594" s="121"/>
      <c r="V594" s="121"/>
      <c r="W594" s="121"/>
      <c r="X594" s="121"/>
      <c r="Y594" s="121"/>
      <c r="Z594" s="121"/>
      <c r="AA594" s="121"/>
    </row>
    <row r="595" customFormat="false" ht="15.75" hidden="false" customHeight="false" outlineLevel="0" collapsed="false">
      <c r="A595" s="121" t="str">
        <f aca="false">IF(ISBLANK(B595),"",B595&amp;"|"&amp;C595)</f>
        <v/>
      </c>
      <c r="B595" s="121"/>
      <c r="C595" s="121"/>
      <c r="D595" s="121"/>
      <c r="E595" s="127"/>
      <c r="F595" s="121"/>
      <c r="G595" s="121"/>
      <c r="H595" s="121"/>
      <c r="I595" s="121"/>
      <c r="J595" s="121"/>
      <c r="K595" s="121"/>
      <c r="L595" s="121"/>
      <c r="M595" s="121"/>
      <c r="N595" s="121"/>
      <c r="O595" s="121"/>
      <c r="P595" s="121"/>
      <c r="Q595" s="121"/>
      <c r="R595" s="121"/>
      <c r="S595" s="121"/>
      <c r="T595" s="121"/>
      <c r="U595" s="121"/>
      <c r="V595" s="121"/>
      <c r="W595" s="121"/>
      <c r="X595" s="121"/>
      <c r="Y595" s="121"/>
      <c r="Z595" s="121"/>
      <c r="AA595" s="121"/>
    </row>
    <row r="596" customFormat="false" ht="15.75" hidden="false" customHeight="false" outlineLevel="0" collapsed="false">
      <c r="A596" s="121" t="str">
        <f aca="false">IF(ISBLANK(B596),"",B596&amp;"|"&amp;C596)</f>
        <v/>
      </c>
      <c r="B596" s="121"/>
      <c r="C596" s="121"/>
      <c r="D596" s="121"/>
      <c r="E596" s="127"/>
      <c r="F596" s="121"/>
      <c r="G596" s="121"/>
      <c r="H596" s="121"/>
      <c r="I596" s="121"/>
      <c r="J596" s="121"/>
      <c r="K596" s="121"/>
      <c r="L596" s="121"/>
      <c r="M596" s="121"/>
      <c r="N596" s="121"/>
      <c r="O596" s="121"/>
      <c r="P596" s="121"/>
      <c r="Q596" s="121"/>
      <c r="R596" s="121"/>
      <c r="S596" s="121"/>
      <c r="T596" s="121"/>
      <c r="U596" s="121"/>
      <c r="V596" s="121"/>
      <c r="W596" s="121"/>
      <c r="X596" s="121"/>
      <c r="Y596" s="121"/>
      <c r="Z596" s="121"/>
      <c r="AA596" s="121"/>
    </row>
    <row r="597" customFormat="false" ht="15.75" hidden="false" customHeight="false" outlineLevel="0" collapsed="false">
      <c r="A597" s="121" t="str">
        <f aca="false">IF(ISBLANK(B597),"",B597&amp;"|"&amp;C597)</f>
        <v/>
      </c>
      <c r="B597" s="121"/>
      <c r="C597" s="121"/>
      <c r="D597" s="121"/>
      <c r="E597" s="127"/>
      <c r="F597" s="121"/>
      <c r="G597" s="121"/>
      <c r="H597" s="121"/>
      <c r="I597" s="121"/>
      <c r="J597" s="121"/>
      <c r="K597" s="121"/>
      <c r="L597" s="121"/>
      <c r="M597" s="121"/>
      <c r="N597" s="121"/>
      <c r="O597" s="121"/>
      <c r="P597" s="121"/>
      <c r="Q597" s="121"/>
      <c r="R597" s="121"/>
      <c r="S597" s="121"/>
      <c r="T597" s="121"/>
      <c r="U597" s="121"/>
      <c r="V597" s="121"/>
      <c r="W597" s="121"/>
      <c r="X597" s="121"/>
      <c r="Y597" s="121"/>
      <c r="Z597" s="121"/>
      <c r="AA597" s="121"/>
    </row>
    <row r="598" customFormat="false" ht="15.75" hidden="false" customHeight="false" outlineLevel="0" collapsed="false">
      <c r="A598" s="121" t="str">
        <f aca="false">IF(ISBLANK(B598),"",B598&amp;"|"&amp;C598)</f>
        <v/>
      </c>
      <c r="B598" s="121"/>
      <c r="C598" s="121"/>
      <c r="D598" s="121"/>
      <c r="E598" s="127"/>
      <c r="F598" s="121"/>
      <c r="G598" s="121"/>
      <c r="H598" s="121"/>
      <c r="I598" s="121"/>
      <c r="J598" s="121"/>
      <c r="K598" s="121"/>
      <c r="L598" s="121"/>
      <c r="M598" s="121"/>
      <c r="N598" s="121"/>
      <c r="O598" s="121"/>
      <c r="P598" s="121"/>
      <c r="Q598" s="121"/>
      <c r="R598" s="121"/>
      <c r="S598" s="121"/>
      <c r="T598" s="121"/>
      <c r="U598" s="121"/>
      <c r="V598" s="121"/>
      <c r="W598" s="121"/>
      <c r="X598" s="121"/>
      <c r="Y598" s="121"/>
      <c r="Z598" s="121"/>
      <c r="AA598" s="121"/>
    </row>
    <row r="599" customFormat="false" ht="15.75" hidden="false" customHeight="false" outlineLevel="0" collapsed="false">
      <c r="A599" s="121" t="str">
        <f aca="false">IF(ISBLANK(B599),"",B599&amp;"|"&amp;C599)</f>
        <v/>
      </c>
      <c r="B599" s="121"/>
      <c r="C599" s="121"/>
      <c r="D599" s="121"/>
      <c r="E599" s="127"/>
      <c r="F599" s="121"/>
      <c r="G599" s="121"/>
      <c r="H599" s="121"/>
      <c r="I599" s="121"/>
      <c r="J599" s="121"/>
      <c r="K599" s="121"/>
      <c r="L599" s="121"/>
      <c r="M599" s="121"/>
      <c r="N599" s="121"/>
      <c r="O599" s="121"/>
      <c r="P599" s="121"/>
      <c r="Q599" s="121"/>
      <c r="R599" s="121"/>
      <c r="S599" s="121"/>
      <c r="T599" s="121"/>
      <c r="U599" s="121"/>
      <c r="V599" s="121"/>
      <c r="W599" s="121"/>
      <c r="X599" s="121"/>
      <c r="Y599" s="121"/>
      <c r="Z599" s="121"/>
      <c r="AA599" s="121"/>
    </row>
    <row r="600" customFormat="false" ht="15.75" hidden="false" customHeight="false" outlineLevel="0" collapsed="false">
      <c r="A600" s="121" t="str">
        <f aca="false">IF(ISBLANK(B600),"",B600&amp;"|"&amp;C600)</f>
        <v/>
      </c>
      <c r="B600" s="121"/>
      <c r="C600" s="121"/>
      <c r="D600" s="121"/>
      <c r="E600" s="127"/>
      <c r="F600" s="121"/>
      <c r="G600" s="121"/>
      <c r="H600" s="121"/>
      <c r="I600" s="121"/>
      <c r="J600" s="121"/>
      <c r="K600" s="121"/>
      <c r="L600" s="121"/>
      <c r="M600" s="121"/>
      <c r="N600" s="121"/>
      <c r="O600" s="121"/>
      <c r="P600" s="121"/>
      <c r="Q600" s="121"/>
      <c r="R600" s="121"/>
      <c r="S600" s="121"/>
      <c r="T600" s="121"/>
      <c r="U600" s="121"/>
      <c r="V600" s="121"/>
      <c r="W600" s="121"/>
      <c r="X600" s="121"/>
      <c r="Y600" s="121"/>
      <c r="Z600" s="121"/>
      <c r="AA600" s="121"/>
    </row>
    <row r="601" customFormat="false" ht="15.75" hidden="false" customHeight="false" outlineLevel="0" collapsed="false">
      <c r="A601" s="121" t="str">
        <f aca="false">IF(ISBLANK(B601),"",B601&amp;"|"&amp;C601)</f>
        <v/>
      </c>
      <c r="B601" s="121"/>
      <c r="C601" s="121"/>
      <c r="D601" s="121"/>
      <c r="E601" s="127"/>
      <c r="F601" s="121"/>
      <c r="G601" s="121"/>
      <c r="H601" s="121"/>
      <c r="I601" s="121"/>
      <c r="J601" s="121"/>
      <c r="K601" s="121"/>
      <c r="L601" s="121"/>
      <c r="M601" s="121"/>
      <c r="N601" s="121"/>
      <c r="O601" s="121"/>
      <c r="P601" s="121"/>
      <c r="Q601" s="121"/>
      <c r="R601" s="121"/>
      <c r="S601" s="121"/>
      <c r="T601" s="121"/>
      <c r="U601" s="121"/>
      <c r="V601" s="121"/>
      <c r="W601" s="121"/>
      <c r="X601" s="121"/>
      <c r="Y601" s="121"/>
      <c r="Z601" s="121"/>
      <c r="AA601" s="121"/>
    </row>
    <row r="602" customFormat="false" ht="15.75" hidden="false" customHeight="false" outlineLevel="0" collapsed="false">
      <c r="A602" s="121" t="str">
        <f aca="false">IF(ISBLANK(B602),"",B602&amp;"|"&amp;C602)</f>
        <v/>
      </c>
      <c r="B602" s="121"/>
      <c r="C602" s="121"/>
      <c r="D602" s="121"/>
      <c r="E602" s="127"/>
      <c r="F602" s="121"/>
      <c r="G602" s="121"/>
      <c r="H602" s="121"/>
      <c r="I602" s="121"/>
      <c r="J602" s="121"/>
      <c r="K602" s="121"/>
      <c r="L602" s="121"/>
      <c r="M602" s="121"/>
      <c r="N602" s="121"/>
      <c r="O602" s="121"/>
      <c r="P602" s="121"/>
      <c r="Q602" s="121"/>
      <c r="R602" s="121"/>
      <c r="S602" s="121"/>
      <c r="T602" s="121"/>
      <c r="U602" s="121"/>
      <c r="V602" s="121"/>
      <c r="W602" s="121"/>
      <c r="X602" s="121"/>
      <c r="Y602" s="121"/>
      <c r="Z602" s="121"/>
      <c r="AA602" s="121"/>
    </row>
    <row r="603" customFormat="false" ht="15.75" hidden="false" customHeight="false" outlineLevel="0" collapsed="false">
      <c r="A603" s="121" t="str">
        <f aca="false">IF(ISBLANK(B603),"",B603&amp;"|"&amp;C603)</f>
        <v/>
      </c>
      <c r="B603" s="121"/>
      <c r="C603" s="121"/>
      <c r="D603" s="121"/>
      <c r="E603" s="127"/>
      <c r="F603" s="121"/>
      <c r="G603" s="121"/>
      <c r="H603" s="121"/>
      <c r="I603" s="121"/>
      <c r="J603" s="121"/>
      <c r="K603" s="121"/>
      <c r="L603" s="121"/>
      <c r="M603" s="121"/>
      <c r="N603" s="121"/>
      <c r="O603" s="121"/>
      <c r="P603" s="121"/>
      <c r="Q603" s="121"/>
      <c r="R603" s="121"/>
      <c r="S603" s="121"/>
      <c r="T603" s="121"/>
      <c r="U603" s="121"/>
      <c r="V603" s="121"/>
      <c r="W603" s="121"/>
      <c r="X603" s="121"/>
      <c r="Y603" s="121"/>
      <c r="Z603" s="121"/>
      <c r="AA603" s="121"/>
    </row>
    <row r="604" customFormat="false" ht="15.75" hidden="false" customHeight="false" outlineLevel="0" collapsed="false">
      <c r="A604" s="121" t="str">
        <f aca="false">IF(ISBLANK(B604),"",B604&amp;"|"&amp;C604)</f>
        <v/>
      </c>
      <c r="B604" s="121"/>
      <c r="C604" s="121"/>
      <c r="D604" s="121"/>
      <c r="E604" s="127"/>
      <c r="F604" s="121"/>
      <c r="G604" s="121"/>
      <c r="H604" s="121"/>
      <c r="I604" s="121"/>
      <c r="J604" s="121"/>
      <c r="K604" s="121"/>
      <c r="L604" s="121"/>
      <c r="M604" s="121"/>
      <c r="N604" s="121"/>
      <c r="O604" s="121"/>
      <c r="P604" s="121"/>
      <c r="Q604" s="121"/>
      <c r="R604" s="121"/>
      <c r="S604" s="121"/>
      <c r="T604" s="121"/>
      <c r="U604" s="121"/>
      <c r="V604" s="121"/>
      <c r="W604" s="121"/>
      <c r="X604" s="121"/>
      <c r="Y604" s="121"/>
      <c r="Z604" s="121"/>
      <c r="AA604" s="121"/>
    </row>
    <row r="605" customFormat="false" ht="15.75" hidden="false" customHeight="false" outlineLevel="0" collapsed="false">
      <c r="A605" s="121" t="str">
        <f aca="false">IF(ISBLANK(B605),"",B605&amp;"|"&amp;C605)</f>
        <v/>
      </c>
      <c r="B605" s="121"/>
      <c r="C605" s="121"/>
      <c r="D605" s="121"/>
      <c r="E605" s="127"/>
      <c r="F605" s="121"/>
      <c r="G605" s="121"/>
      <c r="H605" s="121"/>
      <c r="I605" s="121"/>
      <c r="J605" s="121"/>
      <c r="K605" s="121"/>
      <c r="L605" s="121"/>
      <c r="M605" s="121"/>
      <c r="N605" s="121"/>
      <c r="O605" s="121"/>
      <c r="P605" s="121"/>
      <c r="Q605" s="121"/>
      <c r="R605" s="121"/>
      <c r="S605" s="121"/>
      <c r="T605" s="121"/>
      <c r="U605" s="121"/>
      <c r="V605" s="121"/>
      <c r="W605" s="121"/>
      <c r="X605" s="121"/>
      <c r="Y605" s="121"/>
      <c r="Z605" s="121"/>
      <c r="AA605" s="121"/>
    </row>
    <row r="606" customFormat="false" ht="15.75" hidden="false" customHeight="false" outlineLevel="0" collapsed="false">
      <c r="A606" s="121" t="str">
        <f aca="false">IF(ISBLANK(B606),"",B606&amp;"|"&amp;C606)</f>
        <v/>
      </c>
      <c r="B606" s="121"/>
      <c r="C606" s="121"/>
      <c r="D606" s="121"/>
      <c r="E606" s="127"/>
      <c r="F606" s="121"/>
      <c r="G606" s="121"/>
      <c r="H606" s="121"/>
      <c r="I606" s="121"/>
      <c r="J606" s="121"/>
      <c r="K606" s="121"/>
      <c r="L606" s="121"/>
      <c r="M606" s="121"/>
      <c r="N606" s="121"/>
      <c r="O606" s="121"/>
      <c r="P606" s="121"/>
      <c r="Q606" s="121"/>
      <c r="R606" s="121"/>
      <c r="S606" s="121"/>
      <c r="T606" s="121"/>
      <c r="U606" s="121"/>
      <c r="V606" s="121"/>
      <c r="W606" s="121"/>
      <c r="X606" s="121"/>
      <c r="Y606" s="121"/>
      <c r="Z606" s="121"/>
      <c r="AA606" s="121"/>
    </row>
    <row r="607" customFormat="false" ht="15.75" hidden="false" customHeight="false" outlineLevel="0" collapsed="false">
      <c r="A607" s="121" t="str">
        <f aca="false">IF(ISBLANK(B607),"",B607&amp;"|"&amp;C607)</f>
        <v/>
      </c>
      <c r="B607" s="121"/>
      <c r="C607" s="121"/>
      <c r="D607" s="121"/>
      <c r="E607" s="127"/>
      <c r="F607" s="121"/>
      <c r="G607" s="121"/>
      <c r="H607" s="121"/>
      <c r="I607" s="121"/>
      <c r="J607" s="121"/>
      <c r="K607" s="121"/>
      <c r="L607" s="121"/>
      <c r="M607" s="121"/>
      <c r="N607" s="121"/>
      <c r="O607" s="121"/>
      <c r="P607" s="121"/>
      <c r="Q607" s="121"/>
      <c r="R607" s="121"/>
      <c r="S607" s="121"/>
      <c r="T607" s="121"/>
      <c r="U607" s="121"/>
      <c r="V607" s="121"/>
      <c r="W607" s="121"/>
      <c r="X607" s="121"/>
      <c r="Y607" s="121"/>
      <c r="Z607" s="121"/>
      <c r="AA607" s="121"/>
    </row>
    <row r="608" customFormat="false" ht="15.75" hidden="false" customHeight="false" outlineLevel="0" collapsed="false">
      <c r="A608" s="121" t="str">
        <f aca="false">IF(ISBLANK(B608),"",B608&amp;"|"&amp;C608)</f>
        <v/>
      </c>
      <c r="B608" s="121"/>
      <c r="C608" s="121"/>
      <c r="D608" s="121"/>
      <c r="E608" s="127"/>
      <c r="F608" s="121"/>
      <c r="G608" s="121"/>
      <c r="H608" s="121"/>
      <c r="I608" s="121"/>
      <c r="J608" s="121"/>
      <c r="K608" s="121"/>
      <c r="L608" s="121"/>
      <c r="M608" s="121"/>
      <c r="N608" s="121"/>
      <c r="O608" s="121"/>
      <c r="P608" s="121"/>
      <c r="Q608" s="121"/>
      <c r="R608" s="121"/>
      <c r="S608" s="121"/>
      <c r="T608" s="121"/>
      <c r="U608" s="121"/>
      <c r="V608" s="121"/>
      <c r="W608" s="121"/>
      <c r="X608" s="121"/>
      <c r="Y608" s="121"/>
      <c r="Z608" s="121"/>
      <c r="AA608" s="121"/>
    </row>
    <row r="609" customFormat="false" ht="15.75" hidden="false" customHeight="false" outlineLevel="0" collapsed="false">
      <c r="A609" s="121" t="str">
        <f aca="false">IF(ISBLANK(B609),"",B609&amp;"|"&amp;C609)</f>
        <v/>
      </c>
      <c r="B609" s="121"/>
      <c r="C609" s="121"/>
      <c r="D609" s="121"/>
      <c r="E609" s="127"/>
      <c r="F609" s="121"/>
      <c r="G609" s="121"/>
      <c r="H609" s="121"/>
      <c r="I609" s="121"/>
      <c r="J609" s="121"/>
      <c r="K609" s="121"/>
      <c r="L609" s="121"/>
      <c r="M609" s="121"/>
      <c r="N609" s="121"/>
      <c r="O609" s="121"/>
      <c r="P609" s="121"/>
      <c r="Q609" s="121"/>
      <c r="R609" s="121"/>
      <c r="S609" s="121"/>
      <c r="T609" s="121"/>
      <c r="U609" s="121"/>
      <c r="V609" s="121"/>
      <c r="W609" s="121"/>
      <c r="X609" s="121"/>
      <c r="Y609" s="121"/>
      <c r="Z609" s="121"/>
      <c r="AA609" s="121"/>
    </row>
    <row r="610" customFormat="false" ht="15.75" hidden="false" customHeight="false" outlineLevel="0" collapsed="false">
      <c r="A610" s="121" t="str">
        <f aca="false">IF(ISBLANK(B610),"",B610&amp;"|"&amp;C610)</f>
        <v/>
      </c>
      <c r="B610" s="121"/>
      <c r="C610" s="121"/>
      <c r="D610" s="121"/>
      <c r="E610" s="127"/>
      <c r="F610" s="121"/>
      <c r="G610" s="121"/>
      <c r="H610" s="121"/>
      <c r="I610" s="121"/>
      <c r="J610" s="121"/>
      <c r="K610" s="121"/>
      <c r="L610" s="121"/>
      <c r="M610" s="121"/>
      <c r="N610" s="121"/>
      <c r="O610" s="121"/>
      <c r="P610" s="121"/>
      <c r="Q610" s="121"/>
      <c r="R610" s="121"/>
      <c r="S610" s="121"/>
      <c r="T610" s="121"/>
      <c r="U610" s="121"/>
      <c r="V610" s="121"/>
      <c r="W610" s="121"/>
      <c r="X610" s="121"/>
      <c r="Y610" s="121"/>
      <c r="Z610" s="121"/>
      <c r="AA610" s="121"/>
    </row>
    <row r="611" customFormat="false" ht="15.75" hidden="false" customHeight="false" outlineLevel="0" collapsed="false">
      <c r="A611" s="121" t="str">
        <f aca="false">IF(ISBLANK(B611),"",B611&amp;"|"&amp;C611)</f>
        <v/>
      </c>
      <c r="B611" s="121"/>
      <c r="C611" s="121"/>
      <c r="D611" s="121"/>
      <c r="E611" s="127"/>
      <c r="F611" s="121"/>
      <c r="G611" s="121"/>
      <c r="H611" s="121"/>
      <c r="I611" s="121"/>
      <c r="J611" s="121"/>
      <c r="K611" s="121"/>
      <c r="L611" s="121"/>
      <c r="M611" s="121"/>
      <c r="N611" s="121"/>
      <c r="O611" s="121"/>
      <c r="P611" s="121"/>
      <c r="Q611" s="121"/>
      <c r="R611" s="121"/>
      <c r="S611" s="121"/>
      <c r="T611" s="121"/>
      <c r="U611" s="121"/>
      <c r="V611" s="121"/>
      <c r="W611" s="121"/>
      <c r="X611" s="121"/>
      <c r="Y611" s="121"/>
      <c r="Z611" s="121"/>
      <c r="AA611" s="121"/>
    </row>
    <row r="612" customFormat="false" ht="15.75" hidden="false" customHeight="false" outlineLevel="0" collapsed="false">
      <c r="A612" s="121" t="str">
        <f aca="false">IF(ISBLANK(B612),"",B612&amp;"|"&amp;C612)</f>
        <v/>
      </c>
      <c r="B612" s="121"/>
      <c r="C612" s="121"/>
      <c r="D612" s="121"/>
      <c r="E612" s="127"/>
      <c r="F612" s="121"/>
      <c r="G612" s="121"/>
      <c r="H612" s="121"/>
      <c r="I612" s="121"/>
      <c r="J612" s="121"/>
      <c r="K612" s="121"/>
      <c r="L612" s="121"/>
      <c r="M612" s="121"/>
      <c r="N612" s="121"/>
      <c r="O612" s="121"/>
      <c r="P612" s="121"/>
      <c r="Q612" s="121"/>
      <c r="R612" s="121"/>
      <c r="S612" s="121"/>
      <c r="T612" s="121"/>
      <c r="U612" s="121"/>
      <c r="V612" s="121"/>
      <c r="W612" s="121"/>
      <c r="X612" s="121"/>
      <c r="Y612" s="121"/>
      <c r="Z612" s="121"/>
      <c r="AA612" s="121"/>
    </row>
    <row r="613" customFormat="false" ht="15.75" hidden="false" customHeight="false" outlineLevel="0" collapsed="false">
      <c r="A613" s="121" t="str">
        <f aca="false">IF(ISBLANK(B613),"",B613&amp;"|"&amp;C613)</f>
        <v/>
      </c>
      <c r="B613" s="121"/>
      <c r="C613" s="121"/>
      <c r="D613" s="121"/>
      <c r="E613" s="127"/>
      <c r="F613" s="121"/>
      <c r="G613" s="121"/>
      <c r="H613" s="121"/>
      <c r="I613" s="121"/>
      <c r="J613" s="121"/>
      <c r="K613" s="121"/>
      <c r="L613" s="121"/>
      <c r="M613" s="121"/>
      <c r="N613" s="121"/>
      <c r="O613" s="121"/>
      <c r="P613" s="121"/>
      <c r="Q613" s="121"/>
      <c r="R613" s="121"/>
      <c r="S613" s="121"/>
      <c r="T613" s="121"/>
      <c r="U613" s="121"/>
      <c r="V613" s="121"/>
      <c r="W613" s="121"/>
      <c r="X613" s="121"/>
      <c r="Y613" s="121"/>
      <c r="Z613" s="121"/>
      <c r="AA613" s="121"/>
    </row>
    <row r="614" customFormat="false" ht="15.75" hidden="false" customHeight="false" outlineLevel="0" collapsed="false">
      <c r="A614" s="121" t="str">
        <f aca="false">IF(ISBLANK(B614),"",B614&amp;"|"&amp;C614)</f>
        <v/>
      </c>
      <c r="B614" s="121"/>
      <c r="C614" s="121"/>
      <c r="D614" s="121"/>
      <c r="E614" s="127"/>
      <c r="F614" s="121"/>
      <c r="G614" s="121"/>
      <c r="H614" s="121"/>
      <c r="I614" s="121"/>
      <c r="J614" s="121"/>
      <c r="K614" s="121"/>
      <c r="L614" s="121"/>
      <c r="M614" s="121"/>
      <c r="N614" s="121"/>
      <c r="O614" s="121"/>
      <c r="P614" s="121"/>
      <c r="Q614" s="121"/>
      <c r="R614" s="121"/>
      <c r="S614" s="121"/>
      <c r="T614" s="121"/>
      <c r="U614" s="121"/>
      <c r="V614" s="121"/>
      <c r="W614" s="121"/>
      <c r="X614" s="121"/>
      <c r="Y614" s="121"/>
      <c r="Z614" s="121"/>
      <c r="AA614" s="121"/>
    </row>
    <row r="615" customFormat="false" ht="15.75" hidden="false" customHeight="false" outlineLevel="0" collapsed="false">
      <c r="A615" s="121" t="str">
        <f aca="false">IF(ISBLANK(B615),"",B615&amp;"|"&amp;C615)</f>
        <v/>
      </c>
      <c r="B615" s="121"/>
      <c r="C615" s="121"/>
      <c r="D615" s="121"/>
      <c r="E615" s="127"/>
      <c r="F615" s="121"/>
      <c r="G615" s="121"/>
      <c r="H615" s="121"/>
      <c r="I615" s="121"/>
      <c r="J615" s="121"/>
      <c r="K615" s="121"/>
      <c r="L615" s="121"/>
      <c r="M615" s="121"/>
      <c r="N615" s="121"/>
      <c r="O615" s="121"/>
      <c r="P615" s="121"/>
      <c r="Q615" s="121"/>
      <c r="R615" s="121"/>
      <c r="S615" s="121"/>
      <c r="T615" s="121"/>
      <c r="U615" s="121"/>
      <c r="V615" s="121"/>
      <c r="W615" s="121"/>
      <c r="X615" s="121"/>
      <c r="Y615" s="121"/>
      <c r="Z615" s="121"/>
      <c r="AA615" s="121"/>
    </row>
    <row r="616" customFormat="false" ht="15.75" hidden="false" customHeight="false" outlineLevel="0" collapsed="false">
      <c r="A616" s="121" t="str">
        <f aca="false">IF(ISBLANK(B616),"",B616&amp;"|"&amp;C616)</f>
        <v/>
      </c>
      <c r="B616" s="121"/>
      <c r="C616" s="121"/>
      <c r="D616" s="121"/>
      <c r="E616" s="127"/>
      <c r="F616" s="121"/>
      <c r="G616" s="121"/>
      <c r="H616" s="121"/>
      <c r="I616" s="121"/>
      <c r="J616" s="121"/>
      <c r="K616" s="121"/>
      <c r="L616" s="121"/>
      <c r="M616" s="121"/>
      <c r="N616" s="121"/>
      <c r="O616" s="121"/>
      <c r="P616" s="121"/>
      <c r="Q616" s="121"/>
      <c r="R616" s="121"/>
      <c r="S616" s="121"/>
      <c r="T616" s="121"/>
      <c r="U616" s="121"/>
      <c r="V616" s="121"/>
      <c r="W616" s="121"/>
      <c r="X616" s="121"/>
      <c r="Y616" s="121"/>
      <c r="Z616" s="121"/>
      <c r="AA616" s="121"/>
    </row>
    <row r="617" customFormat="false" ht="15.75" hidden="false" customHeight="false" outlineLevel="0" collapsed="false">
      <c r="A617" s="121" t="str">
        <f aca="false">IF(ISBLANK(B617),"",B617&amp;"|"&amp;C617)</f>
        <v/>
      </c>
      <c r="B617" s="121"/>
      <c r="C617" s="121"/>
      <c r="D617" s="121"/>
      <c r="E617" s="127"/>
      <c r="F617" s="121"/>
      <c r="G617" s="121"/>
      <c r="H617" s="121"/>
      <c r="I617" s="121"/>
      <c r="J617" s="121"/>
      <c r="K617" s="121"/>
      <c r="L617" s="121"/>
      <c r="M617" s="121"/>
      <c r="N617" s="121"/>
      <c r="O617" s="121"/>
      <c r="P617" s="121"/>
      <c r="Q617" s="121"/>
      <c r="R617" s="121"/>
      <c r="S617" s="121"/>
      <c r="T617" s="121"/>
      <c r="U617" s="121"/>
      <c r="V617" s="121"/>
      <c r="W617" s="121"/>
      <c r="X617" s="121"/>
      <c r="Y617" s="121"/>
      <c r="Z617" s="121"/>
      <c r="AA617" s="121"/>
    </row>
    <row r="618" customFormat="false" ht="15.75" hidden="false" customHeight="false" outlineLevel="0" collapsed="false">
      <c r="A618" s="121" t="str">
        <f aca="false">IF(ISBLANK(B618),"",B618&amp;"|"&amp;C618)</f>
        <v/>
      </c>
      <c r="B618" s="121"/>
      <c r="C618" s="121"/>
      <c r="D618" s="121"/>
      <c r="E618" s="127"/>
      <c r="F618" s="121"/>
      <c r="G618" s="121"/>
      <c r="H618" s="121"/>
      <c r="I618" s="121"/>
      <c r="J618" s="121"/>
      <c r="K618" s="121"/>
      <c r="L618" s="121"/>
      <c r="M618" s="121"/>
      <c r="N618" s="121"/>
      <c r="O618" s="121"/>
      <c r="P618" s="121"/>
      <c r="Q618" s="121"/>
      <c r="R618" s="121"/>
      <c r="S618" s="121"/>
      <c r="T618" s="121"/>
      <c r="U618" s="121"/>
      <c r="V618" s="121"/>
      <c r="W618" s="121"/>
      <c r="X618" s="121"/>
      <c r="Y618" s="121"/>
      <c r="Z618" s="121"/>
      <c r="AA618" s="121"/>
    </row>
    <row r="619" customFormat="false" ht="15.75" hidden="false" customHeight="false" outlineLevel="0" collapsed="false">
      <c r="A619" s="121" t="str">
        <f aca="false">IF(ISBLANK(B619),"",B619&amp;"|"&amp;C619)</f>
        <v/>
      </c>
      <c r="B619" s="121"/>
      <c r="C619" s="121"/>
      <c r="D619" s="121"/>
      <c r="E619" s="127"/>
      <c r="F619" s="121"/>
      <c r="G619" s="121"/>
      <c r="H619" s="121"/>
      <c r="I619" s="121"/>
      <c r="J619" s="121"/>
      <c r="K619" s="121"/>
      <c r="L619" s="121"/>
      <c r="M619" s="121"/>
      <c r="N619" s="121"/>
      <c r="O619" s="121"/>
      <c r="P619" s="121"/>
      <c r="Q619" s="121"/>
      <c r="R619" s="121"/>
      <c r="S619" s="121"/>
      <c r="T619" s="121"/>
      <c r="U619" s="121"/>
      <c r="V619" s="121"/>
      <c r="W619" s="121"/>
      <c r="X619" s="121"/>
      <c r="Y619" s="121"/>
      <c r="Z619" s="121"/>
      <c r="AA619" s="121"/>
    </row>
    <row r="620" customFormat="false" ht="15.75" hidden="false" customHeight="false" outlineLevel="0" collapsed="false">
      <c r="A620" s="121" t="str">
        <f aca="false">IF(ISBLANK(B620),"",B620&amp;"|"&amp;C620)</f>
        <v/>
      </c>
      <c r="B620" s="121"/>
      <c r="C620" s="121"/>
      <c r="D620" s="121"/>
      <c r="E620" s="127"/>
      <c r="F620" s="121"/>
      <c r="G620" s="121"/>
      <c r="H620" s="121"/>
      <c r="I620" s="121"/>
      <c r="J620" s="121"/>
      <c r="K620" s="121"/>
      <c r="L620" s="121"/>
      <c r="M620" s="121"/>
      <c r="N620" s="121"/>
      <c r="O620" s="121"/>
      <c r="P620" s="121"/>
      <c r="Q620" s="121"/>
      <c r="R620" s="121"/>
      <c r="S620" s="121"/>
      <c r="T620" s="121"/>
      <c r="U620" s="121"/>
      <c r="V620" s="121"/>
      <c r="W620" s="121"/>
      <c r="X620" s="121"/>
      <c r="Y620" s="121"/>
      <c r="Z620" s="121"/>
      <c r="AA620" s="121"/>
    </row>
    <row r="621" customFormat="false" ht="15.75" hidden="false" customHeight="false" outlineLevel="0" collapsed="false">
      <c r="A621" s="121" t="str">
        <f aca="false">IF(ISBLANK(B621),"",B621&amp;"|"&amp;C621)</f>
        <v/>
      </c>
      <c r="B621" s="121"/>
      <c r="C621" s="121"/>
      <c r="D621" s="121"/>
      <c r="E621" s="127"/>
      <c r="F621" s="121"/>
      <c r="G621" s="121"/>
      <c r="H621" s="121"/>
      <c r="I621" s="121"/>
      <c r="J621" s="121"/>
      <c r="K621" s="121"/>
      <c r="L621" s="121"/>
      <c r="M621" s="121"/>
      <c r="N621" s="121"/>
      <c r="O621" s="121"/>
      <c r="P621" s="121"/>
      <c r="Q621" s="121"/>
      <c r="R621" s="121"/>
      <c r="S621" s="121"/>
      <c r="T621" s="121"/>
      <c r="U621" s="121"/>
      <c r="V621" s="121"/>
      <c r="W621" s="121"/>
      <c r="X621" s="121"/>
      <c r="Y621" s="121"/>
      <c r="Z621" s="121"/>
      <c r="AA621" s="121"/>
    </row>
    <row r="622" customFormat="false" ht="15.75" hidden="false" customHeight="false" outlineLevel="0" collapsed="false">
      <c r="A622" s="121" t="str">
        <f aca="false">IF(ISBLANK(B622),"",B622&amp;"|"&amp;C622)</f>
        <v/>
      </c>
      <c r="B622" s="121"/>
      <c r="C622" s="121"/>
      <c r="D622" s="121"/>
      <c r="E622" s="127"/>
      <c r="F622" s="121"/>
      <c r="G622" s="121"/>
      <c r="H622" s="121"/>
      <c r="I622" s="121"/>
      <c r="J622" s="121"/>
      <c r="K622" s="121"/>
      <c r="L622" s="121"/>
      <c r="M622" s="121"/>
      <c r="N622" s="121"/>
      <c r="O622" s="121"/>
      <c r="P622" s="121"/>
      <c r="Q622" s="121"/>
      <c r="R622" s="121"/>
      <c r="S622" s="121"/>
      <c r="T622" s="121"/>
      <c r="U622" s="121"/>
      <c r="V622" s="121"/>
      <c r="W622" s="121"/>
      <c r="X622" s="121"/>
      <c r="Y622" s="121"/>
      <c r="Z622" s="121"/>
      <c r="AA622" s="121"/>
    </row>
    <row r="623" customFormat="false" ht="15.75" hidden="false" customHeight="false" outlineLevel="0" collapsed="false">
      <c r="A623" s="121" t="str">
        <f aca="false">IF(ISBLANK(B623),"",B623&amp;"|"&amp;C623)</f>
        <v/>
      </c>
      <c r="B623" s="121"/>
      <c r="C623" s="121"/>
      <c r="D623" s="121"/>
      <c r="E623" s="127"/>
      <c r="F623" s="121"/>
      <c r="G623" s="121"/>
      <c r="H623" s="121"/>
      <c r="I623" s="121"/>
      <c r="J623" s="121"/>
      <c r="K623" s="121"/>
      <c r="L623" s="121"/>
      <c r="M623" s="121"/>
      <c r="N623" s="121"/>
      <c r="O623" s="121"/>
      <c r="P623" s="121"/>
      <c r="Q623" s="121"/>
      <c r="R623" s="121"/>
      <c r="S623" s="121"/>
      <c r="T623" s="121"/>
      <c r="U623" s="121"/>
      <c r="V623" s="121"/>
      <c r="W623" s="121"/>
      <c r="X623" s="121"/>
      <c r="Y623" s="121"/>
      <c r="Z623" s="121"/>
      <c r="AA623" s="121"/>
    </row>
    <row r="624" customFormat="false" ht="15.75" hidden="false" customHeight="false" outlineLevel="0" collapsed="false">
      <c r="A624" s="121" t="str">
        <f aca="false">IF(ISBLANK(B624),"",B624&amp;"|"&amp;C624)</f>
        <v/>
      </c>
      <c r="B624" s="121"/>
      <c r="C624" s="121"/>
      <c r="D624" s="121"/>
      <c r="E624" s="127"/>
      <c r="F624" s="121"/>
      <c r="G624" s="121"/>
      <c r="H624" s="121"/>
      <c r="I624" s="121"/>
      <c r="J624" s="121"/>
      <c r="K624" s="121"/>
      <c r="L624" s="121"/>
      <c r="M624" s="121"/>
      <c r="N624" s="121"/>
      <c r="O624" s="121"/>
      <c r="P624" s="121"/>
      <c r="Q624" s="121"/>
      <c r="R624" s="121"/>
      <c r="S624" s="121"/>
      <c r="T624" s="121"/>
      <c r="U624" s="121"/>
      <c r="V624" s="121"/>
      <c r="W624" s="121"/>
      <c r="X624" s="121"/>
      <c r="Y624" s="121"/>
      <c r="Z624" s="121"/>
      <c r="AA624" s="121"/>
    </row>
    <row r="625" customFormat="false" ht="15.75" hidden="false" customHeight="false" outlineLevel="0" collapsed="false">
      <c r="A625" s="121" t="str">
        <f aca="false">IF(ISBLANK(B625),"",B625&amp;"|"&amp;C625)</f>
        <v/>
      </c>
      <c r="B625" s="121"/>
      <c r="C625" s="121"/>
      <c r="D625" s="121"/>
      <c r="E625" s="127"/>
      <c r="F625" s="121"/>
      <c r="G625" s="121"/>
      <c r="H625" s="121"/>
      <c r="I625" s="121"/>
      <c r="J625" s="121"/>
      <c r="K625" s="121"/>
      <c r="L625" s="121"/>
      <c r="M625" s="121"/>
      <c r="N625" s="121"/>
      <c r="O625" s="121"/>
      <c r="P625" s="121"/>
      <c r="Q625" s="121"/>
      <c r="R625" s="121"/>
      <c r="S625" s="121"/>
      <c r="T625" s="121"/>
      <c r="U625" s="121"/>
      <c r="V625" s="121"/>
      <c r="W625" s="121"/>
      <c r="X625" s="121"/>
      <c r="Y625" s="121"/>
      <c r="Z625" s="121"/>
      <c r="AA625" s="121"/>
    </row>
    <row r="626" customFormat="false" ht="15.75" hidden="false" customHeight="false" outlineLevel="0" collapsed="false">
      <c r="A626" s="121" t="str">
        <f aca="false">IF(ISBLANK(B626),"",B626&amp;"|"&amp;C626)</f>
        <v/>
      </c>
      <c r="B626" s="121"/>
      <c r="C626" s="121"/>
      <c r="D626" s="121"/>
      <c r="E626" s="127"/>
      <c r="F626" s="121"/>
      <c r="G626" s="121"/>
      <c r="H626" s="121"/>
      <c r="I626" s="121"/>
      <c r="J626" s="121"/>
      <c r="K626" s="121"/>
      <c r="L626" s="121"/>
      <c r="M626" s="121"/>
      <c r="N626" s="121"/>
      <c r="O626" s="121"/>
      <c r="P626" s="121"/>
      <c r="Q626" s="121"/>
      <c r="R626" s="121"/>
      <c r="S626" s="121"/>
      <c r="T626" s="121"/>
      <c r="U626" s="121"/>
      <c r="V626" s="121"/>
      <c r="W626" s="121"/>
      <c r="X626" s="121"/>
      <c r="Y626" s="121"/>
      <c r="Z626" s="121"/>
      <c r="AA626" s="121"/>
    </row>
    <row r="627" customFormat="false" ht="15.75" hidden="false" customHeight="false" outlineLevel="0" collapsed="false">
      <c r="A627" s="121" t="str">
        <f aca="false">IF(ISBLANK(B627),"",B627&amp;"|"&amp;C627)</f>
        <v/>
      </c>
      <c r="B627" s="121"/>
      <c r="C627" s="121"/>
      <c r="D627" s="121"/>
      <c r="E627" s="127"/>
      <c r="F627" s="121"/>
      <c r="G627" s="121"/>
      <c r="H627" s="121"/>
      <c r="I627" s="121"/>
      <c r="J627" s="121"/>
      <c r="K627" s="121"/>
      <c r="L627" s="121"/>
      <c r="M627" s="121"/>
      <c r="N627" s="121"/>
      <c r="O627" s="121"/>
      <c r="P627" s="121"/>
      <c r="Q627" s="121"/>
      <c r="R627" s="121"/>
      <c r="S627" s="121"/>
      <c r="T627" s="121"/>
      <c r="U627" s="121"/>
      <c r="V627" s="121"/>
      <c r="W627" s="121"/>
      <c r="X627" s="121"/>
      <c r="Y627" s="121"/>
      <c r="Z627" s="121"/>
      <c r="AA627" s="121"/>
    </row>
    <row r="628" customFormat="false" ht="15.75" hidden="false" customHeight="false" outlineLevel="0" collapsed="false">
      <c r="A628" s="121" t="str">
        <f aca="false">IF(ISBLANK(B628),"",B628&amp;"|"&amp;C628)</f>
        <v/>
      </c>
      <c r="B628" s="121"/>
      <c r="C628" s="121"/>
      <c r="D628" s="121"/>
      <c r="E628" s="127"/>
      <c r="F628" s="121"/>
      <c r="G628" s="121"/>
      <c r="H628" s="121"/>
      <c r="I628" s="121"/>
      <c r="J628" s="121"/>
      <c r="K628" s="121"/>
      <c r="L628" s="121"/>
      <c r="M628" s="121"/>
      <c r="N628" s="121"/>
      <c r="O628" s="121"/>
      <c r="P628" s="121"/>
      <c r="Q628" s="121"/>
      <c r="R628" s="121"/>
      <c r="S628" s="121"/>
      <c r="T628" s="121"/>
      <c r="U628" s="121"/>
      <c r="V628" s="121"/>
      <c r="W628" s="121"/>
      <c r="X628" s="121"/>
      <c r="Y628" s="121"/>
      <c r="Z628" s="121"/>
      <c r="AA628" s="121"/>
    </row>
    <row r="629" customFormat="false" ht="15.75" hidden="false" customHeight="false" outlineLevel="0" collapsed="false">
      <c r="A629" s="121" t="str">
        <f aca="false">IF(ISBLANK(B629),"",B629&amp;"|"&amp;C629)</f>
        <v/>
      </c>
      <c r="B629" s="121"/>
      <c r="C629" s="121"/>
      <c r="D629" s="121"/>
      <c r="E629" s="127"/>
      <c r="F629" s="121"/>
      <c r="G629" s="121"/>
      <c r="H629" s="121"/>
      <c r="I629" s="121"/>
      <c r="J629" s="121"/>
      <c r="K629" s="121"/>
      <c r="L629" s="121"/>
      <c r="M629" s="121"/>
      <c r="N629" s="121"/>
      <c r="O629" s="121"/>
      <c r="P629" s="121"/>
      <c r="Q629" s="121"/>
      <c r="R629" s="121"/>
      <c r="S629" s="121"/>
      <c r="T629" s="121"/>
      <c r="U629" s="121"/>
      <c r="V629" s="121"/>
      <c r="W629" s="121"/>
      <c r="X629" s="121"/>
      <c r="Y629" s="121"/>
      <c r="Z629" s="121"/>
      <c r="AA629" s="121"/>
    </row>
    <row r="630" customFormat="false" ht="15.75" hidden="false" customHeight="false" outlineLevel="0" collapsed="false">
      <c r="A630" s="121" t="str">
        <f aca="false">IF(ISBLANK(B630),"",B630&amp;"|"&amp;C630)</f>
        <v/>
      </c>
      <c r="B630" s="121"/>
      <c r="C630" s="121"/>
      <c r="D630" s="121"/>
      <c r="E630" s="127"/>
      <c r="F630" s="121"/>
      <c r="G630" s="121"/>
      <c r="H630" s="121"/>
      <c r="I630" s="121"/>
      <c r="J630" s="121"/>
      <c r="K630" s="121"/>
      <c r="L630" s="121"/>
      <c r="M630" s="121"/>
      <c r="N630" s="121"/>
      <c r="O630" s="121"/>
      <c r="P630" s="121"/>
      <c r="Q630" s="121"/>
      <c r="R630" s="121"/>
      <c r="S630" s="121"/>
      <c r="T630" s="121"/>
      <c r="U630" s="121"/>
      <c r="V630" s="121"/>
      <c r="W630" s="121"/>
      <c r="X630" s="121"/>
      <c r="Y630" s="121"/>
      <c r="Z630" s="121"/>
      <c r="AA630" s="121"/>
    </row>
    <row r="631" customFormat="false" ht="15.75" hidden="false" customHeight="false" outlineLevel="0" collapsed="false">
      <c r="A631" s="121" t="str">
        <f aca="false">IF(ISBLANK(B631),"",B631&amp;"|"&amp;C631)</f>
        <v/>
      </c>
      <c r="B631" s="121"/>
      <c r="C631" s="121"/>
      <c r="D631" s="121"/>
      <c r="E631" s="127"/>
      <c r="F631" s="121"/>
      <c r="G631" s="121"/>
      <c r="H631" s="121"/>
      <c r="I631" s="121"/>
      <c r="J631" s="121"/>
      <c r="K631" s="121"/>
      <c r="L631" s="121"/>
      <c r="M631" s="121"/>
      <c r="N631" s="121"/>
      <c r="O631" s="121"/>
      <c r="P631" s="121"/>
      <c r="Q631" s="121"/>
      <c r="R631" s="121"/>
      <c r="S631" s="121"/>
      <c r="T631" s="121"/>
      <c r="U631" s="121"/>
      <c r="V631" s="121"/>
      <c r="W631" s="121"/>
      <c r="X631" s="121"/>
      <c r="Y631" s="121"/>
      <c r="Z631" s="121"/>
      <c r="AA631" s="121"/>
    </row>
    <row r="632" customFormat="false" ht="15.75" hidden="false" customHeight="false" outlineLevel="0" collapsed="false">
      <c r="A632" s="121" t="str">
        <f aca="false">IF(ISBLANK(B632),"",B632&amp;"|"&amp;C632)</f>
        <v/>
      </c>
      <c r="B632" s="121"/>
      <c r="C632" s="121"/>
      <c r="D632" s="121"/>
      <c r="E632" s="127"/>
      <c r="F632" s="121"/>
      <c r="G632" s="121"/>
      <c r="H632" s="121"/>
      <c r="I632" s="121"/>
      <c r="J632" s="121"/>
      <c r="K632" s="121"/>
      <c r="L632" s="121"/>
      <c r="M632" s="121"/>
      <c r="N632" s="121"/>
      <c r="O632" s="121"/>
      <c r="P632" s="121"/>
      <c r="Q632" s="121"/>
      <c r="R632" s="121"/>
      <c r="S632" s="121"/>
      <c r="T632" s="121"/>
      <c r="U632" s="121"/>
      <c r="V632" s="121"/>
      <c r="W632" s="121"/>
      <c r="X632" s="121"/>
      <c r="Y632" s="121"/>
      <c r="Z632" s="121"/>
      <c r="AA632" s="121"/>
    </row>
    <row r="633" customFormat="false" ht="15.75" hidden="false" customHeight="false" outlineLevel="0" collapsed="false">
      <c r="A633" s="121" t="str">
        <f aca="false">IF(ISBLANK(B633),"",B633&amp;"|"&amp;C633)</f>
        <v/>
      </c>
      <c r="B633" s="121"/>
      <c r="C633" s="121"/>
      <c r="D633" s="121"/>
      <c r="E633" s="127"/>
      <c r="F633" s="121"/>
      <c r="G633" s="121"/>
      <c r="H633" s="121"/>
      <c r="I633" s="121"/>
      <c r="J633" s="121"/>
      <c r="K633" s="121"/>
      <c r="L633" s="121"/>
      <c r="M633" s="121"/>
      <c r="N633" s="121"/>
      <c r="O633" s="121"/>
      <c r="P633" s="121"/>
      <c r="Q633" s="121"/>
      <c r="R633" s="121"/>
      <c r="S633" s="121"/>
      <c r="T633" s="121"/>
      <c r="U633" s="121"/>
      <c r="V633" s="121"/>
      <c r="W633" s="121"/>
      <c r="X633" s="121"/>
      <c r="Y633" s="121"/>
      <c r="Z633" s="121"/>
      <c r="AA633" s="121"/>
    </row>
    <row r="634" customFormat="false" ht="15.75" hidden="false" customHeight="false" outlineLevel="0" collapsed="false">
      <c r="A634" s="121" t="str">
        <f aca="false">IF(ISBLANK(B634),"",B634&amp;"|"&amp;C634)</f>
        <v/>
      </c>
      <c r="B634" s="121"/>
      <c r="C634" s="121"/>
      <c r="D634" s="121"/>
      <c r="E634" s="127"/>
      <c r="F634" s="121"/>
      <c r="G634" s="121"/>
      <c r="H634" s="121"/>
      <c r="I634" s="121"/>
      <c r="J634" s="121"/>
      <c r="K634" s="121"/>
      <c r="L634" s="121"/>
      <c r="M634" s="121"/>
      <c r="N634" s="121"/>
      <c r="O634" s="121"/>
      <c r="P634" s="121"/>
      <c r="Q634" s="121"/>
      <c r="R634" s="121"/>
      <c r="S634" s="121"/>
      <c r="T634" s="121"/>
      <c r="U634" s="121"/>
      <c r="V634" s="121"/>
      <c r="W634" s="121"/>
      <c r="X634" s="121"/>
      <c r="Y634" s="121"/>
      <c r="Z634" s="121"/>
      <c r="AA634" s="121"/>
    </row>
    <row r="635" customFormat="false" ht="15.75" hidden="false" customHeight="false" outlineLevel="0" collapsed="false">
      <c r="A635" s="121" t="str">
        <f aca="false">IF(ISBLANK(B635),"",B635&amp;"|"&amp;C635)</f>
        <v/>
      </c>
      <c r="B635" s="121"/>
      <c r="C635" s="121"/>
      <c r="D635" s="121"/>
      <c r="E635" s="127"/>
      <c r="F635" s="121"/>
      <c r="G635" s="121"/>
      <c r="H635" s="121"/>
      <c r="I635" s="121"/>
      <c r="J635" s="121"/>
      <c r="K635" s="121"/>
      <c r="L635" s="121"/>
      <c r="M635" s="121"/>
      <c r="N635" s="121"/>
      <c r="O635" s="121"/>
      <c r="P635" s="121"/>
      <c r="Q635" s="121"/>
      <c r="R635" s="121"/>
      <c r="S635" s="121"/>
      <c r="T635" s="121"/>
      <c r="U635" s="121"/>
      <c r="V635" s="121"/>
      <c r="W635" s="121"/>
      <c r="X635" s="121"/>
      <c r="Y635" s="121"/>
      <c r="Z635" s="121"/>
      <c r="AA635" s="121"/>
    </row>
    <row r="636" customFormat="false" ht="15.75" hidden="false" customHeight="false" outlineLevel="0" collapsed="false">
      <c r="A636" s="121" t="str">
        <f aca="false">IF(ISBLANK(B636),"",B636&amp;"|"&amp;C636)</f>
        <v/>
      </c>
      <c r="B636" s="121"/>
      <c r="C636" s="121"/>
      <c r="D636" s="121"/>
      <c r="E636" s="127"/>
      <c r="F636" s="121"/>
      <c r="G636" s="121"/>
      <c r="H636" s="121"/>
      <c r="I636" s="121"/>
      <c r="J636" s="121"/>
      <c r="K636" s="121"/>
      <c r="L636" s="121"/>
      <c r="M636" s="121"/>
      <c r="N636" s="121"/>
      <c r="O636" s="121"/>
      <c r="P636" s="121"/>
      <c r="Q636" s="121"/>
      <c r="R636" s="121"/>
      <c r="S636" s="121"/>
      <c r="T636" s="121"/>
      <c r="U636" s="121"/>
      <c r="V636" s="121"/>
      <c r="W636" s="121"/>
      <c r="X636" s="121"/>
      <c r="Y636" s="121"/>
      <c r="Z636" s="121"/>
      <c r="AA636" s="121"/>
    </row>
    <row r="637" customFormat="false" ht="15.75" hidden="false" customHeight="false" outlineLevel="0" collapsed="false">
      <c r="A637" s="121" t="str">
        <f aca="false">IF(ISBLANK(B637),"",B637&amp;"|"&amp;C637)</f>
        <v/>
      </c>
      <c r="B637" s="121"/>
      <c r="C637" s="121"/>
      <c r="D637" s="121"/>
      <c r="E637" s="127"/>
      <c r="F637" s="121"/>
      <c r="G637" s="121"/>
      <c r="H637" s="121"/>
      <c r="I637" s="121"/>
      <c r="J637" s="121"/>
      <c r="K637" s="121"/>
      <c r="L637" s="121"/>
      <c r="M637" s="121"/>
      <c r="N637" s="121"/>
      <c r="O637" s="121"/>
      <c r="P637" s="121"/>
      <c r="Q637" s="121"/>
      <c r="R637" s="121"/>
      <c r="S637" s="121"/>
      <c r="T637" s="121"/>
      <c r="U637" s="121"/>
      <c r="V637" s="121"/>
      <c r="W637" s="121"/>
      <c r="X637" s="121"/>
      <c r="Y637" s="121"/>
      <c r="Z637" s="121"/>
      <c r="AA637" s="121"/>
    </row>
    <row r="638" customFormat="false" ht="15.75" hidden="false" customHeight="false" outlineLevel="0" collapsed="false">
      <c r="A638" s="121" t="str">
        <f aca="false">IF(ISBLANK(B638),"",B638&amp;"|"&amp;C638)</f>
        <v/>
      </c>
      <c r="B638" s="121"/>
      <c r="C638" s="121"/>
      <c r="D638" s="121"/>
      <c r="E638" s="127"/>
      <c r="F638" s="121"/>
      <c r="G638" s="121"/>
      <c r="H638" s="121"/>
      <c r="I638" s="121"/>
      <c r="J638" s="121"/>
      <c r="K638" s="121"/>
      <c r="L638" s="121"/>
      <c r="M638" s="121"/>
      <c r="N638" s="121"/>
      <c r="O638" s="121"/>
      <c r="P638" s="121"/>
      <c r="Q638" s="121"/>
      <c r="R638" s="121"/>
      <c r="S638" s="121"/>
      <c r="T638" s="121"/>
      <c r="U638" s="121"/>
      <c r="V638" s="121"/>
      <c r="W638" s="121"/>
      <c r="X638" s="121"/>
      <c r="Y638" s="121"/>
      <c r="Z638" s="121"/>
      <c r="AA638" s="121"/>
    </row>
    <row r="639" customFormat="false" ht="15.75" hidden="false" customHeight="false" outlineLevel="0" collapsed="false">
      <c r="A639" s="121" t="str">
        <f aca="false">IF(ISBLANK(B639),"",B639&amp;"|"&amp;C639)</f>
        <v/>
      </c>
      <c r="B639" s="121"/>
      <c r="C639" s="121"/>
      <c r="D639" s="121"/>
      <c r="E639" s="127"/>
      <c r="F639" s="121"/>
      <c r="G639" s="121"/>
      <c r="H639" s="121"/>
      <c r="I639" s="121"/>
      <c r="J639" s="121"/>
      <c r="K639" s="121"/>
      <c r="L639" s="121"/>
      <c r="M639" s="121"/>
      <c r="N639" s="121"/>
      <c r="O639" s="121"/>
      <c r="P639" s="121"/>
      <c r="Q639" s="121"/>
      <c r="R639" s="121"/>
      <c r="S639" s="121"/>
      <c r="T639" s="121"/>
      <c r="U639" s="121"/>
      <c r="V639" s="121"/>
      <c r="W639" s="121"/>
      <c r="X639" s="121"/>
      <c r="Y639" s="121"/>
      <c r="Z639" s="121"/>
      <c r="AA639" s="121"/>
    </row>
    <row r="640" customFormat="false" ht="15.75" hidden="false" customHeight="false" outlineLevel="0" collapsed="false">
      <c r="A640" s="121" t="str">
        <f aca="false">IF(ISBLANK(B640),"",B640&amp;"|"&amp;C640)</f>
        <v/>
      </c>
      <c r="B640" s="121"/>
      <c r="C640" s="121"/>
      <c r="D640" s="121"/>
      <c r="E640" s="127"/>
      <c r="F640" s="121"/>
      <c r="G640" s="121"/>
      <c r="H640" s="121"/>
      <c r="I640" s="121"/>
      <c r="J640" s="121"/>
      <c r="K640" s="121"/>
      <c r="L640" s="121"/>
      <c r="M640" s="121"/>
      <c r="N640" s="121"/>
      <c r="O640" s="121"/>
      <c r="P640" s="121"/>
      <c r="Q640" s="121"/>
      <c r="R640" s="121"/>
      <c r="S640" s="121"/>
      <c r="T640" s="121"/>
      <c r="U640" s="121"/>
      <c r="V640" s="121"/>
      <c r="W640" s="121"/>
      <c r="X640" s="121"/>
      <c r="Y640" s="121"/>
      <c r="Z640" s="121"/>
      <c r="AA640" s="121"/>
    </row>
    <row r="641" customFormat="false" ht="15.75" hidden="false" customHeight="false" outlineLevel="0" collapsed="false">
      <c r="A641" s="121" t="str">
        <f aca="false">IF(ISBLANK(B641),"",B641&amp;"|"&amp;C641)</f>
        <v/>
      </c>
      <c r="B641" s="121"/>
      <c r="C641" s="121"/>
      <c r="D641" s="121"/>
      <c r="E641" s="127"/>
      <c r="F641" s="121"/>
      <c r="G641" s="121"/>
      <c r="H641" s="121"/>
      <c r="I641" s="121"/>
      <c r="J641" s="121"/>
      <c r="K641" s="121"/>
      <c r="L641" s="121"/>
      <c r="M641" s="121"/>
      <c r="N641" s="121"/>
      <c r="O641" s="121"/>
      <c r="P641" s="121"/>
      <c r="Q641" s="121"/>
      <c r="R641" s="121"/>
      <c r="S641" s="121"/>
      <c r="T641" s="121"/>
      <c r="U641" s="121"/>
      <c r="V641" s="121"/>
      <c r="W641" s="121"/>
      <c r="X641" s="121"/>
      <c r="Y641" s="121"/>
      <c r="Z641" s="121"/>
      <c r="AA641" s="121"/>
    </row>
    <row r="642" customFormat="false" ht="15.75" hidden="false" customHeight="false" outlineLevel="0" collapsed="false">
      <c r="A642" s="121" t="str">
        <f aca="false">IF(ISBLANK(B642),"",B642&amp;"|"&amp;C642)</f>
        <v/>
      </c>
      <c r="B642" s="121"/>
      <c r="C642" s="121"/>
      <c r="D642" s="121"/>
      <c r="E642" s="127"/>
      <c r="F642" s="121"/>
      <c r="G642" s="121"/>
      <c r="H642" s="121"/>
      <c r="I642" s="121"/>
      <c r="J642" s="121"/>
      <c r="K642" s="121"/>
      <c r="L642" s="121"/>
      <c r="M642" s="121"/>
      <c r="N642" s="121"/>
      <c r="O642" s="121"/>
      <c r="P642" s="121"/>
      <c r="Q642" s="121"/>
      <c r="R642" s="121"/>
      <c r="S642" s="121"/>
      <c r="T642" s="121"/>
      <c r="U642" s="121"/>
      <c r="V642" s="121"/>
      <c r="W642" s="121"/>
      <c r="X642" s="121"/>
      <c r="Y642" s="121"/>
      <c r="Z642" s="121"/>
      <c r="AA642" s="121"/>
    </row>
    <row r="643" customFormat="false" ht="15.75" hidden="false" customHeight="false" outlineLevel="0" collapsed="false">
      <c r="A643" s="121" t="str">
        <f aca="false">IF(ISBLANK(B643),"",B643&amp;"|"&amp;C643)</f>
        <v/>
      </c>
      <c r="B643" s="121"/>
      <c r="C643" s="121"/>
      <c r="D643" s="121"/>
      <c r="E643" s="127"/>
      <c r="F643" s="121"/>
      <c r="G643" s="121"/>
      <c r="H643" s="121"/>
      <c r="I643" s="121"/>
      <c r="J643" s="121"/>
      <c r="K643" s="121"/>
      <c r="L643" s="121"/>
      <c r="M643" s="121"/>
      <c r="N643" s="121"/>
      <c r="O643" s="121"/>
      <c r="P643" s="121"/>
      <c r="Q643" s="121"/>
      <c r="R643" s="121"/>
      <c r="S643" s="121"/>
      <c r="T643" s="121"/>
      <c r="U643" s="121"/>
      <c r="V643" s="121"/>
      <c r="W643" s="121"/>
      <c r="X643" s="121"/>
      <c r="Y643" s="121"/>
      <c r="Z643" s="121"/>
      <c r="AA643" s="121"/>
    </row>
    <row r="644" customFormat="false" ht="15.75" hidden="false" customHeight="false" outlineLevel="0" collapsed="false">
      <c r="A644" s="121" t="str">
        <f aca="false">IF(ISBLANK(B644),"",B644&amp;"|"&amp;C644)</f>
        <v/>
      </c>
      <c r="B644" s="121"/>
      <c r="C644" s="121"/>
      <c r="D644" s="121"/>
      <c r="E644" s="127"/>
      <c r="F644" s="121"/>
      <c r="G644" s="121"/>
      <c r="H644" s="121"/>
      <c r="I644" s="121"/>
      <c r="J644" s="121"/>
      <c r="K644" s="121"/>
      <c r="L644" s="121"/>
      <c r="M644" s="121"/>
      <c r="N644" s="121"/>
      <c r="O644" s="121"/>
      <c r="P644" s="121"/>
      <c r="Q644" s="121"/>
      <c r="R644" s="121"/>
      <c r="S644" s="121"/>
      <c r="T644" s="121"/>
      <c r="U644" s="121"/>
      <c r="V644" s="121"/>
      <c r="W644" s="121"/>
      <c r="X644" s="121"/>
      <c r="Y644" s="121"/>
      <c r="Z644" s="121"/>
      <c r="AA644" s="121"/>
    </row>
    <row r="645" customFormat="false" ht="15.75" hidden="false" customHeight="false" outlineLevel="0" collapsed="false">
      <c r="A645" s="121" t="str">
        <f aca="false">IF(ISBLANK(B645),"",B645&amp;"|"&amp;C645)</f>
        <v/>
      </c>
      <c r="B645" s="121"/>
      <c r="C645" s="121"/>
      <c r="D645" s="121"/>
      <c r="E645" s="127"/>
      <c r="F645" s="121"/>
      <c r="G645" s="121"/>
      <c r="H645" s="121"/>
      <c r="I645" s="121"/>
      <c r="J645" s="121"/>
      <c r="K645" s="121"/>
      <c r="L645" s="121"/>
      <c r="M645" s="121"/>
      <c r="N645" s="121"/>
      <c r="O645" s="121"/>
      <c r="P645" s="121"/>
      <c r="Q645" s="121"/>
      <c r="R645" s="121"/>
      <c r="S645" s="121"/>
      <c r="T645" s="121"/>
      <c r="U645" s="121"/>
      <c r="V645" s="121"/>
      <c r="W645" s="121"/>
      <c r="X645" s="121"/>
      <c r="Y645" s="121"/>
      <c r="Z645" s="121"/>
      <c r="AA645" s="121"/>
    </row>
    <row r="646" customFormat="false" ht="15.75" hidden="false" customHeight="false" outlineLevel="0" collapsed="false">
      <c r="A646" s="121" t="str">
        <f aca="false">IF(ISBLANK(B646),"",B646&amp;"|"&amp;C646)</f>
        <v/>
      </c>
      <c r="B646" s="121"/>
      <c r="C646" s="121"/>
      <c r="D646" s="121"/>
      <c r="E646" s="127"/>
      <c r="F646" s="121"/>
      <c r="G646" s="121"/>
      <c r="H646" s="121"/>
      <c r="I646" s="121"/>
      <c r="J646" s="121"/>
      <c r="K646" s="121"/>
      <c r="L646" s="121"/>
      <c r="M646" s="121"/>
      <c r="N646" s="121"/>
      <c r="O646" s="121"/>
      <c r="P646" s="121"/>
      <c r="Q646" s="121"/>
      <c r="R646" s="121"/>
      <c r="S646" s="121"/>
      <c r="T646" s="121"/>
      <c r="U646" s="121"/>
      <c r="V646" s="121"/>
      <c r="W646" s="121"/>
      <c r="X646" s="121"/>
      <c r="Y646" s="121"/>
      <c r="Z646" s="121"/>
      <c r="AA646" s="121"/>
    </row>
    <row r="647" customFormat="false" ht="15.75" hidden="false" customHeight="false" outlineLevel="0" collapsed="false">
      <c r="A647" s="121" t="str">
        <f aca="false">IF(ISBLANK(B647),"",B647&amp;"|"&amp;C647)</f>
        <v/>
      </c>
      <c r="B647" s="121"/>
      <c r="C647" s="121"/>
      <c r="D647" s="121"/>
      <c r="E647" s="127"/>
      <c r="F647" s="121"/>
      <c r="G647" s="121"/>
      <c r="H647" s="121"/>
      <c r="I647" s="121"/>
      <c r="J647" s="121"/>
      <c r="K647" s="121"/>
      <c r="L647" s="121"/>
      <c r="M647" s="121"/>
      <c r="N647" s="121"/>
      <c r="O647" s="121"/>
      <c r="P647" s="121"/>
      <c r="Q647" s="121"/>
      <c r="R647" s="121"/>
      <c r="S647" s="121"/>
      <c r="T647" s="121"/>
      <c r="U647" s="121"/>
      <c r="V647" s="121"/>
      <c r="W647" s="121"/>
      <c r="X647" s="121"/>
      <c r="Y647" s="121"/>
      <c r="Z647" s="121"/>
      <c r="AA647" s="121"/>
    </row>
    <row r="648" customFormat="false" ht="15.75" hidden="false" customHeight="false" outlineLevel="0" collapsed="false">
      <c r="A648" s="121" t="str">
        <f aca="false">IF(ISBLANK(B648),"",B648&amp;"|"&amp;C648)</f>
        <v/>
      </c>
      <c r="B648" s="121"/>
      <c r="C648" s="121"/>
      <c r="D648" s="121"/>
      <c r="E648" s="127"/>
      <c r="F648" s="121"/>
      <c r="G648" s="121"/>
      <c r="H648" s="121"/>
      <c r="I648" s="121"/>
      <c r="J648" s="121"/>
      <c r="K648" s="121"/>
      <c r="L648" s="121"/>
      <c r="M648" s="121"/>
      <c r="N648" s="121"/>
      <c r="O648" s="121"/>
      <c r="P648" s="121"/>
      <c r="Q648" s="121"/>
      <c r="R648" s="121"/>
      <c r="S648" s="121"/>
      <c r="T648" s="121"/>
      <c r="U648" s="121"/>
      <c r="V648" s="121"/>
      <c r="W648" s="121"/>
      <c r="X648" s="121"/>
      <c r="Y648" s="121"/>
      <c r="Z648" s="121"/>
      <c r="AA648" s="121"/>
    </row>
    <row r="649" customFormat="false" ht="15.75" hidden="false" customHeight="false" outlineLevel="0" collapsed="false">
      <c r="A649" s="121" t="str">
        <f aca="false">IF(ISBLANK(B649),"",B649&amp;"|"&amp;C649)</f>
        <v/>
      </c>
      <c r="B649" s="121"/>
      <c r="C649" s="121"/>
      <c r="D649" s="121"/>
      <c r="E649" s="127"/>
      <c r="F649" s="121"/>
      <c r="G649" s="121"/>
      <c r="H649" s="121"/>
      <c r="I649" s="121"/>
      <c r="J649" s="121"/>
      <c r="K649" s="121"/>
      <c r="L649" s="121"/>
      <c r="M649" s="121"/>
      <c r="N649" s="121"/>
      <c r="O649" s="121"/>
      <c r="P649" s="121"/>
      <c r="Q649" s="121"/>
      <c r="R649" s="121"/>
      <c r="S649" s="121"/>
      <c r="T649" s="121"/>
      <c r="U649" s="121"/>
      <c r="V649" s="121"/>
      <c r="W649" s="121"/>
      <c r="X649" s="121"/>
      <c r="Y649" s="121"/>
      <c r="Z649" s="121"/>
      <c r="AA649" s="121"/>
    </row>
    <row r="650" customFormat="false" ht="15.75" hidden="false" customHeight="false" outlineLevel="0" collapsed="false">
      <c r="A650" s="121" t="str">
        <f aca="false">IF(ISBLANK(B650),"",B650&amp;"|"&amp;C650)</f>
        <v/>
      </c>
      <c r="B650" s="121"/>
      <c r="C650" s="121"/>
      <c r="D650" s="121"/>
      <c r="E650" s="127"/>
      <c r="F650" s="121"/>
      <c r="G650" s="121"/>
      <c r="H650" s="121"/>
      <c r="I650" s="121"/>
      <c r="J650" s="121"/>
      <c r="K650" s="121"/>
      <c r="L650" s="121"/>
      <c r="M650" s="121"/>
      <c r="N650" s="121"/>
      <c r="O650" s="121"/>
      <c r="P650" s="121"/>
      <c r="Q650" s="121"/>
      <c r="R650" s="121"/>
      <c r="S650" s="121"/>
      <c r="T650" s="121"/>
      <c r="U650" s="121"/>
      <c r="V650" s="121"/>
      <c r="W650" s="121"/>
      <c r="X650" s="121"/>
      <c r="Y650" s="121"/>
      <c r="Z650" s="121"/>
      <c r="AA650" s="121"/>
    </row>
    <row r="651" customFormat="false" ht="15.75" hidden="false" customHeight="false" outlineLevel="0" collapsed="false">
      <c r="A651" s="121" t="str">
        <f aca="false">IF(ISBLANK(B651),"",B651&amp;"|"&amp;C651)</f>
        <v/>
      </c>
      <c r="B651" s="121"/>
      <c r="C651" s="121"/>
      <c r="D651" s="121"/>
      <c r="E651" s="127"/>
      <c r="F651" s="121"/>
      <c r="G651" s="121"/>
      <c r="H651" s="121"/>
      <c r="I651" s="121"/>
      <c r="J651" s="121"/>
      <c r="K651" s="121"/>
      <c r="L651" s="121"/>
      <c r="M651" s="121"/>
      <c r="N651" s="121"/>
      <c r="O651" s="121"/>
      <c r="P651" s="121"/>
      <c r="Q651" s="121"/>
      <c r="R651" s="121"/>
      <c r="S651" s="121"/>
      <c r="T651" s="121"/>
      <c r="U651" s="121"/>
      <c r="V651" s="121"/>
      <c r="W651" s="121"/>
      <c r="X651" s="121"/>
      <c r="Y651" s="121"/>
      <c r="Z651" s="121"/>
      <c r="AA651" s="121"/>
    </row>
    <row r="652" customFormat="false" ht="15.75" hidden="false" customHeight="false" outlineLevel="0" collapsed="false">
      <c r="A652" s="121" t="str">
        <f aca="false">IF(ISBLANK(B652),"",B652&amp;"|"&amp;C652)</f>
        <v/>
      </c>
      <c r="B652" s="121"/>
      <c r="C652" s="121"/>
      <c r="D652" s="121"/>
      <c r="E652" s="127"/>
      <c r="F652" s="121"/>
      <c r="G652" s="121"/>
      <c r="H652" s="121"/>
      <c r="I652" s="121"/>
      <c r="J652" s="121"/>
      <c r="K652" s="121"/>
      <c r="L652" s="121"/>
      <c r="M652" s="121"/>
      <c r="N652" s="121"/>
      <c r="O652" s="121"/>
      <c r="P652" s="121"/>
      <c r="Q652" s="121"/>
      <c r="R652" s="121"/>
      <c r="S652" s="121"/>
      <c r="T652" s="121"/>
      <c r="U652" s="121"/>
      <c r="V652" s="121"/>
      <c r="W652" s="121"/>
      <c r="X652" s="121"/>
      <c r="Y652" s="121"/>
      <c r="Z652" s="121"/>
      <c r="AA652" s="121"/>
    </row>
    <row r="653" customFormat="false" ht="15.75" hidden="false" customHeight="false" outlineLevel="0" collapsed="false">
      <c r="A653" s="121" t="str">
        <f aca="false">IF(ISBLANK(B653),"",B653&amp;"|"&amp;C653)</f>
        <v/>
      </c>
      <c r="B653" s="121"/>
      <c r="C653" s="121"/>
      <c r="D653" s="121"/>
      <c r="E653" s="127"/>
      <c r="F653" s="121"/>
      <c r="G653" s="121"/>
      <c r="H653" s="121"/>
      <c r="I653" s="121"/>
      <c r="J653" s="121"/>
      <c r="K653" s="121"/>
      <c r="L653" s="121"/>
      <c r="M653" s="121"/>
      <c r="N653" s="121"/>
      <c r="O653" s="121"/>
      <c r="P653" s="121"/>
      <c r="Q653" s="121"/>
      <c r="R653" s="121"/>
      <c r="S653" s="121"/>
      <c r="T653" s="121"/>
      <c r="U653" s="121"/>
      <c r="V653" s="121"/>
      <c r="W653" s="121"/>
      <c r="X653" s="121"/>
      <c r="Y653" s="121"/>
      <c r="Z653" s="121"/>
      <c r="AA653" s="121"/>
    </row>
    <row r="654" customFormat="false" ht="15.75" hidden="false" customHeight="false" outlineLevel="0" collapsed="false">
      <c r="A654" s="121" t="str">
        <f aca="false">IF(ISBLANK(B654),"",B654&amp;"|"&amp;C654)</f>
        <v/>
      </c>
      <c r="B654" s="121"/>
      <c r="C654" s="121"/>
      <c r="D654" s="121"/>
      <c r="E654" s="127"/>
      <c r="F654" s="121"/>
      <c r="G654" s="121"/>
      <c r="H654" s="121"/>
      <c r="I654" s="121"/>
      <c r="J654" s="121"/>
      <c r="K654" s="121"/>
      <c r="L654" s="121"/>
      <c r="M654" s="121"/>
      <c r="N654" s="121"/>
      <c r="O654" s="121"/>
      <c r="P654" s="121"/>
      <c r="Q654" s="121"/>
      <c r="R654" s="121"/>
      <c r="S654" s="121"/>
      <c r="T654" s="121"/>
      <c r="U654" s="121"/>
      <c r="V654" s="121"/>
      <c r="W654" s="121"/>
      <c r="X654" s="121"/>
      <c r="Y654" s="121"/>
      <c r="Z654" s="121"/>
      <c r="AA654" s="121"/>
    </row>
    <row r="655" customFormat="false" ht="15.75" hidden="false" customHeight="false" outlineLevel="0" collapsed="false">
      <c r="A655" s="121" t="str">
        <f aca="false">IF(ISBLANK(B655),"",B655&amp;"|"&amp;C655)</f>
        <v/>
      </c>
      <c r="B655" s="121"/>
      <c r="C655" s="121"/>
      <c r="D655" s="121"/>
      <c r="E655" s="127"/>
      <c r="F655" s="121"/>
      <c r="G655" s="121"/>
      <c r="H655" s="121"/>
      <c r="I655" s="121"/>
      <c r="J655" s="121"/>
      <c r="K655" s="121"/>
      <c r="L655" s="121"/>
      <c r="M655" s="121"/>
      <c r="N655" s="121"/>
      <c r="O655" s="121"/>
      <c r="P655" s="121"/>
      <c r="Q655" s="121"/>
      <c r="R655" s="121"/>
      <c r="S655" s="121"/>
      <c r="T655" s="121"/>
      <c r="U655" s="121"/>
      <c r="V655" s="121"/>
      <c r="W655" s="121"/>
      <c r="X655" s="121"/>
      <c r="Y655" s="121"/>
      <c r="Z655" s="121"/>
      <c r="AA655" s="121"/>
    </row>
    <row r="656" customFormat="false" ht="15.75" hidden="false" customHeight="false" outlineLevel="0" collapsed="false">
      <c r="A656" s="121" t="str">
        <f aca="false">IF(ISBLANK(B656),"",B656&amp;"|"&amp;C656)</f>
        <v/>
      </c>
      <c r="B656" s="121"/>
      <c r="C656" s="121"/>
      <c r="D656" s="121"/>
      <c r="E656" s="127"/>
      <c r="F656" s="121"/>
      <c r="G656" s="121"/>
      <c r="H656" s="121"/>
      <c r="I656" s="121"/>
      <c r="J656" s="121"/>
      <c r="K656" s="121"/>
      <c r="L656" s="121"/>
      <c r="M656" s="121"/>
      <c r="N656" s="121"/>
      <c r="O656" s="121"/>
      <c r="P656" s="121"/>
      <c r="Q656" s="121"/>
      <c r="R656" s="121"/>
      <c r="S656" s="121"/>
      <c r="T656" s="121"/>
      <c r="U656" s="121"/>
      <c r="V656" s="121"/>
      <c r="W656" s="121"/>
      <c r="X656" s="121"/>
      <c r="Y656" s="121"/>
      <c r="Z656" s="121"/>
      <c r="AA656" s="121"/>
    </row>
    <row r="657" customFormat="false" ht="15.75" hidden="false" customHeight="false" outlineLevel="0" collapsed="false">
      <c r="A657" s="121" t="str">
        <f aca="false">IF(ISBLANK(B657),"",B657&amp;"|"&amp;C657)</f>
        <v/>
      </c>
      <c r="B657" s="121"/>
      <c r="C657" s="121"/>
      <c r="D657" s="121"/>
      <c r="E657" s="127"/>
      <c r="F657" s="121"/>
      <c r="G657" s="121"/>
      <c r="H657" s="121"/>
      <c r="I657" s="121"/>
      <c r="J657" s="121"/>
      <c r="K657" s="121"/>
      <c r="L657" s="121"/>
      <c r="M657" s="121"/>
      <c r="N657" s="121"/>
      <c r="O657" s="121"/>
      <c r="P657" s="121"/>
      <c r="Q657" s="121"/>
      <c r="R657" s="121"/>
      <c r="S657" s="121"/>
      <c r="T657" s="121"/>
      <c r="U657" s="121"/>
      <c r="V657" s="121"/>
      <c r="W657" s="121"/>
      <c r="X657" s="121"/>
      <c r="Y657" s="121"/>
      <c r="Z657" s="121"/>
      <c r="AA657" s="121"/>
    </row>
    <row r="658" customFormat="false" ht="15.75" hidden="false" customHeight="false" outlineLevel="0" collapsed="false">
      <c r="A658" s="121" t="str">
        <f aca="false">IF(ISBLANK(B658),"",B658&amp;"|"&amp;C658)</f>
        <v/>
      </c>
      <c r="B658" s="121"/>
      <c r="C658" s="121"/>
      <c r="D658" s="121"/>
      <c r="E658" s="127"/>
      <c r="F658" s="121"/>
      <c r="G658" s="121"/>
      <c r="H658" s="121"/>
      <c r="I658" s="121"/>
      <c r="J658" s="121"/>
      <c r="K658" s="121"/>
      <c r="L658" s="121"/>
      <c r="M658" s="121"/>
      <c r="N658" s="121"/>
      <c r="O658" s="121"/>
      <c r="P658" s="121"/>
      <c r="Q658" s="121"/>
      <c r="R658" s="121"/>
      <c r="S658" s="121"/>
      <c r="T658" s="121"/>
      <c r="U658" s="121"/>
      <c r="V658" s="121"/>
      <c r="W658" s="121"/>
      <c r="X658" s="121"/>
      <c r="Y658" s="121"/>
      <c r="Z658" s="121"/>
      <c r="AA658" s="121"/>
    </row>
    <row r="659" customFormat="false" ht="15.75" hidden="false" customHeight="false" outlineLevel="0" collapsed="false">
      <c r="A659" s="121" t="str">
        <f aca="false">IF(ISBLANK(B659),"",B659&amp;"|"&amp;C659)</f>
        <v/>
      </c>
      <c r="B659" s="121"/>
      <c r="C659" s="121"/>
      <c r="D659" s="121"/>
      <c r="E659" s="127"/>
      <c r="F659" s="121"/>
      <c r="G659" s="121"/>
      <c r="H659" s="121"/>
      <c r="I659" s="121"/>
      <c r="J659" s="121"/>
      <c r="K659" s="121"/>
      <c r="L659" s="121"/>
      <c r="M659" s="121"/>
      <c r="N659" s="121"/>
      <c r="O659" s="121"/>
      <c r="P659" s="121"/>
      <c r="Q659" s="121"/>
      <c r="R659" s="121"/>
      <c r="S659" s="121"/>
      <c r="T659" s="121"/>
      <c r="U659" s="121"/>
      <c r="V659" s="121"/>
      <c r="W659" s="121"/>
      <c r="X659" s="121"/>
      <c r="Y659" s="121"/>
      <c r="Z659" s="121"/>
      <c r="AA659" s="121"/>
    </row>
    <row r="660" customFormat="false" ht="15.75" hidden="false" customHeight="false" outlineLevel="0" collapsed="false">
      <c r="A660" s="121" t="str">
        <f aca="false">IF(ISBLANK(B660),"",B660&amp;"|"&amp;C660)</f>
        <v/>
      </c>
      <c r="B660" s="121"/>
      <c r="C660" s="121"/>
      <c r="D660" s="121"/>
      <c r="E660" s="127"/>
      <c r="F660" s="121"/>
      <c r="G660" s="121"/>
      <c r="H660" s="121"/>
      <c r="I660" s="121"/>
      <c r="J660" s="121"/>
      <c r="K660" s="121"/>
      <c r="L660" s="121"/>
      <c r="M660" s="121"/>
      <c r="N660" s="121"/>
      <c r="O660" s="121"/>
      <c r="P660" s="121"/>
      <c r="Q660" s="121"/>
      <c r="R660" s="121"/>
      <c r="S660" s="121"/>
      <c r="T660" s="121"/>
      <c r="U660" s="121"/>
      <c r="V660" s="121"/>
      <c r="W660" s="121"/>
      <c r="X660" s="121"/>
      <c r="Y660" s="121"/>
      <c r="Z660" s="121"/>
      <c r="AA660" s="121"/>
    </row>
    <row r="661" customFormat="false" ht="15.75" hidden="false" customHeight="false" outlineLevel="0" collapsed="false">
      <c r="A661" s="121" t="str">
        <f aca="false">IF(ISBLANK(B661),"",B661&amp;"|"&amp;C661)</f>
        <v/>
      </c>
      <c r="B661" s="121"/>
      <c r="C661" s="121"/>
      <c r="D661" s="121"/>
      <c r="E661" s="127"/>
      <c r="F661" s="121"/>
      <c r="G661" s="121"/>
      <c r="H661" s="121"/>
      <c r="I661" s="121"/>
      <c r="J661" s="121"/>
      <c r="K661" s="121"/>
      <c r="L661" s="121"/>
      <c r="M661" s="121"/>
      <c r="N661" s="121"/>
      <c r="O661" s="121"/>
      <c r="P661" s="121"/>
      <c r="Q661" s="121"/>
      <c r="R661" s="121"/>
      <c r="S661" s="121"/>
      <c r="T661" s="121"/>
      <c r="U661" s="121"/>
      <c r="V661" s="121"/>
      <c r="W661" s="121"/>
      <c r="X661" s="121"/>
      <c r="Y661" s="121"/>
      <c r="Z661" s="121"/>
      <c r="AA661" s="121"/>
    </row>
    <row r="662" customFormat="false" ht="15.75" hidden="false" customHeight="false" outlineLevel="0" collapsed="false">
      <c r="A662" s="121" t="str">
        <f aca="false">IF(ISBLANK(B662),"",B662&amp;"|"&amp;C662)</f>
        <v/>
      </c>
      <c r="B662" s="121"/>
      <c r="C662" s="121"/>
      <c r="D662" s="121"/>
      <c r="E662" s="127"/>
      <c r="F662" s="121"/>
      <c r="G662" s="121"/>
      <c r="H662" s="121"/>
      <c r="I662" s="121"/>
      <c r="J662" s="121"/>
      <c r="K662" s="121"/>
      <c r="L662" s="121"/>
      <c r="M662" s="121"/>
      <c r="N662" s="121"/>
      <c r="O662" s="121"/>
      <c r="P662" s="121"/>
      <c r="Q662" s="121"/>
      <c r="R662" s="121"/>
      <c r="S662" s="121"/>
      <c r="T662" s="121"/>
      <c r="U662" s="121"/>
      <c r="V662" s="121"/>
      <c r="W662" s="121"/>
      <c r="X662" s="121"/>
      <c r="Y662" s="121"/>
      <c r="Z662" s="121"/>
      <c r="AA662" s="121"/>
    </row>
    <row r="663" customFormat="false" ht="15.75" hidden="false" customHeight="false" outlineLevel="0" collapsed="false">
      <c r="A663" s="121" t="str">
        <f aca="false">IF(ISBLANK(B663),"",B663&amp;"|"&amp;C663)</f>
        <v/>
      </c>
      <c r="B663" s="121"/>
      <c r="C663" s="121"/>
      <c r="D663" s="121"/>
      <c r="E663" s="127"/>
      <c r="F663" s="121"/>
      <c r="G663" s="121"/>
      <c r="H663" s="121"/>
      <c r="I663" s="121"/>
      <c r="J663" s="121"/>
      <c r="K663" s="121"/>
      <c r="L663" s="121"/>
      <c r="M663" s="121"/>
      <c r="N663" s="121"/>
      <c r="O663" s="121"/>
      <c r="P663" s="121"/>
      <c r="Q663" s="121"/>
      <c r="R663" s="121"/>
      <c r="S663" s="121"/>
      <c r="T663" s="121"/>
      <c r="U663" s="121"/>
      <c r="V663" s="121"/>
      <c r="W663" s="121"/>
      <c r="X663" s="121"/>
      <c r="Y663" s="121"/>
      <c r="Z663" s="121"/>
      <c r="AA663" s="121"/>
    </row>
    <row r="664" customFormat="false" ht="15.75" hidden="false" customHeight="false" outlineLevel="0" collapsed="false">
      <c r="A664" s="121" t="str">
        <f aca="false">IF(ISBLANK(B664),"",B664&amp;"|"&amp;C664)</f>
        <v/>
      </c>
      <c r="B664" s="121"/>
      <c r="C664" s="121"/>
      <c r="D664" s="121"/>
      <c r="E664" s="127"/>
      <c r="F664" s="121"/>
      <c r="G664" s="121"/>
      <c r="H664" s="121"/>
      <c r="I664" s="121"/>
      <c r="J664" s="121"/>
      <c r="K664" s="121"/>
      <c r="L664" s="121"/>
      <c r="M664" s="121"/>
      <c r="N664" s="121"/>
      <c r="O664" s="121"/>
      <c r="P664" s="121"/>
      <c r="Q664" s="121"/>
      <c r="R664" s="121"/>
      <c r="S664" s="121"/>
      <c r="T664" s="121"/>
      <c r="U664" s="121"/>
      <c r="V664" s="121"/>
      <c r="W664" s="121"/>
      <c r="X664" s="121"/>
      <c r="Y664" s="121"/>
      <c r="Z664" s="121"/>
      <c r="AA664" s="121"/>
    </row>
    <row r="665" customFormat="false" ht="15.75" hidden="false" customHeight="false" outlineLevel="0" collapsed="false">
      <c r="A665" s="121" t="str">
        <f aca="false">IF(ISBLANK(B665),"",B665&amp;"|"&amp;C665)</f>
        <v/>
      </c>
      <c r="B665" s="121"/>
      <c r="C665" s="121"/>
      <c r="D665" s="121"/>
      <c r="E665" s="127"/>
      <c r="F665" s="121"/>
      <c r="G665" s="121"/>
      <c r="H665" s="121"/>
      <c r="I665" s="121"/>
      <c r="J665" s="121"/>
      <c r="K665" s="121"/>
      <c r="L665" s="121"/>
      <c r="M665" s="121"/>
      <c r="N665" s="121"/>
      <c r="O665" s="121"/>
      <c r="P665" s="121"/>
      <c r="Q665" s="121"/>
      <c r="R665" s="121"/>
      <c r="S665" s="121"/>
      <c r="T665" s="121"/>
      <c r="U665" s="121"/>
      <c r="V665" s="121"/>
      <c r="W665" s="121"/>
      <c r="X665" s="121"/>
      <c r="Y665" s="121"/>
      <c r="Z665" s="121"/>
      <c r="AA665" s="121"/>
    </row>
    <row r="666" customFormat="false" ht="15.75" hidden="false" customHeight="false" outlineLevel="0" collapsed="false">
      <c r="A666" s="121" t="str">
        <f aca="false">IF(ISBLANK(B666),"",B666&amp;"|"&amp;C666)</f>
        <v/>
      </c>
      <c r="B666" s="121"/>
      <c r="C666" s="121"/>
      <c r="D666" s="121"/>
      <c r="E666" s="127"/>
      <c r="F666" s="121"/>
      <c r="G666" s="121"/>
      <c r="H666" s="121"/>
      <c r="I666" s="121"/>
      <c r="J666" s="121"/>
      <c r="K666" s="121"/>
      <c r="L666" s="121"/>
      <c r="M666" s="121"/>
      <c r="N666" s="121"/>
      <c r="O666" s="121"/>
      <c r="P666" s="121"/>
      <c r="Q666" s="121"/>
      <c r="R666" s="121"/>
      <c r="S666" s="121"/>
      <c r="T666" s="121"/>
      <c r="U666" s="121"/>
      <c r="V666" s="121"/>
      <c r="W666" s="121"/>
      <c r="X666" s="121"/>
      <c r="Y666" s="121"/>
      <c r="Z666" s="121"/>
      <c r="AA666" s="121"/>
    </row>
    <row r="667" customFormat="false" ht="15.75" hidden="false" customHeight="false" outlineLevel="0" collapsed="false">
      <c r="A667" s="121" t="str">
        <f aca="false">IF(ISBLANK(B667),"",B667&amp;"|"&amp;C667)</f>
        <v/>
      </c>
      <c r="B667" s="121"/>
      <c r="C667" s="121"/>
      <c r="D667" s="121"/>
      <c r="E667" s="127"/>
      <c r="F667" s="121"/>
      <c r="G667" s="121"/>
      <c r="H667" s="121"/>
      <c r="I667" s="121"/>
      <c r="J667" s="121"/>
      <c r="K667" s="121"/>
      <c r="L667" s="121"/>
      <c r="M667" s="121"/>
      <c r="N667" s="121"/>
      <c r="O667" s="121"/>
      <c r="P667" s="121"/>
      <c r="Q667" s="121"/>
      <c r="R667" s="121"/>
      <c r="S667" s="121"/>
      <c r="T667" s="121"/>
      <c r="U667" s="121"/>
      <c r="V667" s="121"/>
      <c r="W667" s="121"/>
      <c r="X667" s="121"/>
      <c r="Y667" s="121"/>
      <c r="Z667" s="121"/>
      <c r="AA667" s="121"/>
    </row>
    <row r="668" customFormat="false" ht="15.75" hidden="false" customHeight="false" outlineLevel="0" collapsed="false">
      <c r="A668" s="121" t="str">
        <f aca="false">IF(ISBLANK(B668),"",B668&amp;"|"&amp;C668)</f>
        <v/>
      </c>
      <c r="B668" s="121"/>
      <c r="C668" s="121"/>
      <c r="D668" s="121"/>
      <c r="E668" s="127"/>
      <c r="F668" s="121"/>
      <c r="G668" s="121"/>
      <c r="H668" s="121"/>
      <c r="I668" s="121"/>
      <c r="J668" s="121"/>
      <c r="K668" s="121"/>
      <c r="L668" s="121"/>
      <c r="M668" s="121"/>
      <c r="N668" s="121"/>
      <c r="O668" s="121"/>
      <c r="P668" s="121"/>
      <c r="Q668" s="121"/>
      <c r="R668" s="121"/>
      <c r="S668" s="121"/>
      <c r="T668" s="121"/>
      <c r="U668" s="121"/>
      <c r="V668" s="121"/>
      <c r="W668" s="121"/>
      <c r="X668" s="121"/>
      <c r="Y668" s="121"/>
      <c r="Z668" s="121"/>
      <c r="AA668" s="121"/>
    </row>
    <row r="669" customFormat="false" ht="15.75" hidden="false" customHeight="false" outlineLevel="0" collapsed="false">
      <c r="A669" s="121" t="str">
        <f aca="false">IF(ISBLANK(B669),"",B669&amp;"|"&amp;C669)</f>
        <v/>
      </c>
      <c r="B669" s="121"/>
      <c r="C669" s="121"/>
      <c r="D669" s="121"/>
      <c r="E669" s="127"/>
      <c r="F669" s="121"/>
      <c r="G669" s="121"/>
      <c r="H669" s="121"/>
      <c r="I669" s="121"/>
      <c r="J669" s="121"/>
      <c r="K669" s="121"/>
      <c r="L669" s="121"/>
      <c r="M669" s="121"/>
      <c r="N669" s="121"/>
      <c r="O669" s="121"/>
      <c r="P669" s="121"/>
      <c r="Q669" s="121"/>
      <c r="R669" s="121"/>
      <c r="S669" s="121"/>
      <c r="T669" s="121"/>
      <c r="U669" s="121"/>
      <c r="V669" s="121"/>
      <c r="W669" s="121"/>
      <c r="X669" s="121"/>
      <c r="Y669" s="121"/>
      <c r="Z669" s="121"/>
      <c r="AA669" s="121"/>
    </row>
    <row r="670" customFormat="false" ht="15.75" hidden="false" customHeight="false" outlineLevel="0" collapsed="false">
      <c r="A670" s="121" t="str">
        <f aca="false">IF(ISBLANK(B670),"",B670&amp;"|"&amp;C670)</f>
        <v/>
      </c>
      <c r="B670" s="121"/>
      <c r="C670" s="121"/>
      <c r="D670" s="121"/>
      <c r="E670" s="127"/>
      <c r="F670" s="121"/>
      <c r="G670" s="121"/>
      <c r="H670" s="121"/>
      <c r="I670" s="121"/>
      <c r="J670" s="121"/>
      <c r="K670" s="121"/>
      <c r="L670" s="121"/>
      <c r="M670" s="121"/>
      <c r="N670" s="121"/>
      <c r="O670" s="121"/>
      <c r="P670" s="121"/>
      <c r="Q670" s="121"/>
      <c r="R670" s="121"/>
      <c r="S670" s="121"/>
      <c r="T670" s="121"/>
      <c r="U670" s="121"/>
      <c r="V670" s="121"/>
      <c r="W670" s="121"/>
      <c r="X670" s="121"/>
      <c r="Y670" s="121"/>
      <c r="Z670" s="121"/>
      <c r="AA670" s="121"/>
    </row>
    <row r="671" customFormat="false" ht="15.75" hidden="false" customHeight="false" outlineLevel="0" collapsed="false">
      <c r="A671" s="121" t="str">
        <f aca="false">IF(ISBLANK(B671),"",B671&amp;"|"&amp;C671)</f>
        <v/>
      </c>
      <c r="B671" s="121"/>
      <c r="C671" s="121"/>
      <c r="D671" s="121"/>
      <c r="E671" s="127"/>
      <c r="F671" s="121"/>
      <c r="G671" s="121"/>
      <c r="H671" s="121"/>
      <c r="I671" s="121"/>
      <c r="J671" s="121"/>
      <c r="K671" s="121"/>
      <c r="L671" s="121"/>
      <c r="M671" s="121"/>
      <c r="N671" s="121"/>
      <c r="O671" s="121"/>
      <c r="P671" s="121"/>
      <c r="Q671" s="121"/>
      <c r="R671" s="121"/>
      <c r="S671" s="121"/>
      <c r="T671" s="121"/>
      <c r="U671" s="121"/>
      <c r="V671" s="121"/>
      <c r="W671" s="121"/>
      <c r="X671" s="121"/>
      <c r="Y671" s="121"/>
      <c r="Z671" s="121"/>
      <c r="AA671" s="121"/>
    </row>
    <row r="672" customFormat="false" ht="15.75" hidden="false" customHeight="false" outlineLevel="0" collapsed="false">
      <c r="A672" s="121" t="str">
        <f aca="false">IF(ISBLANK(B672),"",B672&amp;"|"&amp;C672)</f>
        <v/>
      </c>
      <c r="B672" s="121"/>
      <c r="C672" s="121"/>
      <c r="D672" s="121"/>
      <c r="E672" s="127"/>
      <c r="F672" s="121"/>
      <c r="G672" s="121"/>
      <c r="H672" s="121"/>
      <c r="I672" s="121"/>
      <c r="J672" s="121"/>
      <c r="K672" s="121"/>
      <c r="L672" s="121"/>
      <c r="M672" s="121"/>
      <c r="N672" s="121"/>
      <c r="O672" s="121"/>
      <c r="P672" s="121"/>
      <c r="Q672" s="121"/>
      <c r="R672" s="121"/>
      <c r="S672" s="121"/>
      <c r="T672" s="121"/>
      <c r="U672" s="121"/>
      <c r="V672" s="121"/>
      <c r="W672" s="121"/>
      <c r="X672" s="121"/>
      <c r="Y672" s="121"/>
      <c r="Z672" s="121"/>
      <c r="AA672" s="121"/>
    </row>
    <row r="673" customFormat="false" ht="15.75" hidden="false" customHeight="false" outlineLevel="0" collapsed="false">
      <c r="A673" s="121" t="str">
        <f aca="false">IF(ISBLANK(B673),"",B673&amp;"|"&amp;C673)</f>
        <v/>
      </c>
      <c r="B673" s="121"/>
      <c r="C673" s="121"/>
      <c r="D673" s="121"/>
      <c r="E673" s="127"/>
      <c r="F673" s="121"/>
      <c r="G673" s="121"/>
      <c r="H673" s="121"/>
      <c r="I673" s="121"/>
      <c r="J673" s="121"/>
      <c r="K673" s="121"/>
      <c r="L673" s="121"/>
      <c r="M673" s="121"/>
      <c r="N673" s="121"/>
      <c r="O673" s="121"/>
      <c r="P673" s="121"/>
      <c r="Q673" s="121"/>
      <c r="R673" s="121"/>
      <c r="S673" s="121"/>
      <c r="T673" s="121"/>
      <c r="U673" s="121"/>
      <c r="V673" s="121"/>
      <c r="W673" s="121"/>
      <c r="X673" s="121"/>
      <c r="Y673" s="121"/>
      <c r="Z673" s="121"/>
      <c r="AA673" s="121"/>
    </row>
    <row r="674" customFormat="false" ht="15.75" hidden="false" customHeight="false" outlineLevel="0" collapsed="false">
      <c r="A674" s="121" t="str">
        <f aca="false">IF(ISBLANK(B674),"",B674&amp;"|"&amp;C674)</f>
        <v/>
      </c>
      <c r="B674" s="121"/>
      <c r="C674" s="121"/>
      <c r="D674" s="121"/>
      <c r="E674" s="127"/>
      <c r="F674" s="121"/>
      <c r="G674" s="121"/>
      <c r="H674" s="121"/>
      <c r="I674" s="121"/>
      <c r="J674" s="121"/>
      <c r="K674" s="121"/>
      <c r="L674" s="121"/>
      <c r="M674" s="121"/>
      <c r="N674" s="121"/>
      <c r="O674" s="121"/>
      <c r="P674" s="121"/>
      <c r="Q674" s="121"/>
      <c r="R674" s="121"/>
      <c r="S674" s="121"/>
      <c r="T674" s="121"/>
      <c r="U674" s="121"/>
      <c r="V674" s="121"/>
      <c r="W674" s="121"/>
      <c r="X674" s="121"/>
      <c r="Y674" s="121"/>
      <c r="Z674" s="121"/>
      <c r="AA674" s="121"/>
    </row>
    <row r="675" customFormat="false" ht="15.75" hidden="false" customHeight="false" outlineLevel="0" collapsed="false">
      <c r="A675" s="121" t="str">
        <f aca="false">IF(ISBLANK(B675),"",B675&amp;"|"&amp;C675)</f>
        <v/>
      </c>
      <c r="B675" s="121"/>
      <c r="C675" s="121"/>
      <c r="D675" s="121"/>
      <c r="E675" s="127"/>
      <c r="F675" s="121"/>
      <c r="G675" s="121"/>
      <c r="H675" s="121"/>
      <c r="I675" s="121"/>
      <c r="J675" s="121"/>
      <c r="K675" s="121"/>
      <c r="L675" s="121"/>
      <c r="M675" s="121"/>
      <c r="N675" s="121"/>
      <c r="O675" s="121"/>
      <c r="P675" s="121"/>
      <c r="Q675" s="121"/>
      <c r="R675" s="121"/>
      <c r="S675" s="121"/>
      <c r="T675" s="121"/>
      <c r="U675" s="121"/>
      <c r="V675" s="121"/>
      <c r="W675" s="121"/>
      <c r="X675" s="121"/>
      <c r="Y675" s="121"/>
      <c r="Z675" s="121"/>
      <c r="AA675" s="121"/>
    </row>
    <row r="676" customFormat="false" ht="15.75" hidden="false" customHeight="false" outlineLevel="0" collapsed="false">
      <c r="A676" s="121" t="str">
        <f aca="false">IF(ISBLANK(B676),"",B676&amp;"|"&amp;C676)</f>
        <v/>
      </c>
      <c r="B676" s="121"/>
      <c r="C676" s="121"/>
      <c r="D676" s="121"/>
      <c r="E676" s="127"/>
      <c r="F676" s="121"/>
      <c r="G676" s="121"/>
      <c r="H676" s="121"/>
      <c r="I676" s="121"/>
      <c r="J676" s="121"/>
      <c r="K676" s="121"/>
      <c r="L676" s="121"/>
      <c r="M676" s="121"/>
      <c r="N676" s="121"/>
      <c r="O676" s="121"/>
      <c r="P676" s="121"/>
      <c r="Q676" s="121"/>
      <c r="R676" s="121"/>
      <c r="S676" s="121"/>
      <c r="T676" s="121"/>
      <c r="U676" s="121"/>
      <c r="V676" s="121"/>
      <c r="W676" s="121"/>
      <c r="X676" s="121"/>
      <c r="Y676" s="121"/>
      <c r="Z676" s="121"/>
      <c r="AA676" s="121"/>
    </row>
    <row r="677" customFormat="false" ht="15.75" hidden="false" customHeight="false" outlineLevel="0" collapsed="false">
      <c r="A677" s="121" t="str">
        <f aca="false">IF(ISBLANK(B677),"",B677&amp;"|"&amp;C677)</f>
        <v/>
      </c>
      <c r="B677" s="121"/>
      <c r="C677" s="121"/>
      <c r="D677" s="121"/>
      <c r="E677" s="127"/>
      <c r="F677" s="121"/>
      <c r="G677" s="121"/>
      <c r="H677" s="121"/>
      <c r="I677" s="121"/>
      <c r="J677" s="121"/>
      <c r="K677" s="121"/>
      <c r="L677" s="121"/>
      <c r="M677" s="121"/>
      <c r="N677" s="121"/>
      <c r="O677" s="121"/>
      <c r="P677" s="121"/>
      <c r="Q677" s="121"/>
      <c r="R677" s="121"/>
      <c r="S677" s="121"/>
      <c r="T677" s="121"/>
      <c r="U677" s="121"/>
      <c r="V677" s="121"/>
      <c r="W677" s="121"/>
      <c r="X677" s="121"/>
      <c r="Y677" s="121"/>
      <c r="Z677" s="121"/>
      <c r="AA677" s="121"/>
    </row>
    <row r="678" customFormat="false" ht="15.75" hidden="false" customHeight="false" outlineLevel="0" collapsed="false">
      <c r="A678" s="121" t="str">
        <f aca="false">IF(ISBLANK(B678),"",B678&amp;"|"&amp;C678)</f>
        <v/>
      </c>
      <c r="B678" s="121"/>
      <c r="C678" s="121"/>
      <c r="D678" s="121"/>
      <c r="E678" s="127"/>
      <c r="F678" s="121"/>
      <c r="G678" s="121"/>
      <c r="H678" s="121"/>
      <c r="I678" s="121"/>
      <c r="J678" s="121"/>
      <c r="K678" s="121"/>
      <c r="L678" s="121"/>
      <c r="M678" s="121"/>
      <c r="N678" s="121"/>
      <c r="O678" s="121"/>
      <c r="P678" s="121"/>
      <c r="Q678" s="121"/>
      <c r="R678" s="121"/>
      <c r="S678" s="121"/>
      <c r="T678" s="121"/>
      <c r="U678" s="121"/>
      <c r="V678" s="121"/>
      <c r="W678" s="121"/>
      <c r="X678" s="121"/>
      <c r="Y678" s="121"/>
      <c r="Z678" s="121"/>
      <c r="AA678" s="121"/>
    </row>
    <row r="679" customFormat="false" ht="15.75" hidden="false" customHeight="false" outlineLevel="0" collapsed="false">
      <c r="A679" s="121" t="str">
        <f aca="false">IF(ISBLANK(B679),"",B679&amp;"|"&amp;C679)</f>
        <v/>
      </c>
      <c r="B679" s="121"/>
      <c r="C679" s="121"/>
      <c r="D679" s="121"/>
      <c r="E679" s="127"/>
      <c r="F679" s="121"/>
      <c r="G679" s="121"/>
      <c r="H679" s="121"/>
      <c r="I679" s="121"/>
      <c r="J679" s="121"/>
      <c r="K679" s="121"/>
      <c r="L679" s="121"/>
      <c r="M679" s="121"/>
      <c r="N679" s="121"/>
      <c r="O679" s="121"/>
      <c r="P679" s="121"/>
      <c r="Q679" s="121"/>
      <c r="R679" s="121"/>
      <c r="S679" s="121"/>
      <c r="T679" s="121"/>
      <c r="U679" s="121"/>
      <c r="V679" s="121"/>
      <c r="W679" s="121"/>
      <c r="X679" s="121"/>
      <c r="Y679" s="121"/>
      <c r="Z679" s="121"/>
      <c r="AA679" s="121"/>
    </row>
    <row r="680" customFormat="false" ht="15.75" hidden="false" customHeight="false" outlineLevel="0" collapsed="false">
      <c r="A680" s="121" t="str">
        <f aca="false">IF(ISBLANK(B680),"",B680&amp;"|"&amp;C680)</f>
        <v/>
      </c>
      <c r="B680" s="121"/>
      <c r="C680" s="121"/>
      <c r="D680" s="121"/>
      <c r="E680" s="127"/>
      <c r="F680" s="121"/>
      <c r="G680" s="121"/>
      <c r="H680" s="121"/>
      <c r="I680" s="121"/>
      <c r="J680" s="121"/>
      <c r="K680" s="121"/>
      <c r="L680" s="121"/>
      <c r="M680" s="121"/>
      <c r="N680" s="121"/>
      <c r="O680" s="121"/>
      <c r="P680" s="121"/>
      <c r="Q680" s="121"/>
      <c r="R680" s="121"/>
      <c r="S680" s="121"/>
      <c r="T680" s="121"/>
      <c r="U680" s="121"/>
      <c r="V680" s="121"/>
      <c r="W680" s="121"/>
      <c r="X680" s="121"/>
      <c r="Y680" s="121"/>
      <c r="Z680" s="121"/>
      <c r="AA680" s="121"/>
    </row>
    <row r="681" customFormat="false" ht="15.75" hidden="false" customHeight="false" outlineLevel="0" collapsed="false">
      <c r="A681" s="121" t="str">
        <f aca="false">IF(ISBLANK(B681),"",B681&amp;"|"&amp;C681)</f>
        <v/>
      </c>
      <c r="B681" s="121"/>
      <c r="C681" s="121"/>
      <c r="D681" s="121"/>
      <c r="E681" s="127"/>
      <c r="F681" s="121"/>
      <c r="G681" s="121"/>
      <c r="H681" s="121"/>
      <c r="I681" s="121"/>
      <c r="J681" s="121"/>
      <c r="K681" s="121"/>
      <c r="L681" s="121"/>
      <c r="M681" s="121"/>
      <c r="N681" s="121"/>
      <c r="O681" s="121"/>
      <c r="P681" s="121"/>
      <c r="Q681" s="121"/>
      <c r="R681" s="121"/>
      <c r="S681" s="121"/>
      <c r="T681" s="121"/>
      <c r="U681" s="121"/>
      <c r="V681" s="121"/>
      <c r="W681" s="121"/>
      <c r="X681" s="121"/>
      <c r="Y681" s="121"/>
      <c r="Z681" s="121"/>
      <c r="AA681" s="121"/>
    </row>
    <row r="682" customFormat="false" ht="15.75" hidden="false" customHeight="false" outlineLevel="0" collapsed="false">
      <c r="A682" s="121" t="str">
        <f aca="false">IF(ISBLANK(B682),"",B682&amp;"|"&amp;C682)</f>
        <v/>
      </c>
      <c r="B682" s="121"/>
      <c r="C682" s="121"/>
      <c r="D682" s="121"/>
      <c r="E682" s="127"/>
      <c r="F682" s="121"/>
      <c r="G682" s="121"/>
      <c r="H682" s="121"/>
      <c r="I682" s="121"/>
      <c r="J682" s="121"/>
      <c r="K682" s="121"/>
      <c r="L682" s="121"/>
      <c r="M682" s="121"/>
      <c r="N682" s="121"/>
      <c r="O682" s="121"/>
      <c r="P682" s="121"/>
      <c r="Q682" s="121"/>
      <c r="R682" s="121"/>
      <c r="S682" s="121"/>
      <c r="T682" s="121"/>
      <c r="U682" s="121"/>
      <c r="V682" s="121"/>
      <c r="W682" s="121"/>
      <c r="X682" s="121"/>
      <c r="Y682" s="121"/>
      <c r="Z682" s="121"/>
      <c r="AA682" s="121"/>
    </row>
    <row r="683" customFormat="false" ht="15.75" hidden="false" customHeight="false" outlineLevel="0" collapsed="false">
      <c r="A683" s="121" t="str">
        <f aca="false">IF(ISBLANK(B683),"",B683&amp;"|"&amp;C683)</f>
        <v/>
      </c>
      <c r="B683" s="121"/>
      <c r="C683" s="121"/>
      <c r="D683" s="121"/>
      <c r="E683" s="127"/>
      <c r="F683" s="121"/>
      <c r="G683" s="121"/>
      <c r="H683" s="121"/>
      <c r="I683" s="121"/>
      <c r="J683" s="121"/>
      <c r="K683" s="121"/>
      <c r="L683" s="121"/>
      <c r="M683" s="121"/>
      <c r="N683" s="121"/>
      <c r="O683" s="121"/>
      <c r="P683" s="121"/>
      <c r="Q683" s="121"/>
      <c r="R683" s="121"/>
      <c r="S683" s="121"/>
      <c r="T683" s="121"/>
      <c r="U683" s="121"/>
      <c r="V683" s="121"/>
      <c r="W683" s="121"/>
      <c r="X683" s="121"/>
      <c r="Y683" s="121"/>
      <c r="Z683" s="121"/>
      <c r="AA683" s="121"/>
    </row>
    <row r="684" customFormat="false" ht="15.75" hidden="false" customHeight="false" outlineLevel="0" collapsed="false">
      <c r="A684" s="121" t="str">
        <f aca="false">IF(ISBLANK(B684),"",B684&amp;"|"&amp;C684)</f>
        <v/>
      </c>
      <c r="B684" s="121"/>
      <c r="C684" s="121"/>
      <c r="D684" s="121"/>
      <c r="E684" s="127"/>
      <c r="F684" s="121"/>
      <c r="G684" s="121"/>
      <c r="H684" s="121"/>
      <c r="I684" s="121"/>
      <c r="J684" s="121"/>
      <c r="K684" s="121"/>
      <c r="L684" s="121"/>
      <c r="M684" s="121"/>
      <c r="N684" s="121"/>
      <c r="O684" s="121"/>
      <c r="P684" s="121"/>
      <c r="Q684" s="121"/>
      <c r="R684" s="121"/>
      <c r="S684" s="121"/>
      <c r="T684" s="121"/>
      <c r="U684" s="121"/>
      <c r="V684" s="121"/>
      <c r="W684" s="121"/>
      <c r="X684" s="121"/>
      <c r="Y684" s="121"/>
      <c r="Z684" s="121"/>
      <c r="AA684" s="121"/>
    </row>
    <row r="685" customFormat="false" ht="15.75" hidden="false" customHeight="false" outlineLevel="0" collapsed="false">
      <c r="A685" s="121" t="str">
        <f aca="false">IF(ISBLANK(B685),"",B685&amp;"|"&amp;C685)</f>
        <v/>
      </c>
      <c r="B685" s="121"/>
      <c r="C685" s="121"/>
      <c r="D685" s="121"/>
      <c r="E685" s="127"/>
      <c r="F685" s="121"/>
      <c r="G685" s="121"/>
      <c r="H685" s="121"/>
      <c r="I685" s="121"/>
      <c r="J685" s="121"/>
      <c r="K685" s="121"/>
      <c r="L685" s="121"/>
      <c r="M685" s="121"/>
      <c r="N685" s="121"/>
      <c r="O685" s="121"/>
      <c r="P685" s="121"/>
      <c r="Q685" s="121"/>
      <c r="R685" s="121"/>
      <c r="S685" s="121"/>
      <c r="T685" s="121"/>
      <c r="U685" s="121"/>
      <c r="V685" s="121"/>
      <c r="W685" s="121"/>
      <c r="X685" s="121"/>
      <c r="Y685" s="121"/>
      <c r="Z685" s="121"/>
      <c r="AA685" s="121"/>
    </row>
    <row r="686" customFormat="false" ht="15.75" hidden="false" customHeight="false" outlineLevel="0" collapsed="false">
      <c r="A686" s="121" t="str">
        <f aca="false">IF(ISBLANK(B686),"",B686&amp;"|"&amp;C686)</f>
        <v/>
      </c>
      <c r="B686" s="121"/>
      <c r="C686" s="121"/>
      <c r="D686" s="121"/>
      <c r="E686" s="127"/>
      <c r="F686" s="121"/>
      <c r="G686" s="121"/>
      <c r="H686" s="121"/>
      <c r="I686" s="121"/>
      <c r="J686" s="121"/>
      <c r="K686" s="121"/>
      <c r="L686" s="121"/>
      <c r="M686" s="121"/>
      <c r="N686" s="121"/>
      <c r="O686" s="121"/>
      <c r="P686" s="121"/>
      <c r="Q686" s="121"/>
      <c r="R686" s="121"/>
      <c r="S686" s="121"/>
      <c r="T686" s="121"/>
      <c r="U686" s="121"/>
      <c r="V686" s="121"/>
      <c r="W686" s="121"/>
      <c r="X686" s="121"/>
      <c r="Y686" s="121"/>
      <c r="Z686" s="121"/>
      <c r="AA686" s="121"/>
    </row>
    <row r="687" customFormat="false" ht="15.75" hidden="false" customHeight="false" outlineLevel="0" collapsed="false">
      <c r="A687" s="121" t="str">
        <f aca="false">IF(ISBLANK(B687),"",B687&amp;"|"&amp;C687)</f>
        <v/>
      </c>
      <c r="B687" s="121"/>
      <c r="C687" s="121"/>
      <c r="D687" s="121"/>
      <c r="E687" s="127"/>
      <c r="F687" s="121"/>
      <c r="G687" s="121"/>
      <c r="H687" s="121"/>
      <c r="I687" s="121"/>
      <c r="J687" s="121"/>
      <c r="K687" s="121"/>
      <c r="L687" s="121"/>
      <c r="M687" s="121"/>
      <c r="N687" s="121"/>
      <c r="O687" s="121"/>
      <c r="P687" s="121"/>
      <c r="Q687" s="121"/>
      <c r="R687" s="121"/>
      <c r="S687" s="121"/>
      <c r="T687" s="121"/>
      <c r="U687" s="121"/>
      <c r="V687" s="121"/>
      <c r="W687" s="121"/>
      <c r="X687" s="121"/>
      <c r="Y687" s="121"/>
      <c r="Z687" s="121"/>
      <c r="AA687" s="121"/>
    </row>
    <row r="688" customFormat="false" ht="15.75" hidden="false" customHeight="false" outlineLevel="0" collapsed="false">
      <c r="A688" s="121" t="str">
        <f aca="false">IF(ISBLANK(B688),"",B688&amp;"|"&amp;C688)</f>
        <v/>
      </c>
      <c r="B688" s="121"/>
      <c r="C688" s="121"/>
      <c r="D688" s="121"/>
      <c r="E688" s="127"/>
      <c r="F688" s="121"/>
      <c r="G688" s="121"/>
      <c r="H688" s="121"/>
      <c r="I688" s="121"/>
      <c r="J688" s="121"/>
      <c r="K688" s="121"/>
      <c r="L688" s="121"/>
      <c r="M688" s="121"/>
      <c r="N688" s="121"/>
      <c r="O688" s="121"/>
      <c r="P688" s="121"/>
      <c r="Q688" s="121"/>
      <c r="R688" s="121"/>
      <c r="S688" s="121"/>
      <c r="T688" s="121"/>
      <c r="U688" s="121"/>
      <c r="V688" s="121"/>
      <c r="W688" s="121"/>
      <c r="X688" s="121"/>
      <c r="Y688" s="121"/>
      <c r="Z688" s="121"/>
      <c r="AA688" s="121"/>
    </row>
    <row r="689" customFormat="false" ht="15.75" hidden="false" customHeight="false" outlineLevel="0" collapsed="false">
      <c r="A689" s="121" t="str">
        <f aca="false">IF(ISBLANK(B689),"",B689&amp;"|"&amp;C689)</f>
        <v/>
      </c>
      <c r="B689" s="121"/>
      <c r="C689" s="121"/>
      <c r="D689" s="121"/>
      <c r="E689" s="127"/>
      <c r="F689" s="121"/>
      <c r="G689" s="121"/>
      <c r="H689" s="121"/>
      <c r="I689" s="121"/>
      <c r="J689" s="121"/>
      <c r="K689" s="121"/>
      <c r="L689" s="121"/>
      <c r="M689" s="121"/>
      <c r="N689" s="121"/>
      <c r="O689" s="121"/>
      <c r="P689" s="121"/>
      <c r="Q689" s="121"/>
      <c r="R689" s="121"/>
      <c r="S689" s="121"/>
      <c r="T689" s="121"/>
      <c r="U689" s="121"/>
      <c r="V689" s="121"/>
      <c r="W689" s="121"/>
      <c r="X689" s="121"/>
      <c r="Y689" s="121"/>
      <c r="Z689" s="121"/>
      <c r="AA689" s="121"/>
    </row>
    <row r="690" customFormat="false" ht="15.75" hidden="false" customHeight="false" outlineLevel="0" collapsed="false">
      <c r="A690" s="121" t="str">
        <f aca="false">IF(ISBLANK(B690),"",B690&amp;"|"&amp;C690)</f>
        <v/>
      </c>
      <c r="B690" s="121"/>
      <c r="C690" s="121"/>
      <c r="D690" s="121"/>
      <c r="E690" s="127"/>
      <c r="F690" s="121"/>
      <c r="G690" s="121"/>
      <c r="H690" s="121"/>
      <c r="I690" s="121"/>
      <c r="J690" s="121"/>
      <c r="K690" s="121"/>
      <c r="L690" s="121"/>
      <c r="M690" s="121"/>
      <c r="N690" s="121"/>
      <c r="O690" s="121"/>
      <c r="P690" s="121"/>
      <c r="Q690" s="121"/>
      <c r="R690" s="121"/>
      <c r="S690" s="121"/>
      <c r="T690" s="121"/>
      <c r="U690" s="121"/>
      <c r="V690" s="121"/>
      <c r="W690" s="121"/>
      <c r="X690" s="121"/>
      <c r="Y690" s="121"/>
      <c r="Z690" s="121"/>
      <c r="AA690" s="121"/>
    </row>
    <row r="691" customFormat="false" ht="15.75" hidden="false" customHeight="false" outlineLevel="0" collapsed="false">
      <c r="A691" s="121" t="str">
        <f aca="false">IF(ISBLANK(B691),"",B691&amp;"|"&amp;C691)</f>
        <v/>
      </c>
      <c r="B691" s="121"/>
      <c r="C691" s="121"/>
      <c r="D691" s="121"/>
      <c r="E691" s="127"/>
      <c r="F691" s="121"/>
      <c r="G691" s="121"/>
      <c r="H691" s="121"/>
      <c r="I691" s="121"/>
      <c r="J691" s="121"/>
      <c r="K691" s="121"/>
      <c r="L691" s="121"/>
      <c r="M691" s="121"/>
      <c r="N691" s="121"/>
      <c r="O691" s="121"/>
      <c r="P691" s="121"/>
      <c r="Q691" s="121"/>
      <c r="R691" s="121"/>
      <c r="S691" s="121"/>
      <c r="T691" s="121"/>
      <c r="U691" s="121"/>
      <c r="V691" s="121"/>
      <c r="W691" s="121"/>
      <c r="X691" s="121"/>
      <c r="Y691" s="121"/>
      <c r="Z691" s="121"/>
      <c r="AA691" s="121"/>
    </row>
    <row r="692" customFormat="false" ht="15.75" hidden="false" customHeight="false" outlineLevel="0" collapsed="false">
      <c r="A692" s="121" t="str">
        <f aca="false">IF(ISBLANK(B692),"",B692&amp;"|"&amp;C692)</f>
        <v/>
      </c>
      <c r="B692" s="121"/>
      <c r="C692" s="121"/>
      <c r="D692" s="121"/>
      <c r="E692" s="127"/>
      <c r="F692" s="121"/>
      <c r="G692" s="121"/>
      <c r="H692" s="121"/>
      <c r="I692" s="121"/>
      <c r="J692" s="121"/>
      <c r="K692" s="121"/>
      <c r="L692" s="121"/>
      <c r="M692" s="121"/>
      <c r="N692" s="121"/>
      <c r="O692" s="121"/>
      <c r="P692" s="121"/>
      <c r="Q692" s="121"/>
      <c r="R692" s="121"/>
      <c r="S692" s="121"/>
      <c r="T692" s="121"/>
      <c r="U692" s="121"/>
      <c r="V692" s="121"/>
      <c r="W692" s="121"/>
      <c r="X692" s="121"/>
      <c r="Y692" s="121"/>
      <c r="Z692" s="121"/>
      <c r="AA692" s="121"/>
    </row>
    <row r="693" customFormat="false" ht="15.75" hidden="false" customHeight="false" outlineLevel="0" collapsed="false">
      <c r="A693" s="121" t="str">
        <f aca="false">IF(ISBLANK(B693),"",B693&amp;"|"&amp;C693)</f>
        <v/>
      </c>
      <c r="B693" s="121"/>
      <c r="C693" s="121"/>
      <c r="D693" s="121"/>
      <c r="E693" s="127"/>
      <c r="F693" s="121"/>
      <c r="G693" s="121"/>
      <c r="H693" s="121"/>
      <c r="I693" s="121"/>
      <c r="J693" s="121"/>
      <c r="K693" s="121"/>
      <c r="L693" s="121"/>
      <c r="M693" s="121"/>
      <c r="N693" s="121"/>
      <c r="O693" s="121"/>
      <c r="P693" s="121"/>
      <c r="Q693" s="121"/>
      <c r="R693" s="121"/>
      <c r="S693" s="121"/>
      <c r="T693" s="121"/>
      <c r="U693" s="121"/>
      <c r="V693" s="121"/>
      <c r="W693" s="121"/>
      <c r="X693" s="121"/>
      <c r="Y693" s="121"/>
      <c r="Z693" s="121"/>
      <c r="AA693" s="121"/>
    </row>
    <row r="694" customFormat="false" ht="15.75" hidden="false" customHeight="false" outlineLevel="0" collapsed="false">
      <c r="A694" s="121" t="str">
        <f aca="false">IF(ISBLANK(B694),"",B694&amp;"|"&amp;C694)</f>
        <v/>
      </c>
      <c r="B694" s="121"/>
      <c r="C694" s="121"/>
      <c r="D694" s="121"/>
      <c r="E694" s="127"/>
      <c r="F694" s="121"/>
      <c r="G694" s="121"/>
      <c r="H694" s="121"/>
      <c r="I694" s="121"/>
      <c r="J694" s="121"/>
      <c r="K694" s="121"/>
      <c r="L694" s="121"/>
      <c r="M694" s="121"/>
      <c r="N694" s="121"/>
      <c r="O694" s="121"/>
      <c r="P694" s="121"/>
      <c r="Q694" s="121"/>
      <c r="R694" s="121"/>
      <c r="S694" s="121"/>
      <c r="T694" s="121"/>
      <c r="U694" s="121"/>
      <c r="V694" s="121"/>
      <c r="W694" s="121"/>
      <c r="X694" s="121"/>
      <c r="Y694" s="121"/>
      <c r="Z694" s="121"/>
      <c r="AA694" s="121"/>
    </row>
    <row r="695" customFormat="false" ht="15.75" hidden="false" customHeight="false" outlineLevel="0" collapsed="false">
      <c r="A695" s="121" t="str">
        <f aca="false">IF(ISBLANK(B695),"",B695&amp;"|"&amp;C695)</f>
        <v/>
      </c>
      <c r="B695" s="121"/>
      <c r="C695" s="121"/>
      <c r="D695" s="121"/>
      <c r="E695" s="127"/>
      <c r="F695" s="121"/>
      <c r="G695" s="121"/>
      <c r="H695" s="121"/>
      <c r="I695" s="121"/>
      <c r="J695" s="121"/>
      <c r="K695" s="121"/>
      <c r="L695" s="121"/>
      <c r="M695" s="121"/>
      <c r="N695" s="121"/>
      <c r="O695" s="121"/>
      <c r="P695" s="121"/>
      <c r="Q695" s="121"/>
      <c r="R695" s="121"/>
      <c r="S695" s="121"/>
      <c r="T695" s="121"/>
      <c r="U695" s="121"/>
      <c r="V695" s="121"/>
      <c r="W695" s="121"/>
      <c r="X695" s="121"/>
      <c r="Y695" s="121"/>
      <c r="Z695" s="121"/>
      <c r="AA695" s="121"/>
    </row>
    <row r="696" customFormat="false" ht="15.75" hidden="false" customHeight="false" outlineLevel="0" collapsed="false">
      <c r="A696" s="121" t="str">
        <f aca="false">IF(ISBLANK(B696),"",B696&amp;"|"&amp;C696)</f>
        <v/>
      </c>
      <c r="B696" s="121"/>
      <c r="C696" s="121"/>
      <c r="D696" s="121"/>
      <c r="E696" s="127"/>
      <c r="F696" s="121"/>
      <c r="G696" s="121"/>
      <c r="H696" s="121"/>
      <c r="I696" s="121"/>
      <c r="J696" s="121"/>
      <c r="K696" s="121"/>
      <c r="L696" s="121"/>
      <c r="M696" s="121"/>
      <c r="N696" s="121"/>
      <c r="O696" s="121"/>
      <c r="P696" s="121"/>
      <c r="Q696" s="121"/>
      <c r="R696" s="121"/>
      <c r="S696" s="121"/>
      <c r="T696" s="121"/>
      <c r="U696" s="121"/>
      <c r="V696" s="121"/>
      <c r="W696" s="121"/>
      <c r="X696" s="121"/>
      <c r="Y696" s="121"/>
      <c r="Z696" s="121"/>
      <c r="AA696" s="121"/>
    </row>
    <row r="697" customFormat="false" ht="15.75" hidden="false" customHeight="false" outlineLevel="0" collapsed="false">
      <c r="A697" s="121" t="str">
        <f aca="false">IF(ISBLANK(B697),"",B697&amp;"|"&amp;C697)</f>
        <v/>
      </c>
      <c r="B697" s="121"/>
      <c r="C697" s="121"/>
      <c r="D697" s="121"/>
      <c r="E697" s="127"/>
      <c r="F697" s="121"/>
      <c r="G697" s="121"/>
      <c r="H697" s="121"/>
      <c r="I697" s="121"/>
      <c r="J697" s="121"/>
      <c r="K697" s="121"/>
      <c r="L697" s="121"/>
      <c r="M697" s="121"/>
      <c r="N697" s="121"/>
      <c r="O697" s="121"/>
      <c r="P697" s="121"/>
      <c r="Q697" s="121"/>
      <c r="R697" s="121"/>
      <c r="S697" s="121"/>
      <c r="T697" s="121"/>
      <c r="U697" s="121"/>
      <c r="V697" s="121"/>
      <c r="W697" s="121"/>
      <c r="X697" s="121"/>
      <c r="Y697" s="121"/>
      <c r="Z697" s="121"/>
      <c r="AA697" s="121"/>
    </row>
    <row r="698" customFormat="false" ht="15.75" hidden="false" customHeight="false" outlineLevel="0" collapsed="false">
      <c r="A698" s="121" t="str">
        <f aca="false">IF(ISBLANK(B698),"",B698&amp;"|"&amp;C698)</f>
        <v/>
      </c>
      <c r="B698" s="121"/>
      <c r="C698" s="121"/>
      <c r="D698" s="121"/>
      <c r="E698" s="127"/>
      <c r="F698" s="121"/>
      <c r="G698" s="121"/>
      <c r="H698" s="121"/>
      <c r="I698" s="121"/>
      <c r="J698" s="121"/>
      <c r="K698" s="121"/>
      <c r="L698" s="121"/>
      <c r="M698" s="121"/>
      <c r="N698" s="121"/>
      <c r="O698" s="121"/>
      <c r="P698" s="121"/>
      <c r="Q698" s="121"/>
      <c r="R698" s="121"/>
      <c r="S698" s="121"/>
      <c r="T698" s="121"/>
      <c r="U698" s="121"/>
      <c r="V698" s="121"/>
      <c r="W698" s="121"/>
      <c r="X698" s="121"/>
      <c r="Y698" s="121"/>
      <c r="Z698" s="121"/>
      <c r="AA698" s="121"/>
    </row>
    <row r="699" customFormat="false" ht="15.75" hidden="false" customHeight="false" outlineLevel="0" collapsed="false">
      <c r="A699" s="121" t="str">
        <f aca="false">IF(ISBLANK(B699),"",B699&amp;"|"&amp;C699)</f>
        <v/>
      </c>
      <c r="B699" s="121"/>
      <c r="C699" s="121"/>
      <c r="D699" s="121"/>
      <c r="E699" s="127"/>
      <c r="F699" s="121"/>
      <c r="G699" s="121"/>
      <c r="H699" s="121"/>
      <c r="I699" s="121"/>
      <c r="J699" s="121"/>
      <c r="K699" s="121"/>
      <c r="L699" s="121"/>
      <c r="M699" s="121"/>
      <c r="N699" s="121"/>
      <c r="O699" s="121"/>
      <c r="P699" s="121"/>
      <c r="Q699" s="121"/>
      <c r="R699" s="121"/>
      <c r="S699" s="121"/>
      <c r="T699" s="121"/>
      <c r="U699" s="121"/>
      <c r="V699" s="121"/>
      <c r="W699" s="121"/>
      <c r="X699" s="121"/>
      <c r="Y699" s="121"/>
      <c r="Z699" s="121"/>
      <c r="AA699" s="121"/>
    </row>
    <row r="700" customFormat="false" ht="15.75" hidden="false" customHeight="false" outlineLevel="0" collapsed="false">
      <c r="A700" s="121" t="str">
        <f aca="false">IF(ISBLANK(B700),"",B700&amp;"|"&amp;C700)</f>
        <v/>
      </c>
      <c r="B700" s="121"/>
      <c r="C700" s="121"/>
      <c r="D700" s="121"/>
      <c r="E700" s="127"/>
      <c r="F700" s="121"/>
      <c r="G700" s="121"/>
      <c r="H700" s="121"/>
      <c r="I700" s="121"/>
      <c r="J700" s="121"/>
      <c r="K700" s="121"/>
      <c r="L700" s="121"/>
      <c r="M700" s="121"/>
      <c r="N700" s="121"/>
      <c r="O700" s="121"/>
      <c r="P700" s="121"/>
      <c r="Q700" s="121"/>
      <c r="R700" s="121"/>
      <c r="S700" s="121"/>
      <c r="T700" s="121"/>
      <c r="U700" s="121"/>
      <c r="V700" s="121"/>
      <c r="W700" s="121"/>
      <c r="X700" s="121"/>
      <c r="Y700" s="121"/>
      <c r="Z700" s="121"/>
      <c r="AA700" s="121"/>
    </row>
    <row r="701" customFormat="false" ht="15.75" hidden="false" customHeight="false" outlineLevel="0" collapsed="false">
      <c r="A701" s="121" t="str">
        <f aca="false">IF(ISBLANK(B701),"",B701&amp;"|"&amp;C701)</f>
        <v/>
      </c>
      <c r="B701" s="121"/>
      <c r="C701" s="121"/>
      <c r="D701" s="121"/>
      <c r="E701" s="127"/>
      <c r="F701" s="121"/>
      <c r="G701" s="121"/>
      <c r="H701" s="121"/>
      <c r="I701" s="121"/>
      <c r="J701" s="121"/>
      <c r="K701" s="121"/>
      <c r="L701" s="121"/>
      <c r="M701" s="121"/>
      <c r="N701" s="121"/>
      <c r="O701" s="121"/>
      <c r="P701" s="121"/>
      <c r="Q701" s="121"/>
      <c r="R701" s="121"/>
      <c r="S701" s="121"/>
      <c r="T701" s="121"/>
      <c r="U701" s="121"/>
      <c r="V701" s="121"/>
      <c r="W701" s="121"/>
      <c r="X701" s="121"/>
      <c r="Y701" s="121"/>
      <c r="Z701" s="121"/>
      <c r="AA701" s="121"/>
    </row>
    <row r="702" customFormat="false" ht="15.75" hidden="false" customHeight="false" outlineLevel="0" collapsed="false">
      <c r="A702" s="121" t="str">
        <f aca="false">IF(ISBLANK(B702),"",B702&amp;"|"&amp;C702)</f>
        <v/>
      </c>
      <c r="B702" s="121"/>
      <c r="C702" s="121"/>
      <c r="D702" s="121"/>
      <c r="E702" s="127"/>
      <c r="F702" s="121"/>
      <c r="G702" s="121"/>
      <c r="H702" s="121"/>
      <c r="I702" s="121"/>
      <c r="J702" s="121"/>
      <c r="K702" s="121"/>
      <c r="L702" s="121"/>
      <c r="M702" s="121"/>
      <c r="N702" s="121"/>
      <c r="O702" s="121"/>
      <c r="P702" s="121"/>
      <c r="Q702" s="121"/>
      <c r="R702" s="121"/>
      <c r="S702" s="121"/>
      <c r="T702" s="121"/>
      <c r="U702" s="121"/>
      <c r="V702" s="121"/>
      <c r="W702" s="121"/>
      <c r="X702" s="121"/>
      <c r="Y702" s="121"/>
      <c r="Z702" s="121"/>
      <c r="AA702" s="121"/>
    </row>
    <row r="703" customFormat="false" ht="15.75" hidden="false" customHeight="false" outlineLevel="0" collapsed="false">
      <c r="A703" s="121" t="str">
        <f aca="false">IF(ISBLANK(B703),"",B703&amp;"|"&amp;C703)</f>
        <v/>
      </c>
      <c r="B703" s="121"/>
      <c r="C703" s="121"/>
      <c r="D703" s="121"/>
      <c r="E703" s="127"/>
      <c r="F703" s="121"/>
      <c r="G703" s="121"/>
      <c r="H703" s="121"/>
      <c r="I703" s="121"/>
      <c r="J703" s="121"/>
      <c r="K703" s="121"/>
      <c r="L703" s="121"/>
      <c r="M703" s="121"/>
      <c r="N703" s="121"/>
      <c r="O703" s="121"/>
      <c r="P703" s="121"/>
      <c r="Q703" s="121"/>
      <c r="R703" s="121"/>
      <c r="S703" s="121"/>
      <c r="T703" s="121"/>
      <c r="U703" s="121"/>
      <c r="V703" s="121"/>
      <c r="W703" s="121"/>
      <c r="X703" s="121"/>
      <c r="Y703" s="121"/>
      <c r="Z703" s="121"/>
      <c r="AA703" s="121"/>
    </row>
    <row r="704" customFormat="false" ht="15.75" hidden="false" customHeight="false" outlineLevel="0" collapsed="false">
      <c r="A704" s="121" t="str">
        <f aca="false">IF(ISBLANK(B704),"",B704&amp;"|"&amp;C704)</f>
        <v/>
      </c>
      <c r="B704" s="121"/>
      <c r="C704" s="121"/>
      <c r="D704" s="121"/>
      <c r="E704" s="127"/>
      <c r="F704" s="121"/>
      <c r="G704" s="121"/>
      <c r="H704" s="121"/>
      <c r="I704" s="121"/>
      <c r="J704" s="121"/>
      <c r="K704" s="121"/>
      <c r="L704" s="121"/>
      <c r="M704" s="121"/>
      <c r="N704" s="121"/>
      <c r="O704" s="121"/>
      <c r="P704" s="121"/>
      <c r="Q704" s="121"/>
      <c r="R704" s="121"/>
      <c r="S704" s="121"/>
      <c r="T704" s="121"/>
      <c r="U704" s="121"/>
      <c r="V704" s="121"/>
      <c r="W704" s="121"/>
      <c r="X704" s="121"/>
      <c r="Y704" s="121"/>
      <c r="Z704" s="121"/>
      <c r="AA704" s="121"/>
    </row>
    <row r="705" customFormat="false" ht="15.75" hidden="false" customHeight="false" outlineLevel="0" collapsed="false">
      <c r="A705" s="121" t="str">
        <f aca="false">IF(ISBLANK(B705),"",B705&amp;"|"&amp;C705)</f>
        <v/>
      </c>
      <c r="B705" s="121"/>
      <c r="C705" s="121"/>
      <c r="D705" s="121"/>
      <c r="E705" s="127"/>
      <c r="F705" s="121"/>
      <c r="G705" s="121"/>
      <c r="H705" s="121"/>
      <c r="I705" s="121"/>
      <c r="J705" s="121"/>
      <c r="K705" s="121"/>
      <c r="L705" s="121"/>
      <c r="M705" s="121"/>
      <c r="N705" s="121"/>
      <c r="O705" s="121"/>
      <c r="P705" s="121"/>
      <c r="Q705" s="121"/>
      <c r="R705" s="121"/>
      <c r="S705" s="121"/>
      <c r="T705" s="121"/>
      <c r="U705" s="121"/>
      <c r="V705" s="121"/>
      <c r="W705" s="121"/>
      <c r="X705" s="121"/>
      <c r="Y705" s="121"/>
      <c r="Z705" s="121"/>
      <c r="AA705" s="121"/>
    </row>
    <row r="706" customFormat="false" ht="15.75" hidden="false" customHeight="false" outlineLevel="0" collapsed="false">
      <c r="A706" s="121" t="str">
        <f aca="false">IF(ISBLANK(B706),"",B706&amp;"|"&amp;C706)</f>
        <v/>
      </c>
      <c r="B706" s="121"/>
      <c r="C706" s="121"/>
      <c r="D706" s="121"/>
      <c r="E706" s="127"/>
      <c r="F706" s="121"/>
      <c r="G706" s="121"/>
      <c r="H706" s="121"/>
      <c r="I706" s="121"/>
      <c r="J706" s="121"/>
      <c r="K706" s="121"/>
      <c r="L706" s="121"/>
      <c r="M706" s="121"/>
      <c r="N706" s="121"/>
      <c r="O706" s="121"/>
      <c r="P706" s="121"/>
      <c r="Q706" s="121"/>
      <c r="R706" s="121"/>
      <c r="S706" s="121"/>
      <c r="T706" s="121"/>
      <c r="U706" s="121"/>
      <c r="V706" s="121"/>
      <c r="W706" s="121"/>
      <c r="X706" s="121"/>
      <c r="Y706" s="121"/>
      <c r="Z706" s="121"/>
      <c r="AA706" s="121"/>
    </row>
    <row r="707" customFormat="false" ht="15.75" hidden="false" customHeight="false" outlineLevel="0" collapsed="false">
      <c r="A707" s="121" t="str">
        <f aca="false">IF(ISBLANK(B707),"",B707&amp;"|"&amp;C707)</f>
        <v/>
      </c>
      <c r="B707" s="121"/>
      <c r="C707" s="121"/>
      <c r="D707" s="121"/>
      <c r="E707" s="127"/>
      <c r="F707" s="121"/>
      <c r="G707" s="121"/>
      <c r="H707" s="121"/>
      <c r="I707" s="121"/>
      <c r="J707" s="121"/>
      <c r="K707" s="121"/>
      <c r="L707" s="121"/>
      <c r="M707" s="121"/>
      <c r="N707" s="121"/>
      <c r="O707" s="121"/>
      <c r="P707" s="121"/>
      <c r="Q707" s="121"/>
      <c r="R707" s="121"/>
      <c r="S707" s="121"/>
      <c r="T707" s="121"/>
      <c r="U707" s="121"/>
      <c r="V707" s="121"/>
      <c r="W707" s="121"/>
      <c r="X707" s="121"/>
      <c r="Y707" s="121"/>
      <c r="Z707" s="121"/>
      <c r="AA707" s="121"/>
    </row>
    <row r="708" customFormat="false" ht="15.75" hidden="false" customHeight="false" outlineLevel="0" collapsed="false">
      <c r="A708" s="121" t="str">
        <f aca="false">IF(ISBLANK(B708),"",B708&amp;"|"&amp;C708)</f>
        <v/>
      </c>
      <c r="B708" s="121"/>
      <c r="C708" s="121"/>
      <c r="D708" s="121"/>
      <c r="E708" s="127"/>
      <c r="F708" s="121"/>
      <c r="G708" s="121"/>
      <c r="H708" s="121"/>
      <c r="I708" s="121"/>
      <c r="J708" s="121"/>
      <c r="K708" s="121"/>
      <c r="L708" s="121"/>
      <c r="M708" s="121"/>
      <c r="N708" s="121"/>
      <c r="O708" s="121"/>
      <c r="P708" s="121"/>
      <c r="Q708" s="121"/>
      <c r="R708" s="121"/>
      <c r="S708" s="121"/>
      <c r="T708" s="121"/>
      <c r="U708" s="121"/>
      <c r="V708" s="121"/>
      <c r="W708" s="121"/>
      <c r="X708" s="121"/>
      <c r="Y708" s="121"/>
      <c r="Z708" s="121"/>
      <c r="AA708" s="121"/>
    </row>
    <row r="709" customFormat="false" ht="15.75" hidden="false" customHeight="false" outlineLevel="0" collapsed="false">
      <c r="A709" s="121" t="str">
        <f aca="false">IF(ISBLANK(B709),"",B709&amp;"|"&amp;C709)</f>
        <v/>
      </c>
      <c r="B709" s="121"/>
      <c r="C709" s="121"/>
      <c r="D709" s="121"/>
      <c r="E709" s="127"/>
      <c r="F709" s="121"/>
      <c r="G709" s="121"/>
      <c r="H709" s="121"/>
      <c r="I709" s="121"/>
      <c r="J709" s="121"/>
      <c r="K709" s="121"/>
      <c r="L709" s="121"/>
      <c r="M709" s="121"/>
      <c r="N709" s="121"/>
      <c r="O709" s="121"/>
      <c r="P709" s="121"/>
      <c r="Q709" s="121"/>
      <c r="R709" s="121"/>
      <c r="S709" s="121"/>
      <c r="T709" s="121"/>
      <c r="U709" s="121"/>
      <c r="V709" s="121"/>
      <c r="W709" s="121"/>
      <c r="X709" s="121"/>
      <c r="Y709" s="121"/>
      <c r="Z709" s="121"/>
      <c r="AA709" s="121"/>
    </row>
    <row r="710" customFormat="false" ht="15.75" hidden="false" customHeight="false" outlineLevel="0" collapsed="false">
      <c r="A710" s="121" t="str">
        <f aca="false">IF(ISBLANK(B710),"",B710&amp;"|"&amp;C710)</f>
        <v/>
      </c>
      <c r="B710" s="121"/>
      <c r="C710" s="121"/>
      <c r="D710" s="121"/>
      <c r="E710" s="127"/>
      <c r="F710" s="121"/>
      <c r="G710" s="121"/>
      <c r="H710" s="121"/>
      <c r="I710" s="121"/>
      <c r="J710" s="121"/>
      <c r="K710" s="121"/>
      <c r="L710" s="121"/>
      <c r="M710" s="121"/>
      <c r="N710" s="121"/>
      <c r="O710" s="121"/>
      <c r="P710" s="121"/>
      <c r="Q710" s="121"/>
      <c r="R710" s="121"/>
      <c r="S710" s="121"/>
      <c r="T710" s="121"/>
      <c r="U710" s="121"/>
      <c r="V710" s="121"/>
      <c r="W710" s="121"/>
      <c r="X710" s="121"/>
      <c r="Y710" s="121"/>
      <c r="Z710" s="121"/>
      <c r="AA710" s="121"/>
    </row>
    <row r="711" customFormat="false" ht="15.75" hidden="false" customHeight="false" outlineLevel="0" collapsed="false">
      <c r="A711" s="121" t="str">
        <f aca="false">IF(ISBLANK(B711),"",B711&amp;"|"&amp;C711)</f>
        <v/>
      </c>
      <c r="B711" s="121"/>
      <c r="C711" s="121"/>
      <c r="D711" s="121"/>
      <c r="E711" s="127"/>
      <c r="F711" s="121"/>
      <c r="G711" s="121"/>
      <c r="H711" s="121"/>
      <c r="I711" s="121"/>
      <c r="J711" s="121"/>
      <c r="K711" s="121"/>
      <c r="L711" s="121"/>
      <c r="M711" s="121"/>
      <c r="N711" s="121"/>
      <c r="O711" s="121"/>
      <c r="P711" s="121"/>
      <c r="Q711" s="121"/>
      <c r="R711" s="121"/>
      <c r="S711" s="121"/>
      <c r="T711" s="121"/>
      <c r="U711" s="121"/>
      <c r="V711" s="121"/>
      <c r="W711" s="121"/>
      <c r="X711" s="121"/>
      <c r="Y711" s="121"/>
      <c r="Z711" s="121"/>
      <c r="AA711" s="121"/>
    </row>
    <row r="712" customFormat="false" ht="15.75" hidden="false" customHeight="false" outlineLevel="0" collapsed="false">
      <c r="A712" s="121" t="str">
        <f aca="false">IF(ISBLANK(B712),"",B712&amp;"|"&amp;C712)</f>
        <v/>
      </c>
      <c r="B712" s="121"/>
      <c r="C712" s="121"/>
      <c r="D712" s="121"/>
      <c r="E712" s="127"/>
      <c r="F712" s="121"/>
      <c r="G712" s="121"/>
      <c r="H712" s="121"/>
      <c r="I712" s="121"/>
      <c r="J712" s="121"/>
      <c r="K712" s="121"/>
      <c r="L712" s="121"/>
      <c r="M712" s="121"/>
      <c r="N712" s="121"/>
      <c r="O712" s="121"/>
      <c r="P712" s="121"/>
      <c r="Q712" s="121"/>
      <c r="R712" s="121"/>
      <c r="S712" s="121"/>
      <c r="T712" s="121"/>
      <c r="U712" s="121"/>
      <c r="V712" s="121"/>
      <c r="W712" s="121"/>
      <c r="X712" s="121"/>
      <c r="Y712" s="121"/>
      <c r="Z712" s="121"/>
      <c r="AA712" s="121"/>
    </row>
    <row r="713" customFormat="false" ht="15.75" hidden="false" customHeight="false" outlineLevel="0" collapsed="false">
      <c r="A713" s="121" t="str">
        <f aca="false">IF(ISBLANK(B713),"",B713&amp;"|"&amp;C713)</f>
        <v/>
      </c>
      <c r="B713" s="121"/>
      <c r="C713" s="121"/>
      <c r="D713" s="121"/>
      <c r="E713" s="127"/>
      <c r="F713" s="121"/>
      <c r="G713" s="121"/>
      <c r="H713" s="121"/>
      <c r="I713" s="121"/>
      <c r="J713" s="121"/>
      <c r="K713" s="121"/>
      <c r="L713" s="121"/>
      <c r="M713" s="121"/>
      <c r="N713" s="121"/>
      <c r="O713" s="121"/>
      <c r="P713" s="121"/>
      <c r="Q713" s="121"/>
      <c r="R713" s="121"/>
      <c r="S713" s="121"/>
      <c r="T713" s="121"/>
      <c r="U713" s="121"/>
      <c r="V713" s="121"/>
      <c r="W713" s="121"/>
      <c r="X713" s="121"/>
      <c r="Y713" s="121"/>
      <c r="Z713" s="121"/>
      <c r="AA713" s="121"/>
    </row>
    <row r="714" customFormat="false" ht="15.75" hidden="false" customHeight="false" outlineLevel="0" collapsed="false">
      <c r="A714" s="121" t="str">
        <f aca="false">IF(ISBLANK(B714),"",B714&amp;"|"&amp;C714)</f>
        <v/>
      </c>
      <c r="B714" s="121"/>
      <c r="C714" s="121"/>
      <c r="D714" s="121"/>
      <c r="E714" s="127"/>
      <c r="F714" s="121"/>
      <c r="G714" s="121"/>
      <c r="H714" s="121"/>
      <c r="I714" s="121"/>
      <c r="J714" s="121"/>
      <c r="K714" s="121"/>
      <c r="L714" s="121"/>
      <c r="M714" s="121"/>
      <c r="N714" s="121"/>
      <c r="O714" s="121"/>
      <c r="P714" s="121"/>
      <c r="Q714" s="121"/>
      <c r="R714" s="121"/>
      <c r="S714" s="121"/>
      <c r="T714" s="121"/>
      <c r="U714" s="121"/>
      <c r="V714" s="121"/>
      <c r="W714" s="121"/>
      <c r="X714" s="121"/>
      <c r="Y714" s="121"/>
      <c r="Z714" s="121"/>
      <c r="AA714" s="121"/>
    </row>
    <row r="715" customFormat="false" ht="15.75" hidden="false" customHeight="false" outlineLevel="0" collapsed="false">
      <c r="A715" s="121" t="str">
        <f aca="false">IF(ISBLANK(B715),"",B715&amp;"|"&amp;C715)</f>
        <v/>
      </c>
      <c r="B715" s="121"/>
      <c r="C715" s="121"/>
      <c r="D715" s="121"/>
      <c r="E715" s="127"/>
      <c r="F715" s="121"/>
      <c r="G715" s="121"/>
      <c r="H715" s="121"/>
      <c r="I715" s="121"/>
      <c r="J715" s="121"/>
      <c r="K715" s="121"/>
      <c r="L715" s="121"/>
      <c r="M715" s="121"/>
      <c r="N715" s="121"/>
      <c r="O715" s="121"/>
      <c r="P715" s="121"/>
      <c r="Q715" s="121"/>
      <c r="R715" s="121"/>
      <c r="S715" s="121"/>
      <c r="T715" s="121"/>
      <c r="U715" s="121"/>
      <c r="V715" s="121"/>
      <c r="W715" s="121"/>
      <c r="X715" s="121"/>
      <c r="Y715" s="121"/>
      <c r="Z715" s="121"/>
      <c r="AA715" s="121"/>
    </row>
    <row r="716" customFormat="false" ht="15.75" hidden="false" customHeight="false" outlineLevel="0" collapsed="false">
      <c r="A716" s="121" t="str">
        <f aca="false">IF(ISBLANK(B716),"",B716&amp;"|"&amp;C716)</f>
        <v/>
      </c>
      <c r="B716" s="121"/>
      <c r="C716" s="121"/>
      <c r="D716" s="121"/>
      <c r="E716" s="127"/>
      <c r="F716" s="121"/>
      <c r="G716" s="121"/>
      <c r="H716" s="121"/>
      <c r="I716" s="121"/>
      <c r="J716" s="121"/>
      <c r="K716" s="121"/>
      <c r="L716" s="121"/>
      <c r="M716" s="121"/>
      <c r="N716" s="121"/>
      <c r="O716" s="121"/>
      <c r="P716" s="121"/>
      <c r="Q716" s="121"/>
      <c r="R716" s="121"/>
      <c r="S716" s="121"/>
      <c r="T716" s="121"/>
      <c r="U716" s="121"/>
      <c r="V716" s="121"/>
      <c r="W716" s="121"/>
      <c r="X716" s="121"/>
      <c r="Y716" s="121"/>
      <c r="Z716" s="121"/>
      <c r="AA716" s="121"/>
    </row>
    <row r="717" customFormat="false" ht="15.75" hidden="false" customHeight="false" outlineLevel="0" collapsed="false">
      <c r="A717" s="121" t="str">
        <f aca="false">IF(ISBLANK(B717),"",B717&amp;"|"&amp;C717)</f>
        <v/>
      </c>
      <c r="B717" s="121"/>
      <c r="C717" s="121"/>
      <c r="D717" s="121"/>
      <c r="E717" s="127"/>
      <c r="F717" s="121"/>
      <c r="G717" s="121"/>
      <c r="H717" s="121"/>
      <c r="I717" s="121"/>
      <c r="J717" s="121"/>
      <c r="K717" s="121"/>
      <c r="L717" s="121"/>
      <c r="M717" s="121"/>
      <c r="N717" s="121"/>
      <c r="O717" s="121"/>
      <c r="P717" s="121"/>
      <c r="Q717" s="121"/>
      <c r="R717" s="121"/>
      <c r="S717" s="121"/>
      <c r="T717" s="121"/>
      <c r="U717" s="121"/>
      <c r="V717" s="121"/>
      <c r="W717" s="121"/>
      <c r="X717" s="121"/>
      <c r="Y717" s="121"/>
      <c r="Z717" s="121"/>
      <c r="AA717" s="121"/>
    </row>
    <row r="718" customFormat="false" ht="15.75" hidden="false" customHeight="false" outlineLevel="0" collapsed="false">
      <c r="A718" s="121" t="str">
        <f aca="false">IF(ISBLANK(B718),"",B718&amp;"|"&amp;C718)</f>
        <v/>
      </c>
      <c r="B718" s="121"/>
      <c r="C718" s="121"/>
      <c r="D718" s="121"/>
      <c r="E718" s="127"/>
      <c r="F718" s="121"/>
      <c r="G718" s="121"/>
      <c r="H718" s="121"/>
      <c r="I718" s="121"/>
      <c r="J718" s="121"/>
      <c r="K718" s="121"/>
      <c r="L718" s="121"/>
      <c r="M718" s="121"/>
      <c r="N718" s="121"/>
      <c r="O718" s="121"/>
      <c r="P718" s="121"/>
      <c r="Q718" s="121"/>
      <c r="R718" s="121"/>
      <c r="S718" s="121"/>
      <c r="T718" s="121"/>
      <c r="U718" s="121"/>
      <c r="V718" s="121"/>
      <c r="W718" s="121"/>
      <c r="X718" s="121"/>
      <c r="Y718" s="121"/>
      <c r="Z718" s="121"/>
      <c r="AA718" s="121"/>
    </row>
    <row r="719" customFormat="false" ht="15.75" hidden="false" customHeight="false" outlineLevel="0" collapsed="false">
      <c r="A719" s="121" t="str">
        <f aca="false">IF(ISBLANK(B719),"",B719&amp;"|"&amp;C719)</f>
        <v/>
      </c>
      <c r="B719" s="121"/>
      <c r="C719" s="121"/>
      <c r="D719" s="121"/>
      <c r="E719" s="127"/>
      <c r="F719" s="121"/>
      <c r="G719" s="121"/>
      <c r="H719" s="121"/>
      <c r="I719" s="121"/>
      <c r="J719" s="121"/>
      <c r="K719" s="121"/>
      <c r="L719" s="121"/>
      <c r="M719" s="121"/>
      <c r="N719" s="121"/>
      <c r="O719" s="121"/>
      <c r="P719" s="121"/>
      <c r="Q719" s="121"/>
      <c r="R719" s="121"/>
      <c r="S719" s="121"/>
      <c r="T719" s="121"/>
      <c r="U719" s="121"/>
      <c r="V719" s="121"/>
      <c r="W719" s="121"/>
      <c r="X719" s="121"/>
      <c r="Y719" s="121"/>
      <c r="Z719" s="121"/>
      <c r="AA719" s="121"/>
    </row>
    <row r="720" customFormat="false" ht="15.75" hidden="false" customHeight="false" outlineLevel="0" collapsed="false">
      <c r="A720" s="121" t="str">
        <f aca="false">IF(ISBLANK(B720),"",B720&amp;"|"&amp;C720)</f>
        <v/>
      </c>
      <c r="B720" s="121"/>
      <c r="C720" s="121"/>
      <c r="D720" s="121"/>
      <c r="E720" s="127"/>
      <c r="F720" s="121"/>
      <c r="G720" s="121"/>
      <c r="H720" s="121"/>
      <c r="I720" s="121"/>
      <c r="J720" s="121"/>
      <c r="K720" s="121"/>
      <c r="L720" s="121"/>
      <c r="M720" s="121"/>
      <c r="N720" s="121"/>
      <c r="O720" s="121"/>
      <c r="P720" s="121"/>
      <c r="Q720" s="121"/>
      <c r="R720" s="121"/>
      <c r="S720" s="121"/>
      <c r="T720" s="121"/>
      <c r="U720" s="121"/>
      <c r="V720" s="121"/>
      <c r="W720" s="121"/>
      <c r="X720" s="121"/>
      <c r="Y720" s="121"/>
      <c r="Z720" s="121"/>
      <c r="AA720" s="121"/>
    </row>
    <row r="721" customFormat="false" ht="15.75" hidden="false" customHeight="false" outlineLevel="0" collapsed="false">
      <c r="A721" s="121" t="str">
        <f aca="false">IF(ISBLANK(B721),"",B721&amp;"|"&amp;C721)</f>
        <v/>
      </c>
      <c r="B721" s="121"/>
      <c r="C721" s="121"/>
      <c r="D721" s="121"/>
      <c r="E721" s="127"/>
      <c r="F721" s="121"/>
      <c r="G721" s="121"/>
      <c r="H721" s="121"/>
      <c r="I721" s="121"/>
      <c r="J721" s="121"/>
      <c r="K721" s="121"/>
      <c r="L721" s="121"/>
      <c r="M721" s="121"/>
      <c r="N721" s="121"/>
      <c r="O721" s="121"/>
      <c r="P721" s="121"/>
      <c r="Q721" s="121"/>
      <c r="R721" s="121"/>
      <c r="S721" s="121"/>
      <c r="T721" s="121"/>
      <c r="U721" s="121"/>
      <c r="V721" s="121"/>
      <c r="W721" s="121"/>
      <c r="X721" s="121"/>
      <c r="Y721" s="121"/>
      <c r="Z721" s="121"/>
      <c r="AA721" s="121"/>
    </row>
    <row r="722" customFormat="false" ht="15.75" hidden="false" customHeight="false" outlineLevel="0" collapsed="false">
      <c r="A722" s="121" t="str">
        <f aca="false">IF(ISBLANK(B722),"",B722&amp;"|"&amp;C722)</f>
        <v/>
      </c>
      <c r="B722" s="121"/>
      <c r="C722" s="121"/>
      <c r="D722" s="121"/>
      <c r="E722" s="127"/>
      <c r="F722" s="121"/>
      <c r="G722" s="121"/>
      <c r="H722" s="121"/>
      <c r="I722" s="121"/>
      <c r="J722" s="121"/>
      <c r="K722" s="121"/>
      <c r="L722" s="121"/>
      <c r="M722" s="121"/>
      <c r="N722" s="121"/>
      <c r="O722" s="121"/>
      <c r="P722" s="121"/>
      <c r="Q722" s="121"/>
      <c r="R722" s="121"/>
      <c r="S722" s="121"/>
      <c r="T722" s="121"/>
      <c r="U722" s="121"/>
      <c r="V722" s="121"/>
      <c r="W722" s="121"/>
      <c r="X722" s="121"/>
      <c r="Y722" s="121"/>
      <c r="Z722" s="121"/>
      <c r="AA722" s="121"/>
    </row>
    <row r="723" customFormat="false" ht="15.75" hidden="false" customHeight="false" outlineLevel="0" collapsed="false">
      <c r="A723" s="121" t="str">
        <f aca="false">IF(ISBLANK(B723),"",B723&amp;"|"&amp;C723)</f>
        <v/>
      </c>
      <c r="B723" s="121"/>
      <c r="C723" s="121"/>
      <c r="D723" s="121"/>
      <c r="E723" s="127"/>
      <c r="F723" s="121"/>
      <c r="G723" s="121"/>
      <c r="H723" s="121"/>
      <c r="I723" s="121"/>
      <c r="J723" s="121"/>
      <c r="K723" s="121"/>
      <c r="L723" s="121"/>
      <c r="M723" s="121"/>
      <c r="N723" s="121"/>
      <c r="O723" s="121"/>
      <c r="P723" s="121"/>
      <c r="Q723" s="121"/>
      <c r="R723" s="121"/>
      <c r="S723" s="121"/>
      <c r="T723" s="121"/>
      <c r="U723" s="121"/>
      <c r="V723" s="121"/>
      <c r="W723" s="121"/>
      <c r="X723" s="121"/>
      <c r="Y723" s="121"/>
      <c r="Z723" s="121"/>
      <c r="AA723" s="121"/>
    </row>
    <row r="724" customFormat="false" ht="15.75" hidden="false" customHeight="false" outlineLevel="0" collapsed="false">
      <c r="A724" s="121" t="str">
        <f aca="false">IF(ISBLANK(B724),"",B724&amp;"|"&amp;C724)</f>
        <v/>
      </c>
      <c r="B724" s="121"/>
      <c r="C724" s="121"/>
      <c r="D724" s="121"/>
      <c r="E724" s="127"/>
      <c r="F724" s="121"/>
      <c r="G724" s="121"/>
      <c r="H724" s="121"/>
      <c r="I724" s="121"/>
      <c r="J724" s="121"/>
      <c r="K724" s="121"/>
      <c r="L724" s="121"/>
      <c r="M724" s="121"/>
      <c r="N724" s="121"/>
      <c r="O724" s="121"/>
      <c r="P724" s="121"/>
      <c r="Q724" s="121"/>
      <c r="R724" s="121"/>
      <c r="S724" s="121"/>
      <c r="T724" s="121"/>
      <c r="U724" s="121"/>
      <c r="V724" s="121"/>
      <c r="W724" s="121"/>
      <c r="X724" s="121"/>
      <c r="Y724" s="121"/>
      <c r="Z724" s="121"/>
      <c r="AA724" s="121"/>
    </row>
    <row r="725" customFormat="false" ht="15.75" hidden="false" customHeight="false" outlineLevel="0" collapsed="false">
      <c r="A725" s="121" t="str">
        <f aca="false">IF(ISBLANK(B725),"",B725&amp;"|"&amp;C725)</f>
        <v/>
      </c>
      <c r="B725" s="121"/>
      <c r="C725" s="121"/>
      <c r="D725" s="121"/>
      <c r="E725" s="127"/>
      <c r="F725" s="121"/>
      <c r="G725" s="121"/>
      <c r="H725" s="121"/>
      <c r="I725" s="121"/>
      <c r="J725" s="121"/>
      <c r="K725" s="121"/>
      <c r="L725" s="121"/>
      <c r="M725" s="121"/>
      <c r="N725" s="121"/>
      <c r="O725" s="121"/>
      <c r="P725" s="121"/>
      <c r="Q725" s="121"/>
      <c r="R725" s="121"/>
      <c r="S725" s="121"/>
      <c r="T725" s="121"/>
      <c r="U725" s="121"/>
      <c r="V725" s="121"/>
      <c r="W725" s="121"/>
      <c r="X725" s="121"/>
      <c r="Y725" s="121"/>
      <c r="Z725" s="121"/>
      <c r="AA725" s="121"/>
    </row>
    <row r="726" customFormat="false" ht="15.75" hidden="false" customHeight="false" outlineLevel="0" collapsed="false">
      <c r="A726" s="121" t="str">
        <f aca="false">IF(ISBLANK(B726),"",B726&amp;"|"&amp;C726)</f>
        <v/>
      </c>
      <c r="B726" s="121"/>
      <c r="C726" s="121"/>
      <c r="D726" s="121"/>
      <c r="E726" s="127"/>
      <c r="F726" s="121"/>
      <c r="G726" s="121"/>
      <c r="H726" s="121"/>
      <c r="I726" s="121"/>
      <c r="J726" s="121"/>
      <c r="K726" s="121"/>
      <c r="L726" s="121"/>
      <c r="M726" s="121"/>
      <c r="N726" s="121"/>
      <c r="O726" s="121"/>
      <c r="P726" s="121"/>
      <c r="Q726" s="121"/>
      <c r="R726" s="121"/>
      <c r="S726" s="121"/>
      <c r="T726" s="121"/>
      <c r="U726" s="121"/>
      <c r="V726" s="121"/>
      <c r="W726" s="121"/>
      <c r="X726" s="121"/>
      <c r="Y726" s="121"/>
      <c r="Z726" s="121"/>
      <c r="AA726" s="121"/>
    </row>
    <row r="727" customFormat="false" ht="15.75" hidden="false" customHeight="false" outlineLevel="0" collapsed="false">
      <c r="A727" s="121" t="str">
        <f aca="false">IF(ISBLANK(B727),"",B727&amp;"|"&amp;C727)</f>
        <v/>
      </c>
      <c r="B727" s="121"/>
      <c r="C727" s="121"/>
      <c r="D727" s="121"/>
      <c r="E727" s="127"/>
      <c r="F727" s="121"/>
      <c r="G727" s="121"/>
      <c r="H727" s="121"/>
      <c r="I727" s="121"/>
      <c r="J727" s="121"/>
      <c r="K727" s="121"/>
      <c r="L727" s="121"/>
      <c r="M727" s="121"/>
      <c r="N727" s="121"/>
      <c r="O727" s="121"/>
      <c r="P727" s="121"/>
      <c r="Q727" s="121"/>
      <c r="R727" s="121"/>
      <c r="S727" s="121"/>
      <c r="T727" s="121"/>
      <c r="U727" s="121"/>
      <c r="V727" s="121"/>
      <c r="W727" s="121"/>
      <c r="X727" s="121"/>
      <c r="Y727" s="121"/>
      <c r="Z727" s="121"/>
      <c r="AA727" s="121"/>
    </row>
    <row r="728" customFormat="false" ht="15.75" hidden="false" customHeight="false" outlineLevel="0" collapsed="false">
      <c r="A728" s="121" t="str">
        <f aca="false">IF(ISBLANK(B728),"",B728&amp;"|"&amp;C728)</f>
        <v/>
      </c>
      <c r="B728" s="121"/>
      <c r="C728" s="121"/>
      <c r="D728" s="121"/>
      <c r="E728" s="127"/>
      <c r="F728" s="121"/>
      <c r="G728" s="121"/>
      <c r="H728" s="121"/>
      <c r="I728" s="121"/>
      <c r="J728" s="121"/>
      <c r="K728" s="121"/>
      <c r="L728" s="121"/>
      <c r="M728" s="121"/>
      <c r="N728" s="121"/>
      <c r="O728" s="121"/>
      <c r="P728" s="121"/>
      <c r="Q728" s="121"/>
      <c r="R728" s="121"/>
      <c r="S728" s="121"/>
      <c r="T728" s="121"/>
      <c r="U728" s="121"/>
      <c r="V728" s="121"/>
      <c r="W728" s="121"/>
      <c r="X728" s="121"/>
      <c r="Y728" s="121"/>
      <c r="Z728" s="121"/>
      <c r="AA728" s="121"/>
    </row>
    <row r="729" customFormat="false" ht="15.75" hidden="false" customHeight="false" outlineLevel="0" collapsed="false">
      <c r="A729" s="121" t="str">
        <f aca="false">IF(ISBLANK(B729),"",B729&amp;"|"&amp;C729)</f>
        <v/>
      </c>
      <c r="B729" s="121"/>
      <c r="C729" s="121"/>
      <c r="D729" s="121"/>
      <c r="E729" s="127"/>
      <c r="F729" s="121"/>
      <c r="G729" s="121"/>
      <c r="H729" s="121"/>
      <c r="I729" s="121"/>
      <c r="J729" s="121"/>
      <c r="K729" s="121"/>
      <c r="L729" s="121"/>
      <c r="M729" s="121"/>
      <c r="N729" s="121"/>
      <c r="O729" s="121"/>
      <c r="P729" s="121"/>
      <c r="Q729" s="121"/>
      <c r="R729" s="121"/>
      <c r="S729" s="121"/>
      <c r="T729" s="121"/>
      <c r="U729" s="121"/>
      <c r="V729" s="121"/>
      <c r="W729" s="121"/>
      <c r="X729" s="121"/>
      <c r="Y729" s="121"/>
      <c r="Z729" s="121"/>
      <c r="AA729" s="121"/>
    </row>
    <row r="730" customFormat="false" ht="15.75" hidden="false" customHeight="false" outlineLevel="0" collapsed="false">
      <c r="A730" s="121" t="str">
        <f aca="false">IF(ISBLANK(B730),"",B730&amp;"|"&amp;C730)</f>
        <v/>
      </c>
      <c r="B730" s="121"/>
      <c r="C730" s="121"/>
      <c r="D730" s="121"/>
      <c r="E730" s="127"/>
      <c r="F730" s="121"/>
      <c r="G730" s="121"/>
      <c r="H730" s="121"/>
      <c r="I730" s="121"/>
      <c r="J730" s="121"/>
      <c r="K730" s="121"/>
      <c r="L730" s="121"/>
      <c r="M730" s="121"/>
      <c r="N730" s="121"/>
      <c r="O730" s="121"/>
      <c r="P730" s="121"/>
      <c r="Q730" s="121"/>
      <c r="R730" s="121"/>
      <c r="S730" s="121"/>
      <c r="T730" s="121"/>
      <c r="U730" s="121"/>
      <c r="V730" s="121"/>
      <c r="W730" s="121"/>
      <c r="X730" s="121"/>
      <c r="Y730" s="121"/>
      <c r="Z730" s="121"/>
      <c r="AA730" s="121"/>
    </row>
    <row r="731" customFormat="false" ht="15.75" hidden="false" customHeight="false" outlineLevel="0" collapsed="false">
      <c r="A731" s="121" t="str">
        <f aca="false">IF(ISBLANK(B731),"",B731&amp;"|"&amp;C731)</f>
        <v/>
      </c>
      <c r="B731" s="121"/>
      <c r="C731" s="121"/>
      <c r="D731" s="121"/>
      <c r="E731" s="127"/>
      <c r="F731" s="121"/>
      <c r="G731" s="121"/>
      <c r="H731" s="121"/>
      <c r="I731" s="121"/>
      <c r="J731" s="121"/>
      <c r="K731" s="121"/>
      <c r="L731" s="121"/>
      <c r="M731" s="121"/>
      <c r="N731" s="121"/>
      <c r="O731" s="121"/>
      <c r="P731" s="121"/>
      <c r="Q731" s="121"/>
      <c r="R731" s="121"/>
      <c r="S731" s="121"/>
      <c r="T731" s="121"/>
      <c r="U731" s="121"/>
      <c r="V731" s="121"/>
      <c r="W731" s="121"/>
      <c r="X731" s="121"/>
      <c r="Y731" s="121"/>
      <c r="Z731" s="121"/>
      <c r="AA731" s="121"/>
    </row>
    <row r="732" customFormat="false" ht="15.75" hidden="false" customHeight="false" outlineLevel="0" collapsed="false">
      <c r="A732" s="121" t="str">
        <f aca="false">IF(ISBLANK(B732),"",B732&amp;"|"&amp;C732)</f>
        <v/>
      </c>
      <c r="B732" s="121"/>
      <c r="C732" s="121"/>
      <c r="D732" s="121"/>
      <c r="E732" s="127"/>
      <c r="F732" s="121"/>
      <c r="G732" s="121"/>
      <c r="H732" s="121"/>
      <c r="I732" s="121"/>
      <c r="J732" s="121"/>
      <c r="K732" s="121"/>
      <c r="L732" s="121"/>
      <c r="M732" s="121"/>
      <c r="N732" s="121"/>
      <c r="O732" s="121"/>
      <c r="P732" s="121"/>
      <c r="Q732" s="121"/>
      <c r="R732" s="121"/>
      <c r="S732" s="121"/>
      <c r="T732" s="121"/>
      <c r="U732" s="121"/>
      <c r="V732" s="121"/>
      <c r="W732" s="121"/>
      <c r="X732" s="121"/>
      <c r="Y732" s="121"/>
      <c r="Z732" s="121"/>
      <c r="AA732" s="121"/>
    </row>
    <row r="733" customFormat="false" ht="15.75" hidden="false" customHeight="false" outlineLevel="0" collapsed="false">
      <c r="A733" s="121" t="str">
        <f aca="false">IF(ISBLANK(B733),"",B733&amp;"|"&amp;C733)</f>
        <v/>
      </c>
      <c r="B733" s="121"/>
      <c r="C733" s="121"/>
      <c r="D733" s="121"/>
      <c r="E733" s="127"/>
      <c r="F733" s="121"/>
      <c r="G733" s="121"/>
      <c r="H733" s="121"/>
      <c r="I733" s="121"/>
      <c r="J733" s="121"/>
      <c r="K733" s="121"/>
      <c r="L733" s="121"/>
      <c r="M733" s="121"/>
      <c r="N733" s="121"/>
      <c r="O733" s="121"/>
      <c r="P733" s="121"/>
      <c r="Q733" s="121"/>
      <c r="R733" s="121"/>
      <c r="S733" s="121"/>
      <c r="T733" s="121"/>
      <c r="U733" s="121"/>
      <c r="V733" s="121"/>
      <c r="W733" s="121"/>
      <c r="X733" s="121"/>
      <c r="Y733" s="121"/>
      <c r="Z733" s="121"/>
      <c r="AA733" s="121"/>
    </row>
    <row r="734" customFormat="false" ht="15.75" hidden="false" customHeight="false" outlineLevel="0" collapsed="false">
      <c r="A734" s="121" t="str">
        <f aca="false">IF(ISBLANK(B734),"",B734&amp;"|"&amp;C734)</f>
        <v/>
      </c>
      <c r="B734" s="121"/>
      <c r="C734" s="121"/>
      <c r="D734" s="121"/>
      <c r="E734" s="127"/>
      <c r="F734" s="121"/>
      <c r="G734" s="121"/>
      <c r="H734" s="121"/>
      <c r="I734" s="121"/>
      <c r="J734" s="121"/>
      <c r="K734" s="121"/>
      <c r="L734" s="121"/>
      <c r="M734" s="121"/>
      <c r="N734" s="121"/>
      <c r="O734" s="121"/>
      <c r="P734" s="121"/>
      <c r="Q734" s="121"/>
      <c r="R734" s="121"/>
      <c r="S734" s="121"/>
      <c r="T734" s="121"/>
      <c r="U734" s="121"/>
      <c r="V734" s="121"/>
      <c r="W734" s="121"/>
      <c r="X734" s="121"/>
      <c r="Y734" s="121"/>
      <c r="Z734" s="121"/>
      <c r="AA734" s="121"/>
    </row>
    <row r="735" customFormat="false" ht="15.75" hidden="false" customHeight="false" outlineLevel="0" collapsed="false">
      <c r="A735" s="121" t="str">
        <f aca="false">IF(ISBLANK(B735),"",B735&amp;"|"&amp;C735)</f>
        <v/>
      </c>
      <c r="B735" s="121"/>
      <c r="C735" s="121"/>
      <c r="D735" s="121"/>
      <c r="E735" s="127"/>
      <c r="F735" s="121"/>
      <c r="G735" s="121"/>
      <c r="H735" s="121"/>
      <c r="I735" s="121"/>
      <c r="J735" s="121"/>
      <c r="K735" s="121"/>
      <c r="L735" s="121"/>
      <c r="M735" s="121"/>
      <c r="N735" s="121"/>
      <c r="O735" s="121"/>
      <c r="P735" s="121"/>
      <c r="Q735" s="121"/>
      <c r="R735" s="121"/>
      <c r="S735" s="121"/>
      <c r="T735" s="121"/>
      <c r="U735" s="121"/>
      <c r="V735" s="121"/>
      <c r="W735" s="121"/>
      <c r="X735" s="121"/>
      <c r="Y735" s="121"/>
      <c r="Z735" s="121"/>
      <c r="AA735" s="121"/>
    </row>
    <row r="736" customFormat="false" ht="15.75" hidden="false" customHeight="false" outlineLevel="0" collapsed="false">
      <c r="A736" s="121" t="str">
        <f aca="false">IF(ISBLANK(B736),"",B736&amp;"|"&amp;C736)</f>
        <v/>
      </c>
      <c r="B736" s="121"/>
      <c r="C736" s="121"/>
      <c r="D736" s="121"/>
      <c r="E736" s="127"/>
      <c r="F736" s="121"/>
      <c r="G736" s="121"/>
      <c r="H736" s="121"/>
      <c r="I736" s="121"/>
      <c r="J736" s="121"/>
      <c r="K736" s="121"/>
      <c r="L736" s="121"/>
      <c r="M736" s="121"/>
      <c r="N736" s="121"/>
      <c r="O736" s="121"/>
      <c r="P736" s="121"/>
      <c r="Q736" s="121"/>
      <c r="R736" s="121"/>
      <c r="S736" s="121"/>
      <c r="T736" s="121"/>
      <c r="U736" s="121"/>
      <c r="V736" s="121"/>
      <c r="W736" s="121"/>
      <c r="X736" s="121"/>
      <c r="Y736" s="121"/>
      <c r="Z736" s="121"/>
      <c r="AA736" s="121"/>
    </row>
    <row r="737" customFormat="false" ht="15.75" hidden="false" customHeight="false" outlineLevel="0" collapsed="false">
      <c r="A737" s="121" t="str">
        <f aca="false">IF(ISBLANK(B737),"",B737&amp;"|"&amp;C737)</f>
        <v/>
      </c>
      <c r="B737" s="121"/>
      <c r="C737" s="121"/>
      <c r="D737" s="121"/>
      <c r="E737" s="127"/>
      <c r="F737" s="121"/>
      <c r="G737" s="121"/>
      <c r="H737" s="121"/>
      <c r="I737" s="121"/>
      <c r="J737" s="121"/>
      <c r="K737" s="121"/>
      <c r="L737" s="121"/>
      <c r="M737" s="121"/>
      <c r="N737" s="121"/>
      <c r="O737" s="121"/>
      <c r="P737" s="121"/>
      <c r="Q737" s="121"/>
      <c r="R737" s="121"/>
      <c r="S737" s="121"/>
      <c r="T737" s="121"/>
      <c r="U737" s="121"/>
      <c r="V737" s="121"/>
      <c r="W737" s="121"/>
      <c r="X737" s="121"/>
      <c r="Y737" s="121"/>
      <c r="Z737" s="121"/>
      <c r="AA737" s="121"/>
    </row>
    <row r="738" customFormat="false" ht="15.75" hidden="false" customHeight="false" outlineLevel="0" collapsed="false">
      <c r="A738" s="121" t="str">
        <f aca="false">IF(ISBLANK(B738),"",B738&amp;"|"&amp;C738)</f>
        <v/>
      </c>
      <c r="B738" s="121"/>
      <c r="C738" s="121"/>
      <c r="D738" s="121"/>
      <c r="E738" s="127"/>
      <c r="F738" s="121"/>
      <c r="G738" s="121"/>
      <c r="H738" s="121"/>
      <c r="I738" s="121"/>
      <c r="J738" s="121"/>
      <c r="K738" s="121"/>
      <c r="L738" s="121"/>
      <c r="M738" s="121"/>
      <c r="N738" s="121"/>
      <c r="O738" s="121"/>
      <c r="P738" s="121"/>
      <c r="Q738" s="121"/>
      <c r="R738" s="121"/>
      <c r="S738" s="121"/>
      <c r="T738" s="121"/>
      <c r="U738" s="121"/>
      <c r="V738" s="121"/>
      <c r="W738" s="121"/>
      <c r="X738" s="121"/>
      <c r="Y738" s="121"/>
      <c r="Z738" s="121"/>
      <c r="AA738" s="121"/>
    </row>
    <row r="739" customFormat="false" ht="15.75" hidden="false" customHeight="false" outlineLevel="0" collapsed="false">
      <c r="A739" s="121" t="str">
        <f aca="false">IF(ISBLANK(B739),"",B739&amp;"|"&amp;C739)</f>
        <v/>
      </c>
      <c r="B739" s="121"/>
      <c r="C739" s="121"/>
      <c r="D739" s="121"/>
      <c r="E739" s="127"/>
      <c r="F739" s="121"/>
      <c r="G739" s="121"/>
      <c r="H739" s="121"/>
      <c r="I739" s="121"/>
      <c r="J739" s="121"/>
      <c r="K739" s="121"/>
      <c r="L739" s="121"/>
      <c r="M739" s="121"/>
      <c r="N739" s="121"/>
      <c r="O739" s="121"/>
      <c r="P739" s="121"/>
      <c r="Q739" s="121"/>
      <c r="R739" s="121"/>
      <c r="S739" s="121"/>
      <c r="T739" s="121"/>
      <c r="U739" s="121"/>
      <c r="V739" s="121"/>
      <c r="W739" s="121"/>
      <c r="X739" s="121"/>
      <c r="Y739" s="121"/>
      <c r="Z739" s="121"/>
      <c r="AA739" s="121"/>
    </row>
    <row r="740" customFormat="false" ht="15.75" hidden="false" customHeight="false" outlineLevel="0" collapsed="false">
      <c r="A740" s="121" t="str">
        <f aca="false">IF(ISBLANK(B740),"",B740&amp;"|"&amp;C740)</f>
        <v/>
      </c>
      <c r="B740" s="121"/>
      <c r="C740" s="121"/>
      <c r="D740" s="121"/>
      <c r="E740" s="127"/>
      <c r="F740" s="121"/>
      <c r="G740" s="121"/>
      <c r="H740" s="121"/>
      <c r="I740" s="121"/>
      <c r="J740" s="121"/>
      <c r="K740" s="121"/>
      <c r="L740" s="121"/>
      <c r="M740" s="121"/>
      <c r="N740" s="121"/>
      <c r="O740" s="121"/>
      <c r="P740" s="121"/>
      <c r="Q740" s="121"/>
      <c r="R740" s="121"/>
      <c r="S740" s="121"/>
      <c r="T740" s="121"/>
      <c r="U740" s="121"/>
      <c r="V740" s="121"/>
      <c r="W740" s="121"/>
      <c r="X740" s="121"/>
      <c r="Y740" s="121"/>
      <c r="Z740" s="121"/>
      <c r="AA740" s="121"/>
    </row>
    <row r="741" customFormat="false" ht="15.75" hidden="false" customHeight="false" outlineLevel="0" collapsed="false">
      <c r="A741" s="121" t="str">
        <f aca="false">IF(ISBLANK(B741),"",B741&amp;"|"&amp;C741)</f>
        <v/>
      </c>
      <c r="B741" s="121"/>
      <c r="C741" s="121"/>
      <c r="D741" s="121"/>
      <c r="E741" s="127"/>
      <c r="F741" s="121"/>
      <c r="G741" s="121"/>
      <c r="H741" s="121"/>
      <c r="I741" s="121"/>
      <c r="J741" s="121"/>
      <c r="K741" s="121"/>
      <c r="L741" s="121"/>
      <c r="M741" s="121"/>
      <c r="N741" s="121"/>
      <c r="O741" s="121"/>
      <c r="P741" s="121"/>
      <c r="Q741" s="121"/>
      <c r="R741" s="121"/>
      <c r="S741" s="121"/>
      <c r="T741" s="121"/>
      <c r="U741" s="121"/>
      <c r="V741" s="121"/>
      <c r="W741" s="121"/>
      <c r="X741" s="121"/>
      <c r="Y741" s="121"/>
      <c r="Z741" s="121"/>
      <c r="AA741" s="121"/>
    </row>
    <row r="742" customFormat="false" ht="15.75" hidden="false" customHeight="false" outlineLevel="0" collapsed="false">
      <c r="A742" s="121" t="str">
        <f aca="false">IF(ISBLANK(B742),"",B742&amp;"|"&amp;C742)</f>
        <v/>
      </c>
      <c r="B742" s="121"/>
      <c r="C742" s="121"/>
      <c r="D742" s="121"/>
      <c r="E742" s="127"/>
      <c r="F742" s="121"/>
      <c r="G742" s="121"/>
      <c r="H742" s="121"/>
      <c r="I742" s="121"/>
      <c r="J742" s="121"/>
      <c r="K742" s="121"/>
      <c r="L742" s="121"/>
      <c r="M742" s="121"/>
      <c r="N742" s="121"/>
      <c r="O742" s="121"/>
      <c r="P742" s="121"/>
      <c r="Q742" s="121"/>
      <c r="R742" s="121"/>
      <c r="S742" s="121"/>
      <c r="T742" s="121"/>
      <c r="U742" s="121"/>
      <c r="V742" s="121"/>
      <c r="W742" s="121"/>
      <c r="X742" s="121"/>
      <c r="Y742" s="121"/>
      <c r="Z742" s="121"/>
      <c r="AA742" s="121"/>
    </row>
    <row r="743" customFormat="false" ht="15.75" hidden="false" customHeight="false" outlineLevel="0" collapsed="false">
      <c r="A743" s="121" t="str">
        <f aca="false">IF(ISBLANK(B743),"",B743&amp;"|"&amp;C743)</f>
        <v/>
      </c>
      <c r="B743" s="121"/>
      <c r="C743" s="121"/>
      <c r="D743" s="121"/>
      <c r="E743" s="127"/>
      <c r="F743" s="121"/>
      <c r="G743" s="121"/>
      <c r="H743" s="121"/>
      <c r="I743" s="121"/>
      <c r="J743" s="121"/>
      <c r="K743" s="121"/>
      <c r="L743" s="121"/>
      <c r="M743" s="121"/>
      <c r="N743" s="121"/>
      <c r="O743" s="121"/>
      <c r="P743" s="121"/>
      <c r="Q743" s="121"/>
      <c r="R743" s="121"/>
      <c r="S743" s="121"/>
      <c r="T743" s="121"/>
      <c r="U743" s="121"/>
      <c r="V743" s="121"/>
      <c r="W743" s="121"/>
      <c r="X743" s="121"/>
      <c r="Y743" s="121"/>
      <c r="Z743" s="121"/>
      <c r="AA743" s="121"/>
    </row>
    <row r="744" customFormat="false" ht="15.75" hidden="false" customHeight="false" outlineLevel="0" collapsed="false">
      <c r="A744" s="121" t="str">
        <f aca="false">IF(ISBLANK(B744),"",B744&amp;"|"&amp;C744)</f>
        <v/>
      </c>
      <c r="B744" s="121"/>
      <c r="C744" s="121"/>
      <c r="D744" s="121"/>
      <c r="E744" s="127"/>
      <c r="F744" s="121"/>
      <c r="G744" s="121"/>
      <c r="H744" s="121"/>
      <c r="I744" s="121"/>
      <c r="J744" s="121"/>
      <c r="K744" s="121"/>
      <c r="L744" s="121"/>
      <c r="M744" s="121"/>
      <c r="N744" s="121"/>
      <c r="O744" s="121"/>
      <c r="P744" s="121"/>
      <c r="Q744" s="121"/>
      <c r="R744" s="121"/>
      <c r="S744" s="121"/>
      <c r="T744" s="121"/>
      <c r="U744" s="121"/>
      <c r="V744" s="121"/>
      <c r="W744" s="121"/>
      <c r="X744" s="121"/>
      <c r="Y744" s="121"/>
      <c r="Z744" s="121"/>
      <c r="AA744" s="121"/>
    </row>
    <row r="745" customFormat="false" ht="15.75" hidden="false" customHeight="false" outlineLevel="0" collapsed="false">
      <c r="A745" s="121" t="str">
        <f aca="false">IF(ISBLANK(B745),"",B745&amp;"|"&amp;C745)</f>
        <v/>
      </c>
      <c r="B745" s="121"/>
      <c r="C745" s="121"/>
      <c r="D745" s="121"/>
      <c r="E745" s="127"/>
      <c r="F745" s="121"/>
      <c r="G745" s="121"/>
      <c r="H745" s="121"/>
      <c r="I745" s="121"/>
      <c r="J745" s="121"/>
      <c r="K745" s="121"/>
      <c r="L745" s="121"/>
      <c r="M745" s="121"/>
      <c r="N745" s="121"/>
      <c r="O745" s="121"/>
      <c r="P745" s="121"/>
      <c r="Q745" s="121"/>
      <c r="R745" s="121"/>
      <c r="S745" s="121"/>
      <c r="T745" s="121"/>
      <c r="U745" s="121"/>
      <c r="V745" s="121"/>
      <c r="W745" s="121"/>
      <c r="X745" s="121"/>
      <c r="Y745" s="121"/>
      <c r="Z745" s="121"/>
      <c r="AA745" s="121"/>
    </row>
    <row r="746" customFormat="false" ht="15.75" hidden="false" customHeight="false" outlineLevel="0" collapsed="false">
      <c r="A746" s="121" t="str">
        <f aca="false">IF(ISBLANK(B746),"",B746&amp;"|"&amp;C746)</f>
        <v/>
      </c>
      <c r="B746" s="121"/>
      <c r="C746" s="121"/>
      <c r="D746" s="121"/>
      <c r="E746" s="127"/>
      <c r="F746" s="121"/>
      <c r="G746" s="121"/>
      <c r="H746" s="121"/>
      <c r="I746" s="121"/>
      <c r="J746" s="121"/>
      <c r="K746" s="121"/>
      <c r="L746" s="121"/>
      <c r="M746" s="121"/>
      <c r="N746" s="121"/>
      <c r="O746" s="121"/>
      <c r="P746" s="121"/>
      <c r="Q746" s="121"/>
      <c r="R746" s="121"/>
      <c r="S746" s="121"/>
      <c r="T746" s="121"/>
      <c r="U746" s="121"/>
      <c r="V746" s="121"/>
      <c r="W746" s="121"/>
      <c r="X746" s="121"/>
      <c r="Y746" s="121"/>
      <c r="Z746" s="121"/>
      <c r="AA746" s="121"/>
    </row>
    <row r="747" customFormat="false" ht="15.75" hidden="false" customHeight="false" outlineLevel="0" collapsed="false">
      <c r="A747" s="121" t="str">
        <f aca="false">IF(ISBLANK(B747),"",B747&amp;"|"&amp;C747)</f>
        <v/>
      </c>
      <c r="B747" s="121"/>
      <c r="C747" s="121"/>
      <c r="D747" s="121"/>
      <c r="E747" s="127"/>
      <c r="F747" s="121"/>
      <c r="G747" s="121"/>
      <c r="H747" s="121"/>
      <c r="I747" s="121"/>
      <c r="J747" s="121"/>
      <c r="K747" s="121"/>
      <c r="L747" s="121"/>
      <c r="M747" s="121"/>
      <c r="N747" s="121"/>
      <c r="O747" s="121"/>
      <c r="P747" s="121"/>
      <c r="Q747" s="121"/>
      <c r="R747" s="121"/>
      <c r="S747" s="121"/>
      <c r="T747" s="121"/>
      <c r="U747" s="121"/>
      <c r="V747" s="121"/>
      <c r="W747" s="121"/>
      <c r="X747" s="121"/>
      <c r="Y747" s="121"/>
      <c r="Z747" s="121"/>
      <c r="AA747" s="121"/>
    </row>
    <row r="748" customFormat="false" ht="15.75" hidden="false" customHeight="false" outlineLevel="0" collapsed="false">
      <c r="A748" s="121" t="str">
        <f aca="false">IF(ISBLANK(B748),"",B748&amp;"|"&amp;C748)</f>
        <v/>
      </c>
      <c r="B748" s="121"/>
      <c r="C748" s="121"/>
      <c r="D748" s="121"/>
      <c r="E748" s="127"/>
      <c r="F748" s="121"/>
      <c r="G748" s="121"/>
      <c r="H748" s="121"/>
      <c r="I748" s="121"/>
      <c r="J748" s="121"/>
      <c r="K748" s="121"/>
      <c r="L748" s="121"/>
      <c r="M748" s="121"/>
      <c r="N748" s="121"/>
      <c r="O748" s="121"/>
      <c r="P748" s="121"/>
      <c r="Q748" s="121"/>
      <c r="R748" s="121"/>
      <c r="S748" s="121"/>
      <c r="T748" s="121"/>
      <c r="U748" s="121"/>
      <c r="V748" s="121"/>
      <c r="W748" s="121"/>
      <c r="X748" s="121"/>
      <c r="Y748" s="121"/>
      <c r="Z748" s="121"/>
      <c r="AA748" s="121"/>
    </row>
    <row r="749" customFormat="false" ht="15.75" hidden="false" customHeight="false" outlineLevel="0" collapsed="false">
      <c r="A749" s="121" t="str">
        <f aca="false">IF(ISBLANK(B749),"",B749&amp;"|"&amp;C749)</f>
        <v/>
      </c>
      <c r="B749" s="121"/>
      <c r="C749" s="121"/>
      <c r="D749" s="121"/>
      <c r="E749" s="127"/>
      <c r="F749" s="121"/>
      <c r="G749" s="121"/>
      <c r="H749" s="121"/>
      <c r="I749" s="121"/>
      <c r="J749" s="121"/>
      <c r="K749" s="121"/>
      <c r="L749" s="121"/>
      <c r="M749" s="121"/>
      <c r="N749" s="121"/>
      <c r="O749" s="121"/>
      <c r="P749" s="121"/>
      <c r="Q749" s="121"/>
      <c r="R749" s="121"/>
      <c r="S749" s="121"/>
      <c r="T749" s="121"/>
      <c r="U749" s="121"/>
      <c r="V749" s="121"/>
      <c r="W749" s="121"/>
      <c r="X749" s="121"/>
      <c r="Y749" s="121"/>
      <c r="Z749" s="121"/>
      <c r="AA749" s="121"/>
    </row>
    <row r="750" customFormat="false" ht="15.75" hidden="false" customHeight="false" outlineLevel="0" collapsed="false">
      <c r="A750" s="121" t="str">
        <f aca="false">IF(ISBLANK(B750),"",B750&amp;"|"&amp;C750)</f>
        <v/>
      </c>
      <c r="B750" s="121"/>
      <c r="C750" s="121"/>
      <c r="D750" s="121"/>
      <c r="E750" s="127"/>
      <c r="F750" s="121"/>
      <c r="G750" s="121"/>
      <c r="H750" s="121"/>
      <c r="I750" s="121"/>
      <c r="J750" s="121"/>
      <c r="K750" s="121"/>
      <c r="L750" s="121"/>
      <c r="M750" s="121"/>
      <c r="N750" s="121"/>
      <c r="O750" s="121"/>
      <c r="P750" s="121"/>
      <c r="Q750" s="121"/>
      <c r="R750" s="121"/>
      <c r="S750" s="121"/>
      <c r="T750" s="121"/>
      <c r="U750" s="121"/>
      <c r="V750" s="121"/>
      <c r="W750" s="121"/>
      <c r="X750" s="121"/>
      <c r="Y750" s="121"/>
      <c r="Z750" s="121"/>
      <c r="AA750" s="121"/>
    </row>
    <row r="751" customFormat="false" ht="15.75" hidden="false" customHeight="false" outlineLevel="0" collapsed="false">
      <c r="A751" s="121" t="str">
        <f aca="false">IF(ISBLANK(B751),"",B751&amp;"|"&amp;C751)</f>
        <v/>
      </c>
      <c r="B751" s="121"/>
      <c r="C751" s="121"/>
      <c r="D751" s="121"/>
      <c r="E751" s="127"/>
      <c r="F751" s="121"/>
      <c r="G751" s="121"/>
      <c r="H751" s="121"/>
      <c r="I751" s="121"/>
      <c r="J751" s="121"/>
      <c r="K751" s="121"/>
      <c r="L751" s="121"/>
      <c r="M751" s="121"/>
      <c r="N751" s="121"/>
      <c r="O751" s="121"/>
      <c r="P751" s="121"/>
      <c r="Q751" s="121"/>
      <c r="R751" s="121"/>
      <c r="S751" s="121"/>
      <c r="T751" s="121"/>
      <c r="U751" s="121"/>
      <c r="V751" s="121"/>
      <c r="W751" s="121"/>
      <c r="X751" s="121"/>
      <c r="Y751" s="121"/>
      <c r="Z751" s="121"/>
      <c r="AA751" s="121"/>
    </row>
    <row r="752" customFormat="false" ht="15.75" hidden="false" customHeight="false" outlineLevel="0" collapsed="false">
      <c r="A752" s="121" t="str">
        <f aca="false">IF(ISBLANK(B752),"",B752&amp;"|"&amp;C752)</f>
        <v/>
      </c>
      <c r="B752" s="121"/>
      <c r="C752" s="121"/>
      <c r="D752" s="121"/>
      <c r="E752" s="127"/>
      <c r="F752" s="121"/>
      <c r="G752" s="121"/>
      <c r="H752" s="121"/>
      <c r="I752" s="121"/>
      <c r="J752" s="121"/>
      <c r="K752" s="121"/>
      <c r="L752" s="121"/>
      <c r="M752" s="121"/>
      <c r="N752" s="121"/>
      <c r="O752" s="121"/>
      <c r="P752" s="121"/>
      <c r="Q752" s="121"/>
      <c r="R752" s="121"/>
      <c r="S752" s="121"/>
      <c r="T752" s="121"/>
      <c r="U752" s="121"/>
      <c r="V752" s="121"/>
      <c r="W752" s="121"/>
      <c r="X752" s="121"/>
      <c r="Y752" s="121"/>
      <c r="Z752" s="121"/>
      <c r="AA752" s="121"/>
    </row>
    <row r="753" customFormat="false" ht="15.75" hidden="false" customHeight="false" outlineLevel="0" collapsed="false">
      <c r="A753" s="121" t="str">
        <f aca="false">IF(ISBLANK(B753),"",B753&amp;"|"&amp;C753)</f>
        <v/>
      </c>
      <c r="B753" s="121"/>
      <c r="C753" s="121"/>
      <c r="D753" s="121"/>
      <c r="E753" s="127"/>
      <c r="F753" s="121"/>
      <c r="G753" s="121"/>
      <c r="H753" s="121"/>
      <c r="I753" s="121"/>
      <c r="J753" s="121"/>
      <c r="K753" s="121"/>
      <c r="L753" s="121"/>
      <c r="M753" s="121"/>
      <c r="N753" s="121"/>
      <c r="O753" s="121"/>
      <c r="P753" s="121"/>
      <c r="Q753" s="121"/>
      <c r="R753" s="121"/>
      <c r="S753" s="121"/>
      <c r="T753" s="121"/>
      <c r="U753" s="121"/>
      <c r="V753" s="121"/>
      <c r="W753" s="121"/>
      <c r="X753" s="121"/>
      <c r="Y753" s="121"/>
      <c r="Z753" s="121"/>
      <c r="AA753" s="121"/>
    </row>
    <row r="754" customFormat="false" ht="15.75" hidden="false" customHeight="false" outlineLevel="0" collapsed="false">
      <c r="A754" s="121" t="str">
        <f aca="false">IF(ISBLANK(B754),"",B754&amp;"|"&amp;C754)</f>
        <v/>
      </c>
      <c r="B754" s="121"/>
      <c r="C754" s="121"/>
      <c r="D754" s="121"/>
      <c r="E754" s="127"/>
      <c r="F754" s="121"/>
      <c r="G754" s="121"/>
      <c r="H754" s="121"/>
      <c r="I754" s="121"/>
      <c r="J754" s="121"/>
      <c r="K754" s="121"/>
      <c r="L754" s="121"/>
      <c r="M754" s="121"/>
      <c r="N754" s="121"/>
      <c r="O754" s="121"/>
      <c r="P754" s="121"/>
      <c r="Q754" s="121"/>
      <c r="R754" s="121"/>
      <c r="S754" s="121"/>
      <c r="T754" s="121"/>
      <c r="U754" s="121"/>
      <c r="V754" s="121"/>
      <c r="W754" s="121"/>
      <c r="X754" s="121"/>
      <c r="Y754" s="121"/>
      <c r="Z754" s="121"/>
      <c r="AA754" s="121"/>
    </row>
    <row r="755" customFormat="false" ht="15.75" hidden="false" customHeight="false" outlineLevel="0" collapsed="false">
      <c r="A755" s="121" t="str">
        <f aca="false">IF(ISBLANK(B755),"",B755&amp;"|"&amp;C755)</f>
        <v/>
      </c>
      <c r="B755" s="121"/>
      <c r="C755" s="121"/>
      <c r="D755" s="121"/>
      <c r="E755" s="127"/>
      <c r="F755" s="121"/>
      <c r="G755" s="121"/>
      <c r="H755" s="121"/>
      <c r="I755" s="121"/>
      <c r="J755" s="121"/>
      <c r="K755" s="121"/>
      <c r="L755" s="121"/>
      <c r="M755" s="121"/>
      <c r="N755" s="121"/>
      <c r="O755" s="121"/>
      <c r="P755" s="121"/>
      <c r="Q755" s="121"/>
      <c r="R755" s="121"/>
      <c r="S755" s="121"/>
      <c r="T755" s="121"/>
      <c r="U755" s="121"/>
      <c r="V755" s="121"/>
      <c r="W755" s="121"/>
      <c r="X755" s="121"/>
      <c r="Y755" s="121"/>
      <c r="Z755" s="121"/>
      <c r="AA755" s="121"/>
    </row>
    <row r="756" customFormat="false" ht="15.75" hidden="false" customHeight="false" outlineLevel="0" collapsed="false">
      <c r="A756" s="121" t="str">
        <f aca="false">IF(ISBLANK(B756),"",B756&amp;"|"&amp;C756)</f>
        <v/>
      </c>
      <c r="B756" s="121"/>
      <c r="C756" s="121"/>
      <c r="D756" s="121"/>
      <c r="E756" s="127"/>
      <c r="F756" s="121"/>
      <c r="G756" s="121"/>
      <c r="H756" s="121"/>
      <c r="I756" s="121"/>
      <c r="J756" s="121"/>
      <c r="K756" s="121"/>
      <c r="L756" s="121"/>
      <c r="M756" s="121"/>
      <c r="N756" s="121"/>
      <c r="O756" s="121"/>
      <c r="P756" s="121"/>
      <c r="Q756" s="121"/>
      <c r="R756" s="121"/>
      <c r="S756" s="121"/>
      <c r="T756" s="121"/>
      <c r="U756" s="121"/>
      <c r="V756" s="121"/>
      <c r="W756" s="121"/>
      <c r="X756" s="121"/>
      <c r="Y756" s="121"/>
      <c r="Z756" s="121"/>
      <c r="AA756" s="121"/>
    </row>
    <row r="757" customFormat="false" ht="15.75" hidden="false" customHeight="false" outlineLevel="0" collapsed="false">
      <c r="A757" s="121" t="str">
        <f aca="false">IF(ISBLANK(B757),"",B757&amp;"|"&amp;C757)</f>
        <v/>
      </c>
      <c r="B757" s="121"/>
      <c r="C757" s="121"/>
      <c r="D757" s="121"/>
      <c r="E757" s="127"/>
      <c r="F757" s="121"/>
      <c r="G757" s="121"/>
      <c r="H757" s="121"/>
      <c r="I757" s="121"/>
      <c r="J757" s="121"/>
      <c r="K757" s="121"/>
      <c r="L757" s="121"/>
      <c r="M757" s="121"/>
      <c r="N757" s="121"/>
      <c r="O757" s="121"/>
      <c r="P757" s="121"/>
      <c r="Q757" s="121"/>
      <c r="R757" s="121"/>
      <c r="S757" s="121"/>
      <c r="T757" s="121"/>
      <c r="U757" s="121"/>
      <c r="V757" s="121"/>
      <c r="W757" s="121"/>
      <c r="X757" s="121"/>
      <c r="Y757" s="121"/>
      <c r="Z757" s="121"/>
      <c r="AA757" s="121"/>
    </row>
    <row r="758" customFormat="false" ht="15.75" hidden="false" customHeight="false" outlineLevel="0" collapsed="false">
      <c r="A758" s="121" t="str">
        <f aca="false">IF(ISBLANK(B758),"",B758&amp;"|"&amp;C758)</f>
        <v/>
      </c>
      <c r="B758" s="121"/>
      <c r="C758" s="121"/>
      <c r="D758" s="121"/>
      <c r="E758" s="127"/>
      <c r="F758" s="121"/>
      <c r="G758" s="121"/>
      <c r="H758" s="121"/>
      <c r="I758" s="121"/>
      <c r="J758" s="121"/>
      <c r="K758" s="121"/>
      <c r="L758" s="121"/>
      <c r="M758" s="121"/>
      <c r="N758" s="121"/>
      <c r="O758" s="121"/>
      <c r="P758" s="121"/>
      <c r="Q758" s="121"/>
      <c r="R758" s="121"/>
      <c r="S758" s="121"/>
      <c r="T758" s="121"/>
      <c r="U758" s="121"/>
      <c r="V758" s="121"/>
      <c r="W758" s="121"/>
      <c r="X758" s="121"/>
      <c r="Y758" s="121"/>
      <c r="Z758" s="121"/>
      <c r="AA758" s="121"/>
    </row>
    <row r="759" customFormat="false" ht="15.75" hidden="false" customHeight="false" outlineLevel="0" collapsed="false">
      <c r="A759" s="121" t="str">
        <f aca="false">IF(ISBLANK(B759),"",B759&amp;"|"&amp;C759)</f>
        <v/>
      </c>
      <c r="B759" s="121"/>
      <c r="C759" s="121"/>
      <c r="D759" s="121"/>
      <c r="E759" s="127"/>
      <c r="F759" s="121"/>
      <c r="G759" s="121"/>
      <c r="H759" s="121"/>
      <c r="I759" s="121"/>
      <c r="J759" s="121"/>
      <c r="K759" s="121"/>
      <c r="L759" s="121"/>
      <c r="M759" s="121"/>
      <c r="N759" s="121"/>
      <c r="O759" s="121"/>
      <c r="P759" s="121"/>
      <c r="Q759" s="121"/>
      <c r="R759" s="121"/>
      <c r="S759" s="121"/>
      <c r="T759" s="121"/>
      <c r="U759" s="121"/>
      <c r="V759" s="121"/>
      <c r="W759" s="121"/>
      <c r="X759" s="121"/>
      <c r="Y759" s="121"/>
      <c r="Z759" s="121"/>
      <c r="AA759" s="121"/>
    </row>
    <row r="760" customFormat="false" ht="15.75" hidden="false" customHeight="false" outlineLevel="0" collapsed="false">
      <c r="A760" s="121" t="str">
        <f aca="false">IF(ISBLANK(B760),"",B760&amp;"|"&amp;C760)</f>
        <v/>
      </c>
      <c r="B760" s="121"/>
      <c r="C760" s="121"/>
      <c r="D760" s="121"/>
      <c r="E760" s="127"/>
      <c r="F760" s="121"/>
      <c r="G760" s="121"/>
      <c r="H760" s="121"/>
      <c r="I760" s="121"/>
      <c r="J760" s="121"/>
      <c r="K760" s="121"/>
      <c r="L760" s="121"/>
      <c r="M760" s="121"/>
      <c r="N760" s="121"/>
      <c r="O760" s="121"/>
      <c r="P760" s="121"/>
      <c r="Q760" s="121"/>
      <c r="R760" s="121"/>
      <c r="S760" s="121"/>
      <c r="T760" s="121"/>
      <c r="U760" s="121"/>
      <c r="V760" s="121"/>
      <c r="W760" s="121"/>
      <c r="X760" s="121"/>
      <c r="Y760" s="121"/>
      <c r="Z760" s="121"/>
      <c r="AA760" s="121"/>
    </row>
    <row r="761" customFormat="false" ht="15.75" hidden="false" customHeight="false" outlineLevel="0" collapsed="false">
      <c r="A761" s="121" t="str">
        <f aca="false">IF(ISBLANK(B761),"",B761&amp;"|"&amp;C761)</f>
        <v/>
      </c>
      <c r="B761" s="121"/>
      <c r="C761" s="121"/>
      <c r="D761" s="121"/>
      <c r="E761" s="127"/>
      <c r="F761" s="121"/>
      <c r="G761" s="121"/>
      <c r="H761" s="121"/>
      <c r="I761" s="121"/>
      <c r="J761" s="121"/>
      <c r="K761" s="121"/>
      <c r="L761" s="121"/>
      <c r="M761" s="121"/>
      <c r="N761" s="121"/>
      <c r="O761" s="121"/>
      <c r="P761" s="121"/>
      <c r="Q761" s="121"/>
      <c r="R761" s="121"/>
      <c r="S761" s="121"/>
      <c r="T761" s="121"/>
      <c r="U761" s="121"/>
      <c r="V761" s="121"/>
      <c r="W761" s="121"/>
      <c r="X761" s="121"/>
      <c r="Y761" s="121"/>
      <c r="Z761" s="121"/>
      <c r="AA761" s="121"/>
    </row>
    <row r="762" customFormat="false" ht="15.75" hidden="false" customHeight="false" outlineLevel="0" collapsed="false">
      <c r="A762" s="121" t="str">
        <f aca="false">IF(ISBLANK(B762),"",B762&amp;"|"&amp;C762)</f>
        <v/>
      </c>
      <c r="B762" s="121"/>
      <c r="C762" s="121"/>
      <c r="D762" s="121"/>
      <c r="E762" s="127"/>
      <c r="F762" s="121"/>
      <c r="G762" s="121"/>
      <c r="H762" s="121"/>
      <c r="I762" s="121"/>
      <c r="J762" s="121"/>
      <c r="K762" s="121"/>
      <c r="L762" s="121"/>
      <c r="M762" s="121"/>
      <c r="N762" s="121"/>
      <c r="O762" s="121"/>
      <c r="P762" s="121"/>
      <c r="Q762" s="121"/>
      <c r="R762" s="121"/>
      <c r="S762" s="121"/>
      <c r="T762" s="121"/>
      <c r="U762" s="121"/>
      <c r="V762" s="121"/>
      <c r="W762" s="121"/>
      <c r="X762" s="121"/>
      <c r="Y762" s="121"/>
      <c r="Z762" s="121"/>
      <c r="AA762" s="121"/>
    </row>
    <row r="763" customFormat="false" ht="15.75" hidden="false" customHeight="false" outlineLevel="0" collapsed="false">
      <c r="A763" s="121" t="str">
        <f aca="false">IF(ISBLANK(B763),"",B763&amp;"|"&amp;C763)</f>
        <v/>
      </c>
      <c r="B763" s="121"/>
      <c r="C763" s="121"/>
      <c r="D763" s="121"/>
      <c r="E763" s="127"/>
      <c r="F763" s="121"/>
      <c r="G763" s="121"/>
      <c r="H763" s="121"/>
      <c r="I763" s="121"/>
      <c r="J763" s="121"/>
      <c r="K763" s="121"/>
      <c r="L763" s="121"/>
      <c r="M763" s="121"/>
      <c r="N763" s="121"/>
      <c r="O763" s="121"/>
      <c r="P763" s="121"/>
      <c r="Q763" s="121"/>
      <c r="R763" s="121"/>
      <c r="S763" s="121"/>
      <c r="T763" s="121"/>
      <c r="U763" s="121"/>
      <c r="V763" s="121"/>
      <c r="W763" s="121"/>
      <c r="X763" s="121"/>
      <c r="Y763" s="121"/>
      <c r="Z763" s="121"/>
      <c r="AA763" s="121"/>
    </row>
    <row r="764" customFormat="false" ht="15.75" hidden="false" customHeight="false" outlineLevel="0" collapsed="false">
      <c r="A764" s="121" t="str">
        <f aca="false">IF(ISBLANK(B764),"",B764&amp;"|"&amp;C764)</f>
        <v/>
      </c>
      <c r="B764" s="121"/>
      <c r="C764" s="121"/>
      <c r="D764" s="121"/>
      <c r="E764" s="127"/>
      <c r="F764" s="121"/>
      <c r="G764" s="121"/>
      <c r="H764" s="121"/>
      <c r="I764" s="121"/>
      <c r="J764" s="121"/>
      <c r="K764" s="121"/>
      <c r="L764" s="121"/>
      <c r="M764" s="121"/>
      <c r="N764" s="121"/>
      <c r="O764" s="121"/>
      <c r="P764" s="121"/>
      <c r="Q764" s="121"/>
      <c r="R764" s="121"/>
      <c r="S764" s="121"/>
      <c r="T764" s="121"/>
      <c r="U764" s="121"/>
      <c r="V764" s="121"/>
      <c r="W764" s="121"/>
      <c r="X764" s="121"/>
      <c r="Y764" s="121"/>
      <c r="Z764" s="121"/>
      <c r="AA764" s="121"/>
    </row>
    <row r="765" customFormat="false" ht="15.75" hidden="false" customHeight="false" outlineLevel="0" collapsed="false">
      <c r="A765" s="121" t="str">
        <f aca="false">IF(ISBLANK(B765),"",B765&amp;"|"&amp;C765)</f>
        <v/>
      </c>
      <c r="B765" s="121"/>
      <c r="C765" s="121"/>
      <c r="D765" s="121"/>
      <c r="E765" s="127"/>
      <c r="F765" s="121"/>
      <c r="G765" s="121"/>
      <c r="H765" s="121"/>
      <c r="I765" s="121"/>
      <c r="J765" s="121"/>
      <c r="K765" s="121"/>
      <c r="L765" s="121"/>
      <c r="M765" s="121"/>
      <c r="N765" s="121"/>
      <c r="O765" s="121"/>
      <c r="P765" s="121"/>
      <c r="Q765" s="121"/>
      <c r="R765" s="121"/>
      <c r="S765" s="121"/>
      <c r="T765" s="121"/>
      <c r="U765" s="121"/>
      <c r="V765" s="121"/>
      <c r="W765" s="121"/>
      <c r="X765" s="121"/>
      <c r="Y765" s="121"/>
      <c r="Z765" s="121"/>
      <c r="AA765" s="121"/>
    </row>
    <row r="766" customFormat="false" ht="15.75" hidden="false" customHeight="false" outlineLevel="0" collapsed="false">
      <c r="A766" s="121" t="str">
        <f aca="false">IF(ISBLANK(B766),"",B766&amp;"|"&amp;C766)</f>
        <v/>
      </c>
      <c r="B766" s="121"/>
      <c r="C766" s="121"/>
      <c r="D766" s="121"/>
      <c r="E766" s="127"/>
      <c r="F766" s="121"/>
      <c r="G766" s="121"/>
      <c r="H766" s="121"/>
      <c r="I766" s="121"/>
      <c r="J766" s="121"/>
      <c r="K766" s="121"/>
      <c r="L766" s="121"/>
      <c r="M766" s="121"/>
      <c r="N766" s="121"/>
      <c r="O766" s="121"/>
      <c r="P766" s="121"/>
      <c r="Q766" s="121"/>
      <c r="R766" s="121"/>
      <c r="S766" s="121"/>
      <c r="T766" s="121"/>
      <c r="U766" s="121"/>
      <c r="V766" s="121"/>
      <c r="W766" s="121"/>
      <c r="X766" s="121"/>
      <c r="Y766" s="121"/>
      <c r="Z766" s="121"/>
      <c r="AA766" s="121"/>
    </row>
    <row r="767" customFormat="false" ht="15.75" hidden="false" customHeight="false" outlineLevel="0" collapsed="false">
      <c r="A767" s="121" t="str">
        <f aca="false">IF(ISBLANK(B767),"",B767&amp;"|"&amp;C767)</f>
        <v/>
      </c>
      <c r="B767" s="121"/>
      <c r="C767" s="121"/>
      <c r="D767" s="121"/>
      <c r="E767" s="127"/>
      <c r="F767" s="121"/>
      <c r="G767" s="121"/>
      <c r="H767" s="121"/>
      <c r="I767" s="121"/>
      <c r="J767" s="121"/>
      <c r="K767" s="121"/>
      <c r="L767" s="121"/>
      <c r="M767" s="121"/>
      <c r="N767" s="121"/>
      <c r="O767" s="121"/>
      <c r="P767" s="121"/>
      <c r="Q767" s="121"/>
      <c r="R767" s="121"/>
      <c r="S767" s="121"/>
      <c r="T767" s="121"/>
      <c r="U767" s="121"/>
      <c r="V767" s="121"/>
      <c r="W767" s="121"/>
      <c r="X767" s="121"/>
      <c r="Y767" s="121"/>
      <c r="Z767" s="121"/>
      <c r="AA767" s="121"/>
    </row>
    <row r="768" customFormat="false" ht="15.75" hidden="false" customHeight="false" outlineLevel="0" collapsed="false">
      <c r="A768" s="121" t="str">
        <f aca="false">IF(ISBLANK(B768),"",B768&amp;"|"&amp;C768)</f>
        <v/>
      </c>
      <c r="B768" s="121"/>
      <c r="C768" s="121"/>
      <c r="D768" s="121"/>
      <c r="E768" s="127"/>
      <c r="F768" s="121"/>
      <c r="G768" s="121"/>
      <c r="H768" s="121"/>
      <c r="I768" s="121"/>
      <c r="J768" s="121"/>
      <c r="K768" s="121"/>
      <c r="L768" s="121"/>
      <c r="M768" s="121"/>
      <c r="N768" s="121"/>
      <c r="O768" s="121"/>
      <c r="P768" s="121"/>
      <c r="Q768" s="121"/>
      <c r="R768" s="121"/>
      <c r="S768" s="121"/>
      <c r="T768" s="121"/>
      <c r="U768" s="121"/>
      <c r="V768" s="121"/>
      <c r="W768" s="121"/>
      <c r="X768" s="121"/>
      <c r="Y768" s="121"/>
      <c r="Z768" s="121"/>
      <c r="AA768" s="121"/>
    </row>
    <row r="769" customFormat="false" ht="15.75" hidden="false" customHeight="false" outlineLevel="0" collapsed="false">
      <c r="A769" s="121" t="str">
        <f aca="false">IF(ISBLANK(B769),"",B769&amp;"|"&amp;C769)</f>
        <v/>
      </c>
      <c r="B769" s="121"/>
      <c r="C769" s="121"/>
      <c r="D769" s="121"/>
      <c r="E769" s="127"/>
      <c r="F769" s="121"/>
      <c r="G769" s="121"/>
      <c r="H769" s="121"/>
      <c r="I769" s="121"/>
      <c r="J769" s="121"/>
      <c r="K769" s="121"/>
      <c r="L769" s="121"/>
      <c r="M769" s="121"/>
      <c r="N769" s="121"/>
      <c r="O769" s="121"/>
      <c r="P769" s="121"/>
      <c r="Q769" s="121"/>
      <c r="R769" s="121"/>
      <c r="S769" s="121"/>
      <c r="T769" s="121"/>
      <c r="U769" s="121"/>
      <c r="V769" s="121"/>
      <c r="W769" s="121"/>
      <c r="X769" s="121"/>
      <c r="Y769" s="121"/>
      <c r="Z769" s="121"/>
      <c r="AA769" s="121"/>
    </row>
    <row r="770" customFormat="false" ht="15.75" hidden="false" customHeight="false" outlineLevel="0" collapsed="false">
      <c r="A770" s="121" t="str">
        <f aca="false">IF(ISBLANK(B770),"",B770&amp;"|"&amp;C770)</f>
        <v/>
      </c>
      <c r="B770" s="121"/>
      <c r="C770" s="121"/>
      <c r="D770" s="121"/>
      <c r="E770" s="127"/>
      <c r="F770" s="121"/>
      <c r="G770" s="121"/>
      <c r="H770" s="121"/>
      <c r="I770" s="121"/>
      <c r="J770" s="121"/>
      <c r="K770" s="121"/>
      <c r="L770" s="121"/>
      <c r="M770" s="121"/>
      <c r="N770" s="121"/>
      <c r="O770" s="121"/>
      <c r="P770" s="121"/>
      <c r="Q770" s="121"/>
      <c r="R770" s="121"/>
      <c r="S770" s="121"/>
      <c r="T770" s="121"/>
      <c r="U770" s="121"/>
      <c r="V770" s="121"/>
      <c r="W770" s="121"/>
      <c r="X770" s="121"/>
      <c r="Y770" s="121"/>
      <c r="Z770" s="121"/>
      <c r="AA770" s="121"/>
    </row>
    <row r="771" customFormat="false" ht="15.75" hidden="false" customHeight="false" outlineLevel="0" collapsed="false">
      <c r="A771" s="121" t="str">
        <f aca="false">IF(ISBLANK(B771),"",B771&amp;"|"&amp;C771)</f>
        <v/>
      </c>
      <c r="B771" s="121"/>
      <c r="C771" s="121"/>
      <c r="D771" s="121"/>
      <c r="E771" s="127"/>
      <c r="F771" s="121"/>
      <c r="G771" s="121"/>
      <c r="H771" s="121"/>
      <c r="I771" s="121"/>
      <c r="J771" s="121"/>
      <c r="K771" s="121"/>
      <c r="L771" s="121"/>
      <c r="M771" s="121"/>
      <c r="N771" s="121"/>
      <c r="O771" s="121"/>
      <c r="P771" s="121"/>
      <c r="Q771" s="121"/>
      <c r="R771" s="121"/>
      <c r="S771" s="121"/>
      <c r="T771" s="121"/>
      <c r="U771" s="121"/>
      <c r="V771" s="121"/>
      <c r="W771" s="121"/>
      <c r="X771" s="121"/>
      <c r="Y771" s="121"/>
      <c r="Z771" s="121"/>
      <c r="AA771" s="121"/>
    </row>
    <row r="772" customFormat="false" ht="15.75" hidden="false" customHeight="false" outlineLevel="0" collapsed="false">
      <c r="A772" s="121" t="str">
        <f aca="false">IF(ISBLANK(B772),"",B772&amp;"|"&amp;C772)</f>
        <v/>
      </c>
      <c r="B772" s="121"/>
      <c r="C772" s="121"/>
      <c r="D772" s="121"/>
      <c r="E772" s="127"/>
      <c r="F772" s="121"/>
      <c r="G772" s="121"/>
      <c r="H772" s="121"/>
      <c r="I772" s="121"/>
      <c r="J772" s="121"/>
      <c r="K772" s="121"/>
      <c r="L772" s="121"/>
      <c r="M772" s="121"/>
      <c r="N772" s="121"/>
      <c r="O772" s="121"/>
      <c r="P772" s="121"/>
      <c r="Q772" s="121"/>
      <c r="R772" s="121"/>
      <c r="S772" s="121"/>
      <c r="T772" s="121"/>
      <c r="U772" s="121"/>
      <c r="V772" s="121"/>
      <c r="W772" s="121"/>
      <c r="X772" s="121"/>
      <c r="Y772" s="121"/>
      <c r="Z772" s="121"/>
      <c r="AA772" s="121"/>
    </row>
    <row r="773" customFormat="false" ht="15.75" hidden="false" customHeight="false" outlineLevel="0" collapsed="false">
      <c r="A773" s="121" t="str">
        <f aca="false">IF(ISBLANK(B773),"",B773&amp;"|"&amp;C773)</f>
        <v/>
      </c>
      <c r="B773" s="121"/>
      <c r="C773" s="121"/>
      <c r="D773" s="121"/>
      <c r="E773" s="127"/>
      <c r="F773" s="121"/>
      <c r="G773" s="121"/>
      <c r="H773" s="121"/>
      <c r="I773" s="121"/>
      <c r="J773" s="121"/>
      <c r="K773" s="121"/>
      <c r="L773" s="121"/>
      <c r="M773" s="121"/>
      <c r="N773" s="121"/>
      <c r="O773" s="121"/>
      <c r="P773" s="121"/>
      <c r="Q773" s="121"/>
      <c r="R773" s="121"/>
      <c r="S773" s="121"/>
      <c r="T773" s="121"/>
      <c r="U773" s="121"/>
      <c r="V773" s="121"/>
      <c r="W773" s="121"/>
      <c r="X773" s="121"/>
      <c r="Y773" s="121"/>
      <c r="Z773" s="121"/>
      <c r="AA773" s="121"/>
    </row>
    <row r="774" customFormat="false" ht="15.75" hidden="false" customHeight="false" outlineLevel="0" collapsed="false">
      <c r="A774" s="121" t="str">
        <f aca="false">IF(ISBLANK(B774),"",B774&amp;"|"&amp;C774)</f>
        <v/>
      </c>
      <c r="B774" s="121"/>
      <c r="C774" s="121"/>
      <c r="D774" s="121"/>
      <c r="E774" s="127"/>
      <c r="F774" s="121"/>
      <c r="G774" s="121"/>
      <c r="H774" s="121"/>
      <c r="I774" s="121"/>
      <c r="J774" s="121"/>
      <c r="K774" s="121"/>
      <c r="L774" s="121"/>
      <c r="M774" s="121"/>
      <c r="N774" s="121"/>
      <c r="O774" s="121"/>
      <c r="P774" s="121"/>
      <c r="Q774" s="121"/>
      <c r="R774" s="121"/>
      <c r="S774" s="121"/>
      <c r="T774" s="121"/>
      <c r="U774" s="121"/>
      <c r="V774" s="121"/>
      <c r="W774" s="121"/>
      <c r="X774" s="121"/>
      <c r="Y774" s="121"/>
      <c r="Z774" s="121"/>
      <c r="AA774" s="121"/>
    </row>
    <row r="775" customFormat="false" ht="15.75" hidden="false" customHeight="false" outlineLevel="0" collapsed="false">
      <c r="A775" s="121" t="str">
        <f aca="false">IF(ISBLANK(B775),"",B775&amp;"|"&amp;C775)</f>
        <v/>
      </c>
      <c r="B775" s="121"/>
      <c r="C775" s="121"/>
      <c r="D775" s="121"/>
      <c r="E775" s="127"/>
      <c r="F775" s="121"/>
      <c r="G775" s="121"/>
      <c r="H775" s="121"/>
      <c r="I775" s="121"/>
      <c r="J775" s="121"/>
      <c r="K775" s="121"/>
      <c r="L775" s="121"/>
      <c r="M775" s="121"/>
      <c r="N775" s="121"/>
      <c r="O775" s="121"/>
      <c r="P775" s="121"/>
      <c r="Q775" s="121"/>
      <c r="R775" s="121"/>
      <c r="S775" s="121"/>
      <c r="T775" s="121"/>
      <c r="U775" s="121"/>
      <c r="V775" s="121"/>
      <c r="W775" s="121"/>
      <c r="X775" s="121"/>
      <c r="Y775" s="121"/>
      <c r="Z775" s="121"/>
      <c r="AA775" s="121"/>
    </row>
    <row r="776" customFormat="false" ht="15.75" hidden="false" customHeight="false" outlineLevel="0" collapsed="false">
      <c r="A776" s="121" t="str">
        <f aca="false">IF(ISBLANK(B776),"",B776&amp;"|"&amp;C776)</f>
        <v/>
      </c>
      <c r="B776" s="121"/>
      <c r="C776" s="121"/>
      <c r="D776" s="121"/>
      <c r="E776" s="127"/>
      <c r="F776" s="121"/>
      <c r="G776" s="121"/>
      <c r="H776" s="121"/>
      <c r="I776" s="121"/>
      <c r="J776" s="121"/>
      <c r="K776" s="121"/>
      <c r="L776" s="121"/>
      <c r="M776" s="121"/>
      <c r="N776" s="121"/>
      <c r="O776" s="121"/>
      <c r="P776" s="121"/>
      <c r="Q776" s="121"/>
      <c r="R776" s="121"/>
      <c r="S776" s="121"/>
      <c r="T776" s="121"/>
      <c r="U776" s="121"/>
      <c r="V776" s="121"/>
      <c r="W776" s="121"/>
      <c r="X776" s="121"/>
      <c r="Y776" s="121"/>
      <c r="Z776" s="121"/>
      <c r="AA776" s="121"/>
    </row>
    <row r="777" customFormat="false" ht="15.75" hidden="false" customHeight="false" outlineLevel="0" collapsed="false">
      <c r="A777" s="121" t="str">
        <f aca="false">IF(ISBLANK(B777),"",B777&amp;"|"&amp;C777)</f>
        <v/>
      </c>
      <c r="B777" s="121"/>
      <c r="C777" s="121"/>
      <c r="D777" s="121"/>
      <c r="E777" s="127"/>
      <c r="F777" s="121"/>
      <c r="G777" s="121"/>
      <c r="H777" s="121"/>
      <c r="I777" s="121"/>
      <c r="J777" s="121"/>
      <c r="K777" s="121"/>
      <c r="L777" s="121"/>
      <c r="M777" s="121"/>
      <c r="N777" s="121"/>
      <c r="O777" s="121"/>
      <c r="P777" s="121"/>
      <c r="Q777" s="121"/>
      <c r="R777" s="121"/>
      <c r="S777" s="121"/>
      <c r="T777" s="121"/>
      <c r="U777" s="121"/>
      <c r="V777" s="121"/>
      <c r="W777" s="121"/>
      <c r="X777" s="121"/>
      <c r="Y777" s="121"/>
      <c r="Z777" s="121"/>
      <c r="AA777" s="121"/>
    </row>
    <row r="778" customFormat="false" ht="15.75" hidden="false" customHeight="false" outlineLevel="0" collapsed="false">
      <c r="A778" s="121" t="str">
        <f aca="false">IF(ISBLANK(B778),"",B778&amp;"|"&amp;C778)</f>
        <v/>
      </c>
      <c r="B778" s="121"/>
      <c r="C778" s="121"/>
      <c r="D778" s="121"/>
      <c r="E778" s="127"/>
      <c r="F778" s="121"/>
      <c r="G778" s="121"/>
      <c r="H778" s="121"/>
      <c r="I778" s="121"/>
      <c r="J778" s="121"/>
      <c r="K778" s="121"/>
      <c r="L778" s="121"/>
      <c r="M778" s="121"/>
      <c r="N778" s="121"/>
      <c r="O778" s="121"/>
      <c r="P778" s="121"/>
      <c r="Q778" s="121"/>
      <c r="R778" s="121"/>
      <c r="S778" s="121"/>
      <c r="T778" s="121"/>
      <c r="U778" s="121"/>
      <c r="V778" s="121"/>
      <c r="W778" s="121"/>
      <c r="X778" s="121"/>
      <c r="Y778" s="121"/>
      <c r="Z778" s="121"/>
      <c r="AA778" s="121"/>
    </row>
    <row r="779" customFormat="false" ht="15.75" hidden="false" customHeight="false" outlineLevel="0" collapsed="false">
      <c r="A779" s="121" t="str">
        <f aca="false">IF(ISBLANK(B779),"",B779&amp;"|"&amp;C779)</f>
        <v/>
      </c>
      <c r="B779" s="121"/>
      <c r="C779" s="121"/>
      <c r="D779" s="121"/>
      <c r="E779" s="127"/>
      <c r="F779" s="121"/>
      <c r="G779" s="121"/>
      <c r="H779" s="121"/>
      <c r="I779" s="121"/>
      <c r="J779" s="121"/>
      <c r="K779" s="121"/>
      <c r="L779" s="121"/>
      <c r="M779" s="121"/>
      <c r="N779" s="121"/>
      <c r="O779" s="121"/>
      <c r="P779" s="121"/>
      <c r="Q779" s="121"/>
      <c r="R779" s="121"/>
      <c r="S779" s="121"/>
      <c r="T779" s="121"/>
      <c r="U779" s="121"/>
      <c r="V779" s="121"/>
      <c r="W779" s="121"/>
      <c r="X779" s="121"/>
      <c r="Y779" s="121"/>
      <c r="Z779" s="121"/>
      <c r="AA779" s="121"/>
    </row>
    <row r="780" customFormat="false" ht="15.75" hidden="false" customHeight="false" outlineLevel="0" collapsed="false">
      <c r="A780" s="121" t="str">
        <f aca="false">IF(ISBLANK(B780),"",B780&amp;"|"&amp;C780)</f>
        <v/>
      </c>
      <c r="B780" s="121"/>
      <c r="C780" s="121"/>
      <c r="D780" s="121"/>
      <c r="E780" s="127"/>
      <c r="F780" s="121"/>
      <c r="G780" s="121"/>
      <c r="H780" s="121"/>
      <c r="I780" s="121"/>
      <c r="J780" s="121"/>
      <c r="K780" s="121"/>
      <c r="L780" s="121"/>
      <c r="M780" s="121"/>
      <c r="N780" s="121"/>
      <c r="O780" s="121"/>
      <c r="P780" s="121"/>
      <c r="Q780" s="121"/>
      <c r="R780" s="121"/>
      <c r="S780" s="121"/>
      <c r="T780" s="121"/>
      <c r="U780" s="121"/>
      <c r="V780" s="121"/>
      <c r="W780" s="121"/>
      <c r="X780" s="121"/>
      <c r="Y780" s="121"/>
      <c r="Z780" s="121"/>
      <c r="AA780" s="121"/>
    </row>
    <row r="781" customFormat="false" ht="15.75" hidden="false" customHeight="false" outlineLevel="0" collapsed="false">
      <c r="A781" s="121" t="str">
        <f aca="false">IF(ISBLANK(B781),"",B781&amp;"|"&amp;C781)</f>
        <v/>
      </c>
      <c r="B781" s="121"/>
      <c r="C781" s="121"/>
      <c r="D781" s="121"/>
      <c r="E781" s="127"/>
      <c r="F781" s="121"/>
      <c r="G781" s="121"/>
      <c r="H781" s="121"/>
      <c r="I781" s="121"/>
      <c r="J781" s="121"/>
      <c r="K781" s="121"/>
      <c r="L781" s="121"/>
      <c r="M781" s="121"/>
      <c r="N781" s="121"/>
      <c r="O781" s="121"/>
      <c r="P781" s="121"/>
      <c r="Q781" s="121"/>
      <c r="R781" s="121"/>
      <c r="S781" s="121"/>
      <c r="T781" s="121"/>
      <c r="U781" s="121"/>
      <c r="V781" s="121"/>
      <c r="W781" s="121"/>
      <c r="X781" s="121"/>
      <c r="Y781" s="121"/>
      <c r="Z781" s="121"/>
      <c r="AA781" s="121"/>
    </row>
    <row r="782" customFormat="false" ht="15.75" hidden="false" customHeight="false" outlineLevel="0" collapsed="false">
      <c r="A782" s="121" t="str">
        <f aca="false">IF(ISBLANK(B782),"",B782&amp;"|"&amp;C782)</f>
        <v/>
      </c>
      <c r="B782" s="121"/>
      <c r="C782" s="121"/>
      <c r="D782" s="121"/>
      <c r="E782" s="127"/>
      <c r="F782" s="121"/>
      <c r="G782" s="121"/>
      <c r="H782" s="121"/>
      <c r="I782" s="121"/>
      <c r="J782" s="121"/>
      <c r="K782" s="121"/>
      <c r="L782" s="121"/>
      <c r="M782" s="121"/>
      <c r="N782" s="121"/>
      <c r="O782" s="121"/>
      <c r="P782" s="121"/>
      <c r="Q782" s="121"/>
      <c r="R782" s="121"/>
      <c r="S782" s="121"/>
      <c r="T782" s="121"/>
      <c r="U782" s="121"/>
      <c r="V782" s="121"/>
      <c r="W782" s="121"/>
      <c r="X782" s="121"/>
      <c r="Y782" s="121"/>
      <c r="Z782" s="121"/>
      <c r="AA782" s="121"/>
    </row>
    <row r="783" customFormat="false" ht="15.75" hidden="false" customHeight="false" outlineLevel="0" collapsed="false">
      <c r="A783" s="121" t="str">
        <f aca="false">IF(ISBLANK(B783),"",B783&amp;"|"&amp;C783)</f>
        <v/>
      </c>
      <c r="B783" s="121"/>
      <c r="C783" s="121"/>
      <c r="D783" s="121"/>
      <c r="E783" s="127"/>
      <c r="F783" s="121"/>
      <c r="G783" s="121"/>
      <c r="H783" s="121"/>
      <c r="I783" s="121"/>
      <c r="J783" s="121"/>
      <c r="K783" s="121"/>
      <c r="L783" s="121"/>
      <c r="M783" s="121"/>
      <c r="N783" s="121"/>
      <c r="O783" s="121"/>
      <c r="P783" s="121"/>
      <c r="Q783" s="121"/>
      <c r="R783" s="121"/>
      <c r="S783" s="121"/>
      <c r="T783" s="121"/>
      <c r="U783" s="121"/>
      <c r="V783" s="121"/>
      <c r="W783" s="121"/>
      <c r="X783" s="121"/>
      <c r="Y783" s="121"/>
      <c r="Z783" s="121"/>
      <c r="AA783" s="121"/>
    </row>
    <row r="784" customFormat="false" ht="15.75" hidden="false" customHeight="false" outlineLevel="0" collapsed="false">
      <c r="A784" s="121" t="str">
        <f aca="false">IF(ISBLANK(B784),"",B784&amp;"|"&amp;C784)</f>
        <v/>
      </c>
      <c r="B784" s="121"/>
      <c r="C784" s="121"/>
      <c r="D784" s="121"/>
      <c r="E784" s="127"/>
      <c r="F784" s="121"/>
      <c r="G784" s="121"/>
      <c r="H784" s="121"/>
      <c r="I784" s="121"/>
      <c r="J784" s="121"/>
      <c r="K784" s="121"/>
      <c r="L784" s="121"/>
      <c r="M784" s="121"/>
      <c r="N784" s="121"/>
      <c r="O784" s="121"/>
      <c r="P784" s="121"/>
      <c r="Q784" s="121"/>
      <c r="R784" s="121"/>
      <c r="S784" s="121"/>
      <c r="T784" s="121"/>
      <c r="U784" s="121"/>
      <c r="V784" s="121"/>
      <c r="W784" s="121"/>
      <c r="X784" s="121"/>
      <c r="Y784" s="121"/>
      <c r="Z784" s="121"/>
      <c r="AA784" s="121"/>
    </row>
    <row r="785" customFormat="false" ht="15.75" hidden="false" customHeight="false" outlineLevel="0" collapsed="false">
      <c r="A785" s="121" t="str">
        <f aca="false">IF(ISBLANK(B785),"",B785&amp;"|"&amp;C785)</f>
        <v/>
      </c>
      <c r="B785" s="121"/>
      <c r="C785" s="121"/>
      <c r="D785" s="121"/>
      <c r="E785" s="127"/>
      <c r="F785" s="121"/>
      <c r="G785" s="121"/>
      <c r="H785" s="121"/>
      <c r="I785" s="121"/>
      <c r="J785" s="121"/>
      <c r="K785" s="121"/>
      <c r="L785" s="121"/>
      <c r="M785" s="121"/>
      <c r="N785" s="121"/>
      <c r="O785" s="121"/>
      <c r="P785" s="121"/>
      <c r="Q785" s="121"/>
      <c r="R785" s="121"/>
      <c r="S785" s="121"/>
      <c r="T785" s="121"/>
      <c r="U785" s="121"/>
      <c r="V785" s="121"/>
      <c r="W785" s="121"/>
      <c r="X785" s="121"/>
      <c r="Y785" s="121"/>
      <c r="Z785" s="121"/>
      <c r="AA785" s="121"/>
    </row>
    <row r="786" customFormat="false" ht="15.75" hidden="false" customHeight="false" outlineLevel="0" collapsed="false">
      <c r="A786" s="121" t="str">
        <f aca="false">IF(ISBLANK(B786),"",B786&amp;"|"&amp;C786)</f>
        <v/>
      </c>
      <c r="B786" s="121"/>
      <c r="C786" s="121"/>
      <c r="D786" s="121"/>
      <c r="E786" s="127"/>
      <c r="F786" s="121"/>
      <c r="G786" s="121"/>
      <c r="H786" s="121"/>
      <c r="I786" s="121"/>
      <c r="J786" s="121"/>
      <c r="K786" s="121"/>
      <c r="L786" s="121"/>
      <c r="M786" s="121"/>
      <c r="N786" s="121"/>
      <c r="O786" s="121"/>
      <c r="P786" s="121"/>
      <c r="Q786" s="121"/>
      <c r="R786" s="121"/>
      <c r="S786" s="121"/>
      <c r="T786" s="121"/>
      <c r="U786" s="121"/>
      <c r="V786" s="121"/>
      <c r="W786" s="121"/>
      <c r="X786" s="121"/>
      <c r="Y786" s="121"/>
      <c r="Z786" s="121"/>
      <c r="AA786" s="121"/>
    </row>
    <row r="787" customFormat="false" ht="15.75" hidden="false" customHeight="false" outlineLevel="0" collapsed="false">
      <c r="A787" s="121" t="str">
        <f aca="false">IF(ISBLANK(B787),"",B787&amp;"|"&amp;C787)</f>
        <v/>
      </c>
      <c r="B787" s="121"/>
      <c r="C787" s="121"/>
      <c r="D787" s="121"/>
      <c r="E787" s="127"/>
      <c r="F787" s="121"/>
      <c r="G787" s="121"/>
      <c r="H787" s="121"/>
      <c r="I787" s="121"/>
      <c r="J787" s="121"/>
      <c r="K787" s="121"/>
      <c r="L787" s="121"/>
      <c r="M787" s="121"/>
      <c r="N787" s="121"/>
      <c r="O787" s="121"/>
      <c r="P787" s="121"/>
      <c r="Q787" s="121"/>
      <c r="R787" s="121"/>
      <c r="S787" s="121"/>
      <c r="T787" s="121"/>
      <c r="U787" s="121"/>
      <c r="V787" s="121"/>
      <c r="W787" s="121"/>
      <c r="X787" s="121"/>
      <c r="Y787" s="121"/>
      <c r="Z787" s="121"/>
      <c r="AA787" s="121"/>
    </row>
    <row r="788" customFormat="false" ht="15.75" hidden="false" customHeight="false" outlineLevel="0" collapsed="false">
      <c r="A788" s="121" t="str">
        <f aca="false">IF(ISBLANK(B788),"",B788&amp;"|"&amp;C788)</f>
        <v/>
      </c>
      <c r="B788" s="121"/>
      <c r="C788" s="121"/>
      <c r="D788" s="121"/>
      <c r="E788" s="127"/>
      <c r="F788" s="121"/>
      <c r="G788" s="121"/>
      <c r="H788" s="121"/>
      <c r="I788" s="121"/>
      <c r="J788" s="121"/>
      <c r="K788" s="121"/>
      <c r="L788" s="121"/>
      <c r="M788" s="121"/>
      <c r="N788" s="121"/>
      <c r="O788" s="121"/>
      <c r="P788" s="121"/>
      <c r="Q788" s="121"/>
      <c r="R788" s="121"/>
      <c r="S788" s="121"/>
      <c r="T788" s="121"/>
      <c r="U788" s="121"/>
      <c r="V788" s="121"/>
      <c r="W788" s="121"/>
      <c r="X788" s="121"/>
      <c r="Y788" s="121"/>
      <c r="Z788" s="121"/>
      <c r="AA788" s="121"/>
    </row>
    <row r="789" customFormat="false" ht="15.75" hidden="false" customHeight="false" outlineLevel="0" collapsed="false">
      <c r="A789" s="121" t="str">
        <f aca="false">IF(ISBLANK(B789),"",B789&amp;"|"&amp;C789)</f>
        <v/>
      </c>
      <c r="B789" s="121"/>
      <c r="C789" s="121"/>
      <c r="D789" s="121"/>
      <c r="E789" s="127"/>
      <c r="F789" s="121"/>
      <c r="G789" s="121"/>
      <c r="H789" s="121"/>
      <c r="I789" s="121"/>
      <c r="J789" s="121"/>
      <c r="K789" s="121"/>
      <c r="L789" s="121"/>
      <c r="M789" s="121"/>
      <c r="N789" s="121"/>
      <c r="O789" s="121"/>
      <c r="P789" s="121"/>
      <c r="Q789" s="121"/>
      <c r="R789" s="121"/>
      <c r="S789" s="121"/>
      <c r="T789" s="121"/>
      <c r="U789" s="121"/>
      <c r="V789" s="121"/>
      <c r="W789" s="121"/>
      <c r="X789" s="121"/>
      <c r="Y789" s="121"/>
      <c r="Z789" s="121"/>
      <c r="AA789" s="121"/>
    </row>
    <row r="790" customFormat="false" ht="15.75" hidden="false" customHeight="false" outlineLevel="0" collapsed="false">
      <c r="A790" s="121" t="str">
        <f aca="false">IF(ISBLANK(B790),"",B790&amp;"|"&amp;C790)</f>
        <v/>
      </c>
      <c r="B790" s="121"/>
      <c r="C790" s="121"/>
      <c r="D790" s="121"/>
      <c r="E790" s="127"/>
      <c r="F790" s="121"/>
      <c r="G790" s="121"/>
      <c r="H790" s="121"/>
      <c r="I790" s="121"/>
      <c r="J790" s="121"/>
      <c r="K790" s="121"/>
      <c r="L790" s="121"/>
      <c r="M790" s="121"/>
      <c r="N790" s="121"/>
      <c r="O790" s="121"/>
      <c r="P790" s="121"/>
      <c r="Q790" s="121"/>
      <c r="R790" s="121"/>
      <c r="S790" s="121"/>
      <c r="T790" s="121"/>
      <c r="U790" s="121"/>
      <c r="V790" s="121"/>
      <c r="W790" s="121"/>
      <c r="X790" s="121"/>
      <c r="Y790" s="121"/>
      <c r="Z790" s="121"/>
      <c r="AA790" s="121"/>
    </row>
    <row r="791" customFormat="false" ht="15.75" hidden="false" customHeight="false" outlineLevel="0" collapsed="false">
      <c r="A791" s="121" t="str">
        <f aca="false">IF(ISBLANK(B791),"",B791&amp;"|"&amp;C791)</f>
        <v/>
      </c>
      <c r="B791" s="121"/>
      <c r="C791" s="121"/>
      <c r="D791" s="121"/>
      <c r="E791" s="127"/>
      <c r="F791" s="121"/>
      <c r="G791" s="121"/>
      <c r="H791" s="121"/>
      <c r="I791" s="121"/>
      <c r="J791" s="121"/>
      <c r="K791" s="121"/>
      <c r="L791" s="121"/>
      <c r="M791" s="121"/>
      <c r="N791" s="121"/>
      <c r="O791" s="121"/>
      <c r="P791" s="121"/>
      <c r="Q791" s="121"/>
      <c r="R791" s="121"/>
      <c r="S791" s="121"/>
      <c r="T791" s="121"/>
      <c r="U791" s="121"/>
      <c r="V791" s="121"/>
      <c r="W791" s="121"/>
      <c r="X791" s="121"/>
      <c r="Y791" s="121"/>
      <c r="Z791" s="121"/>
      <c r="AA791" s="121"/>
    </row>
    <row r="792" customFormat="false" ht="15.75" hidden="false" customHeight="false" outlineLevel="0" collapsed="false">
      <c r="A792" s="121" t="str">
        <f aca="false">IF(ISBLANK(B792),"",B792&amp;"|"&amp;C792)</f>
        <v/>
      </c>
      <c r="B792" s="121"/>
      <c r="C792" s="121"/>
      <c r="D792" s="121"/>
      <c r="E792" s="127"/>
      <c r="F792" s="121"/>
      <c r="G792" s="121"/>
      <c r="H792" s="121"/>
      <c r="I792" s="121"/>
      <c r="J792" s="121"/>
      <c r="K792" s="121"/>
      <c r="L792" s="121"/>
      <c r="M792" s="121"/>
      <c r="N792" s="121"/>
      <c r="O792" s="121"/>
      <c r="P792" s="121"/>
      <c r="Q792" s="121"/>
      <c r="R792" s="121"/>
      <c r="S792" s="121"/>
      <c r="T792" s="121"/>
      <c r="U792" s="121"/>
      <c r="V792" s="121"/>
      <c r="W792" s="121"/>
      <c r="X792" s="121"/>
      <c r="Y792" s="121"/>
      <c r="Z792" s="121"/>
      <c r="AA792" s="121"/>
    </row>
    <row r="793" customFormat="false" ht="15.75" hidden="false" customHeight="false" outlineLevel="0" collapsed="false">
      <c r="A793" s="121" t="str">
        <f aca="false">IF(ISBLANK(B793),"",B793&amp;"|"&amp;C793)</f>
        <v/>
      </c>
      <c r="B793" s="121"/>
      <c r="C793" s="121"/>
      <c r="D793" s="121"/>
      <c r="E793" s="127"/>
      <c r="F793" s="121"/>
      <c r="G793" s="121"/>
      <c r="H793" s="121"/>
      <c r="I793" s="121"/>
      <c r="J793" s="121"/>
      <c r="K793" s="121"/>
      <c r="L793" s="121"/>
      <c r="M793" s="121"/>
      <c r="N793" s="121"/>
      <c r="O793" s="121"/>
      <c r="P793" s="121"/>
      <c r="Q793" s="121"/>
      <c r="R793" s="121"/>
      <c r="S793" s="121"/>
      <c r="T793" s="121"/>
      <c r="U793" s="121"/>
      <c r="V793" s="121"/>
      <c r="W793" s="121"/>
      <c r="X793" s="121"/>
      <c r="Y793" s="121"/>
      <c r="Z793" s="121"/>
      <c r="AA793" s="121"/>
    </row>
    <row r="794" customFormat="false" ht="15.75" hidden="false" customHeight="false" outlineLevel="0" collapsed="false">
      <c r="A794" s="121" t="str">
        <f aca="false">IF(ISBLANK(B794),"",B794&amp;"|"&amp;C794)</f>
        <v/>
      </c>
      <c r="B794" s="121"/>
      <c r="C794" s="121"/>
      <c r="D794" s="121"/>
      <c r="E794" s="127"/>
      <c r="F794" s="121"/>
      <c r="G794" s="121"/>
      <c r="H794" s="121"/>
      <c r="I794" s="121"/>
      <c r="J794" s="121"/>
      <c r="K794" s="121"/>
      <c r="L794" s="121"/>
      <c r="M794" s="121"/>
      <c r="N794" s="121"/>
      <c r="O794" s="121"/>
      <c r="P794" s="121"/>
      <c r="Q794" s="121"/>
      <c r="R794" s="121"/>
      <c r="S794" s="121"/>
      <c r="T794" s="121"/>
      <c r="U794" s="121"/>
      <c r="V794" s="121"/>
      <c r="W794" s="121"/>
      <c r="X794" s="121"/>
      <c r="Y794" s="121"/>
      <c r="Z794" s="121"/>
      <c r="AA794" s="121"/>
    </row>
    <row r="795" customFormat="false" ht="15.75" hidden="false" customHeight="false" outlineLevel="0" collapsed="false">
      <c r="A795" s="121" t="str">
        <f aca="false">IF(ISBLANK(B795),"",B795&amp;"|"&amp;C795)</f>
        <v/>
      </c>
      <c r="B795" s="121"/>
      <c r="C795" s="121"/>
      <c r="D795" s="121"/>
      <c r="E795" s="127"/>
      <c r="F795" s="121"/>
      <c r="G795" s="121"/>
      <c r="H795" s="121"/>
      <c r="I795" s="121"/>
      <c r="J795" s="121"/>
      <c r="K795" s="121"/>
      <c r="L795" s="121"/>
      <c r="M795" s="121"/>
      <c r="N795" s="121"/>
      <c r="O795" s="121"/>
      <c r="P795" s="121"/>
      <c r="Q795" s="121"/>
      <c r="R795" s="121"/>
      <c r="S795" s="121"/>
      <c r="T795" s="121"/>
      <c r="U795" s="121"/>
      <c r="V795" s="121"/>
      <c r="W795" s="121"/>
      <c r="X795" s="121"/>
      <c r="Y795" s="121"/>
      <c r="Z795" s="121"/>
      <c r="AA795" s="121"/>
    </row>
    <row r="796" customFormat="false" ht="15.75" hidden="false" customHeight="false" outlineLevel="0" collapsed="false">
      <c r="A796" s="121" t="str">
        <f aca="false">IF(ISBLANK(B796),"",B796&amp;"|"&amp;C796)</f>
        <v/>
      </c>
      <c r="B796" s="121"/>
      <c r="C796" s="121"/>
      <c r="D796" s="121"/>
      <c r="E796" s="127"/>
      <c r="F796" s="121"/>
      <c r="G796" s="121"/>
      <c r="H796" s="121"/>
      <c r="I796" s="121"/>
      <c r="J796" s="121"/>
      <c r="K796" s="121"/>
      <c r="L796" s="121"/>
      <c r="M796" s="121"/>
      <c r="N796" s="121"/>
      <c r="O796" s="121"/>
      <c r="P796" s="121"/>
      <c r="Q796" s="121"/>
      <c r="R796" s="121"/>
      <c r="S796" s="121"/>
      <c r="T796" s="121"/>
      <c r="U796" s="121"/>
      <c r="V796" s="121"/>
      <c r="W796" s="121"/>
      <c r="X796" s="121"/>
      <c r="Y796" s="121"/>
      <c r="Z796" s="121"/>
      <c r="AA796" s="121"/>
    </row>
    <row r="797" customFormat="false" ht="15.75" hidden="false" customHeight="false" outlineLevel="0" collapsed="false">
      <c r="A797" s="121" t="str">
        <f aca="false">IF(ISBLANK(B797),"",B797&amp;"|"&amp;C797)</f>
        <v/>
      </c>
      <c r="B797" s="121"/>
      <c r="C797" s="121"/>
      <c r="D797" s="121"/>
      <c r="E797" s="127"/>
      <c r="F797" s="121"/>
      <c r="G797" s="121"/>
      <c r="H797" s="121"/>
      <c r="I797" s="121"/>
      <c r="J797" s="121"/>
      <c r="K797" s="121"/>
      <c r="L797" s="121"/>
      <c r="M797" s="121"/>
      <c r="N797" s="121"/>
      <c r="O797" s="121"/>
      <c r="P797" s="121"/>
      <c r="Q797" s="121"/>
      <c r="R797" s="121"/>
      <c r="S797" s="121"/>
      <c r="T797" s="121"/>
      <c r="U797" s="121"/>
      <c r="V797" s="121"/>
      <c r="W797" s="121"/>
      <c r="X797" s="121"/>
      <c r="Y797" s="121"/>
      <c r="Z797" s="121"/>
      <c r="AA797" s="121"/>
    </row>
    <row r="798" customFormat="false" ht="15.75" hidden="false" customHeight="false" outlineLevel="0" collapsed="false">
      <c r="A798" s="121" t="str">
        <f aca="false">IF(ISBLANK(B798),"",B798&amp;"|"&amp;C798)</f>
        <v/>
      </c>
      <c r="B798" s="121"/>
      <c r="C798" s="121"/>
      <c r="D798" s="121"/>
      <c r="E798" s="127"/>
      <c r="F798" s="121"/>
      <c r="G798" s="121"/>
      <c r="H798" s="121"/>
      <c r="I798" s="121"/>
      <c r="J798" s="121"/>
      <c r="K798" s="121"/>
      <c r="L798" s="121"/>
      <c r="M798" s="121"/>
      <c r="N798" s="121"/>
      <c r="O798" s="121"/>
      <c r="P798" s="121"/>
      <c r="Q798" s="121"/>
      <c r="R798" s="121"/>
      <c r="S798" s="121"/>
      <c r="T798" s="121"/>
      <c r="U798" s="121"/>
      <c r="V798" s="121"/>
      <c r="W798" s="121"/>
      <c r="X798" s="121"/>
      <c r="Y798" s="121"/>
      <c r="Z798" s="121"/>
      <c r="AA798" s="121"/>
    </row>
    <row r="799" customFormat="false" ht="15.75" hidden="false" customHeight="false" outlineLevel="0" collapsed="false">
      <c r="A799" s="121" t="str">
        <f aca="false">IF(ISBLANK(B799),"",B799&amp;"|"&amp;C799)</f>
        <v/>
      </c>
      <c r="B799" s="121"/>
      <c r="C799" s="121"/>
      <c r="D799" s="121"/>
      <c r="E799" s="127"/>
      <c r="F799" s="121"/>
      <c r="G799" s="121"/>
      <c r="H799" s="121"/>
      <c r="I799" s="121"/>
      <c r="J799" s="121"/>
      <c r="K799" s="121"/>
      <c r="L799" s="121"/>
      <c r="M799" s="121"/>
      <c r="N799" s="121"/>
      <c r="O799" s="121"/>
      <c r="P799" s="121"/>
      <c r="Q799" s="121"/>
      <c r="R799" s="121"/>
      <c r="S799" s="121"/>
      <c r="T799" s="121"/>
      <c r="U799" s="121"/>
      <c r="V799" s="121"/>
      <c r="W799" s="121"/>
      <c r="X799" s="121"/>
      <c r="Y799" s="121"/>
      <c r="Z799" s="121"/>
      <c r="AA799" s="121"/>
    </row>
    <row r="800" customFormat="false" ht="15.75" hidden="false" customHeight="false" outlineLevel="0" collapsed="false">
      <c r="A800" s="121" t="str">
        <f aca="false">IF(ISBLANK(B800),"",B800&amp;"|"&amp;C800)</f>
        <v/>
      </c>
      <c r="B800" s="121"/>
      <c r="C800" s="121"/>
      <c r="D800" s="121"/>
      <c r="E800" s="127"/>
      <c r="F800" s="121"/>
      <c r="G800" s="121"/>
      <c r="H800" s="121"/>
      <c r="I800" s="121"/>
      <c r="J800" s="121"/>
      <c r="K800" s="121"/>
      <c r="L800" s="121"/>
      <c r="M800" s="121"/>
      <c r="N800" s="121"/>
      <c r="O800" s="121"/>
      <c r="P800" s="121"/>
      <c r="Q800" s="121"/>
      <c r="R800" s="121"/>
      <c r="S800" s="121"/>
      <c r="T800" s="121"/>
      <c r="U800" s="121"/>
      <c r="V800" s="121"/>
      <c r="W800" s="121"/>
      <c r="X800" s="121"/>
      <c r="Y800" s="121"/>
      <c r="Z800" s="121"/>
      <c r="AA800" s="121"/>
    </row>
    <row r="801" customFormat="false" ht="15.75" hidden="false" customHeight="false" outlineLevel="0" collapsed="false">
      <c r="A801" s="121" t="str">
        <f aca="false">IF(ISBLANK(B801),"",B801&amp;"|"&amp;C801)</f>
        <v/>
      </c>
      <c r="B801" s="121"/>
      <c r="C801" s="121"/>
      <c r="D801" s="121"/>
      <c r="E801" s="127"/>
      <c r="F801" s="121"/>
      <c r="G801" s="121"/>
      <c r="H801" s="121"/>
      <c r="I801" s="121"/>
      <c r="J801" s="121"/>
      <c r="K801" s="121"/>
      <c r="L801" s="121"/>
      <c r="M801" s="121"/>
      <c r="N801" s="121"/>
      <c r="O801" s="121"/>
      <c r="P801" s="121"/>
      <c r="Q801" s="121"/>
      <c r="R801" s="121"/>
      <c r="S801" s="121"/>
      <c r="T801" s="121"/>
      <c r="U801" s="121"/>
      <c r="V801" s="121"/>
      <c r="W801" s="121"/>
      <c r="X801" s="121"/>
      <c r="Y801" s="121"/>
      <c r="Z801" s="121"/>
      <c r="AA801" s="121"/>
    </row>
    <row r="802" customFormat="false" ht="15.75" hidden="false" customHeight="false" outlineLevel="0" collapsed="false">
      <c r="A802" s="121" t="str">
        <f aca="false">IF(ISBLANK(B802),"",B802&amp;"|"&amp;C802)</f>
        <v/>
      </c>
      <c r="B802" s="121"/>
      <c r="C802" s="121"/>
      <c r="D802" s="121"/>
      <c r="E802" s="127"/>
      <c r="F802" s="121"/>
      <c r="G802" s="121"/>
      <c r="H802" s="121"/>
      <c r="I802" s="121"/>
      <c r="J802" s="121"/>
      <c r="K802" s="121"/>
      <c r="L802" s="121"/>
      <c r="M802" s="121"/>
      <c r="N802" s="121"/>
      <c r="O802" s="121"/>
      <c r="P802" s="121"/>
      <c r="Q802" s="121"/>
      <c r="R802" s="121"/>
      <c r="S802" s="121"/>
      <c r="T802" s="121"/>
      <c r="U802" s="121"/>
      <c r="V802" s="121"/>
      <c r="W802" s="121"/>
      <c r="X802" s="121"/>
      <c r="Y802" s="121"/>
      <c r="Z802" s="121"/>
      <c r="AA802" s="121"/>
    </row>
    <row r="803" customFormat="false" ht="15.75" hidden="false" customHeight="false" outlineLevel="0" collapsed="false">
      <c r="A803" s="121" t="str">
        <f aca="false">IF(ISBLANK(B803),"",B803&amp;"|"&amp;C803)</f>
        <v/>
      </c>
      <c r="B803" s="121"/>
      <c r="C803" s="121"/>
      <c r="D803" s="121"/>
      <c r="E803" s="127"/>
      <c r="F803" s="121"/>
      <c r="G803" s="121"/>
      <c r="H803" s="121"/>
      <c r="I803" s="121"/>
      <c r="J803" s="121"/>
      <c r="K803" s="121"/>
      <c r="L803" s="121"/>
      <c r="M803" s="121"/>
      <c r="N803" s="121"/>
      <c r="O803" s="121"/>
      <c r="P803" s="121"/>
      <c r="Q803" s="121"/>
      <c r="R803" s="121"/>
      <c r="S803" s="121"/>
      <c r="T803" s="121"/>
      <c r="U803" s="121"/>
      <c r="V803" s="121"/>
      <c r="W803" s="121"/>
      <c r="X803" s="121"/>
      <c r="Y803" s="121"/>
      <c r="Z803" s="121"/>
      <c r="AA803" s="121"/>
    </row>
    <row r="804" customFormat="false" ht="15.75" hidden="false" customHeight="false" outlineLevel="0" collapsed="false">
      <c r="A804" s="121" t="str">
        <f aca="false">IF(ISBLANK(B804),"",B804&amp;"|"&amp;C804)</f>
        <v/>
      </c>
      <c r="B804" s="121"/>
      <c r="C804" s="121"/>
      <c r="D804" s="121"/>
      <c r="E804" s="127"/>
      <c r="F804" s="121"/>
      <c r="G804" s="121"/>
      <c r="H804" s="121"/>
      <c r="I804" s="121"/>
      <c r="J804" s="121"/>
      <c r="K804" s="121"/>
      <c r="L804" s="121"/>
      <c r="M804" s="121"/>
      <c r="N804" s="121"/>
      <c r="O804" s="121"/>
      <c r="P804" s="121"/>
      <c r="Q804" s="121"/>
      <c r="R804" s="121"/>
      <c r="S804" s="121"/>
      <c r="T804" s="121"/>
      <c r="U804" s="121"/>
      <c r="V804" s="121"/>
      <c r="W804" s="121"/>
      <c r="X804" s="121"/>
      <c r="Y804" s="121"/>
      <c r="Z804" s="121"/>
      <c r="AA804" s="121"/>
    </row>
    <row r="805" customFormat="false" ht="15.75" hidden="false" customHeight="false" outlineLevel="0" collapsed="false">
      <c r="A805" s="121" t="str">
        <f aca="false">IF(ISBLANK(B805),"",B805&amp;"|"&amp;C805)</f>
        <v/>
      </c>
      <c r="B805" s="121"/>
      <c r="C805" s="121"/>
      <c r="D805" s="121"/>
      <c r="E805" s="127"/>
      <c r="F805" s="121"/>
      <c r="G805" s="121"/>
      <c r="H805" s="121"/>
      <c r="I805" s="121"/>
      <c r="J805" s="121"/>
      <c r="K805" s="121"/>
      <c r="L805" s="121"/>
      <c r="M805" s="121"/>
      <c r="N805" s="121"/>
      <c r="O805" s="121"/>
      <c r="P805" s="121"/>
      <c r="Q805" s="121"/>
      <c r="R805" s="121"/>
      <c r="S805" s="121"/>
      <c r="T805" s="121"/>
      <c r="U805" s="121"/>
      <c r="V805" s="121"/>
      <c r="W805" s="121"/>
      <c r="X805" s="121"/>
      <c r="Y805" s="121"/>
      <c r="Z805" s="121"/>
      <c r="AA805" s="121"/>
    </row>
    <row r="806" customFormat="false" ht="15.75" hidden="false" customHeight="false" outlineLevel="0" collapsed="false">
      <c r="A806" s="121" t="str">
        <f aca="false">IF(ISBLANK(B806),"",B806&amp;"|"&amp;C806)</f>
        <v/>
      </c>
      <c r="B806" s="121"/>
      <c r="C806" s="121"/>
      <c r="D806" s="121"/>
      <c r="E806" s="127"/>
      <c r="F806" s="121"/>
      <c r="G806" s="121"/>
      <c r="H806" s="121"/>
      <c r="I806" s="121"/>
      <c r="J806" s="121"/>
      <c r="K806" s="121"/>
      <c r="L806" s="121"/>
      <c r="M806" s="121"/>
      <c r="N806" s="121"/>
      <c r="O806" s="121"/>
      <c r="P806" s="121"/>
      <c r="Q806" s="121"/>
      <c r="R806" s="121"/>
      <c r="S806" s="121"/>
      <c r="T806" s="121"/>
      <c r="U806" s="121"/>
      <c r="V806" s="121"/>
      <c r="W806" s="121"/>
      <c r="X806" s="121"/>
      <c r="Y806" s="121"/>
      <c r="Z806" s="121"/>
      <c r="AA806" s="121"/>
    </row>
    <row r="807" customFormat="false" ht="15.75" hidden="false" customHeight="false" outlineLevel="0" collapsed="false">
      <c r="A807" s="121" t="str">
        <f aca="false">IF(ISBLANK(B807),"",B807&amp;"|"&amp;C807)</f>
        <v/>
      </c>
      <c r="B807" s="121"/>
      <c r="C807" s="121"/>
      <c r="D807" s="121"/>
      <c r="E807" s="127"/>
      <c r="F807" s="121"/>
      <c r="G807" s="121"/>
      <c r="H807" s="121"/>
      <c r="I807" s="121"/>
      <c r="J807" s="121"/>
      <c r="K807" s="121"/>
      <c r="L807" s="121"/>
      <c r="M807" s="121"/>
      <c r="N807" s="121"/>
      <c r="O807" s="121"/>
      <c r="P807" s="121"/>
      <c r="Q807" s="121"/>
      <c r="R807" s="121"/>
      <c r="S807" s="121"/>
      <c r="T807" s="121"/>
      <c r="U807" s="121"/>
      <c r="V807" s="121"/>
      <c r="W807" s="121"/>
      <c r="X807" s="121"/>
      <c r="Y807" s="121"/>
      <c r="Z807" s="121"/>
      <c r="AA807" s="121"/>
    </row>
    <row r="808" customFormat="false" ht="15.75" hidden="false" customHeight="false" outlineLevel="0" collapsed="false">
      <c r="A808" s="121" t="str">
        <f aca="false">IF(ISBLANK(B808),"",B808&amp;"|"&amp;C808)</f>
        <v/>
      </c>
      <c r="B808" s="121"/>
      <c r="C808" s="121"/>
      <c r="D808" s="121"/>
      <c r="E808" s="127"/>
      <c r="F808" s="121"/>
      <c r="G808" s="121"/>
      <c r="H808" s="121"/>
      <c r="I808" s="121"/>
      <c r="J808" s="121"/>
      <c r="K808" s="121"/>
      <c r="L808" s="121"/>
      <c r="M808" s="121"/>
      <c r="N808" s="121"/>
      <c r="O808" s="121"/>
      <c r="P808" s="121"/>
      <c r="Q808" s="121"/>
      <c r="R808" s="121"/>
      <c r="S808" s="121"/>
      <c r="T808" s="121"/>
      <c r="U808" s="121"/>
      <c r="V808" s="121"/>
      <c r="W808" s="121"/>
      <c r="X808" s="121"/>
      <c r="Y808" s="121"/>
      <c r="Z808" s="121"/>
      <c r="AA808" s="121"/>
    </row>
    <row r="809" customFormat="false" ht="15.75" hidden="false" customHeight="false" outlineLevel="0" collapsed="false">
      <c r="A809" s="121" t="str">
        <f aca="false">IF(ISBLANK(B809),"",B809&amp;"|"&amp;C809)</f>
        <v/>
      </c>
      <c r="B809" s="121"/>
      <c r="C809" s="121"/>
      <c r="D809" s="121"/>
      <c r="E809" s="127"/>
      <c r="F809" s="121"/>
      <c r="G809" s="121"/>
      <c r="H809" s="121"/>
      <c r="I809" s="121"/>
      <c r="J809" s="121"/>
      <c r="K809" s="121"/>
      <c r="L809" s="121"/>
      <c r="M809" s="121"/>
      <c r="N809" s="121"/>
      <c r="O809" s="121"/>
      <c r="P809" s="121"/>
      <c r="Q809" s="121"/>
      <c r="R809" s="121"/>
      <c r="S809" s="121"/>
      <c r="T809" s="121"/>
      <c r="U809" s="121"/>
      <c r="V809" s="121"/>
      <c r="W809" s="121"/>
      <c r="X809" s="121"/>
      <c r="Y809" s="121"/>
      <c r="Z809" s="121"/>
      <c r="AA809" s="121"/>
    </row>
    <row r="810" customFormat="false" ht="15.75" hidden="false" customHeight="false" outlineLevel="0" collapsed="false">
      <c r="A810" s="121" t="str">
        <f aca="false">IF(ISBLANK(B810),"",B810&amp;"|"&amp;C810)</f>
        <v/>
      </c>
      <c r="B810" s="121"/>
      <c r="C810" s="121"/>
      <c r="D810" s="121"/>
      <c r="E810" s="127"/>
      <c r="F810" s="121"/>
      <c r="G810" s="121"/>
      <c r="H810" s="121"/>
      <c r="I810" s="121"/>
      <c r="J810" s="121"/>
      <c r="K810" s="121"/>
      <c r="L810" s="121"/>
      <c r="M810" s="121"/>
      <c r="N810" s="121"/>
      <c r="O810" s="121"/>
      <c r="P810" s="121"/>
      <c r="Q810" s="121"/>
      <c r="R810" s="121"/>
      <c r="S810" s="121"/>
      <c r="T810" s="121"/>
      <c r="U810" s="121"/>
      <c r="V810" s="121"/>
      <c r="W810" s="121"/>
      <c r="X810" s="121"/>
      <c r="Y810" s="121"/>
      <c r="Z810" s="121"/>
      <c r="AA810" s="121"/>
    </row>
    <row r="811" customFormat="false" ht="15.75" hidden="false" customHeight="false" outlineLevel="0" collapsed="false">
      <c r="A811" s="121" t="str">
        <f aca="false">IF(ISBLANK(B811),"",B811&amp;"|"&amp;C811)</f>
        <v/>
      </c>
      <c r="B811" s="121"/>
      <c r="C811" s="121"/>
      <c r="D811" s="121"/>
      <c r="E811" s="127"/>
      <c r="F811" s="121"/>
      <c r="G811" s="121"/>
      <c r="H811" s="121"/>
      <c r="I811" s="121"/>
      <c r="J811" s="121"/>
      <c r="K811" s="121"/>
      <c r="L811" s="121"/>
      <c r="M811" s="121"/>
      <c r="N811" s="121"/>
      <c r="O811" s="121"/>
      <c r="P811" s="121"/>
      <c r="Q811" s="121"/>
      <c r="R811" s="121"/>
      <c r="S811" s="121"/>
      <c r="T811" s="121"/>
      <c r="U811" s="121"/>
      <c r="V811" s="121"/>
      <c r="W811" s="121"/>
      <c r="X811" s="121"/>
      <c r="Y811" s="121"/>
      <c r="Z811" s="121"/>
      <c r="AA811" s="121"/>
    </row>
    <row r="812" customFormat="false" ht="15.75" hidden="false" customHeight="false" outlineLevel="0" collapsed="false">
      <c r="A812" s="121" t="str">
        <f aca="false">IF(ISBLANK(B812),"",B812&amp;"|"&amp;C812)</f>
        <v/>
      </c>
      <c r="B812" s="121"/>
      <c r="C812" s="121"/>
      <c r="D812" s="121"/>
      <c r="E812" s="127"/>
      <c r="F812" s="121"/>
      <c r="G812" s="121"/>
      <c r="H812" s="121"/>
      <c r="I812" s="121"/>
      <c r="J812" s="121"/>
      <c r="K812" s="121"/>
      <c r="L812" s="121"/>
      <c r="M812" s="121"/>
      <c r="N812" s="121"/>
      <c r="O812" s="121"/>
      <c r="P812" s="121"/>
      <c r="Q812" s="121"/>
      <c r="R812" s="121"/>
      <c r="S812" s="121"/>
      <c r="T812" s="121"/>
      <c r="U812" s="121"/>
      <c r="V812" s="121"/>
      <c r="W812" s="121"/>
      <c r="X812" s="121"/>
      <c r="Y812" s="121"/>
      <c r="Z812" s="121"/>
      <c r="AA812" s="121"/>
    </row>
    <row r="813" customFormat="false" ht="15.75" hidden="false" customHeight="false" outlineLevel="0" collapsed="false">
      <c r="A813" s="121" t="str">
        <f aca="false">IF(ISBLANK(B813),"",B813&amp;"|"&amp;C813)</f>
        <v/>
      </c>
      <c r="B813" s="121"/>
      <c r="C813" s="121"/>
      <c r="D813" s="121"/>
      <c r="E813" s="127"/>
      <c r="F813" s="121"/>
      <c r="G813" s="121"/>
      <c r="H813" s="121"/>
      <c r="I813" s="121"/>
      <c r="J813" s="121"/>
      <c r="K813" s="121"/>
      <c r="L813" s="121"/>
      <c r="M813" s="121"/>
      <c r="N813" s="121"/>
      <c r="O813" s="121"/>
      <c r="P813" s="121"/>
      <c r="Q813" s="121"/>
      <c r="R813" s="121"/>
      <c r="S813" s="121"/>
      <c r="T813" s="121"/>
      <c r="U813" s="121"/>
      <c r="V813" s="121"/>
      <c r="W813" s="121"/>
      <c r="X813" s="121"/>
      <c r="Y813" s="121"/>
      <c r="Z813" s="121"/>
      <c r="AA813" s="121"/>
    </row>
    <row r="814" customFormat="false" ht="15.75" hidden="false" customHeight="false" outlineLevel="0" collapsed="false">
      <c r="A814" s="121" t="str">
        <f aca="false">IF(ISBLANK(B814),"",B814&amp;"|"&amp;C814)</f>
        <v/>
      </c>
      <c r="B814" s="121"/>
      <c r="C814" s="121"/>
      <c r="D814" s="121"/>
      <c r="E814" s="127"/>
      <c r="F814" s="121"/>
      <c r="G814" s="121"/>
      <c r="H814" s="121"/>
      <c r="I814" s="121"/>
      <c r="J814" s="121"/>
      <c r="K814" s="121"/>
      <c r="L814" s="121"/>
      <c r="M814" s="121"/>
      <c r="N814" s="121"/>
      <c r="O814" s="121"/>
      <c r="P814" s="121"/>
      <c r="Q814" s="121"/>
      <c r="R814" s="121"/>
      <c r="S814" s="121"/>
      <c r="T814" s="121"/>
      <c r="U814" s="121"/>
      <c r="V814" s="121"/>
      <c r="W814" s="121"/>
      <c r="X814" s="121"/>
      <c r="Y814" s="121"/>
      <c r="Z814" s="121"/>
      <c r="AA814" s="121"/>
    </row>
    <row r="815" customFormat="false" ht="15.75" hidden="false" customHeight="false" outlineLevel="0" collapsed="false">
      <c r="A815" s="121" t="str">
        <f aca="false">IF(ISBLANK(B815),"",B815&amp;"|"&amp;C815)</f>
        <v/>
      </c>
      <c r="B815" s="121"/>
      <c r="C815" s="121"/>
      <c r="D815" s="121"/>
      <c r="E815" s="127"/>
      <c r="F815" s="121"/>
      <c r="G815" s="121"/>
      <c r="H815" s="121"/>
      <c r="I815" s="121"/>
      <c r="J815" s="121"/>
      <c r="K815" s="121"/>
      <c r="L815" s="121"/>
      <c r="M815" s="121"/>
      <c r="N815" s="121"/>
      <c r="O815" s="121"/>
      <c r="P815" s="121"/>
      <c r="Q815" s="121"/>
      <c r="R815" s="121"/>
      <c r="S815" s="121"/>
      <c r="T815" s="121"/>
      <c r="U815" s="121"/>
      <c r="V815" s="121"/>
      <c r="W815" s="121"/>
      <c r="X815" s="121"/>
      <c r="Y815" s="121"/>
      <c r="Z815" s="121"/>
      <c r="AA815" s="121"/>
    </row>
    <row r="816" customFormat="false" ht="15.75" hidden="false" customHeight="false" outlineLevel="0" collapsed="false">
      <c r="A816" s="121" t="str">
        <f aca="false">IF(ISBLANK(B816),"",B816&amp;"|"&amp;C816)</f>
        <v/>
      </c>
      <c r="B816" s="121"/>
      <c r="C816" s="121"/>
      <c r="D816" s="121"/>
      <c r="E816" s="127"/>
      <c r="F816" s="121"/>
      <c r="G816" s="121"/>
      <c r="H816" s="121"/>
      <c r="I816" s="121"/>
      <c r="J816" s="121"/>
      <c r="K816" s="121"/>
      <c r="L816" s="121"/>
      <c r="M816" s="121"/>
      <c r="N816" s="121"/>
      <c r="O816" s="121"/>
      <c r="P816" s="121"/>
      <c r="Q816" s="121"/>
      <c r="R816" s="121"/>
      <c r="S816" s="121"/>
      <c r="T816" s="121"/>
      <c r="U816" s="121"/>
      <c r="V816" s="121"/>
      <c r="W816" s="121"/>
      <c r="X816" s="121"/>
      <c r="Y816" s="121"/>
      <c r="Z816" s="121"/>
      <c r="AA816" s="121"/>
    </row>
    <row r="817" customFormat="false" ht="15.75" hidden="false" customHeight="false" outlineLevel="0" collapsed="false">
      <c r="A817" s="121" t="str">
        <f aca="false">IF(ISBLANK(B817),"",B817&amp;"|"&amp;C817)</f>
        <v/>
      </c>
      <c r="B817" s="121"/>
      <c r="C817" s="121"/>
      <c r="D817" s="121"/>
      <c r="E817" s="127"/>
      <c r="F817" s="121"/>
      <c r="G817" s="121"/>
      <c r="H817" s="121"/>
      <c r="I817" s="121"/>
      <c r="J817" s="121"/>
      <c r="K817" s="121"/>
      <c r="L817" s="121"/>
      <c r="M817" s="121"/>
      <c r="N817" s="121"/>
      <c r="O817" s="121"/>
      <c r="P817" s="121"/>
      <c r="Q817" s="121"/>
      <c r="R817" s="121"/>
      <c r="S817" s="121"/>
      <c r="T817" s="121"/>
      <c r="U817" s="121"/>
      <c r="V817" s="121"/>
      <c r="W817" s="121"/>
      <c r="X817" s="121"/>
      <c r="Y817" s="121"/>
      <c r="Z817" s="121"/>
      <c r="AA817" s="121"/>
    </row>
    <row r="818" customFormat="false" ht="15.75" hidden="false" customHeight="false" outlineLevel="0" collapsed="false">
      <c r="A818" s="121" t="str">
        <f aca="false">IF(ISBLANK(B818),"",B818&amp;"|"&amp;C818)</f>
        <v/>
      </c>
      <c r="B818" s="121"/>
      <c r="C818" s="121"/>
      <c r="D818" s="121"/>
      <c r="E818" s="127"/>
      <c r="F818" s="121"/>
      <c r="G818" s="121"/>
      <c r="H818" s="121"/>
      <c r="I818" s="121"/>
      <c r="J818" s="121"/>
      <c r="K818" s="121"/>
      <c r="L818" s="121"/>
      <c r="M818" s="121"/>
      <c r="N818" s="121"/>
      <c r="O818" s="121"/>
      <c r="P818" s="121"/>
      <c r="Q818" s="121"/>
      <c r="R818" s="121"/>
      <c r="S818" s="121"/>
      <c r="T818" s="121"/>
      <c r="U818" s="121"/>
      <c r="V818" s="121"/>
      <c r="W818" s="121"/>
      <c r="X818" s="121"/>
      <c r="Y818" s="121"/>
      <c r="Z818" s="121"/>
      <c r="AA818" s="121"/>
    </row>
    <row r="819" customFormat="false" ht="15.75" hidden="false" customHeight="false" outlineLevel="0" collapsed="false">
      <c r="A819" s="121" t="str">
        <f aca="false">IF(ISBLANK(B819),"",B819&amp;"|"&amp;C819)</f>
        <v/>
      </c>
      <c r="B819" s="121"/>
      <c r="C819" s="121"/>
      <c r="D819" s="121"/>
      <c r="E819" s="127"/>
      <c r="F819" s="121"/>
      <c r="G819" s="121"/>
      <c r="H819" s="121"/>
      <c r="I819" s="121"/>
      <c r="J819" s="121"/>
      <c r="K819" s="121"/>
      <c r="L819" s="121"/>
      <c r="M819" s="121"/>
      <c r="N819" s="121"/>
      <c r="O819" s="121"/>
      <c r="P819" s="121"/>
      <c r="Q819" s="121"/>
      <c r="R819" s="121"/>
      <c r="S819" s="121"/>
      <c r="T819" s="121"/>
      <c r="U819" s="121"/>
      <c r="V819" s="121"/>
      <c r="W819" s="121"/>
      <c r="X819" s="121"/>
      <c r="Y819" s="121"/>
      <c r="Z819" s="121"/>
      <c r="AA819" s="121"/>
    </row>
    <row r="820" customFormat="false" ht="15.75" hidden="false" customHeight="false" outlineLevel="0" collapsed="false">
      <c r="A820" s="121" t="str">
        <f aca="false">IF(ISBLANK(B820),"",B820&amp;"|"&amp;C820)</f>
        <v/>
      </c>
      <c r="B820" s="121"/>
      <c r="C820" s="121"/>
      <c r="D820" s="121"/>
      <c r="E820" s="127"/>
      <c r="F820" s="121"/>
      <c r="G820" s="121"/>
      <c r="H820" s="121"/>
      <c r="I820" s="121"/>
      <c r="J820" s="121"/>
      <c r="K820" s="121"/>
      <c r="L820" s="121"/>
      <c r="M820" s="121"/>
      <c r="N820" s="121"/>
      <c r="O820" s="121"/>
      <c r="P820" s="121"/>
      <c r="Q820" s="121"/>
      <c r="R820" s="121"/>
      <c r="S820" s="121"/>
      <c r="T820" s="121"/>
      <c r="U820" s="121"/>
      <c r="V820" s="121"/>
      <c r="W820" s="121"/>
      <c r="X820" s="121"/>
      <c r="Y820" s="121"/>
      <c r="Z820" s="121"/>
      <c r="AA820" s="121"/>
    </row>
    <row r="821" customFormat="false" ht="15.75" hidden="false" customHeight="false" outlineLevel="0" collapsed="false">
      <c r="A821" s="121" t="str">
        <f aca="false">IF(ISBLANK(B821),"",B821&amp;"|"&amp;C821)</f>
        <v/>
      </c>
      <c r="B821" s="121"/>
      <c r="C821" s="121"/>
      <c r="D821" s="121"/>
      <c r="E821" s="127"/>
      <c r="F821" s="121"/>
      <c r="G821" s="121"/>
      <c r="H821" s="121"/>
      <c r="I821" s="121"/>
      <c r="J821" s="121"/>
      <c r="K821" s="121"/>
      <c r="L821" s="121"/>
      <c r="M821" s="121"/>
      <c r="N821" s="121"/>
      <c r="O821" s="121"/>
      <c r="P821" s="121"/>
      <c r="Q821" s="121"/>
      <c r="R821" s="121"/>
      <c r="S821" s="121"/>
      <c r="T821" s="121"/>
      <c r="U821" s="121"/>
      <c r="V821" s="121"/>
      <c r="W821" s="121"/>
      <c r="X821" s="121"/>
      <c r="Y821" s="121"/>
      <c r="Z821" s="121"/>
      <c r="AA821" s="121"/>
    </row>
    <row r="822" customFormat="false" ht="15.75" hidden="false" customHeight="false" outlineLevel="0" collapsed="false">
      <c r="A822" s="121" t="str">
        <f aca="false">IF(ISBLANK(B822),"",B822&amp;"|"&amp;C822)</f>
        <v/>
      </c>
      <c r="B822" s="121"/>
      <c r="C822" s="121"/>
      <c r="D822" s="121"/>
      <c r="E822" s="127"/>
      <c r="F822" s="121"/>
      <c r="G822" s="121"/>
      <c r="H822" s="121"/>
      <c r="I822" s="121"/>
      <c r="J822" s="121"/>
      <c r="K822" s="121"/>
      <c r="L822" s="121"/>
      <c r="M822" s="121"/>
      <c r="N822" s="121"/>
      <c r="O822" s="121"/>
      <c r="P822" s="121"/>
      <c r="Q822" s="121"/>
      <c r="R822" s="121"/>
      <c r="S822" s="121"/>
      <c r="T822" s="121"/>
      <c r="U822" s="121"/>
      <c r="V822" s="121"/>
      <c r="W822" s="121"/>
      <c r="X822" s="121"/>
      <c r="Y822" s="121"/>
      <c r="Z822" s="121"/>
      <c r="AA822" s="121"/>
    </row>
    <row r="823" customFormat="false" ht="15.75" hidden="false" customHeight="false" outlineLevel="0" collapsed="false">
      <c r="A823" s="121" t="str">
        <f aca="false">IF(ISBLANK(B823),"",B823&amp;"|"&amp;C823)</f>
        <v/>
      </c>
      <c r="B823" s="121"/>
      <c r="C823" s="121"/>
      <c r="D823" s="121"/>
      <c r="E823" s="127"/>
      <c r="F823" s="121"/>
      <c r="G823" s="121"/>
      <c r="H823" s="121"/>
      <c r="I823" s="121"/>
      <c r="J823" s="121"/>
      <c r="K823" s="121"/>
      <c r="L823" s="121"/>
      <c r="M823" s="121"/>
      <c r="N823" s="121"/>
      <c r="O823" s="121"/>
      <c r="P823" s="121"/>
      <c r="Q823" s="121"/>
      <c r="R823" s="121"/>
      <c r="S823" s="121"/>
      <c r="T823" s="121"/>
      <c r="U823" s="121"/>
      <c r="V823" s="121"/>
      <c r="W823" s="121"/>
      <c r="X823" s="121"/>
      <c r="Y823" s="121"/>
      <c r="Z823" s="121"/>
      <c r="AA823" s="121"/>
    </row>
    <row r="824" customFormat="false" ht="15.75" hidden="false" customHeight="false" outlineLevel="0" collapsed="false">
      <c r="A824" s="121" t="str">
        <f aca="false">IF(ISBLANK(B824),"",B824&amp;"|"&amp;C824)</f>
        <v/>
      </c>
      <c r="B824" s="121"/>
      <c r="C824" s="121"/>
      <c r="D824" s="121"/>
      <c r="E824" s="127"/>
      <c r="F824" s="121"/>
      <c r="G824" s="121"/>
      <c r="H824" s="121"/>
      <c r="I824" s="121"/>
      <c r="J824" s="121"/>
      <c r="K824" s="121"/>
      <c r="L824" s="121"/>
      <c r="M824" s="121"/>
      <c r="N824" s="121"/>
      <c r="O824" s="121"/>
      <c r="P824" s="121"/>
      <c r="Q824" s="121"/>
      <c r="R824" s="121"/>
      <c r="S824" s="121"/>
      <c r="T824" s="121"/>
      <c r="U824" s="121"/>
      <c r="V824" s="121"/>
      <c r="W824" s="121"/>
      <c r="X824" s="121"/>
      <c r="Y824" s="121"/>
      <c r="Z824" s="121"/>
      <c r="AA824" s="121"/>
    </row>
    <row r="825" customFormat="false" ht="15.75" hidden="false" customHeight="false" outlineLevel="0" collapsed="false">
      <c r="A825" s="121" t="str">
        <f aca="false">IF(ISBLANK(B825),"",B825&amp;"|"&amp;C825)</f>
        <v/>
      </c>
      <c r="B825" s="121"/>
      <c r="C825" s="121"/>
      <c r="D825" s="121"/>
      <c r="E825" s="127"/>
      <c r="F825" s="121"/>
      <c r="G825" s="121"/>
      <c r="H825" s="121"/>
      <c r="I825" s="121"/>
      <c r="J825" s="121"/>
      <c r="K825" s="121"/>
      <c r="L825" s="121"/>
      <c r="M825" s="121"/>
      <c r="N825" s="121"/>
      <c r="O825" s="121"/>
      <c r="P825" s="121"/>
      <c r="Q825" s="121"/>
      <c r="R825" s="121"/>
      <c r="S825" s="121"/>
      <c r="T825" s="121"/>
      <c r="U825" s="121"/>
      <c r="V825" s="121"/>
      <c r="W825" s="121"/>
      <c r="X825" s="121"/>
      <c r="Y825" s="121"/>
      <c r="Z825" s="121"/>
      <c r="AA825" s="121"/>
    </row>
    <row r="826" customFormat="false" ht="15.75" hidden="false" customHeight="false" outlineLevel="0" collapsed="false">
      <c r="A826" s="121" t="str">
        <f aca="false">IF(ISBLANK(B826),"",B826&amp;"|"&amp;C826)</f>
        <v/>
      </c>
      <c r="B826" s="121"/>
      <c r="C826" s="121"/>
      <c r="D826" s="121"/>
      <c r="E826" s="127"/>
      <c r="F826" s="121"/>
      <c r="G826" s="121"/>
      <c r="H826" s="121"/>
      <c r="I826" s="121"/>
      <c r="J826" s="121"/>
      <c r="K826" s="121"/>
      <c r="L826" s="121"/>
      <c r="M826" s="121"/>
      <c r="N826" s="121"/>
      <c r="O826" s="121"/>
      <c r="P826" s="121"/>
      <c r="Q826" s="121"/>
      <c r="R826" s="121"/>
      <c r="S826" s="121"/>
      <c r="T826" s="121"/>
      <c r="U826" s="121"/>
      <c r="V826" s="121"/>
      <c r="W826" s="121"/>
      <c r="X826" s="121"/>
      <c r="Y826" s="121"/>
      <c r="Z826" s="121"/>
      <c r="AA826" s="121"/>
    </row>
    <row r="827" customFormat="false" ht="15.75" hidden="false" customHeight="false" outlineLevel="0" collapsed="false">
      <c r="A827" s="121" t="str">
        <f aca="false">IF(ISBLANK(B827),"",B827&amp;"|"&amp;C827)</f>
        <v/>
      </c>
      <c r="B827" s="121"/>
      <c r="C827" s="121"/>
      <c r="D827" s="121"/>
      <c r="E827" s="127"/>
      <c r="F827" s="121"/>
      <c r="G827" s="121"/>
      <c r="H827" s="121"/>
      <c r="I827" s="121"/>
      <c r="J827" s="121"/>
      <c r="K827" s="121"/>
      <c r="L827" s="121"/>
      <c r="M827" s="121"/>
      <c r="N827" s="121"/>
      <c r="O827" s="121"/>
      <c r="P827" s="121"/>
      <c r="Q827" s="121"/>
      <c r="R827" s="121"/>
      <c r="S827" s="121"/>
      <c r="T827" s="121"/>
      <c r="U827" s="121"/>
      <c r="V827" s="121"/>
      <c r="W827" s="121"/>
      <c r="X827" s="121"/>
      <c r="Y827" s="121"/>
      <c r="Z827" s="121"/>
      <c r="AA827" s="121"/>
    </row>
    <row r="828" customFormat="false" ht="15.75" hidden="false" customHeight="false" outlineLevel="0" collapsed="false">
      <c r="A828" s="121" t="str">
        <f aca="false">IF(ISBLANK(B828),"",B828&amp;"|"&amp;C828)</f>
        <v/>
      </c>
      <c r="B828" s="121"/>
      <c r="C828" s="121"/>
      <c r="D828" s="121"/>
      <c r="E828" s="127"/>
      <c r="F828" s="121"/>
      <c r="G828" s="121"/>
      <c r="H828" s="121"/>
      <c r="I828" s="121"/>
      <c r="J828" s="121"/>
      <c r="K828" s="121"/>
      <c r="L828" s="121"/>
      <c r="M828" s="121"/>
      <c r="N828" s="121"/>
      <c r="O828" s="121"/>
      <c r="P828" s="121"/>
      <c r="Q828" s="121"/>
      <c r="R828" s="121"/>
      <c r="S828" s="121"/>
      <c r="T828" s="121"/>
      <c r="U828" s="121"/>
      <c r="V828" s="121"/>
      <c r="W828" s="121"/>
      <c r="X828" s="121"/>
      <c r="Y828" s="121"/>
      <c r="Z828" s="121"/>
      <c r="AA828" s="121"/>
    </row>
    <row r="829" customFormat="false" ht="15.75" hidden="false" customHeight="false" outlineLevel="0" collapsed="false">
      <c r="A829" s="121" t="str">
        <f aca="false">IF(ISBLANK(B829),"",B829&amp;"|"&amp;C829)</f>
        <v/>
      </c>
      <c r="B829" s="121"/>
      <c r="C829" s="121"/>
      <c r="D829" s="121"/>
      <c r="E829" s="127"/>
      <c r="F829" s="121"/>
      <c r="G829" s="121"/>
      <c r="H829" s="121"/>
      <c r="I829" s="121"/>
      <c r="J829" s="121"/>
      <c r="K829" s="121"/>
      <c r="L829" s="121"/>
      <c r="M829" s="121"/>
      <c r="N829" s="121"/>
      <c r="O829" s="121"/>
      <c r="P829" s="121"/>
      <c r="Q829" s="121"/>
      <c r="R829" s="121"/>
      <c r="S829" s="121"/>
      <c r="T829" s="121"/>
      <c r="U829" s="121"/>
      <c r="V829" s="121"/>
      <c r="W829" s="121"/>
      <c r="X829" s="121"/>
      <c r="Y829" s="121"/>
      <c r="Z829" s="121"/>
      <c r="AA829" s="121"/>
    </row>
    <row r="830" customFormat="false" ht="15.75" hidden="false" customHeight="false" outlineLevel="0" collapsed="false">
      <c r="A830" s="121" t="str">
        <f aca="false">IF(ISBLANK(B830),"",B830&amp;"|"&amp;C830)</f>
        <v/>
      </c>
      <c r="B830" s="121"/>
      <c r="C830" s="121"/>
      <c r="D830" s="121"/>
      <c r="E830" s="127"/>
      <c r="F830" s="121"/>
      <c r="G830" s="121"/>
      <c r="H830" s="121"/>
      <c r="I830" s="121"/>
      <c r="J830" s="121"/>
      <c r="K830" s="121"/>
      <c r="L830" s="121"/>
      <c r="M830" s="121"/>
      <c r="N830" s="121"/>
      <c r="O830" s="121"/>
      <c r="P830" s="121"/>
      <c r="Q830" s="121"/>
      <c r="R830" s="121"/>
      <c r="S830" s="121"/>
      <c r="T830" s="121"/>
      <c r="U830" s="121"/>
      <c r="V830" s="121"/>
      <c r="W830" s="121"/>
      <c r="X830" s="121"/>
      <c r="Y830" s="121"/>
      <c r="Z830" s="121"/>
      <c r="AA830" s="121"/>
    </row>
    <row r="831" customFormat="false" ht="15.75" hidden="false" customHeight="false" outlineLevel="0" collapsed="false">
      <c r="A831" s="121" t="str">
        <f aca="false">IF(ISBLANK(B831),"",B831&amp;"|"&amp;C831)</f>
        <v/>
      </c>
      <c r="B831" s="121"/>
      <c r="C831" s="121"/>
      <c r="D831" s="121"/>
      <c r="E831" s="127"/>
      <c r="F831" s="121"/>
      <c r="G831" s="121"/>
      <c r="H831" s="121"/>
      <c r="I831" s="121"/>
      <c r="J831" s="121"/>
      <c r="K831" s="121"/>
      <c r="L831" s="121"/>
      <c r="M831" s="121"/>
      <c r="N831" s="121"/>
      <c r="O831" s="121"/>
      <c r="P831" s="121"/>
      <c r="Q831" s="121"/>
      <c r="R831" s="121"/>
      <c r="S831" s="121"/>
      <c r="T831" s="121"/>
      <c r="U831" s="121"/>
      <c r="V831" s="121"/>
      <c r="W831" s="121"/>
      <c r="X831" s="121"/>
      <c r="Y831" s="121"/>
      <c r="Z831" s="121"/>
      <c r="AA831" s="121"/>
    </row>
    <row r="832" customFormat="false" ht="15.75" hidden="false" customHeight="false" outlineLevel="0" collapsed="false">
      <c r="A832" s="121" t="str">
        <f aca="false">IF(ISBLANK(B832),"",B832&amp;"|"&amp;C832)</f>
        <v/>
      </c>
      <c r="B832" s="121"/>
      <c r="C832" s="121"/>
      <c r="D832" s="121"/>
      <c r="E832" s="127"/>
      <c r="F832" s="121"/>
      <c r="G832" s="121"/>
      <c r="H832" s="121"/>
      <c r="I832" s="121"/>
      <c r="J832" s="121"/>
      <c r="K832" s="121"/>
      <c r="L832" s="121"/>
      <c r="M832" s="121"/>
      <c r="N832" s="121"/>
      <c r="O832" s="121"/>
      <c r="P832" s="121"/>
      <c r="Q832" s="121"/>
      <c r="R832" s="121"/>
      <c r="S832" s="121"/>
      <c r="T832" s="121"/>
      <c r="U832" s="121"/>
      <c r="V832" s="121"/>
      <c r="W832" s="121"/>
      <c r="X832" s="121"/>
      <c r="Y832" s="121"/>
      <c r="Z832" s="121"/>
      <c r="AA832" s="121"/>
    </row>
    <row r="833" customFormat="false" ht="15.75" hidden="false" customHeight="false" outlineLevel="0" collapsed="false">
      <c r="A833" s="121" t="str">
        <f aca="false">IF(ISBLANK(B833),"",B833&amp;"|"&amp;C833)</f>
        <v/>
      </c>
      <c r="B833" s="121"/>
      <c r="C833" s="121"/>
      <c r="D833" s="121"/>
      <c r="E833" s="127"/>
      <c r="F833" s="121"/>
      <c r="G833" s="121"/>
      <c r="H833" s="121"/>
      <c r="I833" s="121"/>
      <c r="J833" s="121"/>
      <c r="K833" s="121"/>
      <c r="L833" s="121"/>
      <c r="M833" s="121"/>
      <c r="N833" s="121"/>
      <c r="O833" s="121"/>
      <c r="P833" s="121"/>
      <c r="Q833" s="121"/>
      <c r="R833" s="121"/>
      <c r="S833" s="121"/>
      <c r="T833" s="121"/>
      <c r="U833" s="121"/>
      <c r="V833" s="121"/>
      <c r="W833" s="121"/>
      <c r="X833" s="121"/>
      <c r="Y833" s="121"/>
      <c r="Z833" s="121"/>
      <c r="AA833" s="121"/>
    </row>
    <row r="834" customFormat="false" ht="15.75" hidden="false" customHeight="false" outlineLevel="0" collapsed="false">
      <c r="A834" s="121" t="str">
        <f aca="false">IF(ISBLANK(B834),"",B834&amp;"|"&amp;C834)</f>
        <v/>
      </c>
      <c r="B834" s="121"/>
      <c r="C834" s="121"/>
      <c r="D834" s="121"/>
      <c r="E834" s="127"/>
      <c r="F834" s="121"/>
      <c r="G834" s="121"/>
      <c r="H834" s="121"/>
      <c r="I834" s="121"/>
      <c r="J834" s="121"/>
      <c r="K834" s="121"/>
      <c r="L834" s="121"/>
      <c r="M834" s="121"/>
      <c r="N834" s="121"/>
      <c r="O834" s="121"/>
      <c r="P834" s="121"/>
      <c r="Q834" s="121"/>
      <c r="R834" s="121"/>
      <c r="S834" s="121"/>
      <c r="T834" s="121"/>
      <c r="U834" s="121"/>
      <c r="V834" s="121"/>
      <c r="W834" s="121"/>
      <c r="X834" s="121"/>
      <c r="Y834" s="121"/>
      <c r="Z834" s="121"/>
      <c r="AA834" s="121"/>
    </row>
    <row r="835" customFormat="false" ht="15.75" hidden="false" customHeight="false" outlineLevel="0" collapsed="false">
      <c r="A835" s="121" t="str">
        <f aca="false">IF(ISBLANK(B835),"",B835&amp;"|"&amp;C835)</f>
        <v/>
      </c>
      <c r="B835" s="121"/>
      <c r="C835" s="121"/>
      <c r="D835" s="121"/>
      <c r="E835" s="127"/>
      <c r="F835" s="121"/>
      <c r="G835" s="121"/>
      <c r="H835" s="121"/>
      <c r="I835" s="121"/>
      <c r="J835" s="121"/>
      <c r="K835" s="121"/>
      <c r="L835" s="121"/>
      <c r="M835" s="121"/>
      <c r="N835" s="121"/>
      <c r="O835" s="121"/>
      <c r="P835" s="121"/>
      <c r="Q835" s="121"/>
      <c r="R835" s="121"/>
      <c r="S835" s="121"/>
      <c r="T835" s="121"/>
      <c r="U835" s="121"/>
      <c r="V835" s="121"/>
      <c r="W835" s="121"/>
      <c r="X835" s="121"/>
      <c r="Y835" s="121"/>
      <c r="Z835" s="121"/>
      <c r="AA835" s="121"/>
    </row>
    <row r="836" customFormat="false" ht="15.75" hidden="false" customHeight="false" outlineLevel="0" collapsed="false">
      <c r="A836" s="121" t="str">
        <f aca="false">IF(ISBLANK(B836),"",B836&amp;"|"&amp;C836)</f>
        <v/>
      </c>
      <c r="B836" s="121"/>
      <c r="C836" s="121"/>
      <c r="D836" s="121"/>
      <c r="E836" s="127"/>
      <c r="F836" s="121"/>
      <c r="G836" s="121"/>
      <c r="H836" s="121"/>
      <c r="I836" s="121"/>
      <c r="J836" s="121"/>
      <c r="K836" s="121"/>
      <c r="L836" s="121"/>
      <c r="M836" s="121"/>
      <c r="N836" s="121"/>
      <c r="O836" s="121"/>
      <c r="P836" s="121"/>
      <c r="Q836" s="121"/>
      <c r="R836" s="121"/>
      <c r="S836" s="121"/>
      <c r="T836" s="121"/>
      <c r="U836" s="121"/>
      <c r="V836" s="121"/>
      <c r="W836" s="121"/>
      <c r="X836" s="121"/>
      <c r="Y836" s="121"/>
      <c r="Z836" s="121"/>
      <c r="AA836" s="121"/>
    </row>
    <row r="837" customFormat="false" ht="15.75" hidden="false" customHeight="false" outlineLevel="0" collapsed="false">
      <c r="A837" s="121" t="str">
        <f aca="false">IF(ISBLANK(B837),"",B837&amp;"|"&amp;C837)</f>
        <v/>
      </c>
      <c r="B837" s="121"/>
      <c r="C837" s="121"/>
      <c r="D837" s="121"/>
      <c r="E837" s="127"/>
      <c r="F837" s="121"/>
      <c r="G837" s="121"/>
      <c r="H837" s="121"/>
      <c r="I837" s="121"/>
      <c r="J837" s="121"/>
      <c r="K837" s="121"/>
      <c r="L837" s="121"/>
      <c r="M837" s="121"/>
      <c r="N837" s="121"/>
      <c r="O837" s="121"/>
      <c r="P837" s="121"/>
      <c r="Q837" s="121"/>
      <c r="R837" s="121"/>
      <c r="S837" s="121"/>
      <c r="T837" s="121"/>
      <c r="U837" s="121"/>
      <c r="V837" s="121"/>
      <c r="W837" s="121"/>
      <c r="X837" s="121"/>
      <c r="Y837" s="121"/>
      <c r="Z837" s="121"/>
      <c r="AA837" s="121"/>
    </row>
    <row r="838" customFormat="false" ht="15.75" hidden="false" customHeight="false" outlineLevel="0" collapsed="false">
      <c r="A838" s="121" t="str">
        <f aca="false">IF(ISBLANK(B838),"",B838&amp;"|"&amp;C838)</f>
        <v/>
      </c>
      <c r="B838" s="121"/>
      <c r="C838" s="121"/>
      <c r="D838" s="121"/>
      <c r="E838" s="127"/>
      <c r="F838" s="121"/>
      <c r="G838" s="121"/>
      <c r="H838" s="121"/>
      <c r="I838" s="121"/>
      <c r="J838" s="121"/>
      <c r="K838" s="121"/>
      <c r="L838" s="121"/>
      <c r="M838" s="121"/>
      <c r="N838" s="121"/>
      <c r="O838" s="121"/>
      <c r="P838" s="121"/>
      <c r="Q838" s="121"/>
      <c r="R838" s="121"/>
      <c r="S838" s="121"/>
      <c r="T838" s="121"/>
      <c r="U838" s="121"/>
      <c r="V838" s="121"/>
      <c r="W838" s="121"/>
      <c r="X838" s="121"/>
      <c r="Y838" s="121"/>
      <c r="Z838" s="121"/>
      <c r="AA838" s="121"/>
    </row>
    <row r="839" customFormat="false" ht="15.75" hidden="false" customHeight="false" outlineLevel="0" collapsed="false">
      <c r="A839" s="121" t="str">
        <f aca="false">IF(ISBLANK(B839),"",B839&amp;"|"&amp;C839)</f>
        <v/>
      </c>
      <c r="B839" s="121"/>
      <c r="C839" s="121"/>
      <c r="D839" s="121"/>
      <c r="E839" s="127"/>
      <c r="F839" s="121"/>
      <c r="G839" s="121"/>
      <c r="H839" s="121"/>
      <c r="I839" s="121"/>
      <c r="J839" s="121"/>
      <c r="K839" s="121"/>
      <c r="L839" s="121"/>
      <c r="M839" s="121"/>
      <c r="N839" s="121"/>
      <c r="O839" s="121"/>
      <c r="P839" s="121"/>
      <c r="Q839" s="121"/>
      <c r="R839" s="121"/>
      <c r="S839" s="121"/>
      <c r="T839" s="121"/>
      <c r="U839" s="121"/>
      <c r="V839" s="121"/>
      <c r="W839" s="121"/>
      <c r="X839" s="121"/>
      <c r="Y839" s="121"/>
      <c r="Z839" s="121"/>
      <c r="AA839" s="121"/>
    </row>
    <row r="840" customFormat="false" ht="15.75" hidden="false" customHeight="false" outlineLevel="0" collapsed="false">
      <c r="A840" s="121" t="str">
        <f aca="false">IF(ISBLANK(B840),"",B840&amp;"|"&amp;C840)</f>
        <v/>
      </c>
      <c r="B840" s="121"/>
      <c r="C840" s="121"/>
      <c r="D840" s="121"/>
      <c r="E840" s="127"/>
      <c r="F840" s="121"/>
      <c r="G840" s="121"/>
      <c r="H840" s="121"/>
      <c r="I840" s="121"/>
      <c r="J840" s="121"/>
      <c r="K840" s="121"/>
      <c r="L840" s="121"/>
      <c r="M840" s="121"/>
      <c r="N840" s="121"/>
      <c r="O840" s="121"/>
      <c r="P840" s="121"/>
      <c r="Q840" s="121"/>
      <c r="R840" s="121"/>
      <c r="S840" s="121"/>
      <c r="T840" s="121"/>
      <c r="U840" s="121"/>
      <c r="V840" s="121"/>
      <c r="W840" s="121"/>
      <c r="X840" s="121"/>
      <c r="Y840" s="121"/>
      <c r="Z840" s="121"/>
      <c r="AA840" s="121"/>
    </row>
    <row r="841" customFormat="false" ht="15.75" hidden="false" customHeight="false" outlineLevel="0" collapsed="false">
      <c r="A841" s="121" t="str">
        <f aca="false">IF(ISBLANK(B841),"",B841&amp;"|"&amp;C841)</f>
        <v/>
      </c>
      <c r="B841" s="121"/>
      <c r="C841" s="121"/>
      <c r="D841" s="121"/>
      <c r="E841" s="127"/>
      <c r="F841" s="121"/>
      <c r="G841" s="121"/>
      <c r="H841" s="121"/>
      <c r="I841" s="121"/>
      <c r="J841" s="121"/>
      <c r="K841" s="121"/>
      <c r="L841" s="121"/>
      <c r="M841" s="121"/>
      <c r="N841" s="121"/>
      <c r="O841" s="121"/>
      <c r="P841" s="121"/>
      <c r="Q841" s="121"/>
      <c r="R841" s="121"/>
      <c r="S841" s="121"/>
      <c r="T841" s="121"/>
      <c r="U841" s="121"/>
      <c r="V841" s="121"/>
      <c r="W841" s="121"/>
      <c r="X841" s="121"/>
      <c r="Y841" s="121"/>
      <c r="Z841" s="121"/>
      <c r="AA841" s="121"/>
    </row>
    <row r="842" customFormat="false" ht="15.75" hidden="false" customHeight="false" outlineLevel="0" collapsed="false">
      <c r="A842" s="121" t="str">
        <f aca="false">IF(ISBLANK(B842),"",B842&amp;"|"&amp;C842)</f>
        <v/>
      </c>
      <c r="B842" s="121"/>
      <c r="C842" s="121"/>
      <c r="D842" s="121"/>
      <c r="E842" s="127"/>
      <c r="F842" s="121"/>
      <c r="G842" s="121"/>
      <c r="H842" s="121"/>
      <c r="I842" s="121"/>
      <c r="J842" s="121"/>
      <c r="K842" s="121"/>
      <c r="L842" s="121"/>
      <c r="M842" s="121"/>
      <c r="N842" s="121"/>
      <c r="O842" s="121"/>
      <c r="P842" s="121"/>
      <c r="Q842" s="121"/>
      <c r="R842" s="121"/>
      <c r="S842" s="121"/>
      <c r="T842" s="121"/>
      <c r="U842" s="121"/>
      <c r="V842" s="121"/>
      <c r="W842" s="121"/>
      <c r="X842" s="121"/>
      <c r="Y842" s="121"/>
      <c r="Z842" s="121"/>
      <c r="AA842" s="121"/>
    </row>
    <row r="843" customFormat="false" ht="15.75" hidden="false" customHeight="false" outlineLevel="0" collapsed="false">
      <c r="A843" s="121" t="str">
        <f aca="false">IF(ISBLANK(B843),"",B843&amp;"|"&amp;C843)</f>
        <v/>
      </c>
      <c r="B843" s="121"/>
      <c r="C843" s="121"/>
      <c r="D843" s="121"/>
      <c r="E843" s="127"/>
      <c r="F843" s="121"/>
      <c r="G843" s="121"/>
      <c r="H843" s="121"/>
      <c r="I843" s="121"/>
      <c r="J843" s="121"/>
      <c r="K843" s="121"/>
      <c r="L843" s="121"/>
      <c r="M843" s="121"/>
      <c r="N843" s="121"/>
      <c r="O843" s="121"/>
      <c r="P843" s="121"/>
      <c r="Q843" s="121"/>
      <c r="R843" s="121"/>
      <c r="S843" s="121"/>
      <c r="T843" s="121"/>
      <c r="U843" s="121"/>
      <c r="V843" s="121"/>
      <c r="W843" s="121"/>
      <c r="X843" s="121"/>
      <c r="Y843" s="121"/>
      <c r="Z843" s="121"/>
      <c r="AA843" s="121"/>
    </row>
    <row r="844" customFormat="false" ht="15.75" hidden="false" customHeight="false" outlineLevel="0" collapsed="false">
      <c r="A844" s="121" t="str">
        <f aca="false">IF(ISBLANK(B844),"",B844&amp;"|"&amp;C844)</f>
        <v/>
      </c>
      <c r="B844" s="121"/>
      <c r="C844" s="121"/>
      <c r="D844" s="121"/>
      <c r="E844" s="127"/>
      <c r="F844" s="121"/>
      <c r="G844" s="121"/>
      <c r="H844" s="121"/>
      <c r="I844" s="121"/>
      <c r="J844" s="121"/>
      <c r="K844" s="121"/>
      <c r="L844" s="121"/>
      <c r="M844" s="121"/>
      <c r="N844" s="121"/>
      <c r="O844" s="121"/>
      <c r="P844" s="121"/>
      <c r="Q844" s="121"/>
      <c r="R844" s="121"/>
      <c r="S844" s="121"/>
      <c r="T844" s="121"/>
      <c r="U844" s="121"/>
      <c r="V844" s="121"/>
      <c r="W844" s="121"/>
      <c r="X844" s="121"/>
      <c r="Y844" s="121"/>
      <c r="Z844" s="121"/>
      <c r="AA844" s="121"/>
    </row>
    <row r="845" customFormat="false" ht="15.75" hidden="false" customHeight="false" outlineLevel="0" collapsed="false">
      <c r="A845" s="121" t="str">
        <f aca="false">IF(ISBLANK(B845),"",B845&amp;"|"&amp;C845)</f>
        <v/>
      </c>
      <c r="B845" s="121"/>
      <c r="C845" s="121"/>
      <c r="D845" s="121"/>
      <c r="E845" s="127"/>
      <c r="F845" s="121"/>
      <c r="G845" s="121"/>
      <c r="H845" s="121"/>
      <c r="I845" s="121"/>
      <c r="J845" s="121"/>
      <c r="K845" s="121"/>
      <c r="L845" s="121"/>
      <c r="M845" s="121"/>
      <c r="N845" s="121"/>
      <c r="O845" s="121"/>
      <c r="P845" s="121"/>
      <c r="Q845" s="121"/>
      <c r="R845" s="121"/>
      <c r="S845" s="121"/>
      <c r="T845" s="121"/>
      <c r="U845" s="121"/>
      <c r="V845" s="121"/>
      <c r="W845" s="121"/>
      <c r="X845" s="121"/>
      <c r="Y845" s="121"/>
      <c r="Z845" s="121"/>
      <c r="AA845" s="121"/>
    </row>
    <row r="846" customFormat="false" ht="15.75" hidden="false" customHeight="false" outlineLevel="0" collapsed="false">
      <c r="A846" s="121" t="str">
        <f aca="false">IF(ISBLANK(B846),"",B846&amp;"|"&amp;C846)</f>
        <v/>
      </c>
      <c r="B846" s="121"/>
      <c r="C846" s="121"/>
      <c r="D846" s="121"/>
      <c r="E846" s="127"/>
      <c r="F846" s="121"/>
      <c r="G846" s="121"/>
      <c r="H846" s="121"/>
      <c r="I846" s="121"/>
      <c r="J846" s="121"/>
      <c r="K846" s="121"/>
      <c r="L846" s="121"/>
      <c r="M846" s="121"/>
      <c r="N846" s="121"/>
      <c r="O846" s="121"/>
      <c r="P846" s="121"/>
      <c r="Q846" s="121"/>
      <c r="R846" s="121"/>
      <c r="S846" s="121"/>
      <c r="T846" s="121"/>
      <c r="U846" s="121"/>
      <c r="V846" s="121"/>
      <c r="W846" s="121"/>
      <c r="X846" s="121"/>
      <c r="Y846" s="121"/>
      <c r="Z846" s="121"/>
      <c r="AA846" s="121"/>
    </row>
    <row r="847" customFormat="false" ht="15.75" hidden="false" customHeight="false" outlineLevel="0" collapsed="false">
      <c r="A847" s="121" t="str">
        <f aca="false">IF(ISBLANK(B847),"",B847&amp;"|"&amp;C847)</f>
        <v/>
      </c>
      <c r="B847" s="121"/>
      <c r="C847" s="121"/>
      <c r="D847" s="121"/>
      <c r="E847" s="127"/>
      <c r="F847" s="121"/>
      <c r="G847" s="121"/>
      <c r="H847" s="121"/>
      <c r="I847" s="121"/>
      <c r="J847" s="121"/>
      <c r="K847" s="121"/>
      <c r="L847" s="121"/>
      <c r="M847" s="121"/>
      <c r="N847" s="121"/>
      <c r="O847" s="121"/>
      <c r="P847" s="121"/>
      <c r="Q847" s="121"/>
      <c r="R847" s="121"/>
      <c r="S847" s="121"/>
      <c r="T847" s="121"/>
      <c r="U847" s="121"/>
      <c r="V847" s="121"/>
      <c r="W847" s="121"/>
      <c r="X847" s="121"/>
      <c r="Y847" s="121"/>
      <c r="Z847" s="121"/>
      <c r="AA847" s="121"/>
    </row>
    <row r="848" customFormat="false" ht="15.75" hidden="false" customHeight="false" outlineLevel="0" collapsed="false">
      <c r="A848" s="121" t="str">
        <f aca="false">IF(ISBLANK(B848),"",B848&amp;"|"&amp;C848)</f>
        <v/>
      </c>
      <c r="B848" s="121"/>
      <c r="C848" s="121"/>
      <c r="D848" s="121"/>
      <c r="E848" s="127"/>
      <c r="F848" s="121"/>
      <c r="G848" s="121"/>
      <c r="H848" s="121"/>
      <c r="I848" s="121"/>
      <c r="J848" s="121"/>
      <c r="K848" s="121"/>
      <c r="L848" s="121"/>
      <c r="M848" s="121"/>
      <c r="N848" s="121"/>
      <c r="O848" s="121"/>
      <c r="P848" s="121"/>
      <c r="Q848" s="121"/>
      <c r="R848" s="121"/>
      <c r="S848" s="121"/>
      <c r="T848" s="121"/>
      <c r="U848" s="121"/>
      <c r="V848" s="121"/>
      <c r="W848" s="121"/>
      <c r="X848" s="121"/>
      <c r="Y848" s="121"/>
      <c r="Z848" s="121"/>
      <c r="AA848" s="121"/>
    </row>
    <row r="849" customFormat="false" ht="15.75" hidden="false" customHeight="false" outlineLevel="0" collapsed="false">
      <c r="A849" s="121" t="str">
        <f aca="false">IF(ISBLANK(B849),"",B849&amp;"|"&amp;C849)</f>
        <v/>
      </c>
      <c r="B849" s="121"/>
      <c r="C849" s="121"/>
      <c r="D849" s="121"/>
      <c r="E849" s="127"/>
      <c r="F849" s="121"/>
      <c r="G849" s="121"/>
      <c r="H849" s="121"/>
      <c r="I849" s="121"/>
      <c r="J849" s="121"/>
      <c r="K849" s="121"/>
      <c r="L849" s="121"/>
      <c r="M849" s="121"/>
      <c r="N849" s="121"/>
      <c r="O849" s="121"/>
      <c r="P849" s="121"/>
      <c r="Q849" s="121"/>
      <c r="R849" s="121"/>
      <c r="S849" s="121"/>
      <c r="T849" s="121"/>
      <c r="U849" s="121"/>
      <c r="V849" s="121"/>
      <c r="W849" s="121"/>
      <c r="X849" s="121"/>
      <c r="Y849" s="121"/>
      <c r="Z849" s="121"/>
      <c r="AA849" s="121"/>
    </row>
    <row r="850" customFormat="false" ht="15.75" hidden="false" customHeight="false" outlineLevel="0" collapsed="false">
      <c r="A850" s="121" t="str">
        <f aca="false">IF(ISBLANK(B850),"",B850&amp;"|"&amp;C850)</f>
        <v/>
      </c>
      <c r="B850" s="121"/>
      <c r="C850" s="121"/>
      <c r="D850" s="121"/>
      <c r="E850" s="127"/>
      <c r="F850" s="121"/>
      <c r="G850" s="121"/>
      <c r="H850" s="121"/>
      <c r="I850" s="121"/>
      <c r="J850" s="121"/>
      <c r="K850" s="121"/>
      <c r="L850" s="121"/>
      <c r="M850" s="121"/>
      <c r="N850" s="121"/>
      <c r="O850" s="121"/>
      <c r="P850" s="121"/>
      <c r="Q850" s="121"/>
      <c r="R850" s="121"/>
      <c r="S850" s="121"/>
      <c r="T850" s="121"/>
      <c r="U850" s="121"/>
      <c r="V850" s="121"/>
      <c r="W850" s="121"/>
      <c r="X850" s="121"/>
      <c r="Y850" s="121"/>
      <c r="Z850" s="121"/>
      <c r="AA850" s="121"/>
    </row>
    <row r="851" customFormat="false" ht="15.75" hidden="false" customHeight="false" outlineLevel="0" collapsed="false">
      <c r="A851" s="121" t="str">
        <f aca="false">IF(ISBLANK(B851),"",B851&amp;"|"&amp;C851)</f>
        <v/>
      </c>
      <c r="B851" s="121"/>
      <c r="C851" s="121"/>
      <c r="D851" s="121"/>
      <c r="E851" s="127"/>
      <c r="F851" s="121"/>
      <c r="G851" s="121"/>
      <c r="H851" s="121"/>
      <c r="I851" s="121"/>
      <c r="J851" s="121"/>
      <c r="K851" s="121"/>
      <c r="L851" s="121"/>
      <c r="M851" s="121"/>
      <c r="N851" s="121"/>
      <c r="O851" s="121"/>
      <c r="P851" s="121"/>
      <c r="Q851" s="121"/>
      <c r="R851" s="121"/>
      <c r="S851" s="121"/>
      <c r="T851" s="121"/>
      <c r="U851" s="121"/>
      <c r="V851" s="121"/>
      <c r="W851" s="121"/>
      <c r="X851" s="121"/>
      <c r="Y851" s="121"/>
      <c r="Z851" s="121"/>
      <c r="AA851" s="121"/>
    </row>
    <row r="852" customFormat="false" ht="15.75" hidden="false" customHeight="false" outlineLevel="0" collapsed="false">
      <c r="A852" s="121" t="str">
        <f aca="false">IF(ISBLANK(B852),"",B852&amp;"|"&amp;C852)</f>
        <v/>
      </c>
      <c r="B852" s="121"/>
      <c r="C852" s="121"/>
      <c r="D852" s="121"/>
      <c r="E852" s="127"/>
      <c r="F852" s="121"/>
      <c r="G852" s="121"/>
      <c r="H852" s="121"/>
      <c r="I852" s="121"/>
      <c r="J852" s="121"/>
      <c r="K852" s="121"/>
      <c r="L852" s="121"/>
      <c r="M852" s="121"/>
      <c r="N852" s="121"/>
      <c r="O852" s="121"/>
      <c r="P852" s="121"/>
      <c r="Q852" s="121"/>
      <c r="R852" s="121"/>
      <c r="S852" s="121"/>
      <c r="T852" s="121"/>
      <c r="U852" s="121"/>
      <c r="V852" s="121"/>
      <c r="W852" s="121"/>
      <c r="X852" s="121"/>
      <c r="Y852" s="121"/>
      <c r="Z852" s="121"/>
      <c r="AA852" s="121"/>
    </row>
    <row r="853" customFormat="false" ht="15.75" hidden="false" customHeight="false" outlineLevel="0" collapsed="false">
      <c r="A853" s="121" t="str">
        <f aca="false">IF(ISBLANK(B853),"",B853&amp;"|"&amp;C853)</f>
        <v/>
      </c>
      <c r="B853" s="121"/>
      <c r="C853" s="121"/>
      <c r="D853" s="121"/>
      <c r="E853" s="127"/>
      <c r="F853" s="121"/>
      <c r="G853" s="121"/>
      <c r="H853" s="121"/>
      <c r="I853" s="121"/>
      <c r="J853" s="121"/>
      <c r="K853" s="121"/>
      <c r="L853" s="121"/>
      <c r="M853" s="121"/>
      <c r="N853" s="121"/>
      <c r="O853" s="121"/>
      <c r="P853" s="121"/>
      <c r="Q853" s="121"/>
      <c r="R853" s="121"/>
      <c r="S853" s="121"/>
      <c r="T853" s="121"/>
      <c r="U853" s="121"/>
      <c r="V853" s="121"/>
      <c r="W853" s="121"/>
      <c r="X853" s="121"/>
      <c r="Y853" s="121"/>
      <c r="Z853" s="121"/>
      <c r="AA853" s="121"/>
    </row>
    <row r="854" customFormat="false" ht="15.75" hidden="false" customHeight="false" outlineLevel="0" collapsed="false">
      <c r="A854" s="121" t="str">
        <f aca="false">IF(ISBLANK(B854),"",B854&amp;"|"&amp;C854)</f>
        <v/>
      </c>
      <c r="B854" s="121"/>
      <c r="C854" s="121"/>
      <c r="D854" s="121"/>
      <c r="E854" s="127"/>
      <c r="F854" s="121"/>
      <c r="G854" s="121"/>
      <c r="H854" s="121"/>
      <c r="I854" s="121"/>
      <c r="J854" s="121"/>
      <c r="K854" s="121"/>
      <c r="L854" s="121"/>
      <c r="M854" s="121"/>
      <c r="N854" s="121"/>
      <c r="O854" s="121"/>
      <c r="P854" s="121"/>
      <c r="Q854" s="121"/>
      <c r="R854" s="121"/>
      <c r="S854" s="121"/>
      <c r="T854" s="121"/>
      <c r="U854" s="121"/>
      <c r="V854" s="121"/>
      <c r="W854" s="121"/>
      <c r="X854" s="121"/>
      <c r="Y854" s="121"/>
      <c r="Z854" s="121"/>
      <c r="AA854" s="121"/>
    </row>
    <row r="855" customFormat="false" ht="15.75" hidden="false" customHeight="false" outlineLevel="0" collapsed="false">
      <c r="A855" s="121" t="str">
        <f aca="false">IF(ISBLANK(B855),"",B855&amp;"|"&amp;C855)</f>
        <v/>
      </c>
      <c r="B855" s="121"/>
      <c r="C855" s="121"/>
      <c r="D855" s="121"/>
      <c r="E855" s="127"/>
      <c r="F855" s="121"/>
      <c r="G855" s="121"/>
      <c r="H855" s="121"/>
      <c r="I855" s="121"/>
      <c r="J855" s="121"/>
      <c r="K855" s="121"/>
      <c r="L855" s="121"/>
      <c r="M855" s="121"/>
      <c r="N855" s="121"/>
      <c r="O855" s="121"/>
      <c r="P855" s="121"/>
      <c r="Q855" s="121"/>
      <c r="R855" s="121"/>
      <c r="S855" s="121"/>
      <c r="T855" s="121"/>
      <c r="U855" s="121"/>
      <c r="V855" s="121"/>
      <c r="W855" s="121"/>
      <c r="X855" s="121"/>
      <c r="Y855" s="121"/>
      <c r="Z855" s="121"/>
      <c r="AA855" s="121"/>
    </row>
    <row r="856" customFormat="false" ht="15.75" hidden="false" customHeight="false" outlineLevel="0" collapsed="false">
      <c r="A856" s="121" t="str">
        <f aca="false">IF(ISBLANK(B856),"",B856&amp;"|"&amp;C856)</f>
        <v/>
      </c>
      <c r="B856" s="121"/>
      <c r="C856" s="121"/>
      <c r="D856" s="121"/>
      <c r="E856" s="127"/>
      <c r="F856" s="121"/>
      <c r="G856" s="121"/>
      <c r="H856" s="121"/>
      <c r="I856" s="121"/>
      <c r="J856" s="121"/>
      <c r="K856" s="121"/>
      <c r="L856" s="121"/>
      <c r="M856" s="121"/>
      <c r="N856" s="121"/>
      <c r="O856" s="121"/>
      <c r="P856" s="121"/>
      <c r="Q856" s="121"/>
      <c r="R856" s="121"/>
      <c r="S856" s="121"/>
      <c r="T856" s="121"/>
      <c r="U856" s="121"/>
      <c r="V856" s="121"/>
      <c r="W856" s="121"/>
      <c r="X856" s="121"/>
      <c r="Y856" s="121"/>
      <c r="Z856" s="121"/>
      <c r="AA856" s="121"/>
    </row>
    <row r="857" customFormat="false" ht="15.75" hidden="false" customHeight="false" outlineLevel="0" collapsed="false">
      <c r="A857" s="121" t="str">
        <f aca="false">IF(ISBLANK(B857),"",B857&amp;"|"&amp;C857)</f>
        <v/>
      </c>
      <c r="B857" s="121"/>
      <c r="C857" s="121"/>
      <c r="D857" s="121"/>
      <c r="E857" s="127"/>
      <c r="F857" s="121"/>
      <c r="G857" s="121"/>
      <c r="H857" s="121"/>
      <c r="I857" s="121"/>
      <c r="J857" s="121"/>
      <c r="K857" s="121"/>
      <c r="L857" s="121"/>
      <c r="M857" s="121"/>
      <c r="N857" s="121"/>
      <c r="O857" s="121"/>
      <c r="P857" s="121"/>
      <c r="Q857" s="121"/>
      <c r="R857" s="121"/>
      <c r="S857" s="121"/>
      <c r="T857" s="121"/>
      <c r="U857" s="121"/>
      <c r="V857" s="121"/>
      <c r="W857" s="121"/>
      <c r="X857" s="121"/>
      <c r="Y857" s="121"/>
      <c r="Z857" s="121"/>
      <c r="AA857" s="121"/>
    </row>
    <row r="858" customFormat="false" ht="15.75" hidden="false" customHeight="false" outlineLevel="0" collapsed="false">
      <c r="A858" s="121" t="str">
        <f aca="false">IF(ISBLANK(B858),"",B858&amp;"|"&amp;C858)</f>
        <v/>
      </c>
      <c r="B858" s="121"/>
      <c r="C858" s="121"/>
      <c r="D858" s="121"/>
      <c r="E858" s="127"/>
      <c r="F858" s="121"/>
      <c r="G858" s="121"/>
      <c r="H858" s="121"/>
      <c r="I858" s="121"/>
      <c r="J858" s="121"/>
      <c r="K858" s="121"/>
      <c r="L858" s="121"/>
      <c r="M858" s="121"/>
      <c r="N858" s="121"/>
      <c r="O858" s="121"/>
      <c r="P858" s="121"/>
      <c r="Q858" s="121"/>
      <c r="R858" s="121"/>
      <c r="S858" s="121"/>
      <c r="T858" s="121"/>
      <c r="U858" s="121"/>
      <c r="V858" s="121"/>
      <c r="W858" s="121"/>
      <c r="X858" s="121"/>
      <c r="Y858" s="121"/>
      <c r="Z858" s="121"/>
      <c r="AA858" s="121"/>
    </row>
    <row r="859" customFormat="false" ht="15.75" hidden="false" customHeight="false" outlineLevel="0" collapsed="false">
      <c r="A859" s="121" t="str">
        <f aca="false">IF(ISBLANK(B859),"",B859&amp;"|"&amp;C859)</f>
        <v/>
      </c>
      <c r="B859" s="121"/>
      <c r="C859" s="121"/>
      <c r="D859" s="121"/>
      <c r="E859" s="127"/>
      <c r="F859" s="121"/>
      <c r="G859" s="121"/>
      <c r="H859" s="121"/>
      <c r="I859" s="121"/>
      <c r="J859" s="121"/>
      <c r="K859" s="121"/>
      <c r="L859" s="121"/>
      <c r="M859" s="121"/>
      <c r="N859" s="121"/>
      <c r="O859" s="121"/>
      <c r="P859" s="121"/>
      <c r="Q859" s="121"/>
      <c r="R859" s="121"/>
      <c r="S859" s="121"/>
      <c r="T859" s="121"/>
      <c r="U859" s="121"/>
      <c r="V859" s="121"/>
      <c r="W859" s="121"/>
      <c r="X859" s="121"/>
      <c r="Y859" s="121"/>
      <c r="Z859" s="121"/>
      <c r="AA859" s="121"/>
    </row>
    <row r="860" customFormat="false" ht="15.75" hidden="false" customHeight="false" outlineLevel="0" collapsed="false">
      <c r="A860" s="121" t="str">
        <f aca="false">IF(ISBLANK(B860),"",B860&amp;"|"&amp;C860)</f>
        <v/>
      </c>
      <c r="B860" s="121"/>
      <c r="C860" s="121"/>
      <c r="D860" s="121"/>
      <c r="E860" s="127"/>
      <c r="F860" s="121"/>
      <c r="G860" s="121"/>
      <c r="H860" s="121"/>
      <c r="I860" s="121"/>
      <c r="J860" s="121"/>
      <c r="K860" s="121"/>
      <c r="L860" s="121"/>
      <c r="M860" s="121"/>
      <c r="N860" s="121"/>
      <c r="O860" s="121"/>
      <c r="P860" s="121"/>
      <c r="Q860" s="121"/>
      <c r="R860" s="121"/>
      <c r="S860" s="121"/>
      <c r="T860" s="121"/>
      <c r="U860" s="121"/>
      <c r="V860" s="121"/>
      <c r="W860" s="121"/>
      <c r="X860" s="121"/>
      <c r="Y860" s="121"/>
      <c r="Z860" s="121"/>
      <c r="AA860" s="121"/>
    </row>
    <row r="861" customFormat="false" ht="15.75" hidden="false" customHeight="false" outlineLevel="0" collapsed="false">
      <c r="A861" s="121" t="str">
        <f aca="false">IF(ISBLANK(B861),"",B861&amp;"|"&amp;C861)</f>
        <v/>
      </c>
      <c r="B861" s="121"/>
      <c r="C861" s="121"/>
      <c r="D861" s="121"/>
      <c r="E861" s="127"/>
      <c r="F861" s="121"/>
      <c r="G861" s="121"/>
      <c r="H861" s="121"/>
      <c r="I861" s="121"/>
      <c r="J861" s="121"/>
      <c r="K861" s="121"/>
      <c r="L861" s="121"/>
      <c r="M861" s="121"/>
      <c r="N861" s="121"/>
      <c r="O861" s="121"/>
      <c r="P861" s="121"/>
      <c r="Q861" s="121"/>
      <c r="R861" s="121"/>
      <c r="S861" s="121"/>
      <c r="T861" s="121"/>
      <c r="U861" s="121"/>
      <c r="V861" s="121"/>
      <c r="W861" s="121"/>
      <c r="X861" s="121"/>
      <c r="Y861" s="121"/>
      <c r="Z861" s="121"/>
      <c r="AA861" s="121"/>
    </row>
    <row r="862" customFormat="false" ht="15.75" hidden="false" customHeight="false" outlineLevel="0" collapsed="false">
      <c r="A862" s="121" t="str">
        <f aca="false">IF(ISBLANK(B862),"",B862&amp;"|"&amp;C862)</f>
        <v/>
      </c>
      <c r="B862" s="121"/>
      <c r="C862" s="121"/>
      <c r="D862" s="121"/>
      <c r="E862" s="127"/>
      <c r="F862" s="121"/>
      <c r="G862" s="121"/>
      <c r="H862" s="121"/>
      <c r="I862" s="121"/>
      <c r="J862" s="121"/>
      <c r="K862" s="121"/>
      <c r="L862" s="121"/>
      <c r="M862" s="121"/>
      <c r="N862" s="121"/>
      <c r="O862" s="121"/>
      <c r="P862" s="121"/>
      <c r="Q862" s="121"/>
      <c r="R862" s="121"/>
      <c r="S862" s="121"/>
      <c r="T862" s="121"/>
      <c r="U862" s="121"/>
      <c r="V862" s="121"/>
      <c r="W862" s="121"/>
      <c r="X862" s="121"/>
      <c r="Y862" s="121"/>
      <c r="Z862" s="121"/>
      <c r="AA862" s="121"/>
    </row>
    <row r="863" customFormat="false" ht="15.75" hidden="false" customHeight="false" outlineLevel="0" collapsed="false">
      <c r="A863" s="121" t="str">
        <f aca="false">IF(ISBLANK(B863),"",B863&amp;"|"&amp;C863)</f>
        <v/>
      </c>
      <c r="B863" s="121"/>
      <c r="C863" s="121"/>
      <c r="D863" s="121"/>
      <c r="E863" s="127"/>
      <c r="F863" s="121"/>
      <c r="G863" s="121"/>
      <c r="H863" s="121"/>
      <c r="I863" s="121"/>
      <c r="J863" s="121"/>
      <c r="K863" s="121"/>
      <c r="L863" s="121"/>
      <c r="M863" s="121"/>
      <c r="N863" s="121"/>
      <c r="O863" s="121"/>
      <c r="P863" s="121"/>
      <c r="Q863" s="121"/>
      <c r="R863" s="121"/>
      <c r="S863" s="121"/>
      <c r="T863" s="121"/>
      <c r="U863" s="121"/>
      <c r="V863" s="121"/>
      <c r="W863" s="121"/>
      <c r="X863" s="121"/>
      <c r="Y863" s="121"/>
      <c r="Z863" s="121"/>
      <c r="AA863" s="121"/>
    </row>
    <row r="864" customFormat="false" ht="15.75" hidden="false" customHeight="false" outlineLevel="0" collapsed="false">
      <c r="A864" s="121" t="str">
        <f aca="false">IF(ISBLANK(B864),"",B864&amp;"|"&amp;C864)</f>
        <v/>
      </c>
      <c r="B864" s="121"/>
      <c r="C864" s="121"/>
      <c r="D864" s="121"/>
      <c r="E864" s="127"/>
      <c r="F864" s="121"/>
      <c r="G864" s="121"/>
      <c r="H864" s="121"/>
      <c r="I864" s="121"/>
      <c r="J864" s="121"/>
      <c r="K864" s="121"/>
      <c r="L864" s="121"/>
      <c r="M864" s="121"/>
      <c r="N864" s="121"/>
      <c r="O864" s="121"/>
      <c r="P864" s="121"/>
      <c r="Q864" s="121"/>
      <c r="R864" s="121"/>
      <c r="S864" s="121"/>
      <c r="T864" s="121"/>
      <c r="U864" s="121"/>
      <c r="V864" s="121"/>
      <c r="W864" s="121"/>
      <c r="X864" s="121"/>
      <c r="Y864" s="121"/>
      <c r="Z864" s="121"/>
      <c r="AA864" s="121"/>
    </row>
    <row r="865" customFormat="false" ht="15.75" hidden="false" customHeight="false" outlineLevel="0" collapsed="false">
      <c r="A865" s="121" t="str">
        <f aca="false">IF(ISBLANK(B865),"",B865&amp;"|"&amp;C865)</f>
        <v/>
      </c>
      <c r="B865" s="121"/>
      <c r="C865" s="121"/>
      <c r="D865" s="121"/>
      <c r="E865" s="127"/>
      <c r="F865" s="121"/>
      <c r="G865" s="121"/>
      <c r="H865" s="121"/>
      <c r="I865" s="121"/>
      <c r="J865" s="121"/>
      <c r="K865" s="121"/>
      <c r="L865" s="121"/>
      <c r="M865" s="121"/>
      <c r="N865" s="121"/>
      <c r="O865" s="121"/>
      <c r="P865" s="121"/>
      <c r="Q865" s="121"/>
      <c r="R865" s="121"/>
      <c r="S865" s="121"/>
      <c r="T865" s="121"/>
      <c r="U865" s="121"/>
      <c r="V865" s="121"/>
      <c r="W865" s="121"/>
      <c r="X865" s="121"/>
      <c r="Y865" s="121"/>
      <c r="Z865" s="121"/>
      <c r="AA865" s="121"/>
    </row>
    <row r="866" customFormat="false" ht="15.75" hidden="false" customHeight="false" outlineLevel="0" collapsed="false">
      <c r="A866" s="121" t="str">
        <f aca="false">IF(ISBLANK(B866),"",B866&amp;"|"&amp;C866)</f>
        <v/>
      </c>
      <c r="B866" s="121"/>
      <c r="C866" s="121"/>
      <c r="D866" s="121"/>
      <c r="E866" s="127"/>
      <c r="F866" s="121"/>
      <c r="G866" s="121"/>
      <c r="H866" s="121"/>
      <c r="I866" s="121"/>
      <c r="J866" s="121"/>
      <c r="K866" s="121"/>
      <c r="L866" s="121"/>
      <c r="M866" s="121"/>
      <c r="N866" s="121"/>
      <c r="O866" s="121"/>
      <c r="P866" s="121"/>
      <c r="Q866" s="121"/>
      <c r="R866" s="121"/>
      <c r="S866" s="121"/>
      <c r="T866" s="121"/>
      <c r="U866" s="121"/>
      <c r="V866" s="121"/>
      <c r="W866" s="121"/>
      <c r="X866" s="121"/>
      <c r="Y866" s="121"/>
      <c r="Z866" s="121"/>
      <c r="AA866" s="121"/>
    </row>
    <row r="867" customFormat="false" ht="15.75" hidden="false" customHeight="false" outlineLevel="0" collapsed="false">
      <c r="A867" s="121" t="str">
        <f aca="false">IF(ISBLANK(B867),"",B867&amp;"|"&amp;C867)</f>
        <v/>
      </c>
      <c r="B867" s="121"/>
      <c r="C867" s="121"/>
      <c r="D867" s="121"/>
      <c r="E867" s="127"/>
      <c r="F867" s="121"/>
      <c r="G867" s="121"/>
      <c r="H867" s="121"/>
      <c r="I867" s="121"/>
      <c r="J867" s="121"/>
      <c r="K867" s="121"/>
      <c r="L867" s="121"/>
      <c r="M867" s="121"/>
      <c r="N867" s="121"/>
      <c r="O867" s="121"/>
      <c r="P867" s="121"/>
      <c r="Q867" s="121"/>
      <c r="R867" s="121"/>
      <c r="S867" s="121"/>
      <c r="T867" s="121"/>
      <c r="U867" s="121"/>
      <c r="V867" s="121"/>
      <c r="W867" s="121"/>
      <c r="X867" s="121"/>
      <c r="Y867" s="121"/>
      <c r="Z867" s="121"/>
      <c r="AA867" s="121"/>
    </row>
    <row r="868" customFormat="false" ht="15.75" hidden="false" customHeight="false" outlineLevel="0" collapsed="false">
      <c r="A868" s="121" t="str">
        <f aca="false">IF(ISBLANK(B868),"",B868&amp;"|"&amp;C868)</f>
        <v/>
      </c>
      <c r="B868" s="121"/>
      <c r="C868" s="121"/>
      <c r="D868" s="121"/>
      <c r="E868" s="127"/>
      <c r="F868" s="121"/>
      <c r="G868" s="121"/>
      <c r="H868" s="121"/>
      <c r="I868" s="121"/>
      <c r="J868" s="121"/>
      <c r="K868" s="121"/>
      <c r="L868" s="121"/>
      <c r="M868" s="121"/>
      <c r="N868" s="121"/>
      <c r="O868" s="121"/>
      <c r="P868" s="121"/>
      <c r="Q868" s="121"/>
      <c r="R868" s="121"/>
      <c r="S868" s="121"/>
      <c r="T868" s="121"/>
      <c r="U868" s="121"/>
      <c r="V868" s="121"/>
      <c r="W868" s="121"/>
      <c r="X868" s="121"/>
      <c r="Y868" s="121"/>
      <c r="Z868" s="121"/>
      <c r="AA868" s="121"/>
    </row>
    <row r="869" customFormat="false" ht="15.75" hidden="false" customHeight="false" outlineLevel="0" collapsed="false">
      <c r="A869" s="121" t="str">
        <f aca="false">IF(ISBLANK(B869),"",B869&amp;"|"&amp;C869)</f>
        <v/>
      </c>
      <c r="B869" s="121"/>
      <c r="C869" s="121"/>
      <c r="D869" s="121"/>
      <c r="E869" s="127"/>
      <c r="F869" s="121"/>
      <c r="G869" s="121"/>
      <c r="H869" s="121"/>
      <c r="I869" s="121"/>
      <c r="J869" s="121"/>
      <c r="K869" s="121"/>
      <c r="L869" s="121"/>
      <c r="M869" s="121"/>
      <c r="N869" s="121"/>
      <c r="O869" s="121"/>
      <c r="P869" s="121"/>
      <c r="Q869" s="121"/>
      <c r="R869" s="121"/>
      <c r="S869" s="121"/>
      <c r="T869" s="121"/>
      <c r="U869" s="121"/>
      <c r="V869" s="121"/>
      <c r="W869" s="121"/>
      <c r="X869" s="121"/>
      <c r="Y869" s="121"/>
      <c r="Z869" s="121"/>
      <c r="AA869" s="121"/>
    </row>
    <row r="870" customFormat="false" ht="15.75" hidden="false" customHeight="false" outlineLevel="0" collapsed="false">
      <c r="A870" s="121" t="str">
        <f aca="false">IF(ISBLANK(B870),"",B870&amp;"|"&amp;C870)</f>
        <v/>
      </c>
      <c r="B870" s="121"/>
      <c r="C870" s="121"/>
      <c r="D870" s="121"/>
      <c r="E870" s="127"/>
      <c r="F870" s="121"/>
      <c r="G870" s="121"/>
      <c r="H870" s="121"/>
      <c r="I870" s="121"/>
      <c r="J870" s="121"/>
      <c r="K870" s="121"/>
      <c r="L870" s="121"/>
      <c r="M870" s="121"/>
      <c r="N870" s="121"/>
      <c r="O870" s="121"/>
      <c r="P870" s="121"/>
      <c r="Q870" s="121"/>
      <c r="R870" s="121"/>
      <c r="S870" s="121"/>
      <c r="T870" s="121"/>
      <c r="U870" s="121"/>
      <c r="V870" s="121"/>
      <c r="W870" s="121"/>
      <c r="X870" s="121"/>
      <c r="Y870" s="121"/>
      <c r="Z870" s="121"/>
      <c r="AA870" s="121"/>
    </row>
    <row r="871" customFormat="false" ht="15.75" hidden="false" customHeight="false" outlineLevel="0" collapsed="false">
      <c r="A871" s="121" t="str">
        <f aca="false">IF(ISBLANK(B871),"",B871&amp;"|"&amp;C871)</f>
        <v/>
      </c>
      <c r="B871" s="121"/>
      <c r="C871" s="121"/>
      <c r="D871" s="121"/>
      <c r="E871" s="127"/>
      <c r="F871" s="121"/>
      <c r="G871" s="121"/>
      <c r="H871" s="121"/>
      <c r="I871" s="121"/>
      <c r="J871" s="121"/>
      <c r="K871" s="121"/>
      <c r="L871" s="121"/>
      <c r="M871" s="121"/>
      <c r="N871" s="121"/>
      <c r="O871" s="121"/>
      <c r="P871" s="121"/>
      <c r="Q871" s="121"/>
      <c r="R871" s="121"/>
      <c r="S871" s="121"/>
      <c r="T871" s="121"/>
      <c r="U871" s="121"/>
      <c r="V871" s="121"/>
      <c r="W871" s="121"/>
      <c r="X871" s="121"/>
      <c r="Y871" s="121"/>
      <c r="Z871" s="121"/>
      <c r="AA871" s="121"/>
    </row>
    <row r="872" customFormat="false" ht="15.75" hidden="false" customHeight="false" outlineLevel="0" collapsed="false">
      <c r="A872" s="121" t="str">
        <f aca="false">IF(ISBLANK(B872),"",B872&amp;"|"&amp;C872)</f>
        <v/>
      </c>
      <c r="B872" s="121"/>
      <c r="C872" s="121"/>
      <c r="D872" s="121"/>
      <c r="E872" s="127"/>
      <c r="F872" s="121"/>
      <c r="G872" s="121"/>
      <c r="H872" s="121"/>
      <c r="I872" s="121"/>
      <c r="J872" s="121"/>
      <c r="K872" s="121"/>
      <c r="L872" s="121"/>
      <c r="M872" s="121"/>
      <c r="N872" s="121"/>
      <c r="O872" s="121"/>
      <c r="P872" s="121"/>
      <c r="Q872" s="121"/>
      <c r="R872" s="121"/>
      <c r="S872" s="121"/>
      <c r="T872" s="121"/>
      <c r="U872" s="121"/>
      <c r="V872" s="121"/>
      <c r="W872" s="121"/>
      <c r="X872" s="121"/>
      <c r="Y872" s="121"/>
      <c r="Z872" s="121"/>
      <c r="AA872" s="121"/>
    </row>
    <row r="873" customFormat="false" ht="15.75" hidden="false" customHeight="false" outlineLevel="0" collapsed="false">
      <c r="A873" s="121" t="str">
        <f aca="false">IF(ISBLANK(B873),"",B873&amp;"|"&amp;C873)</f>
        <v/>
      </c>
      <c r="B873" s="121"/>
      <c r="C873" s="121"/>
      <c r="D873" s="121"/>
      <c r="E873" s="127"/>
      <c r="F873" s="121"/>
      <c r="G873" s="121"/>
      <c r="H873" s="121"/>
      <c r="I873" s="121"/>
      <c r="J873" s="121"/>
      <c r="K873" s="121"/>
      <c r="L873" s="121"/>
      <c r="M873" s="121"/>
      <c r="N873" s="121"/>
      <c r="O873" s="121"/>
      <c r="P873" s="121"/>
      <c r="Q873" s="121"/>
      <c r="R873" s="121"/>
      <c r="S873" s="121"/>
      <c r="T873" s="121"/>
      <c r="U873" s="121"/>
      <c r="V873" s="121"/>
      <c r="W873" s="121"/>
      <c r="X873" s="121"/>
      <c r="Y873" s="121"/>
      <c r="Z873" s="121"/>
      <c r="AA873" s="121"/>
    </row>
    <row r="874" customFormat="false" ht="15.75" hidden="false" customHeight="false" outlineLevel="0" collapsed="false">
      <c r="A874" s="121" t="str">
        <f aca="false">IF(ISBLANK(B874),"",B874&amp;"|"&amp;C874)</f>
        <v/>
      </c>
      <c r="B874" s="121"/>
      <c r="C874" s="121"/>
      <c r="D874" s="121"/>
      <c r="E874" s="127"/>
      <c r="F874" s="121"/>
      <c r="G874" s="121"/>
      <c r="H874" s="121"/>
      <c r="I874" s="121"/>
      <c r="J874" s="121"/>
      <c r="K874" s="121"/>
      <c r="L874" s="121"/>
      <c r="M874" s="121"/>
      <c r="N874" s="121"/>
      <c r="O874" s="121"/>
      <c r="P874" s="121"/>
      <c r="Q874" s="121"/>
      <c r="R874" s="121"/>
      <c r="S874" s="121"/>
      <c r="T874" s="121"/>
      <c r="U874" s="121"/>
      <c r="V874" s="121"/>
      <c r="W874" s="121"/>
      <c r="X874" s="121"/>
      <c r="Y874" s="121"/>
      <c r="Z874" s="121"/>
      <c r="AA874" s="121"/>
    </row>
    <row r="875" customFormat="false" ht="15.75" hidden="false" customHeight="false" outlineLevel="0" collapsed="false">
      <c r="A875" s="121" t="str">
        <f aca="false">IF(ISBLANK(B875),"",B875&amp;"|"&amp;C875)</f>
        <v/>
      </c>
      <c r="B875" s="121"/>
      <c r="C875" s="121"/>
      <c r="D875" s="121"/>
      <c r="E875" s="127"/>
      <c r="F875" s="121"/>
      <c r="G875" s="121"/>
      <c r="H875" s="121"/>
      <c r="I875" s="121"/>
      <c r="J875" s="121"/>
      <c r="K875" s="121"/>
      <c r="L875" s="121"/>
      <c r="M875" s="121"/>
      <c r="N875" s="121"/>
      <c r="O875" s="121"/>
      <c r="P875" s="121"/>
      <c r="Q875" s="121"/>
      <c r="R875" s="121"/>
      <c r="S875" s="121"/>
      <c r="T875" s="121"/>
      <c r="U875" s="121"/>
      <c r="V875" s="121"/>
      <c r="W875" s="121"/>
      <c r="X875" s="121"/>
      <c r="Y875" s="121"/>
      <c r="Z875" s="121"/>
      <c r="AA875" s="121"/>
    </row>
    <row r="876" customFormat="false" ht="15.75" hidden="false" customHeight="false" outlineLevel="0" collapsed="false">
      <c r="A876" s="121" t="str">
        <f aca="false">IF(ISBLANK(B876),"",B876&amp;"|"&amp;C876)</f>
        <v/>
      </c>
      <c r="B876" s="121"/>
      <c r="C876" s="121"/>
      <c r="D876" s="121"/>
      <c r="E876" s="127"/>
      <c r="F876" s="121"/>
      <c r="G876" s="121"/>
      <c r="H876" s="121"/>
      <c r="I876" s="121"/>
      <c r="J876" s="121"/>
      <c r="K876" s="121"/>
      <c r="L876" s="121"/>
      <c r="M876" s="121"/>
      <c r="N876" s="121"/>
      <c r="O876" s="121"/>
      <c r="P876" s="121"/>
      <c r="Q876" s="121"/>
      <c r="R876" s="121"/>
      <c r="S876" s="121"/>
      <c r="T876" s="121"/>
      <c r="U876" s="121"/>
      <c r="V876" s="121"/>
      <c r="W876" s="121"/>
      <c r="X876" s="121"/>
      <c r="Y876" s="121"/>
      <c r="Z876" s="121"/>
      <c r="AA876" s="121"/>
    </row>
    <row r="877" customFormat="false" ht="15.75" hidden="false" customHeight="false" outlineLevel="0" collapsed="false">
      <c r="A877" s="121" t="str">
        <f aca="false">IF(ISBLANK(B877),"",B877&amp;"|"&amp;C877)</f>
        <v/>
      </c>
      <c r="B877" s="121"/>
      <c r="C877" s="121"/>
      <c r="D877" s="121"/>
      <c r="E877" s="127"/>
      <c r="F877" s="121"/>
      <c r="G877" s="121"/>
      <c r="H877" s="121"/>
      <c r="I877" s="121"/>
      <c r="J877" s="121"/>
      <c r="K877" s="121"/>
      <c r="L877" s="121"/>
      <c r="M877" s="121"/>
      <c r="N877" s="121"/>
      <c r="O877" s="121"/>
      <c r="P877" s="121"/>
      <c r="Q877" s="121"/>
      <c r="R877" s="121"/>
      <c r="S877" s="121"/>
      <c r="T877" s="121"/>
      <c r="U877" s="121"/>
      <c r="V877" s="121"/>
      <c r="W877" s="121"/>
      <c r="X877" s="121"/>
      <c r="Y877" s="121"/>
      <c r="Z877" s="121"/>
      <c r="AA877" s="121"/>
    </row>
    <row r="878" customFormat="false" ht="15.75" hidden="false" customHeight="false" outlineLevel="0" collapsed="false">
      <c r="A878" s="121" t="str">
        <f aca="false">IF(ISBLANK(B878),"",B878&amp;"|"&amp;C878)</f>
        <v/>
      </c>
      <c r="B878" s="121"/>
      <c r="C878" s="121"/>
      <c r="D878" s="121"/>
      <c r="E878" s="127"/>
      <c r="F878" s="121"/>
      <c r="G878" s="121"/>
      <c r="H878" s="121"/>
      <c r="I878" s="121"/>
      <c r="J878" s="121"/>
      <c r="K878" s="121"/>
      <c r="L878" s="121"/>
      <c r="M878" s="121"/>
      <c r="N878" s="121"/>
      <c r="O878" s="121"/>
      <c r="P878" s="121"/>
      <c r="Q878" s="121"/>
      <c r="R878" s="121"/>
      <c r="S878" s="121"/>
      <c r="T878" s="121"/>
      <c r="U878" s="121"/>
      <c r="V878" s="121"/>
      <c r="W878" s="121"/>
      <c r="X878" s="121"/>
      <c r="Y878" s="121"/>
      <c r="Z878" s="121"/>
      <c r="AA878" s="121"/>
    </row>
    <row r="879" customFormat="false" ht="15.75" hidden="false" customHeight="false" outlineLevel="0" collapsed="false">
      <c r="A879" s="121" t="str">
        <f aca="false">IF(ISBLANK(B879),"",B879&amp;"|"&amp;C879)</f>
        <v/>
      </c>
      <c r="B879" s="121"/>
      <c r="C879" s="121"/>
      <c r="D879" s="121"/>
      <c r="E879" s="127"/>
      <c r="F879" s="121"/>
      <c r="G879" s="121"/>
      <c r="H879" s="121"/>
      <c r="I879" s="121"/>
      <c r="J879" s="121"/>
      <c r="K879" s="121"/>
      <c r="L879" s="121"/>
      <c r="M879" s="121"/>
      <c r="N879" s="121"/>
      <c r="O879" s="121"/>
      <c r="P879" s="121"/>
      <c r="Q879" s="121"/>
      <c r="R879" s="121"/>
      <c r="S879" s="121"/>
      <c r="T879" s="121"/>
      <c r="U879" s="121"/>
      <c r="V879" s="121"/>
      <c r="W879" s="121"/>
      <c r="X879" s="121"/>
      <c r="Y879" s="121"/>
      <c r="Z879" s="121"/>
      <c r="AA879" s="121"/>
    </row>
    <row r="880" customFormat="false" ht="15.75" hidden="false" customHeight="false" outlineLevel="0" collapsed="false">
      <c r="A880" s="121" t="str">
        <f aca="false">IF(ISBLANK(B880),"",B880&amp;"|"&amp;C880)</f>
        <v/>
      </c>
      <c r="B880" s="121"/>
      <c r="C880" s="121"/>
      <c r="D880" s="121"/>
      <c r="E880" s="127"/>
      <c r="F880" s="121"/>
      <c r="G880" s="121"/>
      <c r="H880" s="121"/>
      <c r="I880" s="121"/>
      <c r="J880" s="121"/>
      <c r="K880" s="121"/>
      <c r="L880" s="121"/>
      <c r="M880" s="121"/>
      <c r="N880" s="121"/>
      <c r="O880" s="121"/>
      <c r="P880" s="121"/>
      <c r="Q880" s="121"/>
      <c r="R880" s="121"/>
      <c r="S880" s="121"/>
      <c r="T880" s="121"/>
      <c r="U880" s="121"/>
      <c r="V880" s="121"/>
      <c r="W880" s="121"/>
      <c r="X880" s="121"/>
      <c r="Y880" s="121"/>
      <c r="Z880" s="121"/>
      <c r="AA880" s="121"/>
    </row>
    <row r="881" customFormat="false" ht="15.75" hidden="false" customHeight="false" outlineLevel="0" collapsed="false">
      <c r="A881" s="121" t="str">
        <f aca="false">IF(ISBLANK(B881),"",B881&amp;"|"&amp;C881)</f>
        <v/>
      </c>
      <c r="B881" s="121"/>
      <c r="C881" s="121"/>
      <c r="D881" s="121"/>
      <c r="E881" s="127"/>
      <c r="F881" s="121"/>
      <c r="G881" s="121"/>
      <c r="H881" s="121"/>
      <c r="I881" s="121"/>
      <c r="J881" s="121"/>
      <c r="K881" s="121"/>
      <c r="L881" s="121"/>
      <c r="M881" s="121"/>
      <c r="N881" s="121"/>
      <c r="O881" s="121"/>
      <c r="P881" s="121"/>
      <c r="Q881" s="121"/>
      <c r="R881" s="121"/>
      <c r="S881" s="121"/>
      <c r="T881" s="121"/>
      <c r="U881" s="121"/>
      <c r="V881" s="121"/>
      <c r="W881" s="121"/>
      <c r="X881" s="121"/>
      <c r="Y881" s="121"/>
      <c r="Z881" s="121"/>
      <c r="AA881" s="121"/>
    </row>
    <row r="882" customFormat="false" ht="15.75" hidden="false" customHeight="false" outlineLevel="0" collapsed="false">
      <c r="A882" s="121" t="str">
        <f aca="false">IF(ISBLANK(B882),"",B882&amp;"|"&amp;C882)</f>
        <v/>
      </c>
      <c r="B882" s="121"/>
      <c r="C882" s="121"/>
      <c r="D882" s="121"/>
      <c r="E882" s="127"/>
      <c r="F882" s="121"/>
      <c r="G882" s="121"/>
      <c r="H882" s="121"/>
      <c r="I882" s="121"/>
      <c r="J882" s="121"/>
      <c r="K882" s="121"/>
      <c r="L882" s="121"/>
      <c r="M882" s="121"/>
      <c r="N882" s="121"/>
      <c r="O882" s="121"/>
      <c r="P882" s="121"/>
      <c r="Q882" s="121"/>
      <c r="R882" s="121"/>
      <c r="S882" s="121"/>
      <c r="T882" s="121"/>
      <c r="U882" s="121"/>
      <c r="V882" s="121"/>
      <c r="W882" s="121"/>
      <c r="X882" s="121"/>
      <c r="Y882" s="121"/>
      <c r="Z882" s="121"/>
      <c r="AA882" s="121"/>
    </row>
    <row r="883" customFormat="false" ht="15.75" hidden="false" customHeight="false" outlineLevel="0" collapsed="false">
      <c r="A883" s="121" t="str">
        <f aca="false">IF(ISBLANK(B883),"",B883&amp;"|"&amp;C883)</f>
        <v/>
      </c>
      <c r="B883" s="121"/>
      <c r="C883" s="121"/>
      <c r="D883" s="121"/>
      <c r="E883" s="127"/>
      <c r="F883" s="121"/>
      <c r="G883" s="121"/>
      <c r="H883" s="121"/>
      <c r="I883" s="121"/>
      <c r="J883" s="121"/>
      <c r="K883" s="121"/>
      <c r="L883" s="121"/>
      <c r="M883" s="121"/>
      <c r="N883" s="121"/>
      <c r="O883" s="121"/>
      <c r="P883" s="121"/>
      <c r="Q883" s="121"/>
      <c r="R883" s="121"/>
      <c r="S883" s="121"/>
      <c r="T883" s="121"/>
      <c r="U883" s="121"/>
      <c r="V883" s="121"/>
      <c r="W883" s="121"/>
      <c r="X883" s="121"/>
      <c r="Y883" s="121"/>
      <c r="Z883" s="121"/>
      <c r="AA883" s="121"/>
    </row>
    <row r="884" customFormat="false" ht="15.75" hidden="false" customHeight="false" outlineLevel="0" collapsed="false">
      <c r="A884" s="121" t="str">
        <f aca="false">IF(ISBLANK(B884),"",B884&amp;"|"&amp;C884)</f>
        <v/>
      </c>
      <c r="B884" s="121"/>
      <c r="C884" s="121"/>
      <c r="D884" s="121"/>
      <c r="E884" s="127"/>
      <c r="F884" s="121"/>
      <c r="G884" s="121"/>
      <c r="H884" s="121"/>
      <c r="I884" s="121"/>
      <c r="J884" s="121"/>
      <c r="K884" s="121"/>
      <c r="L884" s="121"/>
      <c r="M884" s="121"/>
      <c r="N884" s="121"/>
      <c r="O884" s="121"/>
      <c r="P884" s="121"/>
      <c r="Q884" s="121"/>
      <c r="R884" s="121"/>
      <c r="S884" s="121"/>
      <c r="T884" s="121"/>
      <c r="U884" s="121"/>
      <c r="V884" s="121"/>
      <c r="W884" s="121"/>
      <c r="X884" s="121"/>
      <c r="Y884" s="121"/>
      <c r="Z884" s="121"/>
      <c r="AA884" s="121"/>
    </row>
    <row r="885" customFormat="false" ht="15.75" hidden="false" customHeight="false" outlineLevel="0" collapsed="false">
      <c r="A885" s="121" t="str">
        <f aca="false">IF(ISBLANK(B885),"",B885&amp;"|"&amp;C885)</f>
        <v/>
      </c>
      <c r="B885" s="121"/>
      <c r="C885" s="121"/>
      <c r="D885" s="121"/>
      <c r="E885" s="127"/>
      <c r="F885" s="121"/>
      <c r="G885" s="121"/>
      <c r="H885" s="121"/>
      <c r="I885" s="121"/>
      <c r="J885" s="121"/>
      <c r="K885" s="121"/>
      <c r="L885" s="121"/>
      <c r="M885" s="121"/>
      <c r="N885" s="121"/>
      <c r="O885" s="121"/>
      <c r="P885" s="121"/>
      <c r="Q885" s="121"/>
      <c r="R885" s="121"/>
      <c r="S885" s="121"/>
      <c r="T885" s="121"/>
      <c r="U885" s="121"/>
      <c r="V885" s="121"/>
      <c r="W885" s="121"/>
      <c r="X885" s="121"/>
      <c r="Y885" s="121"/>
      <c r="Z885" s="121"/>
      <c r="AA885" s="121"/>
    </row>
    <row r="886" customFormat="false" ht="15.75" hidden="false" customHeight="false" outlineLevel="0" collapsed="false">
      <c r="A886" s="121" t="str">
        <f aca="false">IF(ISBLANK(B886),"",B886&amp;"|"&amp;C886)</f>
        <v/>
      </c>
      <c r="B886" s="121"/>
      <c r="C886" s="121"/>
      <c r="D886" s="121"/>
      <c r="E886" s="127"/>
      <c r="F886" s="121"/>
      <c r="G886" s="121"/>
      <c r="H886" s="121"/>
      <c r="I886" s="121"/>
      <c r="J886" s="121"/>
      <c r="K886" s="121"/>
      <c r="L886" s="121"/>
      <c r="M886" s="121"/>
      <c r="N886" s="121"/>
      <c r="O886" s="121"/>
      <c r="P886" s="121"/>
      <c r="Q886" s="121"/>
      <c r="R886" s="121"/>
      <c r="S886" s="121"/>
      <c r="T886" s="121"/>
      <c r="U886" s="121"/>
      <c r="V886" s="121"/>
      <c r="W886" s="121"/>
      <c r="X886" s="121"/>
      <c r="Y886" s="121"/>
      <c r="Z886" s="121"/>
      <c r="AA886" s="121"/>
    </row>
    <row r="887" customFormat="false" ht="15.75" hidden="false" customHeight="false" outlineLevel="0" collapsed="false">
      <c r="A887" s="121" t="str">
        <f aca="false">IF(ISBLANK(B887),"",B887&amp;"|"&amp;C887)</f>
        <v/>
      </c>
      <c r="B887" s="121"/>
      <c r="C887" s="121"/>
      <c r="D887" s="121"/>
      <c r="E887" s="127"/>
      <c r="F887" s="121"/>
      <c r="G887" s="121"/>
      <c r="H887" s="121"/>
      <c r="I887" s="121"/>
      <c r="J887" s="121"/>
      <c r="K887" s="121"/>
      <c r="L887" s="121"/>
      <c r="M887" s="121"/>
      <c r="N887" s="121"/>
      <c r="O887" s="121"/>
      <c r="P887" s="121"/>
      <c r="Q887" s="121"/>
      <c r="R887" s="121"/>
      <c r="S887" s="121"/>
      <c r="T887" s="121"/>
      <c r="U887" s="121"/>
      <c r="V887" s="121"/>
      <c r="W887" s="121"/>
      <c r="X887" s="121"/>
      <c r="Y887" s="121"/>
      <c r="Z887" s="121"/>
      <c r="AA887" s="121"/>
    </row>
    <row r="888" customFormat="false" ht="15.75" hidden="false" customHeight="false" outlineLevel="0" collapsed="false">
      <c r="A888" s="121" t="str">
        <f aca="false">IF(ISBLANK(B888),"",B888&amp;"|"&amp;C888)</f>
        <v/>
      </c>
      <c r="B888" s="121"/>
      <c r="C888" s="121"/>
      <c r="D888" s="121"/>
      <c r="E888" s="127"/>
      <c r="F888" s="121"/>
      <c r="G888" s="121"/>
      <c r="H888" s="121"/>
      <c r="I888" s="121"/>
      <c r="J888" s="121"/>
      <c r="K888" s="121"/>
      <c r="L888" s="121"/>
      <c r="M888" s="121"/>
      <c r="N888" s="121"/>
      <c r="O888" s="121"/>
      <c r="P888" s="121"/>
      <c r="Q888" s="121"/>
      <c r="R888" s="121"/>
      <c r="S888" s="121"/>
      <c r="T888" s="121"/>
      <c r="U888" s="121"/>
      <c r="V888" s="121"/>
      <c r="W888" s="121"/>
      <c r="X888" s="121"/>
      <c r="Y888" s="121"/>
      <c r="Z888" s="121"/>
      <c r="AA888" s="121"/>
    </row>
    <row r="889" customFormat="false" ht="15.75" hidden="false" customHeight="false" outlineLevel="0" collapsed="false">
      <c r="A889" s="121" t="str">
        <f aca="false">IF(ISBLANK(B889),"",B889&amp;"|"&amp;C889)</f>
        <v/>
      </c>
      <c r="B889" s="121"/>
      <c r="C889" s="121"/>
      <c r="D889" s="121"/>
      <c r="E889" s="127"/>
      <c r="F889" s="121"/>
      <c r="G889" s="121"/>
      <c r="H889" s="121"/>
      <c r="I889" s="121"/>
      <c r="J889" s="121"/>
      <c r="K889" s="121"/>
      <c r="L889" s="121"/>
      <c r="M889" s="121"/>
      <c r="N889" s="121"/>
      <c r="O889" s="121"/>
      <c r="P889" s="121"/>
      <c r="Q889" s="121"/>
      <c r="R889" s="121"/>
      <c r="S889" s="121"/>
      <c r="T889" s="121"/>
      <c r="U889" s="121"/>
      <c r="V889" s="121"/>
      <c r="W889" s="121"/>
      <c r="X889" s="121"/>
      <c r="Y889" s="121"/>
      <c r="Z889" s="121"/>
      <c r="AA889" s="121"/>
    </row>
    <row r="890" customFormat="false" ht="15.75" hidden="false" customHeight="false" outlineLevel="0" collapsed="false">
      <c r="A890" s="121" t="str">
        <f aca="false">IF(ISBLANK(B890),"",B890&amp;"|"&amp;C890)</f>
        <v/>
      </c>
      <c r="B890" s="121"/>
      <c r="C890" s="121"/>
      <c r="D890" s="121"/>
      <c r="E890" s="127"/>
      <c r="F890" s="121"/>
      <c r="G890" s="121"/>
      <c r="H890" s="121"/>
      <c r="I890" s="121"/>
      <c r="J890" s="121"/>
      <c r="K890" s="121"/>
      <c r="L890" s="121"/>
      <c r="M890" s="121"/>
      <c r="N890" s="121"/>
      <c r="O890" s="121"/>
      <c r="P890" s="121"/>
      <c r="Q890" s="121"/>
      <c r="R890" s="121"/>
      <c r="S890" s="121"/>
      <c r="T890" s="121"/>
      <c r="U890" s="121"/>
      <c r="V890" s="121"/>
      <c r="W890" s="121"/>
      <c r="X890" s="121"/>
      <c r="Y890" s="121"/>
      <c r="Z890" s="121"/>
      <c r="AA890" s="121"/>
    </row>
    <row r="891" customFormat="false" ht="15.75" hidden="false" customHeight="false" outlineLevel="0" collapsed="false">
      <c r="A891" s="121" t="str">
        <f aca="false">IF(ISBLANK(B891),"",B891&amp;"|"&amp;C891)</f>
        <v/>
      </c>
      <c r="B891" s="121"/>
      <c r="C891" s="121"/>
      <c r="D891" s="121"/>
      <c r="E891" s="127"/>
      <c r="F891" s="121"/>
      <c r="G891" s="121"/>
      <c r="H891" s="121"/>
      <c r="I891" s="121"/>
      <c r="J891" s="121"/>
      <c r="K891" s="121"/>
      <c r="L891" s="121"/>
      <c r="M891" s="121"/>
      <c r="N891" s="121"/>
      <c r="O891" s="121"/>
      <c r="P891" s="121"/>
      <c r="Q891" s="121"/>
      <c r="R891" s="121"/>
      <c r="S891" s="121"/>
      <c r="T891" s="121"/>
      <c r="U891" s="121"/>
      <c r="V891" s="121"/>
      <c r="W891" s="121"/>
      <c r="X891" s="121"/>
      <c r="Y891" s="121"/>
      <c r="Z891" s="121"/>
      <c r="AA891" s="121"/>
    </row>
    <row r="892" customFormat="false" ht="15.75" hidden="false" customHeight="false" outlineLevel="0" collapsed="false">
      <c r="A892" s="121" t="str">
        <f aca="false">IF(ISBLANK(B892),"",B892&amp;"|"&amp;C892)</f>
        <v/>
      </c>
      <c r="B892" s="121"/>
      <c r="C892" s="121"/>
      <c r="D892" s="121"/>
      <c r="E892" s="127"/>
      <c r="F892" s="121"/>
      <c r="G892" s="121"/>
      <c r="H892" s="121"/>
      <c r="I892" s="121"/>
      <c r="J892" s="121"/>
      <c r="K892" s="121"/>
      <c r="L892" s="121"/>
      <c r="M892" s="121"/>
      <c r="N892" s="121"/>
      <c r="O892" s="121"/>
      <c r="P892" s="121"/>
      <c r="Q892" s="121"/>
      <c r="R892" s="121"/>
      <c r="S892" s="121"/>
      <c r="T892" s="121"/>
      <c r="U892" s="121"/>
      <c r="V892" s="121"/>
      <c r="W892" s="121"/>
      <c r="X892" s="121"/>
      <c r="Y892" s="121"/>
      <c r="Z892" s="121"/>
      <c r="AA892" s="121"/>
    </row>
    <row r="893" customFormat="false" ht="15.75" hidden="false" customHeight="false" outlineLevel="0" collapsed="false">
      <c r="A893" s="121" t="str">
        <f aca="false">IF(ISBLANK(B893),"",B893&amp;"|"&amp;C893)</f>
        <v/>
      </c>
      <c r="B893" s="121"/>
      <c r="C893" s="121"/>
      <c r="D893" s="121"/>
      <c r="E893" s="127"/>
      <c r="F893" s="121"/>
      <c r="G893" s="121"/>
      <c r="H893" s="121"/>
      <c r="I893" s="121"/>
      <c r="J893" s="121"/>
      <c r="K893" s="121"/>
      <c r="L893" s="121"/>
      <c r="M893" s="121"/>
      <c r="N893" s="121"/>
      <c r="O893" s="121"/>
      <c r="P893" s="121"/>
      <c r="Q893" s="121"/>
      <c r="R893" s="121"/>
      <c r="S893" s="121"/>
      <c r="T893" s="121"/>
      <c r="U893" s="121"/>
      <c r="V893" s="121"/>
      <c r="W893" s="121"/>
      <c r="X893" s="121"/>
      <c r="Y893" s="121"/>
      <c r="Z893" s="121"/>
      <c r="AA893" s="121"/>
    </row>
    <row r="894" customFormat="false" ht="15.75" hidden="false" customHeight="false" outlineLevel="0" collapsed="false">
      <c r="A894" s="121" t="str">
        <f aca="false">IF(ISBLANK(B894),"",B894&amp;"|"&amp;C894)</f>
        <v/>
      </c>
      <c r="B894" s="121"/>
      <c r="C894" s="121"/>
      <c r="D894" s="121"/>
      <c r="E894" s="127"/>
      <c r="F894" s="121"/>
      <c r="G894" s="121"/>
      <c r="H894" s="121"/>
      <c r="I894" s="121"/>
      <c r="J894" s="121"/>
      <c r="K894" s="121"/>
      <c r="L894" s="121"/>
      <c r="M894" s="121"/>
      <c r="N894" s="121"/>
      <c r="O894" s="121"/>
      <c r="P894" s="121"/>
      <c r="Q894" s="121"/>
      <c r="R894" s="121"/>
      <c r="S894" s="121"/>
      <c r="T894" s="121"/>
      <c r="U894" s="121"/>
      <c r="V894" s="121"/>
      <c r="W894" s="121"/>
      <c r="X894" s="121"/>
      <c r="Y894" s="121"/>
      <c r="Z894" s="121"/>
      <c r="AA894" s="121"/>
    </row>
    <row r="895" customFormat="false" ht="15.75" hidden="false" customHeight="false" outlineLevel="0" collapsed="false">
      <c r="A895" s="121" t="str">
        <f aca="false">IF(ISBLANK(B895),"",B895&amp;"|"&amp;C895)</f>
        <v/>
      </c>
      <c r="B895" s="121"/>
      <c r="C895" s="121"/>
      <c r="D895" s="121"/>
      <c r="E895" s="127"/>
      <c r="F895" s="121"/>
      <c r="G895" s="121"/>
      <c r="H895" s="121"/>
      <c r="I895" s="121"/>
      <c r="J895" s="121"/>
      <c r="K895" s="121"/>
      <c r="L895" s="121"/>
      <c r="M895" s="121"/>
      <c r="N895" s="121"/>
      <c r="O895" s="121"/>
      <c r="P895" s="121"/>
      <c r="Q895" s="121"/>
      <c r="R895" s="121"/>
      <c r="S895" s="121"/>
      <c r="T895" s="121"/>
      <c r="U895" s="121"/>
      <c r="V895" s="121"/>
      <c r="W895" s="121"/>
      <c r="X895" s="121"/>
      <c r="Y895" s="121"/>
      <c r="Z895" s="121"/>
      <c r="AA895" s="121"/>
    </row>
    <row r="896" customFormat="false" ht="15.75" hidden="false" customHeight="false" outlineLevel="0" collapsed="false">
      <c r="A896" s="121" t="str">
        <f aca="false">IF(ISBLANK(B896),"",B896&amp;"|"&amp;C896)</f>
        <v/>
      </c>
      <c r="B896" s="121"/>
      <c r="C896" s="121"/>
      <c r="D896" s="121"/>
      <c r="E896" s="127"/>
      <c r="F896" s="121"/>
      <c r="G896" s="121"/>
      <c r="H896" s="121"/>
      <c r="I896" s="121"/>
      <c r="J896" s="121"/>
      <c r="K896" s="121"/>
      <c r="L896" s="121"/>
      <c r="M896" s="121"/>
      <c r="N896" s="121"/>
      <c r="O896" s="121"/>
      <c r="P896" s="121"/>
      <c r="Q896" s="121"/>
      <c r="R896" s="121"/>
      <c r="S896" s="121"/>
      <c r="T896" s="121"/>
      <c r="U896" s="121"/>
      <c r="V896" s="121"/>
      <c r="W896" s="121"/>
      <c r="X896" s="121"/>
      <c r="Y896" s="121"/>
      <c r="Z896" s="121"/>
      <c r="AA896" s="121"/>
    </row>
    <row r="897" customFormat="false" ht="15.75" hidden="false" customHeight="false" outlineLevel="0" collapsed="false">
      <c r="A897" s="121" t="str">
        <f aca="false">IF(ISBLANK(B897),"",B897&amp;"|"&amp;C897)</f>
        <v/>
      </c>
      <c r="B897" s="121"/>
      <c r="C897" s="121"/>
      <c r="D897" s="121"/>
      <c r="E897" s="127"/>
      <c r="F897" s="121"/>
      <c r="G897" s="121"/>
      <c r="H897" s="121"/>
      <c r="I897" s="121"/>
      <c r="J897" s="121"/>
      <c r="K897" s="121"/>
      <c r="L897" s="121"/>
      <c r="M897" s="121"/>
      <c r="N897" s="121"/>
      <c r="O897" s="121"/>
      <c r="P897" s="121"/>
      <c r="Q897" s="121"/>
      <c r="R897" s="121"/>
      <c r="S897" s="121"/>
      <c r="T897" s="121"/>
      <c r="U897" s="121"/>
      <c r="V897" s="121"/>
      <c r="W897" s="121"/>
      <c r="X897" s="121"/>
      <c r="Y897" s="121"/>
      <c r="Z897" s="121"/>
      <c r="AA897" s="121"/>
    </row>
    <row r="898" customFormat="false" ht="15.75" hidden="false" customHeight="false" outlineLevel="0" collapsed="false">
      <c r="A898" s="121" t="str">
        <f aca="false">IF(ISBLANK(B898),"",B898&amp;"|"&amp;C898)</f>
        <v/>
      </c>
      <c r="B898" s="121"/>
      <c r="C898" s="121"/>
      <c r="D898" s="121"/>
      <c r="E898" s="127"/>
      <c r="F898" s="121"/>
      <c r="G898" s="121"/>
      <c r="H898" s="121"/>
      <c r="I898" s="121"/>
      <c r="J898" s="121"/>
      <c r="K898" s="121"/>
      <c r="L898" s="121"/>
      <c r="M898" s="121"/>
      <c r="N898" s="121"/>
      <c r="O898" s="121"/>
      <c r="P898" s="121"/>
      <c r="Q898" s="121"/>
      <c r="R898" s="121"/>
      <c r="S898" s="121"/>
      <c r="T898" s="121"/>
      <c r="U898" s="121"/>
      <c r="V898" s="121"/>
      <c r="W898" s="121"/>
      <c r="X898" s="121"/>
      <c r="Y898" s="121"/>
      <c r="Z898" s="121"/>
      <c r="AA898" s="121"/>
    </row>
    <row r="899" customFormat="false" ht="15.75" hidden="false" customHeight="false" outlineLevel="0" collapsed="false">
      <c r="A899" s="121" t="str">
        <f aca="false">IF(ISBLANK(B899),"",B899&amp;"|"&amp;C899)</f>
        <v/>
      </c>
      <c r="B899" s="121"/>
      <c r="C899" s="121"/>
      <c r="D899" s="121"/>
      <c r="E899" s="127"/>
      <c r="F899" s="121"/>
      <c r="G899" s="121"/>
      <c r="H899" s="121"/>
      <c r="I899" s="121"/>
      <c r="J899" s="121"/>
      <c r="K899" s="121"/>
      <c r="L899" s="121"/>
      <c r="M899" s="121"/>
      <c r="N899" s="121"/>
      <c r="O899" s="121"/>
      <c r="P899" s="121"/>
      <c r="Q899" s="121"/>
      <c r="R899" s="121"/>
      <c r="S899" s="121"/>
      <c r="T899" s="121"/>
      <c r="U899" s="121"/>
      <c r="V899" s="121"/>
      <c r="W899" s="121"/>
      <c r="X899" s="121"/>
      <c r="Y899" s="121"/>
      <c r="Z899" s="121"/>
      <c r="AA899" s="121"/>
    </row>
    <row r="900" customFormat="false" ht="15.75" hidden="false" customHeight="false" outlineLevel="0" collapsed="false">
      <c r="A900" s="121" t="str">
        <f aca="false">IF(ISBLANK(B900),"",B900&amp;"|"&amp;C900)</f>
        <v/>
      </c>
      <c r="B900" s="121"/>
      <c r="C900" s="121"/>
      <c r="D900" s="121"/>
      <c r="E900" s="127"/>
      <c r="F900" s="121"/>
      <c r="G900" s="121"/>
      <c r="H900" s="121"/>
      <c r="I900" s="121"/>
      <c r="J900" s="121"/>
      <c r="K900" s="121"/>
      <c r="L900" s="121"/>
      <c r="M900" s="121"/>
      <c r="N900" s="121"/>
      <c r="O900" s="121"/>
      <c r="P900" s="121"/>
      <c r="Q900" s="121"/>
      <c r="R900" s="121"/>
      <c r="S900" s="121"/>
      <c r="T900" s="121"/>
      <c r="U900" s="121"/>
      <c r="V900" s="121"/>
      <c r="W900" s="121"/>
      <c r="X900" s="121"/>
      <c r="Y900" s="121"/>
      <c r="Z900" s="121"/>
      <c r="AA900" s="121"/>
    </row>
    <row r="901" customFormat="false" ht="15.75" hidden="false" customHeight="false" outlineLevel="0" collapsed="false">
      <c r="A901" s="121" t="str">
        <f aca="false">IF(ISBLANK(B901),"",B901&amp;"|"&amp;C901)</f>
        <v/>
      </c>
      <c r="B901" s="121"/>
      <c r="C901" s="121"/>
      <c r="D901" s="121"/>
      <c r="E901" s="127"/>
      <c r="F901" s="121"/>
      <c r="G901" s="121"/>
      <c r="H901" s="121"/>
      <c r="I901" s="121"/>
      <c r="J901" s="121"/>
      <c r="K901" s="121"/>
      <c r="L901" s="121"/>
      <c r="M901" s="121"/>
      <c r="N901" s="121"/>
      <c r="O901" s="121"/>
      <c r="P901" s="121"/>
      <c r="Q901" s="121"/>
      <c r="R901" s="121"/>
      <c r="S901" s="121"/>
      <c r="T901" s="121"/>
      <c r="U901" s="121"/>
      <c r="V901" s="121"/>
      <c r="W901" s="121"/>
      <c r="X901" s="121"/>
      <c r="Y901" s="121"/>
      <c r="Z901" s="121"/>
      <c r="AA901" s="121"/>
    </row>
    <row r="902" customFormat="false" ht="15.75" hidden="false" customHeight="false" outlineLevel="0" collapsed="false">
      <c r="A902" s="121" t="str">
        <f aca="false">IF(ISBLANK(B902),"",B902&amp;"|"&amp;C902)</f>
        <v/>
      </c>
      <c r="B902" s="121"/>
      <c r="C902" s="121"/>
      <c r="D902" s="121"/>
      <c r="E902" s="127"/>
      <c r="F902" s="121"/>
      <c r="G902" s="121"/>
      <c r="H902" s="121"/>
      <c r="I902" s="121"/>
      <c r="J902" s="121"/>
      <c r="K902" s="121"/>
      <c r="L902" s="121"/>
      <c r="M902" s="121"/>
      <c r="N902" s="121"/>
      <c r="O902" s="121"/>
      <c r="P902" s="121"/>
      <c r="Q902" s="121"/>
      <c r="R902" s="121"/>
      <c r="S902" s="121"/>
      <c r="T902" s="121"/>
      <c r="U902" s="121"/>
      <c r="V902" s="121"/>
      <c r="W902" s="121"/>
      <c r="X902" s="121"/>
      <c r="Y902" s="121"/>
      <c r="Z902" s="121"/>
      <c r="AA902" s="121"/>
    </row>
    <row r="903" customFormat="false" ht="15.75" hidden="false" customHeight="false" outlineLevel="0" collapsed="false">
      <c r="A903" s="121" t="str">
        <f aca="false">IF(ISBLANK(B903),"",B903&amp;"|"&amp;C903)</f>
        <v/>
      </c>
      <c r="B903" s="121"/>
      <c r="C903" s="121"/>
      <c r="D903" s="121"/>
      <c r="E903" s="127"/>
      <c r="F903" s="121"/>
      <c r="G903" s="121"/>
      <c r="H903" s="121"/>
      <c r="I903" s="121"/>
      <c r="J903" s="121"/>
      <c r="K903" s="121"/>
      <c r="L903" s="121"/>
      <c r="M903" s="121"/>
      <c r="N903" s="121"/>
      <c r="O903" s="121"/>
      <c r="P903" s="121"/>
      <c r="Q903" s="121"/>
      <c r="R903" s="121"/>
      <c r="S903" s="121"/>
      <c r="T903" s="121"/>
      <c r="U903" s="121"/>
      <c r="V903" s="121"/>
      <c r="W903" s="121"/>
      <c r="X903" s="121"/>
      <c r="Y903" s="121"/>
      <c r="Z903" s="121"/>
      <c r="AA903" s="121"/>
    </row>
    <row r="904" customFormat="false" ht="15.75" hidden="false" customHeight="false" outlineLevel="0" collapsed="false">
      <c r="A904" s="121" t="str">
        <f aca="false">IF(ISBLANK(B904),"",B904&amp;"|"&amp;C904)</f>
        <v/>
      </c>
      <c r="B904" s="121"/>
      <c r="C904" s="121"/>
      <c r="D904" s="121"/>
      <c r="E904" s="127"/>
      <c r="F904" s="121"/>
      <c r="G904" s="121"/>
      <c r="H904" s="121"/>
      <c r="I904" s="121"/>
      <c r="J904" s="121"/>
      <c r="K904" s="121"/>
      <c r="L904" s="121"/>
      <c r="M904" s="121"/>
      <c r="N904" s="121"/>
      <c r="O904" s="121"/>
      <c r="P904" s="121"/>
      <c r="Q904" s="121"/>
      <c r="R904" s="121"/>
      <c r="S904" s="121"/>
      <c r="T904" s="121"/>
      <c r="U904" s="121"/>
      <c r="V904" s="121"/>
      <c r="W904" s="121"/>
      <c r="X904" s="121"/>
      <c r="Y904" s="121"/>
      <c r="Z904" s="121"/>
      <c r="AA904" s="121"/>
    </row>
    <row r="905" customFormat="false" ht="15.75" hidden="false" customHeight="false" outlineLevel="0" collapsed="false">
      <c r="A905" s="121" t="str">
        <f aca="false">IF(ISBLANK(B905),"",B905&amp;"|"&amp;C905)</f>
        <v/>
      </c>
      <c r="B905" s="121"/>
      <c r="C905" s="121"/>
      <c r="D905" s="121"/>
      <c r="E905" s="127"/>
      <c r="F905" s="121"/>
      <c r="G905" s="121"/>
      <c r="H905" s="121"/>
      <c r="I905" s="121"/>
      <c r="J905" s="121"/>
      <c r="K905" s="121"/>
      <c r="L905" s="121"/>
      <c r="M905" s="121"/>
      <c r="N905" s="121"/>
      <c r="O905" s="121"/>
      <c r="P905" s="121"/>
      <c r="Q905" s="121"/>
      <c r="R905" s="121"/>
      <c r="S905" s="121"/>
      <c r="T905" s="121"/>
      <c r="U905" s="121"/>
      <c r="V905" s="121"/>
      <c r="W905" s="121"/>
      <c r="X905" s="121"/>
      <c r="Y905" s="121"/>
      <c r="Z905" s="121"/>
      <c r="AA905" s="121"/>
    </row>
    <row r="906" customFormat="false" ht="15.75" hidden="false" customHeight="false" outlineLevel="0" collapsed="false">
      <c r="A906" s="121" t="str">
        <f aca="false">IF(ISBLANK(B906),"",B906&amp;"|"&amp;C906)</f>
        <v/>
      </c>
      <c r="B906" s="121"/>
      <c r="C906" s="121"/>
      <c r="D906" s="121"/>
      <c r="E906" s="127"/>
      <c r="F906" s="121"/>
      <c r="G906" s="121"/>
      <c r="H906" s="121"/>
      <c r="I906" s="121"/>
      <c r="J906" s="121"/>
      <c r="K906" s="121"/>
      <c r="L906" s="121"/>
      <c r="M906" s="121"/>
      <c r="N906" s="121"/>
      <c r="O906" s="121"/>
      <c r="P906" s="121"/>
      <c r="Q906" s="121"/>
      <c r="R906" s="121"/>
      <c r="S906" s="121"/>
      <c r="T906" s="121"/>
      <c r="U906" s="121"/>
      <c r="V906" s="121"/>
      <c r="W906" s="121"/>
      <c r="X906" s="121"/>
      <c r="Y906" s="121"/>
      <c r="Z906" s="121"/>
      <c r="AA906" s="121"/>
    </row>
    <row r="907" customFormat="false" ht="15.75" hidden="false" customHeight="false" outlineLevel="0" collapsed="false">
      <c r="A907" s="121" t="str">
        <f aca="false">IF(ISBLANK(B907),"",B907&amp;"|"&amp;C907)</f>
        <v/>
      </c>
      <c r="B907" s="121"/>
      <c r="C907" s="121"/>
      <c r="D907" s="121"/>
      <c r="E907" s="127"/>
      <c r="F907" s="121"/>
      <c r="G907" s="121"/>
      <c r="H907" s="121"/>
      <c r="I907" s="121"/>
      <c r="J907" s="121"/>
      <c r="K907" s="121"/>
      <c r="L907" s="121"/>
      <c r="M907" s="121"/>
      <c r="N907" s="121"/>
      <c r="O907" s="121"/>
      <c r="P907" s="121"/>
      <c r="Q907" s="121"/>
      <c r="R907" s="121"/>
      <c r="S907" s="121"/>
      <c r="T907" s="121"/>
      <c r="U907" s="121"/>
      <c r="V907" s="121"/>
      <c r="W907" s="121"/>
      <c r="X907" s="121"/>
      <c r="Y907" s="121"/>
      <c r="Z907" s="121"/>
      <c r="AA907" s="121"/>
    </row>
    <row r="908" customFormat="false" ht="15.75" hidden="false" customHeight="false" outlineLevel="0" collapsed="false">
      <c r="A908" s="121" t="str">
        <f aca="false">IF(ISBLANK(B908),"",B908&amp;"|"&amp;C908)</f>
        <v/>
      </c>
      <c r="B908" s="121"/>
      <c r="C908" s="121"/>
      <c r="D908" s="121"/>
      <c r="E908" s="127"/>
      <c r="F908" s="121"/>
      <c r="G908" s="121"/>
      <c r="H908" s="121"/>
      <c r="I908" s="121"/>
      <c r="J908" s="121"/>
      <c r="K908" s="121"/>
      <c r="L908" s="121"/>
      <c r="M908" s="121"/>
      <c r="N908" s="121"/>
      <c r="O908" s="121"/>
      <c r="P908" s="121"/>
      <c r="Q908" s="121"/>
      <c r="R908" s="121"/>
      <c r="S908" s="121"/>
      <c r="T908" s="121"/>
      <c r="U908" s="121"/>
      <c r="V908" s="121"/>
      <c r="W908" s="121"/>
      <c r="X908" s="121"/>
      <c r="Y908" s="121"/>
      <c r="Z908" s="121"/>
      <c r="AA908" s="121"/>
    </row>
    <row r="909" customFormat="false" ht="15.75" hidden="false" customHeight="false" outlineLevel="0" collapsed="false">
      <c r="A909" s="121" t="str">
        <f aca="false">IF(ISBLANK(B909),"",B909&amp;"|"&amp;C909)</f>
        <v/>
      </c>
      <c r="B909" s="121"/>
      <c r="C909" s="121"/>
      <c r="D909" s="121"/>
      <c r="E909" s="127"/>
      <c r="F909" s="121"/>
      <c r="G909" s="121"/>
      <c r="H909" s="121"/>
      <c r="I909" s="121"/>
      <c r="J909" s="121"/>
      <c r="K909" s="121"/>
      <c r="L909" s="121"/>
      <c r="M909" s="121"/>
      <c r="N909" s="121"/>
      <c r="O909" s="121"/>
      <c r="P909" s="121"/>
      <c r="Q909" s="121"/>
      <c r="R909" s="121"/>
      <c r="S909" s="121"/>
      <c r="T909" s="121"/>
      <c r="U909" s="121"/>
      <c r="V909" s="121"/>
      <c r="W909" s="121"/>
      <c r="X909" s="121"/>
      <c r="Y909" s="121"/>
      <c r="Z909" s="121"/>
      <c r="AA909" s="121"/>
    </row>
    <row r="910" customFormat="false" ht="15.75" hidden="false" customHeight="false" outlineLevel="0" collapsed="false">
      <c r="A910" s="121" t="str">
        <f aca="false">IF(ISBLANK(B910),"",B910&amp;"|"&amp;C910)</f>
        <v/>
      </c>
      <c r="B910" s="121"/>
      <c r="C910" s="121"/>
      <c r="D910" s="121"/>
      <c r="E910" s="127"/>
      <c r="F910" s="121"/>
      <c r="G910" s="121"/>
      <c r="H910" s="121"/>
      <c r="I910" s="121"/>
      <c r="J910" s="121"/>
      <c r="K910" s="121"/>
      <c r="L910" s="121"/>
      <c r="M910" s="121"/>
      <c r="N910" s="121"/>
      <c r="O910" s="121"/>
      <c r="P910" s="121"/>
      <c r="Q910" s="121"/>
      <c r="R910" s="121"/>
      <c r="S910" s="121"/>
      <c r="T910" s="121"/>
      <c r="U910" s="121"/>
      <c r="V910" s="121"/>
      <c r="W910" s="121"/>
      <c r="X910" s="121"/>
      <c r="Y910" s="121"/>
      <c r="Z910" s="121"/>
      <c r="AA910" s="121"/>
    </row>
    <row r="911" customFormat="false" ht="15.75" hidden="false" customHeight="false" outlineLevel="0" collapsed="false">
      <c r="A911" s="121" t="str">
        <f aca="false">IF(ISBLANK(B911),"",B911&amp;"|"&amp;C911)</f>
        <v/>
      </c>
      <c r="B911" s="121"/>
      <c r="C911" s="121"/>
      <c r="D911" s="121"/>
      <c r="E911" s="127"/>
      <c r="F911" s="121"/>
      <c r="G911" s="121"/>
      <c r="H911" s="121"/>
      <c r="I911" s="121"/>
      <c r="J911" s="121"/>
      <c r="K911" s="121"/>
      <c r="L911" s="121"/>
      <c r="M911" s="121"/>
      <c r="N911" s="121"/>
      <c r="O911" s="121"/>
      <c r="P911" s="121"/>
      <c r="Q911" s="121"/>
      <c r="R911" s="121"/>
      <c r="S911" s="121"/>
      <c r="T911" s="121"/>
      <c r="U911" s="121"/>
      <c r="V911" s="121"/>
      <c r="W911" s="121"/>
      <c r="X911" s="121"/>
      <c r="Y911" s="121"/>
      <c r="Z911" s="121"/>
      <c r="AA911" s="121"/>
    </row>
    <row r="912" customFormat="false" ht="15.75" hidden="false" customHeight="false" outlineLevel="0" collapsed="false">
      <c r="A912" s="121" t="str">
        <f aca="false">IF(ISBLANK(B912),"",B912&amp;"|"&amp;C912)</f>
        <v/>
      </c>
      <c r="B912" s="121"/>
      <c r="C912" s="121"/>
      <c r="D912" s="121"/>
      <c r="E912" s="127"/>
      <c r="F912" s="121"/>
      <c r="G912" s="121"/>
      <c r="H912" s="121"/>
      <c r="I912" s="121"/>
      <c r="J912" s="121"/>
      <c r="K912" s="121"/>
      <c r="L912" s="121"/>
      <c r="M912" s="121"/>
      <c r="N912" s="121"/>
      <c r="O912" s="121"/>
      <c r="P912" s="121"/>
      <c r="Q912" s="121"/>
      <c r="R912" s="121"/>
      <c r="S912" s="121"/>
      <c r="T912" s="121"/>
      <c r="U912" s="121"/>
      <c r="V912" s="121"/>
      <c r="W912" s="121"/>
      <c r="X912" s="121"/>
      <c r="Y912" s="121"/>
      <c r="Z912" s="121"/>
      <c r="AA912" s="121"/>
    </row>
    <row r="913" customFormat="false" ht="15.75" hidden="false" customHeight="false" outlineLevel="0" collapsed="false">
      <c r="A913" s="121" t="str">
        <f aca="false">IF(ISBLANK(B913),"",B913&amp;"|"&amp;C913)</f>
        <v/>
      </c>
      <c r="B913" s="121"/>
      <c r="C913" s="121"/>
      <c r="D913" s="121"/>
      <c r="E913" s="127"/>
      <c r="F913" s="121"/>
      <c r="G913" s="121"/>
      <c r="H913" s="121"/>
      <c r="I913" s="121"/>
      <c r="J913" s="121"/>
      <c r="K913" s="121"/>
      <c r="L913" s="121"/>
      <c r="M913" s="121"/>
      <c r="N913" s="121"/>
      <c r="O913" s="121"/>
      <c r="P913" s="121"/>
      <c r="Q913" s="121"/>
      <c r="R913" s="121"/>
      <c r="S913" s="121"/>
      <c r="T913" s="121"/>
      <c r="U913" s="121"/>
      <c r="V913" s="121"/>
      <c r="W913" s="121"/>
      <c r="X913" s="121"/>
      <c r="Y913" s="121"/>
      <c r="Z913" s="121"/>
      <c r="AA913" s="121"/>
    </row>
    <row r="914" customFormat="false" ht="15.75" hidden="false" customHeight="false" outlineLevel="0" collapsed="false">
      <c r="A914" s="121" t="str">
        <f aca="false">IF(ISBLANK(B914),"",B914&amp;"|"&amp;C914)</f>
        <v/>
      </c>
      <c r="B914" s="121"/>
      <c r="C914" s="121"/>
      <c r="D914" s="121"/>
      <c r="E914" s="127"/>
      <c r="F914" s="121"/>
      <c r="G914" s="121"/>
      <c r="H914" s="121"/>
      <c r="I914" s="121"/>
      <c r="J914" s="121"/>
      <c r="K914" s="121"/>
      <c r="L914" s="121"/>
      <c r="M914" s="121"/>
      <c r="N914" s="121"/>
      <c r="O914" s="121"/>
      <c r="P914" s="121"/>
      <c r="Q914" s="121"/>
      <c r="R914" s="121"/>
      <c r="S914" s="121"/>
      <c r="T914" s="121"/>
      <c r="U914" s="121"/>
      <c r="V914" s="121"/>
      <c r="W914" s="121"/>
      <c r="X914" s="121"/>
      <c r="Y914" s="121"/>
      <c r="Z914" s="121"/>
      <c r="AA914" s="121"/>
    </row>
    <row r="915" customFormat="false" ht="15.75" hidden="false" customHeight="false" outlineLevel="0" collapsed="false">
      <c r="A915" s="121" t="str">
        <f aca="false">IF(ISBLANK(B915),"",B915&amp;"|"&amp;C915)</f>
        <v/>
      </c>
      <c r="B915" s="121"/>
      <c r="C915" s="121"/>
      <c r="D915" s="121"/>
      <c r="E915" s="127"/>
      <c r="F915" s="121"/>
      <c r="G915" s="121"/>
      <c r="H915" s="121"/>
      <c r="I915" s="121"/>
      <c r="J915" s="121"/>
      <c r="K915" s="121"/>
      <c r="L915" s="121"/>
      <c r="M915" s="121"/>
      <c r="N915" s="121"/>
      <c r="O915" s="121"/>
      <c r="P915" s="121"/>
      <c r="Q915" s="121"/>
      <c r="R915" s="121"/>
      <c r="S915" s="121"/>
      <c r="T915" s="121"/>
      <c r="U915" s="121"/>
      <c r="V915" s="121"/>
      <c r="W915" s="121"/>
      <c r="X915" s="121"/>
      <c r="Y915" s="121"/>
      <c r="Z915" s="121"/>
      <c r="AA915" s="121"/>
    </row>
    <row r="916" customFormat="false" ht="15.75" hidden="false" customHeight="false" outlineLevel="0" collapsed="false">
      <c r="A916" s="121" t="str">
        <f aca="false">IF(ISBLANK(B916),"",B916&amp;"|"&amp;C916)</f>
        <v/>
      </c>
      <c r="B916" s="121"/>
      <c r="C916" s="121"/>
      <c r="D916" s="121"/>
      <c r="E916" s="127"/>
      <c r="F916" s="121"/>
      <c r="G916" s="121"/>
      <c r="H916" s="121"/>
      <c r="I916" s="121"/>
      <c r="J916" s="121"/>
      <c r="K916" s="121"/>
      <c r="L916" s="121"/>
      <c r="M916" s="121"/>
      <c r="N916" s="121"/>
      <c r="O916" s="121"/>
      <c r="P916" s="121"/>
      <c r="Q916" s="121"/>
      <c r="R916" s="121"/>
      <c r="S916" s="121"/>
      <c r="T916" s="121"/>
      <c r="U916" s="121"/>
      <c r="V916" s="121"/>
      <c r="W916" s="121"/>
      <c r="X916" s="121"/>
      <c r="Y916" s="121"/>
      <c r="Z916" s="121"/>
      <c r="AA916" s="121"/>
    </row>
    <row r="917" customFormat="false" ht="15.75" hidden="false" customHeight="false" outlineLevel="0" collapsed="false">
      <c r="A917" s="121" t="str">
        <f aca="false">IF(ISBLANK(B917),"",B917&amp;"|"&amp;C917)</f>
        <v/>
      </c>
      <c r="B917" s="121"/>
      <c r="C917" s="121"/>
      <c r="D917" s="121"/>
      <c r="E917" s="127"/>
      <c r="F917" s="121"/>
      <c r="G917" s="121"/>
      <c r="H917" s="121"/>
      <c r="I917" s="121"/>
      <c r="J917" s="121"/>
      <c r="K917" s="121"/>
      <c r="L917" s="121"/>
      <c r="M917" s="121"/>
      <c r="N917" s="121"/>
      <c r="O917" s="121"/>
      <c r="P917" s="121"/>
      <c r="Q917" s="121"/>
      <c r="R917" s="121"/>
      <c r="S917" s="121"/>
      <c r="T917" s="121"/>
      <c r="U917" s="121"/>
      <c r="V917" s="121"/>
      <c r="W917" s="121"/>
      <c r="X917" s="121"/>
      <c r="Y917" s="121"/>
      <c r="Z917" s="121"/>
      <c r="AA917" s="121"/>
    </row>
    <row r="918" customFormat="false" ht="15.75" hidden="false" customHeight="false" outlineLevel="0" collapsed="false">
      <c r="A918" s="121" t="str">
        <f aca="false">IF(ISBLANK(B918),"",B918&amp;"|"&amp;C918)</f>
        <v/>
      </c>
      <c r="B918" s="121"/>
      <c r="C918" s="121"/>
      <c r="D918" s="121"/>
      <c r="E918" s="127"/>
      <c r="F918" s="121"/>
      <c r="G918" s="121"/>
      <c r="H918" s="121"/>
      <c r="I918" s="121"/>
      <c r="J918" s="121"/>
      <c r="K918" s="121"/>
      <c r="L918" s="121"/>
      <c r="M918" s="121"/>
      <c r="N918" s="121"/>
      <c r="O918" s="121"/>
      <c r="P918" s="121"/>
      <c r="Q918" s="121"/>
      <c r="R918" s="121"/>
      <c r="S918" s="121"/>
      <c r="T918" s="121"/>
      <c r="U918" s="121"/>
      <c r="V918" s="121"/>
      <c r="W918" s="121"/>
      <c r="X918" s="121"/>
      <c r="Y918" s="121"/>
      <c r="Z918" s="121"/>
      <c r="AA918" s="121"/>
    </row>
    <row r="919" customFormat="false" ht="15.75" hidden="false" customHeight="false" outlineLevel="0" collapsed="false">
      <c r="A919" s="121" t="str">
        <f aca="false">IF(ISBLANK(B919),"",B919&amp;"|"&amp;C919)</f>
        <v/>
      </c>
      <c r="B919" s="121"/>
      <c r="C919" s="121"/>
      <c r="D919" s="121"/>
      <c r="E919" s="127"/>
      <c r="F919" s="121"/>
      <c r="G919" s="121"/>
      <c r="H919" s="121"/>
      <c r="I919" s="121"/>
      <c r="J919" s="121"/>
      <c r="K919" s="121"/>
      <c r="L919" s="121"/>
      <c r="M919" s="121"/>
      <c r="N919" s="121"/>
      <c r="O919" s="121"/>
      <c r="P919" s="121"/>
      <c r="Q919" s="121"/>
      <c r="R919" s="121"/>
      <c r="S919" s="121"/>
      <c r="T919" s="121"/>
      <c r="U919" s="121"/>
      <c r="V919" s="121"/>
      <c r="W919" s="121"/>
      <c r="X919" s="121"/>
      <c r="Y919" s="121"/>
      <c r="Z919" s="121"/>
      <c r="AA919" s="121"/>
    </row>
    <row r="920" customFormat="false" ht="15.75" hidden="false" customHeight="false" outlineLevel="0" collapsed="false">
      <c r="A920" s="121" t="str">
        <f aca="false">IF(ISBLANK(B920),"",B920&amp;"|"&amp;C920)</f>
        <v/>
      </c>
      <c r="B920" s="121"/>
      <c r="C920" s="121"/>
      <c r="D920" s="121"/>
      <c r="E920" s="127"/>
      <c r="F920" s="121"/>
      <c r="G920" s="121"/>
      <c r="H920" s="121"/>
      <c r="I920" s="121"/>
      <c r="J920" s="121"/>
      <c r="K920" s="121"/>
      <c r="L920" s="121"/>
      <c r="M920" s="121"/>
      <c r="N920" s="121"/>
      <c r="O920" s="121"/>
      <c r="P920" s="121"/>
      <c r="Q920" s="121"/>
      <c r="R920" s="121"/>
      <c r="S920" s="121"/>
      <c r="T920" s="121"/>
      <c r="U920" s="121"/>
      <c r="V920" s="121"/>
      <c r="W920" s="121"/>
      <c r="X920" s="121"/>
      <c r="Y920" s="121"/>
      <c r="Z920" s="121"/>
      <c r="AA920" s="121"/>
    </row>
    <row r="921" customFormat="false" ht="15.75" hidden="false" customHeight="false" outlineLevel="0" collapsed="false">
      <c r="A921" s="121" t="str">
        <f aca="false">IF(ISBLANK(B921),"",B921&amp;"|"&amp;C921)</f>
        <v/>
      </c>
      <c r="B921" s="121"/>
      <c r="C921" s="121"/>
      <c r="D921" s="121"/>
      <c r="E921" s="127"/>
      <c r="F921" s="121"/>
      <c r="G921" s="121"/>
      <c r="H921" s="121"/>
      <c r="I921" s="121"/>
      <c r="J921" s="121"/>
      <c r="K921" s="121"/>
      <c r="L921" s="121"/>
      <c r="M921" s="121"/>
      <c r="N921" s="121"/>
      <c r="O921" s="121"/>
      <c r="P921" s="121"/>
      <c r="Q921" s="121"/>
      <c r="R921" s="121"/>
      <c r="S921" s="121"/>
      <c r="T921" s="121"/>
      <c r="U921" s="121"/>
      <c r="V921" s="121"/>
      <c r="W921" s="121"/>
      <c r="X921" s="121"/>
      <c r="Y921" s="121"/>
      <c r="Z921" s="121"/>
      <c r="AA921" s="121"/>
    </row>
    <row r="922" customFormat="false" ht="15.75" hidden="false" customHeight="false" outlineLevel="0" collapsed="false">
      <c r="A922" s="121" t="str">
        <f aca="false">IF(ISBLANK(B922),"",B922&amp;"|"&amp;C922)</f>
        <v/>
      </c>
      <c r="B922" s="121"/>
      <c r="C922" s="121"/>
      <c r="D922" s="121"/>
      <c r="E922" s="127"/>
      <c r="F922" s="121"/>
      <c r="G922" s="121"/>
      <c r="H922" s="121"/>
      <c r="I922" s="121"/>
      <c r="J922" s="121"/>
      <c r="K922" s="121"/>
      <c r="L922" s="121"/>
      <c r="M922" s="121"/>
      <c r="N922" s="121"/>
      <c r="O922" s="121"/>
      <c r="P922" s="121"/>
      <c r="Q922" s="121"/>
      <c r="R922" s="121"/>
      <c r="S922" s="121"/>
      <c r="T922" s="121"/>
      <c r="U922" s="121"/>
      <c r="V922" s="121"/>
      <c r="W922" s="121"/>
      <c r="X922" s="121"/>
      <c r="Y922" s="121"/>
      <c r="Z922" s="121"/>
      <c r="AA922" s="121"/>
    </row>
    <row r="923" customFormat="false" ht="15.75" hidden="false" customHeight="false" outlineLevel="0" collapsed="false">
      <c r="A923" s="121" t="str">
        <f aca="false">IF(ISBLANK(B923),"",B923&amp;"|"&amp;C923)</f>
        <v/>
      </c>
      <c r="B923" s="121"/>
      <c r="C923" s="121"/>
      <c r="D923" s="121"/>
      <c r="E923" s="127"/>
      <c r="F923" s="121"/>
      <c r="G923" s="121"/>
      <c r="H923" s="121"/>
      <c r="I923" s="121"/>
      <c r="J923" s="121"/>
      <c r="K923" s="121"/>
      <c r="L923" s="121"/>
      <c r="M923" s="121"/>
      <c r="N923" s="121"/>
      <c r="O923" s="121"/>
      <c r="P923" s="121"/>
      <c r="Q923" s="121"/>
      <c r="R923" s="121"/>
      <c r="S923" s="121"/>
      <c r="T923" s="121"/>
      <c r="U923" s="121"/>
      <c r="V923" s="121"/>
      <c r="W923" s="121"/>
      <c r="X923" s="121"/>
      <c r="Y923" s="121"/>
      <c r="Z923" s="121"/>
      <c r="AA923" s="121"/>
    </row>
    <row r="924" customFormat="false" ht="15.75" hidden="false" customHeight="false" outlineLevel="0" collapsed="false">
      <c r="A924" s="121" t="str">
        <f aca="false">IF(ISBLANK(B924),"",B924&amp;"|"&amp;C924)</f>
        <v/>
      </c>
      <c r="B924" s="121"/>
      <c r="C924" s="121"/>
      <c r="D924" s="121"/>
      <c r="E924" s="127"/>
      <c r="F924" s="121"/>
      <c r="G924" s="121"/>
      <c r="H924" s="121"/>
      <c r="I924" s="121"/>
      <c r="J924" s="121"/>
      <c r="K924" s="121"/>
      <c r="L924" s="121"/>
      <c r="M924" s="121"/>
      <c r="N924" s="121"/>
      <c r="O924" s="121"/>
      <c r="P924" s="121"/>
      <c r="Q924" s="121"/>
      <c r="R924" s="121"/>
      <c r="S924" s="121"/>
      <c r="T924" s="121"/>
      <c r="U924" s="121"/>
      <c r="V924" s="121"/>
      <c r="W924" s="121"/>
      <c r="X924" s="121"/>
      <c r="Y924" s="121"/>
      <c r="Z924" s="121"/>
      <c r="AA924" s="121"/>
    </row>
    <row r="925" customFormat="false" ht="15.75" hidden="false" customHeight="false" outlineLevel="0" collapsed="false">
      <c r="A925" s="121" t="str">
        <f aca="false">IF(ISBLANK(B925),"",B925&amp;"|"&amp;C925)</f>
        <v/>
      </c>
      <c r="B925" s="121"/>
      <c r="C925" s="121"/>
      <c r="D925" s="121"/>
      <c r="E925" s="127"/>
      <c r="F925" s="121"/>
      <c r="G925" s="121"/>
      <c r="H925" s="121"/>
      <c r="I925" s="121"/>
      <c r="J925" s="121"/>
      <c r="K925" s="121"/>
      <c r="L925" s="121"/>
      <c r="M925" s="121"/>
      <c r="N925" s="121"/>
      <c r="O925" s="121"/>
      <c r="P925" s="121"/>
      <c r="Q925" s="121"/>
      <c r="R925" s="121"/>
      <c r="S925" s="121"/>
      <c r="T925" s="121"/>
      <c r="U925" s="121"/>
      <c r="V925" s="121"/>
      <c r="W925" s="121"/>
      <c r="X925" s="121"/>
      <c r="Y925" s="121"/>
      <c r="Z925" s="121"/>
      <c r="AA925" s="121"/>
    </row>
    <row r="926" customFormat="false" ht="15.75" hidden="false" customHeight="false" outlineLevel="0" collapsed="false">
      <c r="A926" s="121" t="str">
        <f aca="false">IF(ISBLANK(B926),"",B926&amp;"|"&amp;C926)</f>
        <v/>
      </c>
      <c r="B926" s="121"/>
      <c r="C926" s="121"/>
      <c r="D926" s="121"/>
      <c r="E926" s="127"/>
      <c r="F926" s="121"/>
      <c r="G926" s="121"/>
      <c r="H926" s="121"/>
      <c r="I926" s="121"/>
      <c r="J926" s="121"/>
      <c r="K926" s="121"/>
      <c r="L926" s="121"/>
      <c r="M926" s="121"/>
      <c r="N926" s="121"/>
      <c r="O926" s="121"/>
      <c r="P926" s="121"/>
      <c r="Q926" s="121"/>
      <c r="R926" s="121"/>
      <c r="S926" s="121"/>
      <c r="T926" s="121"/>
      <c r="U926" s="121"/>
      <c r="V926" s="121"/>
      <c r="W926" s="121"/>
      <c r="X926" s="121"/>
      <c r="Y926" s="121"/>
      <c r="Z926" s="121"/>
      <c r="AA926" s="121"/>
    </row>
    <row r="927" customFormat="false" ht="15.75" hidden="false" customHeight="false" outlineLevel="0" collapsed="false">
      <c r="A927" s="121" t="str">
        <f aca="false">IF(ISBLANK(B927),"",B927&amp;"|"&amp;C927)</f>
        <v/>
      </c>
      <c r="B927" s="121"/>
      <c r="C927" s="121"/>
      <c r="D927" s="121"/>
      <c r="E927" s="127"/>
      <c r="F927" s="121"/>
      <c r="G927" s="121"/>
      <c r="H927" s="121"/>
      <c r="I927" s="121"/>
      <c r="J927" s="121"/>
      <c r="K927" s="121"/>
      <c r="L927" s="121"/>
      <c r="M927" s="121"/>
      <c r="N927" s="121"/>
      <c r="O927" s="121"/>
      <c r="P927" s="121"/>
      <c r="Q927" s="121"/>
      <c r="R927" s="121"/>
      <c r="S927" s="121"/>
      <c r="T927" s="121"/>
      <c r="U927" s="121"/>
      <c r="V927" s="121"/>
      <c r="W927" s="121"/>
      <c r="X927" s="121"/>
      <c r="Y927" s="121"/>
      <c r="Z927" s="121"/>
      <c r="AA927" s="121"/>
    </row>
    <row r="928" customFormat="false" ht="15.75" hidden="false" customHeight="false" outlineLevel="0" collapsed="false">
      <c r="A928" s="121" t="str">
        <f aca="false">IF(ISBLANK(B928),"",B928&amp;"|"&amp;C928)</f>
        <v/>
      </c>
      <c r="B928" s="121"/>
      <c r="C928" s="121"/>
      <c r="D928" s="121"/>
      <c r="E928" s="127"/>
      <c r="F928" s="121"/>
      <c r="G928" s="121"/>
      <c r="H928" s="121"/>
      <c r="I928" s="121"/>
      <c r="J928" s="121"/>
      <c r="K928" s="121"/>
      <c r="L928" s="121"/>
      <c r="M928" s="121"/>
      <c r="N928" s="121"/>
      <c r="O928" s="121"/>
      <c r="P928" s="121"/>
      <c r="Q928" s="121"/>
      <c r="R928" s="121"/>
      <c r="S928" s="121"/>
      <c r="T928" s="121"/>
      <c r="U928" s="121"/>
      <c r="V928" s="121"/>
      <c r="W928" s="121"/>
      <c r="X928" s="121"/>
      <c r="Y928" s="121"/>
      <c r="Z928" s="121"/>
      <c r="AA928" s="121"/>
    </row>
    <row r="929" customFormat="false" ht="15.75" hidden="false" customHeight="false" outlineLevel="0" collapsed="false">
      <c r="A929" s="121" t="str">
        <f aca="false">IF(ISBLANK(B929),"",B929&amp;"|"&amp;C929)</f>
        <v/>
      </c>
      <c r="B929" s="121"/>
      <c r="C929" s="121"/>
      <c r="D929" s="121"/>
      <c r="E929" s="127"/>
      <c r="F929" s="121"/>
      <c r="G929" s="121"/>
      <c r="H929" s="121"/>
      <c r="I929" s="121"/>
      <c r="J929" s="121"/>
      <c r="K929" s="121"/>
      <c r="L929" s="121"/>
      <c r="M929" s="121"/>
      <c r="N929" s="121"/>
      <c r="O929" s="121"/>
      <c r="P929" s="121"/>
      <c r="Q929" s="121"/>
      <c r="R929" s="121"/>
      <c r="S929" s="121"/>
      <c r="T929" s="121"/>
      <c r="U929" s="121"/>
      <c r="V929" s="121"/>
      <c r="W929" s="121"/>
      <c r="X929" s="121"/>
      <c r="Y929" s="121"/>
      <c r="Z929" s="121"/>
      <c r="AA929" s="121"/>
    </row>
    <row r="930" customFormat="false" ht="15.75" hidden="false" customHeight="false" outlineLevel="0" collapsed="false">
      <c r="A930" s="121" t="str">
        <f aca="false">IF(ISBLANK(B930),"",B930&amp;"|"&amp;C930)</f>
        <v/>
      </c>
      <c r="B930" s="121"/>
      <c r="C930" s="121"/>
      <c r="D930" s="121"/>
      <c r="E930" s="127"/>
      <c r="F930" s="121"/>
      <c r="G930" s="121"/>
      <c r="H930" s="121"/>
      <c r="I930" s="121"/>
      <c r="J930" s="121"/>
      <c r="K930" s="121"/>
      <c r="L930" s="121"/>
      <c r="M930" s="121"/>
      <c r="N930" s="121"/>
      <c r="O930" s="121"/>
      <c r="P930" s="121"/>
      <c r="Q930" s="121"/>
      <c r="R930" s="121"/>
      <c r="S930" s="121"/>
      <c r="T930" s="121"/>
      <c r="U930" s="121"/>
      <c r="V930" s="121"/>
      <c r="W930" s="121"/>
      <c r="X930" s="121"/>
      <c r="Y930" s="121"/>
      <c r="Z930" s="121"/>
      <c r="AA930" s="121"/>
    </row>
    <row r="931" customFormat="false" ht="15.75" hidden="false" customHeight="false" outlineLevel="0" collapsed="false">
      <c r="A931" s="121" t="str">
        <f aca="false">IF(ISBLANK(B931),"",B931&amp;"|"&amp;C931)</f>
        <v/>
      </c>
      <c r="B931" s="121"/>
      <c r="C931" s="121"/>
      <c r="D931" s="121"/>
      <c r="E931" s="127"/>
      <c r="F931" s="121"/>
      <c r="G931" s="121"/>
      <c r="H931" s="121"/>
      <c r="I931" s="121"/>
      <c r="J931" s="121"/>
      <c r="K931" s="121"/>
      <c r="L931" s="121"/>
      <c r="M931" s="121"/>
      <c r="N931" s="121"/>
      <c r="O931" s="121"/>
      <c r="P931" s="121"/>
      <c r="Q931" s="121"/>
      <c r="R931" s="121"/>
      <c r="S931" s="121"/>
      <c r="T931" s="121"/>
      <c r="U931" s="121"/>
      <c r="V931" s="121"/>
      <c r="W931" s="121"/>
      <c r="X931" s="121"/>
      <c r="Y931" s="121"/>
      <c r="Z931" s="121"/>
      <c r="AA931" s="121"/>
    </row>
    <row r="932" customFormat="false" ht="15.75" hidden="false" customHeight="false" outlineLevel="0" collapsed="false">
      <c r="A932" s="121" t="str">
        <f aca="false">IF(ISBLANK(B932),"",B932&amp;"|"&amp;C932)</f>
        <v/>
      </c>
      <c r="B932" s="121"/>
      <c r="C932" s="121"/>
      <c r="D932" s="121"/>
      <c r="E932" s="127"/>
      <c r="F932" s="121"/>
      <c r="G932" s="121"/>
      <c r="H932" s="121"/>
      <c r="I932" s="121"/>
      <c r="J932" s="121"/>
      <c r="K932" s="121"/>
      <c r="L932" s="121"/>
      <c r="M932" s="121"/>
      <c r="N932" s="121"/>
      <c r="O932" s="121"/>
      <c r="P932" s="121"/>
      <c r="Q932" s="121"/>
      <c r="R932" s="121"/>
      <c r="S932" s="121"/>
      <c r="T932" s="121"/>
      <c r="U932" s="121"/>
      <c r="V932" s="121"/>
      <c r="W932" s="121"/>
      <c r="X932" s="121"/>
      <c r="Y932" s="121"/>
      <c r="Z932" s="121"/>
      <c r="AA932" s="121"/>
    </row>
    <row r="933" customFormat="false" ht="15.75" hidden="false" customHeight="false" outlineLevel="0" collapsed="false">
      <c r="A933" s="121" t="str">
        <f aca="false">IF(ISBLANK(B933),"",B933&amp;"|"&amp;C933)</f>
        <v/>
      </c>
      <c r="B933" s="121"/>
      <c r="C933" s="121"/>
      <c r="D933" s="121"/>
      <c r="E933" s="127"/>
      <c r="F933" s="121"/>
      <c r="G933" s="121"/>
      <c r="H933" s="121"/>
      <c r="I933" s="121"/>
      <c r="J933" s="121"/>
      <c r="K933" s="121"/>
      <c r="L933" s="121"/>
      <c r="M933" s="121"/>
      <c r="N933" s="121"/>
      <c r="O933" s="121"/>
      <c r="P933" s="121"/>
      <c r="Q933" s="121"/>
      <c r="R933" s="121"/>
      <c r="S933" s="121"/>
      <c r="T933" s="121"/>
      <c r="U933" s="121"/>
      <c r="V933" s="121"/>
      <c r="W933" s="121"/>
      <c r="X933" s="121"/>
      <c r="Y933" s="121"/>
      <c r="Z933" s="121"/>
      <c r="AA933" s="121"/>
    </row>
    <row r="934" customFormat="false" ht="15.75" hidden="false" customHeight="false" outlineLevel="0" collapsed="false">
      <c r="A934" s="121" t="str">
        <f aca="false">IF(ISBLANK(B934),"",B934&amp;"|"&amp;C934)</f>
        <v/>
      </c>
      <c r="B934" s="121"/>
      <c r="C934" s="121"/>
      <c r="D934" s="121"/>
      <c r="E934" s="127"/>
      <c r="F934" s="121"/>
      <c r="G934" s="121"/>
      <c r="H934" s="121"/>
      <c r="I934" s="121"/>
      <c r="J934" s="121"/>
      <c r="K934" s="121"/>
      <c r="L934" s="121"/>
      <c r="M934" s="121"/>
      <c r="N934" s="121"/>
      <c r="O934" s="121"/>
      <c r="P934" s="121"/>
      <c r="Q934" s="121"/>
      <c r="R934" s="121"/>
      <c r="S934" s="121"/>
      <c r="T934" s="121"/>
      <c r="U934" s="121"/>
      <c r="V934" s="121"/>
      <c r="W934" s="121"/>
      <c r="X934" s="121"/>
      <c r="Y934" s="121"/>
      <c r="Z934" s="121"/>
      <c r="AA934" s="121"/>
    </row>
    <row r="935" customFormat="false" ht="15.75" hidden="false" customHeight="false" outlineLevel="0" collapsed="false">
      <c r="A935" s="121" t="str">
        <f aca="false">IF(ISBLANK(B935),"",B935&amp;"|"&amp;C935)</f>
        <v/>
      </c>
      <c r="B935" s="121"/>
      <c r="C935" s="121"/>
      <c r="D935" s="121"/>
      <c r="E935" s="127"/>
      <c r="F935" s="121"/>
      <c r="G935" s="121"/>
      <c r="H935" s="121"/>
      <c r="I935" s="121"/>
      <c r="J935" s="121"/>
      <c r="K935" s="121"/>
      <c r="L935" s="121"/>
      <c r="M935" s="121"/>
      <c r="N935" s="121"/>
      <c r="O935" s="121"/>
      <c r="P935" s="121"/>
      <c r="Q935" s="121"/>
      <c r="R935" s="121"/>
      <c r="S935" s="121"/>
      <c r="T935" s="121"/>
      <c r="U935" s="121"/>
      <c r="V935" s="121"/>
      <c r="W935" s="121"/>
      <c r="X935" s="121"/>
      <c r="Y935" s="121"/>
      <c r="Z935" s="121"/>
      <c r="AA935" s="121"/>
    </row>
    <row r="936" customFormat="false" ht="15.75" hidden="false" customHeight="false" outlineLevel="0" collapsed="false">
      <c r="A936" s="121" t="str">
        <f aca="false">IF(ISBLANK(B936),"",B936&amp;"|"&amp;C936)</f>
        <v/>
      </c>
      <c r="B936" s="121"/>
      <c r="C936" s="121"/>
      <c r="D936" s="121"/>
      <c r="E936" s="127"/>
      <c r="F936" s="121"/>
      <c r="G936" s="121"/>
      <c r="H936" s="121"/>
      <c r="I936" s="121"/>
      <c r="J936" s="121"/>
      <c r="K936" s="121"/>
      <c r="L936" s="121"/>
      <c r="M936" s="121"/>
      <c r="N936" s="121"/>
      <c r="O936" s="121"/>
      <c r="P936" s="121"/>
      <c r="Q936" s="121"/>
      <c r="R936" s="121"/>
      <c r="S936" s="121"/>
      <c r="T936" s="121"/>
      <c r="U936" s="121"/>
      <c r="V936" s="121"/>
      <c r="W936" s="121"/>
      <c r="X936" s="121"/>
      <c r="Y936" s="121"/>
      <c r="Z936" s="121"/>
      <c r="AA936" s="121"/>
    </row>
    <row r="937" customFormat="false" ht="15.75" hidden="false" customHeight="false" outlineLevel="0" collapsed="false">
      <c r="A937" s="121" t="str">
        <f aca="false">IF(ISBLANK(B937),"",B937&amp;"|"&amp;C937)</f>
        <v/>
      </c>
      <c r="B937" s="121"/>
      <c r="C937" s="121"/>
      <c r="D937" s="121"/>
      <c r="E937" s="127"/>
      <c r="F937" s="121"/>
      <c r="G937" s="121"/>
      <c r="H937" s="121"/>
      <c r="I937" s="121"/>
      <c r="J937" s="121"/>
      <c r="K937" s="121"/>
      <c r="L937" s="121"/>
      <c r="M937" s="121"/>
      <c r="N937" s="121"/>
      <c r="O937" s="121"/>
      <c r="P937" s="121"/>
      <c r="Q937" s="121"/>
      <c r="R937" s="121"/>
      <c r="S937" s="121"/>
      <c r="T937" s="121"/>
      <c r="U937" s="121"/>
      <c r="V937" s="121"/>
      <c r="W937" s="121"/>
      <c r="X937" s="121"/>
      <c r="Y937" s="121"/>
      <c r="Z937" s="121"/>
      <c r="AA937" s="121"/>
    </row>
    <row r="938" customFormat="false" ht="15.75" hidden="false" customHeight="false" outlineLevel="0" collapsed="false">
      <c r="A938" s="121" t="str">
        <f aca="false">IF(ISBLANK(B938),"",B938&amp;"|"&amp;C938)</f>
        <v/>
      </c>
      <c r="B938" s="121"/>
      <c r="C938" s="121"/>
      <c r="D938" s="121"/>
      <c r="E938" s="127"/>
      <c r="F938" s="121"/>
      <c r="G938" s="121"/>
      <c r="H938" s="121"/>
      <c r="I938" s="121"/>
      <c r="J938" s="121"/>
      <c r="K938" s="121"/>
      <c r="L938" s="121"/>
      <c r="M938" s="121"/>
      <c r="N938" s="121"/>
      <c r="O938" s="121"/>
      <c r="P938" s="121"/>
      <c r="Q938" s="121"/>
      <c r="R938" s="121"/>
      <c r="S938" s="121"/>
      <c r="T938" s="121"/>
      <c r="U938" s="121"/>
      <c r="V938" s="121"/>
      <c r="W938" s="121"/>
      <c r="X938" s="121"/>
      <c r="Y938" s="121"/>
      <c r="Z938" s="121"/>
      <c r="AA938" s="121"/>
    </row>
    <row r="939" customFormat="false" ht="15.75" hidden="false" customHeight="false" outlineLevel="0" collapsed="false">
      <c r="A939" s="121" t="str">
        <f aca="false">IF(ISBLANK(B939),"",B939&amp;"|"&amp;C939)</f>
        <v/>
      </c>
      <c r="B939" s="121"/>
      <c r="C939" s="121"/>
      <c r="D939" s="121"/>
      <c r="E939" s="127"/>
      <c r="F939" s="121"/>
      <c r="G939" s="121"/>
      <c r="H939" s="121"/>
      <c r="I939" s="121"/>
      <c r="J939" s="121"/>
      <c r="K939" s="121"/>
      <c r="L939" s="121"/>
      <c r="M939" s="121"/>
      <c r="N939" s="121"/>
      <c r="O939" s="121"/>
      <c r="P939" s="121"/>
      <c r="Q939" s="121"/>
      <c r="R939" s="121"/>
      <c r="S939" s="121"/>
      <c r="T939" s="121"/>
      <c r="U939" s="121"/>
      <c r="V939" s="121"/>
      <c r="W939" s="121"/>
      <c r="X939" s="121"/>
      <c r="Y939" s="121"/>
      <c r="Z939" s="121"/>
      <c r="AA939" s="121"/>
    </row>
    <row r="940" customFormat="false" ht="15.75" hidden="false" customHeight="false" outlineLevel="0" collapsed="false">
      <c r="A940" s="121" t="str">
        <f aca="false">IF(ISBLANK(B940),"",B940&amp;"|"&amp;C940)</f>
        <v/>
      </c>
      <c r="B940" s="121"/>
      <c r="C940" s="121"/>
      <c r="D940" s="121"/>
      <c r="E940" s="127"/>
      <c r="F940" s="121"/>
      <c r="G940" s="121"/>
      <c r="H940" s="121"/>
      <c r="I940" s="121"/>
      <c r="J940" s="121"/>
      <c r="K940" s="121"/>
      <c r="L940" s="121"/>
      <c r="M940" s="121"/>
      <c r="N940" s="121"/>
      <c r="O940" s="121"/>
      <c r="P940" s="121"/>
      <c r="Q940" s="121"/>
      <c r="R940" s="121"/>
      <c r="S940" s="121"/>
      <c r="T940" s="121"/>
      <c r="U940" s="121"/>
      <c r="V940" s="121"/>
      <c r="W940" s="121"/>
      <c r="X940" s="121"/>
      <c r="Y940" s="121"/>
      <c r="Z940" s="121"/>
      <c r="AA940" s="121"/>
    </row>
    <row r="941" customFormat="false" ht="15.75" hidden="false" customHeight="false" outlineLevel="0" collapsed="false">
      <c r="A941" s="121" t="str">
        <f aca="false">IF(ISBLANK(B941),"",B941&amp;"|"&amp;C941)</f>
        <v/>
      </c>
      <c r="B941" s="121"/>
      <c r="C941" s="121"/>
      <c r="D941" s="121"/>
      <c r="E941" s="127"/>
      <c r="F941" s="121"/>
      <c r="G941" s="121"/>
      <c r="H941" s="121"/>
      <c r="I941" s="121"/>
      <c r="J941" s="121"/>
      <c r="K941" s="121"/>
      <c r="L941" s="121"/>
      <c r="M941" s="121"/>
      <c r="N941" s="121"/>
      <c r="O941" s="121"/>
      <c r="P941" s="121"/>
      <c r="Q941" s="121"/>
      <c r="R941" s="121"/>
      <c r="S941" s="121"/>
      <c r="T941" s="121"/>
      <c r="U941" s="121"/>
      <c r="V941" s="121"/>
      <c r="W941" s="121"/>
      <c r="X941" s="121"/>
      <c r="Y941" s="121"/>
      <c r="Z941" s="121"/>
      <c r="AA941" s="121"/>
    </row>
    <row r="942" customFormat="false" ht="15.75" hidden="false" customHeight="false" outlineLevel="0" collapsed="false">
      <c r="A942" s="121" t="str">
        <f aca="false">IF(ISBLANK(B942),"",B942&amp;"|"&amp;C942)</f>
        <v/>
      </c>
      <c r="B942" s="121"/>
      <c r="C942" s="121"/>
      <c r="D942" s="121"/>
      <c r="E942" s="127"/>
      <c r="F942" s="121"/>
      <c r="G942" s="121"/>
      <c r="H942" s="121"/>
      <c r="I942" s="121"/>
      <c r="J942" s="121"/>
      <c r="K942" s="121"/>
      <c r="L942" s="121"/>
      <c r="M942" s="121"/>
      <c r="N942" s="121"/>
      <c r="O942" s="121"/>
      <c r="P942" s="121"/>
      <c r="Q942" s="121"/>
      <c r="R942" s="121"/>
      <c r="S942" s="121"/>
      <c r="T942" s="121"/>
      <c r="U942" s="121"/>
      <c r="V942" s="121"/>
      <c r="W942" s="121"/>
      <c r="X942" s="121"/>
      <c r="Y942" s="121"/>
      <c r="Z942" s="121"/>
      <c r="AA942" s="121"/>
    </row>
    <row r="943" customFormat="false" ht="15.75" hidden="false" customHeight="false" outlineLevel="0" collapsed="false">
      <c r="A943" s="121" t="str">
        <f aca="false">IF(ISBLANK(B943),"",B943&amp;"|"&amp;C943)</f>
        <v/>
      </c>
      <c r="B943" s="121"/>
      <c r="C943" s="121"/>
      <c r="D943" s="121"/>
      <c r="E943" s="127"/>
      <c r="F943" s="121"/>
      <c r="G943" s="121"/>
      <c r="H943" s="121"/>
      <c r="I943" s="121"/>
      <c r="J943" s="121"/>
      <c r="K943" s="121"/>
      <c r="L943" s="121"/>
      <c r="M943" s="121"/>
      <c r="N943" s="121"/>
      <c r="O943" s="121"/>
      <c r="P943" s="121"/>
      <c r="Q943" s="121"/>
      <c r="R943" s="121"/>
      <c r="S943" s="121"/>
      <c r="T943" s="121"/>
      <c r="U943" s="121"/>
      <c r="V943" s="121"/>
      <c r="W943" s="121"/>
      <c r="X943" s="121"/>
      <c r="Y943" s="121"/>
      <c r="Z943" s="121"/>
      <c r="AA943" s="121"/>
    </row>
    <row r="944" customFormat="false" ht="15.75" hidden="false" customHeight="false" outlineLevel="0" collapsed="false">
      <c r="A944" s="121" t="str">
        <f aca="false">IF(ISBLANK(B944),"",B944&amp;"|"&amp;C944)</f>
        <v/>
      </c>
      <c r="B944" s="121"/>
      <c r="C944" s="121"/>
      <c r="D944" s="121"/>
      <c r="E944" s="127"/>
      <c r="F944" s="121"/>
      <c r="G944" s="121"/>
      <c r="H944" s="121"/>
      <c r="I944" s="121"/>
      <c r="J944" s="121"/>
      <c r="K944" s="121"/>
      <c r="L944" s="121"/>
      <c r="M944" s="121"/>
      <c r="N944" s="121"/>
      <c r="O944" s="121"/>
      <c r="P944" s="121"/>
      <c r="Q944" s="121"/>
      <c r="R944" s="121"/>
      <c r="S944" s="121"/>
      <c r="T944" s="121"/>
      <c r="U944" s="121"/>
      <c r="V944" s="121"/>
      <c r="W944" s="121"/>
      <c r="X944" s="121"/>
      <c r="Y944" s="121"/>
      <c r="Z944" s="121"/>
      <c r="AA944" s="121"/>
    </row>
    <row r="945" customFormat="false" ht="15.75" hidden="false" customHeight="false" outlineLevel="0" collapsed="false">
      <c r="A945" s="121" t="str">
        <f aca="false">IF(ISBLANK(B945),"",B945&amp;"|"&amp;C945)</f>
        <v/>
      </c>
      <c r="B945" s="121"/>
      <c r="C945" s="121"/>
      <c r="D945" s="121"/>
      <c r="E945" s="127"/>
      <c r="F945" s="121"/>
      <c r="G945" s="121"/>
      <c r="H945" s="121"/>
      <c r="I945" s="121"/>
      <c r="J945" s="121"/>
      <c r="K945" s="121"/>
      <c r="L945" s="121"/>
      <c r="M945" s="121"/>
      <c r="N945" s="121"/>
      <c r="O945" s="121"/>
      <c r="P945" s="121"/>
      <c r="Q945" s="121"/>
      <c r="R945" s="121"/>
      <c r="S945" s="121"/>
      <c r="T945" s="121"/>
      <c r="U945" s="121"/>
      <c r="V945" s="121"/>
      <c r="W945" s="121"/>
      <c r="X945" s="121"/>
      <c r="Y945" s="121"/>
      <c r="Z945" s="121"/>
      <c r="AA945" s="121"/>
    </row>
    <row r="946" customFormat="false" ht="15.75" hidden="false" customHeight="false" outlineLevel="0" collapsed="false">
      <c r="A946" s="121" t="str">
        <f aca="false">IF(ISBLANK(B946),"",B946&amp;"|"&amp;C946)</f>
        <v/>
      </c>
      <c r="B946" s="121"/>
      <c r="C946" s="121"/>
      <c r="D946" s="121"/>
      <c r="E946" s="127"/>
      <c r="F946" s="121"/>
      <c r="G946" s="121"/>
      <c r="H946" s="121"/>
      <c r="I946" s="121"/>
      <c r="J946" s="121"/>
      <c r="K946" s="121"/>
      <c r="L946" s="121"/>
      <c r="M946" s="121"/>
      <c r="N946" s="121"/>
      <c r="O946" s="121"/>
      <c r="P946" s="121"/>
      <c r="Q946" s="121"/>
      <c r="R946" s="121"/>
      <c r="S946" s="121"/>
      <c r="T946" s="121"/>
      <c r="U946" s="121"/>
      <c r="V946" s="121"/>
      <c r="W946" s="121"/>
      <c r="X946" s="121"/>
      <c r="Y946" s="121"/>
      <c r="Z946" s="121"/>
      <c r="AA946" s="121"/>
    </row>
    <row r="947" customFormat="false" ht="15.75" hidden="false" customHeight="false" outlineLevel="0" collapsed="false">
      <c r="A947" s="121" t="str">
        <f aca="false">IF(ISBLANK(B947),"",B947&amp;"|"&amp;C947)</f>
        <v/>
      </c>
      <c r="B947" s="121"/>
      <c r="C947" s="121"/>
      <c r="D947" s="121"/>
      <c r="E947" s="127"/>
      <c r="F947" s="121"/>
      <c r="G947" s="121"/>
      <c r="H947" s="121"/>
      <c r="I947" s="121"/>
      <c r="J947" s="121"/>
      <c r="K947" s="121"/>
      <c r="L947" s="121"/>
      <c r="M947" s="121"/>
      <c r="N947" s="121"/>
      <c r="O947" s="121"/>
      <c r="P947" s="121"/>
      <c r="Q947" s="121"/>
      <c r="R947" s="121"/>
      <c r="S947" s="121"/>
      <c r="T947" s="121"/>
      <c r="U947" s="121"/>
      <c r="V947" s="121"/>
      <c r="W947" s="121"/>
      <c r="X947" s="121"/>
      <c r="Y947" s="121"/>
      <c r="Z947" s="121"/>
      <c r="AA947" s="121"/>
    </row>
    <row r="948" customFormat="false" ht="15.75" hidden="false" customHeight="false" outlineLevel="0" collapsed="false">
      <c r="A948" s="121" t="str">
        <f aca="false">IF(ISBLANK(B948),"",B948&amp;"|"&amp;C948)</f>
        <v/>
      </c>
      <c r="B948" s="121"/>
      <c r="C948" s="121"/>
      <c r="D948" s="121"/>
      <c r="E948" s="127"/>
      <c r="F948" s="121"/>
      <c r="G948" s="121"/>
      <c r="H948" s="121"/>
      <c r="I948" s="121"/>
      <c r="J948" s="121"/>
      <c r="K948" s="121"/>
      <c r="L948" s="121"/>
      <c r="M948" s="121"/>
      <c r="N948" s="121"/>
      <c r="O948" s="121"/>
      <c r="P948" s="121"/>
      <c r="Q948" s="121"/>
      <c r="R948" s="121"/>
      <c r="S948" s="121"/>
      <c r="T948" s="121"/>
      <c r="U948" s="121"/>
      <c r="V948" s="121"/>
      <c r="W948" s="121"/>
      <c r="X948" s="121"/>
      <c r="Y948" s="121"/>
      <c r="Z948" s="121"/>
      <c r="AA948" s="121"/>
    </row>
    <row r="949" customFormat="false" ht="15.75" hidden="false" customHeight="false" outlineLevel="0" collapsed="false">
      <c r="A949" s="121" t="str">
        <f aca="false">IF(ISBLANK(B949),"",B949&amp;"|"&amp;C949)</f>
        <v/>
      </c>
      <c r="B949" s="121"/>
      <c r="C949" s="121"/>
      <c r="D949" s="121"/>
      <c r="E949" s="127"/>
      <c r="F949" s="121"/>
      <c r="G949" s="121"/>
      <c r="H949" s="121"/>
      <c r="I949" s="121"/>
      <c r="J949" s="121"/>
      <c r="K949" s="121"/>
      <c r="L949" s="121"/>
      <c r="M949" s="121"/>
      <c r="N949" s="121"/>
      <c r="O949" s="121"/>
      <c r="P949" s="121"/>
      <c r="Q949" s="121"/>
      <c r="R949" s="121"/>
      <c r="S949" s="121"/>
      <c r="T949" s="121"/>
      <c r="U949" s="121"/>
      <c r="V949" s="121"/>
      <c r="W949" s="121"/>
      <c r="X949" s="121"/>
      <c r="Y949" s="121"/>
      <c r="Z949" s="121"/>
      <c r="AA949" s="121"/>
    </row>
    <row r="950" customFormat="false" ht="15.75" hidden="false" customHeight="false" outlineLevel="0" collapsed="false">
      <c r="A950" s="121" t="str">
        <f aca="false">IF(ISBLANK(B950),"",B950&amp;"|"&amp;C950)</f>
        <v/>
      </c>
      <c r="B950" s="121"/>
      <c r="C950" s="121"/>
      <c r="D950" s="121"/>
      <c r="E950" s="127"/>
      <c r="F950" s="121"/>
      <c r="G950" s="121"/>
      <c r="H950" s="121"/>
      <c r="I950" s="121"/>
      <c r="J950" s="121"/>
      <c r="K950" s="121"/>
      <c r="L950" s="121"/>
      <c r="M950" s="121"/>
      <c r="N950" s="121"/>
      <c r="O950" s="121"/>
      <c r="P950" s="121"/>
      <c r="Q950" s="121"/>
      <c r="R950" s="121"/>
      <c r="S950" s="121"/>
      <c r="T950" s="121"/>
      <c r="U950" s="121"/>
      <c r="V950" s="121"/>
      <c r="W950" s="121"/>
      <c r="X950" s="121"/>
      <c r="Y950" s="121"/>
      <c r="Z950" s="121"/>
      <c r="AA950" s="121"/>
    </row>
    <row r="951" customFormat="false" ht="15.75" hidden="false" customHeight="false" outlineLevel="0" collapsed="false">
      <c r="A951" s="121" t="str">
        <f aca="false">IF(ISBLANK(B951),"",B951&amp;"|"&amp;C951)</f>
        <v/>
      </c>
      <c r="B951" s="121"/>
      <c r="C951" s="121"/>
      <c r="D951" s="121"/>
      <c r="E951" s="127"/>
      <c r="F951" s="121"/>
      <c r="G951" s="121"/>
      <c r="H951" s="121"/>
      <c r="I951" s="121"/>
      <c r="J951" s="121"/>
      <c r="K951" s="121"/>
      <c r="L951" s="121"/>
      <c r="M951" s="121"/>
      <c r="N951" s="121"/>
      <c r="O951" s="121"/>
      <c r="P951" s="121"/>
      <c r="Q951" s="121"/>
      <c r="R951" s="121"/>
      <c r="S951" s="121"/>
      <c r="T951" s="121"/>
      <c r="U951" s="121"/>
      <c r="V951" s="121"/>
      <c r="W951" s="121"/>
      <c r="X951" s="121"/>
      <c r="Y951" s="121"/>
      <c r="Z951" s="121"/>
      <c r="AA951" s="121"/>
    </row>
    <row r="952" customFormat="false" ht="15.75" hidden="false" customHeight="false" outlineLevel="0" collapsed="false">
      <c r="A952" s="121" t="str">
        <f aca="false">IF(ISBLANK(B952),"",B952&amp;"|"&amp;C952)</f>
        <v/>
      </c>
      <c r="B952" s="121"/>
      <c r="C952" s="121"/>
      <c r="D952" s="121"/>
      <c r="E952" s="127"/>
      <c r="F952" s="121"/>
      <c r="G952" s="121"/>
      <c r="H952" s="121"/>
      <c r="I952" s="121"/>
      <c r="J952" s="121"/>
      <c r="K952" s="121"/>
      <c r="L952" s="121"/>
      <c r="M952" s="121"/>
      <c r="N952" s="121"/>
      <c r="O952" s="121"/>
      <c r="P952" s="121"/>
      <c r="Q952" s="121"/>
      <c r="R952" s="121"/>
      <c r="S952" s="121"/>
      <c r="T952" s="121"/>
      <c r="U952" s="121"/>
      <c r="V952" s="121"/>
      <c r="W952" s="121"/>
      <c r="X952" s="121"/>
      <c r="Y952" s="121"/>
      <c r="Z952" s="121"/>
      <c r="AA952" s="121"/>
    </row>
    <row r="953" customFormat="false" ht="15.75" hidden="false" customHeight="false" outlineLevel="0" collapsed="false">
      <c r="A953" s="121" t="str">
        <f aca="false">IF(ISBLANK(B953),"",B953&amp;"|"&amp;C953)</f>
        <v/>
      </c>
      <c r="B953" s="121"/>
      <c r="C953" s="121"/>
      <c r="D953" s="121"/>
      <c r="E953" s="127"/>
      <c r="F953" s="121"/>
      <c r="G953" s="121"/>
      <c r="H953" s="121"/>
      <c r="I953" s="121"/>
      <c r="J953" s="121"/>
      <c r="K953" s="121"/>
      <c r="L953" s="121"/>
      <c r="M953" s="121"/>
      <c r="N953" s="121"/>
      <c r="O953" s="121"/>
      <c r="P953" s="121"/>
      <c r="Q953" s="121"/>
      <c r="R953" s="121"/>
      <c r="S953" s="121"/>
      <c r="T953" s="121"/>
      <c r="U953" s="121"/>
      <c r="V953" s="121"/>
      <c r="W953" s="121"/>
      <c r="X953" s="121"/>
      <c r="Y953" s="121"/>
      <c r="Z953" s="121"/>
      <c r="AA953" s="121"/>
    </row>
    <row r="954" customFormat="false" ht="15.75" hidden="false" customHeight="false" outlineLevel="0" collapsed="false">
      <c r="A954" s="121" t="str">
        <f aca="false">IF(ISBLANK(B954),"",B954&amp;"|"&amp;C954)</f>
        <v/>
      </c>
      <c r="B954" s="121"/>
      <c r="C954" s="121"/>
      <c r="D954" s="121"/>
      <c r="E954" s="127"/>
      <c r="F954" s="121"/>
      <c r="G954" s="121"/>
      <c r="H954" s="121"/>
      <c r="I954" s="121"/>
      <c r="J954" s="121"/>
      <c r="K954" s="121"/>
      <c r="L954" s="121"/>
      <c r="M954" s="121"/>
      <c r="N954" s="121"/>
      <c r="O954" s="121"/>
      <c r="P954" s="121"/>
      <c r="Q954" s="121"/>
      <c r="R954" s="121"/>
      <c r="S954" s="121"/>
      <c r="T954" s="121"/>
      <c r="U954" s="121"/>
      <c r="V954" s="121"/>
      <c r="W954" s="121"/>
      <c r="X954" s="121"/>
      <c r="Y954" s="121"/>
      <c r="Z954" s="121"/>
      <c r="AA954" s="121"/>
    </row>
    <row r="955" customFormat="false" ht="15.75" hidden="false" customHeight="false" outlineLevel="0" collapsed="false">
      <c r="A955" s="121" t="str">
        <f aca="false">IF(ISBLANK(B955),"",B955&amp;"|"&amp;C955)</f>
        <v/>
      </c>
      <c r="B955" s="121"/>
      <c r="C955" s="121"/>
      <c r="D955" s="121"/>
      <c r="E955" s="127"/>
      <c r="F955" s="121"/>
      <c r="G955" s="121"/>
      <c r="H955" s="121"/>
      <c r="I955" s="121"/>
      <c r="J955" s="121"/>
      <c r="K955" s="121"/>
      <c r="L955" s="121"/>
      <c r="M955" s="121"/>
      <c r="N955" s="121"/>
      <c r="O955" s="121"/>
      <c r="P955" s="121"/>
      <c r="Q955" s="121"/>
      <c r="R955" s="121"/>
      <c r="S955" s="121"/>
      <c r="T955" s="121"/>
      <c r="U955" s="121"/>
      <c r="V955" s="121"/>
      <c r="W955" s="121"/>
      <c r="X955" s="121"/>
      <c r="Y955" s="121"/>
      <c r="Z955" s="121"/>
      <c r="AA955" s="121"/>
    </row>
    <row r="956" customFormat="false" ht="15.75" hidden="false" customHeight="false" outlineLevel="0" collapsed="false">
      <c r="A956" s="121" t="str">
        <f aca="false">IF(ISBLANK(B956),"",B956&amp;"|"&amp;C956)</f>
        <v/>
      </c>
      <c r="B956" s="121"/>
      <c r="C956" s="121"/>
      <c r="D956" s="121"/>
      <c r="E956" s="127"/>
      <c r="F956" s="121"/>
      <c r="G956" s="121"/>
      <c r="H956" s="121"/>
      <c r="I956" s="121"/>
      <c r="J956" s="121"/>
      <c r="K956" s="121"/>
      <c r="L956" s="121"/>
      <c r="M956" s="121"/>
      <c r="N956" s="121"/>
      <c r="O956" s="121"/>
      <c r="P956" s="121"/>
      <c r="Q956" s="121"/>
      <c r="R956" s="121"/>
      <c r="S956" s="121"/>
      <c r="T956" s="121"/>
      <c r="U956" s="121"/>
      <c r="V956" s="121"/>
      <c r="W956" s="121"/>
      <c r="X956" s="121"/>
      <c r="Y956" s="121"/>
      <c r="Z956" s="121"/>
      <c r="AA956" s="121"/>
    </row>
    <row r="957" customFormat="false" ht="15.75" hidden="false" customHeight="false" outlineLevel="0" collapsed="false">
      <c r="A957" s="121" t="str">
        <f aca="false">IF(ISBLANK(B957),"",B957&amp;"|"&amp;C957)</f>
        <v/>
      </c>
      <c r="B957" s="121"/>
      <c r="C957" s="121"/>
      <c r="D957" s="121"/>
      <c r="E957" s="127"/>
      <c r="F957" s="121"/>
      <c r="G957" s="121"/>
      <c r="H957" s="121"/>
      <c r="I957" s="121"/>
      <c r="J957" s="121"/>
      <c r="K957" s="121"/>
      <c r="L957" s="121"/>
      <c r="M957" s="121"/>
      <c r="N957" s="121"/>
      <c r="O957" s="121"/>
      <c r="P957" s="121"/>
      <c r="Q957" s="121"/>
      <c r="R957" s="121"/>
      <c r="S957" s="121"/>
      <c r="T957" s="121"/>
      <c r="U957" s="121"/>
      <c r="V957" s="121"/>
      <c r="W957" s="121"/>
      <c r="X957" s="121"/>
      <c r="Y957" s="121"/>
      <c r="Z957" s="121"/>
      <c r="AA957" s="121"/>
    </row>
    <row r="958" customFormat="false" ht="15.75" hidden="false" customHeight="false" outlineLevel="0" collapsed="false">
      <c r="A958" s="121" t="str">
        <f aca="false">IF(ISBLANK(B958),"",B958&amp;"|"&amp;C958)</f>
        <v/>
      </c>
      <c r="B958" s="121"/>
      <c r="C958" s="121"/>
      <c r="D958" s="121"/>
      <c r="E958" s="127"/>
      <c r="F958" s="121"/>
      <c r="G958" s="121"/>
      <c r="H958" s="121"/>
      <c r="I958" s="121"/>
      <c r="J958" s="121"/>
      <c r="K958" s="121"/>
      <c r="L958" s="121"/>
      <c r="M958" s="121"/>
      <c r="N958" s="121"/>
      <c r="O958" s="121"/>
      <c r="P958" s="121"/>
      <c r="Q958" s="121"/>
      <c r="R958" s="121"/>
      <c r="S958" s="121"/>
      <c r="T958" s="121"/>
      <c r="U958" s="121"/>
      <c r="V958" s="121"/>
      <c r="W958" s="121"/>
      <c r="X958" s="121"/>
      <c r="Y958" s="121"/>
      <c r="Z958" s="121"/>
      <c r="AA958" s="121"/>
    </row>
    <row r="959" customFormat="false" ht="15.75" hidden="false" customHeight="false" outlineLevel="0" collapsed="false">
      <c r="A959" s="121" t="str">
        <f aca="false">IF(ISBLANK(B959),"",B959&amp;"|"&amp;C959)</f>
        <v/>
      </c>
      <c r="B959" s="121"/>
      <c r="C959" s="121"/>
      <c r="D959" s="121"/>
      <c r="E959" s="127"/>
      <c r="F959" s="121"/>
      <c r="G959" s="121"/>
      <c r="H959" s="121"/>
      <c r="I959" s="121"/>
      <c r="J959" s="121"/>
      <c r="K959" s="121"/>
      <c r="L959" s="121"/>
      <c r="M959" s="121"/>
      <c r="N959" s="121"/>
      <c r="O959" s="121"/>
      <c r="P959" s="121"/>
      <c r="Q959" s="121"/>
      <c r="R959" s="121"/>
      <c r="S959" s="121"/>
      <c r="T959" s="121"/>
      <c r="U959" s="121"/>
      <c r="V959" s="121"/>
      <c r="W959" s="121"/>
      <c r="X959" s="121"/>
      <c r="Y959" s="121"/>
      <c r="Z959" s="121"/>
      <c r="AA959" s="121"/>
    </row>
    <row r="960" customFormat="false" ht="15.75" hidden="false" customHeight="false" outlineLevel="0" collapsed="false">
      <c r="A960" s="121" t="str">
        <f aca="false">IF(ISBLANK(B960),"",B960&amp;"|"&amp;C960)</f>
        <v/>
      </c>
      <c r="B960" s="121"/>
      <c r="C960" s="121"/>
      <c r="D960" s="121"/>
      <c r="E960" s="127"/>
      <c r="F960" s="121"/>
      <c r="G960" s="121"/>
      <c r="H960" s="121"/>
      <c r="I960" s="121"/>
      <c r="J960" s="121"/>
      <c r="K960" s="121"/>
      <c r="L960" s="121"/>
      <c r="M960" s="121"/>
      <c r="N960" s="121"/>
      <c r="O960" s="121"/>
      <c r="P960" s="121"/>
      <c r="Q960" s="121"/>
      <c r="R960" s="121"/>
      <c r="S960" s="121"/>
      <c r="T960" s="121"/>
      <c r="U960" s="121"/>
      <c r="V960" s="121"/>
      <c r="W960" s="121"/>
      <c r="X960" s="121"/>
      <c r="Y960" s="121"/>
      <c r="Z960" s="121"/>
      <c r="AA960" s="121"/>
    </row>
    <row r="961" customFormat="false" ht="15.75" hidden="false" customHeight="false" outlineLevel="0" collapsed="false">
      <c r="A961" s="121" t="str">
        <f aca="false">IF(ISBLANK(B961),"",B961&amp;"|"&amp;C961)</f>
        <v/>
      </c>
      <c r="B961" s="121"/>
      <c r="C961" s="121"/>
      <c r="D961" s="121"/>
      <c r="E961" s="127"/>
      <c r="F961" s="121"/>
      <c r="G961" s="121"/>
      <c r="H961" s="121"/>
      <c r="I961" s="121"/>
      <c r="J961" s="121"/>
      <c r="K961" s="121"/>
      <c r="L961" s="121"/>
      <c r="M961" s="121"/>
      <c r="N961" s="121"/>
      <c r="O961" s="121"/>
      <c r="P961" s="121"/>
      <c r="Q961" s="121"/>
      <c r="R961" s="121"/>
      <c r="S961" s="121"/>
      <c r="T961" s="121"/>
      <c r="U961" s="121"/>
      <c r="V961" s="121"/>
      <c r="W961" s="121"/>
      <c r="X961" s="121"/>
      <c r="Y961" s="121"/>
      <c r="Z961" s="121"/>
      <c r="AA961" s="121"/>
    </row>
    <row r="962" customFormat="false" ht="15.75" hidden="false" customHeight="false" outlineLevel="0" collapsed="false">
      <c r="A962" s="121" t="str">
        <f aca="false">IF(ISBLANK(B962),"",B962&amp;"|"&amp;C962)</f>
        <v/>
      </c>
      <c r="B962" s="121"/>
      <c r="C962" s="121"/>
      <c r="D962" s="121"/>
      <c r="E962" s="127"/>
      <c r="F962" s="121"/>
      <c r="G962" s="121"/>
      <c r="H962" s="121"/>
      <c r="I962" s="121"/>
      <c r="J962" s="121"/>
      <c r="K962" s="121"/>
      <c r="L962" s="121"/>
      <c r="M962" s="121"/>
      <c r="N962" s="121"/>
      <c r="O962" s="121"/>
      <c r="P962" s="121"/>
      <c r="Q962" s="121"/>
      <c r="R962" s="121"/>
      <c r="S962" s="121"/>
      <c r="T962" s="121"/>
      <c r="U962" s="121"/>
      <c r="V962" s="121"/>
      <c r="W962" s="121"/>
      <c r="X962" s="121"/>
      <c r="Y962" s="121"/>
      <c r="Z962" s="121"/>
      <c r="AA962" s="121"/>
    </row>
    <row r="963" customFormat="false" ht="15.75" hidden="false" customHeight="false" outlineLevel="0" collapsed="false">
      <c r="A963" s="121" t="str">
        <f aca="false">IF(ISBLANK(B963),"",B963&amp;"|"&amp;C963)</f>
        <v/>
      </c>
      <c r="B963" s="121"/>
      <c r="C963" s="121"/>
      <c r="D963" s="121"/>
      <c r="E963" s="127"/>
      <c r="F963" s="121"/>
      <c r="G963" s="121"/>
      <c r="H963" s="121"/>
      <c r="I963" s="121"/>
      <c r="J963" s="121"/>
      <c r="K963" s="121"/>
      <c r="L963" s="121"/>
      <c r="M963" s="121"/>
      <c r="N963" s="121"/>
      <c r="O963" s="121"/>
      <c r="P963" s="121"/>
      <c r="Q963" s="121"/>
      <c r="R963" s="121"/>
      <c r="S963" s="121"/>
      <c r="T963" s="121"/>
      <c r="U963" s="121"/>
      <c r="V963" s="121"/>
      <c r="W963" s="121"/>
      <c r="X963" s="121"/>
      <c r="Y963" s="121"/>
      <c r="Z963" s="121"/>
      <c r="AA963" s="121"/>
    </row>
    <row r="964" customFormat="false" ht="15.75" hidden="false" customHeight="false" outlineLevel="0" collapsed="false">
      <c r="A964" s="121" t="str">
        <f aca="false">IF(ISBLANK(B964),"",B964&amp;"|"&amp;C964)</f>
        <v/>
      </c>
      <c r="B964" s="121"/>
      <c r="C964" s="121"/>
      <c r="D964" s="121"/>
      <c r="E964" s="127"/>
      <c r="F964" s="121"/>
      <c r="G964" s="121"/>
      <c r="H964" s="121"/>
      <c r="I964" s="121"/>
      <c r="J964" s="121"/>
      <c r="K964" s="121"/>
      <c r="L964" s="121"/>
      <c r="M964" s="121"/>
      <c r="N964" s="121"/>
      <c r="O964" s="121"/>
      <c r="P964" s="121"/>
      <c r="Q964" s="121"/>
      <c r="R964" s="121"/>
      <c r="S964" s="121"/>
      <c r="T964" s="121"/>
      <c r="U964" s="121"/>
      <c r="V964" s="121"/>
      <c r="W964" s="121"/>
      <c r="X964" s="121"/>
      <c r="Y964" s="121"/>
      <c r="Z964" s="121"/>
      <c r="AA964" s="121"/>
    </row>
    <row r="965" customFormat="false" ht="15.75" hidden="false" customHeight="false" outlineLevel="0" collapsed="false">
      <c r="A965" s="121" t="str">
        <f aca="false">IF(ISBLANK(B965),"",B965&amp;"|"&amp;C965)</f>
        <v/>
      </c>
      <c r="B965" s="121"/>
      <c r="C965" s="121"/>
      <c r="D965" s="121"/>
      <c r="E965" s="127"/>
      <c r="F965" s="121"/>
      <c r="G965" s="121"/>
      <c r="H965" s="121"/>
      <c r="I965" s="121"/>
      <c r="J965" s="121"/>
      <c r="K965" s="121"/>
      <c r="L965" s="121"/>
      <c r="M965" s="121"/>
      <c r="N965" s="121"/>
      <c r="O965" s="121"/>
      <c r="P965" s="121"/>
      <c r="Q965" s="121"/>
      <c r="R965" s="121"/>
      <c r="S965" s="121"/>
      <c r="T965" s="121"/>
      <c r="U965" s="121"/>
      <c r="V965" s="121"/>
      <c r="W965" s="121"/>
      <c r="X965" s="121"/>
      <c r="Y965" s="121"/>
      <c r="Z965" s="121"/>
      <c r="AA965" s="121"/>
    </row>
    <row r="966" customFormat="false" ht="15.75" hidden="false" customHeight="false" outlineLevel="0" collapsed="false">
      <c r="A966" s="121" t="str">
        <f aca="false">IF(ISBLANK(B966),"",B966&amp;"|"&amp;C966)</f>
        <v/>
      </c>
      <c r="B966" s="121"/>
      <c r="C966" s="121"/>
      <c r="D966" s="121"/>
      <c r="E966" s="127"/>
      <c r="F966" s="121"/>
      <c r="G966" s="121"/>
      <c r="H966" s="121"/>
      <c r="I966" s="121"/>
      <c r="J966" s="121"/>
      <c r="K966" s="121"/>
      <c r="L966" s="121"/>
      <c r="M966" s="121"/>
      <c r="N966" s="121"/>
      <c r="O966" s="121"/>
      <c r="P966" s="121"/>
      <c r="Q966" s="121"/>
      <c r="R966" s="121"/>
      <c r="S966" s="121"/>
      <c r="T966" s="121"/>
      <c r="U966" s="121"/>
      <c r="V966" s="121"/>
      <c r="W966" s="121"/>
      <c r="X966" s="121"/>
      <c r="Y966" s="121"/>
      <c r="Z966" s="121"/>
      <c r="AA966" s="121"/>
    </row>
    <row r="967" customFormat="false" ht="15.75" hidden="false" customHeight="false" outlineLevel="0" collapsed="false">
      <c r="A967" s="121" t="str">
        <f aca="false">IF(ISBLANK(B967),"",B967&amp;"|"&amp;C967)</f>
        <v/>
      </c>
      <c r="B967" s="121"/>
      <c r="C967" s="121"/>
      <c r="D967" s="121"/>
      <c r="E967" s="127"/>
      <c r="F967" s="121"/>
      <c r="G967" s="121"/>
      <c r="H967" s="121"/>
      <c r="I967" s="121"/>
      <c r="J967" s="121"/>
      <c r="K967" s="121"/>
      <c r="L967" s="121"/>
      <c r="M967" s="121"/>
      <c r="N967" s="121"/>
      <c r="O967" s="121"/>
      <c r="P967" s="121"/>
      <c r="Q967" s="121"/>
      <c r="R967" s="121"/>
      <c r="S967" s="121"/>
      <c r="T967" s="121"/>
      <c r="U967" s="121"/>
      <c r="V967" s="121"/>
      <c r="W967" s="121"/>
      <c r="X967" s="121"/>
      <c r="Y967" s="121"/>
      <c r="Z967" s="121"/>
      <c r="AA967" s="121"/>
    </row>
    <row r="968" customFormat="false" ht="15.75" hidden="false" customHeight="false" outlineLevel="0" collapsed="false">
      <c r="A968" s="121" t="str">
        <f aca="false">IF(ISBLANK(B968),"",B968&amp;"|"&amp;C968)</f>
        <v/>
      </c>
      <c r="B968" s="121"/>
      <c r="C968" s="121"/>
      <c r="D968" s="121"/>
      <c r="E968" s="127"/>
      <c r="F968" s="121"/>
      <c r="G968" s="121"/>
      <c r="H968" s="121"/>
      <c r="I968" s="121"/>
      <c r="J968" s="121"/>
      <c r="K968" s="121"/>
      <c r="L968" s="121"/>
      <c r="M968" s="121"/>
      <c r="N968" s="121"/>
      <c r="O968" s="121"/>
      <c r="P968" s="121"/>
      <c r="Q968" s="121"/>
      <c r="R968" s="121"/>
      <c r="S968" s="121"/>
      <c r="T968" s="121"/>
      <c r="U968" s="121"/>
      <c r="V968" s="121"/>
      <c r="W968" s="121"/>
      <c r="X968" s="121"/>
      <c r="Y968" s="121"/>
      <c r="Z968" s="121"/>
      <c r="AA968" s="121"/>
    </row>
    <row r="969" customFormat="false" ht="15.75" hidden="false" customHeight="false" outlineLevel="0" collapsed="false">
      <c r="A969" s="121" t="str">
        <f aca="false">IF(ISBLANK(B969),"",B969&amp;"|"&amp;C969)</f>
        <v/>
      </c>
      <c r="B969" s="121"/>
      <c r="C969" s="121"/>
      <c r="D969" s="121"/>
      <c r="E969" s="127"/>
      <c r="F969" s="121"/>
      <c r="G969" s="121"/>
      <c r="H969" s="121"/>
      <c r="I969" s="121"/>
      <c r="J969" s="121"/>
      <c r="K969" s="121"/>
      <c r="L969" s="121"/>
      <c r="M969" s="121"/>
      <c r="N969" s="121"/>
      <c r="O969" s="121"/>
      <c r="P969" s="121"/>
      <c r="Q969" s="121"/>
      <c r="R969" s="121"/>
      <c r="S969" s="121"/>
      <c r="T969" s="121"/>
      <c r="U969" s="121"/>
      <c r="V969" s="121"/>
      <c r="W969" s="121"/>
      <c r="X969" s="121"/>
      <c r="Y969" s="121"/>
      <c r="Z969" s="121"/>
      <c r="AA969" s="121"/>
    </row>
    <row r="970" customFormat="false" ht="15.75" hidden="false" customHeight="false" outlineLevel="0" collapsed="false">
      <c r="A970" s="121" t="str">
        <f aca="false">IF(ISBLANK(B970),"",B970&amp;"|"&amp;C970)</f>
        <v/>
      </c>
      <c r="B970" s="121"/>
      <c r="C970" s="121"/>
      <c r="D970" s="121"/>
      <c r="E970" s="127"/>
      <c r="F970" s="121"/>
      <c r="G970" s="121"/>
      <c r="H970" s="121"/>
      <c r="I970" s="121"/>
      <c r="J970" s="121"/>
      <c r="K970" s="121"/>
      <c r="L970" s="121"/>
      <c r="M970" s="121"/>
      <c r="N970" s="121"/>
      <c r="O970" s="121"/>
      <c r="P970" s="121"/>
      <c r="Q970" s="121"/>
      <c r="R970" s="121"/>
      <c r="S970" s="121"/>
      <c r="T970" s="121"/>
      <c r="U970" s="121"/>
      <c r="V970" s="121"/>
      <c r="W970" s="121"/>
      <c r="X970" s="121"/>
      <c r="Y970" s="121"/>
      <c r="Z970" s="121"/>
      <c r="AA970" s="121"/>
    </row>
    <row r="971" customFormat="false" ht="15.75" hidden="false" customHeight="false" outlineLevel="0" collapsed="false">
      <c r="A971" s="121" t="str">
        <f aca="false">IF(ISBLANK(B971),"",B971&amp;"|"&amp;C971)</f>
        <v/>
      </c>
      <c r="B971" s="121"/>
      <c r="C971" s="121"/>
      <c r="D971" s="121"/>
      <c r="E971" s="127"/>
      <c r="F971" s="121"/>
      <c r="G971" s="121"/>
      <c r="H971" s="121"/>
      <c r="I971" s="121"/>
      <c r="J971" s="121"/>
      <c r="K971" s="121"/>
      <c r="L971" s="121"/>
      <c r="M971" s="121"/>
      <c r="N971" s="121"/>
      <c r="O971" s="121"/>
      <c r="P971" s="121"/>
      <c r="Q971" s="121"/>
      <c r="R971" s="121"/>
      <c r="S971" s="121"/>
      <c r="T971" s="121"/>
      <c r="U971" s="121"/>
      <c r="V971" s="121"/>
      <c r="W971" s="121"/>
      <c r="X971" s="121"/>
      <c r="Y971" s="121"/>
      <c r="Z971" s="121"/>
      <c r="AA971" s="121"/>
    </row>
    <row r="972" customFormat="false" ht="15.75" hidden="false" customHeight="false" outlineLevel="0" collapsed="false">
      <c r="A972" s="121" t="str">
        <f aca="false">IF(ISBLANK(B972),"",B972&amp;"|"&amp;C972)</f>
        <v/>
      </c>
      <c r="B972" s="121"/>
      <c r="C972" s="121"/>
      <c r="D972" s="121"/>
      <c r="E972" s="127"/>
      <c r="F972" s="121"/>
      <c r="G972" s="121"/>
      <c r="H972" s="121"/>
      <c r="I972" s="121"/>
      <c r="J972" s="121"/>
      <c r="K972" s="121"/>
      <c r="L972" s="121"/>
      <c r="M972" s="121"/>
      <c r="N972" s="121"/>
      <c r="O972" s="121"/>
      <c r="P972" s="121"/>
      <c r="Q972" s="121"/>
      <c r="R972" s="121"/>
      <c r="S972" s="121"/>
      <c r="T972" s="121"/>
      <c r="U972" s="121"/>
      <c r="V972" s="121"/>
      <c r="W972" s="121"/>
      <c r="X972" s="121"/>
      <c r="Y972" s="121"/>
      <c r="Z972" s="121"/>
      <c r="AA972" s="121"/>
    </row>
    <row r="973" customFormat="false" ht="15.75" hidden="false" customHeight="false" outlineLevel="0" collapsed="false">
      <c r="A973" s="121" t="str">
        <f aca="false">IF(ISBLANK(B973),"",B973&amp;"|"&amp;C973)</f>
        <v/>
      </c>
      <c r="B973" s="121"/>
      <c r="C973" s="121"/>
      <c r="D973" s="121"/>
      <c r="E973" s="127"/>
      <c r="F973" s="121"/>
      <c r="G973" s="121"/>
      <c r="H973" s="121"/>
      <c r="I973" s="121"/>
      <c r="J973" s="121"/>
      <c r="K973" s="121"/>
      <c r="L973" s="121"/>
      <c r="M973" s="121"/>
      <c r="N973" s="121"/>
      <c r="O973" s="121"/>
      <c r="P973" s="121"/>
      <c r="Q973" s="121"/>
      <c r="R973" s="121"/>
      <c r="S973" s="121"/>
      <c r="T973" s="121"/>
      <c r="U973" s="121"/>
      <c r="V973" s="121"/>
      <c r="W973" s="121"/>
      <c r="X973" s="121"/>
      <c r="Y973" s="121"/>
      <c r="Z973" s="121"/>
      <c r="AA973" s="121"/>
    </row>
    <row r="974" customFormat="false" ht="15.75" hidden="false" customHeight="false" outlineLevel="0" collapsed="false">
      <c r="A974" s="121" t="str">
        <f aca="false">IF(ISBLANK(B974),"",B974&amp;"|"&amp;C974)</f>
        <v/>
      </c>
      <c r="B974" s="121"/>
      <c r="C974" s="121"/>
      <c r="D974" s="121"/>
      <c r="E974" s="127"/>
      <c r="F974" s="121"/>
      <c r="G974" s="121"/>
      <c r="H974" s="121"/>
      <c r="I974" s="121"/>
      <c r="J974" s="121"/>
      <c r="K974" s="121"/>
      <c r="L974" s="121"/>
      <c r="M974" s="121"/>
      <c r="N974" s="121"/>
      <c r="O974" s="121"/>
      <c r="P974" s="121"/>
      <c r="Q974" s="121"/>
      <c r="R974" s="121"/>
      <c r="S974" s="121"/>
      <c r="T974" s="121"/>
      <c r="U974" s="121"/>
      <c r="V974" s="121"/>
      <c r="W974" s="121"/>
      <c r="X974" s="121"/>
      <c r="Y974" s="121"/>
      <c r="Z974" s="121"/>
      <c r="AA974" s="121"/>
    </row>
    <row r="975" customFormat="false" ht="15.75" hidden="false" customHeight="false" outlineLevel="0" collapsed="false">
      <c r="A975" s="121" t="str">
        <f aca="false">IF(ISBLANK(B975),"",B975&amp;"|"&amp;C975)</f>
        <v/>
      </c>
      <c r="B975" s="121"/>
      <c r="C975" s="121"/>
      <c r="D975" s="121"/>
      <c r="E975" s="127"/>
      <c r="F975" s="121"/>
      <c r="G975" s="121"/>
      <c r="H975" s="121"/>
      <c r="I975" s="121"/>
      <c r="J975" s="121"/>
      <c r="K975" s="121"/>
      <c r="L975" s="121"/>
      <c r="M975" s="121"/>
      <c r="N975" s="121"/>
      <c r="O975" s="121"/>
      <c r="P975" s="121"/>
      <c r="Q975" s="121"/>
      <c r="R975" s="121"/>
      <c r="S975" s="121"/>
      <c r="T975" s="121"/>
      <c r="U975" s="121"/>
      <c r="V975" s="121"/>
      <c r="W975" s="121"/>
      <c r="X975" s="121"/>
      <c r="Y975" s="121"/>
      <c r="Z975" s="121"/>
      <c r="AA975" s="121"/>
    </row>
    <row r="976" customFormat="false" ht="15.75" hidden="false" customHeight="false" outlineLevel="0" collapsed="false">
      <c r="A976" s="121" t="str">
        <f aca="false">IF(ISBLANK(B976),"",B976&amp;"|"&amp;C976)</f>
        <v/>
      </c>
      <c r="B976" s="121"/>
      <c r="C976" s="121"/>
      <c r="D976" s="121"/>
      <c r="E976" s="127"/>
      <c r="F976" s="121"/>
      <c r="G976" s="121"/>
      <c r="H976" s="121"/>
      <c r="I976" s="121"/>
      <c r="J976" s="121"/>
      <c r="K976" s="121"/>
      <c r="L976" s="121"/>
      <c r="M976" s="121"/>
      <c r="N976" s="121"/>
      <c r="O976" s="121"/>
      <c r="P976" s="121"/>
      <c r="Q976" s="121"/>
      <c r="R976" s="121"/>
      <c r="S976" s="121"/>
      <c r="T976" s="121"/>
      <c r="U976" s="121"/>
      <c r="V976" s="121"/>
      <c r="W976" s="121"/>
      <c r="X976" s="121"/>
      <c r="Y976" s="121"/>
      <c r="Z976" s="121"/>
      <c r="AA976" s="121"/>
    </row>
    <row r="977" customFormat="false" ht="15.75" hidden="false" customHeight="false" outlineLevel="0" collapsed="false">
      <c r="A977" s="121" t="str">
        <f aca="false">IF(ISBLANK(B977),"",B977&amp;"|"&amp;C977)</f>
        <v/>
      </c>
      <c r="B977" s="121"/>
      <c r="C977" s="121"/>
      <c r="D977" s="121"/>
      <c r="E977" s="127"/>
      <c r="F977" s="121"/>
      <c r="G977" s="121"/>
      <c r="H977" s="121"/>
      <c r="I977" s="121"/>
      <c r="J977" s="121"/>
      <c r="K977" s="121"/>
      <c r="L977" s="121"/>
      <c r="M977" s="121"/>
      <c r="N977" s="121"/>
      <c r="O977" s="121"/>
      <c r="P977" s="121"/>
      <c r="Q977" s="121"/>
      <c r="R977" s="121"/>
      <c r="S977" s="121"/>
      <c r="T977" s="121"/>
      <c r="U977" s="121"/>
      <c r="V977" s="121"/>
      <c r="W977" s="121"/>
      <c r="X977" s="121"/>
      <c r="Y977" s="121"/>
      <c r="Z977" s="121"/>
      <c r="AA977" s="121"/>
    </row>
    <row r="978" customFormat="false" ht="15.75" hidden="false" customHeight="false" outlineLevel="0" collapsed="false">
      <c r="A978" s="121" t="str">
        <f aca="false">IF(ISBLANK(B978),"",B978&amp;"|"&amp;C978)</f>
        <v/>
      </c>
      <c r="B978" s="121"/>
      <c r="C978" s="121"/>
      <c r="D978" s="121"/>
      <c r="E978" s="127"/>
      <c r="F978" s="121"/>
      <c r="G978" s="121"/>
      <c r="H978" s="121"/>
      <c r="I978" s="121"/>
      <c r="J978" s="121"/>
      <c r="K978" s="121"/>
      <c r="L978" s="121"/>
      <c r="M978" s="121"/>
      <c r="N978" s="121"/>
      <c r="O978" s="121"/>
      <c r="P978" s="121"/>
      <c r="Q978" s="121"/>
      <c r="R978" s="121"/>
      <c r="S978" s="121"/>
      <c r="T978" s="121"/>
      <c r="U978" s="121"/>
      <c r="V978" s="121"/>
      <c r="W978" s="121"/>
      <c r="X978" s="121"/>
      <c r="Y978" s="121"/>
      <c r="Z978" s="121"/>
      <c r="AA978" s="121"/>
    </row>
    <row r="979" customFormat="false" ht="15.75" hidden="false" customHeight="false" outlineLevel="0" collapsed="false">
      <c r="A979" s="121" t="str">
        <f aca="false">IF(ISBLANK(B979),"",B979&amp;"|"&amp;C979)</f>
        <v/>
      </c>
      <c r="B979" s="121"/>
      <c r="C979" s="121"/>
      <c r="D979" s="121"/>
      <c r="E979" s="127"/>
      <c r="F979" s="121"/>
      <c r="G979" s="121"/>
      <c r="H979" s="121"/>
      <c r="I979" s="121"/>
      <c r="J979" s="121"/>
      <c r="K979" s="121"/>
      <c r="L979" s="121"/>
      <c r="M979" s="121"/>
      <c r="N979" s="121"/>
      <c r="O979" s="121"/>
      <c r="P979" s="121"/>
      <c r="Q979" s="121"/>
      <c r="R979" s="121"/>
      <c r="S979" s="121"/>
      <c r="T979" s="121"/>
      <c r="U979" s="121"/>
      <c r="V979" s="121"/>
      <c r="W979" s="121"/>
      <c r="X979" s="121"/>
      <c r="Y979" s="121"/>
      <c r="Z979" s="121"/>
      <c r="AA979" s="121"/>
    </row>
    <row r="980" customFormat="false" ht="15.75" hidden="false" customHeight="false" outlineLevel="0" collapsed="false">
      <c r="A980" s="121" t="str">
        <f aca="false">IF(ISBLANK(B980),"",B980&amp;"|"&amp;C980)</f>
        <v/>
      </c>
      <c r="B980" s="121"/>
      <c r="C980" s="121"/>
      <c r="D980" s="121"/>
      <c r="E980" s="127"/>
      <c r="F980" s="121"/>
      <c r="G980" s="121"/>
      <c r="H980" s="121"/>
      <c r="I980" s="121"/>
      <c r="J980" s="121"/>
      <c r="K980" s="121"/>
      <c r="L980" s="121"/>
      <c r="M980" s="121"/>
      <c r="N980" s="121"/>
      <c r="O980" s="121"/>
      <c r="P980" s="121"/>
      <c r="Q980" s="121"/>
      <c r="R980" s="121"/>
      <c r="S980" s="121"/>
      <c r="T980" s="121"/>
      <c r="U980" s="121"/>
      <c r="V980" s="121"/>
      <c r="W980" s="121"/>
      <c r="X980" s="121"/>
      <c r="Y980" s="121"/>
      <c r="Z980" s="121"/>
      <c r="AA980" s="121"/>
    </row>
    <row r="981" customFormat="false" ht="15.75" hidden="false" customHeight="false" outlineLevel="0" collapsed="false">
      <c r="A981" s="121" t="str">
        <f aca="false">IF(ISBLANK(B981),"",B981&amp;"|"&amp;C981)</f>
        <v/>
      </c>
      <c r="B981" s="121"/>
      <c r="C981" s="121"/>
      <c r="D981" s="121"/>
      <c r="E981" s="127"/>
      <c r="F981" s="121"/>
      <c r="G981" s="121"/>
      <c r="H981" s="121"/>
      <c r="I981" s="121"/>
      <c r="J981" s="121"/>
      <c r="K981" s="121"/>
      <c r="L981" s="121"/>
      <c r="M981" s="121"/>
      <c r="N981" s="121"/>
      <c r="O981" s="121"/>
      <c r="P981" s="121"/>
      <c r="Q981" s="121"/>
      <c r="R981" s="121"/>
      <c r="S981" s="121"/>
      <c r="T981" s="121"/>
      <c r="U981" s="121"/>
      <c r="V981" s="121"/>
      <c r="W981" s="121"/>
      <c r="X981" s="121"/>
      <c r="Y981" s="121"/>
      <c r="Z981" s="121"/>
      <c r="AA981" s="121"/>
    </row>
    <row r="982" customFormat="false" ht="15.75" hidden="false" customHeight="false" outlineLevel="0" collapsed="false">
      <c r="A982" s="121" t="str">
        <f aca="false">IF(ISBLANK(B982),"",B982&amp;"|"&amp;C982)</f>
        <v/>
      </c>
      <c r="B982" s="121"/>
      <c r="C982" s="121"/>
      <c r="D982" s="121"/>
      <c r="E982" s="127"/>
      <c r="F982" s="121"/>
      <c r="G982" s="121"/>
      <c r="H982" s="121"/>
      <c r="I982" s="121"/>
      <c r="J982" s="121"/>
      <c r="K982" s="121"/>
      <c r="L982" s="121"/>
      <c r="M982" s="121"/>
      <c r="N982" s="121"/>
      <c r="O982" s="121"/>
      <c r="P982" s="121"/>
      <c r="Q982" s="121"/>
      <c r="R982" s="121"/>
      <c r="S982" s="121"/>
      <c r="T982" s="121"/>
      <c r="U982" s="121"/>
      <c r="V982" s="121"/>
      <c r="W982" s="121"/>
      <c r="X982" s="121"/>
      <c r="Y982" s="121"/>
      <c r="Z982" s="121"/>
      <c r="AA982" s="121"/>
    </row>
    <row r="983" customFormat="false" ht="15.75" hidden="false" customHeight="false" outlineLevel="0" collapsed="false">
      <c r="A983" s="121" t="str">
        <f aca="false">IF(ISBLANK(B983),"",B983&amp;"|"&amp;C983)</f>
        <v/>
      </c>
      <c r="B983" s="121"/>
      <c r="C983" s="121"/>
      <c r="D983" s="121"/>
      <c r="E983" s="127"/>
      <c r="F983" s="121"/>
      <c r="G983" s="121"/>
      <c r="H983" s="121"/>
      <c r="I983" s="121"/>
      <c r="J983" s="121"/>
      <c r="K983" s="121"/>
      <c r="L983" s="121"/>
      <c r="M983" s="121"/>
      <c r="N983" s="121"/>
      <c r="O983" s="121"/>
      <c r="P983" s="121"/>
      <c r="Q983" s="121"/>
      <c r="R983" s="121"/>
      <c r="S983" s="121"/>
      <c r="T983" s="121"/>
      <c r="U983" s="121"/>
      <c r="V983" s="121"/>
      <c r="W983" s="121"/>
      <c r="X983" s="121"/>
      <c r="Y983" s="121"/>
      <c r="Z983" s="121"/>
      <c r="AA983" s="121"/>
    </row>
    <row r="984" customFormat="false" ht="15.75" hidden="false" customHeight="false" outlineLevel="0" collapsed="false">
      <c r="A984" s="121" t="str">
        <f aca="false">IF(ISBLANK(B984),"",B984&amp;"|"&amp;C984)</f>
        <v/>
      </c>
      <c r="B984" s="121"/>
      <c r="C984" s="121"/>
      <c r="D984" s="121"/>
      <c r="E984" s="127"/>
      <c r="F984" s="121"/>
      <c r="G984" s="121"/>
      <c r="H984" s="121"/>
      <c r="I984" s="121"/>
      <c r="J984" s="121"/>
      <c r="K984" s="121"/>
      <c r="L984" s="121"/>
      <c r="M984" s="121"/>
      <c r="N984" s="121"/>
      <c r="O984" s="121"/>
      <c r="P984" s="121"/>
      <c r="Q984" s="121"/>
      <c r="R984" s="121"/>
      <c r="S984" s="121"/>
      <c r="T984" s="121"/>
      <c r="U984" s="121"/>
      <c r="V984" s="121"/>
      <c r="W984" s="121"/>
      <c r="X984" s="121"/>
      <c r="Y984" s="121"/>
      <c r="Z984" s="121"/>
      <c r="AA984" s="121"/>
    </row>
    <row r="985" customFormat="false" ht="15.75" hidden="false" customHeight="false" outlineLevel="0" collapsed="false">
      <c r="A985" s="121" t="str">
        <f aca="false">IF(ISBLANK(B985),"",B985&amp;"|"&amp;C985)</f>
        <v/>
      </c>
      <c r="B985" s="121"/>
      <c r="C985" s="121"/>
      <c r="D985" s="121"/>
      <c r="E985" s="127"/>
      <c r="F985" s="121"/>
      <c r="G985" s="121"/>
      <c r="H985" s="121"/>
      <c r="I985" s="121"/>
      <c r="J985" s="121"/>
      <c r="K985" s="121"/>
      <c r="L985" s="121"/>
      <c r="M985" s="121"/>
      <c r="N985" s="121"/>
      <c r="O985" s="121"/>
      <c r="P985" s="121"/>
      <c r="Q985" s="121"/>
      <c r="R985" s="121"/>
      <c r="S985" s="121"/>
      <c r="T985" s="121"/>
      <c r="U985" s="121"/>
      <c r="V985" s="121"/>
      <c r="W985" s="121"/>
      <c r="X985" s="121"/>
      <c r="Y985" s="121"/>
      <c r="Z985" s="121"/>
      <c r="AA985" s="121"/>
    </row>
    <row r="986" customFormat="false" ht="15.75" hidden="false" customHeight="false" outlineLevel="0" collapsed="false">
      <c r="A986" s="121" t="str">
        <f aca="false">IF(ISBLANK(B986),"",B986&amp;"|"&amp;C986)</f>
        <v/>
      </c>
      <c r="B986" s="121"/>
      <c r="C986" s="121"/>
      <c r="D986" s="121"/>
      <c r="E986" s="127"/>
      <c r="F986" s="121"/>
      <c r="G986" s="121"/>
      <c r="H986" s="121"/>
      <c r="I986" s="121"/>
      <c r="J986" s="121"/>
      <c r="K986" s="121"/>
      <c r="L986" s="121"/>
      <c r="M986" s="121"/>
      <c r="N986" s="121"/>
      <c r="O986" s="121"/>
      <c r="P986" s="121"/>
      <c r="Q986" s="121"/>
      <c r="R986" s="121"/>
      <c r="S986" s="121"/>
      <c r="T986" s="121"/>
      <c r="U986" s="121"/>
      <c r="V986" s="121"/>
      <c r="W986" s="121"/>
      <c r="X986" s="121"/>
      <c r="Y986" s="121"/>
      <c r="Z986" s="121"/>
      <c r="AA986" s="121"/>
    </row>
    <row r="987" customFormat="false" ht="15.75" hidden="false" customHeight="false" outlineLevel="0" collapsed="false">
      <c r="A987" s="121" t="str">
        <f aca="false">IF(ISBLANK(B987),"",B987&amp;"|"&amp;C987)</f>
        <v/>
      </c>
      <c r="B987" s="121"/>
      <c r="C987" s="121"/>
      <c r="D987" s="121"/>
      <c r="E987" s="127"/>
      <c r="F987" s="121"/>
      <c r="G987" s="121"/>
      <c r="H987" s="121"/>
      <c r="I987" s="121"/>
      <c r="J987" s="121"/>
      <c r="K987" s="121"/>
      <c r="L987" s="121"/>
      <c r="M987" s="121"/>
      <c r="N987" s="121"/>
      <c r="O987" s="121"/>
      <c r="P987" s="121"/>
      <c r="Q987" s="121"/>
      <c r="R987" s="121"/>
      <c r="S987" s="121"/>
      <c r="T987" s="121"/>
      <c r="U987" s="121"/>
      <c r="V987" s="121"/>
      <c r="W987" s="121"/>
      <c r="X987" s="121"/>
      <c r="Y987" s="121"/>
      <c r="Z987" s="121"/>
      <c r="AA987" s="121"/>
    </row>
    <row r="988" customFormat="false" ht="15.75" hidden="false" customHeight="false" outlineLevel="0" collapsed="false">
      <c r="A988" s="121" t="str">
        <f aca="false">IF(ISBLANK(B988),"",B988&amp;"|"&amp;C988)</f>
        <v/>
      </c>
      <c r="B988" s="121"/>
      <c r="C988" s="121"/>
      <c r="D988" s="121"/>
      <c r="E988" s="127"/>
      <c r="F988" s="121"/>
      <c r="G988" s="121"/>
      <c r="H988" s="121"/>
      <c r="I988" s="121"/>
      <c r="J988" s="121"/>
      <c r="K988" s="121"/>
      <c r="L988" s="121"/>
      <c r="M988" s="121"/>
      <c r="N988" s="121"/>
      <c r="O988" s="121"/>
      <c r="P988" s="121"/>
      <c r="Q988" s="121"/>
      <c r="R988" s="121"/>
      <c r="S988" s="121"/>
      <c r="T988" s="121"/>
      <c r="U988" s="121"/>
      <c r="V988" s="121"/>
      <c r="W988" s="121"/>
      <c r="X988" s="121"/>
      <c r="Y988" s="121"/>
      <c r="Z988" s="121"/>
      <c r="AA988" s="121"/>
    </row>
    <row r="989" customFormat="false" ht="15.75" hidden="false" customHeight="false" outlineLevel="0" collapsed="false">
      <c r="A989" s="121" t="str">
        <f aca="false">IF(ISBLANK(B989),"",B989&amp;"|"&amp;C989)</f>
        <v/>
      </c>
      <c r="B989" s="121"/>
      <c r="C989" s="121"/>
      <c r="D989" s="121"/>
      <c r="E989" s="127"/>
      <c r="F989" s="121"/>
      <c r="G989" s="121"/>
      <c r="H989" s="121"/>
      <c r="I989" s="121"/>
      <c r="J989" s="121"/>
      <c r="K989" s="121"/>
      <c r="L989" s="121"/>
      <c r="M989" s="121"/>
      <c r="N989" s="121"/>
      <c r="O989" s="121"/>
      <c r="P989" s="121"/>
      <c r="Q989" s="121"/>
      <c r="R989" s="121"/>
      <c r="S989" s="121"/>
      <c r="T989" s="121"/>
      <c r="U989" s="121"/>
      <c r="V989" s="121"/>
      <c r="W989" s="121"/>
      <c r="X989" s="121"/>
      <c r="Y989" s="121"/>
      <c r="Z989" s="121"/>
      <c r="AA989" s="121"/>
    </row>
    <row r="990" customFormat="false" ht="15.75" hidden="false" customHeight="false" outlineLevel="0" collapsed="false">
      <c r="A990" s="121" t="str">
        <f aca="false">IF(ISBLANK(B990),"",B990&amp;"|"&amp;C990)</f>
        <v/>
      </c>
      <c r="B990" s="121"/>
      <c r="C990" s="121"/>
      <c r="D990" s="121"/>
      <c r="E990" s="127"/>
      <c r="F990" s="121"/>
      <c r="G990" s="121"/>
      <c r="H990" s="121"/>
      <c r="I990" s="121"/>
      <c r="J990" s="121"/>
      <c r="K990" s="121"/>
      <c r="L990" s="121"/>
      <c r="M990" s="121"/>
      <c r="N990" s="121"/>
      <c r="O990" s="121"/>
      <c r="P990" s="121"/>
      <c r="Q990" s="121"/>
      <c r="R990" s="121"/>
      <c r="S990" s="121"/>
      <c r="T990" s="121"/>
      <c r="U990" s="121"/>
      <c r="V990" s="121"/>
      <c r="W990" s="121"/>
      <c r="X990" s="121"/>
      <c r="Y990" s="121"/>
      <c r="Z990" s="121"/>
      <c r="AA990" s="121"/>
    </row>
    <row r="991" customFormat="false" ht="15.75" hidden="false" customHeight="false" outlineLevel="0" collapsed="false">
      <c r="A991" s="121" t="str">
        <f aca="false">IF(ISBLANK(B991),"",B991&amp;"|"&amp;C991)</f>
        <v/>
      </c>
      <c r="B991" s="121"/>
      <c r="C991" s="121"/>
      <c r="D991" s="121"/>
      <c r="E991" s="127"/>
      <c r="F991" s="121"/>
      <c r="G991" s="121"/>
      <c r="H991" s="121"/>
      <c r="I991" s="121"/>
      <c r="J991" s="121"/>
      <c r="K991" s="121"/>
      <c r="L991" s="121"/>
      <c r="M991" s="121"/>
      <c r="N991" s="121"/>
      <c r="O991" s="121"/>
      <c r="P991" s="121"/>
      <c r="Q991" s="121"/>
      <c r="R991" s="121"/>
      <c r="S991" s="121"/>
      <c r="T991" s="121"/>
      <c r="U991" s="121"/>
      <c r="V991" s="121"/>
      <c r="W991" s="121"/>
      <c r="X991" s="121"/>
      <c r="Y991" s="121"/>
      <c r="Z991" s="121"/>
      <c r="AA991" s="121"/>
    </row>
    <row r="992" customFormat="false" ht="15.75" hidden="false" customHeight="false" outlineLevel="0" collapsed="false">
      <c r="A992" s="121" t="str">
        <f aca="false">IF(ISBLANK(B992),"",B992&amp;"|"&amp;C992)</f>
        <v/>
      </c>
      <c r="B992" s="121"/>
      <c r="C992" s="121"/>
      <c r="D992" s="121"/>
      <c r="E992" s="127"/>
      <c r="F992" s="121"/>
      <c r="G992" s="121"/>
      <c r="H992" s="121"/>
      <c r="I992" s="121"/>
      <c r="J992" s="121"/>
      <c r="K992" s="121"/>
      <c r="L992" s="121"/>
      <c r="M992" s="121"/>
      <c r="N992" s="121"/>
      <c r="O992" s="121"/>
      <c r="P992" s="121"/>
      <c r="Q992" s="121"/>
      <c r="R992" s="121"/>
      <c r="S992" s="121"/>
      <c r="T992" s="121"/>
      <c r="U992" s="121"/>
      <c r="V992" s="121"/>
      <c r="W992" s="121"/>
      <c r="X992" s="121"/>
      <c r="Y992" s="121"/>
      <c r="Z992" s="121"/>
      <c r="AA992" s="121"/>
    </row>
    <row r="993" customFormat="false" ht="15.75" hidden="false" customHeight="false" outlineLevel="0" collapsed="false">
      <c r="A993" s="121" t="str">
        <f aca="false">IF(ISBLANK(B993),"",B993&amp;"|"&amp;C993)</f>
        <v/>
      </c>
      <c r="B993" s="121"/>
      <c r="C993" s="121"/>
      <c r="D993" s="121"/>
      <c r="E993" s="127"/>
      <c r="F993" s="121"/>
      <c r="G993" s="121"/>
      <c r="H993" s="121"/>
      <c r="I993" s="121"/>
      <c r="J993" s="121"/>
      <c r="K993" s="121"/>
      <c r="L993" s="121"/>
      <c r="M993" s="121"/>
      <c r="N993" s="121"/>
      <c r="O993" s="121"/>
      <c r="P993" s="121"/>
      <c r="Q993" s="121"/>
      <c r="R993" s="121"/>
      <c r="S993" s="121"/>
      <c r="T993" s="121"/>
      <c r="U993" s="121"/>
      <c r="V993" s="121"/>
      <c r="W993" s="121"/>
      <c r="X993" s="121"/>
      <c r="Y993" s="121"/>
      <c r="Z993" s="121"/>
      <c r="AA993" s="121"/>
    </row>
    <row r="994" customFormat="false" ht="15.75" hidden="false" customHeight="false" outlineLevel="0" collapsed="false">
      <c r="A994" s="121" t="str">
        <f aca="false">IF(ISBLANK(B994),"",B994&amp;"|"&amp;C994)</f>
        <v/>
      </c>
      <c r="B994" s="121"/>
      <c r="C994" s="121"/>
      <c r="D994" s="121"/>
      <c r="E994" s="127"/>
      <c r="F994" s="121"/>
      <c r="G994" s="121"/>
      <c r="H994" s="121"/>
      <c r="I994" s="121"/>
      <c r="J994" s="121"/>
      <c r="K994" s="121"/>
      <c r="L994" s="121"/>
      <c r="M994" s="121"/>
      <c r="N994" s="121"/>
      <c r="O994" s="121"/>
      <c r="P994" s="121"/>
      <c r="Q994" s="121"/>
      <c r="R994" s="121"/>
      <c r="S994" s="121"/>
      <c r="T994" s="121"/>
      <c r="U994" s="121"/>
      <c r="V994" s="121"/>
      <c r="W994" s="121"/>
      <c r="X994" s="121"/>
      <c r="Y994" s="121"/>
      <c r="Z994" s="121"/>
      <c r="AA994" s="121"/>
    </row>
    <row r="995" customFormat="false" ht="15.75" hidden="false" customHeight="false" outlineLevel="0" collapsed="false">
      <c r="A995" s="121" t="str">
        <f aca="false">IF(ISBLANK(B995),"",B995&amp;"|"&amp;C995)</f>
        <v/>
      </c>
      <c r="B995" s="121"/>
      <c r="C995" s="121"/>
      <c r="D995" s="121"/>
      <c r="E995" s="127"/>
      <c r="F995" s="121"/>
      <c r="G995" s="121"/>
      <c r="H995" s="121"/>
      <c r="I995" s="121"/>
      <c r="J995" s="121"/>
      <c r="K995" s="121"/>
      <c r="L995" s="121"/>
      <c r="M995" s="121"/>
      <c r="N995" s="121"/>
      <c r="O995" s="121"/>
      <c r="P995" s="121"/>
      <c r="Q995" s="121"/>
      <c r="R995" s="121"/>
      <c r="S995" s="121"/>
      <c r="T995" s="121"/>
      <c r="U995" s="121"/>
      <c r="V995" s="121"/>
      <c r="W995" s="121"/>
      <c r="X995" s="121"/>
      <c r="Y995" s="121"/>
      <c r="Z995" s="121"/>
      <c r="AA995" s="121"/>
    </row>
    <row r="996" customFormat="false" ht="15.75" hidden="false" customHeight="false" outlineLevel="0" collapsed="false">
      <c r="A996" s="121" t="str">
        <f aca="false">IF(ISBLANK(B996),"",B996&amp;"|"&amp;C996)</f>
        <v/>
      </c>
      <c r="B996" s="121"/>
      <c r="C996" s="121"/>
      <c r="D996" s="121"/>
      <c r="E996" s="127"/>
      <c r="F996" s="121"/>
      <c r="G996" s="121"/>
      <c r="H996" s="121"/>
      <c r="I996" s="121"/>
      <c r="J996" s="121"/>
      <c r="K996" s="121"/>
      <c r="L996" s="121"/>
      <c r="M996" s="121"/>
      <c r="N996" s="121"/>
      <c r="O996" s="121"/>
      <c r="P996" s="121"/>
      <c r="Q996" s="121"/>
      <c r="R996" s="121"/>
      <c r="S996" s="121"/>
      <c r="T996" s="121"/>
      <c r="U996" s="121"/>
      <c r="V996" s="121"/>
      <c r="W996" s="121"/>
      <c r="X996" s="121"/>
      <c r="Y996" s="121"/>
      <c r="Z996" s="121"/>
      <c r="AA996" s="121"/>
    </row>
    <row r="997" customFormat="false" ht="15.75" hidden="false" customHeight="false" outlineLevel="0" collapsed="false">
      <c r="A997" s="121" t="str">
        <f aca="false">IF(ISBLANK(B997),"",B997&amp;"|"&amp;C997)</f>
        <v/>
      </c>
      <c r="B997" s="121"/>
      <c r="C997" s="121"/>
      <c r="D997" s="121"/>
      <c r="E997" s="127"/>
      <c r="F997" s="121"/>
      <c r="G997" s="121"/>
      <c r="H997" s="121"/>
      <c r="I997" s="121"/>
      <c r="J997" s="121"/>
      <c r="K997" s="121"/>
      <c r="L997" s="121"/>
      <c r="M997" s="121"/>
      <c r="N997" s="121"/>
      <c r="O997" s="121"/>
      <c r="P997" s="121"/>
      <c r="Q997" s="121"/>
      <c r="R997" s="121"/>
      <c r="S997" s="121"/>
      <c r="T997" s="121"/>
      <c r="U997" s="121"/>
      <c r="V997" s="121"/>
      <c r="W997" s="121"/>
      <c r="X997" s="121"/>
      <c r="Y997" s="121"/>
      <c r="Z997" s="121"/>
      <c r="AA997" s="121"/>
    </row>
    <row r="998" customFormat="false" ht="15.75" hidden="false" customHeight="false" outlineLevel="0" collapsed="false">
      <c r="A998" s="121" t="str">
        <f aca="false">IF(ISBLANK(B998),"",B998&amp;"|"&amp;C998)</f>
        <v/>
      </c>
      <c r="B998" s="121"/>
      <c r="C998" s="121"/>
      <c r="D998" s="121"/>
      <c r="E998" s="127"/>
      <c r="F998" s="121"/>
      <c r="G998" s="121"/>
      <c r="H998" s="121"/>
      <c r="I998" s="121"/>
      <c r="J998" s="121"/>
      <c r="K998" s="121"/>
      <c r="L998" s="121"/>
      <c r="M998" s="121"/>
      <c r="N998" s="121"/>
      <c r="O998" s="121"/>
      <c r="P998" s="121"/>
      <c r="Q998" s="121"/>
      <c r="R998" s="121"/>
      <c r="S998" s="121"/>
      <c r="T998" s="121"/>
      <c r="U998" s="121"/>
      <c r="V998" s="121"/>
      <c r="W998" s="121"/>
      <c r="X998" s="121"/>
      <c r="Y998" s="121"/>
      <c r="Z998" s="121"/>
      <c r="AA998" s="121"/>
    </row>
    <row r="999" customFormat="false" ht="15.75" hidden="false" customHeight="false" outlineLevel="0" collapsed="false">
      <c r="A999" s="121" t="str">
        <f aca="false">IF(ISBLANK(B999),"",B999&amp;"|"&amp;C999)</f>
        <v/>
      </c>
      <c r="B999" s="121"/>
      <c r="C999" s="121"/>
      <c r="D999" s="121"/>
      <c r="E999" s="127"/>
      <c r="F999" s="121"/>
      <c r="G999" s="121"/>
      <c r="H999" s="121"/>
      <c r="I999" s="121"/>
      <c r="J999" s="121"/>
      <c r="K999" s="121"/>
      <c r="L999" s="121"/>
      <c r="M999" s="121"/>
      <c r="N999" s="121"/>
      <c r="O999" s="121"/>
      <c r="P999" s="121"/>
      <c r="Q999" s="121"/>
      <c r="R999" s="121"/>
      <c r="S999" s="121"/>
      <c r="T999" s="121"/>
      <c r="U999" s="121"/>
      <c r="V999" s="121"/>
      <c r="W999" s="121"/>
      <c r="X999" s="121"/>
      <c r="Y999" s="121"/>
      <c r="Z999" s="121"/>
      <c r="AA999" s="121"/>
    </row>
    <row r="1000" customFormat="false" ht="15.75" hidden="false" customHeight="false" outlineLevel="0" collapsed="false">
      <c r="A1000" s="121" t="str">
        <f aca="false">IF(ISBLANK(B1000),"",B1000&amp;"|"&amp;C1000)</f>
        <v/>
      </c>
      <c r="B1000" s="121"/>
      <c r="C1000" s="121"/>
      <c r="D1000" s="121"/>
      <c r="E1000" s="127"/>
      <c r="F1000" s="121"/>
      <c r="G1000" s="121"/>
      <c r="H1000" s="121"/>
      <c r="I1000" s="121"/>
      <c r="J1000" s="121"/>
      <c r="K1000" s="121"/>
      <c r="L1000" s="121"/>
      <c r="M1000" s="121"/>
      <c r="N1000" s="121"/>
      <c r="O1000" s="121"/>
      <c r="P1000" s="121"/>
      <c r="Q1000" s="121"/>
      <c r="R1000" s="121"/>
      <c r="S1000" s="121"/>
      <c r="T1000" s="121"/>
      <c r="U1000" s="121"/>
      <c r="V1000" s="121"/>
      <c r="W1000" s="121"/>
      <c r="X1000" s="121"/>
      <c r="Y1000" s="121"/>
      <c r="Z1000" s="121"/>
      <c r="AA1000" s="121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5" activeCellId="0" sqref="B5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9.2"/>
    <col collapsed="false" customWidth="true" hidden="false" outlineLevel="0" max="2" min="2" style="1" width="15.85"/>
    <col collapsed="false" customWidth="false" hidden="true" outlineLevel="0" max="8" min="4" style="1" width="12.63"/>
  </cols>
  <sheetData>
    <row r="1" customFormat="false" ht="15.75" hidden="false" customHeight="false" outlineLevel="0" collapsed="false">
      <c r="A1" s="121" t="s">
        <v>86</v>
      </c>
      <c r="B1" s="121" t="s">
        <v>87</v>
      </c>
      <c r="C1" s="121"/>
      <c r="D1" s="121"/>
      <c r="E1" s="121"/>
      <c r="F1" s="121"/>
      <c r="G1" s="121"/>
      <c r="H1" s="121"/>
      <c r="I1" s="121"/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</row>
    <row r="2" customFormat="false" ht="15.75" hidden="false" customHeight="false" outlineLevel="0" collapsed="false">
      <c r="A2" s="121" t="s">
        <v>88</v>
      </c>
      <c r="B2" s="128" t="n">
        <v>46288</v>
      </c>
      <c r="C2" s="121"/>
      <c r="D2" s="121" t="s">
        <v>89</v>
      </c>
      <c r="E2" s="121" t="s">
        <v>90</v>
      </c>
      <c r="F2" s="121" t="s">
        <v>91</v>
      </c>
      <c r="G2" s="121" t="s">
        <v>92</v>
      </c>
      <c r="H2" s="121" t="s">
        <v>93</v>
      </c>
      <c r="I2" s="121"/>
      <c r="J2" s="121"/>
      <c r="K2" s="121"/>
      <c r="L2" s="121"/>
      <c r="M2" s="121"/>
      <c r="N2" s="121"/>
      <c r="O2" s="121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</row>
    <row r="3" customFormat="false" ht="15.75" hidden="false" customHeight="false" outlineLevel="0" collapsed="false">
      <c r="A3" s="121" t="s">
        <v>94</v>
      </c>
      <c r="B3" s="121" t="s">
        <v>84</v>
      </c>
      <c r="C3" s="121"/>
      <c r="D3" s="121" t="n">
        <f aca="false">FIND(".",B3)</f>
        <v>2</v>
      </c>
      <c r="E3" s="121" t="n">
        <f aca="false">FIND(".",B3,D3+1)</f>
        <v>4</v>
      </c>
      <c r="F3" s="121" t="str">
        <f aca="false">LEFT(B3,D3-1)</f>
        <v>0</v>
      </c>
      <c r="G3" s="121" t="str">
        <f aca="false">MID(B3,D3+1,E3-D3-1)</f>
        <v>1</v>
      </c>
      <c r="H3" s="121" t="str">
        <f aca="false">RIGHT(B3,LEN(B3)-E3)</f>
        <v>0</v>
      </c>
      <c r="I3" s="121"/>
      <c r="J3" s="121"/>
      <c r="K3" s="121"/>
      <c r="L3" s="121"/>
      <c r="M3" s="121"/>
      <c r="N3" s="121"/>
      <c r="O3" s="121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</row>
    <row r="4" customFormat="false" ht="15.75" hidden="false" customHeight="false" outlineLevel="0" collapsed="false">
      <c r="A4" s="121" t="s">
        <v>95</v>
      </c>
      <c r="B4" s="121" t="s">
        <v>96</v>
      </c>
      <c r="C4" s="121"/>
      <c r="D4" s="121"/>
      <c r="E4" s="121"/>
      <c r="F4" s="121"/>
      <c r="G4" s="121"/>
      <c r="H4" s="121"/>
      <c r="I4" s="121"/>
      <c r="J4" s="121"/>
      <c r="K4" s="121"/>
      <c r="L4" s="121"/>
      <c r="M4" s="121"/>
      <c r="N4" s="121"/>
      <c r="O4" s="121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</row>
    <row r="5" customFormat="false" ht="15.75" hidden="false" customHeight="false" outlineLevel="0" collapsed="false">
      <c r="A5" s="121" t="s">
        <v>97</v>
      </c>
      <c r="B5" s="121" t="n">
        <v>2027</v>
      </c>
      <c r="C5" s="121"/>
      <c r="D5" s="121"/>
      <c r="E5" s="121"/>
      <c r="F5" s="121"/>
      <c r="G5" s="121"/>
      <c r="H5" s="121"/>
      <c r="I5" s="121"/>
      <c r="J5" s="121"/>
      <c r="K5" s="121"/>
      <c r="L5" s="121"/>
      <c r="M5" s="121"/>
      <c r="N5" s="121"/>
      <c r="O5" s="121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</row>
    <row r="6" customFormat="false" ht="15.75" hidden="false" customHeight="false" outlineLevel="0" collapsed="false">
      <c r="A6" s="121" t="s">
        <v>98</v>
      </c>
      <c r="B6" s="121" t="str">
        <f aca="false">B1&amp;"|"&amp;B4</f>
        <v>Ping Pong Parachute|B/C</v>
      </c>
      <c r="C6" s="121"/>
      <c r="D6" s="121"/>
      <c r="E6" s="121"/>
      <c r="F6" s="121"/>
      <c r="G6" s="121"/>
      <c r="H6" s="121"/>
      <c r="I6" s="121"/>
      <c r="J6" s="121"/>
      <c r="K6" s="121"/>
      <c r="L6" s="121"/>
      <c r="M6" s="121"/>
      <c r="N6" s="121"/>
      <c r="O6" s="121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</row>
    <row r="7" customFormat="false" ht="15.75" hidden="false" customHeight="false" outlineLevel="0" collapsed="false">
      <c r="A7" s="121" t="s">
        <v>99</v>
      </c>
      <c r="B7" s="121"/>
      <c r="C7" s="121"/>
      <c r="D7" s="121" t="e">
        <f aca="false">FIND(".",B7)</f>
        <v>#VALUE!</v>
      </c>
      <c r="E7" s="121" t="e">
        <f aca="false">FIND(".",B7,D7+1)</f>
        <v>#VALUE!</v>
      </c>
      <c r="F7" s="121" t="e">
        <f aca="false">LEFT(B7,D7-1)</f>
        <v>#VALUE!</v>
      </c>
      <c r="G7" s="121" t="e">
        <f aca="false">MID(B7,D7+1,E7-D7-1)</f>
        <v>#VALUE!</v>
      </c>
      <c r="H7" s="121" t="e">
        <f aca="false">RIGHT(B7,LEN(B7)-E7)</f>
        <v>#VALUE!</v>
      </c>
      <c r="I7" s="121"/>
      <c r="J7" s="121"/>
      <c r="K7" s="121"/>
      <c r="L7" s="121"/>
      <c r="M7" s="121"/>
      <c r="N7" s="121"/>
      <c r="O7" s="121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</row>
    <row r="8" customFormat="false" ht="15.75" hidden="false" customHeight="false" outlineLevel="0" collapsed="false">
      <c r="A8" s="121" t="s">
        <v>100</v>
      </c>
      <c r="B8" s="121"/>
      <c r="C8" s="121"/>
      <c r="D8" s="121"/>
      <c r="E8" s="121"/>
      <c r="F8" s="121"/>
      <c r="G8" s="121"/>
      <c r="H8" s="121"/>
      <c r="I8" s="121"/>
      <c r="J8" s="121"/>
      <c r="K8" s="121"/>
      <c r="L8" s="121"/>
      <c r="M8" s="121"/>
      <c r="N8" s="121"/>
      <c r="O8" s="121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</row>
    <row r="9" customFormat="false" ht="15.75" hidden="false" customHeight="false" outlineLevel="0" collapsed="false">
      <c r="A9" s="121"/>
      <c r="B9" s="121"/>
      <c r="C9" s="121"/>
      <c r="D9" s="121"/>
      <c r="E9" s="121"/>
      <c r="F9" s="121"/>
      <c r="G9" s="121"/>
      <c r="H9" s="121"/>
      <c r="I9" s="121"/>
      <c r="J9" s="121"/>
      <c r="K9" s="121"/>
      <c r="L9" s="121"/>
      <c r="M9" s="121"/>
      <c r="N9" s="121"/>
      <c r="O9" s="121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</row>
    <row r="10" customFormat="false" ht="15.75" hidden="false" customHeight="false" outlineLevel="0" collapsed="false">
      <c r="A10" s="121"/>
      <c r="B10" s="121"/>
      <c r="C10" s="121"/>
      <c r="D10" s="121"/>
      <c r="E10" s="121"/>
      <c r="F10" s="121"/>
      <c r="G10" s="121"/>
      <c r="H10" s="121"/>
      <c r="I10" s="121"/>
      <c r="J10" s="121"/>
      <c r="K10" s="121"/>
      <c r="L10" s="121"/>
      <c r="M10" s="121"/>
      <c r="N10" s="121"/>
      <c r="O10" s="121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1"/>
    </row>
    <row r="11" customFormat="false" ht="15.75" hidden="false" customHeight="false" outlineLevel="0" collapsed="false">
      <c r="A11" s="121"/>
      <c r="B11" s="121"/>
      <c r="C11" s="121"/>
      <c r="D11" s="121"/>
      <c r="E11" s="121"/>
      <c r="F11" s="121"/>
      <c r="G11" s="121"/>
      <c r="H11" s="121"/>
      <c r="I11" s="121"/>
      <c r="J11" s="121"/>
      <c r="K11" s="121"/>
      <c r="L11" s="121"/>
      <c r="M11" s="121"/>
      <c r="N11" s="121"/>
      <c r="O11" s="121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</row>
    <row r="12" customFormat="false" ht="15.75" hidden="false" customHeight="false" outlineLevel="0" collapsed="false">
      <c r="A12" s="121"/>
      <c r="B12" s="121"/>
      <c r="C12" s="121"/>
      <c r="D12" s="121"/>
      <c r="E12" s="121"/>
      <c r="F12" s="121"/>
      <c r="G12" s="121"/>
      <c r="H12" s="121"/>
      <c r="I12" s="121"/>
      <c r="J12" s="121"/>
      <c r="K12" s="121"/>
      <c r="L12" s="121"/>
      <c r="M12" s="121"/>
      <c r="N12" s="121"/>
      <c r="O12" s="121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</row>
    <row r="13" customFormat="false" ht="15.75" hidden="false" customHeight="false" outlineLevel="0" collapsed="false">
      <c r="A13" s="121"/>
      <c r="B13" s="121"/>
      <c r="C13" s="121"/>
      <c r="D13" s="121"/>
      <c r="E13" s="121"/>
      <c r="F13" s="121"/>
      <c r="G13" s="121"/>
      <c r="H13" s="121"/>
      <c r="I13" s="121"/>
      <c r="J13" s="121"/>
      <c r="K13" s="121"/>
      <c r="L13" s="121"/>
      <c r="M13" s="121"/>
      <c r="N13" s="121"/>
      <c r="O13" s="121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</row>
    <row r="14" customFormat="false" ht="15.75" hidden="false" customHeight="false" outlineLevel="0" collapsed="false">
      <c r="A14" s="121"/>
      <c r="B14" s="121"/>
      <c r="C14" s="121"/>
      <c r="D14" s="121"/>
      <c r="E14" s="121"/>
      <c r="F14" s="121"/>
      <c r="G14" s="121"/>
      <c r="H14" s="121"/>
      <c r="I14" s="121"/>
      <c r="J14" s="121"/>
      <c r="K14" s="121"/>
      <c r="L14" s="121"/>
      <c r="M14" s="121"/>
      <c r="N14" s="121"/>
      <c r="O14" s="121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</row>
    <row r="15" customFormat="false" ht="15.75" hidden="false" customHeight="false" outlineLevel="0" collapsed="false">
      <c r="A15" s="121"/>
      <c r="B15" s="121"/>
      <c r="C15" s="121"/>
      <c r="D15" s="121"/>
      <c r="E15" s="121"/>
      <c r="F15" s="121"/>
      <c r="G15" s="121"/>
      <c r="H15" s="121"/>
      <c r="I15" s="121"/>
      <c r="J15" s="121"/>
      <c r="K15" s="121"/>
      <c r="L15" s="121"/>
      <c r="M15" s="121"/>
      <c r="N15" s="121"/>
      <c r="O15" s="121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</row>
    <row r="16" customFormat="false" ht="15.75" hidden="false" customHeight="false" outlineLevel="0" collapsed="false">
      <c r="A16" s="121"/>
      <c r="B16" s="121"/>
      <c r="C16" s="121"/>
      <c r="D16" s="121"/>
      <c r="E16" s="121"/>
      <c r="F16" s="121"/>
      <c r="G16" s="121"/>
      <c r="H16" s="121"/>
      <c r="I16" s="121"/>
      <c r="J16" s="121"/>
      <c r="K16" s="121"/>
      <c r="L16" s="121"/>
      <c r="M16" s="121"/>
      <c r="N16" s="121"/>
      <c r="O16" s="121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</row>
    <row r="17" customFormat="false" ht="15.75" hidden="false" customHeight="false" outlineLevel="0" collapsed="false">
      <c r="A17" s="121"/>
      <c r="B17" s="121"/>
      <c r="C17" s="121"/>
      <c r="D17" s="121"/>
      <c r="E17" s="121"/>
      <c r="F17" s="121"/>
      <c r="G17" s="121"/>
      <c r="H17" s="121"/>
      <c r="I17" s="121"/>
      <c r="J17" s="121"/>
      <c r="K17" s="121"/>
      <c r="L17" s="121"/>
      <c r="M17" s="121"/>
      <c r="N17" s="121"/>
      <c r="O17" s="121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</row>
    <row r="18" customFormat="false" ht="15.75" hidden="false" customHeight="false" outlineLevel="0" collapsed="false">
      <c r="A18" s="121"/>
      <c r="B18" s="121"/>
      <c r="C18" s="121"/>
      <c r="D18" s="121"/>
      <c r="E18" s="121"/>
      <c r="F18" s="121"/>
      <c r="G18" s="121"/>
      <c r="H18" s="121"/>
      <c r="I18" s="121"/>
      <c r="J18" s="121"/>
      <c r="K18" s="121"/>
      <c r="L18" s="121"/>
      <c r="M18" s="121"/>
      <c r="N18" s="121"/>
      <c r="O18" s="121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</row>
    <row r="19" customFormat="false" ht="15.75" hidden="false" customHeight="false" outlineLevel="0" collapsed="false">
      <c r="A19" s="121"/>
      <c r="B19" s="121"/>
      <c r="C19" s="121"/>
      <c r="D19" s="121"/>
      <c r="E19" s="121"/>
      <c r="F19" s="121"/>
      <c r="G19" s="121"/>
      <c r="H19" s="121"/>
      <c r="I19" s="121"/>
      <c r="J19" s="121"/>
      <c r="K19" s="121"/>
      <c r="L19" s="121"/>
      <c r="M19" s="121"/>
      <c r="N19" s="121"/>
      <c r="O19" s="121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</row>
    <row r="20" customFormat="false" ht="15.75" hidden="false" customHeight="false" outlineLevel="0" collapsed="false">
      <c r="A20" s="121"/>
      <c r="B20" s="121"/>
      <c r="C20" s="121"/>
      <c r="D20" s="121"/>
      <c r="E20" s="121"/>
      <c r="F20" s="121"/>
      <c r="G20" s="121"/>
      <c r="H20" s="121"/>
      <c r="I20" s="121"/>
      <c r="J20" s="121"/>
      <c r="K20" s="121"/>
      <c r="L20" s="121"/>
      <c r="M20" s="121"/>
      <c r="N20" s="121"/>
      <c r="O20" s="121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</row>
    <row r="21" customFormat="false" ht="15.75" hidden="false" customHeight="false" outlineLevel="0" collapsed="false">
      <c r="A21" s="121"/>
      <c r="B21" s="121"/>
      <c r="C21" s="121"/>
      <c r="D21" s="121"/>
      <c r="E21" s="121"/>
      <c r="F21" s="121"/>
      <c r="G21" s="121"/>
      <c r="H21" s="121"/>
      <c r="I21" s="121"/>
      <c r="J21" s="121"/>
      <c r="K21" s="121"/>
      <c r="L21" s="121"/>
      <c r="M21" s="121"/>
      <c r="N21" s="121"/>
      <c r="O21" s="121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</row>
    <row r="22" customFormat="false" ht="15.75" hidden="false" customHeight="false" outlineLevel="0" collapsed="false">
      <c r="A22" s="121"/>
      <c r="B22" s="121"/>
      <c r="C22" s="121"/>
      <c r="D22" s="121"/>
      <c r="E22" s="121"/>
      <c r="F22" s="121"/>
      <c r="G22" s="121"/>
      <c r="H22" s="121"/>
      <c r="I22" s="121"/>
      <c r="J22" s="121"/>
      <c r="K22" s="121"/>
      <c r="L22" s="121"/>
      <c r="M22" s="121"/>
      <c r="N22" s="121"/>
      <c r="O22" s="121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</row>
    <row r="23" customFormat="false" ht="15.75" hidden="false" customHeight="false" outlineLevel="0" collapsed="false">
      <c r="A23" s="121"/>
      <c r="B23" s="121"/>
      <c r="C23" s="121"/>
      <c r="D23" s="121"/>
      <c r="E23" s="121"/>
      <c r="F23" s="121"/>
      <c r="G23" s="121"/>
      <c r="H23" s="121"/>
      <c r="I23" s="121"/>
      <c r="J23" s="121"/>
      <c r="K23" s="121"/>
      <c r="L23" s="121"/>
      <c r="M23" s="121"/>
      <c r="N23" s="121"/>
      <c r="O23" s="121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</row>
    <row r="24" customFormat="false" ht="15.75" hidden="false" customHeight="false" outlineLevel="0" collapsed="false">
      <c r="A24" s="121"/>
      <c r="B24" s="121"/>
      <c r="C24" s="121"/>
      <c r="D24" s="121"/>
      <c r="E24" s="121"/>
      <c r="F24" s="121"/>
      <c r="G24" s="121"/>
      <c r="H24" s="121"/>
      <c r="I24" s="121"/>
      <c r="J24" s="121"/>
      <c r="K24" s="121"/>
      <c r="L24" s="121"/>
      <c r="M24" s="121"/>
      <c r="N24" s="121"/>
      <c r="O24" s="121"/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</row>
    <row r="25" customFormat="false" ht="15.75" hidden="false" customHeight="false" outlineLevel="0" collapsed="false">
      <c r="A25" s="121"/>
      <c r="B25" s="121"/>
      <c r="C25" s="121"/>
      <c r="D25" s="121"/>
      <c r="E25" s="121"/>
      <c r="F25" s="121"/>
      <c r="G25" s="121"/>
      <c r="H25" s="121"/>
      <c r="I25" s="121"/>
      <c r="J25" s="121"/>
      <c r="K25" s="121"/>
      <c r="L25" s="121"/>
      <c r="M25" s="121"/>
      <c r="N25" s="121"/>
      <c r="O25" s="121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</row>
    <row r="26" customFormat="false" ht="15.75" hidden="false" customHeight="false" outlineLevel="0" collapsed="false">
      <c r="A26" s="121"/>
      <c r="B26" s="121"/>
      <c r="C26" s="121"/>
      <c r="D26" s="121"/>
      <c r="E26" s="121"/>
      <c r="F26" s="121"/>
      <c r="G26" s="121"/>
      <c r="H26" s="121"/>
      <c r="I26" s="121"/>
      <c r="J26" s="121"/>
      <c r="K26" s="121"/>
      <c r="L26" s="121"/>
      <c r="M26" s="121"/>
      <c r="N26" s="121"/>
      <c r="O26" s="121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</row>
    <row r="27" customFormat="false" ht="15.75" hidden="false" customHeight="false" outlineLevel="0" collapsed="false">
      <c r="A27" s="121"/>
      <c r="B27" s="121"/>
      <c r="C27" s="121"/>
      <c r="D27" s="121"/>
      <c r="E27" s="121"/>
      <c r="F27" s="121"/>
      <c r="G27" s="121"/>
      <c r="H27" s="121"/>
      <c r="I27" s="121"/>
      <c r="J27" s="121"/>
      <c r="K27" s="121"/>
      <c r="L27" s="121"/>
      <c r="M27" s="121"/>
      <c r="N27" s="121"/>
      <c r="O27" s="121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</row>
    <row r="28" customFormat="false" ht="15.75" hidden="false" customHeight="false" outlineLevel="0" collapsed="false">
      <c r="A28" s="121"/>
      <c r="B28" s="121"/>
      <c r="C28" s="121"/>
      <c r="D28" s="121"/>
      <c r="E28" s="121"/>
      <c r="F28" s="121"/>
      <c r="G28" s="121"/>
      <c r="H28" s="121"/>
      <c r="I28" s="121"/>
      <c r="J28" s="121"/>
      <c r="K28" s="121"/>
      <c r="L28" s="121"/>
      <c r="M28" s="121"/>
      <c r="N28" s="121"/>
      <c r="O28" s="121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</row>
    <row r="29" customFormat="false" ht="15.75" hidden="false" customHeight="false" outlineLevel="0" collapsed="false">
      <c r="A29" s="121"/>
      <c r="B29" s="121"/>
      <c r="C29" s="121"/>
      <c r="D29" s="121"/>
      <c r="E29" s="121"/>
      <c r="F29" s="121"/>
      <c r="G29" s="121"/>
      <c r="H29" s="121"/>
      <c r="I29" s="121"/>
      <c r="J29" s="121"/>
      <c r="K29" s="121"/>
      <c r="L29" s="121"/>
      <c r="M29" s="121"/>
      <c r="N29" s="121"/>
      <c r="O29" s="121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</row>
    <row r="30" customFormat="false" ht="15.75" hidden="false" customHeight="false" outlineLevel="0" collapsed="false">
      <c r="A30" s="121"/>
      <c r="B30" s="121"/>
      <c r="C30" s="121"/>
      <c r="D30" s="121"/>
      <c r="E30" s="121"/>
      <c r="F30" s="121"/>
      <c r="G30" s="121"/>
      <c r="H30" s="121"/>
      <c r="I30" s="121"/>
      <c r="J30" s="121"/>
      <c r="K30" s="121"/>
      <c r="L30" s="121"/>
      <c r="M30" s="121"/>
      <c r="N30" s="121"/>
      <c r="O30" s="121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</row>
    <row r="31" customFormat="false" ht="15.75" hidden="false" customHeight="false" outlineLevel="0" collapsed="false">
      <c r="A31" s="121"/>
      <c r="B31" s="121"/>
      <c r="C31" s="121"/>
      <c r="D31" s="121"/>
      <c r="E31" s="121"/>
      <c r="F31" s="121"/>
      <c r="G31" s="121"/>
      <c r="H31" s="121"/>
      <c r="I31" s="121"/>
      <c r="J31" s="121"/>
      <c r="K31" s="121"/>
      <c r="L31" s="121"/>
      <c r="M31" s="121"/>
      <c r="N31" s="121"/>
      <c r="O31" s="121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</row>
    <row r="32" customFormat="false" ht="15.75" hidden="false" customHeight="false" outlineLevel="0" collapsed="false">
      <c r="A32" s="121"/>
      <c r="B32" s="121"/>
      <c r="C32" s="121"/>
      <c r="D32" s="121"/>
      <c r="E32" s="121"/>
      <c r="F32" s="121"/>
      <c r="G32" s="121"/>
      <c r="H32" s="121"/>
      <c r="I32" s="121"/>
      <c r="J32" s="121"/>
      <c r="K32" s="121"/>
      <c r="L32" s="121"/>
      <c r="M32" s="121"/>
      <c r="N32" s="121"/>
      <c r="O32" s="121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</row>
    <row r="33" customFormat="false" ht="15.75" hidden="false" customHeight="false" outlineLevel="0" collapsed="false">
      <c r="A33" s="121"/>
      <c r="B33" s="121"/>
      <c r="C33" s="121"/>
      <c r="D33" s="121"/>
      <c r="E33" s="121"/>
      <c r="F33" s="121"/>
      <c r="G33" s="121"/>
      <c r="H33" s="121"/>
      <c r="I33" s="121"/>
      <c r="J33" s="121"/>
      <c r="K33" s="121"/>
      <c r="L33" s="121"/>
      <c r="M33" s="121"/>
      <c r="N33" s="121"/>
      <c r="O33" s="121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</row>
    <row r="34" customFormat="false" ht="15.75" hidden="false" customHeight="false" outlineLevel="0" collapsed="false">
      <c r="A34" s="121"/>
      <c r="B34" s="121"/>
      <c r="C34" s="121"/>
      <c r="D34" s="121"/>
      <c r="E34" s="121"/>
      <c r="F34" s="121"/>
      <c r="G34" s="121"/>
      <c r="H34" s="121"/>
      <c r="I34" s="121"/>
      <c r="J34" s="121"/>
      <c r="K34" s="121"/>
      <c r="L34" s="121"/>
      <c r="M34" s="121"/>
      <c r="N34" s="121"/>
      <c r="O34" s="121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</row>
    <row r="35" customFormat="false" ht="15.75" hidden="false" customHeight="false" outlineLevel="0" collapsed="false">
      <c r="A35" s="121"/>
      <c r="B35" s="121"/>
      <c r="C35" s="121"/>
      <c r="D35" s="121"/>
      <c r="E35" s="121"/>
      <c r="F35" s="121"/>
      <c r="G35" s="121"/>
      <c r="H35" s="121"/>
      <c r="I35" s="121"/>
      <c r="J35" s="121"/>
      <c r="K35" s="121"/>
      <c r="L35" s="121"/>
      <c r="M35" s="121"/>
      <c r="N35" s="121"/>
      <c r="O35" s="121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</row>
    <row r="36" customFormat="false" ht="15.75" hidden="false" customHeight="false" outlineLevel="0" collapsed="false">
      <c r="A36" s="121"/>
      <c r="B36" s="121"/>
      <c r="C36" s="121"/>
      <c r="D36" s="121"/>
      <c r="E36" s="121"/>
      <c r="F36" s="121"/>
      <c r="G36" s="121"/>
      <c r="H36" s="121"/>
      <c r="I36" s="121"/>
      <c r="J36" s="121"/>
      <c r="K36" s="121"/>
      <c r="L36" s="121"/>
      <c r="M36" s="121"/>
      <c r="N36" s="121"/>
      <c r="O36" s="121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</row>
    <row r="37" customFormat="false" ht="15.75" hidden="false" customHeight="false" outlineLevel="0" collapsed="false">
      <c r="A37" s="121"/>
      <c r="B37" s="121"/>
      <c r="C37" s="121"/>
      <c r="D37" s="121"/>
      <c r="E37" s="121"/>
      <c r="F37" s="121"/>
      <c r="G37" s="121"/>
      <c r="H37" s="121"/>
      <c r="I37" s="121"/>
      <c r="J37" s="121"/>
      <c r="K37" s="121"/>
      <c r="L37" s="121"/>
      <c r="M37" s="121"/>
      <c r="N37" s="121"/>
      <c r="O37" s="121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</row>
    <row r="38" customFormat="false" ht="15.75" hidden="false" customHeight="false" outlineLevel="0" collapsed="false">
      <c r="A38" s="121"/>
      <c r="B38" s="121"/>
      <c r="C38" s="121"/>
      <c r="D38" s="121"/>
      <c r="E38" s="121"/>
      <c r="F38" s="121"/>
      <c r="G38" s="121"/>
      <c r="H38" s="121"/>
      <c r="I38" s="121"/>
      <c r="J38" s="121"/>
      <c r="K38" s="121"/>
      <c r="L38" s="121"/>
      <c r="M38" s="121"/>
      <c r="N38" s="121"/>
      <c r="O38" s="121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</row>
    <row r="39" customFormat="false" ht="15.75" hidden="false" customHeight="false" outlineLevel="0" collapsed="false">
      <c r="A39" s="121"/>
      <c r="B39" s="121"/>
      <c r="C39" s="121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1"/>
      <c r="O39" s="121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</row>
    <row r="40" customFormat="false" ht="15.75" hidden="false" customHeight="false" outlineLevel="0" collapsed="false">
      <c r="A40" s="121"/>
      <c r="B40" s="121"/>
      <c r="C40" s="121"/>
      <c r="D40" s="121"/>
      <c r="E40" s="121"/>
      <c r="F40" s="121"/>
      <c r="G40" s="121"/>
      <c r="H40" s="121"/>
      <c r="I40" s="121"/>
      <c r="J40" s="121"/>
      <c r="K40" s="121"/>
      <c r="L40" s="121"/>
      <c r="M40" s="121"/>
      <c r="N40" s="121"/>
      <c r="O40" s="121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</row>
    <row r="41" customFormat="false" ht="15.75" hidden="false" customHeight="false" outlineLevel="0" collapsed="false">
      <c r="A41" s="121"/>
      <c r="B41" s="121"/>
      <c r="C41" s="121"/>
      <c r="D41" s="121"/>
      <c r="E41" s="121"/>
      <c r="F41" s="121"/>
      <c r="G41" s="121"/>
      <c r="H41" s="121"/>
      <c r="I41" s="121"/>
      <c r="J41" s="121"/>
      <c r="K41" s="121"/>
      <c r="L41" s="121"/>
      <c r="M41" s="121"/>
      <c r="N41" s="121"/>
      <c r="O41" s="121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</row>
    <row r="42" customFormat="false" ht="15.75" hidden="false" customHeight="false" outlineLevel="0" collapsed="false">
      <c r="A42" s="121"/>
      <c r="B42" s="121"/>
      <c r="C42" s="121"/>
      <c r="D42" s="121"/>
      <c r="E42" s="121"/>
      <c r="F42" s="121"/>
      <c r="G42" s="121"/>
      <c r="H42" s="121"/>
      <c r="I42" s="121"/>
      <c r="J42" s="121"/>
      <c r="K42" s="121"/>
      <c r="L42" s="121"/>
      <c r="M42" s="121"/>
      <c r="N42" s="121"/>
      <c r="O42" s="121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</row>
    <row r="43" customFormat="false" ht="15.75" hidden="false" customHeight="false" outlineLevel="0" collapsed="false">
      <c r="A43" s="121"/>
      <c r="B43" s="121"/>
      <c r="C43" s="121"/>
      <c r="D43" s="121"/>
      <c r="E43" s="121"/>
      <c r="F43" s="121"/>
      <c r="G43" s="121"/>
      <c r="H43" s="121"/>
      <c r="I43" s="121"/>
      <c r="J43" s="121"/>
      <c r="K43" s="121"/>
      <c r="L43" s="121"/>
      <c r="M43" s="121"/>
      <c r="N43" s="121"/>
      <c r="O43" s="121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</row>
    <row r="44" customFormat="false" ht="15.75" hidden="false" customHeight="false" outlineLevel="0" collapsed="false">
      <c r="A44" s="121"/>
      <c r="B44" s="121"/>
      <c r="C44" s="121"/>
      <c r="D44" s="121"/>
      <c r="E44" s="121"/>
      <c r="F44" s="121"/>
      <c r="G44" s="121"/>
      <c r="H44" s="121"/>
      <c r="I44" s="121"/>
      <c r="J44" s="121"/>
      <c r="K44" s="121"/>
      <c r="L44" s="121"/>
      <c r="M44" s="121"/>
      <c r="N44" s="121"/>
      <c r="O44" s="121"/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</row>
    <row r="45" customFormat="false" ht="15.75" hidden="false" customHeight="false" outlineLevel="0" collapsed="false">
      <c r="A45" s="121"/>
      <c r="B45" s="121"/>
      <c r="C45" s="121"/>
      <c r="D45" s="121"/>
      <c r="E45" s="121"/>
      <c r="F45" s="121"/>
      <c r="G45" s="121"/>
      <c r="H45" s="121"/>
      <c r="I45" s="121"/>
      <c r="J45" s="121"/>
      <c r="K45" s="121"/>
      <c r="L45" s="121"/>
      <c r="M45" s="121"/>
      <c r="N45" s="121"/>
      <c r="O45" s="121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</row>
    <row r="46" customFormat="false" ht="15.75" hidden="false" customHeight="false" outlineLevel="0" collapsed="false">
      <c r="A46" s="121"/>
      <c r="B46" s="121"/>
      <c r="C46" s="121"/>
      <c r="D46" s="121"/>
      <c r="E46" s="121"/>
      <c r="F46" s="121"/>
      <c r="G46" s="121"/>
      <c r="H46" s="121"/>
      <c r="I46" s="121"/>
      <c r="J46" s="121"/>
      <c r="K46" s="121"/>
      <c r="L46" s="121"/>
      <c r="M46" s="121"/>
      <c r="N46" s="121"/>
      <c r="O46" s="121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</row>
    <row r="47" customFormat="false" ht="15.75" hidden="false" customHeight="false" outlineLevel="0" collapsed="false">
      <c r="A47" s="121"/>
      <c r="B47" s="121"/>
      <c r="C47" s="121"/>
      <c r="D47" s="121"/>
      <c r="E47" s="121"/>
      <c r="F47" s="121"/>
      <c r="G47" s="121"/>
      <c r="H47" s="121"/>
      <c r="I47" s="121"/>
      <c r="J47" s="121"/>
      <c r="K47" s="121"/>
      <c r="L47" s="121"/>
      <c r="M47" s="121"/>
      <c r="N47" s="121"/>
      <c r="O47" s="121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</row>
    <row r="48" customFormat="false" ht="15.75" hidden="false" customHeight="false" outlineLevel="0" collapsed="false">
      <c r="A48" s="121"/>
      <c r="B48" s="121"/>
      <c r="C48" s="121"/>
      <c r="D48" s="121"/>
      <c r="E48" s="121"/>
      <c r="F48" s="121"/>
      <c r="G48" s="121"/>
      <c r="H48" s="121"/>
      <c r="I48" s="121"/>
      <c r="J48" s="121"/>
      <c r="K48" s="121"/>
      <c r="L48" s="121"/>
      <c r="M48" s="121"/>
      <c r="N48" s="121"/>
      <c r="O48" s="121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</row>
    <row r="49" customFormat="false" ht="15.75" hidden="false" customHeight="false" outlineLevel="0" collapsed="false">
      <c r="A49" s="121"/>
      <c r="B49" s="121"/>
      <c r="C49" s="121"/>
      <c r="D49" s="121"/>
      <c r="E49" s="121"/>
      <c r="F49" s="121"/>
      <c r="G49" s="121"/>
      <c r="H49" s="121"/>
      <c r="I49" s="121"/>
      <c r="J49" s="121"/>
      <c r="K49" s="121"/>
      <c r="L49" s="121"/>
      <c r="M49" s="121"/>
      <c r="N49" s="121"/>
      <c r="O49" s="121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</row>
    <row r="50" customFormat="false" ht="15.75" hidden="false" customHeight="false" outlineLevel="0" collapsed="false">
      <c r="A50" s="121"/>
      <c r="B50" s="121"/>
      <c r="C50" s="121"/>
      <c r="D50" s="121"/>
      <c r="E50" s="121"/>
      <c r="F50" s="121"/>
      <c r="G50" s="121"/>
      <c r="H50" s="121"/>
      <c r="I50" s="121"/>
      <c r="J50" s="121"/>
      <c r="K50" s="121"/>
      <c r="L50" s="121"/>
      <c r="M50" s="121"/>
      <c r="N50" s="121"/>
      <c r="O50" s="121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</row>
    <row r="51" customFormat="false" ht="15.75" hidden="false" customHeight="false" outlineLevel="0" collapsed="false">
      <c r="A51" s="121"/>
      <c r="B51" s="121"/>
      <c r="C51" s="121"/>
      <c r="D51" s="121"/>
      <c r="E51" s="121"/>
      <c r="F51" s="121"/>
      <c r="G51" s="121"/>
      <c r="H51" s="121"/>
      <c r="I51" s="121"/>
      <c r="J51" s="121"/>
      <c r="K51" s="121"/>
      <c r="L51" s="121"/>
      <c r="M51" s="121"/>
      <c r="N51" s="121"/>
      <c r="O51" s="121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</row>
    <row r="52" customFormat="false" ht="15.75" hidden="false" customHeight="false" outlineLevel="0" collapsed="false">
      <c r="A52" s="121"/>
      <c r="B52" s="121"/>
      <c r="C52" s="121"/>
      <c r="D52" s="121"/>
      <c r="E52" s="121"/>
      <c r="F52" s="121"/>
      <c r="G52" s="121"/>
      <c r="H52" s="121"/>
      <c r="I52" s="121"/>
      <c r="J52" s="121"/>
      <c r="K52" s="121"/>
      <c r="L52" s="121"/>
      <c r="M52" s="121"/>
      <c r="N52" s="121"/>
      <c r="O52" s="121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</row>
    <row r="53" customFormat="false" ht="15.75" hidden="false" customHeight="false" outlineLevel="0" collapsed="false">
      <c r="A53" s="121"/>
      <c r="B53" s="121"/>
      <c r="C53" s="121"/>
      <c r="D53" s="121"/>
      <c r="E53" s="121"/>
      <c r="F53" s="121"/>
      <c r="G53" s="121"/>
      <c r="H53" s="121"/>
      <c r="I53" s="121"/>
      <c r="J53" s="121"/>
      <c r="K53" s="121"/>
      <c r="L53" s="121"/>
      <c r="M53" s="121"/>
      <c r="N53" s="121"/>
      <c r="O53" s="121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</row>
    <row r="54" customFormat="false" ht="15.75" hidden="false" customHeight="false" outlineLevel="0" collapsed="false">
      <c r="A54" s="121"/>
      <c r="B54" s="121"/>
      <c r="C54" s="121"/>
      <c r="D54" s="121"/>
      <c r="E54" s="121"/>
      <c r="F54" s="121"/>
      <c r="G54" s="121"/>
      <c r="H54" s="121"/>
      <c r="I54" s="121"/>
      <c r="J54" s="121"/>
      <c r="K54" s="121"/>
      <c r="L54" s="121"/>
      <c r="M54" s="121"/>
      <c r="N54" s="121"/>
      <c r="O54" s="121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</row>
    <row r="55" customFormat="false" ht="15.75" hidden="false" customHeight="false" outlineLevel="0" collapsed="false">
      <c r="A55" s="121"/>
      <c r="B55" s="121"/>
      <c r="C55" s="121"/>
      <c r="D55" s="121"/>
      <c r="E55" s="121"/>
      <c r="F55" s="121"/>
      <c r="G55" s="121"/>
      <c r="H55" s="121"/>
      <c r="I55" s="121"/>
      <c r="J55" s="121"/>
      <c r="K55" s="121"/>
      <c r="L55" s="121"/>
      <c r="M55" s="121"/>
      <c r="N55" s="121"/>
      <c r="O55" s="121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</row>
    <row r="56" customFormat="false" ht="15.75" hidden="false" customHeight="false" outlineLevel="0" collapsed="false">
      <c r="A56" s="121"/>
      <c r="B56" s="121"/>
      <c r="C56" s="121"/>
      <c r="D56" s="121"/>
      <c r="E56" s="121"/>
      <c r="F56" s="121"/>
      <c r="G56" s="121"/>
      <c r="H56" s="121"/>
      <c r="I56" s="121"/>
      <c r="J56" s="121"/>
      <c r="K56" s="121"/>
      <c r="L56" s="121"/>
      <c r="M56" s="121"/>
      <c r="N56" s="121"/>
      <c r="O56" s="121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</row>
    <row r="57" customFormat="false" ht="15.75" hidden="false" customHeight="false" outlineLevel="0" collapsed="false">
      <c r="A57" s="121"/>
      <c r="B57" s="121"/>
      <c r="C57" s="121"/>
      <c r="D57" s="121"/>
      <c r="E57" s="121"/>
      <c r="F57" s="121"/>
      <c r="G57" s="121"/>
      <c r="H57" s="121"/>
      <c r="I57" s="121"/>
      <c r="J57" s="121"/>
      <c r="K57" s="121"/>
      <c r="L57" s="121"/>
      <c r="M57" s="121"/>
      <c r="N57" s="121"/>
      <c r="O57" s="121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</row>
    <row r="58" customFormat="false" ht="15.75" hidden="false" customHeight="false" outlineLevel="0" collapsed="false">
      <c r="A58" s="121"/>
      <c r="B58" s="121"/>
      <c r="C58" s="121"/>
      <c r="D58" s="121"/>
      <c r="E58" s="121"/>
      <c r="F58" s="121"/>
      <c r="G58" s="121"/>
      <c r="H58" s="121"/>
      <c r="I58" s="121"/>
      <c r="J58" s="121"/>
      <c r="K58" s="121"/>
      <c r="L58" s="121"/>
      <c r="M58" s="121"/>
      <c r="N58" s="121"/>
      <c r="O58" s="121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</row>
    <row r="59" customFormat="false" ht="15.75" hidden="false" customHeight="false" outlineLevel="0" collapsed="false">
      <c r="A59" s="121"/>
      <c r="B59" s="121"/>
      <c r="C59" s="121"/>
      <c r="D59" s="121"/>
      <c r="E59" s="121"/>
      <c r="F59" s="121"/>
      <c r="G59" s="121"/>
      <c r="H59" s="121"/>
      <c r="I59" s="121"/>
      <c r="J59" s="121"/>
      <c r="K59" s="121"/>
      <c r="L59" s="121"/>
      <c r="M59" s="121"/>
      <c r="N59" s="121"/>
      <c r="O59" s="121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</row>
    <row r="60" customFormat="false" ht="15.75" hidden="false" customHeight="false" outlineLevel="0" collapsed="false">
      <c r="A60" s="121"/>
      <c r="B60" s="121"/>
      <c r="C60" s="121"/>
      <c r="D60" s="121"/>
      <c r="E60" s="121"/>
      <c r="F60" s="121"/>
      <c r="G60" s="121"/>
      <c r="H60" s="121"/>
      <c r="I60" s="121"/>
      <c r="J60" s="121"/>
      <c r="K60" s="121"/>
      <c r="L60" s="121"/>
      <c r="M60" s="121"/>
      <c r="N60" s="121"/>
      <c r="O60" s="121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</row>
    <row r="61" customFormat="false" ht="15.75" hidden="false" customHeight="false" outlineLevel="0" collapsed="false">
      <c r="A61" s="121"/>
      <c r="B61" s="121"/>
      <c r="C61" s="121"/>
      <c r="D61" s="121"/>
      <c r="E61" s="121"/>
      <c r="F61" s="121"/>
      <c r="G61" s="121"/>
      <c r="H61" s="121"/>
      <c r="I61" s="121"/>
      <c r="J61" s="121"/>
      <c r="K61" s="121"/>
      <c r="L61" s="121"/>
      <c r="M61" s="121"/>
      <c r="N61" s="121"/>
      <c r="O61" s="121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</row>
    <row r="62" customFormat="false" ht="15.75" hidden="false" customHeight="false" outlineLevel="0" collapsed="false">
      <c r="A62" s="121"/>
      <c r="B62" s="121"/>
      <c r="C62" s="121"/>
      <c r="D62" s="121"/>
      <c r="E62" s="121"/>
      <c r="F62" s="121"/>
      <c r="G62" s="121"/>
      <c r="H62" s="121"/>
      <c r="I62" s="121"/>
      <c r="J62" s="121"/>
      <c r="K62" s="121"/>
      <c r="L62" s="121"/>
      <c r="M62" s="121"/>
      <c r="N62" s="121"/>
      <c r="O62" s="121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</row>
    <row r="63" customFormat="false" ht="15.75" hidden="false" customHeight="false" outlineLevel="0" collapsed="false">
      <c r="A63" s="121"/>
      <c r="B63" s="121"/>
      <c r="C63" s="121"/>
      <c r="D63" s="121"/>
      <c r="E63" s="121"/>
      <c r="F63" s="121"/>
      <c r="G63" s="121"/>
      <c r="H63" s="121"/>
      <c r="I63" s="121"/>
      <c r="J63" s="121"/>
      <c r="K63" s="121"/>
      <c r="L63" s="121"/>
      <c r="M63" s="121"/>
      <c r="N63" s="121"/>
      <c r="O63" s="121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</row>
    <row r="64" customFormat="false" ht="15.75" hidden="false" customHeight="false" outlineLevel="0" collapsed="false">
      <c r="A64" s="121"/>
      <c r="B64" s="121"/>
      <c r="C64" s="121"/>
      <c r="D64" s="121"/>
      <c r="E64" s="121"/>
      <c r="F64" s="121"/>
      <c r="G64" s="121"/>
      <c r="H64" s="121"/>
      <c r="I64" s="121"/>
      <c r="J64" s="121"/>
      <c r="K64" s="121"/>
      <c r="L64" s="121"/>
      <c r="M64" s="121"/>
      <c r="N64" s="121"/>
      <c r="O64" s="121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</row>
    <row r="65" customFormat="false" ht="15.75" hidden="false" customHeight="false" outlineLevel="0" collapsed="false">
      <c r="A65" s="121"/>
      <c r="B65" s="121"/>
      <c r="C65" s="121"/>
      <c r="D65" s="121"/>
      <c r="E65" s="121"/>
      <c r="F65" s="121"/>
      <c r="G65" s="121"/>
      <c r="H65" s="121"/>
      <c r="I65" s="121"/>
      <c r="J65" s="121"/>
      <c r="K65" s="121"/>
      <c r="L65" s="121"/>
      <c r="M65" s="121"/>
      <c r="N65" s="121"/>
      <c r="O65" s="121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</row>
    <row r="66" customFormat="false" ht="15.75" hidden="false" customHeight="false" outlineLevel="0" collapsed="false">
      <c r="A66" s="121"/>
      <c r="B66" s="121"/>
      <c r="C66" s="121"/>
      <c r="D66" s="121"/>
      <c r="E66" s="121"/>
      <c r="F66" s="121"/>
      <c r="G66" s="121"/>
      <c r="H66" s="121"/>
      <c r="I66" s="121"/>
      <c r="J66" s="121"/>
      <c r="K66" s="121"/>
      <c r="L66" s="121"/>
      <c r="M66" s="121"/>
      <c r="N66" s="121"/>
      <c r="O66" s="121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</row>
    <row r="67" customFormat="false" ht="15.75" hidden="false" customHeight="false" outlineLevel="0" collapsed="false">
      <c r="A67" s="121"/>
      <c r="B67" s="121"/>
      <c r="C67" s="121"/>
      <c r="D67" s="121"/>
      <c r="E67" s="121"/>
      <c r="F67" s="121"/>
      <c r="G67" s="121"/>
      <c r="H67" s="121"/>
      <c r="I67" s="121"/>
      <c r="J67" s="121"/>
      <c r="K67" s="121"/>
      <c r="L67" s="121"/>
      <c r="M67" s="121"/>
      <c r="N67" s="121"/>
      <c r="O67" s="121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</row>
    <row r="68" customFormat="false" ht="15.75" hidden="false" customHeight="false" outlineLevel="0" collapsed="false">
      <c r="A68" s="121"/>
      <c r="B68" s="121"/>
      <c r="C68" s="121"/>
      <c r="D68" s="121"/>
      <c r="E68" s="121"/>
      <c r="F68" s="121"/>
      <c r="G68" s="121"/>
      <c r="H68" s="121"/>
      <c r="I68" s="121"/>
      <c r="J68" s="121"/>
      <c r="K68" s="121"/>
      <c r="L68" s="121"/>
      <c r="M68" s="121"/>
      <c r="N68" s="121"/>
      <c r="O68" s="121"/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</row>
    <row r="69" customFormat="false" ht="15.75" hidden="false" customHeight="false" outlineLevel="0" collapsed="false">
      <c r="A69" s="121"/>
      <c r="B69" s="121"/>
      <c r="C69" s="121"/>
      <c r="D69" s="121"/>
      <c r="E69" s="121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</row>
    <row r="70" customFormat="false" ht="15.75" hidden="false" customHeight="false" outlineLevel="0" collapsed="false">
      <c r="A70" s="121"/>
      <c r="B70" s="121"/>
      <c r="C70" s="121"/>
      <c r="D70" s="121"/>
      <c r="E70" s="121"/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</row>
    <row r="71" customFormat="false" ht="15.75" hidden="false" customHeight="false" outlineLevel="0" collapsed="false">
      <c r="A71" s="121"/>
      <c r="B71" s="121"/>
      <c r="C71" s="121"/>
      <c r="D71" s="121"/>
      <c r="E71" s="121"/>
      <c r="F71" s="121"/>
      <c r="G71" s="121"/>
      <c r="H71" s="121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</row>
    <row r="72" customFormat="false" ht="15.75" hidden="false" customHeight="false" outlineLevel="0" collapsed="false">
      <c r="A72" s="121"/>
      <c r="B72" s="121"/>
      <c r="C72" s="121"/>
      <c r="D72" s="121"/>
      <c r="E72" s="121"/>
      <c r="F72" s="121"/>
      <c r="G72" s="121"/>
      <c r="H72" s="121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</row>
    <row r="73" customFormat="false" ht="15.75" hidden="false" customHeight="false" outlineLevel="0" collapsed="false">
      <c r="A73" s="121"/>
      <c r="B73" s="121"/>
      <c r="C73" s="121"/>
      <c r="D73" s="121"/>
      <c r="E73" s="121"/>
      <c r="F73" s="121"/>
      <c r="G73" s="121"/>
      <c r="H73" s="121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</row>
    <row r="74" customFormat="false" ht="15.75" hidden="false" customHeight="false" outlineLevel="0" collapsed="false">
      <c r="A74" s="121"/>
      <c r="B74" s="121"/>
      <c r="C74" s="121"/>
      <c r="D74" s="121"/>
      <c r="E74" s="121"/>
      <c r="F74" s="121"/>
      <c r="G74" s="121"/>
      <c r="H74" s="121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</row>
    <row r="75" customFormat="false" ht="15.75" hidden="false" customHeight="false" outlineLevel="0" collapsed="false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</row>
    <row r="76" customFormat="false" ht="15.75" hidden="false" customHeight="false" outlineLevel="0" collapsed="false">
      <c r="A76" s="121"/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</row>
    <row r="77" customFormat="false" ht="15.75" hidden="false" customHeight="false" outlineLevel="0" collapsed="false">
      <c r="A77" s="121"/>
      <c r="B77" s="121"/>
      <c r="C77" s="121"/>
      <c r="D77" s="121"/>
      <c r="E77" s="121"/>
      <c r="F77" s="121"/>
      <c r="G77" s="121"/>
      <c r="H77" s="121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</row>
    <row r="78" customFormat="false" ht="15.75" hidden="false" customHeight="false" outlineLevel="0" collapsed="false">
      <c r="A78" s="121"/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</row>
    <row r="79" customFormat="false" ht="15.75" hidden="false" customHeight="false" outlineLevel="0" collapsed="false">
      <c r="A79" s="121"/>
      <c r="B79" s="121"/>
      <c r="C79" s="121"/>
      <c r="D79" s="121"/>
      <c r="E79" s="121"/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</row>
    <row r="80" customFormat="false" ht="15.75" hidden="false" customHeight="false" outlineLevel="0" collapsed="false">
      <c r="A80" s="121"/>
      <c r="B80" s="121"/>
      <c r="C80" s="121"/>
      <c r="D80" s="121"/>
      <c r="E80" s="121"/>
      <c r="F80" s="121"/>
      <c r="G80" s="121"/>
      <c r="H80" s="121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</row>
    <row r="81" customFormat="false" ht="15.75" hidden="false" customHeight="false" outlineLevel="0" collapsed="false">
      <c r="A81" s="121"/>
      <c r="B81" s="121"/>
      <c r="C81" s="121"/>
      <c r="D81" s="121"/>
      <c r="E81" s="121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</row>
    <row r="82" customFormat="false" ht="15.75" hidden="false" customHeight="false" outlineLevel="0" collapsed="false">
      <c r="A82" s="121"/>
      <c r="B82" s="121"/>
      <c r="C82" s="121"/>
      <c r="D82" s="121"/>
      <c r="E82" s="121"/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</row>
    <row r="83" customFormat="false" ht="15.75" hidden="false" customHeight="false" outlineLevel="0" collapsed="false">
      <c r="A83" s="121"/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</row>
    <row r="84" customFormat="false" ht="15.75" hidden="false" customHeight="false" outlineLevel="0" collapsed="false">
      <c r="A84" s="121"/>
      <c r="B84" s="121"/>
      <c r="C84" s="121"/>
      <c r="D84" s="121"/>
      <c r="E84" s="121"/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</row>
    <row r="85" customFormat="false" ht="15.75" hidden="false" customHeight="false" outlineLevel="0" collapsed="false">
      <c r="A85" s="121"/>
      <c r="B85" s="121"/>
      <c r="C85" s="121"/>
      <c r="D85" s="121"/>
      <c r="E85" s="121"/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</row>
    <row r="86" customFormat="false" ht="15.75" hidden="false" customHeight="false" outlineLevel="0" collapsed="false">
      <c r="A86" s="121"/>
      <c r="B86" s="121"/>
      <c r="C86" s="121"/>
      <c r="D86" s="121"/>
      <c r="E86" s="121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</row>
    <row r="87" customFormat="false" ht="15.75" hidden="false" customHeight="false" outlineLevel="0" collapsed="false">
      <c r="A87" s="121"/>
      <c r="B87" s="121"/>
      <c r="C87" s="121"/>
      <c r="D87" s="121"/>
      <c r="E87" s="121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</row>
    <row r="88" customFormat="false" ht="15.75" hidden="false" customHeight="false" outlineLevel="0" collapsed="false">
      <c r="A88" s="121"/>
      <c r="B88" s="121"/>
      <c r="C88" s="121"/>
      <c r="D88" s="121"/>
      <c r="E88" s="121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</row>
    <row r="89" customFormat="false" ht="15.75" hidden="false" customHeight="false" outlineLevel="0" collapsed="false">
      <c r="A89" s="121"/>
      <c r="B89" s="121"/>
      <c r="C89" s="121"/>
      <c r="D89" s="121"/>
      <c r="E89" s="121"/>
      <c r="F89" s="121"/>
      <c r="G89" s="121"/>
      <c r="H89" s="121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</row>
    <row r="90" customFormat="false" ht="15.75" hidden="false" customHeight="false" outlineLevel="0" collapsed="false">
      <c r="A90" s="121"/>
      <c r="B90" s="121"/>
      <c r="C90" s="121"/>
      <c r="D90" s="121"/>
      <c r="E90" s="121"/>
      <c r="F90" s="121"/>
      <c r="G90" s="121"/>
      <c r="H90" s="121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</row>
    <row r="91" customFormat="false" ht="15.75" hidden="false" customHeight="false" outlineLevel="0" collapsed="false">
      <c r="A91" s="121"/>
      <c r="B91" s="121"/>
      <c r="C91" s="121"/>
      <c r="D91" s="121"/>
      <c r="E91" s="121"/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</row>
    <row r="92" customFormat="false" ht="15.75" hidden="false" customHeight="false" outlineLevel="0" collapsed="false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</row>
    <row r="93" customFormat="false" ht="15.75" hidden="false" customHeight="false" outlineLevel="0" collapsed="false">
      <c r="A93" s="121"/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</row>
    <row r="94" customFormat="false" ht="15.75" hidden="false" customHeight="false" outlineLevel="0" collapsed="false">
      <c r="A94" s="121"/>
      <c r="B94" s="121"/>
      <c r="C94" s="121"/>
      <c r="D94" s="121"/>
      <c r="E94" s="121"/>
      <c r="F94" s="121"/>
      <c r="G94" s="121"/>
      <c r="H94" s="121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</row>
    <row r="95" customFormat="false" ht="15.75" hidden="false" customHeight="false" outlineLevel="0" collapsed="false">
      <c r="A95" s="121"/>
      <c r="B95" s="121"/>
      <c r="C95" s="121"/>
      <c r="D95" s="121"/>
      <c r="E95" s="121"/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</row>
    <row r="96" customFormat="false" ht="15.75" hidden="false" customHeight="false" outlineLevel="0" collapsed="false">
      <c r="A96" s="121"/>
      <c r="B96" s="121"/>
      <c r="C96" s="121"/>
      <c r="D96" s="121"/>
      <c r="E96" s="121"/>
      <c r="F96" s="121"/>
      <c r="G96" s="121"/>
      <c r="H96" s="121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</row>
    <row r="97" customFormat="false" ht="15.75" hidden="false" customHeight="false" outlineLevel="0" collapsed="false">
      <c r="A97" s="121"/>
      <c r="B97" s="121"/>
      <c r="C97" s="121"/>
      <c r="D97" s="121"/>
      <c r="E97" s="121"/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</row>
    <row r="98" customFormat="false" ht="15.75" hidden="false" customHeight="false" outlineLevel="0" collapsed="false">
      <c r="A98" s="121"/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</row>
    <row r="99" customFormat="false" ht="15.75" hidden="false" customHeight="false" outlineLevel="0" collapsed="false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</row>
    <row r="100" customFormat="false" ht="15.75" hidden="false" customHeight="false" outlineLevel="0" collapsed="false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</row>
    <row r="101" customFormat="false" ht="15.75" hidden="false" customHeight="false" outlineLevel="0" collapsed="false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</row>
    <row r="102" customFormat="false" ht="15.75" hidden="false" customHeight="false" outlineLevel="0" collapsed="false">
      <c r="A102" s="121"/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</row>
    <row r="103" customFormat="false" ht="15.75" hidden="false" customHeight="false" outlineLevel="0" collapsed="false">
      <c r="A103" s="121"/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</row>
    <row r="104" customFormat="false" ht="15.75" hidden="false" customHeight="false" outlineLevel="0" collapsed="false">
      <c r="A104" s="121"/>
      <c r="B104" s="121"/>
      <c r="C104" s="121"/>
      <c r="D104" s="121"/>
      <c r="E104" s="121"/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</row>
    <row r="105" customFormat="false" ht="15.75" hidden="false" customHeight="false" outlineLevel="0" collapsed="false">
      <c r="A105" s="121"/>
      <c r="B105" s="121"/>
      <c r="C105" s="121"/>
      <c r="D105" s="121"/>
      <c r="E105" s="121"/>
      <c r="F105" s="121"/>
      <c r="G105" s="121"/>
      <c r="H105" s="121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</row>
    <row r="106" customFormat="false" ht="15.75" hidden="false" customHeight="false" outlineLevel="0" collapsed="false">
      <c r="A106" s="121"/>
      <c r="B106" s="121"/>
      <c r="C106" s="121"/>
      <c r="D106" s="121"/>
      <c r="E106" s="121"/>
      <c r="F106" s="121"/>
      <c r="G106" s="121"/>
      <c r="H106" s="121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</row>
    <row r="107" customFormat="false" ht="15.75" hidden="false" customHeight="false" outlineLevel="0" collapsed="false">
      <c r="A107" s="121"/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</row>
    <row r="108" customFormat="false" ht="15.75" hidden="false" customHeight="false" outlineLevel="0" collapsed="false">
      <c r="A108" s="121"/>
      <c r="B108" s="121"/>
      <c r="C108" s="121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</row>
    <row r="109" customFormat="false" ht="15.75" hidden="false" customHeight="false" outlineLevel="0" collapsed="false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</row>
    <row r="110" customFormat="false" ht="15.75" hidden="false" customHeight="false" outlineLevel="0" collapsed="false">
      <c r="A110" s="121"/>
      <c r="B110" s="121"/>
      <c r="C110" s="121"/>
      <c r="D110" s="121"/>
      <c r="E110" s="121"/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</row>
    <row r="111" customFormat="false" ht="15.75" hidden="false" customHeight="false" outlineLevel="0" collapsed="false">
      <c r="A111" s="121"/>
      <c r="B111" s="121"/>
      <c r="C111" s="121"/>
      <c r="D111" s="121"/>
      <c r="E111" s="121"/>
      <c r="F111" s="121"/>
      <c r="G111" s="121"/>
      <c r="H111" s="121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</row>
    <row r="112" customFormat="false" ht="15.75" hidden="false" customHeight="false" outlineLevel="0" collapsed="false">
      <c r="A112" s="121"/>
      <c r="B112" s="121"/>
      <c r="C112" s="121"/>
      <c r="D112" s="121"/>
      <c r="E112" s="121"/>
      <c r="F112" s="121"/>
      <c r="G112" s="121"/>
      <c r="H112" s="121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</row>
    <row r="113" customFormat="false" ht="15.75" hidden="false" customHeight="false" outlineLevel="0" collapsed="false">
      <c r="A113" s="121"/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</row>
    <row r="114" customFormat="false" ht="15.75" hidden="false" customHeight="false" outlineLevel="0" collapsed="false">
      <c r="A114" s="121"/>
      <c r="B114" s="121"/>
      <c r="C114" s="121"/>
      <c r="D114" s="121"/>
      <c r="E114" s="121"/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</row>
    <row r="115" customFormat="false" ht="15.75" hidden="false" customHeight="false" outlineLevel="0" collapsed="false">
      <c r="A115" s="121"/>
      <c r="B115" s="121"/>
      <c r="C115" s="121"/>
      <c r="D115" s="121"/>
      <c r="E115" s="121"/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</row>
    <row r="116" customFormat="false" ht="15.75" hidden="false" customHeight="false" outlineLevel="0" collapsed="false">
      <c r="A116" s="121"/>
      <c r="B116" s="121"/>
      <c r="C116" s="121"/>
      <c r="D116" s="121"/>
      <c r="E116" s="121"/>
      <c r="F116" s="121"/>
      <c r="G116" s="121"/>
      <c r="H116" s="121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</row>
    <row r="117" customFormat="false" ht="15.75" hidden="false" customHeight="false" outlineLevel="0" collapsed="false">
      <c r="A117" s="121"/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</row>
    <row r="118" customFormat="false" ht="15.75" hidden="false" customHeight="false" outlineLevel="0" collapsed="false">
      <c r="A118" s="121"/>
      <c r="B118" s="121"/>
      <c r="C118" s="121"/>
      <c r="D118" s="121"/>
      <c r="E118" s="121"/>
      <c r="F118" s="121"/>
      <c r="G118" s="121"/>
      <c r="H118" s="121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</row>
    <row r="119" customFormat="false" ht="15.75" hidden="false" customHeight="false" outlineLevel="0" collapsed="false">
      <c r="A119" s="121"/>
      <c r="B119" s="121"/>
      <c r="C119" s="121"/>
      <c r="D119" s="121"/>
      <c r="E119" s="121"/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</row>
    <row r="120" customFormat="false" ht="15.75" hidden="false" customHeight="false" outlineLevel="0" collapsed="false">
      <c r="A120" s="121"/>
      <c r="B120" s="121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</row>
    <row r="121" customFormat="false" ht="15.75" hidden="false" customHeight="false" outlineLevel="0" collapsed="false">
      <c r="A121" s="121"/>
      <c r="B121" s="121"/>
      <c r="C121" s="121"/>
      <c r="D121" s="121"/>
      <c r="E121" s="121"/>
      <c r="F121" s="121"/>
      <c r="G121" s="121"/>
      <c r="H121" s="121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</row>
    <row r="122" customFormat="false" ht="15.75" hidden="false" customHeight="false" outlineLevel="0" collapsed="false">
      <c r="A122" s="121"/>
      <c r="B122" s="121"/>
      <c r="C122" s="121"/>
      <c r="D122" s="121"/>
      <c r="E122" s="121"/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</row>
    <row r="123" customFormat="false" ht="15.75" hidden="false" customHeight="false" outlineLevel="0" collapsed="false">
      <c r="A123" s="121"/>
      <c r="B123" s="121"/>
      <c r="C123" s="121"/>
      <c r="D123" s="121"/>
      <c r="E123" s="121"/>
      <c r="F123" s="121"/>
      <c r="G123" s="121"/>
      <c r="H123" s="121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</row>
    <row r="124" customFormat="false" ht="15.75" hidden="false" customHeight="false" outlineLevel="0" collapsed="false">
      <c r="A124" s="121"/>
      <c r="B124" s="121"/>
      <c r="C124" s="121"/>
      <c r="D124" s="121"/>
      <c r="E124" s="121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</row>
    <row r="125" customFormat="false" ht="15.75" hidden="false" customHeight="false" outlineLevel="0" collapsed="false">
      <c r="A125" s="121"/>
      <c r="B125" s="121"/>
      <c r="C125" s="121"/>
      <c r="D125" s="121"/>
      <c r="E125" s="121"/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</row>
    <row r="126" customFormat="false" ht="15.75" hidden="false" customHeight="false" outlineLevel="0" collapsed="false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</row>
    <row r="127" customFormat="false" ht="15.75" hidden="false" customHeight="false" outlineLevel="0" collapsed="false">
      <c r="A127" s="121"/>
      <c r="B127" s="121"/>
      <c r="C127" s="121"/>
      <c r="D127" s="121"/>
      <c r="E127" s="121"/>
      <c r="F127" s="121"/>
      <c r="G127" s="121"/>
      <c r="H127" s="121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</row>
    <row r="128" customFormat="false" ht="15.75" hidden="false" customHeight="false" outlineLevel="0" collapsed="false">
      <c r="A128" s="121"/>
      <c r="B128" s="121"/>
      <c r="C128" s="121"/>
      <c r="D128" s="121"/>
      <c r="E128" s="121"/>
      <c r="F128" s="121"/>
      <c r="G128" s="121"/>
      <c r="H128" s="121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</row>
    <row r="129" customFormat="false" ht="15.75" hidden="false" customHeight="false" outlineLevel="0" collapsed="false">
      <c r="A129" s="121"/>
      <c r="B129" s="121"/>
      <c r="C129" s="121"/>
      <c r="D129" s="121"/>
      <c r="E129" s="121"/>
      <c r="F129" s="121"/>
      <c r="G129" s="121"/>
      <c r="H129" s="121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</row>
    <row r="130" customFormat="false" ht="15.75" hidden="false" customHeight="false" outlineLevel="0" collapsed="false">
      <c r="A130" s="121"/>
      <c r="B130" s="121"/>
      <c r="C130" s="121"/>
      <c r="D130" s="121"/>
      <c r="E130" s="121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</row>
    <row r="131" customFormat="false" ht="15.75" hidden="false" customHeight="false" outlineLevel="0" collapsed="false">
      <c r="A131" s="121"/>
      <c r="B131" s="121"/>
      <c r="C131" s="121"/>
      <c r="D131" s="121"/>
      <c r="E131" s="121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</row>
    <row r="132" customFormat="false" ht="15.75" hidden="false" customHeight="false" outlineLevel="0" collapsed="false">
      <c r="A132" s="121"/>
      <c r="B132" s="121"/>
      <c r="C132" s="121"/>
      <c r="D132" s="121"/>
      <c r="E132" s="121"/>
      <c r="F132" s="121"/>
      <c r="G132" s="121"/>
      <c r="H132" s="121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</row>
    <row r="133" customFormat="false" ht="15.75" hidden="false" customHeight="false" outlineLevel="0" collapsed="false">
      <c r="A133" s="121"/>
      <c r="B133" s="121"/>
      <c r="C133" s="121"/>
      <c r="D133" s="121"/>
      <c r="E133" s="121"/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</row>
    <row r="134" customFormat="false" ht="15.75" hidden="false" customHeight="false" outlineLevel="0" collapsed="false">
      <c r="A134" s="121"/>
      <c r="B134" s="121"/>
      <c r="C134" s="121"/>
      <c r="D134" s="121"/>
      <c r="E134" s="121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</row>
    <row r="135" customFormat="false" ht="15.75" hidden="false" customHeight="false" outlineLevel="0" collapsed="false">
      <c r="A135" s="121"/>
      <c r="B135" s="121"/>
      <c r="C135" s="121"/>
      <c r="D135" s="121"/>
      <c r="E135" s="121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</row>
    <row r="136" customFormat="false" ht="15.75" hidden="false" customHeight="false" outlineLevel="0" collapsed="false">
      <c r="A136" s="121"/>
      <c r="B136" s="121"/>
      <c r="C136" s="121"/>
      <c r="D136" s="121"/>
      <c r="E136" s="121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</row>
    <row r="137" customFormat="false" ht="15.75" hidden="false" customHeight="false" outlineLevel="0" collapsed="false">
      <c r="A137" s="121"/>
      <c r="B137" s="121"/>
      <c r="C137" s="121"/>
      <c r="D137" s="121"/>
      <c r="E137" s="121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</row>
    <row r="138" customFormat="false" ht="15.75" hidden="false" customHeight="false" outlineLevel="0" collapsed="false">
      <c r="A138" s="121"/>
      <c r="B138" s="121"/>
      <c r="C138" s="121"/>
      <c r="D138" s="121"/>
      <c r="E138" s="121"/>
      <c r="F138" s="121"/>
      <c r="G138" s="121"/>
      <c r="H138" s="121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</row>
    <row r="139" customFormat="false" ht="15.75" hidden="false" customHeight="false" outlineLevel="0" collapsed="false">
      <c r="A139" s="121"/>
      <c r="B139" s="121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</row>
    <row r="140" customFormat="false" ht="15.75" hidden="false" customHeight="false" outlineLevel="0" collapsed="false">
      <c r="A140" s="121"/>
      <c r="B140" s="121"/>
      <c r="C140" s="121"/>
      <c r="D140" s="121"/>
      <c r="E140" s="121"/>
      <c r="F140" s="121"/>
      <c r="G140" s="121"/>
      <c r="H140" s="121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</row>
    <row r="141" customFormat="false" ht="15.75" hidden="false" customHeight="false" outlineLevel="0" collapsed="false">
      <c r="A141" s="121"/>
      <c r="B141" s="121"/>
      <c r="C141" s="121"/>
      <c r="D141" s="121"/>
      <c r="E141" s="121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</row>
    <row r="142" customFormat="false" ht="15.75" hidden="false" customHeight="false" outlineLevel="0" collapsed="false">
      <c r="A142" s="121"/>
      <c r="B142" s="121"/>
      <c r="C142" s="121"/>
      <c r="D142" s="121"/>
      <c r="E142" s="121"/>
      <c r="F142" s="121"/>
      <c r="G142" s="121"/>
      <c r="H142" s="121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</row>
    <row r="143" customFormat="false" ht="15.75" hidden="false" customHeight="false" outlineLevel="0" collapsed="false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</row>
    <row r="144" customFormat="false" ht="15.75" hidden="false" customHeight="false" outlineLevel="0" collapsed="false">
      <c r="A144" s="121"/>
      <c r="B144" s="121"/>
      <c r="C144" s="121"/>
      <c r="D144" s="121"/>
      <c r="E144" s="121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</row>
    <row r="145" customFormat="false" ht="15.75" hidden="false" customHeight="false" outlineLevel="0" collapsed="false">
      <c r="A145" s="121"/>
      <c r="B145" s="121"/>
      <c r="C145" s="121"/>
      <c r="D145" s="121"/>
      <c r="E145" s="121"/>
      <c r="F145" s="121"/>
      <c r="G145" s="121"/>
      <c r="H145" s="121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</row>
    <row r="146" customFormat="false" ht="15.75" hidden="false" customHeight="false" outlineLevel="0" collapsed="false">
      <c r="A146" s="121"/>
      <c r="B146" s="121"/>
      <c r="C146" s="121"/>
      <c r="D146" s="121"/>
      <c r="E146" s="121"/>
      <c r="F146" s="121"/>
      <c r="G146" s="121"/>
      <c r="H146" s="121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</row>
    <row r="147" customFormat="false" ht="15.75" hidden="false" customHeight="false" outlineLevel="0" collapsed="false">
      <c r="A147" s="121"/>
      <c r="B147" s="121"/>
      <c r="C147" s="121"/>
      <c r="D147" s="121"/>
      <c r="E147" s="121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</row>
    <row r="148" customFormat="false" ht="15.75" hidden="false" customHeight="false" outlineLevel="0" collapsed="false">
      <c r="A148" s="121"/>
      <c r="B148" s="121"/>
      <c r="C148" s="121"/>
      <c r="D148" s="121"/>
      <c r="E148" s="121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</row>
    <row r="149" customFormat="false" ht="15.75" hidden="false" customHeight="false" outlineLevel="0" collapsed="false">
      <c r="A149" s="121"/>
      <c r="B149" s="121"/>
      <c r="C149" s="121"/>
      <c r="D149" s="121"/>
      <c r="E149" s="121"/>
      <c r="F149" s="121"/>
      <c r="G149" s="121"/>
      <c r="H149" s="121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</row>
    <row r="150" customFormat="false" ht="15.75" hidden="false" customHeight="false" outlineLevel="0" collapsed="false">
      <c r="A150" s="121"/>
      <c r="B150" s="121"/>
      <c r="C150" s="121"/>
      <c r="D150" s="121"/>
      <c r="E150" s="121"/>
      <c r="F150" s="121"/>
      <c r="G150" s="121"/>
      <c r="H150" s="121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</row>
    <row r="151" customFormat="false" ht="15.75" hidden="false" customHeight="false" outlineLevel="0" collapsed="false">
      <c r="A151" s="121"/>
      <c r="B151" s="121"/>
      <c r="C151" s="121"/>
      <c r="D151" s="121"/>
      <c r="E151" s="121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</row>
    <row r="152" customFormat="false" ht="15.75" hidden="false" customHeight="false" outlineLevel="0" collapsed="false">
      <c r="A152" s="121"/>
      <c r="B152" s="121"/>
      <c r="C152" s="121"/>
      <c r="D152" s="121"/>
      <c r="E152" s="121"/>
      <c r="F152" s="121"/>
      <c r="G152" s="121"/>
      <c r="H152" s="121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</row>
    <row r="153" customFormat="false" ht="15.75" hidden="false" customHeight="false" outlineLevel="0" collapsed="false">
      <c r="A153" s="121"/>
      <c r="B153" s="121"/>
      <c r="C153" s="121"/>
      <c r="D153" s="121"/>
      <c r="E153" s="121"/>
      <c r="F153" s="121"/>
      <c r="G153" s="121"/>
      <c r="H153" s="121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</row>
    <row r="154" customFormat="false" ht="15.75" hidden="false" customHeight="false" outlineLevel="0" collapsed="false">
      <c r="A154" s="121"/>
      <c r="B154" s="121"/>
      <c r="C154" s="121"/>
      <c r="D154" s="121"/>
      <c r="E154" s="121"/>
      <c r="F154" s="121"/>
      <c r="G154" s="121"/>
      <c r="H154" s="121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</row>
    <row r="155" customFormat="false" ht="15.75" hidden="false" customHeight="false" outlineLevel="0" collapsed="false">
      <c r="A155" s="121"/>
      <c r="B155" s="121"/>
      <c r="C155" s="121"/>
      <c r="D155" s="121"/>
      <c r="E155" s="121"/>
      <c r="F155" s="121"/>
      <c r="G155" s="121"/>
      <c r="H155" s="121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</row>
    <row r="156" customFormat="false" ht="15.75" hidden="false" customHeight="false" outlineLevel="0" collapsed="false">
      <c r="A156" s="121"/>
      <c r="B156" s="121"/>
      <c r="C156" s="121"/>
      <c r="D156" s="121"/>
      <c r="E156" s="121"/>
      <c r="F156" s="121"/>
      <c r="G156" s="121"/>
      <c r="H156" s="121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</row>
    <row r="157" customFormat="false" ht="15.75" hidden="false" customHeight="false" outlineLevel="0" collapsed="false">
      <c r="A157" s="121"/>
      <c r="B157" s="121"/>
      <c r="C157" s="121"/>
      <c r="D157" s="121"/>
      <c r="E157" s="121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</row>
    <row r="158" customFormat="false" ht="15.75" hidden="false" customHeight="false" outlineLevel="0" collapsed="false">
      <c r="A158" s="121"/>
      <c r="B158" s="121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</row>
    <row r="159" customFormat="false" ht="15.75" hidden="false" customHeight="false" outlineLevel="0" collapsed="false">
      <c r="A159" s="121"/>
      <c r="B159" s="121"/>
      <c r="C159" s="121"/>
      <c r="D159" s="121"/>
      <c r="E159" s="121"/>
      <c r="F159" s="121"/>
      <c r="G159" s="121"/>
      <c r="H159" s="121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</row>
    <row r="160" customFormat="false" ht="15.75" hidden="false" customHeight="false" outlineLevel="0" collapsed="false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</row>
    <row r="161" customFormat="false" ht="15.75" hidden="false" customHeight="false" outlineLevel="0" collapsed="false">
      <c r="A161" s="121"/>
      <c r="B161" s="121"/>
      <c r="C161" s="121"/>
      <c r="D161" s="121"/>
      <c r="E161" s="121"/>
      <c r="F161" s="121"/>
      <c r="G161" s="121"/>
      <c r="H161" s="121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</row>
    <row r="162" customFormat="false" ht="15.75" hidden="false" customHeight="false" outlineLevel="0" collapsed="false">
      <c r="A162" s="121"/>
      <c r="B162" s="121"/>
      <c r="C162" s="121"/>
      <c r="D162" s="121"/>
      <c r="E162" s="121"/>
      <c r="F162" s="121"/>
      <c r="G162" s="121"/>
      <c r="H162" s="121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</row>
    <row r="163" customFormat="false" ht="15.75" hidden="false" customHeight="false" outlineLevel="0" collapsed="false">
      <c r="A163" s="121"/>
      <c r="B163" s="121"/>
      <c r="C163" s="121"/>
      <c r="D163" s="121"/>
      <c r="E163" s="121"/>
      <c r="F163" s="121"/>
      <c r="G163" s="121"/>
      <c r="H163" s="121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</row>
    <row r="164" customFormat="false" ht="15.75" hidden="false" customHeight="false" outlineLevel="0" collapsed="false">
      <c r="A164" s="121"/>
      <c r="B164" s="121"/>
      <c r="C164" s="121"/>
      <c r="D164" s="121"/>
      <c r="E164" s="121"/>
      <c r="F164" s="121"/>
      <c r="G164" s="121"/>
      <c r="H164" s="121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</row>
    <row r="165" customFormat="false" ht="15.75" hidden="false" customHeight="false" outlineLevel="0" collapsed="false">
      <c r="A165" s="121"/>
      <c r="B165" s="121"/>
      <c r="C165" s="121"/>
      <c r="D165" s="121"/>
      <c r="E165" s="121"/>
      <c r="F165" s="121"/>
      <c r="G165" s="121"/>
      <c r="H165" s="121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</row>
    <row r="166" customFormat="false" ht="15.75" hidden="false" customHeight="false" outlineLevel="0" collapsed="false">
      <c r="A166" s="121"/>
      <c r="B166" s="121"/>
      <c r="C166" s="121"/>
      <c r="D166" s="121"/>
      <c r="E166" s="121"/>
      <c r="F166" s="121"/>
      <c r="G166" s="121"/>
      <c r="H166" s="121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</row>
    <row r="167" customFormat="false" ht="15.75" hidden="false" customHeight="false" outlineLevel="0" collapsed="false">
      <c r="A167" s="121"/>
      <c r="B167" s="121"/>
      <c r="C167" s="121"/>
      <c r="D167" s="121"/>
      <c r="E167" s="121"/>
      <c r="F167" s="121"/>
      <c r="G167" s="121"/>
      <c r="H167" s="121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</row>
    <row r="168" customFormat="false" ht="15.75" hidden="false" customHeight="false" outlineLevel="0" collapsed="false">
      <c r="A168" s="121"/>
      <c r="B168" s="121"/>
      <c r="C168" s="121"/>
      <c r="D168" s="121"/>
      <c r="E168" s="121"/>
      <c r="F168" s="121"/>
      <c r="G168" s="121"/>
      <c r="H168" s="121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</row>
    <row r="169" customFormat="false" ht="15.75" hidden="false" customHeight="false" outlineLevel="0" collapsed="false">
      <c r="A169" s="121"/>
      <c r="B169" s="121"/>
      <c r="C169" s="121"/>
      <c r="D169" s="121"/>
      <c r="E169" s="121"/>
      <c r="F169" s="121"/>
      <c r="G169" s="121"/>
      <c r="H169" s="121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</row>
    <row r="170" customFormat="false" ht="15.75" hidden="false" customHeight="false" outlineLevel="0" collapsed="false">
      <c r="A170" s="121"/>
      <c r="B170" s="121"/>
      <c r="C170" s="121"/>
      <c r="D170" s="121"/>
      <c r="E170" s="121"/>
      <c r="F170" s="121"/>
      <c r="G170" s="121"/>
      <c r="H170" s="121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</row>
    <row r="171" customFormat="false" ht="15.75" hidden="false" customHeight="false" outlineLevel="0" collapsed="false">
      <c r="A171" s="121"/>
      <c r="B171" s="121"/>
      <c r="C171" s="121"/>
      <c r="D171" s="121"/>
      <c r="E171" s="121"/>
      <c r="F171" s="121"/>
      <c r="G171" s="121"/>
      <c r="H171" s="121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</row>
    <row r="172" customFormat="false" ht="15.75" hidden="false" customHeight="false" outlineLevel="0" collapsed="false">
      <c r="A172" s="121"/>
      <c r="B172" s="121"/>
      <c r="C172" s="121"/>
      <c r="D172" s="121"/>
      <c r="E172" s="121"/>
      <c r="F172" s="121"/>
      <c r="G172" s="121"/>
      <c r="H172" s="121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</row>
    <row r="173" customFormat="false" ht="15.75" hidden="false" customHeight="false" outlineLevel="0" collapsed="false">
      <c r="A173" s="121"/>
      <c r="B173" s="121"/>
      <c r="C173" s="121"/>
      <c r="D173" s="121"/>
      <c r="E173" s="121"/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</row>
    <row r="174" customFormat="false" ht="15.75" hidden="false" customHeight="false" outlineLevel="0" collapsed="false">
      <c r="A174" s="121"/>
      <c r="B174" s="121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</row>
    <row r="175" customFormat="false" ht="15.75" hidden="false" customHeight="false" outlineLevel="0" collapsed="false">
      <c r="A175" s="121"/>
      <c r="B175" s="121"/>
      <c r="C175" s="121"/>
      <c r="D175" s="121"/>
      <c r="E175" s="121"/>
      <c r="F175" s="121"/>
      <c r="G175" s="121"/>
      <c r="H175" s="121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</row>
    <row r="176" customFormat="false" ht="15.75" hidden="false" customHeight="false" outlineLevel="0" collapsed="false">
      <c r="A176" s="121"/>
      <c r="B176" s="121"/>
      <c r="C176" s="121"/>
      <c r="D176" s="121"/>
      <c r="E176" s="121"/>
      <c r="F176" s="121"/>
      <c r="G176" s="121"/>
      <c r="H176" s="121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</row>
    <row r="177" customFormat="false" ht="15.75" hidden="false" customHeight="false" outlineLevel="0" collapsed="false">
      <c r="A177" s="121"/>
      <c r="B177" s="121"/>
      <c r="C177" s="121"/>
      <c r="D177" s="121"/>
      <c r="E177" s="121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</row>
    <row r="178" customFormat="false" ht="15.75" hidden="false" customHeight="false" outlineLevel="0" collapsed="false">
      <c r="A178" s="121"/>
      <c r="B178" s="121"/>
      <c r="C178" s="121"/>
      <c r="D178" s="121"/>
      <c r="E178" s="121"/>
      <c r="F178" s="121"/>
      <c r="G178" s="121"/>
      <c r="H178" s="121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</row>
    <row r="179" customFormat="false" ht="15.75" hidden="false" customHeight="false" outlineLevel="0" collapsed="false">
      <c r="A179" s="121"/>
      <c r="B179" s="121"/>
      <c r="C179" s="121"/>
      <c r="D179" s="121"/>
      <c r="E179" s="121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</row>
    <row r="180" customFormat="false" ht="15.75" hidden="false" customHeight="false" outlineLevel="0" collapsed="false">
      <c r="A180" s="121"/>
      <c r="B180" s="121"/>
      <c r="C180" s="121"/>
      <c r="D180" s="121"/>
      <c r="E180" s="121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</row>
    <row r="181" customFormat="false" ht="15.75" hidden="false" customHeight="false" outlineLevel="0" collapsed="false">
      <c r="A181" s="121"/>
      <c r="B181" s="121"/>
      <c r="C181" s="121"/>
      <c r="D181" s="121"/>
      <c r="E181" s="121"/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</row>
    <row r="182" customFormat="false" ht="15.75" hidden="false" customHeight="false" outlineLevel="0" collapsed="false">
      <c r="A182" s="121"/>
      <c r="B182" s="121"/>
      <c r="C182" s="121"/>
      <c r="D182" s="121"/>
      <c r="E182" s="121"/>
      <c r="F182" s="121"/>
      <c r="G182" s="121"/>
      <c r="H182" s="121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</row>
    <row r="183" customFormat="false" ht="15.75" hidden="false" customHeight="false" outlineLevel="0" collapsed="false">
      <c r="A183" s="121"/>
      <c r="B183" s="121"/>
      <c r="C183" s="121"/>
      <c r="D183" s="121"/>
      <c r="E183" s="121"/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</row>
    <row r="184" customFormat="false" ht="15.75" hidden="false" customHeight="false" outlineLevel="0" collapsed="false">
      <c r="A184" s="121"/>
      <c r="B184" s="121"/>
      <c r="C184" s="121"/>
      <c r="D184" s="121"/>
      <c r="E184" s="121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</row>
    <row r="185" customFormat="false" ht="15.75" hidden="false" customHeight="false" outlineLevel="0" collapsed="false">
      <c r="A185" s="121"/>
      <c r="B185" s="121"/>
      <c r="C185" s="121"/>
      <c r="D185" s="121"/>
      <c r="E185" s="121"/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</row>
    <row r="186" customFormat="false" ht="15.75" hidden="false" customHeight="false" outlineLevel="0" collapsed="false">
      <c r="A186" s="121"/>
      <c r="B186" s="121"/>
      <c r="C186" s="121"/>
      <c r="D186" s="121"/>
      <c r="E186" s="121"/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</row>
    <row r="187" customFormat="false" ht="15.75" hidden="false" customHeight="false" outlineLevel="0" collapsed="false">
      <c r="A187" s="121"/>
      <c r="B187" s="121"/>
      <c r="C187" s="121"/>
      <c r="D187" s="121"/>
      <c r="E187" s="121"/>
      <c r="F187" s="121"/>
      <c r="G187" s="121"/>
      <c r="H187" s="121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</row>
    <row r="188" customFormat="false" ht="15.75" hidden="false" customHeight="false" outlineLevel="0" collapsed="false">
      <c r="A188" s="121"/>
      <c r="B188" s="121"/>
      <c r="C188" s="121"/>
      <c r="D188" s="121"/>
      <c r="E188" s="121"/>
      <c r="F188" s="121"/>
      <c r="G188" s="121"/>
      <c r="H188" s="121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</row>
    <row r="189" customFormat="false" ht="15.75" hidden="false" customHeight="false" outlineLevel="0" collapsed="false">
      <c r="A189" s="121"/>
      <c r="B189" s="121"/>
      <c r="C189" s="121"/>
      <c r="D189" s="121"/>
      <c r="E189" s="121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</row>
    <row r="190" customFormat="false" ht="15.75" hidden="false" customHeight="false" outlineLevel="0" collapsed="false">
      <c r="A190" s="121"/>
      <c r="B190" s="121"/>
      <c r="C190" s="121"/>
      <c r="D190" s="121"/>
      <c r="E190" s="121"/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</row>
    <row r="191" customFormat="false" ht="15.75" hidden="false" customHeight="false" outlineLevel="0" collapsed="false">
      <c r="A191" s="121"/>
      <c r="B191" s="121"/>
      <c r="C191" s="121"/>
      <c r="D191" s="121"/>
      <c r="E191" s="121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</row>
    <row r="192" customFormat="false" ht="15.75" hidden="false" customHeight="false" outlineLevel="0" collapsed="false">
      <c r="A192" s="121"/>
      <c r="B192" s="121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</row>
    <row r="193" customFormat="false" ht="15.75" hidden="false" customHeight="false" outlineLevel="0" collapsed="false">
      <c r="A193" s="121"/>
      <c r="B193" s="121"/>
      <c r="C193" s="121"/>
      <c r="D193" s="121"/>
      <c r="E193" s="121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</row>
    <row r="194" customFormat="false" ht="15.75" hidden="false" customHeight="false" outlineLevel="0" collapsed="false">
      <c r="A194" s="121"/>
      <c r="B194" s="121"/>
      <c r="C194" s="121"/>
      <c r="D194" s="121"/>
      <c r="E194" s="121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</row>
    <row r="195" customFormat="false" ht="15.75" hidden="false" customHeight="false" outlineLevel="0" collapsed="false">
      <c r="A195" s="121"/>
      <c r="B195" s="121"/>
      <c r="C195" s="121"/>
      <c r="D195" s="121"/>
      <c r="E195" s="121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</row>
    <row r="196" customFormat="false" ht="15.75" hidden="false" customHeight="false" outlineLevel="0" collapsed="false">
      <c r="A196" s="121"/>
      <c r="B196" s="121"/>
      <c r="C196" s="121"/>
      <c r="D196" s="121"/>
      <c r="E196" s="121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</row>
    <row r="197" customFormat="false" ht="15.75" hidden="false" customHeight="false" outlineLevel="0" collapsed="false">
      <c r="A197" s="121"/>
      <c r="B197" s="121"/>
      <c r="C197" s="121"/>
      <c r="D197" s="121"/>
      <c r="E197" s="121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</row>
    <row r="198" customFormat="false" ht="15.75" hidden="false" customHeight="false" outlineLevel="0" collapsed="false">
      <c r="A198" s="121"/>
      <c r="B198" s="121"/>
      <c r="C198" s="121"/>
      <c r="D198" s="121"/>
      <c r="E198" s="121"/>
      <c r="F198" s="121"/>
      <c r="G198" s="121"/>
      <c r="H198" s="121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</row>
    <row r="199" customFormat="false" ht="15.75" hidden="false" customHeight="false" outlineLevel="0" collapsed="false">
      <c r="A199" s="121"/>
      <c r="B199" s="121"/>
      <c r="C199" s="121"/>
      <c r="D199" s="121"/>
      <c r="E199" s="121"/>
      <c r="F199" s="121"/>
      <c r="G199" s="121"/>
      <c r="H199" s="121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</row>
    <row r="200" customFormat="false" ht="15.75" hidden="false" customHeight="false" outlineLevel="0" collapsed="false">
      <c r="A200" s="121"/>
      <c r="B200" s="121"/>
      <c r="C200" s="121"/>
      <c r="D200" s="121"/>
      <c r="E200" s="121"/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</row>
    <row r="201" customFormat="false" ht="15.75" hidden="false" customHeight="false" outlineLevel="0" collapsed="false">
      <c r="A201" s="121"/>
      <c r="B201" s="121"/>
      <c r="C201" s="121"/>
      <c r="D201" s="121"/>
      <c r="E201" s="121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</row>
    <row r="202" customFormat="false" ht="15.75" hidden="false" customHeight="false" outlineLevel="0" collapsed="false">
      <c r="A202" s="121"/>
      <c r="B202" s="121"/>
      <c r="C202" s="121"/>
      <c r="D202" s="121"/>
      <c r="E202" s="121"/>
      <c r="F202" s="121"/>
      <c r="G202" s="121"/>
      <c r="H202" s="121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</row>
    <row r="203" customFormat="false" ht="15.75" hidden="false" customHeight="false" outlineLevel="0" collapsed="false">
      <c r="A203" s="121"/>
      <c r="B203" s="121"/>
      <c r="C203" s="121"/>
      <c r="D203" s="121"/>
      <c r="E203" s="121"/>
      <c r="F203" s="121"/>
      <c r="G203" s="121"/>
      <c r="H203" s="121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</row>
    <row r="204" customFormat="false" ht="15.75" hidden="false" customHeight="false" outlineLevel="0" collapsed="false">
      <c r="A204" s="121"/>
      <c r="B204" s="121"/>
      <c r="C204" s="121"/>
      <c r="D204" s="121"/>
      <c r="E204" s="121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</row>
    <row r="205" customFormat="false" ht="15.75" hidden="false" customHeight="false" outlineLevel="0" collapsed="false">
      <c r="A205" s="121"/>
      <c r="B205" s="121"/>
      <c r="C205" s="121"/>
      <c r="D205" s="121"/>
      <c r="E205" s="121"/>
      <c r="F205" s="121"/>
      <c r="G205" s="121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</row>
    <row r="206" customFormat="false" ht="15.75" hidden="false" customHeight="false" outlineLevel="0" collapsed="false">
      <c r="A206" s="121"/>
      <c r="B206" s="121"/>
      <c r="C206" s="121"/>
      <c r="D206" s="121"/>
      <c r="E206" s="121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</row>
    <row r="207" customFormat="false" ht="15.75" hidden="false" customHeight="false" outlineLevel="0" collapsed="false">
      <c r="A207" s="121"/>
      <c r="B207" s="121"/>
      <c r="C207" s="121"/>
      <c r="D207" s="121"/>
      <c r="E207" s="121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</row>
    <row r="208" customFormat="false" ht="15.75" hidden="false" customHeight="false" outlineLevel="0" collapsed="false">
      <c r="A208" s="121"/>
      <c r="B208" s="121"/>
      <c r="C208" s="121"/>
      <c r="D208" s="121"/>
      <c r="E208" s="121"/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</row>
    <row r="209" customFormat="false" ht="15.75" hidden="false" customHeight="false" outlineLevel="0" collapsed="false">
      <c r="A209" s="121"/>
      <c r="B209" s="121"/>
      <c r="C209" s="121"/>
      <c r="D209" s="121"/>
      <c r="E209" s="121"/>
      <c r="F209" s="121"/>
      <c r="G209" s="121"/>
      <c r="H209" s="121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</row>
    <row r="210" customFormat="false" ht="15.75" hidden="false" customHeight="false" outlineLevel="0" collapsed="false">
      <c r="A210" s="121"/>
      <c r="B210" s="121"/>
      <c r="C210" s="121"/>
      <c r="D210" s="121"/>
      <c r="E210" s="121"/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</row>
    <row r="211" customFormat="false" ht="15.75" hidden="false" customHeight="false" outlineLevel="0" collapsed="false">
      <c r="A211" s="121"/>
      <c r="B211" s="121"/>
      <c r="C211" s="121"/>
      <c r="D211" s="121"/>
      <c r="E211" s="121"/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</row>
    <row r="212" customFormat="false" ht="15.75" hidden="false" customHeight="false" outlineLevel="0" collapsed="false">
      <c r="A212" s="121"/>
      <c r="B212" s="121"/>
      <c r="C212" s="121"/>
      <c r="D212" s="121"/>
      <c r="E212" s="121"/>
      <c r="F212" s="121"/>
      <c r="G212" s="121"/>
      <c r="H212" s="121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</row>
    <row r="213" customFormat="false" ht="15.75" hidden="false" customHeight="false" outlineLevel="0" collapsed="false">
      <c r="A213" s="121"/>
      <c r="B213" s="121"/>
      <c r="C213" s="121"/>
      <c r="D213" s="121"/>
      <c r="E213" s="121"/>
      <c r="F213" s="121"/>
      <c r="G213" s="121"/>
      <c r="H213" s="121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</row>
    <row r="214" customFormat="false" ht="15.75" hidden="false" customHeight="false" outlineLevel="0" collapsed="false">
      <c r="A214" s="121"/>
      <c r="B214" s="121"/>
      <c r="C214" s="121"/>
      <c r="D214" s="121"/>
      <c r="E214" s="121"/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</row>
    <row r="215" customFormat="false" ht="15.75" hidden="false" customHeight="false" outlineLevel="0" collapsed="false">
      <c r="A215" s="121"/>
      <c r="B215" s="121"/>
      <c r="C215" s="121"/>
      <c r="D215" s="121"/>
      <c r="E215" s="121"/>
      <c r="F215" s="121"/>
      <c r="G215" s="121"/>
      <c r="H215" s="121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</row>
    <row r="216" customFormat="false" ht="15.75" hidden="false" customHeight="false" outlineLevel="0" collapsed="false">
      <c r="A216" s="121"/>
      <c r="B216" s="121"/>
      <c r="C216" s="121"/>
      <c r="D216" s="121"/>
      <c r="E216" s="121"/>
      <c r="F216" s="121"/>
      <c r="G216" s="121"/>
      <c r="H216" s="121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</row>
    <row r="217" customFormat="false" ht="15.75" hidden="false" customHeight="false" outlineLevel="0" collapsed="false">
      <c r="A217" s="121"/>
      <c r="B217" s="121"/>
      <c r="C217" s="121"/>
      <c r="D217" s="121"/>
      <c r="E217" s="121"/>
      <c r="F217" s="121"/>
      <c r="G217" s="121"/>
      <c r="H217" s="121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</row>
    <row r="218" customFormat="false" ht="15.75" hidden="false" customHeight="false" outlineLevel="0" collapsed="false">
      <c r="A218" s="121"/>
      <c r="B218" s="121"/>
      <c r="C218" s="121"/>
      <c r="D218" s="121"/>
      <c r="E218" s="121"/>
      <c r="F218" s="121"/>
      <c r="G218" s="121"/>
      <c r="H218" s="121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</row>
    <row r="219" customFormat="false" ht="15.75" hidden="false" customHeight="false" outlineLevel="0" collapsed="false">
      <c r="A219" s="121"/>
      <c r="B219" s="121"/>
      <c r="C219" s="121"/>
      <c r="D219" s="121"/>
      <c r="E219" s="121"/>
      <c r="F219" s="121"/>
      <c r="G219" s="121"/>
      <c r="H219" s="121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</row>
    <row r="220" customFormat="false" ht="15.75" hidden="false" customHeight="false" outlineLevel="0" collapsed="false">
      <c r="A220" s="121"/>
      <c r="B220" s="121"/>
      <c r="C220" s="121"/>
      <c r="D220" s="121"/>
      <c r="E220" s="121"/>
      <c r="F220" s="121"/>
      <c r="G220" s="121"/>
      <c r="H220" s="121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21"/>
      <c r="T220" s="121"/>
      <c r="U220" s="121"/>
      <c r="V220" s="121"/>
      <c r="W220" s="121"/>
      <c r="X220" s="121"/>
      <c r="Y220" s="121"/>
      <c r="Z220" s="121"/>
    </row>
    <row r="221" customFormat="false" ht="15.75" hidden="false" customHeight="false" outlineLevel="0" collapsed="false">
      <c r="A221" s="121"/>
      <c r="B221" s="121"/>
      <c r="C221" s="121"/>
      <c r="D221" s="121"/>
      <c r="E221" s="121"/>
      <c r="F221" s="121"/>
      <c r="G221" s="121"/>
      <c r="H221" s="121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21"/>
      <c r="T221" s="121"/>
      <c r="U221" s="121"/>
      <c r="V221" s="121"/>
      <c r="W221" s="121"/>
      <c r="X221" s="121"/>
      <c r="Y221" s="121"/>
      <c r="Z221" s="121"/>
    </row>
    <row r="222" customFormat="false" ht="15.75" hidden="false" customHeight="false" outlineLevel="0" collapsed="false">
      <c r="A222" s="121"/>
      <c r="B222" s="121"/>
      <c r="C222" s="121"/>
      <c r="D222" s="121"/>
      <c r="E222" s="121"/>
      <c r="F222" s="121"/>
      <c r="G222" s="121"/>
      <c r="H222" s="121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21"/>
      <c r="T222" s="121"/>
      <c r="U222" s="121"/>
      <c r="V222" s="121"/>
      <c r="W222" s="121"/>
      <c r="X222" s="121"/>
      <c r="Y222" s="121"/>
      <c r="Z222" s="121"/>
    </row>
    <row r="223" customFormat="false" ht="15.75" hidden="false" customHeight="false" outlineLevel="0" collapsed="false">
      <c r="A223" s="121"/>
      <c r="B223" s="121"/>
      <c r="C223" s="121"/>
      <c r="D223" s="121"/>
      <c r="E223" s="121"/>
      <c r="F223" s="121"/>
      <c r="G223" s="121"/>
      <c r="H223" s="121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21"/>
      <c r="T223" s="121"/>
      <c r="U223" s="121"/>
      <c r="V223" s="121"/>
      <c r="W223" s="121"/>
      <c r="X223" s="121"/>
      <c r="Y223" s="121"/>
      <c r="Z223" s="121"/>
    </row>
    <row r="224" customFormat="false" ht="15.75" hidden="false" customHeight="false" outlineLevel="0" collapsed="false">
      <c r="A224" s="121"/>
      <c r="B224" s="121"/>
      <c r="C224" s="121"/>
      <c r="D224" s="121"/>
      <c r="E224" s="121"/>
      <c r="F224" s="121"/>
      <c r="G224" s="121"/>
      <c r="H224" s="121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</row>
    <row r="225" customFormat="false" ht="15.75" hidden="false" customHeight="false" outlineLevel="0" collapsed="false">
      <c r="A225" s="121"/>
      <c r="B225" s="121"/>
      <c r="C225" s="121"/>
      <c r="D225" s="121"/>
      <c r="E225" s="121"/>
      <c r="F225" s="121"/>
      <c r="G225" s="121"/>
      <c r="H225" s="121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</row>
    <row r="226" customFormat="false" ht="15.75" hidden="false" customHeight="false" outlineLevel="0" collapsed="false">
      <c r="A226" s="121"/>
      <c r="B226" s="121"/>
      <c r="C226" s="121"/>
      <c r="D226" s="121"/>
      <c r="E226" s="121"/>
      <c r="F226" s="121"/>
      <c r="G226" s="121"/>
      <c r="H226" s="121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</row>
    <row r="227" customFormat="false" ht="15.75" hidden="false" customHeight="false" outlineLevel="0" collapsed="false">
      <c r="A227" s="121"/>
      <c r="B227" s="121"/>
      <c r="C227" s="121"/>
      <c r="D227" s="121"/>
      <c r="E227" s="121"/>
      <c r="F227" s="121"/>
      <c r="G227" s="121"/>
      <c r="H227" s="121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</row>
    <row r="228" customFormat="false" ht="15.75" hidden="false" customHeight="false" outlineLevel="0" collapsed="false">
      <c r="A228" s="121"/>
      <c r="B228" s="121"/>
      <c r="C228" s="121"/>
      <c r="D228" s="121"/>
      <c r="E228" s="121"/>
      <c r="F228" s="121"/>
      <c r="G228" s="121"/>
      <c r="H228" s="121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</row>
    <row r="229" customFormat="false" ht="15.75" hidden="false" customHeight="false" outlineLevel="0" collapsed="false">
      <c r="A229" s="121"/>
      <c r="B229" s="121"/>
      <c r="C229" s="121"/>
      <c r="D229" s="121"/>
      <c r="E229" s="121"/>
      <c r="F229" s="121"/>
      <c r="G229" s="121"/>
      <c r="H229" s="121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</row>
    <row r="230" customFormat="false" ht="15.75" hidden="false" customHeight="false" outlineLevel="0" collapsed="false">
      <c r="A230" s="121"/>
      <c r="B230" s="121"/>
      <c r="C230" s="121"/>
      <c r="D230" s="121"/>
      <c r="E230" s="121"/>
      <c r="F230" s="121"/>
      <c r="G230" s="121"/>
      <c r="H230" s="121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</row>
    <row r="231" customFormat="false" ht="15.75" hidden="false" customHeight="false" outlineLevel="0" collapsed="false">
      <c r="A231" s="121"/>
      <c r="B231" s="121"/>
      <c r="C231" s="121"/>
      <c r="D231" s="121"/>
      <c r="E231" s="121"/>
      <c r="F231" s="121"/>
      <c r="G231" s="121"/>
      <c r="H231" s="121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21"/>
      <c r="T231" s="121"/>
      <c r="U231" s="121"/>
      <c r="V231" s="121"/>
      <c r="W231" s="121"/>
      <c r="X231" s="121"/>
      <c r="Y231" s="121"/>
      <c r="Z231" s="121"/>
    </row>
    <row r="232" customFormat="false" ht="15.75" hidden="false" customHeight="false" outlineLevel="0" collapsed="false">
      <c r="A232" s="121"/>
      <c r="B232" s="121"/>
      <c r="C232" s="121"/>
      <c r="D232" s="121"/>
      <c r="E232" s="121"/>
      <c r="F232" s="121"/>
      <c r="G232" s="121"/>
      <c r="H232" s="121"/>
      <c r="I232" s="121"/>
      <c r="J232" s="121"/>
      <c r="K232" s="121"/>
      <c r="L232" s="121"/>
      <c r="M232" s="121"/>
      <c r="N232" s="121"/>
      <c r="O232" s="121"/>
      <c r="P232" s="121"/>
      <c r="Q232" s="121"/>
      <c r="R232" s="121"/>
      <c r="S232" s="121"/>
      <c r="T232" s="121"/>
      <c r="U232" s="121"/>
      <c r="V232" s="121"/>
      <c r="W232" s="121"/>
      <c r="X232" s="121"/>
      <c r="Y232" s="121"/>
      <c r="Z232" s="121"/>
    </row>
    <row r="233" customFormat="false" ht="15.75" hidden="false" customHeight="false" outlineLevel="0" collapsed="false">
      <c r="A233" s="121"/>
      <c r="B233" s="121"/>
      <c r="C233" s="121"/>
      <c r="D233" s="121"/>
      <c r="E233" s="121"/>
      <c r="F233" s="121"/>
      <c r="G233" s="121"/>
      <c r="H233" s="121"/>
      <c r="I233" s="121"/>
      <c r="J233" s="121"/>
      <c r="K233" s="121"/>
      <c r="L233" s="121"/>
      <c r="M233" s="121"/>
      <c r="N233" s="121"/>
      <c r="O233" s="121"/>
      <c r="P233" s="121"/>
      <c r="Q233" s="121"/>
      <c r="R233" s="121"/>
      <c r="S233" s="121"/>
      <c r="T233" s="121"/>
      <c r="U233" s="121"/>
      <c r="V233" s="121"/>
      <c r="W233" s="121"/>
      <c r="X233" s="121"/>
      <c r="Y233" s="121"/>
      <c r="Z233" s="121"/>
    </row>
    <row r="234" customFormat="false" ht="15.75" hidden="false" customHeight="false" outlineLevel="0" collapsed="false">
      <c r="A234" s="121"/>
      <c r="B234" s="121"/>
      <c r="C234" s="121"/>
      <c r="D234" s="121"/>
      <c r="E234" s="121"/>
      <c r="F234" s="121"/>
      <c r="G234" s="121"/>
      <c r="H234" s="121"/>
      <c r="I234" s="121"/>
      <c r="J234" s="121"/>
      <c r="K234" s="121"/>
      <c r="L234" s="121"/>
      <c r="M234" s="121"/>
      <c r="N234" s="121"/>
      <c r="O234" s="121"/>
      <c r="P234" s="121"/>
      <c r="Q234" s="121"/>
      <c r="R234" s="121"/>
      <c r="S234" s="121"/>
      <c r="T234" s="121"/>
      <c r="U234" s="121"/>
      <c r="V234" s="121"/>
      <c r="W234" s="121"/>
      <c r="X234" s="121"/>
      <c r="Y234" s="121"/>
      <c r="Z234" s="121"/>
    </row>
    <row r="235" customFormat="false" ht="15.75" hidden="false" customHeight="false" outlineLevel="0" collapsed="false">
      <c r="A235" s="121"/>
      <c r="B235" s="121"/>
      <c r="C235" s="121"/>
      <c r="D235" s="121"/>
      <c r="E235" s="121"/>
      <c r="F235" s="121"/>
      <c r="G235" s="121"/>
      <c r="H235" s="121"/>
      <c r="I235" s="121"/>
      <c r="J235" s="121"/>
      <c r="K235" s="121"/>
      <c r="L235" s="121"/>
      <c r="M235" s="121"/>
      <c r="N235" s="121"/>
      <c r="O235" s="121"/>
      <c r="P235" s="121"/>
      <c r="Q235" s="121"/>
      <c r="R235" s="121"/>
      <c r="S235" s="121"/>
      <c r="T235" s="121"/>
      <c r="U235" s="121"/>
      <c r="V235" s="121"/>
      <c r="W235" s="121"/>
      <c r="X235" s="121"/>
      <c r="Y235" s="121"/>
      <c r="Z235" s="121"/>
    </row>
    <row r="236" customFormat="false" ht="15.75" hidden="false" customHeight="false" outlineLevel="0" collapsed="false">
      <c r="A236" s="121"/>
      <c r="B236" s="121"/>
      <c r="C236" s="121"/>
      <c r="D236" s="121"/>
      <c r="E236" s="121"/>
      <c r="F236" s="121"/>
      <c r="G236" s="121"/>
      <c r="H236" s="121"/>
      <c r="I236" s="121"/>
      <c r="J236" s="121"/>
      <c r="K236" s="121"/>
      <c r="L236" s="121"/>
      <c r="M236" s="121"/>
      <c r="N236" s="121"/>
      <c r="O236" s="121"/>
      <c r="P236" s="121"/>
      <c r="Q236" s="121"/>
      <c r="R236" s="121"/>
      <c r="S236" s="121"/>
      <c r="T236" s="121"/>
      <c r="U236" s="121"/>
      <c r="V236" s="121"/>
      <c r="W236" s="121"/>
      <c r="X236" s="121"/>
      <c r="Y236" s="121"/>
      <c r="Z236" s="121"/>
    </row>
    <row r="237" customFormat="false" ht="15.75" hidden="false" customHeight="false" outlineLevel="0" collapsed="false">
      <c r="A237" s="121"/>
      <c r="B237" s="121"/>
      <c r="C237" s="121"/>
      <c r="D237" s="121"/>
      <c r="E237" s="121"/>
      <c r="F237" s="121"/>
      <c r="G237" s="121"/>
      <c r="H237" s="121"/>
      <c r="I237" s="121"/>
      <c r="J237" s="121"/>
      <c r="K237" s="121"/>
      <c r="L237" s="121"/>
      <c r="M237" s="121"/>
      <c r="N237" s="121"/>
      <c r="O237" s="121"/>
      <c r="P237" s="121"/>
      <c r="Q237" s="121"/>
      <c r="R237" s="121"/>
      <c r="S237" s="121"/>
      <c r="T237" s="121"/>
      <c r="U237" s="121"/>
      <c r="V237" s="121"/>
      <c r="W237" s="121"/>
      <c r="X237" s="121"/>
      <c r="Y237" s="121"/>
      <c r="Z237" s="121"/>
    </row>
    <row r="238" customFormat="false" ht="15.75" hidden="false" customHeight="false" outlineLevel="0" collapsed="false">
      <c r="A238" s="121"/>
      <c r="B238" s="121"/>
      <c r="C238" s="121"/>
      <c r="D238" s="121"/>
      <c r="E238" s="121"/>
      <c r="F238" s="121"/>
      <c r="G238" s="121"/>
      <c r="H238" s="121"/>
      <c r="I238" s="121"/>
      <c r="J238" s="121"/>
      <c r="K238" s="121"/>
      <c r="L238" s="121"/>
      <c r="M238" s="121"/>
      <c r="N238" s="121"/>
      <c r="O238" s="121"/>
      <c r="P238" s="121"/>
      <c r="Q238" s="121"/>
      <c r="R238" s="121"/>
      <c r="S238" s="121"/>
      <c r="T238" s="121"/>
      <c r="U238" s="121"/>
      <c r="V238" s="121"/>
      <c r="W238" s="121"/>
      <c r="X238" s="121"/>
      <c r="Y238" s="121"/>
      <c r="Z238" s="121"/>
    </row>
    <row r="239" customFormat="false" ht="15.75" hidden="false" customHeight="false" outlineLevel="0" collapsed="false">
      <c r="A239" s="121"/>
      <c r="B239" s="121"/>
      <c r="C239" s="121"/>
      <c r="D239" s="121"/>
      <c r="E239" s="121"/>
      <c r="F239" s="121"/>
      <c r="G239" s="121"/>
      <c r="H239" s="121"/>
      <c r="I239" s="121"/>
      <c r="J239" s="121"/>
      <c r="K239" s="121"/>
      <c r="L239" s="121"/>
      <c r="M239" s="121"/>
      <c r="N239" s="121"/>
      <c r="O239" s="121"/>
      <c r="P239" s="121"/>
      <c r="Q239" s="121"/>
      <c r="R239" s="121"/>
      <c r="S239" s="121"/>
      <c r="T239" s="121"/>
      <c r="U239" s="121"/>
      <c r="V239" s="121"/>
      <c r="W239" s="121"/>
      <c r="X239" s="121"/>
      <c r="Y239" s="121"/>
      <c r="Z239" s="121"/>
    </row>
    <row r="240" customFormat="false" ht="15.75" hidden="false" customHeight="false" outlineLevel="0" collapsed="false">
      <c r="A240" s="121"/>
      <c r="B240" s="121"/>
      <c r="C240" s="121"/>
      <c r="D240" s="121"/>
      <c r="E240" s="121"/>
      <c r="F240" s="121"/>
      <c r="G240" s="121"/>
      <c r="H240" s="121"/>
      <c r="I240" s="121"/>
      <c r="J240" s="121"/>
      <c r="K240" s="121"/>
      <c r="L240" s="121"/>
      <c r="M240" s="121"/>
      <c r="N240" s="121"/>
      <c r="O240" s="121"/>
      <c r="P240" s="121"/>
      <c r="Q240" s="121"/>
      <c r="R240" s="121"/>
      <c r="S240" s="121"/>
      <c r="T240" s="121"/>
      <c r="U240" s="121"/>
      <c r="V240" s="121"/>
      <c r="W240" s="121"/>
      <c r="X240" s="121"/>
      <c r="Y240" s="121"/>
      <c r="Z240" s="121"/>
    </row>
    <row r="241" customFormat="false" ht="15.75" hidden="false" customHeight="false" outlineLevel="0" collapsed="false">
      <c r="A241" s="121"/>
      <c r="B241" s="121"/>
      <c r="C241" s="121"/>
      <c r="D241" s="121"/>
      <c r="E241" s="121"/>
      <c r="F241" s="121"/>
      <c r="G241" s="121"/>
      <c r="H241" s="121"/>
      <c r="I241" s="121"/>
      <c r="J241" s="121"/>
      <c r="K241" s="121"/>
      <c r="L241" s="121"/>
      <c r="M241" s="121"/>
      <c r="N241" s="121"/>
      <c r="O241" s="121"/>
      <c r="P241" s="121"/>
      <c r="Q241" s="121"/>
      <c r="R241" s="121"/>
      <c r="S241" s="121"/>
      <c r="T241" s="121"/>
      <c r="U241" s="121"/>
      <c r="V241" s="121"/>
      <c r="W241" s="121"/>
      <c r="X241" s="121"/>
      <c r="Y241" s="121"/>
      <c r="Z241" s="121"/>
    </row>
    <row r="242" customFormat="false" ht="15.75" hidden="false" customHeight="false" outlineLevel="0" collapsed="false">
      <c r="A242" s="121"/>
      <c r="B242" s="121"/>
      <c r="C242" s="121"/>
      <c r="D242" s="121"/>
      <c r="E242" s="121"/>
      <c r="F242" s="121"/>
      <c r="G242" s="121"/>
      <c r="H242" s="121"/>
      <c r="I242" s="121"/>
      <c r="J242" s="121"/>
      <c r="K242" s="121"/>
      <c r="L242" s="121"/>
      <c r="M242" s="121"/>
      <c r="N242" s="121"/>
      <c r="O242" s="121"/>
      <c r="P242" s="121"/>
      <c r="Q242" s="121"/>
      <c r="R242" s="121"/>
      <c r="S242" s="121"/>
      <c r="T242" s="121"/>
      <c r="U242" s="121"/>
      <c r="V242" s="121"/>
      <c r="W242" s="121"/>
      <c r="X242" s="121"/>
      <c r="Y242" s="121"/>
      <c r="Z242" s="121"/>
    </row>
    <row r="243" customFormat="false" ht="15.75" hidden="false" customHeight="false" outlineLevel="0" collapsed="false">
      <c r="A243" s="121"/>
      <c r="B243" s="121"/>
      <c r="C243" s="121"/>
      <c r="D243" s="121"/>
      <c r="E243" s="121"/>
      <c r="F243" s="121"/>
      <c r="G243" s="121"/>
      <c r="H243" s="121"/>
      <c r="I243" s="121"/>
      <c r="J243" s="121"/>
      <c r="K243" s="121"/>
      <c r="L243" s="121"/>
      <c r="M243" s="121"/>
      <c r="N243" s="121"/>
      <c r="O243" s="121"/>
      <c r="P243" s="121"/>
      <c r="Q243" s="121"/>
      <c r="R243" s="121"/>
      <c r="S243" s="121"/>
      <c r="T243" s="121"/>
      <c r="U243" s="121"/>
      <c r="V243" s="121"/>
      <c r="W243" s="121"/>
      <c r="X243" s="121"/>
      <c r="Y243" s="121"/>
      <c r="Z243" s="121"/>
    </row>
    <row r="244" customFormat="false" ht="15.75" hidden="false" customHeight="false" outlineLevel="0" collapsed="false">
      <c r="A244" s="121"/>
      <c r="B244" s="121"/>
      <c r="C244" s="121"/>
      <c r="D244" s="121"/>
      <c r="E244" s="121"/>
      <c r="F244" s="121"/>
      <c r="G244" s="121"/>
      <c r="H244" s="121"/>
      <c r="I244" s="121"/>
      <c r="J244" s="121"/>
      <c r="K244" s="121"/>
      <c r="L244" s="121"/>
      <c r="M244" s="121"/>
      <c r="N244" s="121"/>
      <c r="O244" s="121"/>
      <c r="P244" s="121"/>
      <c r="Q244" s="121"/>
      <c r="R244" s="121"/>
      <c r="S244" s="121"/>
      <c r="T244" s="121"/>
      <c r="U244" s="121"/>
      <c r="V244" s="121"/>
      <c r="W244" s="121"/>
      <c r="X244" s="121"/>
      <c r="Y244" s="121"/>
      <c r="Z244" s="121"/>
    </row>
    <row r="245" customFormat="false" ht="15.75" hidden="false" customHeight="false" outlineLevel="0" collapsed="false">
      <c r="A245" s="121"/>
      <c r="B245" s="121"/>
      <c r="C245" s="121"/>
      <c r="D245" s="121"/>
      <c r="E245" s="121"/>
      <c r="F245" s="121"/>
      <c r="G245" s="121"/>
      <c r="H245" s="121"/>
      <c r="I245" s="121"/>
      <c r="J245" s="121"/>
      <c r="K245" s="121"/>
      <c r="L245" s="121"/>
      <c r="M245" s="121"/>
      <c r="N245" s="121"/>
      <c r="O245" s="121"/>
      <c r="P245" s="121"/>
      <c r="Q245" s="121"/>
      <c r="R245" s="121"/>
      <c r="S245" s="121"/>
      <c r="T245" s="121"/>
      <c r="U245" s="121"/>
      <c r="V245" s="121"/>
      <c r="W245" s="121"/>
      <c r="X245" s="121"/>
      <c r="Y245" s="121"/>
      <c r="Z245" s="121"/>
    </row>
    <row r="246" customFormat="false" ht="15.75" hidden="false" customHeight="false" outlineLevel="0" collapsed="false">
      <c r="A246" s="121"/>
      <c r="B246" s="121"/>
      <c r="C246" s="121"/>
      <c r="D246" s="121"/>
      <c r="E246" s="121"/>
      <c r="F246" s="121"/>
      <c r="G246" s="121"/>
      <c r="H246" s="121"/>
      <c r="I246" s="121"/>
      <c r="J246" s="121"/>
      <c r="K246" s="121"/>
      <c r="L246" s="121"/>
      <c r="M246" s="121"/>
      <c r="N246" s="121"/>
      <c r="O246" s="121"/>
      <c r="P246" s="121"/>
      <c r="Q246" s="121"/>
      <c r="R246" s="121"/>
      <c r="S246" s="121"/>
      <c r="T246" s="121"/>
      <c r="U246" s="121"/>
      <c r="V246" s="121"/>
      <c r="W246" s="121"/>
      <c r="X246" s="121"/>
      <c r="Y246" s="121"/>
      <c r="Z246" s="121"/>
    </row>
    <row r="247" customFormat="false" ht="15.75" hidden="false" customHeight="false" outlineLevel="0" collapsed="false">
      <c r="A247" s="121"/>
      <c r="B247" s="121"/>
      <c r="C247" s="121"/>
      <c r="D247" s="121"/>
      <c r="E247" s="121"/>
      <c r="F247" s="121"/>
      <c r="G247" s="121"/>
      <c r="H247" s="121"/>
      <c r="I247" s="121"/>
      <c r="J247" s="121"/>
      <c r="K247" s="121"/>
      <c r="L247" s="121"/>
      <c r="M247" s="121"/>
      <c r="N247" s="121"/>
      <c r="O247" s="121"/>
      <c r="P247" s="121"/>
      <c r="Q247" s="121"/>
      <c r="R247" s="121"/>
      <c r="S247" s="121"/>
      <c r="T247" s="121"/>
      <c r="U247" s="121"/>
      <c r="V247" s="121"/>
      <c r="W247" s="121"/>
      <c r="X247" s="121"/>
      <c r="Y247" s="121"/>
      <c r="Z247" s="121"/>
    </row>
    <row r="248" customFormat="false" ht="15.75" hidden="false" customHeight="false" outlineLevel="0" collapsed="false">
      <c r="A248" s="121"/>
      <c r="B248" s="121"/>
      <c r="C248" s="121"/>
      <c r="D248" s="121"/>
      <c r="E248" s="121"/>
      <c r="F248" s="121"/>
      <c r="G248" s="121"/>
      <c r="H248" s="121"/>
      <c r="I248" s="121"/>
      <c r="J248" s="121"/>
      <c r="K248" s="121"/>
      <c r="L248" s="121"/>
      <c r="M248" s="121"/>
      <c r="N248" s="121"/>
      <c r="O248" s="121"/>
      <c r="P248" s="121"/>
      <c r="Q248" s="121"/>
      <c r="R248" s="121"/>
      <c r="S248" s="121"/>
      <c r="T248" s="121"/>
      <c r="U248" s="121"/>
      <c r="V248" s="121"/>
      <c r="W248" s="121"/>
      <c r="X248" s="121"/>
      <c r="Y248" s="121"/>
      <c r="Z248" s="121"/>
    </row>
    <row r="249" customFormat="false" ht="15.75" hidden="false" customHeight="false" outlineLevel="0" collapsed="false">
      <c r="A249" s="121"/>
      <c r="B249" s="121"/>
      <c r="C249" s="121"/>
      <c r="D249" s="121"/>
      <c r="E249" s="121"/>
      <c r="F249" s="121"/>
      <c r="G249" s="121"/>
      <c r="H249" s="121"/>
      <c r="I249" s="121"/>
      <c r="J249" s="121"/>
      <c r="K249" s="121"/>
      <c r="L249" s="121"/>
      <c r="M249" s="121"/>
      <c r="N249" s="121"/>
      <c r="O249" s="121"/>
      <c r="P249" s="121"/>
      <c r="Q249" s="121"/>
      <c r="R249" s="121"/>
      <c r="S249" s="121"/>
      <c r="T249" s="121"/>
      <c r="U249" s="121"/>
      <c r="V249" s="121"/>
      <c r="W249" s="121"/>
      <c r="X249" s="121"/>
      <c r="Y249" s="121"/>
      <c r="Z249" s="121"/>
    </row>
    <row r="250" customFormat="false" ht="15.75" hidden="false" customHeight="false" outlineLevel="0" collapsed="false">
      <c r="A250" s="121"/>
      <c r="B250" s="121"/>
      <c r="C250" s="121"/>
      <c r="D250" s="121"/>
      <c r="E250" s="121"/>
      <c r="F250" s="121"/>
      <c r="G250" s="121"/>
      <c r="H250" s="121"/>
      <c r="I250" s="121"/>
      <c r="J250" s="121"/>
      <c r="K250" s="121"/>
      <c r="L250" s="121"/>
      <c r="M250" s="121"/>
      <c r="N250" s="121"/>
      <c r="O250" s="121"/>
      <c r="P250" s="121"/>
      <c r="Q250" s="121"/>
      <c r="R250" s="121"/>
      <c r="S250" s="121"/>
      <c r="T250" s="121"/>
      <c r="U250" s="121"/>
      <c r="V250" s="121"/>
      <c r="W250" s="121"/>
      <c r="X250" s="121"/>
      <c r="Y250" s="121"/>
      <c r="Z250" s="121"/>
    </row>
    <row r="251" customFormat="false" ht="15.75" hidden="false" customHeight="false" outlineLevel="0" collapsed="false">
      <c r="A251" s="121"/>
      <c r="B251" s="121"/>
      <c r="C251" s="121"/>
      <c r="D251" s="121"/>
      <c r="E251" s="121"/>
      <c r="F251" s="121"/>
      <c r="G251" s="121"/>
      <c r="H251" s="121"/>
      <c r="I251" s="121"/>
      <c r="J251" s="121"/>
      <c r="K251" s="121"/>
      <c r="L251" s="121"/>
      <c r="M251" s="121"/>
      <c r="N251" s="121"/>
      <c r="O251" s="121"/>
      <c r="P251" s="121"/>
      <c r="Q251" s="121"/>
      <c r="R251" s="121"/>
      <c r="S251" s="121"/>
      <c r="T251" s="121"/>
      <c r="U251" s="121"/>
      <c r="V251" s="121"/>
      <c r="W251" s="121"/>
      <c r="X251" s="121"/>
      <c r="Y251" s="121"/>
      <c r="Z251" s="121"/>
    </row>
    <row r="252" customFormat="false" ht="15.75" hidden="false" customHeight="false" outlineLevel="0" collapsed="false">
      <c r="A252" s="121"/>
      <c r="B252" s="121"/>
      <c r="C252" s="121"/>
      <c r="D252" s="121"/>
      <c r="E252" s="121"/>
      <c r="F252" s="121"/>
      <c r="G252" s="121"/>
      <c r="H252" s="121"/>
      <c r="I252" s="121"/>
      <c r="J252" s="121"/>
      <c r="K252" s="121"/>
      <c r="L252" s="121"/>
      <c r="M252" s="121"/>
      <c r="N252" s="121"/>
      <c r="O252" s="121"/>
      <c r="P252" s="121"/>
      <c r="Q252" s="121"/>
      <c r="R252" s="121"/>
      <c r="S252" s="121"/>
      <c r="T252" s="121"/>
      <c r="U252" s="121"/>
      <c r="V252" s="121"/>
      <c r="W252" s="121"/>
      <c r="X252" s="121"/>
      <c r="Y252" s="121"/>
      <c r="Z252" s="121"/>
    </row>
    <row r="253" customFormat="false" ht="15.75" hidden="false" customHeight="false" outlineLevel="0" collapsed="false">
      <c r="A253" s="121"/>
      <c r="B253" s="121"/>
      <c r="C253" s="121"/>
      <c r="D253" s="121"/>
      <c r="E253" s="121"/>
      <c r="F253" s="121"/>
      <c r="G253" s="121"/>
      <c r="H253" s="121"/>
      <c r="I253" s="121"/>
      <c r="J253" s="121"/>
      <c r="K253" s="121"/>
      <c r="L253" s="121"/>
      <c r="M253" s="121"/>
      <c r="N253" s="121"/>
      <c r="O253" s="121"/>
      <c r="P253" s="121"/>
      <c r="Q253" s="121"/>
      <c r="R253" s="121"/>
      <c r="S253" s="121"/>
      <c r="T253" s="121"/>
      <c r="U253" s="121"/>
      <c r="V253" s="121"/>
      <c r="W253" s="121"/>
      <c r="X253" s="121"/>
      <c r="Y253" s="121"/>
      <c r="Z253" s="121"/>
    </row>
    <row r="254" customFormat="false" ht="15.75" hidden="false" customHeight="false" outlineLevel="0" collapsed="false">
      <c r="A254" s="121"/>
      <c r="B254" s="121"/>
      <c r="C254" s="121"/>
      <c r="D254" s="121"/>
      <c r="E254" s="121"/>
      <c r="F254" s="121"/>
      <c r="G254" s="121"/>
      <c r="H254" s="121"/>
      <c r="I254" s="121"/>
      <c r="J254" s="121"/>
      <c r="K254" s="121"/>
      <c r="L254" s="121"/>
      <c r="M254" s="121"/>
      <c r="N254" s="121"/>
      <c r="O254" s="121"/>
      <c r="P254" s="121"/>
      <c r="Q254" s="121"/>
      <c r="R254" s="121"/>
      <c r="S254" s="121"/>
      <c r="T254" s="121"/>
      <c r="U254" s="121"/>
      <c r="V254" s="121"/>
      <c r="W254" s="121"/>
      <c r="X254" s="121"/>
      <c r="Y254" s="121"/>
      <c r="Z254" s="121"/>
    </row>
    <row r="255" customFormat="false" ht="15.75" hidden="false" customHeight="false" outlineLevel="0" collapsed="false">
      <c r="A255" s="121"/>
      <c r="B255" s="121"/>
      <c r="C255" s="121"/>
      <c r="D255" s="121"/>
      <c r="E255" s="121"/>
      <c r="F255" s="121"/>
      <c r="G255" s="121"/>
      <c r="H255" s="121"/>
      <c r="I255" s="121"/>
      <c r="J255" s="121"/>
      <c r="K255" s="121"/>
      <c r="L255" s="121"/>
      <c r="M255" s="121"/>
      <c r="N255" s="121"/>
      <c r="O255" s="121"/>
      <c r="P255" s="121"/>
      <c r="Q255" s="121"/>
      <c r="R255" s="121"/>
      <c r="S255" s="121"/>
      <c r="T255" s="121"/>
      <c r="U255" s="121"/>
      <c r="V255" s="121"/>
      <c r="W255" s="121"/>
      <c r="X255" s="121"/>
      <c r="Y255" s="121"/>
      <c r="Z255" s="121"/>
    </row>
    <row r="256" customFormat="false" ht="15.75" hidden="false" customHeight="false" outlineLevel="0" collapsed="false">
      <c r="A256" s="121"/>
      <c r="B256" s="121"/>
      <c r="C256" s="121"/>
      <c r="D256" s="121"/>
      <c r="E256" s="121"/>
      <c r="F256" s="121"/>
      <c r="G256" s="121"/>
      <c r="H256" s="121"/>
      <c r="I256" s="121"/>
      <c r="J256" s="121"/>
      <c r="K256" s="121"/>
      <c r="L256" s="121"/>
      <c r="M256" s="121"/>
      <c r="N256" s="121"/>
      <c r="O256" s="121"/>
      <c r="P256" s="121"/>
      <c r="Q256" s="121"/>
      <c r="R256" s="121"/>
      <c r="S256" s="121"/>
      <c r="T256" s="121"/>
      <c r="U256" s="121"/>
      <c r="V256" s="121"/>
      <c r="W256" s="121"/>
      <c r="X256" s="121"/>
      <c r="Y256" s="121"/>
      <c r="Z256" s="121"/>
    </row>
    <row r="257" customFormat="false" ht="15.75" hidden="false" customHeight="false" outlineLevel="0" collapsed="false">
      <c r="A257" s="121"/>
      <c r="B257" s="121"/>
      <c r="C257" s="121"/>
      <c r="D257" s="121"/>
      <c r="E257" s="121"/>
      <c r="F257" s="121"/>
      <c r="G257" s="121"/>
      <c r="H257" s="121"/>
      <c r="I257" s="121"/>
      <c r="J257" s="121"/>
      <c r="K257" s="121"/>
      <c r="L257" s="121"/>
      <c r="M257" s="121"/>
      <c r="N257" s="121"/>
      <c r="O257" s="121"/>
      <c r="P257" s="121"/>
      <c r="Q257" s="121"/>
      <c r="R257" s="121"/>
      <c r="S257" s="121"/>
      <c r="T257" s="121"/>
      <c r="U257" s="121"/>
      <c r="V257" s="121"/>
      <c r="W257" s="121"/>
      <c r="X257" s="121"/>
      <c r="Y257" s="121"/>
      <c r="Z257" s="121"/>
    </row>
    <row r="258" customFormat="false" ht="15.75" hidden="false" customHeight="false" outlineLevel="0" collapsed="false">
      <c r="A258" s="121"/>
      <c r="B258" s="121"/>
      <c r="C258" s="121"/>
      <c r="D258" s="121"/>
      <c r="E258" s="121"/>
      <c r="F258" s="121"/>
      <c r="G258" s="121"/>
      <c r="H258" s="121"/>
      <c r="I258" s="121"/>
      <c r="J258" s="121"/>
      <c r="K258" s="121"/>
      <c r="L258" s="121"/>
      <c r="M258" s="121"/>
      <c r="N258" s="121"/>
      <c r="O258" s="121"/>
      <c r="P258" s="121"/>
      <c r="Q258" s="121"/>
      <c r="R258" s="121"/>
      <c r="S258" s="121"/>
      <c r="T258" s="121"/>
      <c r="U258" s="121"/>
      <c r="V258" s="121"/>
      <c r="W258" s="121"/>
      <c r="X258" s="121"/>
      <c r="Y258" s="121"/>
      <c r="Z258" s="121"/>
    </row>
    <row r="259" customFormat="false" ht="15.75" hidden="false" customHeight="false" outlineLevel="0" collapsed="false">
      <c r="A259" s="121"/>
      <c r="B259" s="121"/>
      <c r="C259" s="121"/>
      <c r="D259" s="121"/>
      <c r="E259" s="121"/>
      <c r="F259" s="121"/>
      <c r="G259" s="121"/>
      <c r="H259" s="121"/>
      <c r="I259" s="121"/>
      <c r="J259" s="121"/>
      <c r="K259" s="121"/>
      <c r="L259" s="121"/>
      <c r="M259" s="121"/>
      <c r="N259" s="121"/>
      <c r="O259" s="121"/>
      <c r="P259" s="121"/>
      <c r="Q259" s="121"/>
      <c r="R259" s="121"/>
      <c r="S259" s="121"/>
      <c r="T259" s="121"/>
      <c r="U259" s="121"/>
      <c r="V259" s="121"/>
      <c r="W259" s="121"/>
      <c r="X259" s="121"/>
      <c r="Y259" s="121"/>
      <c r="Z259" s="121"/>
    </row>
    <row r="260" customFormat="false" ht="15.75" hidden="false" customHeight="false" outlineLevel="0" collapsed="false">
      <c r="A260" s="121"/>
      <c r="B260" s="121"/>
      <c r="C260" s="121"/>
      <c r="D260" s="121"/>
      <c r="E260" s="121"/>
      <c r="F260" s="121"/>
      <c r="G260" s="121"/>
      <c r="H260" s="121"/>
      <c r="I260" s="121"/>
      <c r="J260" s="121"/>
      <c r="K260" s="121"/>
      <c r="L260" s="121"/>
      <c r="M260" s="121"/>
      <c r="N260" s="121"/>
      <c r="O260" s="121"/>
      <c r="P260" s="121"/>
      <c r="Q260" s="121"/>
      <c r="R260" s="121"/>
      <c r="S260" s="121"/>
      <c r="T260" s="121"/>
      <c r="U260" s="121"/>
      <c r="V260" s="121"/>
      <c r="W260" s="121"/>
      <c r="X260" s="121"/>
      <c r="Y260" s="121"/>
      <c r="Z260" s="121"/>
    </row>
    <row r="261" customFormat="false" ht="15.75" hidden="false" customHeight="false" outlineLevel="0" collapsed="false">
      <c r="A261" s="121"/>
      <c r="B261" s="121"/>
      <c r="C261" s="121"/>
      <c r="D261" s="121"/>
      <c r="E261" s="121"/>
      <c r="F261" s="121"/>
      <c r="G261" s="121"/>
      <c r="H261" s="121"/>
      <c r="I261" s="121"/>
      <c r="J261" s="121"/>
      <c r="K261" s="121"/>
      <c r="L261" s="121"/>
      <c r="M261" s="121"/>
      <c r="N261" s="121"/>
      <c r="O261" s="121"/>
      <c r="P261" s="121"/>
      <c r="Q261" s="121"/>
      <c r="R261" s="121"/>
      <c r="S261" s="121"/>
      <c r="T261" s="121"/>
      <c r="U261" s="121"/>
      <c r="V261" s="121"/>
      <c r="W261" s="121"/>
      <c r="X261" s="121"/>
      <c r="Y261" s="121"/>
      <c r="Z261" s="121"/>
    </row>
    <row r="262" customFormat="false" ht="15.75" hidden="false" customHeight="false" outlineLevel="0" collapsed="false">
      <c r="A262" s="121"/>
      <c r="B262" s="121"/>
      <c r="C262" s="121"/>
      <c r="D262" s="121"/>
      <c r="E262" s="121"/>
      <c r="F262" s="121"/>
      <c r="G262" s="121"/>
      <c r="H262" s="121"/>
      <c r="I262" s="121"/>
      <c r="J262" s="121"/>
      <c r="K262" s="121"/>
      <c r="L262" s="121"/>
      <c r="M262" s="121"/>
      <c r="N262" s="121"/>
      <c r="O262" s="121"/>
      <c r="P262" s="121"/>
      <c r="Q262" s="121"/>
      <c r="R262" s="121"/>
      <c r="S262" s="121"/>
      <c r="T262" s="121"/>
      <c r="U262" s="121"/>
      <c r="V262" s="121"/>
      <c r="W262" s="121"/>
      <c r="X262" s="121"/>
      <c r="Y262" s="121"/>
      <c r="Z262" s="121"/>
    </row>
    <row r="263" customFormat="false" ht="15.75" hidden="false" customHeight="false" outlineLevel="0" collapsed="false">
      <c r="A263" s="121"/>
      <c r="B263" s="121"/>
      <c r="C263" s="121"/>
      <c r="D263" s="121"/>
      <c r="E263" s="121"/>
      <c r="F263" s="121"/>
      <c r="G263" s="121"/>
      <c r="H263" s="121"/>
      <c r="I263" s="121"/>
      <c r="J263" s="121"/>
      <c r="K263" s="121"/>
      <c r="L263" s="121"/>
      <c r="M263" s="121"/>
      <c r="N263" s="121"/>
      <c r="O263" s="121"/>
      <c r="P263" s="121"/>
      <c r="Q263" s="121"/>
      <c r="R263" s="121"/>
      <c r="S263" s="121"/>
      <c r="T263" s="121"/>
      <c r="U263" s="121"/>
      <c r="V263" s="121"/>
      <c r="W263" s="121"/>
      <c r="X263" s="121"/>
      <c r="Y263" s="121"/>
      <c r="Z263" s="121"/>
    </row>
    <row r="264" customFormat="false" ht="15.75" hidden="false" customHeight="false" outlineLevel="0" collapsed="false">
      <c r="A264" s="121"/>
      <c r="B264" s="121"/>
      <c r="C264" s="121"/>
      <c r="D264" s="121"/>
      <c r="E264" s="121"/>
      <c r="F264" s="121"/>
      <c r="G264" s="121"/>
      <c r="H264" s="121"/>
      <c r="I264" s="121"/>
      <c r="J264" s="121"/>
      <c r="K264" s="121"/>
      <c r="L264" s="121"/>
      <c r="M264" s="121"/>
      <c r="N264" s="121"/>
      <c r="O264" s="121"/>
      <c r="P264" s="121"/>
      <c r="Q264" s="121"/>
      <c r="R264" s="121"/>
      <c r="S264" s="121"/>
      <c r="T264" s="121"/>
      <c r="U264" s="121"/>
      <c r="V264" s="121"/>
      <c r="W264" s="121"/>
      <c r="X264" s="121"/>
      <c r="Y264" s="121"/>
      <c r="Z264" s="121"/>
    </row>
    <row r="265" customFormat="false" ht="15.75" hidden="false" customHeight="false" outlineLevel="0" collapsed="false">
      <c r="A265" s="121"/>
      <c r="B265" s="121"/>
      <c r="C265" s="121"/>
      <c r="D265" s="121"/>
      <c r="E265" s="121"/>
      <c r="F265" s="121"/>
      <c r="G265" s="121"/>
      <c r="H265" s="121"/>
      <c r="I265" s="121"/>
      <c r="J265" s="121"/>
      <c r="K265" s="121"/>
      <c r="L265" s="121"/>
      <c r="M265" s="121"/>
      <c r="N265" s="121"/>
      <c r="O265" s="121"/>
      <c r="P265" s="121"/>
      <c r="Q265" s="121"/>
      <c r="R265" s="121"/>
      <c r="S265" s="121"/>
      <c r="T265" s="121"/>
      <c r="U265" s="121"/>
      <c r="V265" s="121"/>
      <c r="W265" s="121"/>
      <c r="X265" s="121"/>
      <c r="Y265" s="121"/>
      <c r="Z265" s="121"/>
    </row>
    <row r="266" customFormat="false" ht="15.75" hidden="false" customHeight="false" outlineLevel="0" collapsed="false">
      <c r="A266" s="121"/>
      <c r="B266" s="121"/>
      <c r="C266" s="121"/>
      <c r="D266" s="121"/>
      <c r="E266" s="121"/>
      <c r="F266" s="121"/>
      <c r="G266" s="121"/>
      <c r="H266" s="121"/>
      <c r="I266" s="121"/>
      <c r="J266" s="121"/>
      <c r="K266" s="121"/>
      <c r="L266" s="121"/>
      <c r="M266" s="121"/>
      <c r="N266" s="121"/>
      <c r="O266" s="121"/>
      <c r="P266" s="121"/>
      <c r="Q266" s="121"/>
      <c r="R266" s="121"/>
      <c r="S266" s="121"/>
      <c r="T266" s="121"/>
      <c r="U266" s="121"/>
      <c r="V266" s="121"/>
      <c r="W266" s="121"/>
      <c r="X266" s="121"/>
      <c r="Y266" s="121"/>
      <c r="Z266" s="121"/>
    </row>
    <row r="267" customFormat="false" ht="15.75" hidden="false" customHeight="false" outlineLevel="0" collapsed="false">
      <c r="A267" s="121"/>
      <c r="B267" s="121"/>
      <c r="C267" s="121"/>
      <c r="D267" s="121"/>
      <c r="E267" s="121"/>
      <c r="F267" s="121"/>
      <c r="G267" s="121"/>
      <c r="H267" s="121"/>
      <c r="I267" s="121"/>
      <c r="J267" s="121"/>
      <c r="K267" s="121"/>
      <c r="L267" s="121"/>
      <c r="M267" s="121"/>
      <c r="N267" s="121"/>
      <c r="O267" s="121"/>
      <c r="P267" s="121"/>
      <c r="Q267" s="121"/>
      <c r="R267" s="121"/>
      <c r="S267" s="121"/>
      <c r="T267" s="121"/>
      <c r="U267" s="121"/>
      <c r="V267" s="121"/>
      <c r="W267" s="121"/>
      <c r="X267" s="121"/>
      <c r="Y267" s="121"/>
      <c r="Z267" s="121"/>
    </row>
    <row r="268" customFormat="false" ht="15.75" hidden="false" customHeight="false" outlineLevel="0" collapsed="false">
      <c r="A268" s="121"/>
      <c r="B268" s="121"/>
      <c r="C268" s="121"/>
      <c r="D268" s="121"/>
      <c r="E268" s="121"/>
      <c r="F268" s="121"/>
      <c r="G268" s="121"/>
      <c r="H268" s="121"/>
      <c r="I268" s="121"/>
      <c r="J268" s="121"/>
      <c r="K268" s="121"/>
      <c r="L268" s="121"/>
      <c r="M268" s="121"/>
      <c r="N268" s="121"/>
      <c r="O268" s="121"/>
      <c r="P268" s="121"/>
      <c r="Q268" s="121"/>
      <c r="R268" s="121"/>
      <c r="S268" s="121"/>
      <c r="T268" s="121"/>
      <c r="U268" s="121"/>
      <c r="V268" s="121"/>
      <c r="W268" s="121"/>
      <c r="X268" s="121"/>
      <c r="Y268" s="121"/>
      <c r="Z268" s="121"/>
    </row>
    <row r="269" customFormat="false" ht="15.75" hidden="false" customHeight="false" outlineLevel="0" collapsed="false">
      <c r="A269" s="121"/>
      <c r="B269" s="121"/>
      <c r="C269" s="121"/>
      <c r="D269" s="121"/>
      <c r="E269" s="121"/>
      <c r="F269" s="121"/>
      <c r="G269" s="121"/>
      <c r="H269" s="121"/>
      <c r="I269" s="121"/>
      <c r="J269" s="121"/>
      <c r="K269" s="121"/>
      <c r="L269" s="121"/>
      <c r="M269" s="121"/>
      <c r="N269" s="121"/>
      <c r="O269" s="121"/>
      <c r="P269" s="121"/>
      <c r="Q269" s="121"/>
      <c r="R269" s="121"/>
      <c r="S269" s="121"/>
      <c r="T269" s="121"/>
      <c r="U269" s="121"/>
      <c r="V269" s="121"/>
      <c r="W269" s="121"/>
      <c r="X269" s="121"/>
      <c r="Y269" s="121"/>
      <c r="Z269" s="121"/>
    </row>
    <row r="270" customFormat="false" ht="15.75" hidden="false" customHeight="false" outlineLevel="0" collapsed="false">
      <c r="A270" s="121"/>
      <c r="B270" s="121"/>
      <c r="C270" s="121"/>
      <c r="D270" s="121"/>
      <c r="E270" s="121"/>
      <c r="F270" s="121"/>
      <c r="G270" s="121"/>
      <c r="H270" s="121"/>
      <c r="I270" s="121"/>
      <c r="J270" s="121"/>
      <c r="K270" s="121"/>
      <c r="L270" s="121"/>
      <c r="M270" s="121"/>
      <c r="N270" s="121"/>
      <c r="O270" s="121"/>
      <c r="P270" s="121"/>
      <c r="Q270" s="121"/>
      <c r="R270" s="121"/>
      <c r="S270" s="121"/>
      <c r="T270" s="121"/>
      <c r="U270" s="121"/>
      <c r="V270" s="121"/>
      <c r="W270" s="121"/>
      <c r="X270" s="121"/>
      <c r="Y270" s="121"/>
      <c r="Z270" s="121"/>
    </row>
    <row r="271" customFormat="false" ht="15.75" hidden="false" customHeight="false" outlineLevel="0" collapsed="false">
      <c r="A271" s="121"/>
      <c r="B271" s="121"/>
      <c r="C271" s="121"/>
      <c r="D271" s="121"/>
      <c r="E271" s="121"/>
      <c r="F271" s="121"/>
      <c r="G271" s="121"/>
      <c r="H271" s="121"/>
      <c r="I271" s="121"/>
      <c r="J271" s="121"/>
      <c r="K271" s="121"/>
      <c r="L271" s="121"/>
      <c r="M271" s="121"/>
      <c r="N271" s="121"/>
      <c r="O271" s="121"/>
      <c r="P271" s="121"/>
      <c r="Q271" s="121"/>
      <c r="R271" s="121"/>
      <c r="S271" s="121"/>
      <c r="T271" s="121"/>
      <c r="U271" s="121"/>
      <c r="V271" s="121"/>
      <c r="W271" s="121"/>
      <c r="X271" s="121"/>
      <c r="Y271" s="121"/>
      <c r="Z271" s="121"/>
    </row>
    <row r="272" customFormat="false" ht="15.75" hidden="false" customHeight="false" outlineLevel="0" collapsed="false">
      <c r="A272" s="121"/>
      <c r="B272" s="121"/>
      <c r="C272" s="121"/>
      <c r="D272" s="121"/>
      <c r="E272" s="121"/>
      <c r="F272" s="121"/>
      <c r="G272" s="121"/>
      <c r="H272" s="121"/>
      <c r="I272" s="121"/>
      <c r="J272" s="121"/>
      <c r="K272" s="121"/>
      <c r="L272" s="121"/>
      <c r="M272" s="121"/>
      <c r="N272" s="121"/>
      <c r="O272" s="121"/>
      <c r="P272" s="121"/>
      <c r="Q272" s="121"/>
      <c r="R272" s="121"/>
      <c r="S272" s="121"/>
      <c r="T272" s="121"/>
      <c r="U272" s="121"/>
      <c r="V272" s="121"/>
      <c r="W272" s="121"/>
      <c r="X272" s="121"/>
      <c r="Y272" s="121"/>
      <c r="Z272" s="121"/>
    </row>
    <row r="273" customFormat="false" ht="15.75" hidden="false" customHeight="false" outlineLevel="0" collapsed="false">
      <c r="A273" s="121"/>
      <c r="B273" s="121"/>
      <c r="C273" s="121"/>
      <c r="D273" s="121"/>
      <c r="E273" s="121"/>
      <c r="F273" s="121"/>
      <c r="G273" s="121"/>
      <c r="H273" s="121"/>
      <c r="I273" s="121"/>
      <c r="J273" s="121"/>
      <c r="K273" s="121"/>
      <c r="L273" s="121"/>
      <c r="M273" s="121"/>
      <c r="N273" s="121"/>
      <c r="O273" s="121"/>
      <c r="P273" s="121"/>
      <c r="Q273" s="121"/>
      <c r="R273" s="121"/>
      <c r="S273" s="121"/>
      <c r="T273" s="121"/>
      <c r="U273" s="121"/>
      <c r="V273" s="121"/>
      <c r="W273" s="121"/>
      <c r="X273" s="121"/>
      <c r="Y273" s="121"/>
      <c r="Z273" s="121"/>
    </row>
    <row r="274" customFormat="false" ht="15.75" hidden="false" customHeight="false" outlineLevel="0" collapsed="false">
      <c r="A274" s="121"/>
      <c r="B274" s="121"/>
      <c r="C274" s="121"/>
      <c r="D274" s="121"/>
      <c r="E274" s="121"/>
      <c r="F274" s="121"/>
      <c r="G274" s="121"/>
      <c r="H274" s="121"/>
      <c r="I274" s="121"/>
      <c r="J274" s="121"/>
      <c r="K274" s="121"/>
      <c r="L274" s="121"/>
      <c r="M274" s="121"/>
      <c r="N274" s="121"/>
      <c r="O274" s="121"/>
      <c r="P274" s="121"/>
      <c r="Q274" s="121"/>
      <c r="R274" s="121"/>
      <c r="S274" s="121"/>
      <c r="T274" s="121"/>
      <c r="U274" s="121"/>
      <c r="V274" s="121"/>
      <c r="W274" s="121"/>
      <c r="X274" s="121"/>
      <c r="Y274" s="121"/>
      <c r="Z274" s="121"/>
    </row>
    <row r="275" customFormat="false" ht="15.75" hidden="false" customHeight="false" outlineLevel="0" collapsed="false">
      <c r="A275" s="121"/>
      <c r="B275" s="121"/>
      <c r="C275" s="121"/>
      <c r="D275" s="121"/>
      <c r="E275" s="121"/>
      <c r="F275" s="121"/>
      <c r="G275" s="121"/>
      <c r="H275" s="121"/>
      <c r="I275" s="121"/>
      <c r="J275" s="121"/>
      <c r="K275" s="121"/>
      <c r="L275" s="121"/>
      <c r="M275" s="121"/>
      <c r="N275" s="121"/>
      <c r="O275" s="121"/>
      <c r="P275" s="121"/>
      <c r="Q275" s="121"/>
      <c r="R275" s="121"/>
      <c r="S275" s="121"/>
      <c r="T275" s="121"/>
      <c r="U275" s="121"/>
      <c r="V275" s="121"/>
      <c r="W275" s="121"/>
      <c r="X275" s="121"/>
      <c r="Y275" s="121"/>
      <c r="Z275" s="121"/>
    </row>
    <row r="276" customFormat="false" ht="15.75" hidden="false" customHeight="false" outlineLevel="0" collapsed="false">
      <c r="A276" s="121"/>
      <c r="B276" s="121"/>
      <c r="C276" s="121"/>
      <c r="D276" s="121"/>
      <c r="E276" s="121"/>
      <c r="F276" s="121"/>
      <c r="G276" s="121"/>
      <c r="H276" s="121"/>
      <c r="I276" s="121"/>
      <c r="J276" s="121"/>
      <c r="K276" s="121"/>
      <c r="L276" s="121"/>
      <c r="M276" s="121"/>
      <c r="N276" s="121"/>
      <c r="O276" s="121"/>
      <c r="P276" s="121"/>
      <c r="Q276" s="121"/>
      <c r="R276" s="121"/>
      <c r="S276" s="121"/>
      <c r="T276" s="121"/>
      <c r="U276" s="121"/>
      <c r="V276" s="121"/>
      <c r="W276" s="121"/>
      <c r="X276" s="121"/>
      <c r="Y276" s="121"/>
      <c r="Z276" s="121"/>
    </row>
    <row r="277" customFormat="false" ht="15.75" hidden="false" customHeight="false" outlineLevel="0" collapsed="false">
      <c r="A277" s="121"/>
      <c r="B277" s="121"/>
      <c r="C277" s="121"/>
      <c r="D277" s="121"/>
      <c r="E277" s="121"/>
      <c r="F277" s="121"/>
      <c r="G277" s="121"/>
      <c r="H277" s="121"/>
      <c r="I277" s="121"/>
      <c r="J277" s="121"/>
      <c r="K277" s="121"/>
      <c r="L277" s="121"/>
      <c r="M277" s="121"/>
      <c r="N277" s="121"/>
      <c r="O277" s="121"/>
      <c r="P277" s="121"/>
      <c r="Q277" s="121"/>
      <c r="R277" s="121"/>
      <c r="S277" s="121"/>
      <c r="T277" s="121"/>
      <c r="U277" s="121"/>
      <c r="V277" s="121"/>
      <c r="W277" s="121"/>
      <c r="X277" s="121"/>
      <c r="Y277" s="121"/>
      <c r="Z277" s="121"/>
    </row>
    <row r="278" customFormat="false" ht="15.75" hidden="false" customHeight="false" outlineLevel="0" collapsed="false">
      <c r="A278" s="121"/>
      <c r="B278" s="121"/>
      <c r="C278" s="121"/>
      <c r="D278" s="121"/>
      <c r="E278" s="121"/>
      <c r="F278" s="121"/>
      <c r="G278" s="121"/>
      <c r="H278" s="121"/>
      <c r="I278" s="121"/>
      <c r="J278" s="121"/>
      <c r="K278" s="121"/>
      <c r="L278" s="121"/>
      <c r="M278" s="121"/>
      <c r="N278" s="121"/>
      <c r="O278" s="121"/>
      <c r="P278" s="121"/>
      <c r="Q278" s="121"/>
      <c r="R278" s="121"/>
      <c r="S278" s="121"/>
      <c r="T278" s="121"/>
      <c r="U278" s="121"/>
      <c r="V278" s="121"/>
      <c r="W278" s="121"/>
      <c r="X278" s="121"/>
      <c r="Y278" s="121"/>
      <c r="Z278" s="121"/>
    </row>
    <row r="279" customFormat="false" ht="15.75" hidden="false" customHeight="false" outlineLevel="0" collapsed="false">
      <c r="A279" s="121"/>
      <c r="B279" s="121"/>
      <c r="C279" s="121"/>
      <c r="D279" s="121"/>
      <c r="E279" s="121"/>
      <c r="F279" s="121"/>
      <c r="G279" s="121"/>
      <c r="H279" s="121"/>
      <c r="I279" s="121"/>
      <c r="J279" s="121"/>
      <c r="K279" s="121"/>
      <c r="L279" s="121"/>
      <c r="M279" s="121"/>
      <c r="N279" s="121"/>
      <c r="O279" s="121"/>
      <c r="P279" s="121"/>
      <c r="Q279" s="121"/>
      <c r="R279" s="121"/>
      <c r="S279" s="121"/>
      <c r="T279" s="121"/>
      <c r="U279" s="121"/>
      <c r="V279" s="121"/>
      <c r="W279" s="121"/>
      <c r="X279" s="121"/>
      <c r="Y279" s="121"/>
      <c r="Z279" s="121"/>
    </row>
    <row r="280" customFormat="false" ht="15.75" hidden="false" customHeight="false" outlineLevel="0" collapsed="false">
      <c r="A280" s="121"/>
      <c r="B280" s="121"/>
      <c r="C280" s="121"/>
      <c r="D280" s="121"/>
      <c r="E280" s="121"/>
      <c r="F280" s="121"/>
      <c r="G280" s="121"/>
      <c r="H280" s="121"/>
      <c r="I280" s="121"/>
      <c r="J280" s="121"/>
      <c r="K280" s="121"/>
      <c r="L280" s="121"/>
      <c r="M280" s="121"/>
      <c r="N280" s="121"/>
      <c r="O280" s="121"/>
      <c r="P280" s="121"/>
      <c r="Q280" s="121"/>
      <c r="R280" s="121"/>
      <c r="S280" s="121"/>
      <c r="T280" s="121"/>
      <c r="U280" s="121"/>
      <c r="V280" s="121"/>
      <c r="W280" s="121"/>
      <c r="X280" s="121"/>
      <c r="Y280" s="121"/>
      <c r="Z280" s="121"/>
    </row>
    <row r="281" customFormat="false" ht="15.75" hidden="false" customHeight="false" outlineLevel="0" collapsed="false">
      <c r="A281" s="121"/>
      <c r="B281" s="121"/>
      <c r="C281" s="121"/>
      <c r="D281" s="121"/>
      <c r="E281" s="121"/>
      <c r="F281" s="121"/>
      <c r="G281" s="121"/>
      <c r="H281" s="121"/>
      <c r="I281" s="121"/>
      <c r="J281" s="121"/>
      <c r="K281" s="121"/>
      <c r="L281" s="121"/>
      <c r="M281" s="121"/>
      <c r="N281" s="121"/>
      <c r="O281" s="121"/>
      <c r="P281" s="121"/>
      <c r="Q281" s="121"/>
      <c r="R281" s="121"/>
      <c r="S281" s="121"/>
      <c r="T281" s="121"/>
      <c r="U281" s="121"/>
      <c r="V281" s="121"/>
      <c r="W281" s="121"/>
      <c r="X281" s="121"/>
      <c r="Y281" s="121"/>
      <c r="Z281" s="121"/>
    </row>
    <row r="282" customFormat="false" ht="15.75" hidden="false" customHeight="false" outlineLevel="0" collapsed="false">
      <c r="A282" s="121"/>
      <c r="B282" s="121"/>
      <c r="C282" s="121"/>
      <c r="D282" s="121"/>
      <c r="E282" s="121"/>
      <c r="F282" s="121"/>
      <c r="G282" s="121"/>
      <c r="H282" s="121"/>
      <c r="I282" s="121"/>
      <c r="J282" s="121"/>
      <c r="K282" s="121"/>
      <c r="L282" s="121"/>
      <c r="M282" s="121"/>
      <c r="N282" s="121"/>
      <c r="O282" s="121"/>
      <c r="P282" s="121"/>
      <c r="Q282" s="121"/>
      <c r="R282" s="121"/>
      <c r="S282" s="121"/>
      <c r="T282" s="121"/>
      <c r="U282" s="121"/>
      <c r="V282" s="121"/>
      <c r="W282" s="121"/>
      <c r="X282" s="121"/>
      <c r="Y282" s="121"/>
      <c r="Z282" s="121"/>
    </row>
    <row r="283" customFormat="false" ht="15.75" hidden="false" customHeight="false" outlineLevel="0" collapsed="false">
      <c r="A283" s="121"/>
      <c r="B283" s="121"/>
      <c r="C283" s="121"/>
      <c r="D283" s="121"/>
      <c r="E283" s="121"/>
      <c r="F283" s="121"/>
      <c r="G283" s="121"/>
      <c r="H283" s="121"/>
      <c r="I283" s="121"/>
      <c r="J283" s="121"/>
      <c r="K283" s="121"/>
      <c r="L283" s="121"/>
      <c r="M283" s="121"/>
      <c r="N283" s="121"/>
      <c r="O283" s="121"/>
      <c r="P283" s="121"/>
      <c r="Q283" s="121"/>
      <c r="R283" s="121"/>
      <c r="S283" s="121"/>
      <c r="T283" s="121"/>
      <c r="U283" s="121"/>
      <c r="V283" s="121"/>
      <c r="W283" s="121"/>
      <c r="X283" s="121"/>
      <c r="Y283" s="121"/>
      <c r="Z283" s="121"/>
    </row>
    <row r="284" customFormat="false" ht="15.75" hidden="false" customHeight="false" outlineLevel="0" collapsed="false">
      <c r="A284" s="121"/>
      <c r="B284" s="121"/>
      <c r="C284" s="121"/>
      <c r="D284" s="121"/>
      <c r="E284" s="121"/>
      <c r="F284" s="121"/>
      <c r="G284" s="121"/>
      <c r="H284" s="121"/>
      <c r="I284" s="121"/>
      <c r="J284" s="121"/>
      <c r="K284" s="121"/>
      <c r="L284" s="121"/>
      <c r="M284" s="121"/>
      <c r="N284" s="121"/>
      <c r="O284" s="121"/>
      <c r="P284" s="121"/>
      <c r="Q284" s="121"/>
      <c r="R284" s="121"/>
      <c r="S284" s="121"/>
      <c r="T284" s="121"/>
      <c r="U284" s="121"/>
      <c r="V284" s="121"/>
      <c r="W284" s="121"/>
      <c r="X284" s="121"/>
      <c r="Y284" s="121"/>
      <c r="Z284" s="121"/>
    </row>
    <row r="285" customFormat="false" ht="15.75" hidden="false" customHeight="false" outlineLevel="0" collapsed="false">
      <c r="A285" s="121"/>
      <c r="B285" s="121"/>
      <c r="C285" s="121"/>
      <c r="D285" s="121"/>
      <c r="E285" s="121"/>
      <c r="F285" s="121"/>
      <c r="G285" s="121"/>
      <c r="H285" s="121"/>
      <c r="I285" s="121"/>
      <c r="J285" s="121"/>
      <c r="K285" s="121"/>
      <c r="L285" s="121"/>
      <c r="M285" s="121"/>
      <c r="N285" s="121"/>
      <c r="O285" s="121"/>
      <c r="P285" s="121"/>
      <c r="Q285" s="121"/>
      <c r="R285" s="121"/>
      <c r="S285" s="121"/>
      <c r="T285" s="121"/>
      <c r="U285" s="121"/>
      <c r="V285" s="121"/>
      <c r="W285" s="121"/>
      <c r="X285" s="121"/>
      <c r="Y285" s="121"/>
      <c r="Z285" s="121"/>
    </row>
    <row r="286" customFormat="false" ht="15.75" hidden="false" customHeight="false" outlineLevel="0" collapsed="false">
      <c r="A286" s="121"/>
      <c r="B286" s="121"/>
      <c r="C286" s="121"/>
      <c r="D286" s="121"/>
      <c r="E286" s="121"/>
      <c r="F286" s="121"/>
      <c r="G286" s="121"/>
      <c r="H286" s="121"/>
      <c r="I286" s="121"/>
      <c r="J286" s="121"/>
      <c r="K286" s="121"/>
      <c r="L286" s="121"/>
      <c r="M286" s="121"/>
      <c r="N286" s="121"/>
      <c r="O286" s="121"/>
      <c r="P286" s="121"/>
      <c r="Q286" s="121"/>
      <c r="R286" s="121"/>
      <c r="S286" s="121"/>
      <c r="T286" s="121"/>
      <c r="U286" s="121"/>
      <c r="V286" s="121"/>
      <c r="W286" s="121"/>
      <c r="X286" s="121"/>
      <c r="Y286" s="121"/>
      <c r="Z286" s="121"/>
    </row>
    <row r="287" customFormat="false" ht="15.75" hidden="false" customHeight="false" outlineLevel="0" collapsed="false">
      <c r="A287" s="121"/>
      <c r="B287" s="121"/>
      <c r="C287" s="121"/>
      <c r="D287" s="121"/>
      <c r="E287" s="121"/>
      <c r="F287" s="121"/>
      <c r="G287" s="121"/>
      <c r="H287" s="121"/>
      <c r="I287" s="121"/>
      <c r="J287" s="121"/>
      <c r="K287" s="121"/>
      <c r="L287" s="121"/>
      <c r="M287" s="121"/>
      <c r="N287" s="121"/>
      <c r="O287" s="121"/>
      <c r="P287" s="121"/>
      <c r="Q287" s="121"/>
      <c r="R287" s="121"/>
      <c r="S287" s="121"/>
      <c r="T287" s="121"/>
      <c r="U287" s="121"/>
      <c r="V287" s="121"/>
      <c r="W287" s="121"/>
      <c r="X287" s="121"/>
      <c r="Y287" s="121"/>
      <c r="Z287" s="121"/>
    </row>
    <row r="288" customFormat="false" ht="15.75" hidden="false" customHeight="false" outlineLevel="0" collapsed="false">
      <c r="A288" s="121"/>
      <c r="B288" s="121"/>
      <c r="C288" s="121"/>
      <c r="D288" s="121"/>
      <c r="E288" s="121"/>
      <c r="F288" s="121"/>
      <c r="G288" s="121"/>
      <c r="H288" s="121"/>
      <c r="I288" s="121"/>
      <c r="J288" s="121"/>
      <c r="K288" s="121"/>
      <c r="L288" s="121"/>
      <c r="M288" s="121"/>
      <c r="N288" s="121"/>
      <c r="O288" s="121"/>
      <c r="P288" s="121"/>
      <c r="Q288" s="121"/>
      <c r="R288" s="121"/>
      <c r="S288" s="121"/>
      <c r="T288" s="121"/>
      <c r="U288" s="121"/>
      <c r="V288" s="121"/>
      <c r="W288" s="121"/>
      <c r="X288" s="121"/>
      <c r="Y288" s="121"/>
      <c r="Z288" s="121"/>
    </row>
    <row r="289" customFormat="false" ht="15.75" hidden="false" customHeight="false" outlineLevel="0" collapsed="false">
      <c r="A289" s="121"/>
      <c r="B289" s="121"/>
      <c r="C289" s="121"/>
      <c r="D289" s="121"/>
      <c r="E289" s="121"/>
      <c r="F289" s="121"/>
      <c r="G289" s="121"/>
      <c r="H289" s="121"/>
      <c r="I289" s="121"/>
      <c r="J289" s="121"/>
      <c r="K289" s="121"/>
      <c r="L289" s="121"/>
      <c r="M289" s="121"/>
      <c r="N289" s="121"/>
      <c r="O289" s="121"/>
      <c r="P289" s="121"/>
      <c r="Q289" s="121"/>
      <c r="R289" s="121"/>
      <c r="S289" s="121"/>
      <c r="T289" s="121"/>
      <c r="U289" s="121"/>
      <c r="V289" s="121"/>
      <c r="W289" s="121"/>
      <c r="X289" s="121"/>
      <c r="Y289" s="121"/>
      <c r="Z289" s="121"/>
    </row>
    <row r="290" customFormat="false" ht="15.75" hidden="false" customHeight="false" outlineLevel="0" collapsed="false">
      <c r="A290" s="121"/>
      <c r="B290" s="121"/>
      <c r="C290" s="121"/>
      <c r="D290" s="121"/>
      <c r="E290" s="121"/>
      <c r="F290" s="121"/>
      <c r="G290" s="121"/>
      <c r="H290" s="121"/>
      <c r="I290" s="121"/>
      <c r="J290" s="121"/>
      <c r="K290" s="121"/>
      <c r="L290" s="121"/>
      <c r="M290" s="121"/>
      <c r="N290" s="121"/>
      <c r="O290" s="121"/>
      <c r="P290" s="121"/>
      <c r="Q290" s="121"/>
      <c r="R290" s="121"/>
      <c r="S290" s="121"/>
      <c r="T290" s="121"/>
      <c r="U290" s="121"/>
      <c r="V290" s="121"/>
      <c r="W290" s="121"/>
      <c r="X290" s="121"/>
      <c r="Y290" s="121"/>
      <c r="Z290" s="121"/>
    </row>
    <row r="291" customFormat="false" ht="15.75" hidden="false" customHeight="false" outlineLevel="0" collapsed="false">
      <c r="A291" s="121"/>
      <c r="B291" s="121"/>
      <c r="C291" s="121"/>
      <c r="D291" s="121"/>
      <c r="E291" s="121"/>
      <c r="F291" s="121"/>
      <c r="G291" s="121"/>
      <c r="H291" s="121"/>
      <c r="I291" s="121"/>
      <c r="J291" s="121"/>
      <c r="K291" s="121"/>
      <c r="L291" s="121"/>
      <c r="M291" s="121"/>
      <c r="N291" s="121"/>
      <c r="O291" s="121"/>
      <c r="P291" s="121"/>
      <c r="Q291" s="121"/>
      <c r="R291" s="121"/>
      <c r="S291" s="121"/>
      <c r="T291" s="121"/>
      <c r="U291" s="121"/>
      <c r="V291" s="121"/>
      <c r="W291" s="121"/>
      <c r="X291" s="121"/>
      <c r="Y291" s="121"/>
      <c r="Z291" s="121"/>
    </row>
    <row r="292" customFormat="false" ht="15.75" hidden="false" customHeight="false" outlineLevel="0" collapsed="false">
      <c r="A292" s="121"/>
      <c r="B292" s="121"/>
      <c r="C292" s="121"/>
      <c r="D292" s="121"/>
      <c r="E292" s="121"/>
      <c r="F292" s="121"/>
      <c r="G292" s="121"/>
      <c r="H292" s="121"/>
      <c r="I292" s="121"/>
      <c r="J292" s="121"/>
      <c r="K292" s="121"/>
      <c r="L292" s="121"/>
      <c r="M292" s="121"/>
      <c r="N292" s="121"/>
      <c r="O292" s="121"/>
      <c r="P292" s="121"/>
      <c r="Q292" s="121"/>
      <c r="R292" s="121"/>
      <c r="S292" s="121"/>
      <c r="T292" s="121"/>
      <c r="U292" s="121"/>
      <c r="V292" s="121"/>
      <c r="W292" s="121"/>
      <c r="X292" s="121"/>
      <c r="Y292" s="121"/>
      <c r="Z292" s="121"/>
    </row>
    <row r="293" customFormat="false" ht="15.75" hidden="false" customHeight="false" outlineLevel="0" collapsed="false">
      <c r="A293" s="121"/>
      <c r="B293" s="121"/>
      <c r="C293" s="121"/>
      <c r="D293" s="121"/>
      <c r="E293" s="121"/>
      <c r="F293" s="121"/>
      <c r="G293" s="121"/>
      <c r="H293" s="121"/>
      <c r="I293" s="121"/>
      <c r="J293" s="121"/>
      <c r="K293" s="121"/>
      <c r="L293" s="121"/>
      <c r="M293" s="121"/>
      <c r="N293" s="121"/>
      <c r="O293" s="121"/>
      <c r="P293" s="121"/>
      <c r="Q293" s="121"/>
      <c r="R293" s="121"/>
      <c r="S293" s="121"/>
      <c r="T293" s="121"/>
      <c r="U293" s="121"/>
      <c r="V293" s="121"/>
      <c r="W293" s="121"/>
      <c r="X293" s="121"/>
      <c r="Y293" s="121"/>
      <c r="Z293" s="121"/>
    </row>
    <row r="294" customFormat="false" ht="15.75" hidden="false" customHeight="false" outlineLevel="0" collapsed="false">
      <c r="A294" s="121"/>
      <c r="B294" s="121"/>
      <c r="C294" s="121"/>
      <c r="D294" s="121"/>
      <c r="E294" s="121"/>
      <c r="F294" s="121"/>
      <c r="G294" s="121"/>
      <c r="H294" s="121"/>
      <c r="I294" s="121"/>
      <c r="J294" s="121"/>
      <c r="K294" s="121"/>
      <c r="L294" s="121"/>
      <c r="M294" s="121"/>
      <c r="N294" s="121"/>
      <c r="O294" s="121"/>
      <c r="P294" s="121"/>
      <c r="Q294" s="121"/>
      <c r="R294" s="121"/>
      <c r="S294" s="121"/>
      <c r="T294" s="121"/>
      <c r="U294" s="121"/>
      <c r="V294" s="121"/>
      <c r="W294" s="121"/>
      <c r="X294" s="121"/>
      <c r="Y294" s="121"/>
      <c r="Z294" s="121"/>
    </row>
    <row r="295" customFormat="false" ht="15.75" hidden="false" customHeight="false" outlineLevel="0" collapsed="false">
      <c r="A295" s="121"/>
      <c r="B295" s="121"/>
      <c r="C295" s="121"/>
      <c r="D295" s="121"/>
      <c r="E295" s="121"/>
      <c r="F295" s="121"/>
      <c r="G295" s="121"/>
      <c r="H295" s="121"/>
      <c r="I295" s="121"/>
      <c r="J295" s="121"/>
      <c r="K295" s="121"/>
      <c r="L295" s="121"/>
      <c r="M295" s="121"/>
      <c r="N295" s="121"/>
      <c r="O295" s="121"/>
      <c r="P295" s="121"/>
      <c r="Q295" s="121"/>
      <c r="R295" s="121"/>
      <c r="S295" s="121"/>
      <c r="T295" s="121"/>
      <c r="U295" s="121"/>
      <c r="V295" s="121"/>
      <c r="W295" s="121"/>
      <c r="X295" s="121"/>
      <c r="Y295" s="121"/>
      <c r="Z295" s="121"/>
    </row>
    <row r="296" customFormat="false" ht="15.75" hidden="false" customHeight="false" outlineLevel="0" collapsed="false">
      <c r="A296" s="121"/>
      <c r="B296" s="121"/>
      <c r="C296" s="121"/>
      <c r="D296" s="121"/>
      <c r="E296" s="121"/>
      <c r="F296" s="121"/>
      <c r="G296" s="121"/>
      <c r="H296" s="121"/>
      <c r="I296" s="121"/>
      <c r="J296" s="121"/>
      <c r="K296" s="121"/>
      <c r="L296" s="121"/>
      <c r="M296" s="121"/>
      <c r="N296" s="121"/>
      <c r="O296" s="121"/>
      <c r="P296" s="121"/>
      <c r="Q296" s="121"/>
      <c r="R296" s="121"/>
      <c r="S296" s="121"/>
      <c r="T296" s="121"/>
      <c r="U296" s="121"/>
      <c r="V296" s="121"/>
      <c r="W296" s="121"/>
      <c r="X296" s="121"/>
      <c r="Y296" s="121"/>
      <c r="Z296" s="121"/>
    </row>
    <row r="297" customFormat="false" ht="15.75" hidden="false" customHeight="false" outlineLevel="0" collapsed="false">
      <c r="A297" s="121"/>
      <c r="B297" s="121"/>
      <c r="C297" s="121"/>
      <c r="D297" s="121"/>
      <c r="E297" s="121"/>
      <c r="F297" s="121"/>
      <c r="G297" s="121"/>
      <c r="H297" s="121"/>
      <c r="I297" s="121"/>
      <c r="J297" s="121"/>
      <c r="K297" s="121"/>
      <c r="L297" s="121"/>
      <c r="M297" s="121"/>
      <c r="N297" s="121"/>
      <c r="O297" s="121"/>
      <c r="P297" s="121"/>
      <c r="Q297" s="121"/>
      <c r="R297" s="121"/>
      <c r="S297" s="121"/>
      <c r="T297" s="121"/>
      <c r="U297" s="121"/>
      <c r="V297" s="121"/>
      <c r="W297" s="121"/>
      <c r="X297" s="121"/>
      <c r="Y297" s="121"/>
      <c r="Z297" s="121"/>
    </row>
    <row r="298" customFormat="false" ht="15.75" hidden="false" customHeight="false" outlineLevel="0" collapsed="false">
      <c r="A298" s="121"/>
      <c r="B298" s="121"/>
      <c r="C298" s="121"/>
      <c r="D298" s="121"/>
      <c r="E298" s="121"/>
      <c r="F298" s="121"/>
      <c r="G298" s="121"/>
      <c r="H298" s="121"/>
      <c r="I298" s="121"/>
      <c r="J298" s="121"/>
      <c r="K298" s="121"/>
      <c r="L298" s="121"/>
      <c r="M298" s="121"/>
      <c r="N298" s="121"/>
      <c r="O298" s="121"/>
      <c r="P298" s="121"/>
      <c r="Q298" s="121"/>
      <c r="R298" s="121"/>
      <c r="S298" s="121"/>
      <c r="T298" s="121"/>
      <c r="U298" s="121"/>
      <c r="V298" s="121"/>
      <c r="W298" s="121"/>
      <c r="X298" s="121"/>
      <c r="Y298" s="121"/>
      <c r="Z298" s="121"/>
    </row>
    <row r="299" customFormat="false" ht="15.75" hidden="false" customHeight="false" outlineLevel="0" collapsed="false">
      <c r="A299" s="121"/>
      <c r="B299" s="121"/>
      <c r="C299" s="121"/>
      <c r="D299" s="121"/>
      <c r="E299" s="121"/>
      <c r="F299" s="121"/>
      <c r="G299" s="121"/>
      <c r="H299" s="121"/>
      <c r="I299" s="121"/>
      <c r="J299" s="121"/>
      <c r="K299" s="121"/>
      <c r="L299" s="121"/>
      <c r="M299" s="121"/>
      <c r="N299" s="121"/>
      <c r="O299" s="121"/>
      <c r="P299" s="121"/>
      <c r="Q299" s="121"/>
      <c r="R299" s="121"/>
      <c r="S299" s="121"/>
      <c r="T299" s="121"/>
      <c r="U299" s="121"/>
      <c r="V299" s="121"/>
      <c r="W299" s="121"/>
      <c r="X299" s="121"/>
      <c r="Y299" s="121"/>
      <c r="Z299" s="121"/>
    </row>
    <row r="300" customFormat="false" ht="15.75" hidden="false" customHeight="false" outlineLevel="0" collapsed="false">
      <c r="A300" s="121"/>
      <c r="B300" s="121"/>
      <c r="C300" s="121"/>
      <c r="D300" s="121"/>
      <c r="E300" s="121"/>
      <c r="F300" s="121"/>
      <c r="G300" s="121"/>
      <c r="H300" s="121"/>
      <c r="I300" s="121"/>
      <c r="J300" s="121"/>
      <c r="K300" s="121"/>
      <c r="L300" s="121"/>
      <c r="M300" s="121"/>
      <c r="N300" s="121"/>
      <c r="O300" s="121"/>
      <c r="P300" s="121"/>
      <c r="Q300" s="121"/>
      <c r="R300" s="121"/>
      <c r="S300" s="121"/>
      <c r="T300" s="121"/>
      <c r="U300" s="121"/>
      <c r="V300" s="121"/>
      <c r="W300" s="121"/>
      <c r="X300" s="121"/>
      <c r="Y300" s="121"/>
      <c r="Z300" s="121"/>
    </row>
    <row r="301" customFormat="false" ht="15.75" hidden="false" customHeight="false" outlineLevel="0" collapsed="false">
      <c r="A301" s="121"/>
      <c r="B301" s="121"/>
      <c r="C301" s="121"/>
      <c r="D301" s="121"/>
      <c r="E301" s="121"/>
      <c r="F301" s="121"/>
      <c r="G301" s="121"/>
      <c r="H301" s="121"/>
      <c r="I301" s="121"/>
      <c r="J301" s="121"/>
      <c r="K301" s="121"/>
      <c r="L301" s="121"/>
      <c r="M301" s="121"/>
      <c r="N301" s="121"/>
      <c r="O301" s="121"/>
      <c r="P301" s="121"/>
      <c r="Q301" s="121"/>
      <c r="R301" s="121"/>
      <c r="S301" s="121"/>
      <c r="T301" s="121"/>
      <c r="U301" s="121"/>
      <c r="V301" s="121"/>
      <c r="W301" s="121"/>
      <c r="X301" s="121"/>
      <c r="Y301" s="121"/>
      <c r="Z301" s="121"/>
    </row>
    <row r="302" customFormat="false" ht="15.75" hidden="false" customHeight="false" outlineLevel="0" collapsed="false">
      <c r="A302" s="121"/>
      <c r="B302" s="121"/>
      <c r="C302" s="121"/>
      <c r="D302" s="121"/>
      <c r="E302" s="121"/>
      <c r="F302" s="121"/>
      <c r="G302" s="121"/>
      <c r="H302" s="121"/>
      <c r="I302" s="121"/>
      <c r="J302" s="121"/>
      <c r="K302" s="121"/>
      <c r="L302" s="121"/>
      <c r="M302" s="121"/>
      <c r="N302" s="121"/>
      <c r="O302" s="121"/>
      <c r="P302" s="121"/>
      <c r="Q302" s="121"/>
      <c r="R302" s="121"/>
      <c r="S302" s="121"/>
      <c r="T302" s="121"/>
      <c r="U302" s="121"/>
      <c r="V302" s="121"/>
      <c r="W302" s="121"/>
      <c r="X302" s="121"/>
      <c r="Y302" s="121"/>
      <c r="Z302" s="121"/>
    </row>
    <row r="303" customFormat="false" ht="15.75" hidden="false" customHeight="false" outlineLevel="0" collapsed="false">
      <c r="A303" s="121"/>
      <c r="B303" s="121"/>
      <c r="C303" s="121"/>
      <c r="D303" s="121"/>
      <c r="E303" s="121"/>
      <c r="F303" s="121"/>
      <c r="G303" s="121"/>
      <c r="H303" s="121"/>
      <c r="I303" s="121"/>
      <c r="J303" s="121"/>
      <c r="K303" s="121"/>
      <c r="L303" s="121"/>
      <c r="M303" s="121"/>
      <c r="N303" s="121"/>
      <c r="O303" s="121"/>
      <c r="P303" s="121"/>
      <c r="Q303" s="121"/>
      <c r="R303" s="121"/>
      <c r="S303" s="121"/>
      <c r="T303" s="121"/>
      <c r="U303" s="121"/>
      <c r="V303" s="121"/>
      <c r="W303" s="121"/>
      <c r="X303" s="121"/>
      <c r="Y303" s="121"/>
      <c r="Z303" s="121"/>
    </row>
    <row r="304" customFormat="false" ht="15.75" hidden="false" customHeight="false" outlineLevel="0" collapsed="false">
      <c r="A304" s="121"/>
      <c r="B304" s="121"/>
      <c r="C304" s="121"/>
      <c r="D304" s="121"/>
      <c r="E304" s="121"/>
      <c r="F304" s="121"/>
      <c r="G304" s="121"/>
      <c r="H304" s="121"/>
      <c r="I304" s="121"/>
      <c r="J304" s="121"/>
      <c r="K304" s="121"/>
      <c r="L304" s="121"/>
      <c r="M304" s="121"/>
      <c r="N304" s="121"/>
      <c r="O304" s="121"/>
      <c r="P304" s="121"/>
      <c r="Q304" s="121"/>
      <c r="R304" s="121"/>
      <c r="S304" s="121"/>
      <c r="T304" s="121"/>
      <c r="U304" s="121"/>
      <c r="V304" s="121"/>
      <c r="W304" s="121"/>
      <c r="X304" s="121"/>
      <c r="Y304" s="121"/>
      <c r="Z304" s="121"/>
    </row>
    <row r="305" customFormat="false" ht="15.75" hidden="false" customHeight="false" outlineLevel="0" collapsed="false">
      <c r="A305" s="121"/>
      <c r="B305" s="121"/>
      <c r="C305" s="121"/>
      <c r="D305" s="121"/>
      <c r="E305" s="121"/>
      <c r="F305" s="121"/>
      <c r="G305" s="121"/>
      <c r="H305" s="121"/>
      <c r="I305" s="121"/>
      <c r="J305" s="121"/>
      <c r="K305" s="121"/>
      <c r="L305" s="121"/>
      <c r="M305" s="121"/>
      <c r="N305" s="121"/>
      <c r="O305" s="121"/>
      <c r="P305" s="121"/>
      <c r="Q305" s="121"/>
      <c r="R305" s="121"/>
      <c r="S305" s="121"/>
      <c r="T305" s="121"/>
      <c r="U305" s="121"/>
      <c r="V305" s="121"/>
      <c r="W305" s="121"/>
      <c r="X305" s="121"/>
      <c r="Y305" s="121"/>
      <c r="Z305" s="121"/>
    </row>
    <row r="306" customFormat="false" ht="15.75" hidden="false" customHeight="false" outlineLevel="0" collapsed="false">
      <c r="A306" s="121"/>
      <c r="B306" s="121"/>
      <c r="C306" s="121"/>
      <c r="D306" s="121"/>
      <c r="E306" s="121"/>
      <c r="F306" s="121"/>
      <c r="G306" s="121"/>
      <c r="H306" s="121"/>
      <c r="I306" s="121"/>
      <c r="J306" s="121"/>
      <c r="K306" s="121"/>
      <c r="L306" s="121"/>
      <c r="M306" s="121"/>
      <c r="N306" s="121"/>
      <c r="O306" s="121"/>
      <c r="P306" s="121"/>
      <c r="Q306" s="121"/>
      <c r="R306" s="121"/>
      <c r="S306" s="121"/>
      <c r="T306" s="121"/>
      <c r="U306" s="121"/>
      <c r="V306" s="121"/>
      <c r="W306" s="121"/>
      <c r="X306" s="121"/>
      <c r="Y306" s="121"/>
      <c r="Z306" s="121"/>
    </row>
    <row r="307" customFormat="false" ht="15.75" hidden="false" customHeight="false" outlineLevel="0" collapsed="false">
      <c r="A307" s="121"/>
      <c r="B307" s="121"/>
      <c r="C307" s="121"/>
      <c r="D307" s="121"/>
      <c r="E307" s="121"/>
      <c r="F307" s="121"/>
      <c r="G307" s="121"/>
      <c r="H307" s="121"/>
      <c r="I307" s="121"/>
      <c r="J307" s="121"/>
      <c r="K307" s="121"/>
      <c r="L307" s="121"/>
      <c r="M307" s="121"/>
      <c r="N307" s="121"/>
      <c r="O307" s="121"/>
      <c r="P307" s="121"/>
      <c r="Q307" s="121"/>
      <c r="R307" s="121"/>
      <c r="S307" s="121"/>
      <c r="T307" s="121"/>
      <c r="U307" s="121"/>
      <c r="V307" s="121"/>
      <c r="W307" s="121"/>
      <c r="X307" s="121"/>
      <c r="Y307" s="121"/>
      <c r="Z307" s="121"/>
    </row>
    <row r="308" customFormat="false" ht="15.75" hidden="false" customHeight="false" outlineLevel="0" collapsed="false">
      <c r="A308" s="121"/>
      <c r="B308" s="121"/>
      <c r="C308" s="121"/>
      <c r="D308" s="121"/>
      <c r="E308" s="121"/>
      <c r="F308" s="121"/>
      <c r="G308" s="121"/>
      <c r="H308" s="121"/>
      <c r="I308" s="121"/>
      <c r="J308" s="121"/>
      <c r="K308" s="121"/>
      <c r="L308" s="121"/>
      <c r="M308" s="121"/>
      <c r="N308" s="121"/>
      <c r="O308" s="121"/>
      <c r="P308" s="121"/>
      <c r="Q308" s="121"/>
      <c r="R308" s="121"/>
      <c r="S308" s="121"/>
      <c r="T308" s="121"/>
      <c r="U308" s="121"/>
      <c r="V308" s="121"/>
      <c r="W308" s="121"/>
      <c r="X308" s="121"/>
      <c r="Y308" s="121"/>
      <c r="Z308" s="121"/>
    </row>
    <row r="309" customFormat="false" ht="15.75" hidden="false" customHeight="false" outlineLevel="0" collapsed="false">
      <c r="A309" s="121"/>
      <c r="B309" s="121"/>
      <c r="C309" s="121"/>
      <c r="D309" s="121"/>
      <c r="E309" s="121"/>
      <c r="F309" s="121"/>
      <c r="G309" s="121"/>
      <c r="H309" s="121"/>
      <c r="I309" s="121"/>
      <c r="J309" s="121"/>
      <c r="K309" s="121"/>
      <c r="L309" s="121"/>
      <c r="M309" s="121"/>
      <c r="N309" s="121"/>
      <c r="O309" s="121"/>
      <c r="P309" s="121"/>
      <c r="Q309" s="121"/>
      <c r="R309" s="121"/>
      <c r="S309" s="121"/>
      <c r="T309" s="121"/>
      <c r="U309" s="121"/>
      <c r="V309" s="121"/>
      <c r="W309" s="121"/>
      <c r="X309" s="121"/>
      <c r="Y309" s="121"/>
      <c r="Z309" s="121"/>
    </row>
    <row r="310" customFormat="false" ht="15.75" hidden="false" customHeight="false" outlineLevel="0" collapsed="false">
      <c r="A310" s="121"/>
      <c r="B310" s="121"/>
      <c r="C310" s="121"/>
      <c r="D310" s="121"/>
      <c r="E310" s="121"/>
      <c r="F310" s="121"/>
      <c r="G310" s="121"/>
      <c r="H310" s="121"/>
      <c r="I310" s="121"/>
      <c r="J310" s="121"/>
      <c r="K310" s="121"/>
      <c r="L310" s="121"/>
      <c r="M310" s="121"/>
      <c r="N310" s="121"/>
      <c r="O310" s="121"/>
      <c r="P310" s="121"/>
      <c r="Q310" s="121"/>
      <c r="R310" s="121"/>
      <c r="S310" s="121"/>
      <c r="T310" s="121"/>
      <c r="U310" s="121"/>
      <c r="V310" s="121"/>
      <c r="W310" s="121"/>
      <c r="X310" s="121"/>
      <c r="Y310" s="121"/>
      <c r="Z310" s="121"/>
    </row>
    <row r="311" customFormat="false" ht="15.75" hidden="false" customHeight="false" outlineLevel="0" collapsed="false">
      <c r="A311" s="121"/>
      <c r="B311" s="121"/>
      <c r="C311" s="121"/>
      <c r="D311" s="121"/>
      <c r="E311" s="121"/>
      <c r="F311" s="121"/>
      <c r="G311" s="121"/>
      <c r="H311" s="121"/>
      <c r="I311" s="121"/>
      <c r="J311" s="121"/>
      <c r="K311" s="121"/>
      <c r="L311" s="121"/>
      <c r="M311" s="121"/>
      <c r="N311" s="121"/>
      <c r="O311" s="121"/>
      <c r="P311" s="121"/>
      <c r="Q311" s="121"/>
      <c r="R311" s="121"/>
      <c r="S311" s="121"/>
      <c r="T311" s="121"/>
      <c r="U311" s="121"/>
      <c r="V311" s="121"/>
      <c r="W311" s="121"/>
      <c r="X311" s="121"/>
      <c r="Y311" s="121"/>
      <c r="Z311" s="121"/>
    </row>
    <row r="312" customFormat="false" ht="15.75" hidden="false" customHeight="false" outlineLevel="0" collapsed="false">
      <c r="A312" s="121"/>
      <c r="B312" s="121"/>
      <c r="C312" s="121"/>
      <c r="D312" s="121"/>
      <c r="E312" s="121"/>
      <c r="F312" s="121"/>
      <c r="G312" s="121"/>
      <c r="H312" s="121"/>
      <c r="I312" s="121"/>
      <c r="J312" s="121"/>
      <c r="K312" s="121"/>
      <c r="L312" s="121"/>
      <c r="M312" s="121"/>
      <c r="N312" s="121"/>
      <c r="O312" s="121"/>
      <c r="P312" s="121"/>
      <c r="Q312" s="121"/>
      <c r="R312" s="121"/>
      <c r="S312" s="121"/>
      <c r="T312" s="121"/>
      <c r="U312" s="121"/>
      <c r="V312" s="121"/>
      <c r="W312" s="121"/>
      <c r="X312" s="121"/>
      <c r="Y312" s="121"/>
      <c r="Z312" s="121"/>
    </row>
    <row r="313" customFormat="false" ht="15.75" hidden="false" customHeight="false" outlineLevel="0" collapsed="false">
      <c r="A313" s="121"/>
      <c r="B313" s="121"/>
      <c r="C313" s="121"/>
      <c r="D313" s="121"/>
      <c r="E313" s="121"/>
      <c r="F313" s="121"/>
      <c r="G313" s="121"/>
      <c r="H313" s="121"/>
      <c r="I313" s="121"/>
      <c r="J313" s="121"/>
      <c r="K313" s="121"/>
      <c r="L313" s="121"/>
      <c r="M313" s="121"/>
      <c r="N313" s="121"/>
      <c r="O313" s="121"/>
      <c r="P313" s="121"/>
      <c r="Q313" s="121"/>
      <c r="R313" s="121"/>
      <c r="S313" s="121"/>
      <c r="T313" s="121"/>
      <c r="U313" s="121"/>
      <c r="V313" s="121"/>
      <c r="W313" s="121"/>
      <c r="X313" s="121"/>
      <c r="Y313" s="121"/>
      <c r="Z313" s="121"/>
    </row>
    <row r="314" customFormat="false" ht="15.75" hidden="false" customHeight="false" outlineLevel="0" collapsed="false">
      <c r="A314" s="121"/>
      <c r="B314" s="121"/>
      <c r="C314" s="121"/>
      <c r="D314" s="121"/>
      <c r="E314" s="121"/>
      <c r="F314" s="121"/>
      <c r="G314" s="121"/>
      <c r="H314" s="121"/>
      <c r="I314" s="121"/>
      <c r="J314" s="121"/>
      <c r="K314" s="121"/>
      <c r="L314" s="121"/>
      <c r="M314" s="121"/>
      <c r="N314" s="121"/>
      <c r="O314" s="121"/>
      <c r="P314" s="121"/>
      <c r="Q314" s="121"/>
      <c r="R314" s="121"/>
      <c r="S314" s="121"/>
      <c r="T314" s="121"/>
      <c r="U314" s="121"/>
      <c r="V314" s="121"/>
      <c r="W314" s="121"/>
      <c r="X314" s="121"/>
      <c r="Y314" s="121"/>
      <c r="Z314" s="121"/>
    </row>
    <row r="315" customFormat="false" ht="15.75" hidden="false" customHeight="false" outlineLevel="0" collapsed="false">
      <c r="A315" s="121"/>
      <c r="B315" s="121"/>
      <c r="C315" s="121"/>
      <c r="D315" s="121"/>
      <c r="E315" s="121"/>
      <c r="F315" s="121"/>
      <c r="G315" s="121"/>
      <c r="H315" s="121"/>
      <c r="I315" s="121"/>
      <c r="J315" s="121"/>
      <c r="K315" s="121"/>
      <c r="L315" s="121"/>
      <c r="M315" s="121"/>
      <c r="N315" s="121"/>
      <c r="O315" s="121"/>
      <c r="P315" s="121"/>
      <c r="Q315" s="121"/>
      <c r="R315" s="121"/>
      <c r="S315" s="121"/>
      <c r="T315" s="121"/>
      <c r="U315" s="121"/>
      <c r="V315" s="121"/>
      <c r="W315" s="121"/>
      <c r="X315" s="121"/>
      <c r="Y315" s="121"/>
      <c r="Z315" s="121"/>
    </row>
    <row r="316" customFormat="false" ht="15.75" hidden="false" customHeight="false" outlineLevel="0" collapsed="false">
      <c r="A316" s="121"/>
      <c r="B316" s="121"/>
      <c r="C316" s="121"/>
      <c r="D316" s="121"/>
      <c r="E316" s="121"/>
      <c r="F316" s="121"/>
      <c r="G316" s="121"/>
      <c r="H316" s="121"/>
      <c r="I316" s="121"/>
      <c r="J316" s="121"/>
      <c r="K316" s="121"/>
      <c r="L316" s="121"/>
      <c r="M316" s="121"/>
      <c r="N316" s="121"/>
      <c r="O316" s="121"/>
      <c r="P316" s="121"/>
      <c r="Q316" s="121"/>
      <c r="R316" s="121"/>
      <c r="S316" s="121"/>
      <c r="T316" s="121"/>
      <c r="U316" s="121"/>
      <c r="V316" s="121"/>
      <c r="W316" s="121"/>
      <c r="X316" s="121"/>
      <c r="Y316" s="121"/>
      <c r="Z316" s="121"/>
    </row>
    <row r="317" customFormat="false" ht="15.75" hidden="false" customHeight="false" outlineLevel="0" collapsed="false">
      <c r="A317" s="121"/>
      <c r="B317" s="121"/>
      <c r="C317" s="121"/>
      <c r="D317" s="121"/>
      <c r="E317" s="121"/>
      <c r="F317" s="121"/>
      <c r="G317" s="121"/>
      <c r="H317" s="121"/>
      <c r="I317" s="121"/>
      <c r="J317" s="121"/>
      <c r="K317" s="121"/>
      <c r="L317" s="121"/>
      <c r="M317" s="121"/>
      <c r="N317" s="121"/>
      <c r="O317" s="121"/>
      <c r="P317" s="121"/>
      <c r="Q317" s="121"/>
      <c r="R317" s="121"/>
      <c r="S317" s="121"/>
      <c r="T317" s="121"/>
      <c r="U317" s="121"/>
      <c r="V317" s="121"/>
      <c r="W317" s="121"/>
      <c r="X317" s="121"/>
      <c r="Y317" s="121"/>
      <c r="Z317" s="121"/>
    </row>
    <row r="318" customFormat="false" ht="15.75" hidden="false" customHeight="false" outlineLevel="0" collapsed="false">
      <c r="A318" s="121"/>
      <c r="B318" s="121"/>
      <c r="C318" s="121"/>
      <c r="D318" s="121"/>
      <c r="E318" s="121"/>
      <c r="F318" s="121"/>
      <c r="G318" s="121"/>
      <c r="H318" s="121"/>
      <c r="I318" s="121"/>
      <c r="J318" s="121"/>
      <c r="K318" s="121"/>
      <c r="L318" s="121"/>
      <c r="M318" s="121"/>
      <c r="N318" s="121"/>
      <c r="O318" s="121"/>
      <c r="P318" s="121"/>
      <c r="Q318" s="121"/>
      <c r="R318" s="121"/>
      <c r="S318" s="121"/>
      <c r="T318" s="121"/>
      <c r="U318" s="121"/>
      <c r="V318" s="121"/>
      <c r="W318" s="121"/>
      <c r="X318" s="121"/>
      <c r="Y318" s="121"/>
      <c r="Z318" s="121"/>
    </row>
    <row r="319" customFormat="false" ht="15.75" hidden="false" customHeight="false" outlineLevel="0" collapsed="false">
      <c r="A319" s="121"/>
      <c r="B319" s="121"/>
      <c r="C319" s="121"/>
      <c r="D319" s="121"/>
      <c r="E319" s="121"/>
      <c r="F319" s="121"/>
      <c r="G319" s="121"/>
      <c r="H319" s="121"/>
      <c r="I319" s="121"/>
      <c r="J319" s="121"/>
      <c r="K319" s="121"/>
      <c r="L319" s="121"/>
      <c r="M319" s="121"/>
      <c r="N319" s="121"/>
      <c r="O319" s="121"/>
      <c r="P319" s="121"/>
      <c r="Q319" s="121"/>
      <c r="R319" s="121"/>
      <c r="S319" s="121"/>
      <c r="T319" s="121"/>
      <c r="U319" s="121"/>
      <c r="V319" s="121"/>
      <c r="W319" s="121"/>
      <c r="X319" s="121"/>
      <c r="Y319" s="121"/>
      <c r="Z319" s="121"/>
    </row>
    <row r="320" customFormat="false" ht="15.75" hidden="false" customHeight="false" outlineLevel="0" collapsed="false">
      <c r="A320" s="121"/>
      <c r="B320" s="121"/>
      <c r="C320" s="121"/>
      <c r="D320" s="121"/>
      <c r="E320" s="121"/>
      <c r="F320" s="121"/>
      <c r="G320" s="121"/>
      <c r="H320" s="121"/>
      <c r="I320" s="121"/>
      <c r="J320" s="121"/>
      <c r="K320" s="121"/>
      <c r="L320" s="121"/>
      <c r="M320" s="121"/>
      <c r="N320" s="121"/>
      <c r="O320" s="121"/>
      <c r="P320" s="121"/>
      <c r="Q320" s="121"/>
      <c r="R320" s="121"/>
      <c r="S320" s="121"/>
      <c r="T320" s="121"/>
      <c r="U320" s="121"/>
      <c r="V320" s="121"/>
      <c r="W320" s="121"/>
      <c r="X320" s="121"/>
      <c r="Y320" s="121"/>
      <c r="Z320" s="121"/>
    </row>
    <row r="321" customFormat="false" ht="15.75" hidden="false" customHeight="false" outlineLevel="0" collapsed="false">
      <c r="A321" s="121"/>
      <c r="B321" s="121"/>
      <c r="C321" s="121"/>
      <c r="D321" s="121"/>
      <c r="E321" s="121"/>
      <c r="F321" s="121"/>
      <c r="G321" s="121"/>
      <c r="H321" s="121"/>
      <c r="I321" s="121"/>
      <c r="J321" s="121"/>
      <c r="K321" s="121"/>
      <c r="L321" s="121"/>
      <c r="M321" s="121"/>
      <c r="N321" s="121"/>
      <c r="O321" s="121"/>
      <c r="P321" s="121"/>
      <c r="Q321" s="121"/>
      <c r="R321" s="121"/>
      <c r="S321" s="121"/>
      <c r="T321" s="121"/>
      <c r="U321" s="121"/>
      <c r="V321" s="121"/>
      <c r="W321" s="121"/>
      <c r="X321" s="121"/>
      <c r="Y321" s="121"/>
      <c r="Z321" s="121"/>
    </row>
    <row r="322" customFormat="false" ht="15.75" hidden="false" customHeight="false" outlineLevel="0" collapsed="false">
      <c r="A322" s="121"/>
      <c r="B322" s="121"/>
      <c r="C322" s="121"/>
      <c r="D322" s="121"/>
      <c r="E322" s="121"/>
      <c r="F322" s="121"/>
      <c r="G322" s="121"/>
      <c r="H322" s="121"/>
      <c r="I322" s="121"/>
      <c r="J322" s="121"/>
      <c r="K322" s="121"/>
      <c r="L322" s="121"/>
      <c r="M322" s="121"/>
      <c r="N322" s="121"/>
      <c r="O322" s="121"/>
      <c r="P322" s="121"/>
      <c r="Q322" s="121"/>
      <c r="R322" s="121"/>
      <c r="S322" s="121"/>
      <c r="T322" s="121"/>
      <c r="U322" s="121"/>
      <c r="V322" s="121"/>
      <c r="W322" s="121"/>
      <c r="X322" s="121"/>
      <c r="Y322" s="121"/>
      <c r="Z322" s="121"/>
    </row>
    <row r="323" customFormat="false" ht="15.75" hidden="false" customHeight="false" outlineLevel="0" collapsed="false">
      <c r="A323" s="121"/>
      <c r="B323" s="121"/>
      <c r="C323" s="121"/>
      <c r="D323" s="121"/>
      <c r="E323" s="121"/>
      <c r="F323" s="121"/>
      <c r="G323" s="121"/>
      <c r="H323" s="121"/>
      <c r="I323" s="121"/>
      <c r="J323" s="121"/>
      <c r="K323" s="121"/>
      <c r="L323" s="121"/>
      <c r="M323" s="121"/>
      <c r="N323" s="121"/>
      <c r="O323" s="121"/>
      <c r="P323" s="121"/>
      <c r="Q323" s="121"/>
      <c r="R323" s="121"/>
      <c r="S323" s="121"/>
      <c r="T323" s="121"/>
      <c r="U323" s="121"/>
      <c r="V323" s="121"/>
      <c r="W323" s="121"/>
      <c r="X323" s="121"/>
      <c r="Y323" s="121"/>
      <c r="Z323" s="121"/>
    </row>
    <row r="324" customFormat="false" ht="15.75" hidden="false" customHeight="false" outlineLevel="0" collapsed="false">
      <c r="A324" s="121"/>
      <c r="B324" s="121"/>
      <c r="C324" s="121"/>
      <c r="D324" s="121"/>
      <c r="E324" s="121"/>
      <c r="F324" s="121"/>
      <c r="G324" s="121"/>
      <c r="H324" s="121"/>
      <c r="I324" s="121"/>
      <c r="J324" s="121"/>
      <c r="K324" s="121"/>
      <c r="L324" s="121"/>
      <c r="M324" s="121"/>
      <c r="N324" s="121"/>
      <c r="O324" s="121"/>
      <c r="P324" s="121"/>
      <c r="Q324" s="121"/>
      <c r="R324" s="121"/>
      <c r="S324" s="121"/>
      <c r="T324" s="121"/>
      <c r="U324" s="121"/>
      <c r="V324" s="121"/>
      <c r="W324" s="121"/>
      <c r="X324" s="121"/>
      <c r="Y324" s="121"/>
      <c r="Z324" s="121"/>
    </row>
    <row r="325" customFormat="false" ht="15.75" hidden="false" customHeight="false" outlineLevel="0" collapsed="false">
      <c r="A325" s="121"/>
      <c r="B325" s="121"/>
      <c r="C325" s="121"/>
      <c r="D325" s="121"/>
      <c r="E325" s="121"/>
      <c r="F325" s="121"/>
      <c r="G325" s="121"/>
      <c r="H325" s="121"/>
      <c r="I325" s="121"/>
      <c r="J325" s="121"/>
      <c r="K325" s="121"/>
      <c r="L325" s="121"/>
      <c r="M325" s="121"/>
      <c r="N325" s="121"/>
      <c r="O325" s="121"/>
      <c r="P325" s="121"/>
      <c r="Q325" s="121"/>
      <c r="R325" s="121"/>
      <c r="S325" s="121"/>
      <c r="T325" s="121"/>
      <c r="U325" s="121"/>
      <c r="V325" s="121"/>
      <c r="W325" s="121"/>
      <c r="X325" s="121"/>
      <c r="Y325" s="121"/>
      <c r="Z325" s="121"/>
    </row>
    <row r="326" customFormat="false" ht="15.75" hidden="false" customHeight="false" outlineLevel="0" collapsed="false">
      <c r="A326" s="121"/>
      <c r="B326" s="121"/>
      <c r="C326" s="121"/>
      <c r="D326" s="121"/>
      <c r="E326" s="121"/>
      <c r="F326" s="121"/>
      <c r="G326" s="121"/>
      <c r="H326" s="121"/>
      <c r="I326" s="121"/>
      <c r="J326" s="121"/>
      <c r="K326" s="121"/>
      <c r="L326" s="121"/>
      <c r="M326" s="121"/>
      <c r="N326" s="121"/>
      <c r="O326" s="121"/>
      <c r="P326" s="121"/>
      <c r="Q326" s="121"/>
      <c r="R326" s="121"/>
      <c r="S326" s="121"/>
      <c r="T326" s="121"/>
      <c r="U326" s="121"/>
      <c r="V326" s="121"/>
      <c r="W326" s="121"/>
      <c r="X326" s="121"/>
      <c r="Y326" s="121"/>
      <c r="Z326" s="121"/>
    </row>
    <row r="327" customFormat="false" ht="15.75" hidden="false" customHeight="false" outlineLevel="0" collapsed="false">
      <c r="A327" s="121"/>
      <c r="B327" s="121"/>
      <c r="C327" s="121"/>
      <c r="D327" s="121"/>
      <c r="E327" s="121"/>
      <c r="F327" s="121"/>
      <c r="G327" s="121"/>
      <c r="H327" s="121"/>
      <c r="I327" s="121"/>
      <c r="J327" s="121"/>
      <c r="K327" s="121"/>
      <c r="L327" s="121"/>
      <c r="M327" s="121"/>
      <c r="N327" s="121"/>
      <c r="O327" s="121"/>
      <c r="P327" s="121"/>
      <c r="Q327" s="121"/>
      <c r="R327" s="121"/>
      <c r="S327" s="121"/>
      <c r="T327" s="121"/>
      <c r="U327" s="121"/>
      <c r="V327" s="121"/>
      <c r="W327" s="121"/>
      <c r="X327" s="121"/>
      <c r="Y327" s="121"/>
      <c r="Z327" s="121"/>
    </row>
    <row r="328" customFormat="false" ht="15.75" hidden="false" customHeight="false" outlineLevel="0" collapsed="false">
      <c r="A328" s="121"/>
      <c r="B328" s="121"/>
      <c r="C328" s="121"/>
      <c r="D328" s="121"/>
      <c r="E328" s="121"/>
      <c r="F328" s="121"/>
      <c r="G328" s="121"/>
      <c r="H328" s="121"/>
      <c r="I328" s="121"/>
      <c r="J328" s="121"/>
      <c r="K328" s="121"/>
      <c r="L328" s="121"/>
      <c r="M328" s="121"/>
      <c r="N328" s="121"/>
      <c r="O328" s="121"/>
      <c r="P328" s="121"/>
      <c r="Q328" s="121"/>
      <c r="R328" s="121"/>
      <c r="S328" s="121"/>
      <c r="T328" s="121"/>
      <c r="U328" s="121"/>
      <c r="V328" s="121"/>
      <c r="W328" s="121"/>
      <c r="X328" s="121"/>
      <c r="Y328" s="121"/>
      <c r="Z328" s="121"/>
    </row>
    <row r="329" customFormat="false" ht="15.75" hidden="false" customHeight="false" outlineLevel="0" collapsed="false">
      <c r="A329" s="121"/>
      <c r="B329" s="121"/>
      <c r="C329" s="121"/>
      <c r="D329" s="121"/>
      <c r="E329" s="121"/>
      <c r="F329" s="121"/>
      <c r="G329" s="121"/>
      <c r="H329" s="121"/>
      <c r="I329" s="121"/>
      <c r="J329" s="121"/>
      <c r="K329" s="121"/>
      <c r="L329" s="121"/>
      <c r="M329" s="121"/>
      <c r="N329" s="121"/>
      <c r="O329" s="121"/>
      <c r="P329" s="121"/>
      <c r="Q329" s="121"/>
      <c r="R329" s="121"/>
      <c r="S329" s="121"/>
      <c r="T329" s="121"/>
      <c r="U329" s="121"/>
      <c r="V329" s="121"/>
      <c r="W329" s="121"/>
      <c r="X329" s="121"/>
      <c r="Y329" s="121"/>
      <c r="Z329" s="121"/>
    </row>
    <row r="330" customFormat="false" ht="15.75" hidden="false" customHeight="false" outlineLevel="0" collapsed="false">
      <c r="A330" s="121"/>
      <c r="B330" s="121"/>
      <c r="C330" s="121"/>
      <c r="D330" s="121"/>
      <c r="E330" s="121"/>
      <c r="F330" s="121"/>
      <c r="G330" s="121"/>
      <c r="H330" s="121"/>
      <c r="I330" s="121"/>
      <c r="J330" s="121"/>
      <c r="K330" s="121"/>
      <c r="L330" s="121"/>
      <c r="M330" s="121"/>
      <c r="N330" s="121"/>
      <c r="O330" s="121"/>
      <c r="P330" s="121"/>
      <c r="Q330" s="121"/>
      <c r="R330" s="121"/>
      <c r="S330" s="121"/>
      <c r="T330" s="121"/>
      <c r="U330" s="121"/>
      <c r="V330" s="121"/>
      <c r="W330" s="121"/>
      <c r="X330" s="121"/>
      <c r="Y330" s="121"/>
      <c r="Z330" s="121"/>
    </row>
    <row r="331" customFormat="false" ht="15.75" hidden="false" customHeight="false" outlineLevel="0" collapsed="false">
      <c r="A331" s="121"/>
      <c r="B331" s="121"/>
      <c r="C331" s="121"/>
      <c r="D331" s="121"/>
      <c r="E331" s="121"/>
      <c r="F331" s="121"/>
      <c r="G331" s="121"/>
      <c r="H331" s="121"/>
      <c r="I331" s="121"/>
      <c r="J331" s="121"/>
      <c r="K331" s="121"/>
      <c r="L331" s="121"/>
      <c r="M331" s="121"/>
      <c r="N331" s="121"/>
      <c r="O331" s="121"/>
      <c r="P331" s="121"/>
      <c r="Q331" s="121"/>
      <c r="R331" s="121"/>
      <c r="S331" s="121"/>
      <c r="T331" s="121"/>
      <c r="U331" s="121"/>
      <c r="V331" s="121"/>
      <c r="W331" s="121"/>
      <c r="X331" s="121"/>
      <c r="Y331" s="121"/>
      <c r="Z331" s="121"/>
    </row>
    <row r="332" customFormat="false" ht="15.75" hidden="false" customHeight="false" outlineLevel="0" collapsed="false">
      <c r="A332" s="121"/>
      <c r="B332" s="121"/>
      <c r="C332" s="121"/>
      <c r="D332" s="121"/>
      <c r="E332" s="121"/>
      <c r="F332" s="121"/>
      <c r="G332" s="121"/>
      <c r="H332" s="121"/>
      <c r="I332" s="121"/>
      <c r="J332" s="121"/>
      <c r="K332" s="121"/>
      <c r="L332" s="121"/>
      <c r="M332" s="121"/>
      <c r="N332" s="121"/>
      <c r="O332" s="121"/>
      <c r="P332" s="121"/>
      <c r="Q332" s="121"/>
      <c r="R332" s="121"/>
      <c r="S332" s="121"/>
      <c r="T332" s="121"/>
      <c r="U332" s="121"/>
      <c r="V332" s="121"/>
      <c r="W332" s="121"/>
      <c r="X332" s="121"/>
      <c r="Y332" s="121"/>
      <c r="Z332" s="121"/>
    </row>
    <row r="333" customFormat="false" ht="15.75" hidden="false" customHeight="false" outlineLevel="0" collapsed="false">
      <c r="A333" s="121"/>
      <c r="B333" s="121"/>
      <c r="C333" s="121"/>
      <c r="D333" s="121"/>
      <c r="E333" s="121"/>
      <c r="F333" s="121"/>
      <c r="G333" s="121"/>
      <c r="H333" s="121"/>
      <c r="I333" s="121"/>
      <c r="J333" s="121"/>
      <c r="K333" s="121"/>
      <c r="L333" s="121"/>
      <c r="M333" s="121"/>
      <c r="N333" s="121"/>
      <c r="O333" s="121"/>
      <c r="P333" s="121"/>
      <c r="Q333" s="121"/>
      <c r="R333" s="121"/>
      <c r="S333" s="121"/>
      <c r="T333" s="121"/>
      <c r="U333" s="121"/>
      <c r="V333" s="121"/>
      <c r="W333" s="121"/>
      <c r="X333" s="121"/>
      <c r="Y333" s="121"/>
      <c r="Z333" s="121"/>
    </row>
    <row r="334" customFormat="false" ht="15.75" hidden="false" customHeight="false" outlineLevel="0" collapsed="false">
      <c r="A334" s="121"/>
      <c r="B334" s="121"/>
      <c r="C334" s="121"/>
      <c r="D334" s="121"/>
      <c r="E334" s="121"/>
      <c r="F334" s="121"/>
      <c r="G334" s="121"/>
      <c r="H334" s="121"/>
      <c r="I334" s="121"/>
      <c r="J334" s="121"/>
      <c r="K334" s="121"/>
      <c r="L334" s="121"/>
      <c r="M334" s="121"/>
      <c r="N334" s="121"/>
      <c r="O334" s="121"/>
      <c r="P334" s="121"/>
      <c r="Q334" s="121"/>
      <c r="R334" s="121"/>
      <c r="S334" s="121"/>
      <c r="T334" s="121"/>
      <c r="U334" s="121"/>
      <c r="V334" s="121"/>
      <c r="W334" s="121"/>
      <c r="X334" s="121"/>
      <c r="Y334" s="121"/>
      <c r="Z334" s="121"/>
    </row>
    <row r="335" customFormat="false" ht="15.75" hidden="false" customHeight="false" outlineLevel="0" collapsed="false">
      <c r="A335" s="121"/>
      <c r="B335" s="121"/>
      <c r="C335" s="121"/>
      <c r="D335" s="121"/>
      <c r="E335" s="121"/>
      <c r="F335" s="121"/>
      <c r="G335" s="121"/>
      <c r="H335" s="121"/>
      <c r="I335" s="121"/>
      <c r="J335" s="121"/>
      <c r="K335" s="121"/>
      <c r="L335" s="121"/>
      <c r="M335" s="121"/>
      <c r="N335" s="121"/>
      <c r="O335" s="121"/>
      <c r="P335" s="121"/>
      <c r="Q335" s="121"/>
      <c r="R335" s="121"/>
      <c r="S335" s="121"/>
      <c r="T335" s="121"/>
      <c r="U335" s="121"/>
      <c r="V335" s="121"/>
      <c r="W335" s="121"/>
      <c r="X335" s="121"/>
      <c r="Y335" s="121"/>
      <c r="Z335" s="121"/>
    </row>
    <row r="336" customFormat="false" ht="15.75" hidden="false" customHeight="false" outlineLevel="0" collapsed="false">
      <c r="A336" s="121"/>
      <c r="B336" s="121"/>
      <c r="C336" s="121"/>
      <c r="D336" s="121"/>
      <c r="E336" s="121"/>
      <c r="F336" s="121"/>
      <c r="G336" s="121"/>
      <c r="H336" s="121"/>
      <c r="I336" s="121"/>
      <c r="J336" s="121"/>
      <c r="K336" s="121"/>
      <c r="L336" s="121"/>
      <c r="M336" s="121"/>
      <c r="N336" s="121"/>
      <c r="O336" s="121"/>
      <c r="P336" s="121"/>
      <c r="Q336" s="121"/>
      <c r="R336" s="121"/>
      <c r="S336" s="121"/>
      <c r="T336" s="121"/>
      <c r="U336" s="121"/>
      <c r="V336" s="121"/>
      <c r="W336" s="121"/>
      <c r="X336" s="121"/>
      <c r="Y336" s="121"/>
      <c r="Z336" s="121"/>
    </row>
    <row r="337" customFormat="false" ht="15.75" hidden="false" customHeight="false" outlineLevel="0" collapsed="false">
      <c r="A337" s="121"/>
      <c r="B337" s="121"/>
      <c r="C337" s="121"/>
      <c r="D337" s="121"/>
      <c r="E337" s="121"/>
      <c r="F337" s="121"/>
      <c r="G337" s="121"/>
      <c r="H337" s="121"/>
      <c r="I337" s="121"/>
      <c r="J337" s="121"/>
      <c r="K337" s="121"/>
      <c r="L337" s="121"/>
      <c r="M337" s="121"/>
      <c r="N337" s="121"/>
      <c r="O337" s="121"/>
      <c r="P337" s="121"/>
      <c r="Q337" s="121"/>
      <c r="R337" s="121"/>
      <c r="S337" s="121"/>
      <c r="T337" s="121"/>
      <c r="U337" s="121"/>
      <c r="V337" s="121"/>
      <c r="W337" s="121"/>
      <c r="X337" s="121"/>
      <c r="Y337" s="121"/>
      <c r="Z337" s="121"/>
    </row>
    <row r="338" customFormat="false" ht="15.75" hidden="false" customHeight="false" outlineLevel="0" collapsed="false">
      <c r="A338" s="121"/>
      <c r="B338" s="121"/>
      <c r="C338" s="121"/>
      <c r="D338" s="121"/>
      <c r="E338" s="121"/>
      <c r="F338" s="121"/>
      <c r="G338" s="121"/>
      <c r="H338" s="121"/>
      <c r="I338" s="121"/>
      <c r="J338" s="121"/>
      <c r="K338" s="121"/>
      <c r="L338" s="121"/>
      <c r="M338" s="121"/>
      <c r="N338" s="121"/>
      <c r="O338" s="121"/>
      <c r="P338" s="121"/>
      <c r="Q338" s="121"/>
      <c r="R338" s="121"/>
      <c r="S338" s="121"/>
      <c r="T338" s="121"/>
      <c r="U338" s="121"/>
      <c r="V338" s="121"/>
      <c r="W338" s="121"/>
      <c r="X338" s="121"/>
      <c r="Y338" s="121"/>
      <c r="Z338" s="121"/>
    </row>
    <row r="339" customFormat="false" ht="15.75" hidden="false" customHeight="false" outlineLevel="0" collapsed="false">
      <c r="A339" s="121"/>
      <c r="B339" s="121"/>
      <c r="C339" s="121"/>
      <c r="D339" s="121"/>
      <c r="E339" s="121"/>
      <c r="F339" s="121"/>
      <c r="G339" s="121"/>
      <c r="H339" s="121"/>
      <c r="I339" s="121"/>
      <c r="J339" s="121"/>
      <c r="K339" s="121"/>
      <c r="L339" s="121"/>
      <c r="M339" s="121"/>
      <c r="N339" s="121"/>
      <c r="O339" s="121"/>
      <c r="P339" s="121"/>
      <c r="Q339" s="121"/>
      <c r="R339" s="121"/>
      <c r="S339" s="121"/>
      <c r="T339" s="121"/>
      <c r="U339" s="121"/>
      <c r="V339" s="121"/>
      <c r="W339" s="121"/>
      <c r="X339" s="121"/>
      <c r="Y339" s="121"/>
      <c r="Z339" s="121"/>
    </row>
    <row r="340" customFormat="false" ht="15.75" hidden="false" customHeight="false" outlineLevel="0" collapsed="false">
      <c r="A340" s="121"/>
      <c r="B340" s="121"/>
      <c r="C340" s="121"/>
      <c r="D340" s="121"/>
      <c r="E340" s="121"/>
      <c r="F340" s="121"/>
      <c r="G340" s="121"/>
      <c r="H340" s="121"/>
      <c r="I340" s="121"/>
      <c r="J340" s="121"/>
      <c r="K340" s="121"/>
      <c r="L340" s="121"/>
      <c r="M340" s="121"/>
      <c r="N340" s="121"/>
      <c r="O340" s="121"/>
      <c r="P340" s="121"/>
      <c r="Q340" s="121"/>
      <c r="R340" s="121"/>
      <c r="S340" s="121"/>
      <c r="T340" s="121"/>
      <c r="U340" s="121"/>
      <c r="V340" s="121"/>
      <c r="W340" s="121"/>
      <c r="X340" s="121"/>
      <c r="Y340" s="121"/>
      <c r="Z340" s="121"/>
    </row>
    <row r="341" customFormat="false" ht="15.75" hidden="false" customHeight="false" outlineLevel="0" collapsed="false">
      <c r="A341" s="121"/>
      <c r="B341" s="121"/>
      <c r="C341" s="121"/>
      <c r="D341" s="121"/>
      <c r="E341" s="121"/>
      <c r="F341" s="121"/>
      <c r="G341" s="121"/>
      <c r="H341" s="121"/>
      <c r="I341" s="121"/>
      <c r="J341" s="121"/>
      <c r="K341" s="121"/>
      <c r="L341" s="121"/>
      <c r="M341" s="121"/>
      <c r="N341" s="121"/>
      <c r="O341" s="121"/>
      <c r="P341" s="121"/>
      <c r="Q341" s="121"/>
      <c r="R341" s="121"/>
      <c r="S341" s="121"/>
      <c r="T341" s="121"/>
      <c r="U341" s="121"/>
      <c r="V341" s="121"/>
      <c r="W341" s="121"/>
      <c r="X341" s="121"/>
      <c r="Y341" s="121"/>
      <c r="Z341" s="121"/>
    </row>
    <row r="342" customFormat="false" ht="15.75" hidden="false" customHeight="false" outlineLevel="0" collapsed="false">
      <c r="A342" s="121"/>
      <c r="B342" s="121"/>
      <c r="C342" s="121"/>
      <c r="D342" s="121"/>
      <c r="E342" s="121"/>
      <c r="F342" s="121"/>
      <c r="G342" s="121"/>
      <c r="H342" s="121"/>
      <c r="I342" s="121"/>
      <c r="J342" s="121"/>
      <c r="K342" s="121"/>
      <c r="L342" s="121"/>
      <c r="M342" s="121"/>
      <c r="N342" s="121"/>
      <c r="O342" s="121"/>
      <c r="P342" s="121"/>
      <c r="Q342" s="121"/>
      <c r="R342" s="121"/>
      <c r="S342" s="121"/>
      <c r="T342" s="121"/>
      <c r="U342" s="121"/>
      <c r="V342" s="121"/>
      <c r="W342" s="121"/>
      <c r="X342" s="121"/>
      <c r="Y342" s="121"/>
      <c r="Z342" s="121"/>
    </row>
    <row r="343" customFormat="false" ht="15.75" hidden="false" customHeight="false" outlineLevel="0" collapsed="false">
      <c r="A343" s="121"/>
      <c r="B343" s="121"/>
      <c r="C343" s="121"/>
      <c r="D343" s="121"/>
      <c r="E343" s="121"/>
      <c r="F343" s="121"/>
      <c r="G343" s="121"/>
      <c r="H343" s="121"/>
      <c r="I343" s="121"/>
      <c r="J343" s="121"/>
      <c r="K343" s="121"/>
      <c r="L343" s="121"/>
      <c r="M343" s="121"/>
      <c r="N343" s="121"/>
      <c r="O343" s="121"/>
      <c r="P343" s="121"/>
      <c r="Q343" s="121"/>
      <c r="R343" s="121"/>
      <c r="S343" s="121"/>
      <c r="T343" s="121"/>
      <c r="U343" s="121"/>
      <c r="V343" s="121"/>
      <c r="W343" s="121"/>
      <c r="X343" s="121"/>
      <c r="Y343" s="121"/>
      <c r="Z343" s="121"/>
    </row>
    <row r="344" customFormat="false" ht="15.75" hidden="false" customHeight="false" outlineLevel="0" collapsed="false">
      <c r="A344" s="121"/>
      <c r="B344" s="121"/>
      <c r="C344" s="121"/>
      <c r="D344" s="121"/>
      <c r="E344" s="121"/>
      <c r="F344" s="121"/>
      <c r="G344" s="121"/>
      <c r="H344" s="121"/>
      <c r="I344" s="121"/>
      <c r="J344" s="121"/>
      <c r="K344" s="121"/>
      <c r="L344" s="121"/>
      <c r="M344" s="121"/>
      <c r="N344" s="121"/>
      <c r="O344" s="121"/>
      <c r="P344" s="121"/>
      <c r="Q344" s="121"/>
      <c r="R344" s="121"/>
      <c r="S344" s="121"/>
      <c r="T344" s="121"/>
      <c r="U344" s="121"/>
      <c r="V344" s="121"/>
      <c r="W344" s="121"/>
      <c r="X344" s="121"/>
      <c r="Y344" s="121"/>
      <c r="Z344" s="121"/>
    </row>
    <row r="345" customFormat="false" ht="15.75" hidden="false" customHeight="false" outlineLevel="0" collapsed="false">
      <c r="A345" s="121"/>
      <c r="B345" s="121"/>
      <c r="C345" s="121"/>
      <c r="D345" s="121"/>
      <c r="E345" s="121"/>
      <c r="F345" s="121"/>
      <c r="G345" s="121"/>
      <c r="H345" s="121"/>
      <c r="I345" s="121"/>
      <c r="J345" s="121"/>
      <c r="K345" s="121"/>
      <c r="L345" s="121"/>
      <c r="M345" s="121"/>
      <c r="N345" s="121"/>
      <c r="O345" s="121"/>
      <c r="P345" s="121"/>
      <c r="Q345" s="121"/>
      <c r="R345" s="121"/>
      <c r="S345" s="121"/>
      <c r="T345" s="121"/>
      <c r="U345" s="121"/>
      <c r="V345" s="121"/>
      <c r="W345" s="121"/>
      <c r="X345" s="121"/>
      <c r="Y345" s="121"/>
      <c r="Z345" s="121"/>
    </row>
    <row r="346" customFormat="false" ht="15.75" hidden="false" customHeight="false" outlineLevel="0" collapsed="false">
      <c r="A346" s="121"/>
      <c r="B346" s="121"/>
      <c r="C346" s="121"/>
      <c r="D346" s="121"/>
      <c r="E346" s="121"/>
      <c r="F346" s="121"/>
      <c r="G346" s="121"/>
      <c r="H346" s="121"/>
      <c r="I346" s="121"/>
      <c r="J346" s="121"/>
      <c r="K346" s="121"/>
      <c r="L346" s="121"/>
      <c r="M346" s="121"/>
      <c r="N346" s="121"/>
      <c r="O346" s="121"/>
      <c r="P346" s="121"/>
      <c r="Q346" s="121"/>
      <c r="R346" s="121"/>
      <c r="S346" s="121"/>
      <c r="T346" s="121"/>
      <c r="U346" s="121"/>
      <c r="V346" s="121"/>
      <c r="W346" s="121"/>
      <c r="X346" s="121"/>
      <c r="Y346" s="121"/>
      <c r="Z346" s="121"/>
    </row>
    <row r="347" customFormat="false" ht="15.75" hidden="false" customHeight="false" outlineLevel="0" collapsed="false">
      <c r="A347" s="121"/>
      <c r="B347" s="121"/>
      <c r="C347" s="121"/>
      <c r="D347" s="121"/>
      <c r="E347" s="121"/>
      <c r="F347" s="121"/>
      <c r="G347" s="121"/>
      <c r="H347" s="121"/>
      <c r="I347" s="121"/>
      <c r="J347" s="121"/>
      <c r="K347" s="121"/>
      <c r="L347" s="121"/>
      <c r="M347" s="121"/>
      <c r="N347" s="121"/>
      <c r="O347" s="121"/>
      <c r="P347" s="121"/>
      <c r="Q347" s="121"/>
      <c r="R347" s="121"/>
      <c r="S347" s="121"/>
      <c r="T347" s="121"/>
      <c r="U347" s="121"/>
      <c r="V347" s="121"/>
      <c r="W347" s="121"/>
      <c r="X347" s="121"/>
      <c r="Y347" s="121"/>
      <c r="Z347" s="121"/>
    </row>
    <row r="348" customFormat="false" ht="15.75" hidden="false" customHeight="false" outlineLevel="0" collapsed="false">
      <c r="A348" s="121"/>
      <c r="B348" s="121"/>
      <c r="C348" s="121"/>
      <c r="D348" s="121"/>
      <c r="E348" s="121"/>
      <c r="F348" s="121"/>
      <c r="G348" s="121"/>
      <c r="H348" s="121"/>
      <c r="I348" s="121"/>
      <c r="J348" s="121"/>
      <c r="K348" s="121"/>
      <c r="L348" s="121"/>
      <c r="M348" s="121"/>
      <c r="N348" s="121"/>
      <c r="O348" s="121"/>
      <c r="P348" s="121"/>
      <c r="Q348" s="121"/>
      <c r="R348" s="121"/>
      <c r="S348" s="121"/>
      <c r="T348" s="121"/>
      <c r="U348" s="121"/>
      <c r="V348" s="121"/>
      <c r="W348" s="121"/>
      <c r="X348" s="121"/>
      <c r="Y348" s="121"/>
      <c r="Z348" s="121"/>
    </row>
    <row r="349" customFormat="false" ht="15.75" hidden="false" customHeight="false" outlineLevel="0" collapsed="false">
      <c r="A349" s="121"/>
      <c r="B349" s="121"/>
      <c r="C349" s="121"/>
      <c r="D349" s="121"/>
      <c r="E349" s="121"/>
      <c r="F349" s="121"/>
      <c r="G349" s="121"/>
      <c r="H349" s="121"/>
      <c r="I349" s="121"/>
      <c r="J349" s="121"/>
      <c r="K349" s="121"/>
      <c r="L349" s="121"/>
      <c r="M349" s="121"/>
      <c r="N349" s="121"/>
      <c r="O349" s="121"/>
      <c r="P349" s="121"/>
      <c r="Q349" s="121"/>
      <c r="R349" s="121"/>
      <c r="S349" s="121"/>
      <c r="T349" s="121"/>
      <c r="U349" s="121"/>
      <c r="V349" s="121"/>
      <c r="W349" s="121"/>
      <c r="X349" s="121"/>
      <c r="Y349" s="121"/>
      <c r="Z349" s="121"/>
    </row>
    <row r="350" customFormat="false" ht="15.75" hidden="false" customHeight="false" outlineLevel="0" collapsed="false">
      <c r="A350" s="121"/>
      <c r="B350" s="121"/>
      <c r="C350" s="121"/>
      <c r="D350" s="121"/>
      <c r="E350" s="121"/>
      <c r="F350" s="121"/>
      <c r="G350" s="121"/>
      <c r="H350" s="121"/>
      <c r="I350" s="121"/>
      <c r="J350" s="121"/>
      <c r="K350" s="121"/>
      <c r="L350" s="121"/>
      <c r="M350" s="121"/>
      <c r="N350" s="121"/>
      <c r="O350" s="121"/>
      <c r="P350" s="121"/>
      <c r="Q350" s="121"/>
      <c r="R350" s="121"/>
      <c r="S350" s="121"/>
      <c r="T350" s="121"/>
      <c r="U350" s="121"/>
      <c r="V350" s="121"/>
      <c r="W350" s="121"/>
      <c r="X350" s="121"/>
      <c r="Y350" s="121"/>
      <c r="Z350" s="121"/>
    </row>
    <row r="351" customFormat="false" ht="15.75" hidden="false" customHeight="false" outlineLevel="0" collapsed="false">
      <c r="A351" s="121"/>
      <c r="B351" s="121"/>
      <c r="C351" s="121"/>
      <c r="D351" s="121"/>
      <c r="E351" s="121"/>
      <c r="F351" s="121"/>
      <c r="G351" s="121"/>
      <c r="H351" s="121"/>
      <c r="I351" s="121"/>
      <c r="J351" s="121"/>
      <c r="K351" s="121"/>
      <c r="L351" s="121"/>
      <c r="M351" s="121"/>
      <c r="N351" s="121"/>
      <c r="O351" s="121"/>
      <c r="P351" s="121"/>
      <c r="Q351" s="121"/>
      <c r="R351" s="121"/>
      <c r="S351" s="121"/>
      <c r="T351" s="121"/>
      <c r="U351" s="121"/>
      <c r="V351" s="121"/>
      <c r="W351" s="121"/>
      <c r="X351" s="121"/>
      <c r="Y351" s="121"/>
      <c r="Z351" s="121"/>
    </row>
    <row r="352" customFormat="false" ht="15.75" hidden="false" customHeight="false" outlineLevel="0" collapsed="false">
      <c r="A352" s="121"/>
      <c r="B352" s="121"/>
      <c r="C352" s="121"/>
      <c r="D352" s="121"/>
      <c r="E352" s="121"/>
      <c r="F352" s="121"/>
      <c r="G352" s="121"/>
      <c r="H352" s="121"/>
      <c r="I352" s="121"/>
      <c r="J352" s="121"/>
      <c r="K352" s="121"/>
      <c r="L352" s="121"/>
      <c r="M352" s="121"/>
      <c r="N352" s="121"/>
      <c r="O352" s="121"/>
      <c r="P352" s="121"/>
      <c r="Q352" s="121"/>
      <c r="R352" s="121"/>
      <c r="S352" s="121"/>
      <c r="T352" s="121"/>
      <c r="U352" s="121"/>
      <c r="V352" s="121"/>
      <c r="W352" s="121"/>
      <c r="X352" s="121"/>
      <c r="Y352" s="121"/>
      <c r="Z352" s="121"/>
    </row>
    <row r="353" customFormat="false" ht="15.75" hidden="false" customHeight="false" outlineLevel="0" collapsed="false">
      <c r="A353" s="121"/>
      <c r="B353" s="121"/>
      <c r="C353" s="121"/>
      <c r="D353" s="121"/>
      <c r="E353" s="121"/>
      <c r="F353" s="121"/>
      <c r="G353" s="121"/>
      <c r="H353" s="121"/>
      <c r="I353" s="121"/>
      <c r="J353" s="121"/>
      <c r="K353" s="121"/>
      <c r="L353" s="121"/>
      <c r="M353" s="121"/>
      <c r="N353" s="121"/>
      <c r="O353" s="121"/>
      <c r="P353" s="121"/>
      <c r="Q353" s="121"/>
      <c r="R353" s="121"/>
      <c r="S353" s="121"/>
      <c r="T353" s="121"/>
      <c r="U353" s="121"/>
      <c r="V353" s="121"/>
      <c r="W353" s="121"/>
      <c r="X353" s="121"/>
      <c r="Y353" s="121"/>
      <c r="Z353" s="121"/>
    </row>
    <row r="354" customFormat="false" ht="15.75" hidden="false" customHeight="false" outlineLevel="0" collapsed="false">
      <c r="A354" s="121"/>
      <c r="B354" s="121"/>
      <c r="C354" s="121"/>
      <c r="D354" s="121"/>
      <c r="E354" s="121"/>
      <c r="F354" s="121"/>
      <c r="G354" s="121"/>
      <c r="H354" s="121"/>
      <c r="I354" s="121"/>
      <c r="J354" s="121"/>
      <c r="K354" s="121"/>
      <c r="L354" s="121"/>
      <c r="M354" s="121"/>
      <c r="N354" s="121"/>
      <c r="O354" s="121"/>
      <c r="P354" s="121"/>
      <c r="Q354" s="121"/>
      <c r="R354" s="121"/>
      <c r="S354" s="121"/>
      <c r="T354" s="121"/>
      <c r="U354" s="121"/>
      <c r="V354" s="121"/>
      <c r="W354" s="121"/>
      <c r="X354" s="121"/>
      <c r="Y354" s="121"/>
      <c r="Z354" s="121"/>
    </row>
    <row r="355" customFormat="false" ht="15.75" hidden="false" customHeight="false" outlineLevel="0" collapsed="false">
      <c r="A355" s="121"/>
      <c r="B355" s="121"/>
      <c r="C355" s="121"/>
      <c r="D355" s="121"/>
      <c r="E355" s="121"/>
      <c r="F355" s="121"/>
      <c r="G355" s="121"/>
      <c r="H355" s="121"/>
      <c r="I355" s="121"/>
      <c r="J355" s="121"/>
      <c r="K355" s="121"/>
      <c r="L355" s="121"/>
      <c r="M355" s="121"/>
      <c r="N355" s="121"/>
      <c r="O355" s="121"/>
      <c r="P355" s="121"/>
      <c r="Q355" s="121"/>
      <c r="R355" s="121"/>
      <c r="S355" s="121"/>
      <c r="T355" s="121"/>
      <c r="U355" s="121"/>
      <c r="V355" s="121"/>
      <c r="W355" s="121"/>
      <c r="X355" s="121"/>
      <c r="Y355" s="121"/>
      <c r="Z355" s="121"/>
    </row>
    <row r="356" customFormat="false" ht="15.75" hidden="false" customHeight="false" outlineLevel="0" collapsed="false">
      <c r="A356" s="121"/>
      <c r="B356" s="121"/>
      <c r="C356" s="121"/>
      <c r="D356" s="121"/>
      <c r="E356" s="121"/>
      <c r="F356" s="121"/>
      <c r="G356" s="121"/>
      <c r="H356" s="121"/>
      <c r="I356" s="121"/>
      <c r="J356" s="121"/>
      <c r="K356" s="121"/>
      <c r="L356" s="121"/>
      <c r="M356" s="121"/>
      <c r="N356" s="121"/>
      <c r="O356" s="121"/>
      <c r="P356" s="121"/>
      <c r="Q356" s="121"/>
      <c r="R356" s="121"/>
      <c r="S356" s="121"/>
      <c r="T356" s="121"/>
      <c r="U356" s="121"/>
      <c r="V356" s="121"/>
      <c r="W356" s="121"/>
      <c r="X356" s="121"/>
      <c r="Y356" s="121"/>
      <c r="Z356" s="121"/>
    </row>
    <row r="357" customFormat="false" ht="15.75" hidden="false" customHeight="false" outlineLevel="0" collapsed="false">
      <c r="A357" s="121"/>
      <c r="B357" s="121"/>
      <c r="C357" s="121"/>
      <c r="D357" s="121"/>
      <c r="E357" s="121"/>
      <c r="F357" s="121"/>
      <c r="G357" s="121"/>
      <c r="H357" s="121"/>
      <c r="I357" s="121"/>
      <c r="J357" s="121"/>
      <c r="K357" s="121"/>
      <c r="L357" s="121"/>
      <c r="M357" s="121"/>
      <c r="N357" s="121"/>
      <c r="O357" s="121"/>
      <c r="P357" s="121"/>
      <c r="Q357" s="121"/>
      <c r="R357" s="121"/>
      <c r="S357" s="121"/>
      <c r="T357" s="121"/>
      <c r="U357" s="121"/>
      <c r="V357" s="121"/>
      <c r="W357" s="121"/>
      <c r="X357" s="121"/>
      <c r="Y357" s="121"/>
      <c r="Z357" s="121"/>
    </row>
    <row r="358" customFormat="false" ht="15.75" hidden="false" customHeight="false" outlineLevel="0" collapsed="false">
      <c r="A358" s="121"/>
      <c r="B358" s="121"/>
      <c r="C358" s="121"/>
      <c r="D358" s="121"/>
      <c r="E358" s="121"/>
      <c r="F358" s="121"/>
      <c r="G358" s="121"/>
      <c r="H358" s="121"/>
      <c r="I358" s="121"/>
      <c r="J358" s="121"/>
      <c r="K358" s="121"/>
      <c r="L358" s="121"/>
      <c r="M358" s="121"/>
      <c r="N358" s="121"/>
      <c r="O358" s="121"/>
      <c r="P358" s="121"/>
      <c r="Q358" s="121"/>
      <c r="R358" s="121"/>
      <c r="S358" s="121"/>
      <c r="T358" s="121"/>
      <c r="U358" s="121"/>
      <c r="V358" s="121"/>
      <c r="W358" s="121"/>
      <c r="X358" s="121"/>
      <c r="Y358" s="121"/>
      <c r="Z358" s="121"/>
    </row>
    <row r="359" customFormat="false" ht="15.75" hidden="false" customHeight="false" outlineLevel="0" collapsed="false">
      <c r="A359" s="121"/>
      <c r="B359" s="121"/>
      <c r="C359" s="121"/>
      <c r="D359" s="121"/>
      <c r="E359" s="121"/>
      <c r="F359" s="121"/>
      <c r="G359" s="121"/>
      <c r="H359" s="121"/>
      <c r="I359" s="121"/>
      <c r="J359" s="121"/>
      <c r="K359" s="121"/>
      <c r="L359" s="121"/>
      <c r="M359" s="121"/>
      <c r="N359" s="121"/>
      <c r="O359" s="121"/>
      <c r="P359" s="121"/>
      <c r="Q359" s="121"/>
      <c r="R359" s="121"/>
      <c r="S359" s="121"/>
      <c r="T359" s="121"/>
      <c r="U359" s="121"/>
      <c r="V359" s="121"/>
      <c r="W359" s="121"/>
      <c r="X359" s="121"/>
      <c r="Y359" s="121"/>
      <c r="Z359" s="121"/>
    </row>
    <row r="360" customFormat="false" ht="15.75" hidden="false" customHeight="false" outlineLevel="0" collapsed="false">
      <c r="A360" s="121"/>
      <c r="B360" s="121"/>
      <c r="C360" s="121"/>
      <c r="D360" s="121"/>
      <c r="E360" s="121"/>
      <c r="F360" s="121"/>
      <c r="G360" s="121"/>
      <c r="H360" s="121"/>
      <c r="I360" s="121"/>
      <c r="J360" s="121"/>
      <c r="K360" s="121"/>
      <c r="L360" s="121"/>
      <c r="M360" s="121"/>
      <c r="N360" s="121"/>
      <c r="O360" s="121"/>
      <c r="P360" s="121"/>
      <c r="Q360" s="121"/>
      <c r="R360" s="121"/>
      <c r="S360" s="121"/>
      <c r="T360" s="121"/>
      <c r="U360" s="121"/>
      <c r="V360" s="121"/>
      <c r="W360" s="121"/>
      <c r="X360" s="121"/>
      <c r="Y360" s="121"/>
      <c r="Z360" s="121"/>
    </row>
    <row r="361" customFormat="false" ht="15.75" hidden="false" customHeight="false" outlineLevel="0" collapsed="false">
      <c r="A361" s="121"/>
      <c r="B361" s="121"/>
      <c r="C361" s="121"/>
      <c r="D361" s="121"/>
      <c r="E361" s="121"/>
      <c r="F361" s="121"/>
      <c r="G361" s="121"/>
      <c r="H361" s="121"/>
      <c r="I361" s="121"/>
      <c r="J361" s="121"/>
      <c r="K361" s="121"/>
      <c r="L361" s="121"/>
      <c r="M361" s="121"/>
      <c r="N361" s="121"/>
      <c r="O361" s="121"/>
      <c r="P361" s="121"/>
      <c r="Q361" s="121"/>
      <c r="R361" s="121"/>
      <c r="S361" s="121"/>
      <c r="T361" s="121"/>
      <c r="U361" s="121"/>
      <c r="V361" s="121"/>
      <c r="W361" s="121"/>
      <c r="X361" s="121"/>
      <c r="Y361" s="121"/>
      <c r="Z361" s="121"/>
    </row>
    <row r="362" customFormat="false" ht="15.75" hidden="false" customHeight="false" outlineLevel="0" collapsed="false">
      <c r="A362" s="121"/>
      <c r="B362" s="121"/>
      <c r="C362" s="121"/>
      <c r="D362" s="121"/>
      <c r="E362" s="121"/>
      <c r="F362" s="121"/>
      <c r="G362" s="121"/>
      <c r="H362" s="121"/>
      <c r="I362" s="121"/>
      <c r="J362" s="121"/>
      <c r="K362" s="121"/>
      <c r="L362" s="121"/>
      <c r="M362" s="121"/>
      <c r="N362" s="121"/>
      <c r="O362" s="121"/>
      <c r="P362" s="121"/>
      <c r="Q362" s="121"/>
      <c r="R362" s="121"/>
      <c r="S362" s="121"/>
      <c r="T362" s="121"/>
      <c r="U362" s="121"/>
      <c r="V362" s="121"/>
      <c r="W362" s="121"/>
      <c r="X362" s="121"/>
      <c r="Y362" s="121"/>
      <c r="Z362" s="121"/>
    </row>
    <row r="363" customFormat="false" ht="15.75" hidden="false" customHeight="false" outlineLevel="0" collapsed="false">
      <c r="A363" s="121"/>
      <c r="B363" s="121"/>
      <c r="C363" s="121"/>
      <c r="D363" s="121"/>
      <c r="E363" s="121"/>
      <c r="F363" s="121"/>
      <c r="G363" s="121"/>
      <c r="H363" s="121"/>
      <c r="I363" s="121"/>
      <c r="J363" s="121"/>
      <c r="K363" s="121"/>
      <c r="L363" s="121"/>
      <c r="M363" s="121"/>
      <c r="N363" s="121"/>
      <c r="O363" s="121"/>
      <c r="P363" s="121"/>
      <c r="Q363" s="121"/>
      <c r="R363" s="121"/>
      <c r="S363" s="121"/>
      <c r="T363" s="121"/>
      <c r="U363" s="121"/>
      <c r="V363" s="121"/>
      <c r="W363" s="121"/>
      <c r="X363" s="121"/>
      <c r="Y363" s="121"/>
      <c r="Z363" s="121"/>
    </row>
    <row r="364" customFormat="false" ht="15.75" hidden="false" customHeight="false" outlineLevel="0" collapsed="false">
      <c r="A364" s="121"/>
      <c r="B364" s="121"/>
      <c r="C364" s="121"/>
      <c r="D364" s="121"/>
      <c r="E364" s="121"/>
      <c r="F364" s="121"/>
      <c r="G364" s="121"/>
      <c r="H364" s="121"/>
      <c r="I364" s="121"/>
      <c r="J364" s="121"/>
      <c r="K364" s="121"/>
      <c r="L364" s="121"/>
      <c r="M364" s="121"/>
      <c r="N364" s="121"/>
      <c r="O364" s="121"/>
      <c r="P364" s="121"/>
      <c r="Q364" s="121"/>
      <c r="R364" s="121"/>
      <c r="S364" s="121"/>
      <c r="T364" s="121"/>
      <c r="U364" s="121"/>
      <c r="V364" s="121"/>
      <c r="W364" s="121"/>
      <c r="X364" s="121"/>
      <c r="Y364" s="121"/>
      <c r="Z364" s="121"/>
    </row>
    <row r="365" customFormat="false" ht="15.75" hidden="false" customHeight="false" outlineLevel="0" collapsed="false">
      <c r="A365" s="121"/>
      <c r="B365" s="121"/>
      <c r="C365" s="121"/>
      <c r="D365" s="121"/>
      <c r="E365" s="121"/>
      <c r="F365" s="121"/>
      <c r="G365" s="121"/>
      <c r="H365" s="121"/>
      <c r="I365" s="121"/>
      <c r="J365" s="121"/>
      <c r="K365" s="121"/>
      <c r="L365" s="121"/>
      <c r="M365" s="121"/>
      <c r="N365" s="121"/>
      <c r="O365" s="121"/>
      <c r="P365" s="121"/>
      <c r="Q365" s="121"/>
      <c r="R365" s="121"/>
      <c r="S365" s="121"/>
      <c r="T365" s="121"/>
      <c r="U365" s="121"/>
      <c r="V365" s="121"/>
      <c r="W365" s="121"/>
      <c r="X365" s="121"/>
      <c r="Y365" s="121"/>
      <c r="Z365" s="121"/>
    </row>
    <row r="366" customFormat="false" ht="15.75" hidden="false" customHeight="false" outlineLevel="0" collapsed="false">
      <c r="A366" s="121"/>
      <c r="B366" s="121"/>
      <c r="C366" s="121"/>
      <c r="D366" s="121"/>
      <c r="E366" s="121"/>
      <c r="F366" s="121"/>
      <c r="G366" s="121"/>
      <c r="H366" s="121"/>
      <c r="I366" s="121"/>
      <c r="J366" s="121"/>
      <c r="K366" s="121"/>
      <c r="L366" s="121"/>
      <c r="M366" s="121"/>
      <c r="N366" s="121"/>
      <c r="O366" s="121"/>
      <c r="P366" s="121"/>
      <c r="Q366" s="121"/>
      <c r="R366" s="121"/>
      <c r="S366" s="121"/>
      <c r="T366" s="121"/>
      <c r="U366" s="121"/>
      <c r="V366" s="121"/>
      <c r="W366" s="121"/>
      <c r="X366" s="121"/>
      <c r="Y366" s="121"/>
      <c r="Z366" s="121"/>
    </row>
    <row r="367" customFormat="false" ht="15.75" hidden="false" customHeight="false" outlineLevel="0" collapsed="false">
      <c r="A367" s="121"/>
      <c r="B367" s="121"/>
      <c r="C367" s="121"/>
      <c r="D367" s="121"/>
      <c r="E367" s="121"/>
      <c r="F367" s="121"/>
      <c r="G367" s="121"/>
      <c r="H367" s="121"/>
      <c r="I367" s="121"/>
      <c r="J367" s="121"/>
      <c r="K367" s="121"/>
      <c r="L367" s="121"/>
      <c r="M367" s="121"/>
      <c r="N367" s="121"/>
      <c r="O367" s="121"/>
      <c r="P367" s="121"/>
      <c r="Q367" s="121"/>
      <c r="R367" s="121"/>
      <c r="S367" s="121"/>
      <c r="T367" s="121"/>
      <c r="U367" s="121"/>
      <c r="V367" s="121"/>
      <c r="W367" s="121"/>
      <c r="X367" s="121"/>
      <c r="Y367" s="121"/>
      <c r="Z367" s="121"/>
    </row>
    <row r="368" customFormat="false" ht="15.75" hidden="false" customHeight="false" outlineLevel="0" collapsed="false">
      <c r="A368" s="121"/>
      <c r="B368" s="121"/>
      <c r="C368" s="121"/>
      <c r="D368" s="121"/>
      <c r="E368" s="121"/>
      <c r="F368" s="121"/>
      <c r="G368" s="121"/>
      <c r="H368" s="121"/>
      <c r="I368" s="121"/>
      <c r="J368" s="121"/>
      <c r="K368" s="121"/>
      <c r="L368" s="121"/>
      <c r="M368" s="121"/>
      <c r="N368" s="121"/>
      <c r="O368" s="121"/>
      <c r="P368" s="121"/>
      <c r="Q368" s="121"/>
      <c r="R368" s="121"/>
      <c r="S368" s="121"/>
      <c r="T368" s="121"/>
      <c r="U368" s="121"/>
      <c r="V368" s="121"/>
      <c r="W368" s="121"/>
      <c r="X368" s="121"/>
      <c r="Y368" s="121"/>
      <c r="Z368" s="121"/>
    </row>
    <row r="369" customFormat="false" ht="15.75" hidden="false" customHeight="false" outlineLevel="0" collapsed="false">
      <c r="A369" s="121"/>
      <c r="B369" s="121"/>
      <c r="C369" s="121"/>
      <c r="D369" s="121"/>
      <c r="E369" s="121"/>
      <c r="F369" s="121"/>
      <c r="G369" s="121"/>
      <c r="H369" s="121"/>
      <c r="I369" s="121"/>
      <c r="J369" s="121"/>
      <c r="K369" s="121"/>
      <c r="L369" s="121"/>
      <c r="M369" s="121"/>
      <c r="N369" s="121"/>
      <c r="O369" s="121"/>
      <c r="P369" s="121"/>
      <c r="Q369" s="121"/>
      <c r="R369" s="121"/>
      <c r="S369" s="121"/>
      <c r="T369" s="121"/>
      <c r="U369" s="121"/>
      <c r="V369" s="121"/>
      <c r="W369" s="121"/>
      <c r="X369" s="121"/>
      <c r="Y369" s="121"/>
      <c r="Z369" s="121"/>
    </row>
    <row r="370" customFormat="false" ht="15.75" hidden="false" customHeight="false" outlineLevel="0" collapsed="false">
      <c r="A370" s="121"/>
      <c r="B370" s="121"/>
      <c r="C370" s="121"/>
      <c r="D370" s="121"/>
      <c r="E370" s="121"/>
      <c r="F370" s="121"/>
      <c r="G370" s="121"/>
      <c r="H370" s="121"/>
      <c r="I370" s="121"/>
      <c r="J370" s="121"/>
      <c r="K370" s="121"/>
      <c r="L370" s="121"/>
      <c r="M370" s="121"/>
      <c r="N370" s="121"/>
      <c r="O370" s="121"/>
      <c r="P370" s="121"/>
      <c r="Q370" s="121"/>
      <c r="R370" s="121"/>
      <c r="S370" s="121"/>
      <c r="T370" s="121"/>
      <c r="U370" s="121"/>
      <c r="V370" s="121"/>
      <c r="W370" s="121"/>
      <c r="X370" s="121"/>
      <c r="Y370" s="121"/>
      <c r="Z370" s="121"/>
    </row>
    <row r="371" customFormat="false" ht="15.75" hidden="false" customHeight="false" outlineLevel="0" collapsed="false">
      <c r="A371" s="121"/>
      <c r="B371" s="121"/>
      <c r="C371" s="121"/>
      <c r="D371" s="121"/>
      <c r="E371" s="121"/>
      <c r="F371" s="121"/>
      <c r="G371" s="121"/>
      <c r="H371" s="121"/>
      <c r="I371" s="121"/>
      <c r="J371" s="121"/>
      <c r="K371" s="121"/>
      <c r="L371" s="121"/>
      <c r="M371" s="121"/>
      <c r="N371" s="121"/>
      <c r="O371" s="121"/>
      <c r="P371" s="121"/>
      <c r="Q371" s="121"/>
      <c r="R371" s="121"/>
      <c r="S371" s="121"/>
      <c r="T371" s="121"/>
      <c r="U371" s="121"/>
      <c r="V371" s="121"/>
      <c r="W371" s="121"/>
      <c r="X371" s="121"/>
      <c r="Y371" s="121"/>
      <c r="Z371" s="121"/>
    </row>
    <row r="372" customFormat="false" ht="15.75" hidden="false" customHeight="false" outlineLevel="0" collapsed="false">
      <c r="A372" s="121"/>
      <c r="B372" s="121"/>
      <c r="C372" s="121"/>
      <c r="D372" s="121"/>
      <c r="E372" s="121"/>
      <c r="F372" s="121"/>
      <c r="G372" s="121"/>
      <c r="H372" s="121"/>
      <c r="I372" s="121"/>
      <c r="J372" s="121"/>
      <c r="K372" s="121"/>
      <c r="L372" s="121"/>
      <c r="M372" s="121"/>
      <c r="N372" s="121"/>
      <c r="O372" s="121"/>
      <c r="P372" s="121"/>
      <c r="Q372" s="121"/>
      <c r="R372" s="121"/>
      <c r="S372" s="121"/>
      <c r="T372" s="121"/>
      <c r="U372" s="121"/>
      <c r="V372" s="121"/>
      <c r="W372" s="121"/>
      <c r="X372" s="121"/>
      <c r="Y372" s="121"/>
      <c r="Z372" s="121"/>
    </row>
    <row r="373" customFormat="false" ht="15.75" hidden="false" customHeight="false" outlineLevel="0" collapsed="false">
      <c r="A373" s="121"/>
      <c r="B373" s="121"/>
      <c r="C373" s="121"/>
      <c r="D373" s="121"/>
      <c r="E373" s="121"/>
      <c r="F373" s="121"/>
      <c r="G373" s="121"/>
      <c r="H373" s="121"/>
      <c r="I373" s="121"/>
      <c r="J373" s="121"/>
      <c r="K373" s="121"/>
      <c r="L373" s="121"/>
      <c r="M373" s="121"/>
      <c r="N373" s="121"/>
      <c r="O373" s="121"/>
      <c r="P373" s="121"/>
      <c r="Q373" s="121"/>
      <c r="R373" s="121"/>
      <c r="S373" s="121"/>
      <c r="T373" s="121"/>
      <c r="U373" s="121"/>
      <c r="V373" s="121"/>
      <c r="W373" s="121"/>
      <c r="X373" s="121"/>
      <c r="Y373" s="121"/>
      <c r="Z373" s="121"/>
    </row>
    <row r="374" customFormat="false" ht="15.75" hidden="false" customHeight="false" outlineLevel="0" collapsed="false">
      <c r="A374" s="121"/>
      <c r="B374" s="121"/>
      <c r="C374" s="121"/>
      <c r="D374" s="121"/>
      <c r="E374" s="121"/>
      <c r="F374" s="121"/>
      <c r="G374" s="121"/>
      <c r="H374" s="121"/>
      <c r="I374" s="121"/>
      <c r="J374" s="121"/>
      <c r="K374" s="121"/>
      <c r="L374" s="121"/>
      <c r="M374" s="121"/>
      <c r="N374" s="121"/>
      <c r="O374" s="121"/>
      <c r="P374" s="121"/>
      <c r="Q374" s="121"/>
      <c r="R374" s="121"/>
      <c r="S374" s="121"/>
      <c r="T374" s="121"/>
      <c r="U374" s="121"/>
      <c r="V374" s="121"/>
      <c r="W374" s="121"/>
      <c r="X374" s="121"/>
      <c r="Y374" s="121"/>
      <c r="Z374" s="121"/>
    </row>
    <row r="375" customFormat="false" ht="15.75" hidden="false" customHeight="false" outlineLevel="0" collapsed="false">
      <c r="A375" s="121"/>
      <c r="B375" s="121"/>
      <c r="C375" s="121"/>
      <c r="D375" s="121"/>
      <c r="E375" s="121"/>
      <c r="F375" s="121"/>
      <c r="G375" s="121"/>
      <c r="H375" s="121"/>
      <c r="I375" s="121"/>
      <c r="J375" s="121"/>
      <c r="K375" s="121"/>
      <c r="L375" s="121"/>
      <c r="M375" s="121"/>
      <c r="N375" s="121"/>
      <c r="O375" s="121"/>
      <c r="P375" s="121"/>
      <c r="Q375" s="121"/>
      <c r="R375" s="121"/>
      <c r="S375" s="121"/>
      <c r="T375" s="121"/>
      <c r="U375" s="121"/>
      <c r="V375" s="121"/>
      <c r="W375" s="121"/>
      <c r="X375" s="121"/>
      <c r="Y375" s="121"/>
      <c r="Z375" s="121"/>
    </row>
    <row r="376" customFormat="false" ht="15.75" hidden="false" customHeight="false" outlineLevel="0" collapsed="false">
      <c r="A376" s="121"/>
      <c r="B376" s="121"/>
      <c r="C376" s="121"/>
      <c r="D376" s="121"/>
      <c r="E376" s="121"/>
      <c r="F376" s="121"/>
      <c r="G376" s="121"/>
      <c r="H376" s="121"/>
      <c r="I376" s="121"/>
      <c r="J376" s="121"/>
      <c r="K376" s="121"/>
      <c r="L376" s="121"/>
      <c r="M376" s="121"/>
      <c r="N376" s="121"/>
      <c r="O376" s="121"/>
      <c r="P376" s="121"/>
      <c r="Q376" s="121"/>
      <c r="R376" s="121"/>
      <c r="S376" s="121"/>
      <c r="T376" s="121"/>
      <c r="U376" s="121"/>
      <c r="V376" s="121"/>
      <c r="W376" s="121"/>
      <c r="X376" s="121"/>
      <c r="Y376" s="121"/>
      <c r="Z376" s="121"/>
    </row>
    <row r="377" customFormat="false" ht="15.75" hidden="false" customHeight="false" outlineLevel="0" collapsed="false">
      <c r="A377" s="121"/>
      <c r="B377" s="121"/>
      <c r="C377" s="121"/>
      <c r="D377" s="121"/>
      <c r="E377" s="121"/>
      <c r="F377" s="121"/>
      <c r="G377" s="121"/>
      <c r="H377" s="121"/>
      <c r="I377" s="121"/>
      <c r="J377" s="121"/>
      <c r="K377" s="121"/>
      <c r="L377" s="121"/>
      <c r="M377" s="121"/>
      <c r="N377" s="121"/>
      <c r="O377" s="121"/>
      <c r="P377" s="121"/>
      <c r="Q377" s="121"/>
      <c r="R377" s="121"/>
      <c r="S377" s="121"/>
      <c r="T377" s="121"/>
      <c r="U377" s="121"/>
      <c r="V377" s="121"/>
      <c r="W377" s="121"/>
      <c r="X377" s="121"/>
      <c r="Y377" s="121"/>
      <c r="Z377" s="121"/>
    </row>
    <row r="378" customFormat="false" ht="15.75" hidden="false" customHeight="false" outlineLevel="0" collapsed="false">
      <c r="A378" s="121"/>
      <c r="B378" s="121"/>
      <c r="C378" s="121"/>
      <c r="D378" s="121"/>
      <c r="E378" s="121"/>
      <c r="F378" s="121"/>
      <c r="G378" s="121"/>
      <c r="H378" s="121"/>
      <c r="I378" s="121"/>
      <c r="J378" s="121"/>
      <c r="K378" s="121"/>
      <c r="L378" s="121"/>
      <c r="M378" s="121"/>
      <c r="N378" s="121"/>
      <c r="O378" s="121"/>
      <c r="P378" s="121"/>
      <c r="Q378" s="121"/>
      <c r="R378" s="121"/>
      <c r="S378" s="121"/>
      <c r="T378" s="121"/>
      <c r="U378" s="121"/>
      <c r="V378" s="121"/>
      <c r="W378" s="121"/>
      <c r="X378" s="121"/>
      <c r="Y378" s="121"/>
      <c r="Z378" s="121"/>
    </row>
    <row r="379" customFormat="false" ht="15.75" hidden="false" customHeight="false" outlineLevel="0" collapsed="false">
      <c r="A379" s="121"/>
      <c r="B379" s="121"/>
      <c r="C379" s="121"/>
      <c r="D379" s="121"/>
      <c r="E379" s="121"/>
      <c r="F379" s="121"/>
      <c r="G379" s="121"/>
      <c r="H379" s="121"/>
      <c r="I379" s="121"/>
      <c r="J379" s="121"/>
      <c r="K379" s="121"/>
      <c r="L379" s="121"/>
      <c r="M379" s="121"/>
      <c r="N379" s="121"/>
      <c r="O379" s="121"/>
      <c r="P379" s="121"/>
      <c r="Q379" s="121"/>
      <c r="R379" s="121"/>
      <c r="S379" s="121"/>
      <c r="T379" s="121"/>
      <c r="U379" s="121"/>
      <c r="V379" s="121"/>
      <c r="W379" s="121"/>
      <c r="X379" s="121"/>
      <c r="Y379" s="121"/>
      <c r="Z379" s="121"/>
    </row>
    <row r="380" customFormat="false" ht="15.75" hidden="false" customHeight="false" outlineLevel="0" collapsed="false">
      <c r="A380" s="121"/>
      <c r="B380" s="121"/>
      <c r="C380" s="121"/>
      <c r="D380" s="121"/>
      <c r="E380" s="121"/>
      <c r="F380" s="121"/>
      <c r="G380" s="121"/>
      <c r="H380" s="121"/>
      <c r="I380" s="121"/>
      <c r="J380" s="121"/>
      <c r="K380" s="121"/>
      <c r="L380" s="121"/>
      <c r="M380" s="121"/>
      <c r="N380" s="121"/>
      <c r="O380" s="121"/>
      <c r="P380" s="121"/>
      <c r="Q380" s="121"/>
      <c r="R380" s="121"/>
      <c r="S380" s="121"/>
      <c r="T380" s="121"/>
      <c r="U380" s="121"/>
      <c r="V380" s="121"/>
      <c r="W380" s="121"/>
      <c r="X380" s="121"/>
      <c r="Y380" s="121"/>
      <c r="Z380" s="121"/>
    </row>
    <row r="381" customFormat="false" ht="15.75" hidden="false" customHeight="false" outlineLevel="0" collapsed="false">
      <c r="A381" s="121"/>
      <c r="B381" s="121"/>
      <c r="C381" s="121"/>
      <c r="D381" s="121"/>
      <c r="E381" s="121"/>
      <c r="F381" s="121"/>
      <c r="G381" s="121"/>
      <c r="H381" s="121"/>
      <c r="I381" s="121"/>
      <c r="J381" s="121"/>
      <c r="K381" s="121"/>
      <c r="L381" s="121"/>
      <c r="M381" s="121"/>
      <c r="N381" s="121"/>
      <c r="O381" s="121"/>
      <c r="P381" s="121"/>
      <c r="Q381" s="121"/>
      <c r="R381" s="121"/>
      <c r="S381" s="121"/>
      <c r="T381" s="121"/>
      <c r="U381" s="121"/>
      <c r="V381" s="121"/>
      <c r="W381" s="121"/>
      <c r="X381" s="121"/>
      <c r="Y381" s="121"/>
      <c r="Z381" s="121"/>
    </row>
    <row r="382" customFormat="false" ht="15.75" hidden="false" customHeight="false" outlineLevel="0" collapsed="false">
      <c r="A382" s="121"/>
      <c r="B382" s="121"/>
      <c r="C382" s="121"/>
      <c r="D382" s="121"/>
      <c r="E382" s="121"/>
      <c r="F382" s="121"/>
      <c r="G382" s="121"/>
      <c r="H382" s="121"/>
      <c r="I382" s="121"/>
      <c r="J382" s="121"/>
      <c r="K382" s="121"/>
      <c r="L382" s="121"/>
      <c r="M382" s="121"/>
      <c r="N382" s="121"/>
      <c r="O382" s="121"/>
      <c r="P382" s="121"/>
      <c r="Q382" s="121"/>
      <c r="R382" s="121"/>
      <c r="S382" s="121"/>
      <c r="T382" s="121"/>
      <c r="U382" s="121"/>
      <c r="V382" s="121"/>
      <c r="W382" s="121"/>
      <c r="X382" s="121"/>
      <c r="Y382" s="121"/>
      <c r="Z382" s="121"/>
    </row>
    <row r="383" customFormat="false" ht="15.75" hidden="false" customHeight="false" outlineLevel="0" collapsed="false">
      <c r="A383" s="121"/>
      <c r="B383" s="121"/>
      <c r="C383" s="121"/>
      <c r="D383" s="121"/>
      <c r="E383" s="121"/>
      <c r="F383" s="121"/>
      <c r="G383" s="121"/>
      <c r="H383" s="121"/>
      <c r="I383" s="121"/>
      <c r="J383" s="121"/>
      <c r="K383" s="121"/>
      <c r="L383" s="121"/>
      <c r="M383" s="121"/>
      <c r="N383" s="121"/>
      <c r="O383" s="121"/>
      <c r="P383" s="121"/>
      <c r="Q383" s="121"/>
      <c r="R383" s="121"/>
      <c r="S383" s="121"/>
      <c r="T383" s="121"/>
      <c r="U383" s="121"/>
      <c r="V383" s="121"/>
      <c r="W383" s="121"/>
      <c r="X383" s="121"/>
      <c r="Y383" s="121"/>
      <c r="Z383" s="121"/>
    </row>
    <row r="384" customFormat="false" ht="15.75" hidden="false" customHeight="false" outlineLevel="0" collapsed="false">
      <c r="A384" s="121"/>
      <c r="B384" s="121"/>
      <c r="C384" s="121"/>
      <c r="D384" s="121"/>
      <c r="E384" s="121"/>
      <c r="F384" s="121"/>
      <c r="G384" s="121"/>
      <c r="H384" s="121"/>
      <c r="I384" s="121"/>
      <c r="J384" s="121"/>
      <c r="K384" s="121"/>
      <c r="L384" s="121"/>
      <c r="M384" s="121"/>
      <c r="N384" s="121"/>
      <c r="O384" s="121"/>
      <c r="P384" s="121"/>
      <c r="Q384" s="121"/>
      <c r="R384" s="121"/>
      <c r="S384" s="121"/>
      <c r="T384" s="121"/>
      <c r="U384" s="121"/>
      <c r="V384" s="121"/>
      <c r="W384" s="121"/>
      <c r="X384" s="121"/>
      <c r="Y384" s="121"/>
      <c r="Z384" s="121"/>
    </row>
    <row r="385" customFormat="false" ht="15.75" hidden="false" customHeight="false" outlineLevel="0" collapsed="false">
      <c r="A385" s="121"/>
      <c r="B385" s="121"/>
      <c r="C385" s="121"/>
      <c r="D385" s="121"/>
      <c r="E385" s="121"/>
      <c r="F385" s="121"/>
      <c r="G385" s="121"/>
      <c r="H385" s="121"/>
      <c r="I385" s="121"/>
      <c r="J385" s="121"/>
      <c r="K385" s="121"/>
      <c r="L385" s="121"/>
      <c r="M385" s="121"/>
      <c r="N385" s="121"/>
      <c r="O385" s="121"/>
      <c r="P385" s="121"/>
      <c r="Q385" s="121"/>
      <c r="R385" s="121"/>
      <c r="S385" s="121"/>
      <c r="T385" s="121"/>
      <c r="U385" s="121"/>
      <c r="V385" s="121"/>
      <c r="W385" s="121"/>
      <c r="X385" s="121"/>
      <c r="Y385" s="121"/>
      <c r="Z385" s="121"/>
    </row>
    <row r="386" customFormat="false" ht="15.75" hidden="false" customHeight="false" outlineLevel="0" collapsed="false">
      <c r="A386" s="121"/>
      <c r="B386" s="121"/>
      <c r="C386" s="121"/>
      <c r="D386" s="121"/>
      <c r="E386" s="121"/>
      <c r="F386" s="121"/>
      <c r="G386" s="121"/>
      <c r="H386" s="121"/>
      <c r="I386" s="121"/>
      <c r="J386" s="121"/>
      <c r="K386" s="121"/>
      <c r="L386" s="121"/>
      <c r="M386" s="121"/>
      <c r="N386" s="121"/>
      <c r="O386" s="121"/>
      <c r="P386" s="121"/>
      <c r="Q386" s="121"/>
      <c r="R386" s="121"/>
      <c r="S386" s="121"/>
      <c r="T386" s="121"/>
      <c r="U386" s="121"/>
      <c r="V386" s="121"/>
      <c r="W386" s="121"/>
      <c r="X386" s="121"/>
      <c r="Y386" s="121"/>
      <c r="Z386" s="121"/>
    </row>
    <row r="387" customFormat="false" ht="15.75" hidden="false" customHeight="false" outlineLevel="0" collapsed="false">
      <c r="A387" s="121"/>
      <c r="B387" s="121"/>
      <c r="C387" s="121"/>
      <c r="D387" s="121"/>
      <c r="E387" s="121"/>
      <c r="F387" s="121"/>
      <c r="G387" s="121"/>
      <c r="H387" s="121"/>
      <c r="I387" s="121"/>
      <c r="J387" s="121"/>
      <c r="K387" s="121"/>
      <c r="L387" s="121"/>
      <c r="M387" s="121"/>
      <c r="N387" s="121"/>
      <c r="O387" s="121"/>
      <c r="P387" s="121"/>
      <c r="Q387" s="121"/>
      <c r="R387" s="121"/>
      <c r="S387" s="121"/>
      <c r="T387" s="121"/>
      <c r="U387" s="121"/>
      <c r="V387" s="121"/>
      <c r="W387" s="121"/>
      <c r="X387" s="121"/>
      <c r="Y387" s="121"/>
      <c r="Z387" s="121"/>
    </row>
    <row r="388" customFormat="false" ht="15.75" hidden="false" customHeight="false" outlineLevel="0" collapsed="false">
      <c r="A388" s="121"/>
      <c r="B388" s="121"/>
      <c r="C388" s="121"/>
      <c r="D388" s="121"/>
      <c r="E388" s="121"/>
      <c r="F388" s="121"/>
      <c r="G388" s="121"/>
      <c r="H388" s="121"/>
      <c r="I388" s="121"/>
      <c r="J388" s="121"/>
      <c r="K388" s="121"/>
      <c r="L388" s="121"/>
      <c r="M388" s="121"/>
      <c r="N388" s="121"/>
      <c r="O388" s="121"/>
      <c r="P388" s="121"/>
      <c r="Q388" s="121"/>
      <c r="R388" s="121"/>
      <c r="S388" s="121"/>
      <c r="T388" s="121"/>
      <c r="U388" s="121"/>
      <c r="V388" s="121"/>
      <c r="W388" s="121"/>
      <c r="X388" s="121"/>
      <c r="Y388" s="121"/>
      <c r="Z388" s="121"/>
    </row>
    <row r="389" customFormat="false" ht="15.75" hidden="false" customHeight="false" outlineLevel="0" collapsed="false">
      <c r="A389" s="121"/>
      <c r="B389" s="121"/>
      <c r="C389" s="121"/>
      <c r="D389" s="121"/>
      <c r="E389" s="121"/>
      <c r="F389" s="121"/>
      <c r="G389" s="121"/>
      <c r="H389" s="121"/>
      <c r="I389" s="121"/>
      <c r="J389" s="121"/>
      <c r="K389" s="121"/>
      <c r="L389" s="121"/>
      <c r="M389" s="121"/>
      <c r="N389" s="121"/>
      <c r="O389" s="121"/>
      <c r="P389" s="121"/>
      <c r="Q389" s="121"/>
      <c r="R389" s="121"/>
      <c r="S389" s="121"/>
      <c r="T389" s="121"/>
      <c r="U389" s="121"/>
      <c r="V389" s="121"/>
      <c r="W389" s="121"/>
      <c r="X389" s="121"/>
      <c r="Y389" s="121"/>
      <c r="Z389" s="121"/>
    </row>
    <row r="390" customFormat="false" ht="15.75" hidden="false" customHeight="false" outlineLevel="0" collapsed="false">
      <c r="A390" s="121"/>
      <c r="B390" s="121"/>
      <c r="C390" s="121"/>
      <c r="D390" s="121"/>
      <c r="E390" s="121"/>
      <c r="F390" s="121"/>
      <c r="G390" s="121"/>
      <c r="H390" s="121"/>
      <c r="I390" s="121"/>
      <c r="J390" s="121"/>
      <c r="K390" s="121"/>
      <c r="L390" s="121"/>
      <c r="M390" s="121"/>
      <c r="N390" s="121"/>
      <c r="O390" s="121"/>
      <c r="P390" s="121"/>
      <c r="Q390" s="121"/>
      <c r="R390" s="121"/>
      <c r="S390" s="121"/>
      <c r="T390" s="121"/>
      <c r="U390" s="121"/>
      <c r="V390" s="121"/>
      <c r="W390" s="121"/>
      <c r="X390" s="121"/>
      <c r="Y390" s="121"/>
      <c r="Z390" s="121"/>
    </row>
    <row r="391" customFormat="false" ht="15.75" hidden="false" customHeight="false" outlineLevel="0" collapsed="false">
      <c r="A391" s="121"/>
      <c r="B391" s="121"/>
      <c r="C391" s="121"/>
      <c r="D391" s="121"/>
      <c r="E391" s="121"/>
      <c r="F391" s="121"/>
      <c r="G391" s="121"/>
      <c r="H391" s="121"/>
      <c r="I391" s="121"/>
      <c r="J391" s="121"/>
      <c r="K391" s="121"/>
      <c r="L391" s="121"/>
      <c r="M391" s="121"/>
      <c r="N391" s="121"/>
      <c r="O391" s="121"/>
      <c r="P391" s="121"/>
      <c r="Q391" s="121"/>
      <c r="R391" s="121"/>
      <c r="S391" s="121"/>
      <c r="T391" s="121"/>
      <c r="U391" s="121"/>
      <c r="V391" s="121"/>
      <c r="W391" s="121"/>
      <c r="X391" s="121"/>
      <c r="Y391" s="121"/>
      <c r="Z391" s="121"/>
    </row>
    <row r="392" customFormat="false" ht="15.75" hidden="false" customHeight="false" outlineLevel="0" collapsed="false">
      <c r="A392" s="121"/>
      <c r="B392" s="121"/>
      <c r="C392" s="121"/>
      <c r="D392" s="121"/>
      <c r="E392" s="121"/>
      <c r="F392" s="121"/>
      <c r="G392" s="121"/>
      <c r="H392" s="121"/>
      <c r="I392" s="121"/>
      <c r="J392" s="121"/>
      <c r="K392" s="121"/>
      <c r="L392" s="121"/>
      <c r="M392" s="121"/>
      <c r="N392" s="121"/>
      <c r="O392" s="121"/>
      <c r="P392" s="121"/>
      <c r="Q392" s="121"/>
      <c r="R392" s="121"/>
      <c r="S392" s="121"/>
      <c r="T392" s="121"/>
      <c r="U392" s="121"/>
      <c r="V392" s="121"/>
      <c r="W392" s="121"/>
      <c r="X392" s="121"/>
      <c r="Y392" s="121"/>
      <c r="Z392" s="121"/>
    </row>
    <row r="393" customFormat="false" ht="15.75" hidden="false" customHeight="false" outlineLevel="0" collapsed="false">
      <c r="A393" s="121"/>
      <c r="B393" s="121"/>
      <c r="C393" s="121"/>
      <c r="D393" s="121"/>
      <c r="E393" s="121"/>
      <c r="F393" s="121"/>
      <c r="G393" s="121"/>
      <c r="H393" s="121"/>
      <c r="I393" s="121"/>
      <c r="J393" s="121"/>
      <c r="K393" s="121"/>
      <c r="L393" s="121"/>
      <c r="M393" s="121"/>
      <c r="N393" s="121"/>
      <c r="O393" s="121"/>
      <c r="P393" s="121"/>
      <c r="Q393" s="121"/>
      <c r="R393" s="121"/>
      <c r="S393" s="121"/>
      <c r="T393" s="121"/>
      <c r="U393" s="121"/>
      <c r="V393" s="121"/>
      <c r="W393" s="121"/>
      <c r="X393" s="121"/>
      <c r="Y393" s="121"/>
      <c r="Z393" s="121"/>
    </row>
    <row r="394" customFormat="false" ht="15.75" hidden="false" customHeight="false" outlineLevel="0" collapsed="false">
      <c r="A394" s="121"/>
      <c r="B394" s="121"/>
      <c r="C394" s="121"/>
      <c r="D394" s="121"/>
      <c r="E394" s="121"/>
      <c r="F394" s="121"/>
      <c r="G394" s="121"/>
      <c r="H394" s="121"/>
      <c r="I394" s="121"/>
      <c r="J394" s="121"/>
      <c r="K394" s="121"/>
      <c r="L394" s="121"/>
      <c r="M394" s="121"/>
      <c r="N394" s="121"/>
      <c r="O394" s="121"/>
      <c r="P394" s="121"/>
      <c r="Q394" s="121"/>
      <c r="R394" s="121"/>
      <c r="S394" s="121"/>
      <c r="T394" s="121"/>
      <c r="U394" s="121"/>
      <c r="V394" s="121"/>
      <c r="W394" s="121"/>
      <c r="X394" s="121"/>
      <c r="Y394" s="121"/>
      <c r="Z394" s="121"/>
    </row>
    <row r="395" customFormat="false" ht="15.75" hidden="false" customHeight="false" outlineLevel="0" collapsed="false">
      <c r="A395" s="121"/>
      <c r="B395" s="121"/>
      <c r="C395" s="121"/>
      <c r="D395" s="121"/>
      <c r="E395" s="121"/>
      <c r="F395" s="121"/>
      <c r="G395" s="121"/>
      <c r="H395" s="121"/>
      <c r="I395" s="121"/>
      <c r="J395" s="121"/>
      <c r="K395" s="121"/>
      <c r="L395" s="121"/>
      <c r="M395" s="121"/>
      <c r="N395" s="121"/>
      <c r="O395" s="121"/>
      <c r="P395" s="121"/>
      <c r="Q395" s="121"/>
      <c r="R395" s="121"/>
      <c r="S395" s="121"/>
      <c r="T395" s="121"/>
      <c r="U395" s="121"/>
      <c r="V395" s="121"/>
      <c r="W395" s="121"/>
      <c r="X395" s="121"/>
      <c r="Y395" s="121"/>
      <c r="Z395" s="121"/>
    </row>
    <row r="396" customFormat="false" ht="15.75" hidden="false" customHeight="false" outlineLevel="0" collapsed="false">
      <c r="A396" s="121"/>
      <c r="B396" s="121"/>
      <c r="C396" s="121"/>
      <c r="D396" s="121"/>
      <c r="E396" s="121"/>
      <c r="F396" s="121"/>
      <c r="G396" s="121"/>
      <c r="H396" s="121"/>
      <c r="I396" s="121"/>
      <c r="J396" s="121"/>
      <c r="K396" s="121"/>
      <c r="L396" s="121"/>
      <c r="M396" s="121"/>
      <c r="N396" s="121"/>
      <c r="O396" s="121"/>
      <c r="P396" s="121"/>
      <c r="Q396" s="121"/>
      <c r="R396" s="121"/>
      <c r="S396" s="121"/>
      <c r="T396" s="121"/>
      <c r="U396" s="121"/>
      <c r="V396" s="121"/>
      <c r="W396" s="121"/>
      <c r="X396" s="121"/>
      <c r="Y396" s="121"/>
      <c r="Z396" s="121"/>
    </row>
    <row r="397" customFormat="false" ht="15.75" hidden="false" customHeight="false" outlineLevel="0" collapsed="false">
      <c r="A397" s="121"/>
      <c r="B397" s="121"/>
      <c r="C397" s="121"/>
      <c r="D397" s="121"/>
      <c r="E397" s="121"/>
      <c r="F397" s="121"/>
      <c r="G397" s="121"/>
      <c r="H397" s="121"/>
      <c r="I397" s="121"/>
      <c r="J397" s="121"/>
      <c r="K397" s="121"/>
      <c r="L397" s="121"/>
      <c r="M397" s="121"/>
      <c r="N397" s="121"/>
      <c r="O397" s="121"/>
      <c r="P397" s="121"/>
      <c r="Q397" s="121"/>
      <c r="R397" s="121"/>
      <c r="S397" s="121"/>
      <c r="T397" s="121"/>
      <c r="U397" s="121"/>
      <c r="V397" s="121"/>
      <c r="W397" s="121"/>
      <c r="X397" s="121"/>
      <c r="Y397" s="121"/>
      <c r="Z397" s="121"/>
    </row>
    <row r="398" customFormat="false" ht="15.75" hidden="false" customHeight="false" outlineLevel="0" collapsed="false">
      <c r="A398" s="121"/>
      <c r="B398" s="121"/>
      <c r="C398" s="121"/>
      <c r="D398" s="121"/>
      <c r="E398" s="121"/>
      <c r="F398" s="121"/>
      <c r="G398" s="121"/>
      <c r="H398" s="121"/>
      <c r="I398" s="121"/>
      <c r="J398" s="121"/>
      <c r="K398" s="121"/>
      <c r="L398" s="121"/>
      <c r="M398" s="121"/>
      <c r="N398" s="121"/>
      <c r="O398" s="121"/>
      <c r="P398" s="121"/>
      <c r="Q398" s="121"/>
      <c r="R398" s="121"/>
      <c r="S398" s="121"/>
      <c r="T398" s="121"/>
      <c r="U398" s="121"/>
      <c r="V398" s="121"/>
      <c r="W398" s="121"/>
      <c r="X398" s="121"/>
      <c r="Y398" s="121"/>
      <c r="Z398" s="121"/>
    </row>
    <row r="399" customFormat="false" ht="15.75" hidden="false" customHeight="false" outlineLevel="0" collapsed="false">
      <c r="A399" s="121"/>
      <c r="B399" s="121"/>
      <c r="C399" s="121"/>
      <c r="D399" s="121"/>
      <c r="E399" s="121"/>
      <c r="F399" s="121"/>
      <c r="G399" s="121"/>
      <c r="H399" s="121"/>
      <c r="I399" s="121"/>
      <c r="J399" s="121"/>
      <c r="K399" s="121"/>
      <c r="L399" s="121"/>
      <c r="M399" s="121"/>
      <c r="N399" s="121"/>
      <c r="O399" s="121"/>
      <c r="P399" s="121"/>
      <c r="Q399" s="121"/>
      <c r="R399" s="121"/>
      <c r="S399" s="121"/>
      <c r="T399" s="121"/>
      <c r="U399" s="121"/>
      <c r="V399" s="121"/>
      <c r="W399" s="121"/>
      <c r="X399" s="121"/>
      <c r="Y399" s="121"/>
      <c r="Z399" s="121"/>
    </row>
    <row r="400" customFormat="false" ht="15.75" hidden="false" customHeight="false" outlineLevel="0" collapsed="false">
      <c r="A400" s="121"/>
      <c r="B400" s="121"/>
      <c r="C400" s="121"/>
      <c r="D400" s="121"/>
      <c r="E400" s="121"/>
      <c r="F400" s="121"/>
      <c r="G400" s="121"/>
      <c r="H400" s="121"/>
      <c r="I400" s="121"/>
      <c r="J400" s="121"/>
      <c r="K400" s="121"/>
      <c r="L400" s="121"/>
      <c r="M400" s="121"/>
      <c r="N400" s="121"/>
      <c r="O400" s="121"/>
      <c r="P400" s="121"/>
      <c r="Q400" s="121"/>
      <c r="R400" s="121"/>
      <c r="S400" s="121"/>
      <c r="T400" s="121"/>
      <c r="U400" s="121"/>
      <c r="V400" s="121"/>
      <c r="W400" s="121"/>
      <c r="X400" s="121"/>
      <c r="Y400" s="121"/>
      <c r="Z400" s="121"/>
    </row>
    <row r="401" customFormat="false" ht="15.75" hidden="false" customHeight="false" outlineLevel="0" collapsed="false">
      <c r="A401" s="121"/>
      <c r="B401" s="121"/>
      <c r="C401" s="121"/>
      <c r="D401" s="121"/>
      <c r="E401" s="121"/>
      <c r="F401" s="121"/>
      <c r="G401" s="121"/>
      <c r="H401" s="121"/>
      <c r="I401" s="121"/>
      <c r="J401" s="121"/>
      <c r="K401" s="121"/>
      <c r="L401" s="121"/>
      <c r="M401" s="121"/>
      <c r="N401" s="121"/>
      <c r="O401" s="121"/>
      <c r="P401" s="121"/>
      <c r="Q401" s="121"/>
      <c r="R401" s="121"/>
      <c r="S401" s="121"/>
      <c r="T401" s="121"/>
      <c r="U401" s="121"/>
      <c r="V401" s="121"/>
      <c r="W401" s="121"/>
      <c r="X401" s="121"/>
      <c r="Y401" s="121"/>
      <c r="Z401" s="121"/>
    </row>
    <row r="402" customFormat="false" ht="15.75" hidden="false" customHeight="false" outlineLevel="0" collapsed="false">
      <c r="A402" s="121"/>
      <c r="B402" s="121"/>
      <c r="C402" s="121"/>
      <c r="D402" s="121"/>
      <c r="E402" s="121"/>
      <c r="F402" s="121"/>
      <c r="G402" s="121"/>
      <c r="H402" s="121"/>
      <c r="I402" s="121"/>
      <c r="J402" s="121"/>
      <c r="K402" s="121"/>
      <c r="L402" s="121"/>
      <c r="M402" s="121"/>
      <c r="N402" s="121"/>
      <c r="O402" s="121"/>
      <c r="P402" s="121"/>
      <c r="Q402" s="121"/>
      <c r="R402" s="121"/>
      <c r="S402" s="121"/>
      <c r="T402" s="121"/>
      <c r="U402" s="121"/>
      <c r="V402" s="121"/>
      <c r="W402" s="121"/>
      <c r="X402" s="121"/>
      <c r="Y402" s="121"/>
      <c r="Z402" s="121"/>
    </row>
    <row r="403" customFormat="false" ht="15.75" hidden="false" customHeight="false" outlineLevel="0" collapsed="false">
      <c r="A403" s="121"/>
      <c r="B403" s="121"/>
      <c r="C403" s="121"/>
      <c r="D403" s="121"/>
      <c r="E403" s="121"/>
      <c r="F403" s="121"/>
      <c r="G403" s="121"/>
      <c r="H403" s="121"/>
      <c r="I403" s="121"/>
      <c r="J403" s="121"/>
      <c r="K403" s="121"/>
      <c r="L403" s="121"/>
      <c r="M403" s="121"/>
      <c r="N403" s="121"/>
      <c r="O403" s="121"/>
      <c r="P403" s="121"/>
      <c r="Q403" s="121"/>
      <c r="R403" s="121"/>
      <c r="S403" s="121"/>
      <c r="T403" s="121"/>
      <c r="U403" s="121"/>
      <c r="V403" s="121"/>
      <c r="W403" s="121"/>
      <c r="X403" s="121"/>
      <c r="Y403" s="121"/>
      <c r="Z403" s="121"/>
    </row>
    <row r="404" customFormat="false" ht="15.75" hidden="false" customHeight="false" outlineLevel="0" collapsed="false">
      <c r="A404" s="121"/>
      <c r="B404" s="121"/>
      <c r="C404" s="121"/>
      <c r="D404" s="121"/>
      <c r="E404" s="121"/>
      <c r="F404" s="121"/>
      <c r="G404" s="121"/>
      <c r="H404" s="121"/>
      <c r="I404" s="121"/>
      <c r="J404" s="121"/>
      <c r="K404" s="121"/>
      <c r="L404" s="121"/>
      <c r="M404" s="121"/>
      <c r="N404" s="121"/>
      <c r="O404" s="121"/>
      <c r="P404" s="121"/>
      <c r="Q404" s="121"/>
      <c r="R404" s="121"/>
      <c r="S404" s="121"/>
      <c r="T404" s="121"/>
      <c r="U404" s="121"/>
      <c r="V404" s="121"/>
      <c r="W404" s="121"/>
      <c r="X404" s="121"/>
      <c r="Y404" s="121"/>
      <c r="Z404" s="121"/>
    </row>
    <row r="405" customFormat="false" ht="15.75" hidden="false" customHeight="false" outlineLevel="0" collapsed="false">
      <c r="A405" s="121"/>
      <c r="B405" s="121"/>
      <c r="C405" s="121"/>
      <c r="D405" s="121"/>
      <c r="E405" s="121"/>
      <c r="F405" s="121"/>
      <c r="G405" s="121"/>
      <c r="H405" s="121"/>
      <c r="I405" s="121"/>
      <c r="J405" s="121"/>
      <c r="K405" s="121"/>
      <c r="L405" s="121"/>
      <c r="M405" s="121"/>
      <c r="N405" s="121"/>
      <c r="O405" s="121"/>
      <c r="P405" s="121"/>
      <c r="Q405" s="121"/>
      <c r="R405" s="121"/>
      <c r="S405" s="121"/>
      <c r="T405" s="121"/>
      <c r="U405" s="121"/>
      <c r="V405" s="121"/>
      <c r="W405" s="121"/>
      <c r="X405" s="121"/>
      <c r="Y405" s="121"/>
      <c r="Z405" s="121"/>
    </row>
    <row r="406" customFormat="false" ht="15.75" hidden="false" customHeight="false" outlineLevel="0" collapsed="false">
      <c r="A406" s="121"/>
      <c r="B406" s="121"/>
      <c r="C406" s="121"/>
      <c r="D406" s="121"/>
      <c r="E406" s="121"/>
      <c r="F406" s="121"/>
      <c r="G406" s="121"/>
      <c r="H406" s="121"/>
      <c r="I406" s="121"/>
      <c r="J406" s="121"/>
      <c r="K406" s="121"/>
      <c r="L406" s="121"/>
      <c r="M406" s="121"/>
      <c r="N406" s="121"/>
      <c r="O406" s="121"/>
      <c r="P406" s="121"/>
      <c r="Q406" s="121"/>
      <c r="R406" s="121"/>
      <c r="S406" s="121"/>
      <c r="T406" s="121"/>
      <c r="U406" s="121"/>
      <c r="V406" s="121"/>
      <c r="W406" s="121"/>
      <c r="X406" s="121"/>
      <c r="Y406" s="121"/>
      <c r="Z406" s="121"/>
    </row>
    <row r="407" customFormat="false" ht="15.75" hidden="false" customHeight="false" outlineLevel="0" collapsed="false">
      <c r="A407" s="121"/>
      <c r="B407" s="121"/>
      <c r="C407" s="121"/>
      <c r="D407" s="121"/>
      <c r="E407" s="121"/>
      <c r="F407" s="121"/>
      <c r="G407" s="121"/>
      <c r="H407" s="121"/>
      <c r="I407" s="121"/>
      <c r="J407" s="121"/>
      <c r="K407" s="121"/>
      <c r="L407" s="121"/>
      <c r="M407" s="121"/>
      <c r="N407" s="121"/>
      <c r="O407" s="121"/>
      <c r="P407" s="121"/>
      <c r="Q407" s="121"/>
      <c r="R407" s="121"/>
      <c r="S407" s="121"/>
      <c r="T407" s="121"/>
      <c r="U407" s="121"/>
      <c r="V407" s="121"/>
      <c r="W407" s="121"/>
      <c r="X407" s="121"/>
      <c r="Y407" s="121"/>
      <c r="Z407" s="121"/>
    </row>
    <row r="408" customFormat="false" ht="15.75" hidden="false" customHeight="false" outlineLevel="0" collapsed="false">
      <c r="A408" s="121"/>
      <c r="B408" s="121"/>
      <c r="C408" s="121"/>
      <c r="D408" s="121"/>
      <c r="E408" s="121"/>
      <c r="F408" s="121"/>
      <c r="G408" s="121"/>
      <c r="H408" s="121"/>
      <c r="I408" s="121"/>
      <c r="J408" s="121"/>
      <c r="K408" s="121"/>
      <c r="L408" s="121"/>
      <c r="M408" s="121"/>
      <c r="N408" s="121"/>
      <c r="O408" s="121"/>
      <c r="P408" s="121"/>
      <c r="Q408" s="121"/>
      <c r="R408" s="121"/>
      <c r="S408" s="121"/>
      <c r="T408" s="121"/>
      <c r="U408" s="121"/>
      <c r="V408" s="121"/>
      <c r="W408" s="121"/>
      <c r="X408" s="121"/>
      <c r="Y408" s="121"/>
      <c r="Z408" s="121"/>
    </row>
    <row r="409" customFormat="false" ht="15.75" hidden="false" customHeight="false" outlineLevel="0" collapsed="false">
      <c r="A409" s="121"/>
      <c r="B409" s="121"/>
      <c r="C409" s="121"/>
      <c r="D409" s="121"/>
      <c r="E409" s="121"/>
      <c r="F409" s="121"/>
      <c r="G409" s="121"/>
      <c r="H409" s="121"/>
      <c r="I409" s="121"/>
      <c r="J409" s="121"/>
      <c r="K409" s="121"/>
      <c r="L409" s="121"/>
      <c r="M409" s="121"/>
      <c r="N409" s="121"/>
      <c r="O409" s="121"/>
      <c r="P409" s="121"/>
      <c r="Q409" s="121"/>
      <c r="R409" s="121"/>
      <c r="S409" s="121"/>
      <c r="T409" s="121"/>
      <c r="U409" s="121"/>
      <c r="V409" s="121"/>
      <c r="W409" s="121"/>
      <c r="X409" s="121"/>
      <c r="Y409" s="121"/>
      <c r="Z409" s="121"/>
    </row>
    <row r="410" customFormat="false" ht="15.75" hidden="false" customHeight="false" outlineLevel="0" collapsed="false">
      <c r="A410" s="121"/>
      <c r="B410" s="121"/>
      <c r="C410" s="121"/>
      <c r="D410" s="121"/>
      <c r="E410" s="121"/>
      <c r="F410" s="121"/>
      <c r="G410" s="121"/>
      <c r="H410" s="121"/>
      <c r="I410" s="121"/>
      <c r="J410" s="121"/>
      <c r="K410" s="121"/>
      <c r="L410" s="121"/>
      <c r="M410" s="121"/>
      <c r="N410" s="121"/>
      <c r="O410" s="121"/>
      <c r="P410" s="121"/>
      <c r="Q410" s="121"/>
      <c r="R410" s="121"/>
      <c r="S410" s="121"/>
      <c r="T410" s="121"/>
      <c r="U410" s="121"/>
      <c r="V410" s="121"/>
      <c r="W410" s="121"/>
      <c r="X410" s="121"/>
      <c r="Y410" s="121"/>
      <c r="Z410" s="121"/>
    </row>
    <row r="411" customFormat="false" ht="15.75" hidden="false" customHeight="false" outlineLevel="0" collapsed="false">
      <c r="A411" s="121"/>
      <c r="B411" s="121"/>
      <c r="C411" s="121"/>
      <c r="D411" s="121"/>
      <c r="E411" s="121"/>
      <c r="F411" s="121"/>
      <c r="G411" s="121"/>
      <c r="H411" s="121"/>
      <c r="I411" s="121"/>
      <c r="J411" s="121"/>
      <c r="K411" s="121"/>
      <c r="L411" s="121"/>
      <c r="M411" s="121"/>
      <c r="N411" s="121"/>
      <c r="O411" s="121"/>
      <c r="P411" s="121"/>
      <c r="Q411" s="121"/>
      <c r="R411" s="121"/>
      <c r="S411" s="121"/>
      <c r="T411" s="121"/>
      <c r="U411" s="121"/>
      <c r="V411" s="121"/>
      <c r="W411" s="121"/>
      <c r="X411" s="121"/>
      <c r="Y411" s="121"/>
      <c r="Z411" s="121"/>
    </row>
    <row r="412" customFormat="false" ht="15.75" hidden="false" customHeight="false" outlineLevel="0" collapsed="false">
      <c r="A412" s="121"/>
      <c r="B412" s="121"/>
      <c r="C412" s="121"/>
      <c r="D412" s="121"/>
      <c r="E412" s="121"/>
      <c r="F412" s="121"/>
      <c r="G412" s="121"/>
      <c r="H412" s="121"/>
      <c r="I412" s="121"/>
      <c r="J412" s="121"/>
      <c r="K412" s="121"/>
      <c r="L412" s="121"/>
      <c r="M412" s="121"/>
      <c r="N412" s="121"/>
      <c r="O412" s="121"/>
      <c r="P412" s="121"/>
      <c r="Q412" s="121"/>
      <c r="R412" s="121"/>
      <c r="S412" s="121"/>
      <c r="T412" s="121"/>
      <c r="U412" s="121"/>
      <c r="V412" s="121"/>
      <c r="W412" s="121"/>
      <c r="X412" s="121"/>
      <c r="Y412" s="121"/>
      <c r="Z412" s="121"/>
    </row>
    <row r="413" customFormat="false" ht="15.75" hidden="false" customHeight="false" outlineLevel="0" collapsed="false">
      <c r="A413" s="121"/>
      <c r="B413" s="121"/>
      <c r="C413" s="121"/>
      <c r="D413" s="121"/>
      <c r="E413" s="121"/>
      <c r="F413" s="121"/>
      <c r="G413" s="121"/>
      <c r="H413" s="121"/>
      <c r="I413" s="121"/>
      <c r="J413" s="121"/>
      <c r="K413" s="121"/>
      <c r="L413" s="121"/>
      <c r="M413" s="121"/>
      <c r="N413" s="121"/>
      <c r="O413" s="121"/>
      <c r="P413" s="121"/>
      <c r="Q413" s="121"/>
      <c r="R413" s="121"/>
      <c r="S413" s="121"/>
      <c r="T413" s="121"/>
      <c r="U413" s="121"/>
      <c r="V413" s="121"/>
      <c r="W413" s="121"/>
      <c r="X413" s="121"/>
      <c r="Y413" s="121"/>
      <c r="Z413" s="121"/>
    </row>
    <row r="414" customFormat="false" ht="15.75" hidden="false" customHeight="false" outlineLevel="0" collapsed="false">
      <c r="A414" s="121"/>
      <c r="B414" s="121"/>
      <c r="C414" s="121"/>
      <c r="D414" s="121"/>
      <c r="E414" s="121"/>
      <c r="F414" s="121"/>
      <c r="G414" s="121"/>
      <c r="H414" s="121"/>
      <c r="I414" s="121"/>
      <c r="J414" s="121"/>
      <c r="K414" s="121"/>
      <c r="L414" s="121"/>
      <c r="M414" s="121"/>
      <c r="N414" s="121"/>
      <c r="O414" s="121"/>
      <c r="P414" s="121"/>
      <c r="Q414" s="121"/>
      <c r="R414" s="121"/>
      <c r="S414" s="121"/>
      <c r="T414" s="121"/>
      <c r="U414" s="121"/>
      <c r="V414" s="121"/>
      <c r="W414" s="121"/>
      <c r="X414" s="121"/>
      <c r="Y414" s="121"/>
      <c r="Z414" s="121"/>
    </row>
    <row r="415" customFormat="false" ht="15.75" hidden="false" customHeight="false" outlineLevel="0" collapsed="false">
      <c r="A415" s="121"/>
      <c r="B415" s="121"/>
      <c r="C415" s="121"/>
      <c r="D415" s="121"/>
      <c r="E415" s="121"/>
      <c r="F415" s="121"/>
      <c r="G415" s="121"/>
      <c r="H415" s="121"/>
      <c r="I415" s="121"/>
      <c r="J415" s="121"/>
      <c r="K415" s="121"/>
      <c r="L415" s="121"/>
      <c r="M415" s="121"/>
      <c r="N415" s="121"/>
      <c r="O415" s="121"/>
      <c r="P415" s="121"/>
      <c r="Q415" s="121"/>
      <c r="R415" s="121"/>
      <c r="S415" s="121"/>
      <c r="T415" s="121"/>
      <c r="U415" s="121"/>
      <c r="V415" s="121"/>
      <c r="W415" s="121"/>
      <c r="X415" s="121"/>
      <c r="Y415" s="121"/>
      <c r="Z415" s="121"/>
    </row>
    <row r="416" customFormat="false" ht="15.75" hidden="false" customHeight="false" outlineLevel="0" collapsed="false">
      <c r="A416" s="121"/>
      <c r="B416" s="121"/>
      <c r="C416" s="121"/>
      <c r="D416" s="121"/>
      <c r="E416" s="121"/>
      <c r="F416" s="121"/>
      <c r="G416" s="121"/>
      <c r="H416" s="121"/>
      <c r="I416" s="121"/>
      <c r="J416" s="121"/>
      <c r="K416" s="121"/>
      <c r="L416" s="121"/>
      <c r="M416" s="121"/>
      <c r="N416" s="121"/>
      <c r="O416" s="121"/>
      <c r="P416" s="121"/>
      <c r="Q416" s="121"/>
      <c r="R416" s="121"/>
      <c r="S416" s="121"/>
      <c r="T416" s="121"/>
      <c r="U416" s="121"/>
      <c r="V416" s="121"/>
      <c r="W416" s="121"/>
      <c r="X416" s="121"/>
      <c r="Y416" s="121"/>
      <c r="Z416" s="121"/>
    </row>
    <row r="417" customFormat="false" ht="15.75" hidden="false" customHeight="false" outlineLevel="0" collapsed="false">
      <c r="A417" s="121"/>
      <c r="B417" s="121"/>
      <c r="C417" s="121"/>
      <c r="D417" s="121"/>
      <c r="E417" s="121"/>
      <c r="F417" s="121"/>
      <c r="G417" s="121"/>
      <c r="H417" s="121"/>
      <c r="I417" s="121"/>
      <c r="J417" s="121"/>
      <c r="K417" s="121"/>
      <c r="L417" s="121"/>
      <c r="M417" s="121"/>
      <c r="N417" s="121"/>
      <c r="O417" s="121"/>
      <c r="P417" s="121"/>
      <c r="Q417" s="121"/>
      <c r="R417" s="121"/>
      <c r="S417" s="121"/>
      <c r="T417" s="121"/>
      <c r="U417" s="121"/>
      <c r="V417" s="121"/>
      <c r="W417" s="121"/>
      <c r="X417" s="121"/>
      <c r="Y417" s="121"/>
      <c r="Z417" s="121"/>
    </row>
    <row r="418" customFormat="false" ht="15.75" hidden="false" customHeight="false" outlineLevel="0" collapsed="false">
      <c r="A418" s="121"/>
      <c r="B418" s="121"/>
      <c r="C418" s="121"/>
      <c r="D418" s="121"/>
      <c r="E418" s="121"/>
      <c r="F418" s="121"/>
      <c r="G418" s="121"/>
      <c r="H418" s="121"/>
      <c r="I418" s="121"/>
      <c r="J418" s="121"/>
      <c r="K418" s="121"/>
      <c r="L418" s="121"/>
      <c r="M418" s="121"/>
      <c r="N418" s="121"/>
      <c r="O418" s="121"/>
      <c r="P418" s="121"/>
      <c r="Q418" s="121"/>
      <c r="R418" s="121"/>
      <c r="S418" s="121"/>
      <c r="T418" s="121"/>
      <c r="U418" s="121"/>
      <c r="V418" s="121"/>
      <c r="W418" s="121"/>
      <c r="X418" s="121"/>
      <c r="Y418" s="121"/>
      <c r="Z418" s="121"/>
    </row>
    <row r="419" customFormat="false" ht="15.75" hidden="false" customHeight="false" outlineLevel="0" collapsed="false">
      <c r="A419" s="121"/>
      <c r="B419" s="121"/>
      <c r="C419" s="121"/>
      <c r="D419" s="121"/>
      <c r="E419" s="121"/>
      <c r="F419" s="121"/>
      <c r="G419" s="121"/>
      <c r="H419" s="121"/>
      <c r="I419" s="121"/>
      <c r="J419" s="121"/>
      <c r="K419" s="121"/>
      <c r="L419" s="121"/>
      <c r="M419" s="121"/>
      <c r="N419" s="121"/>
      <c r="O419" s="121"/>
      <c r="P419" s="121"/>
      <c r="Q419" s="121"/>
      <c r="R419" s="121"/>
      <c r="S419" s="121"/>
      <c r="T419" s="121"/>
      <c r="U419" s="121"/>
      <c r="V419" s="121"/>
      <c r="W419" s="121"/>
      <c r="X419" s="121"/>
      <c r="Y419" s="121"/>
      <c r="Z419" s="121"/>
    </row>
    <row r="420" customFormat="false" ht="15.75" hidden="false" customHeight="false" outlineLevel="0" collapsed="false">
      <c r="A420" s="121"/>
      <c r="B420" s="121"/>
      <c r="C420" s="121"/>
      <c r="D420" s="121"/>
      <c r="E420" s="121"/>
      <c r="F420" s="121"/>
      <c r="G420" s="121"/>
      <c r="H420" s="121"/>
      <c r="I420" s="121"/>
      <c r="J420" s="121"/>
      <c r="K420" s="121"/>
      <c r="L420" s="121"/>
      <c r="M420" s="121"/>
      <c r="N420" s="121"/>
      <c r="O420" s="121"/>
      <c r="P420" s="121"/>
      <c r="Q420" s="121"/>
      <c r="R420" s="121"/>
      <c r="S420" s="121"/>
      <c r="T420" s="121"/>
      <c r="U420" s="121"/>
      <c r="V420" s="121"/>
      <c r="W420" s="121"/>
      <c r="X420" s="121"/>
      <c r="Y420" s="121"/>
      <c r="Z420" s="121"/>
    </row>
    <row r="421" customFormat="false" ht="15.75" hidden="false" customHeight="false" outlineLevel="0" collapsed="false">
      <c r="A421" s="121"/>
      <c r="B421" s="121"/>
      <c r="C421" s="121"/>
      <c r="D421" s="121"/>
      <c r="E421" s="121"/>
      <c r="F421" s="121"/>
      <c r="G421" s="121"/>
      <c r="H421" s="121"/>
      <c r="I421" s="121"/>
      <c r="J421" s="121"/>
      <c r="K421" s="121"/>
      <c r="L421" s="121"/>
      <c r="M421" s="121"/>
      <c r="N421" s="121"/>
      <c r="O421" s="121"/>
      <c r="P421" s="121"/>
      <c r="Q421" s="121"/>
      <c r="R421" s="121"/>
      <c r="S421" s="121"/>
      <c r="T421" s="121"/>
      <c r="U421" s="121"/>
      <c r="V421" s="121"/>
      <c r="W421" s="121"/>
      <c r="X421" s="121"/>
      <c r="Y421" s="121"/>
      <c r="Z421" s="121"/>
    </row>
    <row r="422" customFormat="false" ht="15.75" hidden="false" customHeight="false" outlineLevel="0" collapsed="false">
      <c r="A422" s="121"/>
      <c r="B422" s="121"/>
      <c r="C422" s="121"/>
      <c r="D422" s="121"/>
      <c r="E422" s="121"/>
      <c r="F422" s="121"/>
      <c r="G422" s="121"/>
      <c r="H422" s="121"/>
      <c r="I422" s="121"/>
      <c r="J422" s="121"/>
      <c r="K422" s="121"/>
      <c r="L422" s="121"/>
      <c r="M422" s="121"/>
      <c r="N422" s="121"/>
      <c r="O422" s="121"/>
      <c r="P422" s="121"/>
      <c r="Q422" s="121"/>
      <c r="R422" s="121"/>
      <c r="S422" s="121"/>
      <c r="T422" s="121"/>
      <c r="U422" s="121"/>
      <c r="V422" s="121"/>
      <c r="W422" s="121"/>
      <c r="X422" s="121"/>
      <c r="Y422" s="121"/>
      <c r="Z422" s="121"/>
    </row>
    <row r="423" customFormat="false" ht="15.75" hidden="false" customHeight="false" outlineLevel="0" collapsed="false">
      <c r="A423" s="121"/>
      <c r="B423" s="121"/>
      <c r="C423" s="121"/>
      <c r="D423" s="121"/>
      <c r="E423" s="121"/>
      <c r="F423" s="121"/>
      <c r="G423" s="121"/>
      <c r="H423" s="121"/>
      <c r="I423" s="121"/>
      <c r="J423" s="121"/>
      <c r="K423" s="121"/>
      <c r="L423" s="121"/>
      <c r="M423" s="121"/>
      <c r="N423" s="121"/>
      <c r="O423" s="121"/>
      <c r="P423" s="121"/>
      <c r="Q423" s="121"/>
      <c r="R423" s="121"/>
      <c r="S423" s="121"/>
      <c r="T423" s="121"/>
      <c r="U423" s="121"/>
      <c r="V423" s="121"/>
      <c r="W423" s="121"/>
      <c r="X423" s="121"/>
      <c r="Y423" s="121"/>
      <c r="Z423" s="121"/>
    </row>
    <row r="424" customFormat="false" ht="15.75" hidden="false" customHeight="false" outlineLevel="0" collapsed="false">
      <c r="A424" s="121"/>
      <c r="B424" s="121"/>
      <c r="C424" s="121"/>
      <c r="D424" s="121"/>
      <c r="E424" s="121"/>
      <c r="F424" s="121"/>
      <c r="G424" s="121"/>
      <c r="H424" s="121"/>
      <c r="I424" s="121"/>
      <c r="J424" s="121"/>
      <c r="K424" s="121"/>
      <c r="L424" s="121"/>
      <c r="M424" s="121"/>
      <c r="N424" s="121"/>
      <c r="O424" s="121"/>
      <c r="P424" s="121"/>
      <c r="Q424" s="121"/>
      <c r="R424" s="121"/>
      <c r="S424" s="121"/>
      <c r="T424" s="121"/>
      <c r="U424" s="121"/>
      <c r="V424" s="121"/>
      <c r="W424" s="121"/>
      <c r="X424" s="121"/>
      <c r="Y424" s="121"/>
      <c r="Z424" s="121"/>
    </row>
    <row r="425" customFormat="false" ht="15.75" hidden="false" customHeight="false" outlineLevel="0" collapsed="false">
      <c r="A425" s="121"/>
      <c r="B425" s="121"/>
      <c r="C425" s="121"/>
      <c r="D425" s="121"/>
      <c r="E425" s="121"/>
      <c r="F425" s="121"/>
      <c r="G425" s="121"/>
      <c r="H425" s="121"/>
      <c r="I425" s="121"/>
      <c r="J425" s="121"/>
      <c r="K425" s="121"/>
      <c r="L425" s="121"/>
      <c r="M425" s="121"/>
      <c r="N425" s="121"/>
      <c r="O425" s="121"/>
      <c r="P425" s="121"/>
      <c r="Q425" s="121"/>
      <c r="R425" s="121"/>
      <c r="S425" s="121"/>
      <c r="T425" s="121"/>
      <c r="U425" s="121"/>
      <c r="V425" s="121"/>
      <c r="W425" s="121"/>
      <c r="X425" s="121"/>
      <c r="Y425" s="121"/>
      <c r="Z425" s="121"/>
    </row>
    <row r="426" customFormat="false" ht="15.75" hidden="false" customHeight="false" outlineLevel="0" collapsed="false">
      <c r="A426" s="121"/>
      <c r="B426" s="121"/>
      <c r="C426" s="121"/>
      <c r="D426" s="121"/>
      <c r="E426" s="121"/>
      <c r="F426" s="121"/>
      <c r="G426" s="121"/>
      <c r="H426" s="121"/>
      <c r="I426" s="121"/>
      <c r="J426" s="121"/>
      <c r="K426" s="121"/>
      <c r="L426" s="121"/>
      <c r="M426" s="121"/>
      <c r="N426" s="121"/>
      <c r="O426" s="121"/>
      <c r="P426" s="121"/>
      <c r="Q426" s="121"/>
      <c r="R426" s="121"/>
      <c r="S426" s="121"/>
      <c r="T426" s="121"/>
      <c r="U426" s="121"/>
      <c r="V426" s="121"/>
      <c r="W426" s="121"/>
      <c r="X426" s="121"/>
      <c r="Y426" s="121"/>
      <c r="Z426" s="121"/>
    </row>
    <row r="427" customFormat="false" ht="15.75" hidden="false" customHeight="false" outlineLevel="0" collapsed="false">
      <c r="A427" s="121"/>
      <c r="B427" s="121"/>
      <c r="C427" s="121"/>
      <c r="D427" s="121"/>
      <c r="E427" s="121"/>
      <c r="F427" s="121"/>
      <c r="G427" s="121"/>
      <c r="H427" s="121"/>
      <c r="I427" s="121"/>
      <c r="J427" s="121"/>
      <c r="K427" s="121"/>
      <c r="L427" s="121"/>
      <c r="M427" s="121"/>
      <c r="N427" s="121"/>
      <c r="O427" s="121"/>
      <c r="P427" s="121"/>
      <c r="Q427" s="121"/>
      <c r="R427" s="121"/>
      <c r="S427" s="121"/>
      <c r="T427" s="121"/>
      <c r="U427" s="121"/>
      <c r="V427" s="121"/>
      <c r="W427" s="121"/>
      <c r="X427" s="121"/>
      <c r="Y427" s="121"/>
      <c r="Z427" s="121"/>
    </row>
    <row r="428" customFormat="false" ht="15.75" hidden="false" customHeight="false" outlineLevel="0" collapsed="false">
      <c r="A428" s="121"/>
      <c r="B428" s="121"/>
      <c r="C428" s="121"/>
      <c r="D428" s="121"/>
      <c r="E428" s="121"/>
      <c r="F428" s="121"/>
      <c r="G428" s="121"/>
      <c r="H428" s="121"/>
      <c r="I428" s="121"/>
      <c r="J428" s="121"/>
      <c r="K428" s="121"/>
      <c r="L428" s="121"/>
      <c r="M428" s="121"/>
      <c r="N428" s="121"/>
      <c r="O428" s="121"/>
      <c r="P428" s="121"/>
      <c r="Q428" s="121"/>
      <c r="R428" s="121"/>
      <c r="S428" s="121"/>
      <c r="T428" s="121"/>
      <c r="U428" s="121"/>
      <c r="V428" s="121"/>
      <c r="W428" s="121"/>
      <c r="X428" s="121"/>
      <c r="Y428" s="121"/>
      <c r="Z428" s="121"/>
    </row>
    <row r="429" customFormat="false" ht="15.75" hidden="false" customHeight="false" outlineLevel="0" collapsed="false">
      <c r="A429" s="121"/>
      <c r="B429" s="121"/>
      <c r="C429" s="121"/>
      <c r="D429" s="121"/>
      <c r="E429" s="121"/>
      <c r="F429" s="121"/>
      <c r="G429" s="121"/>
      <c r="H429" s="121"/>
      <c r="I429" s="121"/>
      <c r="J429" s="121"/>
      <c r="K429" s="121"/>
      <c r="L429" s="121"/>
      <c r="M429" s="121"/>
      <c r="N429" s="121"/>
      <c r="O429" s="121"/>
      <c r="P429" s="121"/>
      <c r="Q429" s="121"/>
      <c r="R429" s="121"/>
      <c r="S429" s="121"/>
      <c r="T429" s="121"/>
      <c r="U429" s="121"/>
      <c r="V429" s="121"/>
      <c r="W429" s="121"/>
      <c r="X429" s="121"/>
      <c r="Y429" s="121"/>
      <c r="Z429" s="121"/>
    </row>
    <row r="430" customFormat="false" ht="15.75" hidden="false" customHeight="false" outlineLevel="0" collapsed="false">
      <c r="A430" s="121"/>
      <c r="B430" s="121"/>
      <c r="C430" s="121"/>
      <c r="D430" s="121"/>
      <c r="E430" s="121"/>
      <c r="F430" s="121"/>
      <c r="G430" s="121"/>
      <c r="H430" s="121"/>
      <c r="I430" s="121"/>
      <c r="J430" s="121"/>
      <c r="K430" s="121"/>
      <c r="L430" s="121"/>
      <c r="M430" s="121"/>
      <c r="N430" s="121"/>
      <c r="O430" s="121"/>
      <c r="P430" s="121"/>
      <c r="Q430" s="121"/>
      <c r="R430" s="121"/>
      <c r="S430" s="121"/>
      <c r="T430" s="121"/>
      <c r="U430" s="121"/>
      <c r="V430" s="121"/>
      <c r="W430" s="121"/>
      <c r="X430" s="121"/>
      <c r="Y430" s="121"/>
      <c r="Z430" s="121"/>
    </row>
    <row r="431" customFormat="false" ht="15.75" hidden="false" customHeight="false" outlineLevel="0" collapsed="false">
      <c r="A431" s="121"/>
      <c r="B431" s="121"/>
      <c r="C431" s="121"/>
      <c r="D431" s="121"/>
      <c r="E431" s="121"/>
      <c r="F431" s="121"/>
      <c r="G431" s="121"/>
      <c r="H431" s="121"/>
      <c r="I431" s="121"/>
      <c r="J431" s="121"/>
      <c r="K431" s="121"/>
      <c r="L431" s="121"/>
      <c r="M431" s="121"/>
      <c r="N431" s="121"/>
      <c r="O431" s="121"/>
      <c r="P431" s="121"/>
      <c r="Q431" s="121"/>
      <c r="R431" s="121"/>
      <c r="S431" s="121"/>
      <c r="T431" s="121"/>
      <c r="U431" s="121"/>
      <c r="V431" s="121"/>
      <c r="W431" s="121"/>
      <c r="X431" s="121"/>
      <c r="Y431" s="121"/>
      <c r="Z431" s="121"/>
    </row>
    <row r="432" customFormat="false" ht="15.75" hidden="false" customHeight="false" outlineLevel="0" collapsed="false">
      <c r="A432" s="121"/>
      <c r="B432" s="121"/>
      <c r="C432" s="121"/>
      <c r="D432" s="121"/>
      <c r="E432" s="121"/>
      <c r="F432" s="121"/>
      <c r="G432" s="121"/>
      <c r="H432" s="121"/>
      <c r="I432" s="121"/>
      <c r="J432" s="121"/>
      <c r="K432" s="121"/>
      <c r="L432" s="121"/>
      <c r="M432" s="121"/>
      <c r="N432" s="121"/>
      <c r="O432" s="121"/>
      <c r="P432" s="121"/>
      <c r="Q432" s="121"/>
      <c r="R432" s="121"/>
      <c r="S432" s="121"/>
      <c r="T432" s="121"/>
      <c r="U432" s="121"/>
      <c r="V432" s="121"/>
      <c r="W432" s="121"/>
      <c r="X432" s="121"/>
      <c r="Y432" s="121"/>
      <c r="Z432" s="121"/>
    </row>
    <row r="433" customFormat="false" ht="15.75" hidden="false" customHeight="false" outlineLevel="0" collapsed="false">
      <c r="A433" s="121"/>
      <c r="B433" s="121"/>
      <c r="C433" s="121"/>
      <c r="D433" s="121"/>
      <c r="E433" s="121"/>
      <c r="F433" s="121"/>
      <c r="G433" s="121"/>
      <c r="H433" s="121"/>
      <c r="I433" s="121"/>
      <c r="J433" s="121"/>
      <c r="K433" s="121"/>
      <c r="L433" s="121"/>
      <c r="M433" s="121"/>
      <c r="N433" s="121"/>
      <c r="O433" s="121"/>
      <c r="P433" s="121"/>
      <c r="Q433" s="121"/>
      <c r="R433" s="121"/>
      <c r="S433" s="121"/>
      <c r="T433" s="121"/>
      <c r="U433" s="121"/>
      <c r="V433" s="121"/>
      <c r="W433" s="121"/>
      <c r="X433" s="121"/>
      <c r="Y433" s="121"/>
      <c r="Z433" s="121"/>
    </row>
    <row r="434" customFormat="false" ht="15.75" hidden="false" customHeight="false" outlineLevel="0" collapsed="false">
      <c r="A434" s="121"/>
      <c r="B434" s="121"/>
      <c r="C434" s="121"/>
      <c r="D434" s="121"/>
      <c r="E434" s="121"/>
      <c r="F434" s="121"/>
      <c r="G434" s="121"/>
      <c r="H434" s="121"/>
      <c r="I434" s="121"/>
      <c r="J434" s="121"/>
      <c r="K434" s="121"/>
      <c r="L434" s="121"/>
      <c r="M434" s="121"/>
      <c r="N434" s="121"/>
      <c r="O434" s="121"/>
      <c r="P434" s="121"/>
      <c r="Q434" s="121"/>
      <c r="R434" s="121"/>
      <c r="S434" s="121"/>
      <c r="T434" s="121"/>
      <c r="U434" s="121"/>
      <c r="V434" s="121"/>
      <c r="W434" s="121"/>
      <c r="X434" s="121"/>
      <c r="Y434" s="121"/>
      <c r="Z434" s="121"/>
    </row>
    <row r="435" customFormat="false" ht="15.75" hidden="false" customHeight="false" outlineLevel="0" collapsed="false">
      <c r="A435" s="121"/>
      <c r="B435" s="121"/>
      <c r="C435" s="121"/>
      <c r="D435" s="121"/>
      <c r="E435" s="121"/>
      <c r="F435" s="121"/>
      <c r="G435" s="121"/>
      <c r="H435" s="121"/>
      <c r="I435" s="121"/>
      <c r="J435" s="121"/>
      <c r="K435" s="121"/>
      <c r="L435" s="121"/>
      <c r="M435" s="121"/>
      <c r="N435" s="121"/>
      <c r="O435" s="121"/>
      <c r="P435" s="121"/>
      <c r="Q435" s="121"/>
      <c r="R435" s="121"/>
      <c r="S435" s="121"/>
      <c r="T435" s="121"/>
      <c r="U435" s="121"/>
      <c r="V435" s="121"/>
      <c r="W435" s="121"/>
      <c r="X435" s="121"/>
      <c r="Y435" s="121"/>
      <c r="Z435" s="121"/>
    </row>
    <row r="436" customFormat="false" ht="15.75" hidden="false" customHeight="false" outlineLevel="0" collapsed="false">
      <c r="A436" s="121"/>
      <c r="B436" s="121"/>
      <c r="C436" s="121"/>
      <c r="D436" s="121"/>
      <c r="E436" s="121"/>
      <c r="F436" s="121"/>
      <c r="G436" s="121"/>
      <c r="H436" s="121"/>
      <c r="I436" s="121"/>
      <c r="J436" s="121"/>
      <c r="K436" s="121"/>
      <c r="L436" s="121"/>
      <c r="M436" s="121"/>
      <c r="N436" s="121"/>
      <c r="O436" s="121"/>
      <c r="P436" s="121"/>
      <c r="Q436" s="121"/>
      <c r="R436" s="121"/>
      <c r="S436" s="121"/>
      <c r="T436" s="121"/>
      <c r="U436" s="121"/>
      <c r="V436" s="121"/>
      <c r="W436" s="121"/>
      <c r="X436" s="121"/>
      <c r="Y436" s="121"/>
      <c r="Z436" s="121"/>
    </row>
    <row r="437" customFormat="false" ht="15.75" hidden="false" customHeight="false" outlineLevel="0" collapsed="false">
      <c r="A437" s="121"/>
      <c r="B437" s="121"/>
      <c r="C437" s="121"/>
      <c r="D437" s="121"/>
      <c r="E437" s="121"/>
      <c r="F437" s="121"/>
      <c r="G437" s="121"/>
      <c r="H437" s="121"/>
      <c r="I437" s="121"/>
      <c r="J437" s="121"/>
      <c r="K437" s="121"/>
      <c r="L437" s="121"/>
      <c r="M437" s="121"/>
      <c r="N437" s="121"/>
      <c r="O437" s="121"/>
      <c r="P437" s="121"/>
      <c r="Q437" s="121"/>
      <c r="R437" s="121"/>
      <c r="S437" s="121"/>
      <c r="T437" s="121"/>
      <c r="U437" s="121"/>
      <c r="V437" s="121"/>
      <c r="W437" s="121"/>
      <c r="X437" s="121"/>
      <c r="Y437" s="121"/>
      <c r="Z437" s="121"/>
    </row>
    <row r="438" customFormat="false" ht="15.75" hidden="false" customHeight="false" outlineLevel="0" collapsed="false">
      <c r="A438" s="121"/>
      <c r="B438" s="121"/>
      <c r="C438" s="121"/>
      <c r="D438" s="121"/>
      <c r="E438" s="121"/>
      <c r="F438" s="121"/>
      <c r="G438" s="121"/>
      <c r="H438" s="121"/>
      <c r="I438" s="121"/>
      <c r="J438" s="121"/>
      <c r="K438" s="121"/>
      <c r="L438" s="121"/>
      <c r="M438" s="121"/>
      <c r="N438" s="121"/>
      <c r="O438" s="121"/>
      <c r="P438" s="121"/>
      <c r="Q438" s="121"/>
      <c r="R438" s="121"/>
      <c r="S438" s="121"/>
      <c r="T438" s="121"/>
      <c r="U438" s="121"/>
      <c r="V438" s="121"/>
      <c r="W438" s="121"/>
      <c r="X438" s="121"/>
      <c r="Y438" s="121"/>
      <c r="Z438" s="121"/>
    </row>
    <row r="439" customFormat="false" ht="15.75" hidden="false" customHeight="false" outlineLevel="0" collapsed="false">
      <c r="A439" s="121"/>
      <c r="B439" s="121"/>
      <c r="C439" s="121"/>
      <c r="D439" s="121"/>
      <c r="E439" s="121"/>
      <c r="F439" s="121"/>
      <c r="G439" s="121"/>
      <c r="H439" s="121"/>
      <c r="I439" s="121"/>
      <c r="J439" s="121"/>
      <c r="K439" s="121"/>
      <c r="L439" s="121"/>
      <c r="M439" s="121"/>
      <c r="N439" s="121"/>
      <c r="O439" s="121"/>
      <c r="P439" s="121"/>
      <c r="Q439" s="121"/>
      <c r="R439" s="121"/>
      <c r="S439" s="121"/>
      <c r="T439" s="121"/>
      <c r="U439" s="121"/>
      <c r="V439" s="121"/>
      <c r="W439" s="121"/>
      <c r="X439" s="121"/>
      <c r="Y439" s="121"/>
      <c r="Z439" s="121"/>
    </row>
    <row r="440" customFormat="false" ht="15.75" hidden="false" customHeight="false" outlineLevel="0" collapsed="false">
      <c r="A440" s="121"/>
      <c r="B440" s="121"/>
      <c r="C440" s="121"/>
      <c r="D440" s="121"/>
      <c r="E440" s="121"/>
      <c r="F440" s="121"/>
      <c r="G440" s="121"/>
      <c r="H440" s="121"/>
      <c r="I440" s="121"/>
      <c r="J440" s="121"/>
      <c r="K440" s="121"/>
      <c r="L440" s="121"/>
      <c r="M440" s="121"/>
      <c r="N440" s="121"/>
      <c r="O440" s="121"/>
      <c r="P440" s="121"/>
      <c r="Q440" s="121"/>
      <c r="R440" s="121"/>
      <c r="S440" s="121"/>
      <c r="T440" s="121"/>
      <c r="U440" s="121"/>
      <c r="V440" s="121"/>
      <c r="W440" s="121"/>
      <c r="X440" s="121"/>
      <c r="Y440" s="121"/>
      <c r="Z440" s="121"/>
    </row>
    <row r="441" customFormat="false" ht="15.75" hidden="false" customHeight="false" outlineLevel="0" collapsed="false">
      <c r="A441" s="121"/>
      <c r="B441" s="121"/>
      <c r="C441" s="121"/>
      <c r="D441" s="121"/>
      <c r="E441" s="121"/>
      <c r="F441" s="121"/>
      <c r="G441" s="121"/>
      <c r="H441" s="121"/>
      <c r="I441" s="121"/>
      <c r="J441" s="121"/>
      <c r="K441" s="121"/>
      <c r="L441" s="121"/>
      <c r="M441" s="121"/>
      <c r="N441" s="121"/>
      <c r="O441" s="121"/>
      <c r="P441" s="121"/>
      <c r="Q441" s="121"/>
      <c r="R441" s="121"/>
      <c r="S441" s="121"/>
      <c r="T441" s="121"/>
      <c r="U441" s="121"/>
      <c r="V441" s="121"/>
      <c r="W441" s="121"/>
      <c r="X441" s="121"/>
      <c r="Y441" s="121"/>
      <c r="Z441" s="121"/>
    </row>
    <row r="442" customFormat="false" ht="15.75" hidden="false" customHeight="false" outlineLevel="0" collapsed="false">
      <c r="A442" s="121"/>
      <c r="B442" s="121"/>
      <c r="C442" s="121"/>
      <c r="D442" s="121"/>
      <c r="E442" s="121"/>
      <c r="F442" s="121"/>
      <c r="G442" s="121"/>
      <c r="H442" s="121"/>
      <c r="I442" s="121"/>
      <c r="J442" s="121"/>
      <c r="K442" s="121"/>
      <c r="L442" s="121"/>
      <c r="M442" s="121"/>
      <c r="N442" s="121"/>
      <c r="O442" s="121"/>
      <c r="P442" s="121"/>
      <c r="Q442" s="121"/>
      <c r="R442" s="121"/>
      <c r="S442" s="121"/>
      <c r="T442" s="121"/>
      <c r="U442" s="121"/>
      <c r="V442" s="121"/>
      <c r="W442" s="121"/>
      <c r="X442" s="121"/>
      <c r="Y442" s="121"/>
      <c r="Z442" s="121"/>
    </row>
    <row r="443" customFormat="false" ht="15.75" hidden="false" customHeight="false" outlineLevel="0" collapsed="false">
      <c r="A443" s="121"/>
      <c r="B443" s="121"/>
      <c r="C443" s="121"/>
      <c r="D443" s="121"/>
      <c r="E443" s="121"/>
      <c r="F443" s="121"/>
      <c r="G443" s="121"/>
      <c r="H443" s="121"/>
      <c r="I443" s="121"/>
      <c r="J443" s="121"/>
      <c r="K443" s="121"/>
      <c r="L443" s="121"/>
      <c r="M443" s="121"/>
      <c r="N443" s="121"/>
      <c r="O443" s="121"/>
      <c r="P443" s="121"/>
      <c r="Q443" s="121"/>
      <c r="R443" s="121"/>
      <c r="S443" s="121"/>
      <c r="T443" s="121"/>
      <c r="U443" s="121"/>
      <c r="V443" s="121"/>
      <c r="W443" s="121"/>
      <c r="X443" s="121"/>
      <c r="Y443" s="121"/>
      <c r="Z443" s="121"/>
    </row>
    <row r="444" customFormat="false" ht="15.75" hidden="false" customHeight="false" outlineLevel="0" collapsed="false">
      <c r="A444" s="121"/>
      <c r="B444" s="121"/>
      <c r="C444" s="121"/>
      <c r="D444" s="121"/>
      <c r="E444" s="121"/>
      <c r="F444" s="121"/>
      <c r="G444" s="121"/>
      <c r="H444" s="121"/>
      <c r="I444" s="121"/>
      <c r="J444" s="121"/>
      <c r="K444" s="121"/>
      <c r="L444" s="121"/>
      <c r="M444" s="121"/>
      <c r="N444" s="121"/>
      <c r="O444" s="121"/>
      <c r="P444" s="121"/>
      <c r="Q444" s="121"/>
      <c r="R444" s="121"/>
      <c r="S444" s="121"/>
      <c r="T444" s="121"/>
      <c r="U444" s="121"/>
      <c r="V444" s="121"/>
      <c r="W444" s="121"/>
      <c r="X444" s="121"/>
      <c r="Y444" s="121"/>
      <c r="Z444" s="121"/>
    </row>
    <row r="445" customFormat="false" ht="15.75" hidden="false" customHeight="false" outlineLevel="0" collapsed="false">
      <c r="A445" s="121"/>
      <c r="B445" s="121"/>
      <c r="C445" s="121"/>
      <c r="D445" s="121"/>
      <c r="E445" s="121"/>
      <c r="F445" s="121"/>
      <c r="G445" s="121"/>
      <c r="H445" s="121"/>
      <c r="I445" s="121"/>
      <c r="J445" s="121"/>
      <c r="K445" s="121"/>
      <c r="L445" s="121"/>
      <c r="M445" s="121"/>
      <c r="N445" s="121"/>
      <c r="O445" s="121"/>
      <c r="P445" s="121"/>
      <c r="Q445" s="121"/>
      <c r="R445" s="121"/>
      <c r="S445" s="121"/>
      <c r="T445" s="121"/>
      <c r="U445" s="121"/>
      <c r="V445" s="121"/>
      <c r="W445" s="121"/>
      <c r="X445" s="121"/>
      <c r="Y445" s="121"/>
      <c r="Z445" s="121"/>
    </row>
    <row r="446" customFormat="false" ht="15.75" hidden="false" customHeight="false" outlineLevel="0" collapsed="false">
      <c r="A446" s="121"/>
      <c r="B446" s="121"/>
      <c r="C446" s="121"/>
      <c r="D446" s="121"/>
      <c r="E446" s="121"/>
      <c r="F446" s="121"/>
      <c r="G446" s="121"/>
      <c r="H446" s="121"/>
      <c r="I446" s="121"/>
      <c r="J446" s="121"/>
      <c r="K446" s="121"/>
      <c r="L446" s="121"/>
      <c r="M446" s="121"/>
      <c r="N446" s="121"/>
      <c r="O446" s="121"/>
      <c r="P446" s="121"/>
      <c r="Q446" s="121"/>
      <c r="R446" s="121"/>
      <c r="S446" s="121"/>
      <c r="T446" s="121"/>
      <c r="U446" s="121"/>
      <c r="V446" s="121"/>
      <c r="W446" s="121"/>
      <c r="X446" s="121"/>
      <c r="Y446" s="121"/>
      <c r="Z446" s="121"/>
    </row>
    <row r="447" customFormat="false" ht="15.75" hidden="false" customHeight="false" outlineLevel="0" collapsed="false">
      <c r="A447" s="121"/>
      <c r="B447" s="121"/>
      <c r="C447" s="121"/>
      <c r="D447" s="121"/>
      <c r="E447" s="121"/>
      <c r="F447" s="121"/>
      <c r="G447" s="121"/>
      <c r="H447" s="121"/>
      <c r="I447" s="121"/>
      <c r="J447" s="121"/>
      <c r="K447" s="121"/>
      <c r="L447" s="121"/>
      <c r="M447" s="121"/>
      <c r="N447" s="121"/>
      <c r="O447" s="121"/>
      <c r="P447" s="121"/>
      <c r="Q447" s="121"/>
      <c r="R447" s="121"/>
      <c r="S447" s="121"/>
      <c r="T447" s="121"/>
      <c r="U447" s="121"/>
      <c r="V447" s="121"/>
      <c r="W447" s="121"/>
      <c r="X447" s="121"/>
      <c r="Y447" s="121"/>
      <c r="Z447" s="121"/>
    </row>
    <row r="448" customFormat="false" ht="15.75" hidden="false" customHeight="false" outlineLevel="0" collapsed="false">
      <c r="A448" s="121"/>
      <c r="B448" s="121"/>
      <c r="C448" s="121"/>
      <c r="D448" s="121"/>
      <c r="E448" s="121"/>
      <c r="F448" s="121"/>
      <c r="G448" s="121"/>
      <c r="H448" s="121"/>
      <c r="I448" s="121"/>
      <c r="J448" s="121"/>
      <c r="K448" s="121"/>
      <c r="L448" s="121"/>
      <c r="M448" s="121"/>
      <c r="N448" s="121"/>
      <c r="O448" s="121"/>
      <c r="P448" s="121"/>
      <c r="Q448" s="121"/>
      <c r="R448" s="121"/>
      <c r="S448" s="121"/>
      <c r="T448" s="121"/>
      <c r="U448" s="121"/>
      <c r="V448" s="121"/>
      <c r="W448" s="121"/>
      <c r="X448" s="121"/>
      <c r="Y448" s="121"/>
      <c r="Z448" s="121"/>
    </row>
    <row r="449" customFormat="false" ht="15.75" hidden="false" customHeight="false" outlineLevel="0" collapsed="false">
      <c r="A449" s="121"/>
      <c r="B449" s="121"/>
      <c r="C449" s="121"/>
      <c r="D449" s="121"/>
      <c r="E449" s="121"/>
      <c r="F449" s="121"/>
      <c r="G449" s="121"/>
      <c r="H449" s="121"/>
      <c r="I449" s="121"/>
      <c r="J449" s="121"/>
      <c r="K449" s="121"/>
      <c r="L449" s="121"/>
      <c r="M449" s="121"/>
      <c r="N449" s="121"/>
      <c r="O449" s="121"/>
      <c r="P449" s="121"/>
      <c r="Q449" s="121"/>
      <c r="R449" s="121"/>
      <c r="S449" s="121"/>
      <c r="T449" s="121"/>
      <c r="U449" s="121"/>
      <c r="V449" s="121"/>
      <c r="W449" s="121"/>
      <c r="X449" s="121"/>
      <c r="Y449" s="121"/>
      <c r="Z449" s="121"/>
    </row>
    <row r="450" customFormat="false" ht="15.75" hidden="false" customHeight="false" outlineLevel="0" collapsed="false">
      <c r="A450" s="121"/>
      <c r="B450" s="121"/>
      <c r="C450" s="121"/>
      <c r="D450" s="121"/>
      <c r="E450" s="121"/>
      <c r="F450" s="121"/>
      <c r="G450" s="121"/>
      <c r="H450" s="121"/>
      <c r="I450" s="121"/>
      <c r="J450" s="121"/>
      <c r="K450" s="121"/>
      <c r="L450" s="121"/>
      <c r="M450" s="121"/>
      <c r="N450" s="121"/>
      <c r="O450" s="121"/>
      <c r="P450" s="121"/>
      <c r="Q450" s="121"/>
      <c r="R450" s="121"/>
      <c r="S450" s="121"/>
      <c r="T450" s="121"/>
      <c r="U450" s="121"/>
      <c r="V450" s="121"/>
      <c r="W450" s="121"/>
      <c r="X450" s="121"/>
      <c r="Y450" s="121"/>
      <c r="Z450" s="121"/>
    </row>
    <row r="451" customFormat="false" ht="15.75" hidden="false" customHeight="false" outlineLevel="0" collapsed="false">
      <c r="A451" s="121"/>
      <c r="B451" s="121"/>
      <c r="C451" s="121"/>
      <c r="D451" s="121"/>
      <c r="E451" s="121"/>
      <c r="F451" s="121"/>
      <c r="G451" s="121"/>
      <c r="H451" s="121"/>
      <c r="I451" s="121"/>
      <c r="J451" s="121"/>
      <c r="K451" s="121"/>
      <c r="L451" s="121"/>
      <c r="M451" s="121"/>
      <c r="N451" s="121"/>
      <c r="O451" s="121"/>
      <c r="P451" s="121"/>
      <c r="Q451" s="121"/>
      <c r="R451" s="121"/>
      <c r="S451" s="121"/>
      <c r="T451" s="121"/>
      <c r="U451" s="121"/>
      <c r="V451" s="121"/>
      <c r="W451" s="121"/>
      <c r="X451" s="121"/>
      <c r="Y451" s="121"/>
      <c r="Z451" s="121"/>
    </row>
    <row r="452" customFormat="false" ht="15.75" hidden="false" customHeight="false" outlineLevel="0" collapsed="false">
      <c r="A452" s="121"/>
      <c r="B452" s="121"/>
      <c r="C452" s="121"/>
      <c r="D452" s="121"/>
      <c r="E452" s="121"/>
      <c r="F452" s="121"/>
      <c r="G452" s="121"/>
      <c r="H452" s="121"/>
      <c r="I452" s="121"/>
      <c r="J452" s="121"/>
      <c r="K452" s="121"/>
      <c r="L452" s="121"/>
      <c r="M452" s="121"/>
      <c r="N452" s="121"/>
      <c r="O452" s="121"/>
      <c r="P452" s="121"/>
      <c r="Q452" s="121"/>
      <c r="R452" s="121"/>
      <c r="S452" s="121"/>
      <c r="T452" s="121"/>
      <c r="U452" s="121"/>
      <c r="V452" s="121"/>
      <c r="W452" s="121"/>
      <c r="X452" s="121"/>
      <c r="Y452" s="121"/>
      <c r="Z452" s="121"/>
    </row>
    <row r="453" customFormat="false" ht="15.75" hidden="false" customHeight="false" outlineLevel="0" collapsed="false">
      <c r="A453" s="121"/>
      <c r="B453" s="121"/>
      <c r="C453" s="121"/>
      <c r="D453" s="121"/>
      <c r="E453" s="121"/>
      <c r="F453" s="121"/>
      <c r="G453" s="121"/>
      <c r="H453" s="121"/>
      <c r="I453" s="121"/>
      <c r="J453" s="121"/>
      <c r="K453" s="121"/>
      <c r="L453" s="121"/>
      <c r="M453" s="121"/>
      <c r="N453" s="121"/>
      <c r="O453" s="121"/>
      <c r="P453" s="121"/>
      <c r="Q453" s="121"/>
      <c r="R453" s="121"/>
      <c r="S453" s="121"/>
      <c r="T453" s="121"/>
      <c r="U453" s="121"/>
      <c r="V453" s="121"/>
      <c r="W453" s="121"/>
      <c r="X453" s="121"/>
      <c r="Y453" s="121"/>
      <c r="Z453" s="121"/>
    </row>
    <row r="454" customFormat="false" ht="15.75" hidden="false" customHeight="false" outlineLevel="0" collapsed="false">
      <c r="A454" s="121"/>
      <c r="B454" s="121"/>
      <c r="C454" s="121"/>
      <c r="D454" s="121"/>
      <c r="E454" s="121"/>
      <c r="F454" s="121"/>
      <c r="G454" s="121"/>
      <c r="H454" s="121"/>
      <c r="I454" s="121"/>
      <c r="J454" s="121"/>
      <c r="K454" s="121"/>
      <c r="L454" s="121"/>
      <c r="M454" s="121"/>
      <c r="N454" s="121"/>
      <c r="O454" s="121"/>
      <c r="P454" s="121"/>
      <c r="Q454" s="121"/>
      <c r="R454" s="121"/>
      <c r="S454" s="121"/>
      <c r="T454" s="121"/>
      <c r="U454" s="121"/>
      <c r="V454" s="121"/>
      <c r="W454" s="121"/>
      <c r="X454" s="121"/>
      <c r="Y454" s="121"/>
      <c r="Z454" s="121"/>
    </row>
    <row r="455" customFormat="false" ht="15.75" hidden="false" customHeight="false" outlineLevel="0" collapsed="false">
      <c r="A455" s="121"/>
      <c r="B455" s="121"/>
      <c r="C455" s="121"/>
      <c r="D455" s="121"/>
      <c r="E455" s="121"/>
      <c r="F455" s="121"/>
      <c r="G455" s="121"/>
      <c r="H455" s="121"/>
      <c r="I455" s="121"/>
      <c r="J455" s="121"/>
      <c r="K455" s="121"/>
      <c r="L455" s="121"/>
      <c r="M455" s="121"/>
      <c r="N455" s="121"/>
      <c r="O455" s="121"/>
      <c r="P455" s="121"/>
      <c r="Q455" s="121"/>
      <c r="R455" s="121"/>
      <c r="S455" s="121"/>
      <c r="T455" s="121"/>
      <c r="U455" s="121"/>
      <c r="V455" s="121"/>
      <c r="W455" s="121"/>
      <c r="X455" s="121"/>
      <c r="Y455" s="121"/>
      <c r="Z455" s="121"/>
    </row>
    <row r="456" customFormat="false" ht="15.75" hidden="false" customHeight="false" outlineLevel="0" collapsed="false">
      <c r="A456" s="121"/>
      <c r="B456" s="121"/>
      <c r="C456" s="121"/>
      <c r="D456" s="121"/>
      <c r="E456" s="121"/>
      <c r="F456" s="121"/>
      <c r="G456" s="121"/>
      <c r="H456" s="121"/>
      <c r="I456" s="121"/>
      <c r="J456" s="121"/>
      <c r="K456" s="121"/>
      <c r="L456" s="121"/>
      <c r="M456" s="121"/>
      <c r="N456" s="121"/>
      <c r="O456" s="121"/>
      <c r="P456" s="121"/>
      <c r="Q456" s="121"/>
      <c r="R456" s="121"/>
      <c r="S456" s="121"/>
      <c r="T456" s="121"/>
      <c r="U456" s="121"/>
      <c r="V456" s="121"/>
      <c r="W456" s="121"/>
      <c r="X456" s="121"/>
      <c r="Y456" s="121"/>
      <c r="Z456" s="121"/>
    </row>
    <row r="457" customFormat="false" ht="15.75" hidden="false" customHeight="false" outlineLevel="0" collapsed="false">
      <c r="A457" s="121"/>
      <c r="B457" s="121"/>
      <c r="C457" s="121"/>
      <c r="D457" s="121"/>
      <c r="E457" s="121"/>
      <c r="F457" s="121"/>
      <c r="G457" s="121"/>
      <c r="H457" s="121"/>
      <c r="I457" s="121"/>
      <c r="J457" s="121"/>
      <c r="K457" s="121"/>
      <c r="L457" s="121"/>
      <c r="M457" s="121"/>
      <c r="N457" s="121"/>
      <c r="O457" s="121"/>
      <c r="P457" s="121"/>
      <c r="Q457" s="121"/>
      <c r="R457" s="121"/>
      <c r="S457" s="121"/>
      <c r="T457" s="121"/>
      <c r="U457" s="121"/>
      <c r="V457" s="121"/>
      <c r="W457" s="121"/>
      <c r="X457" s="121"/>
      <c r="Y457" s="121"/>
      <c r="Z457" s="121"/>
    </row>
    <row r="458" customFormat="false" ht="15.75" hidden="false" customHeight="false" outlineLevel="0" collapsed="false">
      <c r="A458" s="121"/>
      <c r="B458" s="121"/>
      <c r="C458" s="121"/>
      <c r="D458" s="121"/>
      <c r="E458" s="121"/>
      <c r="F458" s="121"/>
      <c r="G458" s="121"/>
      <c r="H458" s="121"/>
      <c r="I458" s="121"/>
      <c r="J458" s="121"/>
      <c r="K458" s="121"/>
      <c r="L458" s="121"/>
      <c r="M458" s="121"/>
      <c r="N458" s="121"/>
      <c r="O458" s="121"/>
      <c r="P458" s="121"/>
      <c r="Q458" s="121"/>
      <c r="R458" s="121"/>
      <c r="S458" s="121"/>
      <c r="T458" s="121"/>
      <c r="U458" s="121"/>
      <c r="V458" s="121"/>
      <c r="W458" s="121"/>
      <c r="X458" s="121"/>
      <c r="Y458" s="121"/>
      <c r="Z458" s="121"/>
    </row>
    <row r="459" customFormat="false" ht="15.75" hidden="false" customHeight="false" outlineLevel="0" collapsed="false">
      <c r="A459" s="121"/>
      <c r="B459" s="121"/>
      <c r="C459" s="121"/>
      <c r="D459" s="121"/>
      <c r="E459" s="121"/>
      <c r="F459" s="121"/>
      <c r="G459" s="121"/>
      <c r="H459" s="121"/>
      <c r="I459" s="121"/>
      <c r="J459" s="121"/>
      <c r="K459" s="121"/>
      <c r="L459" s="121"/>
      <c r="M459" s="121"/>
      <c r="N459" s="121"/>
      <c r="O459" s="121"/>
      <c r="P459" s="121"/>
      <c r="Q459" s="121"/>
      <c r="R459" s="121"/>
      <c r="S459" s="121"/>
      <c r="T459" s="121"/>
      <c r="U459" s="121"/>
      <c r="V459" s="121"/>
      <c r="W459" s="121"/>
      <c r="X459" s="121"/>
      <c r="Y459" s="121"/>
      <c r="Z459" s="121"/>
    </row>
    <row r="460" customFormat="false" ht="15.75" hidden="false" customHeight="false" outlineLevel="0" collapsed="false">
      <c r="A460" s="121"/>
      <c r="B460" s="121"/>
      <c r="C460" s="121"/>
      <c r="D460" s="121"/>
      <c r="E460" s="121"/>
      <c r="F460" s="121"/>
      <c r="G460" s="121"/>
      <c r="H460" s="121"/>
      <c r="I460" s="121"/>
      <c r="J460" s="121"/>
      <c r="K460" s="121"/>
      <c r="L460" s="121"/>
      <c r="M460" s="121"/>
      <c r="N460" s="121"/>
      <c r="O460" s="121"/>
      <c r="P460" s="121"/>
      <c r="Q460" s="121"/>
      <c r="R460" s="121"/>
      <c r="S460" s="121"/>
      <c r="T460" s="121"/>
      <c r="U460" s="121"/>
      <c r="V460" s="121"/>
      <c r="W460" s="121"/>
      <c r="X460" s="121"/>
      <c r="Y460" s="121"/>
      <c r="Z460" s="121"/>
    </row>
    <row r="461" customFormat="false" ht="15.75" hidden="false" customHeight="false" outlineLevel="0" collapsed="false">
      <c r="A461" s="121"/>
      <c r="B461" s="121"/>
      <c r="C461" s="121"/>
      <c r="D461" s="121"/>
      <c r="E461" s="121"/>
      <c r="F461" s="121"/>
      <c r="G461" s="121"/>
      <c r="H461" s="121"/>
      <c r="I461" s="121"/>
      <c r="J461" s="121"/>
      <c r="K461" s="121"/>
      <c r="L461" s="121"/>
      <c r="M461" s="121"/>
      <c r="N461" s="121"/>
      <c r="O461" s="121"/>
      <c r="P461" s="121"/>
      <c r="Q461" s="121"/>
      <c r="R461" s="121"/>
      <c r="S461" s="121"/>
      <c r="T461" s="121"/>
      <c r="U461" s="121"/>
      <c r="V461" s="121"/>
      <c r="W461" s="121"/>
      <c r="X461" s="121"/>
      <c r="Y461" s="121"/>
      <c r="Z461" s="121"/>
    </row>
    <row r="462" customFormat="false" ht="15.75" hidden="false" customHeight="false" outlineLevel="0" collapsed="false">
      <c r="A462" s="121"/>
      <c r="B462" s="121"/>
      <c r="C462" s="121"/>
      <c r="D462" s="121"/>
      <c r="E462" s="121"/>
      <c r="F462" s="121"/>
      <c r="G462" s="121"/>
      <c r="H462" s="121"/>
      <c r="I462" s="121"/>
      <c r="J462" s="121"/>
      <c r="K462" s="121"/>
      <c r="L462" s="121"/>
      <c r="M462" s="121"/>
      <c r="N462" s="121"/>
      <c r="O462" s="121"/>
      <c r="P462" s="121"/>
      <c r="Q462" s="121"/>
      <c r="R462" s="121"/>
      <c r="S462" s="121"/>
      <c r="T462" s="121"/>
      <c r="U462" s="121"/>
      <c r="V462" s="121"/>
      <c r="W462" s="121"/>
      <c r="X462" s="121"/>
      <c r="Y462" s="121"/>
      <c r="Z462" s="121"/>
    </row>
    <row r="463" customFormat="false" ht="15.75" hidden="false" customHeight="false" outlineLevel="0" collapsed="false">
      <c r="A463" s="121"/>
      <c r="B463" s="121"/>
      <c r="C463" s="121"/>
      <c r="D463" s="121"/>
      <c r="E463" s="121"/>
      <c r="F463" s="121"/>
      <c r="G463" s="121"/>
      <c r="H463" s="121"/>
      <c r="I463" s="121"/>
      <c r="J463" s="121"/>
      <c r="K463" s="121"/>
      <c r="L463" s="121"/>
      <c r="M463" s="121"/>
      <c r="N463" s="121"/>
      <c r="O463" s="121"/>
      <c r="P463" s="121"/>
      <c r="Q463" s="121"/>
      <c r="R463" s="121"/>
      <c r="S463" s="121"/>
      <c r="T463" s="121"/>
      <c r="U463" s="121"/>
      <c r="V463" s="121"/>
      <c r="W463" s="121"/>
      <c r="X463" s="121"/>
      <c r="Y463" s="121"/>
      <c r="Z463" s="121"/>
    </row>
    <row r="464" customFormat="false" ht="15.75" hidden="false" customHeight="false" outlineLevel="0" collapsed="false">
      <c r="A464" s="121"/>
      <c r="B464" s="121"/>
      <c r="C464" s="121"/>
      <c r="D464" s="121"/>
      <c r="E464" s="121"/>
      <c r="F464" s="121"/>
      <c r="G464" s="121"/>
      <c r="H464" s="121"/>
      <c r="I464" s="121"/>
      <c r="J464" s="121"/>
      <c r="K464" s="121"/>
      <c r="L464" s="121"/>
      <c r="M464" s="121"/>
      <c r="N464" s="121"/>
      <c r="O464" s="121"/>
      <c r="P464" s="121"/>
      <c r="Q464" s="121"/>
      <c r="R464" s="121"/>
      <c r="S464" s="121"/>
      <c r="T464" s="121"/>
      <c r="U464" s="121"/>
      <c r="V464" s="121"/>
      <c r="W464" s="121"/>
      <c r="X464" s="121"/>
      <c r="Y464" s="121"/>
      <c r="Z464" s="121"/>
    </row>
    <row r="465" customFormat="false" ht="15.75" hidden="false" customHeight="false" outlineLevel="0" collapsed="false">
      <c r="A465" s="121"/>
      <c r="B465" s="121"/>
      <c r="C465" s="121"/>
      <c r="D465" s="121"/>
      <c r="E465" s="121"/>
      <c r="F465" s="121"/>
      <c r="G465" s="121"/>
      <c r="H465" s="121"/>
      <c r="I465" s="121"/>
      <c r="J465" s="121"/>
      <c r="K465" s="121"/>
      <c r="L465" s="121"/>
      <c r="M465" s="121"/>
      <c r="N465" s="121"/>
      <c r="O465" s="121"/>
      <c r="P465" s="121"/>
      <c r="Q465" s="121"/>
      <c r="R465" s="121"/>
      <c r="S465" s="121"/>
      <c r="T465" s="121"/>
      <c r="U465" s="121"/>
      <c r="V465" s="121"/>
      <c r="W465" s="121"/>
      <c r="X465" s="121"/>
      <c r="Y465" s="121"/>
      <c r="Z465" s="121"/>
    </row>
    <row r="466" customFormat="false" ht="15.75" hidden="false" customHeight="false" outlineLevel="0" collapsed="false">
      <c r="A466" s="121"/>
      <c r="B466" s="121"/>
      <c r="C466" s="121"/>
      <c r="D466" s="121"/>
      <c r="E466" s="121"/>
      <c r="F466" s="121"/>
      <c r="G466" s="121"/>
      <c r="H466" s="121"/>
      <c r="I466" s="121"/>
      <c r="J466" s="121"/>
      <c r="K466" s="121"/>
      <c r="L466" s="121"/>
      <c r="M466" s="121"/>
      <c r="N466" s="121"/>
      <c r="O466" s="121"/>
      <c r="P466" s="121"/>
      <c r="Q466" s="121"/>
      <c r="R466" s="121"/>
      <c r="S466" s="121"/>
      <c r="T466" s="121"/>
      <c r="U466" s="121"/>
      <c r="V466" s="121"/>
      <c r="W466" s="121"/>
      <c r="X466" s="121"/>
      <c r="Y466" s="121"/>
      <c r="Z466" s="121"/>
    </row>
    <row r="467" customFormat="false" ht="15.75" hidden="false" customHeight="false" outlineLevel="0" collapsed="false">
      <c r="A467" s="121"/>
      <c r="B467" s="121"/>
      <c r="C467" s="121"/>
      <c r="D467" s="121"/>
      <c r="E467" s="121"/>
      <c r="F467" s="121"/>
      <c r="G467" s="121"/>
      <c r="H467" s="121"/>
      <c r="I467" s="121"/>
      <c r="J467" s="121"/>
      <c r="K467" s="121"/>
      <c r="L467" s="121"/>
      <c r="M467" s="121"/>
      <c r="N467" s="121"/>
      <c r="O467" s="121"/>
      <c r="P467" s="121"/>
      <c r="Q467" s="121"/>
      <c r="R467" s="121"/>
      <c r="S467" s="121"/>
      <c r="T467" s="121"/>
      <c r="U467" s="121"/>
      <c r="V467" s="121"/>
      <c r="W467" s="121"/>
      <c r="X467" s="121"/>
      <c r="Y467" s="121"/>
      <c r="Z467" s="121"/>
    </row>
    <row r="468" customFormat="false" ht="15.75" hidden="false" customHeight="false" outlineLevel="0" collapsed="false">
      <c r="A468" s="121"/>
      <c r="B468" s="121"/>
      <c r="C468" s="121"/>
      <c r="D468" s="121"/>
      <c r="E468" s="121"/>
      <c r="F468" s="121"/>
      <c r="G468" s="121"/>
      <c r="H468" s="121"/>
      <c r="I468" s="121"/>
      <c r="J468" s="121"/>
      <c r="K468" s="121"/>
      <c r="L468" s="121"/>
      <c r="M468" s="121"/>
      <c r="N468" s="121"/>
      <c r="O468" s="121"/>
      <c r="P468" s="121"/>
      <c r="Q468" s="121"/>
      <c r="R468" s="121"/>
      <c r="S468" s="121"/>
      <c r="T468" s="121"/>
      <c r="U468" s="121"/>
      <c r="V468" s="121"/>
      <c r="W468" s="121"/>
      <c r="X468" s="121"/>
      <c r="Y468" s="121"/>
      <c r="Z468" s="121"/>
    </row>
    <row r="469" customFormat="false" ht="15.75" hidden="false" customHeight="false" outlineLevel="0" collapsed="false">
      <c r="A469" s="121"/>
      <c r="B469" s="121"/>
      <c r="C469" s="121"/>
      <c r="D469" s="121"/>
      <c r="E469" s="121"/>
      <c r="F469" s="121"/>
      <c r="G469" s="121"/>
      <c r="H469" s="121"/>
      <c r="I469" s="121"/>
      <c r="J469" s="121"/>
      <c r="K469" s="121"/>
      <c r="L469" s="121"/>
      <c r="M469" s="121"/>
      <c r="N469" s="121"/>
      <c r="O469" s="121"/>
      <c r="P469" s="121"/>
      <c r="Q469" s="121"/>
      <c r="R469" s="121"/>
      <c r="S469" s="121"/>
      <c r="T469" s="121"/>
      <c r="U469" s="121"/>
      <c r="V469" s="121"/>
      <c r="W469" s="121"/>
      <c r="X469" s="121"/>
      <c r="Y469" s="121"/>
      <c r="Z469" s="121"/>
    </row>
    <row r="470" customFormat="false" ht="15.75" hidden="false" customHeight="false" outlineLevel="0" collapsed="false">
      <c r="A470" s="121"/>
      <c r="B470" s="121"/>
      <c r="C470" s="121"/>
      <c r="D470" s="121"/>
      <c r="E470" s="121"/>
      <c r="F470" s="121"/>
      <c r="G470" s="121"/>
      <c r="H470" s="121"/>
      <c r="I470" s="121"/>
      <c r="J470" s="121"/>
      <c r="K470" s="121"/>
      <c r="L470" s="121"/>
      <c r="M470" s="121"/>
      <c r="N470" s="121"/>
      <c r="O470" s="121"/>
      <c r="P470" s="121"/>
      <c r="Q470" s="121"/>
      <c r="R470" s="121"/>
      <c r="S470" s="121"/>
      <c r="T470" s="121"/>
      <c r="U470" s="121"/>
      <c r="V470" s="121"/>
      <c r="W470" s="121"/>
      <c r="X470" s="121"/>
      <c r="Y470" s="121"/>
      <c r="Z470" s="121"/>
    </row>
    <row r="471" customFormat="false" ht="15.75" hidden="false" customHeight="false" outlineLevel="0" collapsed="false">
      <c r="A471" s="121"/>
      <c r="B471" s="121"/>
      <c r="C471" s="121"/>
      <c r="D471" s="121"/>
      <c r="E471" s="121"/>
      <c r="F471" s="121"/>
      <c r="G471" s="121"/>
      <c r="H471" s="121"/>
      <c r="I471" s="121"/>
      <c r="J471" s="121"/>
      <c r="K471" s="121"/>
      <c r="L471" s="121"/>
      <c r="M471" s="121"/>
      <c r="N471" s="121"/>
      <c r="O471" s="121"/>
      <c r="P471" s="121"/>
      <c r="Q471" s="121"/>
      <c r="R471" s="121"/>
      <c r="S471" s="121"/>
      <c r="T471" s="121"/>
      <c r="U471" s="121"/>
      <c r="V471" s="121"/>
      <c r="W471" s="121"/>
      <c r="X471" s="121"/>
      <c r="Y471" s="121"/>
      <c r="Z471" s="121"/>
    </row>
    <row r="472" customFormat="false" ht="15.75" hidden="false" customHeight="false" outlineLevel="0" collapsed="false">
      <c r="A472" s="121"/>
      <c r="B472" s="121"/>
      <c r="C472" s="121"/>
      <c r="D472" s="121"/>
      <c r="E472" s="121"/>
      <c r="F472" s="121"/>
      <c r="G472" s="121"/>
      <c r="H472" s="121"/>
      <c r="I472" s="121"/>
      <c r="J472" s="121"/>
      <c r="K472" s="121"/>
      <c r="L472" s="121"/>
      <c r="M472" s="121"/>
      <c r="N472" s="121"/>
      <c r="O472" s="121"/>
      <c r="P472" s="121"/>
      <c r="Q472" s="121"/>
      <c r="R472" s="121"/>
      <c r="S472" s="121"/>
      <c r="T472" s="121"/>
      <c r="U472" s="121"/>
      <c r="V472" s="121"/>
      <c r="W472" s="121"/>
      <c r="X472" s="121"/>
      <c r="Y472" s="121"/>
      <c r="Z472" s="121"/>
    </row>
    <row r="473" customFormat="false" ht="15.75" hidden="false" customHeight="false" outlineLevel="0" collapsed="false">
      <c r="A473" s="121"/>
      <c r="B473" s="121"/>
      <c r="C473" s="121"/>
      <c r="D473" s="121"/>
      <c r="E473" s="121"/>
      <c r="F473" s="121"/>
      <c r="G473" s="121"/>
      <c r="H473" s="121"/>
      <c r="I473" s="121"/>
      <c r="J473" s="121"/>
      <c r="K473" s="121"/>
      <c r="L473" s="121"/>
      <c r="M473" s="121"/>
      <c r="N473" s="121"/>
      <c r="O473" s="121"/>
      <c r="P473" s="121"/>
      <c r="Q473" s="121"/>
      <c r="R473" s="121"/>
      <c r="S473" s="121"/>
      <c r="T473" s="121"/>
      <c r="U473" s="121"/>
      <c r="V473" s="121"/>
      <c r="W473" s="121"/>
      <c r="X473" s="121"/>
      <c r="Y473" s="121"/>
      <c r="Z473" s="121"/>
    </row>
    <row r="474" customFormat="false" ht="15.75" hidden="false" customHeight="false" outlineLevel="0" collapsed="false">
      <c r="A474" s="121"/>
      <c r="B474" s="121"/>
      <c r="C474" s="121"/>
      <c r="D474" s="121"/>
      <c r="E474" s="121"/>
      <c r="F474" s="121"/>
      <c r="G474" s="121"/>
      <c r="H474" s="121"/>
      <c r="I474" s="121"/>
      <c r="J474" s="121"/>
      <c r="K474" s="121"/>
      <c r="L474" s="121"/>
      <c r="M474" s="121"/>
      <c r="N474" s="121"/>
      <c r="O474" s="121"/>
      <c r="P474" s="121"/>
      <c r="Q474" s="121"/>
      <c r="R474" s="121"/>
      <c r="S474" s="121"/>
      <c r="T474" s="121"/>
      <c r="U474" s="121"/>
      <c r="V474" s="121"/>
      <c r="W474" s="121"/>
      <c r="X474" s="121"/>
      <c r="Y474" s="121"/>
      <c r="Z474" s="121"/>
    </row>
    <row r="475" customFormat="false" ht="15.75" hidden="false" customHeight="false" outlineLevel="0" collapsed="false">
      <c r="A475" s="121"/>
      <c r="B475" s="121"/>
      <c r="C475" s="121"/>
      <c r="D475" s="121"/>
      <c r="E475" s="121"/>
      <c r="F475" s="121"/>
      <c r="G475" s="121"/>
      <c r="H475" s="121"/>
      <c r="I475" s="121"/>
      <c r="J475" s="121"/>
      <c r="K475" s="121"/>
      <c r="L475" s="121"/>
      <c r="M475" s="121"/>
      <c r="N475" s="121"/>
      <c r="O475" s="121"/>
      <c r="P475" s="121"/>
      <c r="Q475" s="121"/>
      <c r="R475" s="121"/>
      <c r="S475" s="121"/>
      <c r="T475" s="121"/>
      <c r="U475" s="121"/>
      <c r="V475" s="121"/>
      <c r="W475" s="121"/>
      <c r="X475" s="121"/>
      <c r="Y475" s="121"/>
      <c r="Z475" s="121"/>
    </row>
    <row r="476" customFormat="false" ht="15.75" hidden="false" customHeight="false" outlineLevel="0" collapsed="false">
      <c r="A476" s="121"/>
      <c r="B476" s="121"/>
      <c r="C476" s="121"/>
      <c r="D476" s="121"/>
      <c r="E476" s="121"/>
      <c r="F476" s="121"/>
      <c r="G476" s="121"/>
      <c r="H476" s="121"/>
      <c r="I476" s="121"/>
      <c r="J476" s="121"/>
      <c r="K476" s="121"/>
      <c r="L476" s="121"/>
      <c r="M476" s="121"/>
      <c r="N476" s="121"/>
      <c r="O476" s="121"/>
      <c r="P476" s="121"/>
      <c r="Q476" s="121"/>
      <c r="R476" s="121"/>
      <c r="S476" s="121"/>
      <c r="T476" s="121"/>
      <c r="U476" s="121"/>
      <c r="V476" s="121"/>
      <c r="W476" s="121"/>
      <c r="X476" s="121"/>
      <c r="Y476" s="121"/>
      <c r="Z476" s="121"/>
    </row>
    <row r="477" customFormat="false" ht="15.75" hidden="false" customHeight="false" outlineLevel="0" collapsed="false">
      <c r="A477" s="121"/>
      <c r="B477" s="121"/>
      <c r="C477" s="121"/>
      <c r="D477" s="121"/>
      <c r="E477" s="121"/>
      <c r="F477" s="121"/>
      <c r="G477" s="121"/>
      <c r="H477" s="121"/>
      <c r="I477" s="121"/>
      <c r="J477" s="121"/>
      <c r="K477" s="121"/>
      <c r="L477" s="121"/>
      <c r="M477" s="121"/>
      <c r="N477" s="121"/>
      <c r="O477" s="121"/>
      <c r="P477" s="121"/>
      <c r="Q477" s="121"/>
      <c r="R477" s="121"/>
      <c r="S477" s="121"/>
      <c r="T477" s="121"/>
      <c r="U477" s="121"/>
      <c r="V477" s="121"/>
      <c r="W477" s="121"/>
      <c r="X477" s="121"/>
      <c r="Y477" s="121"/>
      <c r="Z477" s="121"/>
    </row>
    <row r="478" customFormat="false" ht="15.75" hidden="false" customHeight="false" outlineLevel="0" collapsed="false">
      <c r="A478" s="121"/>
      <c r="B478" s="121"/>
      <c r="C478" s="121"/>
      <c r="D478" s="121"/>
      <c r="E478" s="121"/>
      <c r="F478" s="121"/>
      <c r="G478" s="121"/>
      <c r="H478" s="121"/>
      <c r="I478" s="121"/>
      <c r="J478" s="121"/>
      <c r="K478" s="121"/>
      <c r="L478" s="121"/>
      <c r="M478" s="121"/>
      <c r="N478" s="121"/>
      <c r="O478" s="121"/>
      <c r="P478" s="121"/>
      <c r="Q478" s="121"/>
      <c r="R478" s="121"/>
      <c r="S478" s="121"/>
      <c r="T478" s="121"/>
      <c r="U478" s="121"/>
      <c r="V478" s="121"/>
      <c r="W478" s="121"/>
      <c r="X478" s="121"/>
      <c r="Y478" s="121"/>
      <c r="Z478" s="121"/>
    </row>
    <row r="479" customFormat="false" ht="15.75" hidden="false" customHeight="false" outlineLevel="0" collapsed="false">
      <c r="A479" s="121"/>
      <c r="B479" s="121"/>
      <c r="C479" s="121"/>
      <c r="D479" s="121"/>
      <c r="E479" s="121"/>
      <c r="F479" s="121"/>
      <c r="G479" s="121"/>
      <c r="H479" s="121"/>
      <c r="I479" s="121"/>
      <c r="J479" s="121"/>
      <c r="K479" s="121"/>
      <c r="L479" s="121"/>
      <c r="M479" s="121"/>
      <c r="N479" s="121"/>
      <c r="O479" s="121"/>
      <c r="P479" s="121"/>
      <c r="Q479" s="121"/>
      <c r="R479" s="121"/>
      <c r="S479" s="121"/>
      <c r="T479" s="121"/>
      <c r="U479" s="121"/>
      <c r="V479" s="121"/>
      <c r="W479" s="121"/>
      <c r="X479" s="121"/>
      <c r="Y479" s="121"/>
      <c r="Z479" s="121"/>
    </row>
    <row r="480" customFormat="false" ht="15.75" hidden="false" customHeight="false" outlineLevel="0" collapsed="false">
      <c r="A480" s="121"/>
      <c r="B480" s="121"/>
      <c r="C480" s="121"/>
      <c r="D480" s="121"/>
      <c r="E480" s="121"/>
      <c r="F480" s="121"/>
      <c r="G480" s="121"/>
      <c r="H480" s="121"/>
      <c r="I480" s="121"/>
      <c r="J480" s="121"/>
      <c r="K480" s="121"/>
      <c r="L480" s="121"/>
      <c r="M480" s="121"/>
      <c r="N480" s="121"/>
      <c r="O480" s="121"/>
      <c r="P480" s="121"/>
      <c r="Q480" s="121"/>
      <c r="R480" s="121"/>
      <c r="S480" s="121"/>
      <c r="T480" s="121"/>
      <c r="U480" s="121"/>
      <c r="V480" s="121"/>
      <c r="W480" s="121"/>
      <c r="X480" s="121"/>
      <c r="Y480" s="121"/>
      <c r="Z480" s="121"/>
    </row>
    <row r="481" customFormat="false" ht="15.75" hidden="false" customHeight="false" outlineLevel="0" collapsed="false">
      <c r="A481" s="121"/>
      <c r="B481" s="121"/>
      <c r="C481" s="121"/>
      <c r="D481" s="121"/>
      <c r="E481" s="121"/>
      <c r="F481" s="121"/>
      <c r="G481" s="121"/>
      <c r="H481" s="121"/>
      <c r="I481" s="121"/>
      <c r="J481" s="121"/>
      <c r="K481" s="121"/>
      <c r="L481" s="121"/>
      <c r="M481" s="121"/>
      <c r="N481" s="121"/>
      <c r="O481" s="121"/>
      <c r="P481" s="121"/>
      <c r="Q481" s="121"/>
      <c r="R481" s="121"/>
      <c r="S481" s="121"/>
      <c r="T481" s="121"/>
      <c r="U481" s="121"/>
      <c r="V481" s="121"/>
      <c r="W481" s="121"/>
      <c r="X481" s="121"/>
      <c r="Y481" s="121"/>
      <c r="Z481" s="121"/>
    </row>
    <row r="482" customFormat="false" ht="15.75" hidden="false" customHeight="false" outlineLevel="0" collapsed="false">
      <c r="A482" s="121"/>
      <c r="B482" s="121"/>
      <c r="C482" s="121"/>
      <c r="D482" s="121"/>
      <c r="E482" s="121"/>
      <c r="F482" s="121"/>
      <c r="G482" s="121"/>
      <c r="H482" s="121"/>
      <c r="I482" s="121"/>
      <c r="J482" s="121"/>
      <c r="K482" s="121"/>
      <c r="L482" s="121"/>
      <c r="M482" s="121"/>
      <c r="N482" s="121"/>
      <c r="O482" s="121"/>
      <c r="P482" s="121"/>
      <c r="Q482" s="121"/>
      <c r="R482" s="121"/>
      <c r="S482" s="121"/>
      <c r="T482" s="121"/>
      <c r="U482" s="121"/>
      <c r="V482" s="121"/>
      <c r="W482" s="121"/>
      <c r="X482" s="121"/>
      <c r="Y482" s="121"/>
      <c r="Z482" s="121"/>
    </row>
    <row r="483" customFormat="false" ht="15.75" hidden="false" customHeight="false" outlineLevel="0" collapsed="false">
      <c r="A483" s="121"/>
      <c r="B483" s="121"/>
      <c r="C483" s="121"/>
      <c r="D483" s="121"/>
      <c r="E483" s="121"/>
      <c r="F483" s="121"/>
      <c r="G483" s="121"/>
      <c r="H483" s="121"/>
      <c r="I483" s="121"/>
      <c r="J483" s="121"/>
      <c r="K483" s="121"/>
      <c r="L483" s="121"/>
      <c r="M483" s="121"/>
      <c r="N483" s="121"/>
      <c r="O483" s="121"/>
      <c r="P483" s="121"/>
      <c r="Q483" s="121"/>
      <c r="R483" s="121"/>
      <c r="S483" s="121"/>
      <c r="T483" s="121"/>
      <c r="U483" s="121"/>
      <c r="V483" s="121"/>
      <c r="W483" s="121"/>
      <c r="X483" s="121"/>
      <c r="Y483" s="121"/>
      <c r="Z483" s="121"/>
    </row>
    <row r="484" customFormat="false" ht="15.75" hidden="false" customHeight="false" outlineLevel="0" collapsed="false">
      <c r="A484" s="121"/>
      <c r="B484" s="121"/>
      <c r="C484" s="121"/>
      <c r="D484" s="121"/>
      <c r="E484" s="121"/>
      <c r="F484" s="121"/>
      <c r="G484" s="121"/>
      <c r="H484" s="121"/>
      <c r="I484" s="121"/>
      <c r="J484" s="121"/>
      <c r="K484" s="121"/>
      <c r="L484" s="121"/>
      <c r="M484" s="121"/>
      <c r="N484" s="121"/>
      <c r="O484" s="121"/>
      <c r="P484" s="121"/>
      <c r="Q484" s="121"/>
      <c r="R484" s="121"/>
      <c r="S484" s="121"/>
      <c r="T484" s="121"/>
      <c r="U484" s="121"/>
      <c r="V484" s="121"/>
      <c r="W484" s="121"/>
      <c r="X484" s="121"/>
      <c r="Y484" s="121"/>
      <c r="Z484" s="121"/>
    </row>
    <row r="485" customFormat="false" ht="15.75" hidden="false" customHeight="false" outlineLevel="0" collapsed="false">
      <c r="A485" s="121"/>
      <c r="B485" s="121"/>
      <c r="C485" s="121"/>
      <c r="D485" s="121"/>
      <c r="E485" s="121"/>
      <c r="F485" s="121"/>
      <c r="G485" s="121"/>
      <c r="H485" s="121"/>
      <c r="I485" s="121"/>
      <c r="J485" s="121"/>
      <c r="K485" s="121"/>
      <c r="L485" s="121"/>
      <c r="M485" s="121"/>
      <c r="N485" s="121"/>
      <c r="O485" s="121"/>
      <c r="P485" s="121"/>
      <c r="Q485" s="121"/>
      <c r="R485" s="121"/>
      <c r="S485" s="121"/>
      <c r="T485" s="121"/>
      <c r="U485" s="121"/>
      <c r="V485" s="121"/>
      <c r="W485" s="121"/>
      <c r="X485" s="121"/>
      <c r="Y485" s="121"/>
      <c r="Z485" s="121"/>
    </row>
    <row r="486" customFormat="false" ht="15.75" hidden="false" customHeight="false" outlineLevel="0" collapsed="false">
      <c r="A486" s="121"/>
      <c r="B486" s="121"/>
      <c r="C486" s="121"/>
      <c r="D486" s="121"/>
      <c r="E486" s="121"/>
      <c r="F486" s="121"/>
      <c r="G486" s="121"/>
      <c r="H486" s="121"/>
      <c r="I486" s="121"/>
      <c r="J486" s="121"/>
      <c r="K486" s="121"/>
      <c r="L486" s="121"/>
      <c r="M486" s="121"/>
      <c r="N486" s="121"/>
      <c r="O486" s="121"/>
      <c r="P486" s="121"/>
      <c r="Q486" s="121"/>
      <c r="R486" s="121"/>
      <c r="S486" s="121"/>
      <c r="T486" s="121"/>
      <c r="U486" s="121"/>
      <c r="V486" s="121"/>
      <c r="W486" s="121"/>
      <c r="X486" s="121"/>
      <c r="Y486" s="121"/>
      <c r="Z486" s="121"/>
    </row>
    <row r="487" customFormat="false" ht="15.75" hidden="false" customHeight="false" outlineLevel="0" collapsed="false">
      <c r="A487" s="121"/>
      <c r="B487" s="121"/>
      <c r="C487" s="121"/>
      <c r="D487" s="121"/>
      <c r="E487" s="121"/>
      <c r="F487" s="121"/>
      <c r="G487" s="121"/>
      <c r="H487" s="121"/>
      <c r="I487" s="121"/>
      <c r="J487" s="121"/>
      <c r="K487" s="121"/>
      <c r="L487" s="121"/>
      <c r="M487" s="121"/>
      <c r="N487" s="121"/>
      <c r="O487" s="121"/>
      <c r="P487" s="121"/>
      <c r="Q487" s="121"/>
      <c r="R487" s="121"/>
      <c r="S487" s="121"/>
      <c r="T487" s="121"/>
      <c r="U487" s="121"/>
      <c r="V487" s="121"/>
      <c r="W487" s="121"/>
      <c r="X487" s="121"/>
      <c r="Y487" s="121"/>
      <c r="Z487" s="121"/>
    </row>
    <row r="488" customFormat="false" ht="15.75" hidden="false" customHeight="false" outlineLevel="0" collapsed="false">
      <c r="A488" s="121"/>
      <c r="B488" s="121"/>
      <c r="C488" s="121"/>
      <c r="D488" s="121"/>
      <c r="E488" s="121"/>
      <c r="F488" s="121"/>
      <c r="G488" s="121"/>
      <c r="H488" s="121"/>
      <c r="I488" s="121"/>
      <c r="J488" s="121"/>
      <c r="K488" s="121"/>
      <c r="L488" s="121"/>
      <c r="M488" s="121"/>
      <c r="N488" s="121"/>
      <c r="O488" s="121"/>
      <c r="P488" s="121"/>
      <c r="Q488" s="121"/>
      <c r="R488" s="121"/>
      <c r="S488" s="121"/>
      <c r="T488" s="121"/>
      <c r="U488" s="121"/>
      <c r="V488" s="121"/>
      <c r="W488" s="121"/>
      <c r="X488" s="121"/>
      <c r="Y488" s="121"/>
      <c r="Z488" s="121"/>
    </row>
    <row r="489" customFormat="false" ht="15.75" hidden="false" customHeight="false" outlineLevel="0" collapsed="false">
      <c r="A489" s="121"/>
      <c r="B489" s="121"/>
      <c r="C489" s="121"/>
      <c r="D489" s="121"/>
      <c r="E489" s="121"/>
      <c r="F489" s="121"/>
      <c r="G489" s="121"/>
      <c r="H489" s="121"/>
      <c r="I489" s="121"/>
      <c r="J489" s="121"/>
      <c r="K489" s="121"/>
      <c r="L489" s="121"/>
      <c r="M489" s="121"/>
      <c r="N489" s="121"/>
      <c r="O489" s="121"/>
      <c r="P489" s="121"/>
      <c r="Q489" s="121"/>
      <c r="R489" s="121"/>
      <c r="S489" s="121"/>
      <c r="T489" s="121"/>
      <c r="U489" s="121"/>
      <c r="V489" s="121"/>
      <c r="W489" s="121"/>
      <c r="X489" s="121"/>
      <c r="Y489" s="121"/>
      <c r="Z489" s="121"/>
    </row>
    <row r="490" customFormat="false" ht="15.75" hidden="false" customHeight="false" outlineLevel="0" collapsed="false">
      <c r="A490" s="121"/>
      <c r="B490" s="121"/>
      <c r="C490" s="121"/>
      <c r="D490" s="121"/>
      <c r="E490" s="121"/>
      <c r="F490" s="121"/>
      <c r="G490" s="121"/>
      <c r="H490" s="121"/>
      <c r="I490" s="121"/>
      <c r="J490" s="121"/>
      <c r="K490" s="121"/>
      <c r="L490" s="121"/>
      <c r="M490" s="121"/>
      <c r="N490" s="121"/>
      <c r="O490" s="121"/>
      <c r="P490" s="121"/>
      <c r="Q490" s="121"/>
      <c r="R490" s="121"/>
      <c r="S490" s="121"/>
      <c r="T490" s="121"/>
      <c r="U490" s="121"/>
      <c r="V490" s="121"/>
      <c r="W490" s="121"/>
      <c r="X490" s="121"/>
      <c r="Y490" s="121"/>
      <c r="Z490" s="121"/>
    </row>
    <row r="491" customFormat="false" ht="15.75" hidden="false" customHeight="false" outlineLevel="0" collapsed="false">
      <c r="A491" s="121"/>
      <c r="B491" s="121"/>
      <c r="C491" s="121"/>
      <c r="D491" s="121"/>
      <c r="E491" s="121"/>
      <c r="F491" s="121"/>
      <c r="G491" s="121"/>
      <c r="H491" s="121"/>
      <c r="I491" s="121"/>
      <c r="J491" s="121"/>
      <c r="K491" s="121"/>
      <c r="L491" s="121"/>
      <c r="M491" s="121"/>
      <c r="N491" s="121"/>
      <c r="O491" s="121"/>
      <c r="P491" s="121"/>
      <c r="Q491" s="121"/>
      <c r="R491" s="121"/>
      <c r="S491" s="121"/>
      <c r="T491" s="121"/>
      <c r="U491" s="121"/>
      <c r="V491" s="121"/>
      <c r="W491" s="121"/>
      <c r="X491" s="121"/>
      <c r="Y491" s="121"/>
      <c r="Z491" s="121"/>
    </row>
    <row r="492" customFormat="false" ht="15.75" hidden="false" customHeight="false" outlineLevel="0" collapsed="false">
      <c r="A492" s="121"/>
      <c r="B492" s="121"/>
      <c r="C492" s="121"/>
      <c r="D492" s="121"/>
      <c r="E492" s="121"/>
      <c r="F492" s="121"/>
      <c r="G492" s="121"/>
      <c r="H492" s="121"/>
      <c r="I492" s="121"/>
      <c r="J492" s="121"/>
      <c r="K492" s="121"/>
      <c r="L492" s="121"/>
      <c r="M492" s="121"/>
      <c r="N492" s="121"/>
      <c r="O492" s="121"/>
      <c r="P492" s="121"/>
      <c r="Q492" s="121"/>
      <c r="R492" s="121"/>
      <c r="S492" s="121"/>
      <c r="T492" s="121"/>
      <c r="U492" s="121"/>
      <c r="V492" s="121"/>
      <c r="W492" s="121"/>
      <c r="X492" s="121"/>
      <c r="Y492" s="121"/>
      <c r="Z492" s="121"/>
    </row>
    <row r="493" customFormat="false" ht="15.75" hidden="false" customHeight="false" outlineLevel="0" collapsed="false">
      <c r="A493" s="121"/>
      <c r="B493" s="121"/>
      <c r="C493" s="121"/>
      <c r="D493" s="121"/>
      <c r="E493" s="121"/>
      <c r="F493" s="121"/>
      <c r="G493" s="121"/>
      <c r="H493" s="121"/>
      <c r="I493" s="121"/>
      <c r="J493" s="121"/>
      <c r="K493" s="121"/>
      <c r="L493" s="121"/>
      <c r="M493" s="121"/>
      <c r="N493" s="121"/>
      <c r="O493" s="121"/>
      <c r="P493" s="121"/>
      <c r="Q493" s="121"/>
      <c r="R493" s="121"/>
      <c r="S493" s="121"/>
      <c r="T493" s="121"/>
      <c r="U493" s="121"/>
      <c r="V493" s="121"/>
      <c r="W493" s="121"/>
      <c r="X493" s="121"/>
      <c r="Y493" s="121"/>
      <c r="Z493" s="121"/>
    </row>
    <row r="494" customFormat="false" ht="15.75" hidden="false" customHeight="false" outlineLevel="0" collapsed="false">
      <c r="A494" s="121"/>
      <c r="B494" s="121"/>
      <c r="C494" s="121"/>
      <c r="D494" s="121"/>
      <c r="E494" s="121"/>
      <c r="F494" s="121"/>
      <c r="G494" s="121"/>
      <c r="H494" s="121"/>
      <c r="I494" s="121"/>
      <c r="J494" s="121"/>
      <c r="K494" s="121"/>
      <c r="L494" s="121"/>
      <c r="M494" s="121"/>
      <c r="N494" s="121"/>
      <c r="O494" s="121"/>
      <c r="P494" s="121"/>
      <c r="Q494" s="121"/>
      <c r="R494" s="121"/>
      <c r="S494" s="121"/>
      <c r="T494" s="121"/>
      <c r="U494" s="121"/>
      <c r="V494" s="121"/>
      <c r="W494" s="121"/>
      <c r="X494" s="121"/>
      <c r="Y494" s="121"/>
      <c r="Z494" s="121"/>
    </row>
    <row r="495" customFormat="false" ht="15.75" hidden="false" customHeight="false" outlineLevel="0" collapsed="false">
      <c r="A495" s="121"/>
      <c r="B495" s="121"/>
      <c r="C495" s="121"/>
      <c r="D495" s="121"/>
      <c r="E495" s="121"/>
      <c r="F495" s="121"/>
      <c r="G495" s="121"/>
      <c r="H495" s="121"/>
      <c r="I495" s="121"/>
      <c r="J495" s="121"/>
      <c r="K495" s="121"/>
      <c r="L495" s="121"/>
      <c r="M495" s="121"/>
      <c r="N495" s="121"/>
      <c r="O495" s="121"/>
      <c r="P495" s="121"/>
      <c r="Q495" s="121"/>
      <c r="R495" s="121"/>
      <c r="S495" s="121"/>
      <c r="T495" s="121"/>
      <c r="U495" s="121"/>
      <c r="V495" s="121"/>
      <c r="W495" s="121"/>
      <c r="X495" s="121"/>
      <c r="Y495" s="121"/>
      <c r="Z495" s="121"/>
    </row>
    <row r="496" customFormat="false" ht="15.75" hidden="false" customHeight="false" outlineLevel="0" collapsed="false">
      <c r="A496" s="121"/>
      <c r="B496" s="121"/>
      <c r="C496" s="121"/>
      <c r="D496" s="121"/>
      <c r="E496" s="121"/>
      <c r="F496" s="121"/>
      <c r="G496" s="121"/>
      <c r="H496" s="121"/>
      <c r="I496" s="121"/>
      <c r="J496" s="121"/>
      <c r="K496" s="121"/>
      <c r="L496" s="121"/>
      <c r="M496" s="121"/>
      <c r="N496" s="121"/>
      <c r="O496" s="121"/>
      <c r="P496" s="121"/>
      <c r="Q496" s="121"/>
      <c r="R496" s="121"/>
      <c r="S496" s="121"/>
      <c r="T496" s="121"/>
      <c r="U496" s="121"/>
      <c r="V496" s="121"/>
      <c r="W496" s="121"/>
      <c r="X496" s="121"/>
      <c r="Y496" s="121"/>
      <c r="Z496" s="121"/>
    </row>
    <row r="497" customFormat="false" ht="15.75" hidden="false" customHeight="false" outlineLevel="0" collapsed="false">
      <c r="A497" s="121"/>
      <c r="B497" s="121"/>
      <c r="C497" s="121"/>
      <c r="D497" s="121"/>
      <c r="E497" s="121"/>
      <c r="F497" s="121"/>
      <c r="G497" s="121"/>
      <c r="H497" s="121"/>
      <c r="I497" s="121"/>
      <c r="J497" s="121"/>
      <c r="K497" s="121"/>
      <c r="L497" s="121"/>
      <c r="M497" s="121"/>
      <c r="N497" s="121"/>
      <c r="O497" s="121"/>
      <c r="P497" s="121"/>
      <c r="Q497" s="121"/>
      <c r="R497" s="121"/>
      <c r="S497" s="121"/>
      <c r="T497" s="121"/>
      <c r="U497" s="121"/>
      <c r="V497" s="121"/>
      <c r="W497" s="121"/>
      <c r="X497" s="121"/>
      <c r="Y497" s="121"/>
      <c r="Z497" s="121"/>
    </row>
    <row r="498" customFormat="false" ht="15.75" hidden="false" customHeight="false" outlineLevel="0" collapsed="false">
      <c r="A498" s="121"/>
      <c r="B498" s="121"/>
      <c r="C498" s="121"/>
      <c r="D498" s="121"/>
      <c r="E498" s="121"/>
      <c r="F498" s="121"/>
      <c r="G498" s="121"/>
      <c r="H498" s="121"/>
      <c r="I498" s="121"/>
      <c r="J498" s="121"/>
      <c r="K498" s="121"/>
      <c r="L498" s="121"/>
      <c r="M498" s="121"/>
      <c r="N498" s="121"/>
      <c r="O498" s="121"/>
      <c r="P498" s="121"/>
      <c r="Q498" s="121"/>
      <c r="R498" s="121"/>
      <c r="S498" s="121"/>
      <c r="T498" s="121"/>
      <c r="U498" s="121"/>
      <c r="V498" s="121"/>
      <c r="W498" s="121"/>
      <c r="X498" s="121"/>
      <c r="Y498" s="121"/>
      <c r="Z498" s="121"/>
    </row>
    <row r="499" customFormat="false" ht="15.75" hidden="false" customHeight="false" outlineLevel="0" collapsed="false">
      <c r="A499" s="121"/>
      <c r="B499" s="121"/>
      <c r="C499" s="121"/>
      <c r="D499" s="121"/>
      <c r="E499" s="121"/>
      <c r="F499" s="121"/>
      <c r="G499" s="121"/>
      <c r="H499" s="121"/>
      <c r="I499" s="121"/>
      <c r="J499" s="121"/>
      <c r="K499" s="121"/>
      <c r="L499" s="121"/>
      <c r="M499" s="121"/>
      <c r="N499" s="121"/>
      <c r="O499" s="121"/>
      <c r="P499" s="121"/>
      <c r="Q499" s="121"/>
      <c r="R499" s="121"/>
      <c r="S499" s="121"/>
      <c r="T499" s="121"/>
      <c r="U499" s="121"/>
      <c r="V499" s="121"/>
      <c r="W499" s="121"/>
      <c r="X499" s="121"/>
      <c r="Y499" s="121"/>
      <c r="Z499" s="121"/>
    </row>
    <row r="500" customFormat="false" ht="15.75" hidden="false" customHeight="false" outlineLevel="0" collapsed="false">
      <c r="A500" s="121"/>
      <c r="B500" s="121"/>
      <c r="C500" s="121"/>
      <c r="D500" s="121"/>
      <c r="E500" s="121"/>
      <c r="F500" s="121"/>
      <c r="G500" s="121"/>
      <c r="H500" s="121"/>
      <c r="I500" s="121"/>
      <c r="J500" s="121"/>
      <c r="K500" s="121"/>
      <c r="L500" s="121"/>
      <c r="M500" s="121"/>
      <c r="N500" s="121"/>
      <c r="O500" s="121"/>
      <c r="P500" s="121"/>
      <c r="Q500" s="121"/>
      <c r="R500" s="121"/>
      <c r="S500" s="121"/>
      <c r="T500" s="121"/>
      <c r="U500" s="121"/>
      <c r="V500" s="121"/>
      <c r="W500" s="121"/>
      <c r="X500" s="121"/>
      <c r="Y500" s="121"/>
      <c r="Z500" s="121"/>
    </row>
    <row r="501" customFormat="false" ht="15.75" hidden="false" customHeight="false" outlineLevel="0" collapsed="false">
      <c r="A501" s="121"/>
      <c r="B501" s="121"/>
      <c r="C501" s="121"/>
      <c r="D501" s="121"/>
      <c r="E501" s="121"/>
      <c r="F501" s="121"/>
      <c r="G501" s="121"/>
      <c r="H501" s="121"/>
      <c r="I501" s="121"/>
      <c r="J501" s="121"/>
      <c r="K501" s="121"/>
      <c r="L501" s="121"/>
      <c r="M501" s="121"/>
      <c r="N501" s="121"/>
      <c r="O501" s="121"/>
      <c r="P501" s="121"/>
      <c r="Q501" s="121"/>
      <c r="R501" s="121"/>
      <c r="S501" s="121"/>
      <c r="T501" s="121"/>
      <c r="U501" s="121"/>
      <c r="V501" s="121"/>
      <c r="W501" s="121"/>
      <c r="X501" s="121"/>
      <c r="Y501" s="121"/>
      <c r="Z501" s="121"/>
    </row>
    <row r="502" customFormat="false" ht="15.75" hidden="false" customHeight="false" outlineLevel="0" collapsed="false">
      <c r="A502" s="121"/>
      <c r="B502" s="121"/>
      <c r="C502" s="121"/>
      <c r="D502" s="121"/>
      <c r="E502" s="121"/>
      <c r="F502" s="121"/>
      <c r="G502" s="121"/>
      <c r="H502" s="121"/>
      <c r="I502" s="121"/>
      <c r="J502" s="121"/>
      <c r="K502" s="121"/>
      <c r="L502" s="121"/>
      <c r="M502" s="121"/>
      <c r="N502" s="121"/>
      <c r="O502" s="121"/>
      <c r="P502" s="121"/>
      <c r="Q502" s="121"/>
      <c r="R502" s="121"/>
      <c r="S502" s="121"/>
      <c r="T502" s="121"/>
      <c r="U502" s="121"/>
      <c r="V502" s="121"/>
      <c r="W502" s="121"/>
      <c r="X502" s="121"/>
      <c r="Y502" s="121"/>
      <c r="Z502" s="121"/>
    </row>
    <row r="503" customFormat="false" ht="15.75" hidden="false" customHeight="false" outlineLevel="0" collapsed="false">
      <c r="A503" s="121"/>
      <c r="B503" s="121"/>
      <c r="C503" s="121"/>
      <c r="D503" s="121"/>
      <c r="E503" s="121"/>
      <c r="F503" s="121"/>
      <c r="G503" s="121"/>
      <c r="H503" s="121"/>
      <c r="I503" s="121"/>
      <c r="J503" s="121"/>
      <c r="K503" s="121"/>
      <c r="L503" s="121"/>
      <c r="M503" s="121"/>
      <c r="N503" s="121"/>
      <c r="O503" s="121"/>
      <c r="P503" s="121"/>
      <c r="Q503" s="121"/>
      <c r="R503" s="121"/>
      <c r="S503" s="121"/>
      <c r="T503" s="121"/>
      <c r="U503" s="121"/>
      <c r="V503" s="121"/>
      <c r="W503" s="121"/>
      <c r="X503" s="121"/>
      <c r="Y503" s="121"/>
      <c r="Z503" s="121"/>
    </row>
    <row r="504" customFormat="false" ht="15.75" hidden="false" customHeight="false" outlineLevel="0" collapsed="false">
      <c r="A504" s="121"/>
      <c r="B504" s="121"/>
      <c r="C504" s="121"/>
      <c r="D504" s="121"/>
      <c r="E504" s="121"/>
      <c r="F504" s="121"/>
      <c r="G504" s="121"/>
      <c r="H504" s="121"/>
      <c r="I504" s="121"/>
      <c r="J504" s="121"/>
      <c r="K504" s="121"/>
      <c r="L504" s="121"/>
      <c r="M504" s="121"/>
      <c r="N504" s="121"/>
      <c r="O504" s="121"/>
      <c r="P504" s="121"/>
      <c r="Q504" s="121"/>
      <c r="R504" s="121"/>
      <c r="S504" s="121"/>
      <c r="T504" s="121"/>
      <c r="U504" s="121"/>
      <c r="V504" s="121"/>
      <c r="W504" s="121"/>
      <c r="X504" s="121"/>
      <c r="Y504" s="121"/>
      <c r="Z504" s="121"/>
    </row>
    <row r="505" customFormat="false" ht="15.75" hidden="false" customHeight="false" outlineLevel="0" collapsed="false">
      <c r="A505" s="121"/>
      <c r="B505" s="121"/>
      <c r="C505" s="121"/>
      <c r="D505" s="121"/>
      <c r="E505" s="121"/>
      <c r="F505" s="121"/>
      <c r="G505" s="121"/>
      <c r="H505" s="121"/>
      <c r="I505" s="121"/>
      <c r="J505" s="121"/>
      <c r="K505" s="121"/>
      <c r="L505" s="121"/>
      <c r="M505" s="121"/>
      <c r="N505" s="121"/>
      <c r="O505" s="121"/>
      <c r="P505" s="121"/>
      <c r="Q505" s="121"/>
      <c r="R505" s="121"/>
      <c r="S505" s="121"/>
      <c r="T505" s="121"/>
      <c r="U505" s="121"/>
      <c r="V505" s="121"/>
      <c r="W505" s="121"/>
      <c r="X505" s="121"/>
      <c r="Y505" s="121"/>
      <c r="Z505" s="121"/>
    </row>
    <row r="506" customFormat="false" ht="15.75" hidden="false" customHeight="false" outlineLevel="0" collapsed="false">
      <c r="A506" s="121"/>
      <c r="B506" s="121"/>
      <c r="C506" s="121"/>
      <c r="D506" s="121"/>
      <c r="E506" s="121"/>
      <c r="F506" s="121"/>
      <c r="G506" s="121"/>
      <c r="H506" s="121"/>
      <c r="I506" s="121"/>
      <c r="J506" s="121"/>
      <c r="K506" s="121"/>
      <c r="L506" s="121"/>
      <c r="M506" s="121"/>
      <c r="N506" s="121"/>
      <c r="O506" s="121"/>
      <c r="P506" s="121"/>
      <c r="Q506" s="121"/>
      <c r="R506" s="121"/>
      <c r="S506" s="121"/>
      <c r="T506" s="121"/>
      <c r="U506" s="121"/>
      <c r="V506" s="121"/>
      <c r="W506" s="121"/>
      <c r="X506" s="121"/>
      <c r="Y506" s="121"/>
      <c r="Z506" s="121"/>
    </row>
    <row r="507" customFormat="false" ht="15.75" hidden="false" customHeight="false" outlineLevel="0" collapsed="false">
      <c r="A507" s="121"/>
      <c r="B507" s="121"/>
      <c r="C507" s="121"/>
      <c r="D507" s="121"/>
      <c r="E507" s="121"/>
      <c r="F507" s="121"/>
      <c r="G507" s="121"/>
      <c r="H507" s="121"/>
      <c r="I507" s="121"/>
      <c r="J507" s="121"/>
      <c r="K507" s="121"/>
      <c r="L507" s="121"/>
      <c r="M507" s="121"/>
      <c r="N507" s="121"/>
      <c r="O507" s="121"/>
      <c r="P507" s="121"/>
      <c r="Q507" s="121"/>
      <c r="R507" s="121"/>
      <c r="S507" s="121"/>
      <c r="T507" s="121"/>
      <c r="U507" s="121"/>
      <c r="V507" s="121"/>
      <c r="W507" s="121"/>
      <c r="X507" s="121"/>
      <c r="Y507" s="121"/>
      <c r="Z507" s="121"/>
    </row>
    <row r="508" customFormat="false" ht="15.75" hidden="false" customHeight="false" outlineLevel="0" collapsed="false">
      <c r="A508" s="121"/>
      <c r="B508" s="121"/>
      <c r="C508" s="121"/>
      <c r="D508" s="121"/>
      <c r="E508" s="121"/>
      <c r="F508" s="121"/>
      <c r="G508" s="121"/>
      <c r="H508" s="121"/>
      <c r="I508" s="121"/>
      <c r="J508" s="121"/>
      <c r="K508" s="121"/>
      <c r="L508" s="121"/>
      <c r="M508" s="121"/>
      <c r="N508" s="121"/>
      <c r="O508" s="121"/>
      <c r="P508" s="121"/>
      <c r="Q508" s="121"/>
      <c r="R508" s="121"/>
      <c r="S508" s="121"/>
      <c r="T508" s="121"/>
      <c r="U508" s="121"/>
      <c r="V508" s="121"/>
      <c r="W508" s="121"/>
      <c r="X508" s="121"/>
      <c r="Y508" s="121"/>
      <c r="Z508" s="121"/>
    </row>
    <row r="509" customFormat="false" ht="15.75" hidden="false" customHeight="false" outlineLevel="0" collapsed="false">
      <c r="A509" s="121"/>
      <c r="B509" s="121"/>
      <c r="C509" s="121"/>
      <c r="D509" s="121"/>
      <c r="E509" s="121"/>
      <c r="F509" s="121"/>
      <c r="G509" s="121"/>
      <c r="H509" s="121"/>
      <c r="I509" s="121"/>
      <c r="J509" s="121"/>
      <c r="K509" s="121"/>
      <c r="L509" s="121"/>
      <c r="M509" s="121"/>
      <c r="N509" s="121"/>
      <c r="O509" s="121"/>
      <c r="P509" s="121"/>
      <c r="Q509" s="121"/>
      <c r="R509" s="121"/>
      <c r="S509" s="121"/>
      <c r="T509" s="121"/>
      <c r="U509" s="121"/>
      <c r="V509" s="121"/>
      <c r="W509" s="121"/>
      <c r="X509" s="121"/>
      <c r="Y509" s="121"/>
      <c r="Z509" s="121"/>
    </row>
    <row r="510" customFormat="false" ht="15.75" hidden="false" customHeight="false" outlineLevel="0" collapsed="false">
      <c r="A510" s="121"/>
      <c r="B510" s="121"/>
      <c r="C510" s="121"/>
      <c r="D510" s="121"/>
      <c r="E510" s="121"/>
      <c r="F510" s="121"/>
      <c r="G510" s="121"/>
      <c r="H510" s="121"/>
      <c r="I510" s="121"/>
      <c r="J510" s="121"/>
      <c r="K510" s="121"/>
      <c r="L510" s="121"/>
      <c r="M510" s="121"/>
      <c r="N510" s="121"/>
      <c r="O510" s="121"/>
      <c r="P510" s="121"/>
      <c r="Q510" s="121"/>
      <c r="R510" s="121"/>
      <c r="S510" s="121"/>
      <c r="T510" s="121"/>
      <c r="U510" s="121"/>
      <c r="V510" s="121"/>
      <c r="W510" s="121"/>
      <c r="X510" s="121"/>
      <c r="Y510" s="121"/>
      <c r="Z510" s="121"/>
    </row>
    <row r="511" customFormat="false" ht="15.75" hidden="false" customHeight="false" outlineLevel="0" collapsed="false">
      <c r="A511" s="121"/>
      <c r="B511" s="121"/>
      <c r="C511" s="121"/>
      <c r="D511" s="121"/>
      <c r="E511" s="121"/>
      <c r="F511" s="121"/>
      <c r="G511" s="121"/>
      <c r="H511" s="121"/>
      <c r="I511" s="121"/>
      <c r="J511" s="121"/>
      <c r="K511" s="121"/>
      <c r="L511" s="121"/>
      <c r="M511" s="121"/>
      <c r="N511" s="121"/>
      <c r="O511" s="121"/>
      <c r="P511" s="121"/>
      <c r="Q511" s="121"/>
      <c r="R511" s="121"/>
      <c r="S511" s="121"/>
      <c r="T511" s="121"/>
      <c r="U511" s="121"/>
      <c r="V511" s="121"/>
      <c r="W511" s="121"/>
      <c r="X511" s="121"/>
      <c r="Y511" s="121"/>
      <c r="Z511" s="121"/>
    </row>
    <row r="512" customFormat="false" ht="15.75" hidden="false" customHeight="false" outlineLevel="0" collapsed="false">
      <c r="A512" s="121"/>
      <c r="B512" s="121"/>
      <c r="C512" s="121"/>
      <c r="D512" s="121"/>
      <c r="E512" s="121"/>
      <c r="F512" s="121"/>
      <c r="G512" s="121"/>
      <c r="H512" s="121"/>
      <c r="I512" s="121"/>
      <c r="J512" s="121"/>
      <c r="K512" s="121"/>
      <c r="L512" s="121"/>
      <c r="M512" s="121"/>
      <c r="N512" s="121"/>
      <c r="O512" s="121"/>
      <c r="P512" s="121"/>
      <c r="Q512" s="121"/>
      <c r="R512" s="121"/>
      <c r="S512" s="121"/>
      <c r="T512" s="121"/>
      <c r="U512" s="121"/>
      <c r="V512" s="121"/>
      <c r="W512" s="121"/>
      <c r="X512" s="121"/>
      <c r="Y512" s="121"/>
      <c r="Z512" s="121"/>
    </row>
    <row r="513" customFormat="false" ht="15.75" hidden="false" customHeight="false" outlineLevel="0" collapsed="false">
      <c r="A513" s="121"/>
      <c r="B513" s="121"/>
      <c r="C513" s="121"/>
      <c r="D513" s="121"/>
      <c r="E513" s="121"/>
      <c r="F513" s="121"/>
      <c r="G513" s="121"/>
      <c r="H513" s="121"/>
      <c r="I513" s="121"/>
      <c r="J513" s="121"/>
      <c r="K513" s="121"/>
      <c r="L513" s="121"/>
      <c r="M513" s="121"/>
      <c r="N513" s="121"/>
      <c r="O513" s="121"/>
      <c r="P513" s="121"/>
      <c r="Q513" s="121"/>
      <c r="R513" s="121"/>
      <c r="S513" s="121"/>
      <c r="T513" s="121"/>
      <c r="U513" s="121"/>
      <c r="V513" s="121"/>
      <c r="W513" s="121"/>
      <c r="X513" s="121"/>
      <c r="Y513" s="121"/>
      <c r="Z513" s="121"/>
    </row>
    <row r="514" customFormat="false" ht="15.75" hidden="false" customHeight="false" outlineLevel="0" collapsed="false">
      <c r="A514" s="121"/>
      <c r="B514" s="121"/>
      <c r="C514" s="121"/>
      <c r="D514" s="121"/>
      <c r="E514" s="121"/>
      <c r="F514" s="121"/>
      <c r="G514" s="121"/>
      <c r="H514" s="121"/>
      <c r="I514" s="121"/>
      <c r="J514" s="121"/>
      <c r="K514" s="121"/>
      <c r="L514" s="121"/>
      <c r="M514" s="121"/>
      <c r="N514" s="121"/>
      <c r="O514" s="121"/>
      <c r="P514" s="121"/>
      <c r="Q514" s="121"/>
      <c r="R514" s="121"/>
      <c r="S514" s="121"/>
      <c r="T514" s="121"/>
      <c r="U514" s="121"/>
      <c r="V514" s="121"/>
      <c r="W514" s="121"/>
      <c r="X514" s="121"/>
      <c r="Y514" s="121"/>
      <c r="Z514" s="121"/>
    </row>
    <row r="515" customFormat="false" ht="15.75" hidden="false" customHeight="false" outlineLevel="0" collapsed="false">
      <c r="A515" s="121"/>
      <c r="B515" s="121"/>
      <c r="C515" s="121"/>
      <c r="D515" s="121"/>
      <c r="E515" s="121"/>
      <c r="F515" s="121"/>
      <c r="G515" s="121"/>
      <c r="H515" s="121"/>
      <c r="I515" s="121"/>
      <c r="J515" s="121"/>
      <c r="K515" s="121"/>
      <c r="L515" s="121"/>
      <c r="M515" s="121"/>
      <c r="N515" s="121"/>
      <c r="O515" s="121"/>
      <c r="P515" s="121"/>
      <c r="Q515" s="121"/>
      <c r="R515" s="121"/>
      <c r="S515" s="121"/>
      <c r="T515" s="121"/>
      <c r="U515" s="121"/>
      <c r="V515" s="121"/>
      <c r="W515" s="121"/>
      <c r="X515" s="121"/>
      <c r="Y515" s="121"/>
      <c r="Z515" s="121"/>
    </row>
    <row r="516" customFormat="false" ht="15.75" hidden="false" customHeight="false" outlineLevel="0" collapsed="false">
      <c r="A516" s="121"/>
      <c r="B516" s="121"/>
      <c r="C516" s="121"/>
      <c r="D516" s="121"/>
      <c r="E516" s="121"/>
      <c r="F516" s="121"/>
      <c r="G516" s="121"/>
      <c r="H516" s="121"/>
      <c r="I516" s="121"/>
      <c r="J516" s="121"/>
      <c r="K516" s="121"/>
      <c r="L516" s="121"/>
      <c r="M516" s="121"/>
      <c r="N516" s="121"/>
      <c r="O516" s="121"/>
      <c r="P516" s="121"/>
      <c r="Q516" s="121"/>
      <c r="R516" s="121"/>
      <c r="S516" s="121"/>
      <c r="T516" s="121"/>
      <c r="U516" s="121"/>
      <c r="V516" s="121"/>
      <c r="W516" s="121"/>
      <c r="X516" s="121"/>
      <c r="Y516" s="121"/>
      <c r="Z516" s="121"/>
    </row>
    <row r="517" customFormat="false" ht="15.75" hidden="false" customHeight="false" outlineLevel="0" collapsed="false">
      <c r="A517" s="121"/>
      <c r="B517" s="121"/>
      <c r="C517" s="121"/>
      <c r="D517" s="121"/>
      <c r="E517" s="121"/>
      <c r="F517" s="121"/>
      <c r="G517" s="121"/>
      <c r="H517" s="121"/>
      <c r="I517" s="121"/>
      <c r="J517" s="121"/>
      <c r="K517" s="121"/>
      <c r="L517" s="121"/>
      <c r="M517" s="121"/>
      <c r="N517" s="121"/>
      <c r="O517" s="121"/>
      <c r="P517" s="121"/>
      <c r="Q517" s="121"/>
      <c r="R517" s="121"/>
      <c r="S517" s="121"/>
      <c r="T517" s="121"/>
      <c r="U517" s="121"/>
      <c r="V517" s="121"/>
      <c r="W517" s="121"/>
      <c r="X517" s="121"/>
      <c r="Y517" s="121"/>
      <c r="Z517" s="121"/>
    </row>
    <row r="518" customFormat="false" ht="15.75" hidden="false" customHeight="false" outlineLevel="0" collapsed="false">
      <c r="A518" s="121"/>
      <c r="B518" s="121"/>
      <c r="C518" s="121"/>
      <c r="D518" s="121"/>
      <c r="E518" s="121"/>
      <c r="F518" s="121"/>
      <c r="G518" s="121"/>
      <c r="H518" s="121"/>
      <c r="I518" s="121"/>
      <c r="J518" s="121"/>
      <c r="K518" s="121"/>
      <c r="L518" s="121"/>
      <c r="M518" s="121"/>
      <c r="N518" s="121"/>
      <c r="O518" s="121"/>
      <c r="P518" s="121"/>
      <c r="Q518" s="121"/>
      <c r="R518" s="121"/>
      <c r="S518" s="121"/>
      <c r="T518" s="121"/>
      <c r="U518" s="121"/>
      <c r="V518" s="121"/>
      <c r="W518" s="121"/>
      <c r="X518" s="121"/>
      <c r="Y518" s="121"/>
      <c r="Z518" s="121"/>
    </row>
    <row r="519" customFormat="false" ht="15.75" hidden="false" customHeight="false" outlineLevel="0" collapsed="false">
      <c r="A519" s="121"/>
      <c r="B519" s="121"/>
      <c r="C519" s="121"/>
      <c r="D519" s="121"/>
      <c r="E519" s="121"/>
      <c r="F519" s="121"/>
      <c r="G519" s="121"/>
      <c r="H519" s="121"/>
      <c r="I519" s="121"/>
      <c r="J519" s="121"/>
      <c r="K519" s="121"/>
      <c r="L519" s="121"/>
      <c r="M519" s="121"/>
      <c r="N519" s="121"/>
      <c r="O519" s="121"/>
      <c r="P519" s="121"/>
      <c r="Q519" s="121"/>
      <c r="R519" s="121"/>
      <c r="S519" s="121"/>
      <c r="T519" s="121"/>
      <c r="U519" s="121"/>
      <c r="V519" s="121"/>
      <c r="W519" s="121"/>
      <c r="X519" s="121"/>
      <c r="Y519" s="121"/>
      <c r="Z519" s="121"/>
    </row>
    <row r="520" customFormat="false" ht="15.75" hidden="false" customHeight="false" outlineLevel="0" collapsed="false">
      <c r="A520" s="121"/>
      <c r="B520" s="121"/>
      <c r="C520" s="121"/>
      <c r="D520" s="121"/>
      <c r="E520" s="121"/>
      <c r="F520" s="121"/>
      <c r="G520" s="121"/>
      <c r="H520" s="121"/>
      <c r="I520" s="121"/>
      <c r="J520" s="121"/>
      <c r="K520" s="121"/>
      <c r="L520" s="121"/>
      <c r="M520" s="121"/>
      <c r="N520" s="121"/>
      <c r="O520" s="121"/>
      <c r="P520" s="121"/>
      <c r="Q520" s="121"/>
      <c r="R520" s="121"/>
      <c r="S520" s="121"/>
      <c r="T520" s="121"/>
      <c r="U520" s="121"/>
      <c r="V520" s="121"/>
      <c r="W520" s="121"/>
      <c r="X520" s="121"/>
      <c r="Y520" s="121"/>
      <c r="Z520" s="121"/>
    </row>
    <row r="521" customFormat="false" ht="15.75" hidden="false" customHeight="false" outlineLevel="0" collapsed="false">
      <c r="A521" s="121"/>
      <c r="B521" s="121"/>
      <c r="C521" s="121"/>
      <c r="D521" s="121"/>
      <c r="E521" s="121"/>
      <c r="F521" s="121"/>
      <c r="G521" s="121"/>
      <c r="H521" s="121"/>
      <c r="I521" s="121"/>
      <c r="J521" s="121"/>
      <c r="K521" s="121"/>
      <c r="L521" s="121"/>
      <c r="M521" s="121"/>
      <c r="N521" s="121"/>
      <c r="O521" s="121"/>
      <c r="P521" s="121"/>
      <c r="Q521" s="121"/>
      <c r="R521" s="121"/>
      <c r="S521" s="121"/>
      <c r="T521" s="121"/>
      <c r="U521" s="121"/>
      <c r="V521" s="121"/>
      <c r="W521" s="121"/>
      <c r="X521" s="121"/>
      <c r="Y521" s="121"/>
      <c r="Z521" s="121"/>
    </row>
    <row r="522" customFormat="false" ht="15.75" hidden="false" customHeight="false" outlineLevel="0" collapsed="false">
      <c r="A522" s="121"/>
      <c r="B522" s="121"/>
      <c r="C522" s="121"/>
      <c r="D522" s="121"/>
      <c r="E522" s="121"/>
      <c r="F522" s="121"/>
      <c r="G522" s="121"/>
      <c r="H522" s="121"/>
      <c r="I522" s="121"/>
      <c r="J522" s="121"/>
      <c r="K522" s="121"/>
      <c r="L522" s="121"/>
      <c r="M522" s="121"/>
      <c r="N522" s="121"/>
      <c r="O522" s="121"/>
      <c r="P522" s="121"/>
      <c r="Q522" s="121"/>
      <c r="R522" s="121"/>
      <c r="S522" s="121"/>
      <c r="T522" s="121"/>
      <c r="U522" s="121"/>
      <c r="V522" s="121"/>
      <c r="W522" s="121"/>
      <c r="X522" s="121"/>
      <c r="Y522" s="121"/>
      <c r="Z522" s="121"/>
    </row>
    <row r="523" customFormat="false" ht="15.75" hidden="false" customHeight="false" outlineLevel="0" collapsed="false">
      <c r="A523" s="121"/>
      <c r="B523" s="121"/>
      <c r="C523" s="121"/>
      <c r="D523" s="121"/>
      <c r="E523" s="121"/>
      <c r="F523" s="121"/>
      <c r="G523" s="121"/>
      <c r="H523" s="121"/>
      <c r="I523" s="121"/>
      <c r="J523" s="121"/>
      <c r="K523" s="121"/>
      <c r="L523" s="121"/>
      <c r="M523" s="121"/>
      <c r="N523" s="121"/>
      <c r="O523" s="121"/>
      <c r="P523" s="121"/>
      <c r="Q523" s="121"/>
      <c r="R523" s="121"/>
      <c r="S523" s="121"/>
      <c r="T523" s="121"/>
      <c r="U523" s="121"/>
      <c r="V523" s="121"/>
      <c r="W523" s="121"/>
      <c r="X523" s="121"/>
      <c r="Y523" s="121"/>
      <c r="Z523" s="121"/>
    </row>
    <row r="524" customFormat="false" ht="15.75" hidden="false" customHeight="false" outlineLevel="0" collapsed="false">
      <c r="A524" s="121"/>
      <c r="B524" s="121"/>
      <c r="C524" s="121"/>
      <c r="D524" s="121"/>
      <c r="E524" s="121"/>
      <c r="F524" s="121"/>
      <c r="G524" s="121"/>
      <c r="H524" s="121"/>
      <c r="I524" s="121"/>
      <c r="J524" s="121"/>
      <c r="K524" s="121"/>
      <c r="L524" s="121"/>
      <c r="M524" s="121"/>
      <c r="N524" s="121"/>
      <c r="O524" s="121"/>
      <c r="P524" s="121"/>
      <c r="Q524" s="121"/>
      <c r="R524" s="121"/>
      <c r="S524" s="121"/>
      <c r="T524" s="121"/>
      <c r="U524" s="121"/>
      <c r="V524" s="121"/>
      <c r="W524" s="121"/>
      <c r="X524" s="121"/>
      <c r="Y524" s="121"/>
      <c r="Z524" s="121"/>
    </row>
    <row r="525" customFormat="false" ht="15.75" hidden="false" customHeight="false" outlineLevel="0" collapsed="false">
      <c r="A525" s="121"/>
      <c r="B525" s="121"/>
      <c r="C525" s="121"/>
      <c r="D525" s="121"/>
      <c r="E525" s="121"/>
      <c r="F525" s="121"/>
      <c r="G525" s="121"/>
      <c r="H525" s="121"/>
      <c r="I525" s="121"/>
      <c r="J525" s="121"/>
      <c r="K525" s="121"/>
      <c r="L525" s="121"/>
      <c r="M525" s="121"/>
      <c r="N525" s="121"/>
      <c r="O525" s="121"/>
      <c r="P525" s="121"/>
      <c r="Q525" s="121"/>
      <c r="R525" s="121"/>
      <c r="S525" s="121"/>
      <c r="T525" s="121"/>
      <c r="U525" s="121"/>
      <c r="V525" s="121"/>
      <c r="W525" s="121"/>
      <c r="X525" s="121"/>
      <c r="Y525" s="121"/>
      <c r="Z525" s="121"/>
    </row>
    <row r="526" customFormat="false" ht="15.75" hidden="false" customHeight="false" outlineLevel="0" collapsed="false">
      <c r="A526" s="121"/>
      <c r="B526" s="121"/>
      <c r="C526" s="121"/>
      <c r="D526" s="121"/>
      <c r="E526" s="121"/>
      <c r="F526" s="121"/>
      <c r="G526" s="121"/>
      <c r="H526" s="121"/>
      <c r="I526" s="121"/>
      <c r="J526" s="121"/>
      <c r="K526" s="121"/>
      <c r="L526" s="121"/>
      <c r="M526" s="121"/>
      <c r="N526" s="121"/>
      <c r="O526" s="121"/>
      <c r="P526" s="121"/>
      <c r="Q526" s="121"/>
      <c r="R526" s="121"/>
      <c r="S526" s="121"/>
      <c r="T526" s="121"/>
      <c r="U526" s="121"/>
      <c r="V526" s="121"/>
      <c r="W526" s="121"/>
      <c r="X526" s="121"/>
      <c r="Y526" s="121"/>
      <c r="Z526" s="121"/>
    </row>
    <row r="527" customFormat="false" ht="15.75" hidden="false" customHeight="false" outlineLevel="0" collapsed="false">
      <c r="A527" s="121"/>
      <c r="B527" s="121"/>
      <c r="C527" s="121"/>
      <c r="D527" s="121"/>
      <c r="E527" s="121"/>
      <c r="F527" s="121"/>
      <c r="G527" s="121"/>
      <c r="H527" s="121"/>
      <c r="I527" s="121"/>
      <c r="J527" s="121"/>
      <c r="K527" s="121"/>
      <c r="L527" s="121"/>
      <c r="M527" s="121"/>
      <c r="N527" s="121"/>
      <c r="O527" s="121"/>
      <c r="P527" s="121"/>
      <c r="Q527" s="121"/>
      <c r="R527" s="121"/>
      <c r="S527" s="121"/>
      <c r="T527" s="121"/>
      <c r="U527" s="121"/>
      <c r="V527" s="121"/>
      <c r="W527" s="121"/>
      <c r="X527" s="121"/>
      <c r="Y527" s="121"/>
      <c r="Z527" s="121"/>
    </row>
    <row r="528" customFormat="false" ht="15.75" hidden="false" customHeight="false" outlineLevel="0" collapsed="false">
      <c r="A528" s="121"/>
      <c r="B528" s="121"/>
      <c r="C528" s="121"/>
      <c r="D528" s="121"/>
      <c r="E528" s="121"/>
      <c r="F528" s="121"/>
      <c r="G528" s="121"/>
      <c r="H528" s="121"/>
      <c r="I528" s="121"/>
      <c r="J528" s="121"/>
      <c r="K528" s="121"/>
      <c r="L528" s="121"/>
      <c r="M528" s="121"/>
      <c r="N528" s="121"/>
      <c r="O528" s="121"/>
      <c r="P528" s="121"/>
      <c r="Q528" s="121"/>
      <c r="R528" s="121"/>
      <c r="S528" s="121"/>
      <c r="T528" s="121"/>
      <c r="U528" s="121"/>
      <c r="V528" s="121"/>
      <c r="W528" s="121"/>
      <c r="X528" s="121"/>
      <c r="Y528" s="121"/>
      <c r="Z528" s="121"/>
    </row>
    <row r="529" customFormat="false" ht="15.75" hidden="false" customHeight="false" outlineLevel="0" collapsed="false">
      <c r="A529" s="121"/>
      <c r="B529" s="121"/>
      <c r="C529" s="121"/>
      <c r="D529" s="121"/>
      <c r="E529" s="121"/>
      <c r="F529" s="121"/>
      <c r="G529" s="121"/>
      <c r="H529" s="121"/>
      <c r="I529" s="121"/>
      <c r="J529" s="121"/>
      <c r="K529" s="121"/>
      <c r="L529" s="121"/>
      <c r="M529" s="121"/>
      <c r="N529" s="121"/>
      <c r="O529" s="121"/>
      <c r="P529" s="121"/>
      <c r="Q529" s="121"/>
      <c r="R529" s="121"/>
      <c r="S529" s="121"/>
      <c r="T529" s="121"/>
      <c r="U529" s="121"/>
      <c r="V529" s="121"/>
      <c r="W529" s="121"/>
      <c r="X529" s="121"/>
      <c r="Y529" s="121"/>
      <c r="Z529" s="121"/>
    </row>
    <row r="530" customFormat="false" ht="15.75" hidden="false" customHeight="false" outlineLevel="0" collapsed="false">
      <c r="A530" s="121"/>
      <c r="B530" s="121"/>
      <c r="C530" s="121"/>
      <c r="D530" s="121"/>
      <c r="E530" s="121"/>
      <c r="F530" s="121"/>
      <c r="G530" s="121"/>
      <c r="H530" s="121"/>
      <c r="I530" s="121"/>
      <c r="J530" s="121"/>
      <c r="K530" s="121"/>
      <c r="L530" s="121"/>
      <c r="M530" s="121"/>
      <c r="N530" s="121"/>
      <c r="O530" s="121"/>
      <c r="P530" s="121"/>
      <c r="Q530" s="121"/>
      <c r="R530" s="121"/>
      <c r="S530" s="121"/>
      <c r="T530" s="121"/>
      <c r="U530" s="121"/>
      <c r="V530" s="121"/>
      <c r="W530" s="121"/>
      <c r="X530" s="121"/>
      <c r="Y530" s="121"/>
      <c r="Z530" s="121"/>
    </row>
    <row r="531" customFormat="false" ht="15.75" hidden="false" customHeight="false" outlineLevel="0" collapsed="false">
      <c r="A531" s="121"/>
      <c r="B531" s="121"/>
      <c r="C531" s="121"/>
      <c r="D531" s="121"/>
      <c r="E531" s="121"/>
      <c r="F531" s="121"/>
      <c r="G531" s="121"/>
      <c r="H531" s="121"/>
      <c r="I531" s="121"/>
      <c r="J531" s="121"/>
      <c r="K531" s="121"/>
      <c r="L531" s="121"/>
      <c r="M531" s="121"/>
      <c r="N531" s="121"/>
      <c r="O531" s="121"/>
      <c r="P531" s="121"/>
      <c r="Q531" s="121"/>
      <c r="R531" s="121"/>
      <c r="S531" s="121"/>
      <c r="T531" s="121"/>
      <c r="U531" s="121"/>
      <c r="V531" s="121"/>
      <c r="W531" s="121"/>
      <c r="X531" s="121"/>
      <c r="Y531" s="121"/>
      <c r="Z531" s="121"/>
    </row>
    <row r="532" customFormat="false" ht="15.75" hidden="false" customHeight="false" outlineLevel="0" collapsed="false">
      <c r="A532" s="121"/>
      <c r="B532" s="121"/>
      <c r="C532" s="121"/>
      <c r="D532" s="121"/>
      <c r="E532" s="121"/>
      <c r="F532" s="121"/>
      <c r="G532" s="121"/>
      <c r="H532" s="121"/>
      <c r="I532" s="121"/>
      <c r="J532" s="121"/>
      <c r="K532" s="121"/>
      <c r="L532" s="121"/>
      <c r="M532" s="121"/>
      <c r="N532" s="121"/>
      <c r="O532" s="121"/>
      <c r="P532" s="121"/>
      <c r="Q532" s="121"/>
      <c r="R532" s="121"/>
      <c r="S532" s="121"/>
      <c r="T532" s="121"/>
      <c r="U532" s="121"/>
      <c r="V532" s="121"/>
      <c r="W532" s="121"/>
      <c r="X532" s="121"/>
      <c r="Y532" s="121"/>
      <c r="Z532" s="121"/>
    </row>
    <row r="533" customFormat="false" ht="15.75" hidden="false" customHeight="false" outlineLevel="0" collapsed="false">
      <c r="A533" s="121"/>
      <c r="B533" s="121"/>
      <c r="C533" s="121"/>
      <c r="D533" s="121"/>
      <c r="E533" s="121"/>
      <c r="F533" s="121"/>
      <c r="G533" s="121"/>
      <c r="H533" s="121"/>
      <c r="I533" s="121"/>
      <c r="J533" s="121"/>
      <c r="K533" s="121"/>
      <c r="L533" s="121"/>
      <c r="M533" s="121"/>
      <c r="N533" s="121"/>
      <c r="O533" s="121"/>
      <c r="P533" s="121"/>
      <c r="Q533" s="121"/>
      <c r="R533" s="121"/>
      <c r="S533" s="121"/>
      <c r="T533" s="121"/>
      <c r="U533" s="121"/>
      <c r="V533" s="121"/>
      <c r="W533" s="121"/>
      <c r="X533" s="121"/>
      <c r="Y533" s="121"/>
      <c r="Z533" s="121"/>
    </row>
    <row r="534" customFormat="false" ht="15.75" hidden="false" customHeight="false" outlineLevel="0" collapsed="false">
      <c r="A534" s="121"/>
      <c r="B534" s="121"/>
      <c r="C534" s="121"/>
      <c r="D534" s="121"/>
      <c r="E534" s="121"/>
      <c r="F534" s="121"/>
      <c r="G534" s="121"/>
      <c r="H534" s="121"/>
      <c r="I534" s="121"/>
      <c r="J534" s="121"/>
      <c r="K534" s="121"/>
      <c r="L534" s="121"/>
      <c r="M534" s="121"/>
      <c r="N534" s="121"/>
      <c r="O534" s="121"/>
      <c r="P534" s="121"/>
      <c r="Q534" s="121"/>
      <c r="R534" s="121"/>
      <c r="S534" s="121"/>
      <c r="T534" s="121"/>
      <c r="U534" s="121"/>
      <c r="V534" s="121"/>
      <c r="W534" s="121"/>
      <c r="X534" s="121"/>
      <c r="Y534" s="121"/>
      <c r="Z534" s="121"/>
    </row>
    <row r="535" customFormat="false" ht="15.75" hidden="false" customHeight="false" outlineLevel="0" collapsed="false">
      <c r="A535" s="121"/>
      <c r="B535" s="121"/>
      <c r="C535" s="121"/>
      <c r="D535" s="121"/>
      <c r="E535" s="121"/>
      <c r="F535" s="121"/>
      <c r="G535" s="121"/>
      <c r="H535" s="121"/>
      <c r="I535" s="121"/>
      <c r="J535" s="121"/>
      <c r="K535" s="121"/>
      <c r="L535" s="121"/>
      <c r="M535" s="121"/>
      <c r="N535" s="121"/>
      <c r="O535" s="121"/>
      <c r="P535" s="121"/>
      <c r="Q535" s="121"/>
      <c r="R535" s="121"/>
      <c r="S535" s="121"/>
      <c r="T535" s="121"/>
      <c r="U535" s="121"/>
      <c r="V535" s="121"/>
      <c r="W535" s="121"/>
      <c r="X535" s="121"/>
      <c r="Y535" s="121"/>
      <c r="Z535" s="121"/>
    </row>
    <row r="536" customFormat="false" ht="15.75" hidden="false" customHeight="false" outlineLevel="0" collapsed="false">
      <c r="A536" s="121"/>
      <c r="B536" s="121"/>
      <c r="C536" s="121"/>
      <c r="D536" s="121"/>
      <c r="E536" s="121"/>
      <c r="F536" s="121"/>
      <c r="G536" s="121"/>
      <c r="H536" s="121"/>
      <c r="I536" s="121"/>
      <c r="J536" s="121"/>
      <c r="K536" s="121"/>
      <c r="L536" s="121"/>
      <c r="M536" s="121"/>
      <c r="N536" s="121"/>
      <c r="O536" s="121"/>
      <c r="P536" s="121"/>
      <c r="Q536" s="121"/>
      <c r="R536" s="121"/>
      <c r="S536" s="121"/>
      <c r="T536" s="121"/>
      <c r="U536" s="121"/>
      <c r="V536" s="121"/>
      <c r="W536" s="121"/>
      <c r="X536" s="121"/>
      <c r="Y536" s="121"/>
      <c r="Z536" s="121"/>
    </row>
    <row r="537" customFormat="false" ht="15.75" hidden="false" customHeight="false" outlineLevel="0" collapsed="false">
      <c r="A537" s="121"/>
      <c r="B537" s="121"/>
      <c r="C537" s="121"/>
      <c r="D537" s="121"/>
      <c r="E537" s="121"/>
      <c r="F537" s="121"/>
      <c r="G537" s="121"/>
      <c r="H537" s="121"/>
      <c r="I537" s="121"/>
      <c r="J537" s="121"/>
      <c r="K537" s="121"/>
      <c r="L537" s="121"/>
      <c r="M537" s="121"/>
      <c r="N537" s="121"/>
      <c r="O537" s="121"/>
      <c r="P537" s="121"/>
      <c r="Q537" s="121"/>
      <c r="R537" s="121"/>
      <c r="S537" s="121"/>
      <c r="T537" s="121"/>
      <c r="U537" s="121"/>
      <c r="V537" s="121"/>
      <c r="W537" s="121"/>
      <c r="X537" s="121"/>
      <c r="Y537" s="121"/>
      <c r="Z537" s="121"/>
    </row>
    <row r="538" customFormat="false" ht="15.75" hidden="false" customHeight="false" outlineLevel="0" collapsed="false">
      <c r="A538" s="121"/>
      <c r="B538" s="121"/>
      <c r="C538" s="121"/>
      <c r="D538" s="121"/>
      <c r="E538" s="121"/>
      <c r="F538" s="121"/>
      <c r="G538" s="121"/>
      <c r="H538" s="121"/>
      <c r="I538" s="121"/>
      <c r="J538" s="121"/>
      <c r="K538" s="121"/>
      <c r="L538" s="121"/>
      <c r="M538" s="121"/>
      <c r="N538" s="121"/>
      <c r="O538" s="121"/>
      <c r="P538" s="121"/>
      <c r="Q538" s="121"/>
      <c r="R538" s="121"/>
      <c r="S538" s="121"/>
      <c r="T538" s="121"/>
      <c r="U538" s="121"/>
      <c r="V538" s="121"/>
      <c r="W538" s="121"/>
      <c r="X538" s="121"/>
      <c r="Y538" s="121"/>
      <c r="Z538" s="121"/>
    </row>
    <row r="539" customFormat="false" ht="15.75" hidden="false" customHeight="false" outlineLevel="0" collapsed="false">
      <c r="A539" s="121"/>
      <c r="B539" s="121"/>
      <c r="C539" s="121"/>
      <c r="D539" s="121"/>
      <c r="E539" s="121"/>
      <c r="F539" s="121"/>
      <c r="G539" s="121"/>
      <c r="H539" s="121"/>
      <c r="I539" s="121"/>
      <c r="J539" s="121"/>
      <c r="K539" s="121"/>
      <c r="L539" s="121"/>
      <c r="M539" s="121"/>
      <c r="N539" s="121"/>
      <c r="O539" s="121"/>
      <c r="P539" s="121"/>
      <c r="Q539" s="121"/>
      <c r="R539" s="121"/>
      <c r="S539" s="121"/>
      <c r="T539" s="121"/>
      <c r="U539" s="121"/>
      <c r="V539" s="121"/>
      <c r="W539" s="121"/>
      <c r="X539" s="121"/>
      <c r="Y539" s="121"/>
      <c r="Z539" s="121"/>
    </row>
    <row r="540" customFormat="false" ht="15.75" hidden="false" customHeight="false" outlineLevel="0" collapsed="false">
      <c r="A540" s="121"/>
      <c r="B540" s="121"/>
      <c r="C540" s="121"/>
      <c r="D540" s="121"/>
      <c r="E540" s="121"/>
      <c r="F540" s="121"/>
      <c r="G540" s="121"/>
      <c r="H540" s="121"/>
      <c r="I540" s="121"/>
      <c r="J540" s="121"/>
      <c r="K540" s="121"/>
      <c r="L540" s="121"/>
      <c r="M540" s="121"/>
      <c r="N540" s="121"/>
      <c r="O540" s="121"/>
      <c r="P540" s="121"/>
      <c r="Q540" s="121"/>
      <c r="R540" s="121"/>
      <c r="S540" s="121"/>
      <c r="T540" s="121"/>
      <c r="U540" s="121"/>
      <c r="V540" s="121"/>
      <c r="W540" s="121"/>
      <c r="X540" s="121"/>
      <c r="Y540" s="121"/>
      <c r="Z540" s="121"/>
    </row>
    <row r="541" customFormat="false" ht="15.75" hidden="false" customHeight="false" outlineLevel="0" collapsed="false">
      <c r="A541" s="121"/>
      <c r="B541" s="121"/>
      <c r="C541" s="121"/>
      <c r="D541" s="121"/>
      <c r="E541" s="121"/>
      <c r="F541" s="121"/>
      <c r="G541" s="121"/>
      <c r="H541" s="121"/>
      <c r="I541" s="121"/>
      <c r="J541" s="121"/>
      <c r="K541" s="121"/>
      <c r="L541" s="121"/>
      <c r="M541" s="121"/>
      <c r="N541" s="121"/>
      <c r="O541" s="121"/>
      <c r="P541" s="121"/>
      <c r="Q541" s="121"/>
      <c r="R541" s="121"/>
      <c r="S541" s="121"/>
      <c r="T541" s="121"/>
      <c r="U541" s="121"/>
      <c r="V541" s="121"/>
      <c r="W541" s="121"/>
      <c r="X541" s="121"/>
      <c r="Y541" s="121"/>
      <c r="Z541" s="121"/>
    </row>
    <row r="542" customFormat="false" ht="15.75" hidden="false" customHeight="false" outlineLevel="0" collapsed="false">
      <c r="A542" s="121"/>
      <c r="B542" s="121"/>
      <c r="C542" s="121"/>
      <c r="D542" s="121"/>
      <c r="E542" s="121"/>
      <c r="F542" s="121"/>
      <c r="G542" s="121"/>
      <c r="H542" s="121"/>
      <c r="I542" s="121"/>
      <c r="J542" s="121"/>
      <c r="K542" s="121"/>
      <c r="L542" s="121"/>
      <c r="M542" s="121"/>
      <c r="N542" s="121"/>
      <c r="O542" s="121"/>
      <c r="P542" s="121"/>
      <c r="Q542" s="121"/>
      <c r="R542" s="121"/>
      <c r="S542" s="121"/>
      <c r="T542" s="121"/>
      <c r="U542" s="121"/>
      <c r="V542" s="121"/>
      <c r="W542" s="121"/>
      <c r="X542" s="121"/>
      <c r="Y542" s="121"/>
      <c r="Z542" s="121"/>
    </row>
    <row r="543" customFormat="false" ht="15.75" hidden="false" customHeight="false" outlineLevel="0" collapsed="false">
      <c r="A543" s="121"/>
      <c r="B543" s="121"/>
      <c r="C543" s="121"/>
      <c r="D543" s="121"/>
      <c r="E543" s="121"/>
      <c r="F543" s="121"/>
      <c r="G543" s="121"/>
      <c r="H543" s="121"/>
      <c r="I543" s="121"/>
      <c r="J543" s="121"/>
      <c r="K543" s="121"/>
      <c r="L543" s="121"/>
      <c r="M543" s="121"/>
      <c r="N543" s="121"/>
      <c r="O543" s="121"/>
      <c r="P543" s="121"/>
      <c r="Q543" s="121"/>
      <c r="R543" s="121"/>
      <c r="S543" s="121"/>
      <c r="T543" s="121"/>
      <c r="U543" s="121"/>
      <c r="V543" s="121"/>
      <c r="W543" s="121"/>
      <c r="X543" s="121"/>
      <c r="Y543" s="121"/>
      <c r="Z543" s="121"/>
    </row>
    <row r="544" customFormat="false" ht="15.75" hidden="false" customHeight="false" outlineLevel="0" collapsed="false">
      <c r="A544" s="121"/>
      <c r="B544" s="121"/>
      <c r="C544" s="121"/>
      <c r="D544" s="121"/>
      <c r="E544" s="121"/>
      <c r="F544" s="121"/>
      <c r="G544" s="121"/>
      <c r="H544" s="121"/>
      <c r="I544" s="121"/>
      <c r="J544" s="121"/>
      <c r="K544" s="121"/>
      <c r="L544" s="121"/>
      <c r="M544" s="121"/>
      <c r="N544" s="121"/>
      <c r="O544" s="121"/>
      <c r="P544" s="121"/>
      <c r="Q544" s="121"/>
      <c r="R544" s="121"/>
      <c r="S544" s="121"/>
      <c r="T544" s="121"/>
      <c r="U544" s="121"/>
      <c r="V544" s="121"/>
      <c r="W544" s="121"/>
      <c r="X544" s="121"/>
      <c r="Y544" s="121"/>
      <c r="Z544" s="121"/>
    </row>
    <row r="545" customFormat="false" ht="15.75" hidden="false" customHeight="false" outlineLevel="0" collapsed="false">
      <c r="A545" s="121"/>
      <c r="B545" s="121"/>
      <c r="C545" s="121"/>
      <c r="D545" s="121"/>
      <c r="E545" s="121"/>
      <c r="F545" s="121"/>
      <c r="G545" s="121"/>
      <c r="H545" s="121"/>
      <c r="I545" s="121"/>
      <c r="J545" s="121"/>
      <c r="K545" s="121"/>
      <c r="L545" s="121"/>
      <c r="M545" s="121"/>
      <c r="N545" s="121"/>
      <c r="O545" s="121"/>
      <c r="P545" s="121"/>
      <c r="Q545" s="121"/>
      <c r="R545" s="121"/>
      <c r="S545" s="121"/>
      <c r="T545" s="121"/>
      <c r="U545" s="121"/>
      <c r="V545" s="121"/>
      <c r="W545" s="121"/>
      <c r="X545" s="121"/>
      <c r="Y545" s="121"/>
      <c r="Z545" s="121"/>
    </row>
    <row r="546" customFormat="false" ht="15.75" hidden="false" customHeight="false" outlineLevel="0" collapsed="false">
      <c r="A546" s="121"/>
      <c r="B546" s="121"/>
      <c r="C546" s="121"/>
      <c r="D546" s="121"/>
      <c r="E546" s="121"/>
      <c r="F546" s="121"/>
      <c r="G546" s="121"/>
      <c r="H546" s="121"/>
      <c r="I546" s="121"/>
      <c r="J546" s="121"/>
      <c r="K546" s="121"/>
      <c r="L546" s="121"/>
      <c r="M546" s="121"/>
      <c r="N546" s="121"/>
      <c r="O546" s="121"/>
      <c r="P546" s="121"/>
      <c r="Q546" s="121"/>
      <c r="R546" s="121"/>
      <c r="S546" s="121"/>
      <c r="T546" s="121"/>
      <c r="U546" s="121"/>
      <c r="V546" s="121"/>
      <c r="W546" s="121"/>
      <c r="X546" s="121"/>
      <c r="Y546" s="121"/>
      <c r="Z546" s="121"/>
    </row>
    <row r="547" customFormat="false" ht="15.75" hidden="false" customHeight="false" outlineLevel="0" collapsed="false">
      <c r="A547" s="121"/>
      <c r="B547" s="121"/>
      <c r="C547" s="121"/>
      <c r="D547" s="121"/>
      <c r="E547" s="121"/>
      <c r="F547" s="121"/>
      <c r="G547" s="121"/>
      <c r="H547" s="121"/>
      <c r="I547" s="121"/>
      <c r="J547" s="121"/>
      <c r="K547" s="121"/>
      <c r="L547" s="121"/>
      <c r="M547" s="121"/>
      <c r="N547" s="121"/>
      <c r="O547" s="121"/>
      <c r="P547" s="121"/>
      <c r="Q547" s="121"/>
      <c r="R547" s="121"/>
      <c r="S547" s="121"/>
      <c r="T547" s="121"/>
      <c r="U547" s="121"/>
      <c r="V547" s="121"/>
      <c r="W547" s="121"/>
      <c r="X547" s="121"/>
      <c r="Y547" s="121"/>
      <c r="Z547" s="121"/>
    </row>
    <row r="548" customFormat="false" ht="15.75" hidden="false" customHeight="false" outlineLevel="0" collapsed="false">
      <c r="A548" s="121"/>
      <c r="B548" s="121"/>
      <c r="C548" s="121"/>
      <c r="D548" s="121"/>
      <c r="E548" s="121"/>
      <c r="F548" s="121"/>
      <c r="G548" s="121"/>
      <c r="H548" s="121"/>
      <c r="I548" s="121"/>
      <c r="J548" s="121"/>
      <c r="K548" s="121"/>
      <c r="L548" s="121"/>
      <c r="M548" s="121"/>
      <c r="N548" s="121"/>
      <c r="O548" s="121"/>
      <c r="P548" s="121"/>
      <c r="Q548" s="121"/>
      <c r="R548" s="121"/>
      <c r="S548" s="121"/>
      <c r="T548" s="121"/>
      <c r="U548" s="121"/>
      <c r="V548" s="121"/>
      <c r="W548" s="121"/>
      <c r="X548" s="121"/>
      <c r="Y548" s="121"/>
      <c r="Z548" s="121"/>
    </row>
    <row r="549" customFormat="false" ht="15.75" hidden="false" customHeight="false" outlineLevel="0" collapsed="false">
      <c r="A549" s="121"/>
      <c r="B549" s="121"/>
      <c r="C549" s="121"/>
      <c r="D549" s="121"/>
      <c r="E549" s="121"/>
      <c r="F549" s="121"/>
      <c r="G549" s="121"/>
      <c r="H549" s="121"/>
      <c r="I549" s="121"/>
      <c r="J549" s="121"/>
      <c r="K549" s="121"/>
      <c r="L549" s="121"/>
      <c r="M549" s="121"/>
      <c r="N549" s="121"/>
      <c r="O549" s="121"/>
      <c r="P549" s="121"/>
      <c r="Q549" s="121"/>
      <c r="R549" s="121"/>
      <c r="S549" s="121"/>
      <c r="T549" s="121"/>
      <c r="U549" s="121"/>
      <c r="V549" s="121"/>
      <c r="W549" s="121"/>
      <c r="X549" s="121"/>
      <c r="Y549" s="121"/>
      <c r="Z549" s="121"/>
    </row>
    <row r="550" customFormat="false" ht="15.75" hidden="false" customHeight="false" outlineLevel="0" collapsed="false">
      <c r="A550" s="121"/>
      <c r="B550" s="121"/>
      <c r="C550" s="121"/>
      <c r="D550" s="121"/>
      <c r="E550" s="121"/>
      <c r="F550" s="121"/>
      <c r="G550" s="121"/>
      <c r="H550" s="121"/>
      <c r="I550" s="121"/>
      <c r="J550" s="121"/>
      <c r="K550" s="121"/>
      <c r="L550" s="121"/>
      <c r="M550" s="121"/>
      <c r="N550" s="121"/>
      <c r="O550" s="121"/>
      <c r="P550" s="121"/>
      <c r="Q550" s="121"/>
      <c r="R550" s="121"/>
      <c r="S550" s="121"/>
      <c r="T550" s="121"/>
      <c r="U550" s="121"/>
      <c r="V550" s="121"/>
      <c r="W550" s="121"/>
      <c r="X550" s="121"/>
      <c r="Y550" s="121"/>
      <c r="Z550" s="121"/>
    </row>
    <row r="551" customFormat="false" ht="15.75" hidden="false" customHeight="false" outlineLevel="0" collapsed="false">
      <c r="A551" s="121"/>
      <c r="B551" s="121"/>
      <c r="C551" s="121"/>
      <c r="D551" s="121"/>
      <c r="E551" s="121"/>
      <c r="F551" s="121"/>
      <c r="G551" s="121"/>
      <c r="H551" s="121"/>
      <c r="I551" s="121"/>
      <c r="J551" s="121"/>
      <c r="K551" s="121"/>
      <c r="L551" s="121"/>
      <c r="M551" s="121"/>
      <c r="N551" s="121"/>
      <c r="O551" s="121"/>
      <c r="P551" s="121"/>
      <c r="Q551" s="121"/>
      <c r="R551" s="121"/>
      <c r="S551" s="121"/>
      <c r="T551" s="121"/>
      <c r="U551" s="121"/>
      <c r="V551" s="121"/>
      <c r="W551" s="121"/>
      <c r="X551" s="121"/>
      <c r="Y551" s="121"/>
      <c r="Z551" s="121"/>
    </row>
    <row r="552" customFormat="false" ht="15.75" hidden="false" customHeight="false" outlineLevel="0" collapsed="false">
      <c r="A552" s="121"/>
      <c r="B552" s="121"/>
      <c r="C552" s="121"/>
      <c r="D552" s="121"/>
      <c r="E552" s="121"/>
      <c r="F552" s="121"/>
      <c r="G552" s="121"/>
      <c r="H552" s="121"/>
      <c r="I552" s="121"/>
      <c r="J552" s="121"/>
      <c r="K552" s="121"/>
      <c r="L552" s="121"/>
      <c r="M552" s="121"/>
      <c r="N552" s="121"/>
      <c r="O552" s="121"/>
      <c r="P552" s="121"/>
      <c r="Q552" s="121"/>
      <c r="R552" s="121"/>
      <c r="S552" s="121"/>
      <c r="T552" s="121"/>
      <c r="U552" s="121"/>
      <c r="V552" s="121"/>
      <c r="W552" s="121"/>
      <c r="X552" s="121"/>
      <c r="Y552" s="121"/>
      <c r="Z552" s="121"/>
    </row>
    <row r="553" customFormat="false" ht="15.75" hidden="false" customHeight="false" outlineLevel="0" collapsed="false">
      <c r="A553" s="121"/>
      <c r="B553" s="121"/>
      <c r="C553" s="121"/>
      <c r="D553" s="121"/>
      <c r="E553" s="121"/>
      <c r="F553" s="121"/>
      <c r="G553" s="121"/>
      <c r="H553" s="121"/>
      <c r="I553" s="121"/>
      <c r="J553" s="121"/>
      <c r="K553" s="121"/>
      <c r="L553" s="121"/>
      <c r="M553" s="121"/>
      <c r="N553" s="121"/>
      <c r="O553" s="121"/>
      <c r="P553" s="121"/>
      <c r="Q553" s="121"/>
      <c r="R553" s="121"/>
      <c r="S553" s="121"/>
      <c r="T553" s="121"/>
      <c r="U553" s="121"/>
      <c r="V553" s="121"/>
      <c r="W553" s="121"/>
      <c r="X553" s="121"/>
      <c r="Y553" s="121"/>
      <c r="Z553" s="121"/>
    </row>
    <row r="554" customFormat="false" ht="15.75" hidden="false" customHeight="false" outlineLevel="0" collapsed="false">
      <c r="A554" s="121"/>
      <c r="B554" s="121"/>
      <c r="C554" s="121"/>
      <c r="D554" s="121"/>
      <c r="E554" s="121"/>
      <c r="F554" s="121"/>
      <c r="G554" s="121"/>
      <c r="H554" s="121"/>
      <c r="I554" s="121"/>
      <c r="J554" s="121"/>
      <c r="K554" s="121"/>
      <c r="L554" s="121"/>
      <c r="M554" s="121"/>
      <c r="N554" s="121"/>
      <c r="O554" s="121"/>
      <c r="P554" s="121"/>
      <c r="Q554" s="121"/>
      <c r="R554" s="121"/>
      <c r="S554" s="121"/>
      <c r="T554" s="121"/>
      <c r="U554" s="121"/>
      <c r="V554" s="121"/>
      <c r="W554" s="121"/>
      <c r="X554" s="121"/>
      <c r="Y554" s="121"/>
      <c r="Z554" s="121"/>
    </row>
    <row r="555" customFormat="false" ht="15.75" hidden="false" customHeight="false" outlineLevel="0" collapsed="false">
      <c r="A555" s="121"/>
      <c r="B555" s="121"/>
      <c r="C555" s="121"/>
      <c r="D555" s="121"/>
      <c r="E555" s="121"/>
      <c r="F555" s="121"/>
      <c r="G555" s="121"/>
      <c r="H555" s="121"/>
      <c r="I555" s="121"/>
      <c r="J555" s="121"/>
      <c r="K555" s="121"/>
      <c r="L555" s="121"/>
      <c r="M555" s="121"/>
      <c r="N555" s="121"/>
      <c r="O555" s="121"/>
      <c r="P555" s="121"/>
      <c r="Q555" s="121"/>
      <c r="R555" s="121"/>
      <c r="S555" s="121"/>
      <c r="T555" s="121"/>
      <c r="U555" s="121"/>
      <c r="V555" s="121"/>
      <c r="W555" s="121"/>
      <c r="X555" s="121"/>
      <c r="Y555" s="121"/>
      <c r="Z555" s="121"/>
    </row>
    <row r="556" customFormat="false" ht="15.75" hidden="false" customHeight="false" outlineLevel="0" collapsed="false">
      <c r="A556" s="121"/>
      <c r="B556" s="121"/>
      <c r="C556" s="121"/>
      <c r="D556" s="121"/>
      <c r="E556" s="121"/>
      <c r="F556" s="121"/>
      <c r="G556" s="121"/>
      <c r="H556" s="121"/>
      <c r="I556" s="121"/>
      <c r="J556" s="121"/>
      <c r="K556" s="121"/>
      <c r="L556" s="121"/>
      <c r="M556" s="121"/>
      <c r="N556" s="121"/>
      <c r="O556" s="121"/>
      <c r="P556" s="121"/>
      <c r="Q556" s="121"/>
      <c r="R556" s="121"/>
      <c r="S556" s="121"/>
      <c r="T556" s="121"/>
      <c r="U556" s="121"/>
      <c r="V556" s="121"/>
      <c r="W556" s="121"/>
      <c r="X556" s="121"/>
      <c r="Y556" s="121"/>
      <c r="Z556" s="121"/>
    </row>
    <row r="557" customFormat="false" ht="15.75" hidden="false" customHeight="false" outlineLevel="0" collapsed="false">
      <c r="A557" s="121"/>
      <c r="B557" s="121"/>
      <c r="C557" s="121"/>
      <c r="D557" s="121"/>
      <c r="E557" s="121"/>
      <c r="F557" s="121"/>
      <c r="G557" s="121"/>
      <c r="H557" s="121"/>
      <c r="I557" s="121"/>
      <c r="J557" s="121"/>
      <c r="K557" s="121"/>
      <c r="L557" s="121"/>
      <c r="M557" s="121"/>
      <c r="N557" s="121"/>
      <c r="O557" s="121"/>
      <c r="P557" s="121"/>
      <c r="Q557" s="121"/>
      <c r="R557" s="121"/>
      <c r="S557" s="121"/>
      <c r="T557" s="121"/>
      <c r="U557" s="121"/>
      <c r="V557" s="121"/>
      <c r="W557" s="121"/>
      <c r="X557" s="121"/>
      <c r="Y557" s="121"/>
      <c r="Z557" s="121"/>
    </row>
    <row r="558" customFormat="false" ht="15.75" hidden="false" customHeight="false" outlineLevel="0" collapsed="false">
      <c r="A558" s="121"/>
      <c r="B558" s="121"/>
      <c r="C558" s="121"/>
      <c r="D558" s="121"/>
      <c r="E558" s="121"/>
      <c r="F558" s="121"/>
      <c r="G558" s="121"/>
      <c r="H558" s="121"/>
      <c r="I558" s="121"/>
      <c r="J558" s="121"/>
      <c r="K558" s="121"/>
      <c r="L558" s="121"/>
      <c r="M558" s="121"/>
      <c r="N558" s="121"/>
      <c r="O558" s="121"/>
      <c r="P558" s="121"/>
      <c r="Q558" s="121"/>
      <c r="R558" s="121"/>
      <c r="S558" s="121"/>
      <c r="T558" s="121"/>
      <c r="U558" s="121"/>
      <c r="V558" s="121"/>
      <c r="W558" s="121"/>
      <c r="X558" s="121"/>
      <c r="Y558" s="121"/>
      <c r="Z558" s="121"/>
    </row>
    <row r="559" customFormat="false" ht="15.75" hidden="false" customHeight="false" outlineLevel="0" collapsed="false">
      <c r="A559" s="121"/>
      <c r="B559" s="121"/>
      <c r="C559" s="121"/>
      <c r="D559" s="121"/>
      <c r="E559" s="121"/>
      <c r="F559" s="121"/>
      <c r="G559" s="121"/>
      <c r="H559" s="121"/>
      <c r="I559" s="121"/>
      <c r="J559" s="121"/>
      <c r="K559" s="121"/>
      <c r="L559" s="121"/>
      <c r="M559" s="121"/>
      <c r="N559" s="121"/>
      <c r="O559" s="121"/>
      <c r="P559" s="121"/>
      <c r="Q559" s="121"/>
      <c r="R559" s="121"/>
      <c r="S559" s="121"/>
      <c r="T559" s="121"/>
      <c r="U559" s="121"/>
      <c r="V559" s="121"/>
      <c r="W559" s="121"/>
      <c r="X559" s="121"/>
      <c r="Y559" s="121"/>
      <c r="Z559" s="121"/>
    </row>
    <row r="560" customFormat="false" ht="15.75" hidden="false" customHeight="false" outlineLevel="0" collapsed="false">
      <c r="A560" s="121"/>
      <c r="B560" s="121"/>
      <c r="C560" s="121"/>
      <c r="D560" s="121"/>
      <c r="E560" s="121"/>
      <c r="F560" s="121"/>
      <c r="G560" s="121"/>
      <c r="H560" s="121"/>
      <c r="I560" s="121"/>
      <c r="J560" s="121"/>
      <c r="K560" s="121"/>
      <c r="L560" s="121"/>
      <c r="M560" s="121"/>
      <c r="N560" s="121"/>
      <c r="O560" s="121"/>
      <c r="P560" s="121"/>
      <c r="Q560" s="121"/>
      <c r="R560" s="121"/>
      <c r="S560" s="121"/>
      <c r="T560" s="121"/>
      <c r="U560" s="121"/>
      <c r="V560" s="121"/>
      <c r="W560" s="121"/>
      <c r="X560" s="121"/>
      <c r="Y560" s="121"/>
      <c r="Z560" s="121"/>
    </row>
    <row r="561" customFormat="false" ht="15.75" hidden="false" customHeight="false" outlineLevel="0" collapsed="false">
      <c r="A561" s="121"/>
      <c r="B561" s="121"/>
      <c r="C561" s="121"/>
      <c r="D561" s="121"/>
      <c r="E561" s="121"/>
      <c r="F561" s="121"/>
      <c r="G561" s="121"/>
      <c r="H561" s="121"/>
      <c r="I561" s="121"/>
      <c r="J561" s="121"/>
      <c r="K561" s="121"/>
      <c r="L561" s="121"/>
      <c r="M561" s="121"/>
      <c r="N561" s="121"/>
      <c r="O561" s="121"/>
      <c r="P561" s="121"/>
      <c r="Q561" s="121"/>
      <c r="R561" s="121"/>
      <c r="S561" s="121"/>
      <c r="T561" s="121"/>
      <c r="U561" s="121"/>
      <c r="V561" s="121"/>
      <c r="W561" s="121"/>
      <c r="X561" s="121"/>
      <c r="Y561" s="121"/>
      <c r="Z561" s="121"/>
    </row>
    <row r="562" customFormat="false" ht="15.75" hidden="false" customHeight="false" outlineLevel="0" collapsed="false">
      <c r="A562" s="121"/>
      <c r="B562" s="121"/>
      <c r="C562" s="121"/>
      <c r="D562" s="121"/>
      <c r="E562" s="121"/>
      <c r="F562" s="121"/>
      <c r="G562" s="121"/>
      <c r="H562" s="121"/>
      <c r="I562" s="121"/>
      <c r="J562" s="121"/>
      <c r="K562" s="121"/>
      <c r="L562" s="121"/>
      <c r="M562" s="121"/>
      <c r="N562" s="121"/>
      <c r="O562" s="121"/>
      <c r="P562" s="121"/>
      <c r="Q562" s="121"/>
      <c r="R562" s="121"/>
      <c r="S562" s="121"/>
      <c r="T562" s="121"/>
      <c r="U562" s="121"/>
      <c r="V562" s="121"/>
      <c r="W562" s="121"/>
      <c r="X562" s="121"/>
      <c r="Y562" s="121"/>
      <c r="Z562" s="121"/>
    </row>
    <row r="563" customFormat="false" ht="15.75" hidden="false" customHeight="false" outlineLevel="0" collapsed="false">
      <c r="A563" s="121"/>
      <c r="B563" s="121"/>
      <c r="C563" s="121"/>
      <c r="D563" s="121"/>
      <c r="E563" s="121"/>
      <c r="F563" s="121"/>
      <c r="G563" s="121"/>
      <c r="H563" s="121"/>
      <c r="I563" s="121"/>
      <c r="J563" s="121"/>
      <c r="K563" s="121"/>
      <c r="L563" s="121"/>
      <c r="M563" s="121"/>
      <c r="N563" s="121"/>
      <c r="O563" s="121"/>
      <c r="P563" s="121"/>
      <c r="Q563" s="121"/>
      <c r="R563" s="121"/>
      <c r="S563" s="121"/>
      <c r="T563" s="121"/>
      <c r="U563" s="121"/>
      <c r="V563" s="121"/>
      <c r="W563" s="121"/>
      <c r="X563" s="121"/>
      <c r="Y563" s="121"/>
      <c r="Z563" s="121"/>
    </row>
    <row r="564" customFormat="false" ht="15.75" hidden="false" customHeight="false" outlineLevel="0" collapsed="false">
      <c r="A564" s="121"/>
      <c r="B564" s="121"/>
      <c r="C564" s="121"/>
      <c r="D564" s="121"/>
      <c r="E564" s="121"/>
      <c r="F564" s="121"/>
      <c r="G564" s="121"/>
      <c r="H564" s="121"/>
      <c r="I564" s="121"/>
      <c r="J564" s="121"/>
      <c r="K564" s="121"/>
      <c r="L564" s="121"/>
      <c r="M564" s="121"/>
      <c r="N564" s="121"/>
      <c r="O564" s="121"/>
      <c r="P564" s="121"/>
      <c r="Q564" s="121"/>
      <c r="R564" s="121"/>
      <c r="S564" s="121"/>
      <c r="T564" s="121"/>
      <c r="U564" s="121"/>
      <c r="V564" s="121"/>
      <c r="W564" s="121"/>
      <c r="X564" s="121"/>
      <c r="Y564" s="121"/>
      <c r="Z564" s="121"/>
    </row>
    <row r="565" customFormat="false" ht="15.75" hidden="false" customHeight="false" outlineLevel="0" collapsed="false">
      <c r="A565" s="121"/>
      <c r="B565" s="121"/>
      <c r="C565" s="121"/>
      <c r="D565" s="121"/>
      <c r="E565" s="121"/>
      <c r="F565" s="121"/>
      <c r="G565" s="121"/>
      <c r="H565" s="121"/>
      <c r="I565" s="121"/>
      <c r="J565" s="121"/>
      <c r="K565" s="121"/>
      <c r="L565" s="121"/>
      <c r="M565" s="121"/>
      <c r="N565" s="121"/>
      <c r="O565" s="121"/>
      <c r="P565" s="121"/>
      <c r="Q565" s="121"/>
      <c r="R565" s="121"/>
      <c r="S565" s="121"/>
      <c r="T565" s="121"/>
      <c r="U565" s="121"/>
      <c r="V565" s="121"/>
      <c r="W565" s="121"/>
      <c r="X565" s="121"/>
      <c r="Y565" s="121"/>
      <c r="Z565" s="121"/>
    </row>
    <row r="566" customFormat="false" ht="15.75" hidden="false" customHeight="false" outlineLevel="0" collapsed="false">
      <c r="A566" s="121"/>
      <c r="B566" s="121"/>
      <c r="C566" s="121"/>
      <c r="D566" s="121"/>
      <c r="E566" s="121"/>
      <c r="F566" s="121"/>
      <c r="G566" s="121"/>
      <c r="H566" s="121"/>
      <c r="I566" s="121"/>
      <c r="J566" s="121"/>
      <c r="K566" s="121"/>
      <c r="L566" s="121"/>
      <c r="M566" s="121"/>
      <c r="N566" s="121"/>
      <c r="O566" s="121"/>
      <c r="P566" s="121"/>
      <c r="Q566" s="121"/>
      <c r="R566" s="121"/>
      <c r="S566" s="121"/>
      <c r="T566" s="121"/>
      <c r="U566" s="121"/>
      <c r="V566" s="121"/>
      <c r="W566" s="121"/>
      <c r="X566" s="121"/>
      <c r="Y566" s="121"/>
      <c r="Z566" s="121"/>
    </row>
    <row r="567" customFormat="false" ht="15.75" hidden="false" customHeight="false" outlineLevel="0" collapsed="false">
      <c r="A567" s="121"/>
      <c r="B567" s="121"/>
      <c r="C567" s="121"/>
      <c r="D567" s="121"/>
      <c r="E567" s="121"/>
      <c r="F567" s="121"/>
      <c r="G567" s="121"/>
      <c r="H567" s="121"/>
      <c r="I567" s="121"/>
      <c r="J567" s="121"/>
      <c r="K567" s="121"/>
      <c r="L567" s="121"/>
      <c r="M567" s="121"/>
      <c r="N567" s="121"/>
      <c r="O567" s="121"/>
      <c r="P567" s="121"/>
      <c r="Q567" s="121"/>
      <c r="R567" s="121"/>
      <c r="S567" s="121"/>
      <c r="T567" s="121"/>
      <c r="U567" s="121"/>
      <c r="V567" s="121"/>
      <c r="W567" s="121"/>
      <c r="X567" s="121"/>
      <c r="Y567" s="121"/>
      <c r="Z567" s="121"/>
    </row>
    <row r="568" customFormat="false" ht="15.75" hidden="false" customHeight="false" outlineLevel="0" collapsed="false">
      <c r="A568" s="121"/>
      <c r="B568" s="121"/>
      <c r="C568" s="121"/>
      <c r="D568" s="121"/>
      <c r="E568" s="121"/>
      <c r="F568" s="121"/>
      <c r="G568" s="121"/>
      <c r="H568" s="121"/>
      <c r="I568" s="121"/>
      <c r="J568" s="121"/>
      <c r="K568" s="121"/>
      <c r="L568" s="121"/>
      <c r="M568" s="121"/>
      <c r="N568" s="121"/>
      <c r="O568" s="121"/>
      <c r="P568" s="121"/>
      <c r="Q568" s="121"/>
      <c r="R568" s="121"/>
      <c r="S568" s="121"/>
      <c r="T568" s="121"/>
      <c r="U568" s="121"/>
      <c r="V568" s="121"/>
      <c r="W568" s="121"/>
      <c r="X568" s="121"/>
      <c r="Y568" s="121"/>
      <c r="Z568" s="121"/>
    </row>
    <row r="569" customFormat="false" ht="15.75" hidden="false" customHeight="false" outlineLevel="0" collapsed="false">
      <c r="A569" s="121"/>
      <c r="B569" s="121"/>
      <c r="C569" s="121"/>
      <c r="D569" s="121"/>
      <c r="E569" s="121"/>
      <c r="F569" s="121"/>
      <c r="G569" s="121"/>
      <c r="H569" s="121"/>
      <c r="I569" s="121"/>
      <c r="J569" s="121"/>
      <c r="K569" s="121"/>
      <c r="L569" s="121"/>
      <c r="M569" s="121"/>
      <c r="N569" s="121"/>
      <c r="O569" s="121"/>
      <c r="P569" s="121"/>
      <c r="Q569" s="121"/>
      <c r="R569" s="121"/>
      <c r="S569" s="121"/>
      <c r="T569" s="121"/>
      <c r="U569" s="121"/>
      <c r="V569" s="121"/>
      <c r="W569" s="121"/>
      <c r="X569" s="121"/>
      <c r="Y569" s="121"/>
      <c r="Z569" s="121"/>
    </row>
    <row r="570" customFormat="false" ht="15.75" hidden="false" customHeight="false" outlineLevel="0" collapsed="false">
      <c r="A570" s="121"/>
      <c r="B570" s="121"/>
      <c r="C570" s="121"/>
      <c r="D570" s="121"/>
      <c r="E570" s="121"/>
      <c r="F570" s="121"/>
      <c r="G570" s="121"/>
      <c r="H570" s="121"/>
      <c r="I570" s="121"/>
      <c r="J570" s="121"/>
      <c r="K570" s="121"/>
      <c r="L570" s="121"/>
      <c r="M570" s="121"/>
      <c r="N570" s="121"/>
      <c r="O570" s="121"/>
      <c r="P570" s="121"/>
      <c r="Q570" s="121"/>
      <c r="R570" s="121"/>
      <c r="S570" s="121"/>
      <c r="T570" s="121"/>
      <c r="U570" s="121"/>
      <c r="V570" s="121"/>
      <c r="W570" s="121"/>
      <c r="X570" s="121"/>
      <c r="Y570" s="121"/>
      <c r="Z570" s="121"/>
    </row>
    <row r="571" customFormat="false" ht="15.75" hidden="false" customHeight="false" outlineLevel="0" collapsed="false">
      <c r="A571" s="121"/>
      <c r="B571" s="121"/>
      <c r="C571" s="121"/>
      <c r="D571" s="121"/>
      <c r="E571" s="121"/>
      <c r="F571" s="121"/>
      <c r="G571" s="121"/>
      <c r="H571" s="121"/>
      <c r="I571" s="121"/>
      <c r="J571" s="121"/>
      <c r="K571" s="121"/>
      <c r="L571" s="121"/>
      <c r="M571" s="121"/>
      <c r="N571" s="121"/>
      <c r="O571" s="121"/>
      <c r="P571" s="121"/>
      <c r="Q571" s="121"/>
      <c r="R571" s="121"/>
      <c r="S571" s="121"/>
      <c r="T571" s="121"/>
      <c r="U571" s="121"/>
      <c r="V571" s="121"/>
      <c r="W571" s="121"/>
      <c r="X571" s="121"/>
      <c r="Y571" s="121"/>
      <c r="Z571" s="121"/>
    </row>
    <row r="572" customFormat="false" ht="15.75" hidden="false" customHeight="false" outlineLevel="0" collapsed="false">
      <c r="A572" s="121"/>
      <c r="B572" s="121"/>
      <c r="C572" s="121"/>
      <c r="D572" s="121"/>
      <c r="E572" s="121"/>
      <c r="F572" s="121"/>
      <c r="G572" s="121"/>
      <c r="H572" s="121"/>
      <c r="I572" s="121"/>
      <c r="J572" s="121"/>
      <c r="K572" s="121"/>
      <c r="L572" s="121"/>
      <c r="M572" s="121"/>
      <c r="N572" s="121"/>
      <c r="O572" s="121"/>
      <c r="P572" s="121"/>
      <c r="Q572" s="121"/>
      <c r="R572" s="121"/>
      <c r="S572" s="121"/>
      <c r="T572" s="121"/>
      <c r="U572" s="121"/>
      <c r="V572" s="121"/>
      <c r="W572" s="121"/>
      <c r="X572" s="121"/>
      <c r="Y572" s="121"/>
      <c r="Z572" s="121"/>
    </row>
    <row r="573" customFormat="false" ht="15.75" hidden="false" customHeight="false" outlineLevel="0" collapsed="false">
      <c r="A573" s="121"/>
      <c r="B573" s="121"/>
      <c r="C573" s="121"/>
      <c r="D573" s="121"/>
      <c r="E573" s="121"/>
      <c r="F573" s="121"/>
      <c r="G573" s="121"/>
      <c r="H573" s="121"/>
      <c r="I573" s="121"/>
      <c r="J573" s="121"/>
      <c r="K573" s="121"/>
      <c r="L573" s="121"/>
      <c r="M573" s="121"/>
      <c r="N573" s="121"/>
      <c r="O573" s="121"/>
      <c r="P573" s="121"/>
      <c r="Q573" s="121"/>
      <c r="R573" s="121"/>
      <c r="S573" s="121"/>
      <c r="T573" s="121"/>
      <c r="U573" s="121"/>
      <c r="V573" s="121"/>
      <c r="W573" s="121"/>
      <c r="X573" s="121"/>
      <c r="Y573" s="121"/>
      <c r="Z573" s="121"/>
    </row>
    <row r="574" customFormat="false" ht="15.75" hidden="false" customHeight="false" outlineLevel="0" collapsed="false">
      <c r="A574" s="121"/>
      <c r="B574" s="121"/>
      <c r="C574" s="121"/>
      <c r="D574" s="121"/>
      <c r="E574" s="121"/>
      <c r="F574" s="121"/>
      <c r="G574" s="121"/>
      <c r="H574" s="121"/>
      <c r="I574" s="121"/>
      <c r="J574" s="121"/>
      <c r="K574" s="121"/>
      <c r="L574" s="121"/>
      <c r="M574" s="121"/>
      <c r="N574" s="121"/>
      <c r="O574" s="121"/>
      <c r="P574" s="121"/>
      <c r="Q574" s="121"/>
      <c r="R574" s="121"/>
      <c r="S574" s="121"/>
      <c r="T574" s="121"/>
      <c r="U574" s="121"/>
      <c r="V574" s="121"/>
      <c r="W574" s="121"/>
      <c r="X574" s="121"/>
      <c r="Y574" s="121"/>
      <c r="Z574" s="121"/>
    </row>
    <row r="575" customFormat="false" ht="15.75" hidden="false" customHeight="false" outlineLevel="0" collapsed="false">
      <c r="A575" s="121"/>
      <c r="B575" s="121"/>
      <c r="C575" s="121"/>
      <c r="D575" s="121"/>
      <c r="E575" s="121"/>
      <c r="F575" s="121"/>
      <c r="G575" s="121"/>
      <c r="H575" s="121"/>
      <c r="I575" s="121"/>
      <c r="J575" s="121"/>
      <c r="K575" s="121"/>
      <c r="L575" s="121"/>
      <c r="M575" s="121"/>
      <c r="N575" s="121"/>
      <c r="O575" s="121"/>
      <c r="P575" s="121"/>
      <c r="Q575" s="121"/>
      <c r="R575" s="121"/>
      <c r="S575" s="121"/>
      <c r="T575" s="121"/>
      <c r="U575" s="121"/>
      <c r="V575" s="121"/>
      <c r="W575" s="121"/>
      <c r="X575" s="121"/>
      <c r="Y575" s="121"/>
      <c r="Z575" s="121"/>
    </row>
    <row r="576" customFormat="false" ht="15.75" hidden="false" customHeight="false" outlineLevel="0" collapsed="false">
      <c r="A576" s="121"/>
      <c r="B576" s="121"/>
      <c r="C576" s="121"/>
      <c r="D576" s="121"/>
      <c r="E576" s="121"/>
      <c r="F576" s="121"/>
      <c r="G576" s="121"/>
      <c r="H576" s="121"/>
      <c r="I576" s="121"/>
      <c r="J576" s="121"/>
      <c r="K576" s="121"/>
      <c r="L576" s="121"/>
      <c r="M576" s="121"/>
      <c r="N576" s="121"/>
      <c r="O576" s="121"/>
      <c r="P576" s="121"/>
      <c r="Q576" s="121"/>
      <c r="R576" s="121"/>
      <c r="S576" s="121"/>
      <c r="T576" s="121"/>
      <c r="U576" s="121"/>
      <c r="V576" s="121"/>
      <c r="W576" s="121"/>
      <c r="X576" s="121"/>
      <c r="Y576" s="121"/>
      <c r="Z576" s="121"/>
    </row>
    <row r="577" customFormat="false" ht="15.75" hidden="false" customHeight="false" outlineLevel="0" collapsed="false">
      <c r="A577" s="121"/>
      <c r="B577" s="121"/>
      <c r="C577" s="121"/>
      <c r="D577" s="121"/>
      <c r="E577" s="121"/>
      <c r="F577" s="121"/>
      <c r="G577" s="121"/>
      <c r="H577" s="121"/>
      <c r="I577" s="121"/>
      <c r="J577" s="121"/>
      <c r="K577" s="121"/>
      <c r="L577" s="121"/>
      <c r="M577" s="121"/>
      <c r="N577" s="121"/>
      <c r="O577" s="121"/>
      <c r="P577" s="121"/>
      <c r="Q577" s="121"/>
      <c r="R577" s="121"/>
      <c r="S577" s="121"/>
      <c r="T577" s="121"/>
      <c r="U577" s="121"/>
      <c r="V577" s="121"/>
      <c r="W577" s="121"/>
      <c r="X577" s="121"/>
      <c r="Y577" s="121"/>
      <c r="Z577" s="121"/>
    </row>
    <row r="578" customFormat="false" ht="15.75" hidden="false" customHeight="false" outlineLevel="0" collapsed="false">
      <c r="A578" s="121"/>
      <c r="B578" s="121"/>
      <c r="C578" s="121"/>
      <c r="D578" s="121"/>
      <c r="E578" s="121"/>
      <c r="F578" s="121"/>
      <c r="G578" s="121"/>
      <c r="H578" s="121"/>
      <c r="I578" s="121"/>
      <c r="J578" s="121"/>
      <c r="K578" s="121"/>
      <c r="L578" s="121"/>
      <c r="M578" s="121"/>
      <c r="N578" s="121"/>
      <c r="O578" s="121"/>
      <c r="P578" s="121"/>
      <c r="Q578" s="121"/>
      <c r="R578" s="121"/>
      <c r="S578" s="121"/>
      <c r="T578" s="121"/>
      <c r="U578" s="121"/>
      <c r="V578" s="121"/>
      <c r="W578" s="121"/>
      <c r="X578" s="121"/>
      <c r="Y578" s="121"/>
      <c r="Z578" s="121"/>
    </row>
    <row r="579" customFormat="false" ht="15.75" hidden="false" customHeight="false" outlineLevel="0" collapsed="false">
      <c r="A579" s="121"/>
      <c r="B579" s="121"/>
      <c r="C579" s="121"/>
      <c r="D579" s="121"/>
      <c r="E579" s="121"/>
      <c r="F579" s="121"/>
      <c r="G579" s="121"/>
      <c r="H579" s="121"/>
      <c r="I579" s="121"/>
      <c r="J579" s="121"/>
      <c r="K579" s="121"/>
      <c r="L579" s="121"/>
      <c r="M579" s="121"/>
      <c r="N579" s="121"/>
      <c r="O579" s="121"/>
      <c r="P579" s="121"/>
      <c r="Q579" s="121"/>
      <c r="R579" s="121"/>
      <c r="S579" s="121"/>
      <c r="T579" s="121"/>
      <c r="U579" s="121"/>
      <c r="V579" s="121"/>
      <c r="W579" s="121"/>
      <c r="X579" s="121"/>
      <c r="Y579" s="121"/>
      <c r="Z579" s="121"/>
    </row>
    <row r="580" customFormat="false" ht="15.75" hidden="false" customHeight="false" outlineLevel="0" collapsed="false">
      <c r="A580" s="121"/>
      <c r="B580" s="121"/>
      <c r="C580" s="121"/>
      <c r="D580" s="121"/>
      <c r="E580" s="121"/>
      <c r="F580" s="121"/>
      <c r="G580" s="121"/>
      <c r="H580" s="121"/>
      <c r="I580" s="121"/>
      <c r="J580" s="121"/>
      <c r="K580" s="121"/>
      <c r="L580" s="121"/>
      <c r="M580" s="121"/>
      <c r="N580" s="121"/>
      <c r="O580" s="121"/>
      <c r="P580" s="121"/>
      <c r="Q580" s="121"/>
      <c r="R580" s="121"/>
      <c r="S580" s="121"/>
      <c r="T580" s="121"/>
      <c r="U580" s="121"/>
      <c r="V580" s="121"/>
      <c r="W580" s="121"/>
      <c r="X580" s="121"/>
      <c r="Y580" s="121"/>
      <c r="Z580" s="121"/>
    </row>
    <row r="581" customFormat="false" ht="15.75" hidden="false" customHeight="false" outlineLevel="0" collapsed="false">
      <c r="A581" s="121"/>
      <c r="B581" s="121"/>
      <c r="C581" s="121"/>
      <c r="D581" s="121"/>
      <c r="E581" s="121"/>
      <c r="F581" s="121"/>
      <c r="G581" s="121"/>
      <c r="H581" s="121"/>
      <c r="I581" s="121"/>
      <c r="J581" s="121"/>
      <c r="K581" s="121"/>
      <c r="L581" s="121"/>
      <c r="M581" s="121"/>
      <c r="N581" s="121"/>
      <c r="O581" s="121"/>
      <c r="P581" s="121"/>
      <c r="Q581" s="121"/>
      <c r="R581" s="121"/>
      <c r="S581" s="121"/>
      <c r="T581" s="121"/>
      <c r="U581" s="121"/>
      <c r="V581" s="121"/>
      <c r="W581" s="121"/>
      <c r="X581" s="121"/>
      <c r="Y581" s="121"/>
      <c r="Z581" s="121"/>
    </row>
    <row r="582" customFormat="false" ht="15.75" hidden="false" customHeight="false" outlineLevel="0" collapsed="false">
      <c r="A582" s="121"/>
      <c r="B582" s="121"/>
      <c r="C582" s="121"/>
      <c r="D582" s="121"/>
      <c r="E582" s="121"/>
      <c r="F582" s="121"/>
      <c r="G582" s="121"/>
      <c r="H582" s="121"/>
      <c r="I582" s="121"/>
      <c r="J582" s="121"/>
      <c r="K582" s="121"/>
      <c r="L582" s="121"/>
      <c r="M582" s="121"/>
      <c r="N582" s="121"/>
      <c r="O582" s="121"/>
      <c r="P582" s="121"/>
      <c r="Q582" s="121"/>
      <c r="R582" s="121"/>
      <c r="S582" s="121"/>
      <c r="T582" s="121"/>
      <c r="U582" s="121"/>
      <c r="V582" s="121"/>
      <c r="W582" s="121"/>
      <c r="X582" s="121"/>
      <c r="Y582" s="121"/>
      <c r="Z582" s="121"/>
    </row>
    <row r="583" customFormat="false" ht="15.75" hidden="false" customHeight="false" outlineLevel="0" collapsed="false">
      <c r="A583" s="121"/>
      <c r="B583" s="121"/>
      <c r="C583" s="121"/>
      <c r="D583" s="121"/>
      <c r="E583" s="121"/>
      <c r="F583" s="121"/>
      <c r="G583" s="121"/>
      <c r="H583" s="121"/>
      <c r="I583" s="121"/>
      <c r="J583" s="121"/>
      <c r="K583" s="121"/>
      <c r="L583" s="121"/>
      <c r="M583" s="121"/>
      <c r="N583" s="121"/>
      <c r="O583" s="121"/>
      <c r="P583" s="121"/>
      <c r="Q583" s="121"/>
      <c r="R583" s="121"/>
      <c r="S583" s="121"/>
      <c r="T583" s="121"/>
      <c r="U583" s="121"/>
      <c r="V583" s="121"/>
      <c r="W583" s="121"/>
      <c r="X583" s="121"/>
      <c r="Y583" s="121"/>
      <c r="Z583" s="121"/>
    </row>
    <row r="584" customFormat="false" ht="15.75" hidden="false" customHeight="false" outlineLevel="0" collapsed="false">
      <c r="A584" s="121"/>
      <c r="B584" s="121"/>
      <c r="C584" s="121"/>
      <c r="D584" s="121"/>
      <c r="E584" s="121"/>
      <c r="F584" s="121"/>
      <c r="G584" s="121"/>
      <c r="H584" s="121"/>
      <c r="I584" s="121"/>
      <c r="J584" s="121"/>
      <c r="K584" s="121"/>
      <c r="L584" s="121"/>
      <c r="M584" s="121"/>
      <c r="N584" s="121"/>
      <c r="O584" s="121"/>
      <c r="P584" s="121"/>
      <c r="Q584" s="121"/>
      <c r="R584" s="121"/>
      <c r="S584" s="121"/>
      <c r="T584" s="121"/>
      <c r="U584" s="121"/>
      <c r="V584" s="121"/>
      <c r="W584" s="121"/>
      <c r="X584" s="121"/>
      <c r="Y584" s="121"/>
      <c r="Z584" s="121"/>
    </row>
    <row r="585" customFormat="false" ht="15.75" hidden="false" customHeight="false" outlineLevel="0" collapsed="false">
      <c r="A585" s="121"/>
      <c r="B585" s="121"/>
      <c r="C585" s="121"/>
      <c r="D585" s="121"/>
      <c r="E585" s="121"/>
      <c r="F585" s="121"/>
      <c r="G585" s="121"/>
      <c r="H585" s="121"/>
      <c r="I585" s="121"/>
      <c r="J585" s="121"/>
      <c r="K585" s="121"/>
      <c r="L585" s="121"/>
      <c r="M585" s="121"/>
      <c r="N585" s="121"/>
      <c r="O585" s="121"/>
      <c r="P585" s="121"/>
      <c r="Q585" s="121"/>
      <c r="R585" s="121"/>
      <c r="S585" s="121"/>
      <c r="T585" s="121"/>
      <c r="U585" s="121"/>
      <c r="V585" s="121"/>
      <c r="W585" s="121"/>
      <c r="X585" s="121"/>
      <c r="Y585" s="121"/>
      <c r="Z585" s="121"/>
    </row>
    <row r="586" customFormat="false" ht="15.75" hidden="false" customHeight="false" outlineLevel="0" collapsed="false">
      <c r="A586" s="121"/>
      <c r="B586" s="121"/>
      <c r="C586" s="121"/>
      <c r="D586" s="121"/>
      <c r="E586" s="121"/>
      <c r="F586" s="121"/>
      <c r="G586" s="121"/>
      <c r="H586" s="121"/>
      <c r="I586" s="121"/>
      <c r="J586" s="121"/>
      <c r="K586" s="121"/>
      <c r="L586" s="121"/>
      <c r="M586" s="121"/>
      <c r="N586" s="121"/>
      <c r="O586" s="121"/>
      <c r="P586" s="121"/>
      <c r="Q586" s="121"/>
      <c r="R586" s="121"/>
      <c r="S586" s="121"/>
      <c r="T586" s="121"/>
      <c r="U586" s="121"/>
      <c r="V586" s="121"/>
      <c r="W586" s="121"/>
      <c r="X586" s="121"/>
      <c r="Y586" s="121"/>
      <c r="Z586" s="121"/>
    </row>
    <row r="587" customFormat="false" ht="15.75" hidden="false" customHeight="false" outlineLevel="0" collapsed="false">
      <c r="A587" s="121"/>
      <c r="B587" s="121"/>
      <c r="C587" s="121"/>
      <c r="D587" s="121"/>
      <c r="E587" s="121"/>
      <c r="F587" s="121"/>
      <c r="G587" s="121"/>
      <c r="H587" s="121"/>
      <c r="I587" s="121"/>
      <c r="J587" s="121"/>
      <c r="K587" s="121"/>
      <c r="L587" s="121"/>
      <c r="M587" s="121"/>
      <c r="N587" s="121"/>
      <c r="O587" s="121"/>
      <c r="P587" s="121"/>
      <c r="Q587" s="121"/>
      <c r="R587" s="121"/>
      <c r="S587" s="121"/>
      <c r="T587" s="121"/>
      <c r="U587" s="121"/>
      <c r="V587" s="121"/>
      <c r="W587" s="121"/>
      <c r="X587" s="121"/>
      <c r="Y587" s="121"/>
      <c r="Z587" s="121"/>
    </row>
    <row r="588" customFormat="false" ht="15.75" hidden="false" customHeight="false" outlineLevel="0" collapsed="false">
      <c r="A588" s="121"/>
      <c r="B588" s="121"/>
      <c r="C588" s="121"/>
      <c r="D588" s="121"/>
      <c r="E588" s="121"/>
      <c r="F588" s="121"/>
      <c r="G588" s="121"/>
      <c r="H588" s="121"/>
      <c r="I588" s="121"/>
      <c r="J588" s="121"/>
      <c r="K588" s="121"/>
      <c r="L588" s="121"/>
      <c r="M588" s="121"/>
      <c r="N588" s="121"/>
      <c r="O588" s="121"/>
      <c r="P588" s="121"/>
      <c r="Q588" s="121"/>
      <c r="R588" s="121"/>
      <c r="S588" s="121"/>
      <c r="T588" s="121"/>
      <c r="U588" s="121"/>
      <c r="V588" s="121"/>
      <c r="W588" s="121"/>
      <c r="X588" s="121"/>
      <c r="Y588" s="121"/>
      <c r="Z588" s="121"/>
    </row>
    <row r="589" customFormat="false" ht="15.75" hidden="false" customHeight="false" outlineLevel="0" collapsed="false">
      <c r="A589" s="121"/>
      <c r="B589" s="121"/>
      <c r="C589" s="121"/>
      <c r="D589" s="121"/>
      <c r="E589" s="121"/>
      <c r="F589" s="121"/>
      <c r="G589" s="121"/>
      <c r="H589" s="121"/>
      <c r="I589" s="121"/>
      <c r="J589" s="121"/>
      <c r="K589" s="121"/>
      <c r="L589" s="121"/>
      <c r="M589" s="121"/>
      <c r="N589" s="121"/>
      <c r="O589" s="121"/>
      <c r="P589" s="121"/>
      <c r="Q589" s="121"/>
      <c r="R589" s="121"/>
      <c r="S589" s="121"/>
      <c r="T589" s="121"/>
      <c r="U589" s="121"/>
      <c r="V589" s="121"/>
      <c r="W589" s="121"/>
      <c r="X589" s="121"/>
      <c r="Y589" s="121"/>
      <c r="Z589" s="121"/>
    </row>
    <row r="590" customFormat="false" ht="15.75" hidden="false" customHeight="false" outlineLevel="0" collapsed="false">
      <c r="A590" s="121"/>
      <c r="B590" s="121"/>
      <c r="C590" s="121"/>
      <c r="D590" s="121"/>
      <c r="E590" s="121"/>
      <c r="F590" s="121"/>
      <c r="G590" s="121"/>
      <c r="H590" s="121"/>
      <c r="I590" s="121"/>
      <c r="J590" s="121"/>
      <c r="K590" s="121"/>
      <c r="L590" s="121"/>
      <c r="M590" s="121"/>
      <c r="N590" s="121"/>
      <c r="O590" s="121"/>
      <c r="P590" s="121"/>
      <c r="Q590" s="121"/>
      <c r="R590" s="121"/>
      <c r="S590" s="121"/>
      <c r="T590" s="121"/>
      <c r="U590" s="121"/>
      <c r="V590" s="121"/>
      <c r="W590" s="121"/>
      <c r="X590" s="121"/>
      <c r="Y590" s="121"/>
      <c r="Z590" s="121"/>
    </row>
    <row r="591" customFormat="false" ht="15.75" hidden="false" customHeight="false" outlineLevel="0" collapsed="false">
      <c r="A591" s="121"/>
      <c r="B591" s="121"/>
      <c r="C591" s="121"/>
      <c r="D591" s="121"/>
      <c r="E591" s="121"/>
      <c r="F591" s="121"/>
      <c r="G591" s="121"/>
      <c r="H591" s="121"/>
      <c r="I591" s="121"/>
      <c r="J591" s="121"/>
      <c r="K591" s="121"/>
      <c r="L591" s="121"/>
      <c r="M591" s="121"/>
      <c r="N591" s="121"/>
      <c r="O591" s="121"/>
      <c r="P591" s="121"/>
      <c r="Q591" s="121"/>
      <c r="R591" s="121"/>
      <c r="S591" s="121"/>
      <c r="T591" s="121"/>
      <c r="U591" s="121"/>
      <c r="V591" s="121"/>
      <c r="W591" s="121"/>
      <c r="X591" s="121"/>
      <c r="Y591" s="121"/>
      <c r="Z591" s="121"/>
    </row>
    <row r="592" customFormat="false" ht="15.75" hidden="false" customHeight="false" outlineLevel="0" collapsed="false">
      <c r="A592" s="121"/>
      <c r="B592" s="121"/>
      <c r="C592" s="121"/>
      <c r="D592" s="121"/>
      <c r="E592" s="121"/>
      <c r="F592" s="121"/>
      <c r="G592" s="121"/>
      <c r="H592" s="121"/>
      <c r="I592" s="121"/>
      <c r="J592" s="121"/>
      <c r="K592" s="121"/>
      <c r="L592" s="121"/>
      <c r="M592" s="121"/>
      <c r="N592" s="121"/>
      <c r="O592" s="121"/>
      <c r="P592" s="121"/>
      <c r="Q592" s="121"/>
      <c r="R592" s="121"/>
      <c r="S592" s="121"/>
      <c r="T592" s="121"/>
      <c r="U592" s="121"/>
      <c r="V592" s="121"/>
      <c r="W592" s="121"/>
      <c r="X592" s="121"/>
      <c r="Y592" s="121"/>
      <c r="Z592" s="121"/>
    </row>
    <row r="593" customFormat="false" ht="15.75" hidden="false" customHeight="false" outlineLevel="0" collapsed="false">
      <c r="A593" s="121"/>
      <c r="B593" s="121"/>
      <c r="C593" s="121"/>
      <c r="D593" s="121"/>
      <c r="E593" s="121"/>
      <c r="F593" s="121"/>
      <c r="G593" s="121"/>
      <c r="H593" s="121"/>
      <c r="I593" s="121"/>
      <c r="J593" s="121"/>
      <c r="K593" s="121"/>
      <c r="L593" s="121"/>
      <c r="M593" s="121"/>
      <c r="N593" s="121"/>
      <c r="O593" s="121"/>
      <c r="P593" s="121"/>
      <c r="Q593" s="121"/>
      <c r="R593" s="121"/>
      <c r="S593" s="121"/>
      <c r="T593" s="121"/>
      <c r="U593" s="121"/>
      <c r="V593" s="121"/>
      <c r="W593" s="121"/>
      <c r="X593" s="121"/>
      <c r="Y593" s="121"/>
      <c r="Z593" s="121"/>
    </row>
    <row r="594" customFormat="false" ht="15.75" hidden="false" customHeight="false" outlineLevel="0" collapsed="false">
      <c r="A594" s="121"/>
      <c r="B594" s="121"/>
      <c r="C594" s="121"/>
      <c r="D594" s="121"/>
      <c r="E594" s="121"/>
      <c r="F594" s="121"/>
      <c r="G594" s="121"/>
      <c r="H594" s="121"/>
      <c r="I594" s="121"/>
      <c r="J594" s="121"/>
      <c r="K594" s="121"/>
      <c r="L594" s="121"/>
      <c r="M594" s="121"/>
      <c r="N594" s="121"/>
      <c r="O594" s="121"/>
      <c r="P594" s="121"/>
      <c r="Q594" s="121"/>
      <c r="R594" s="121"/>
      <c r="S594" s="121"/>
      <c r="T594" s="121"/>
      <c r="U594" s="121"/>
      <c r="V594" s="121"/>
      <c r="W594" s="121"/>
      <c r="X594" s="121"/>
      <c r="Y594" s="121"/>
      <c r="Z594" s="121"/>
    </row>
    <row r="595" customFormat="false" ht="15.75" hidden="false" customHeight="false" outlineLevel="0" collapsed="false">
      <c r="A595" s="121"/>
      <c r="B595" s="121"/>
      <c r="C595" s="121"/>
      <c r="D595" s="121"/>
      <c r="E595" s="121"/>
      <c r="F595" s="121"/>
      <c r="G595" s="121"/>
      <c r="H595" s="121"/>
      <c r="I595" s="121"/>
      <c r="J595" s="121"/>
      <c r="K595" s="121"/>
      <c r="L595" s="121"/>
      <c r="M595" s="121"/>
      <c r="N595" s="121"/>
      <c r="O595" s="121"/>
      <c r="P595" s="121"/>
      <c r="Q595" s="121"/>
      <c r="R595" s="121"/>
      <c r="S595" s="121"/>
      <c r="T595" s="121"/>
      <c r="U595" s="121"/>
      <c r="V595" s="121"/>
      <c r="W595" s="121"/>
      <c r="X595" s="121"/>
      <c r="Y595" s="121"/>
      <c r="Z595" s="121"/>
    </row>
    <row r="596" customFormat="false" ht="15.75" hidden="false" customHeight="false" outlineLevel="0" collapsed="false">
      <c r="A596" s="121"/>
      <c r="B596" s="121"/>
      <c r="C596" s="121"/>
      <c r="D596" s="121"/>
      <c r="E596" s="121"/>
      <c r="F596" s="121"/>
      <c r="G596" s="121"/>
      <c r="H596" s="121"/>
      <c r="I596" s="121"/>
      <c r="J596" s="121"/>
      <c r="K596" s="121"/>
      <c r="L596" s="121"/>
      <c r="M596" s="121"/>
      <c r="N596" s="121"/>
      <c r="O596" s="121"/>
      <c r="P596" s="121"/>
      <c r="Q596" s="121"/>
      <c r="R596" s="121"/>
      <c r="S596" s="121"/>
      <c r="T596" s="121"/>
      <c r="U596" s="121"/>
      <c r="V596" s="121"/>
      <c r="W596" s="121"/>
      <c r="X596" s="121"/>
      <c r="Y596" s="121"/>
      <c r="Z596" s="121"/>
    </row>
    <row r="597" customFormat="false" ht="15.75" hidden="false" customHeight="false" outlineLevel="0" collapsed="false">
      <c r="A597" s="121"/>
      <c r="B597" s="121"/>
      <c r="C597" s="121"/>
      <c r="D597" s="121"/>
      <c r="E597" s="121"/>
      <c r="F597" s="121"/>
      <c r="G597" s="121"/>
      <c r="H597" s="121"/>
      <c r="I597" s="121"/>
      <c r="J597" s="121"/>
      <c r="K597" s="121"/>
      <c r="L597" s="121"/>
      <c r="M597" s="121"/>
      <c r="N597" s="121"/>
      <c r="O597" s="121"/>
      <c r="P597" s="121"/>
      <c r="Q597" s="121"/>
      <c r="R597" s="121"/>
      <c r="S597" s="121"/>
      <c r="T597" s="121"/>
      <c r="U597" s="121"/>
      <c r="V597" s="121"/>
      <c r="W597" s="121"/>
      <c r="X597" s="121"/>
      <c r="Y597" s="121"/>
      <c r="Z597" s="121"/>
    </row>
    <row r="598" customFormat="false" ht="15.75" hidden="false" customHeight="false" outlineLevel="0" collapsed="false">
      <c r="A598" s="121"/>
      <c r="B598" s="121"/>
      <c r="C598" s="121"/>
      <c r="D598" s="121"/>
      <c r="E598" s="121"/>
      <c r="F598" s="121"/>
      <c r="G598" s="121"/>
      <c r="H598" s="121"/>
      <c r="I598" s="121"/>
      <c r="J598" s="121"/>
      <c r="K598" s="121"/>
      <c r="L598" s="121"/>
      <c r="M598" s="121"/>
      <c r="N598" s="121"/>
      <c r="O598" s="121"/>
      <c r="P598" s="121"/>
      <c r="Q598" s="121"/>
      <c r="R598" s="121"/>
      <c r="S598" s="121"/>
      <c r="T598" s="121"/>
      <c r="U598" s="121"/>
      <c r="V598" s="121"/>
      <c r="W598" s="121"/>
      <c r="X598" s="121"/>
      <c r="Y598" s="121"/>
      <c r="Z598" s="121"/>
    </row>
    <row r="599" customFormat="false" ht="15.75" hidden="false" customHeight="false" outlineLevel="0" collapsed="false">
      <c r="A599" s="121"/>
      <c r="B599" s="121"/>
      <c r="C599" s="121"/>
      <c r="D599" s="121"/>
      <c r="E599" s="121"/>
      <c r="F599" s="121"/>
      <c r="G599" s="121"/>
      <c r="H599" s="121"/>
      <c r="I599" s="121"/>
      <c r="J599" s="121"/>
      <c r="K599" s="121"/>
      <c r="L599" s="121"/>
      <c r="M599" s="121"/>
      <c r="N599" s="121"/>
      <c r="O599" s="121"/>
      <c r="P599" s="121"/>
      <c r="Q599" s="121"/>
      <c r="R599" s="121"/>
      <c r="S599" s="121"/>
      <c r="T599" s="121"/>
      <c r="U599" s="121"/>
      <c r="V599" s="121"/>
      <c r="W599" s="121"/>
      <c r="X599" s="121"/>
      <c r="Y599" s="121"/>
      <c r="Z599" s="121"/>
    </row>
    <row r="600" customFormat="false" ht="15.75" hidden="false" customHeight="false" outlineLevel="0" collapsed="false">
      <c r="A600" s="121"/>
      <c r="B600" s="121"/>
      <c r="C600" s="121"/>
      <c r="D600" s="121"/>
      <c r="E600" s="121"/>
      <c r="F600" s="121"/>
      <c r="G600" s="121"/>
      <c r="H600" s="121"/>
      <c r="I600" s="121"/>
      <c r="J600" s="121"/>
      <c r="K600" s="121"/>
      <c r="L600" s="121"/>
      <c r="M600" s="121"/>
      <c r="N600" s="121"/>
      <c r="O600" s="121"/>
      <c r="P600" s="121"/>
      <c r="Q600" s="121"/>
      <c r="R600" s="121"/>
      <c r="S600" s="121"/>
      <c r="T600" s="121"/>
      <c r="U600" s="121"/>
      <c r="V600" s="121"/>
      <c r="W600" s="121"/>
      <c r="X600" s="121"/>
      <c r="Y600" s="121"/>
      <c r="Z600" s="121"/>
    </row>
    <row r="601" customFormat="false" ht="15.75" hidden="false" customHeight="false" outlineLevel="0" collapsed="false">
      <c r="A601" s="121"/>
      <c r="B601" s="121"/>
      <c r="C601" s="121"/>
      <c r="D601" s="121"/>
      <c r="E601" s="121"/>
      <c r="F601" s="121"/>
      <c r="G601" s="121"/>
      <c r="H601" s="121"/>
      <c r="I601" s="121"/>
      <c r="J601" s="121"/>
      <c r="K601" s="121"/>
      <c r="L601" s="121"/>
      <c r="M601" s="121"/>
      <c r="N601" s="121"/>
      <c r="O601" s="121"/>
      <c r="P601" s="121"/>
      <c r="Q601" s="121"/>
      <c r="R601" s="121"/>
      <c r="S601" s="121"/>
      <c r="T601" s="121"/>
      <c r="U601" s="121"/>
      <c r="V601" s="121"/>
      <c r="W601" s="121"/>
      <c r="X601" s="121"/>
      <c r="Y601" s="121"/>
      <c r="Z601" s="121"/>
    </row>
    <row r="602" customFormat="false" ht="15.75" hidden="false" customHeight="false" outlineLevel="0" collapsed="false">
      <c r="A602" s="121"/>
      <c r="B602" s="121"/>
      <c r="C602" s="121"/>
      <c r="D602" s="121"/>
      <c r="E602" s="121"/>
      <c r="F602" s="121"/>
      <c r="G602" s="121"/>
      <c r="H602" s="121"/>
      <c r="I602" s="121"/>
      <c r="J602" s="121"/>
      <c r="K602" s="121"/>
      <c r="L602" s="121"/>
      <c r="M602" s="121"/>
      <c r="N602" s="121"/>
      <c r="O602" s="121"/>
      <c r="P602" s="121"/>
      <c r="Q602" s="121"/>
      <c r="R602" s="121"/>
      <c r="S602" s="121"/>
      <c r="T602" s="121"/>
      <c r="U602" s="121"/>
      <c r="V602" s="121"/>
      <c r="W602" s="121"/>
      <c r="X602" s="121"/>
      <c r="Y602" s="121"/>
      <c r="Z602" s="121"/>
    </row>
    <row r="603" customFormat="false" ht="15.75" hidden="false" customHeight="false" outlineLevel="0" collapsed="false">
      <c r="A603" s="121"/>
      <c r="B603" s="121"/>
      <c r="C603" s="121"/>
      <c r="D603" s="121"/>
      <c r="E603" s="121"/>
      <c r="F603" s="121"/>
      <c r="G603" s="121"/>
      <c r="H603" s="121"/>
      <c r="I603" s="121"/>
      <c r="J603" s="121"/>
      <c r="K603" s="121"/>
      <c r="L603" s="121"/>
      <c r="M603" s="121"/>
      <c r="N603" s="121"/>
      <c r="O603" s="121"/>
      <c r="P603" s="121"/>
      <c r="Q603" s="121"/>
      <c r="R603" s="121"/>
      <c r="S603" s="121"/>
      <c r="T603" s="121"/>
      <c r="U603" s="121"/>
      <c r="V603" s="121"/>
      <c r="W603" s="121"/>
      <c r="X603" s="121"/>
      <c r="Y603" s="121"/>
      <c r="Z603" s="121"/>
    </row>
    <row r="604" customFormat="false" ht="15.75" hidden="false" customHeight="false" outlineLevel="0" collapsed="false">
      <c r="A604" s="121"/>
      <c r="B604" s="121"/>
      <c r="C604" s="121"/>
      <c r="D604" s="121"/>
      <c r="E604" s="121"/>
      <c r="F604" s="121"/>
      <c r="G604" s="121"/>
      <c r="H604" s="121"/>
      <c r="I604" s="121"/>
      <c r="J604" s="121"/>
      <c r="K604" s="121"/>
      <c r="L604" s="121"/>
      <c r="M604" s="121"/>
      <c r="N604" s="121"/>
      <c r="O604" s="121"/>
      <c r="P604" s="121"/>
      <c r="Q604" s="121"/>
      <c r="R604" s="121"/>
      <c r="S604" s="121"/>
      <c r="T604" s="121"/>
      <c r="U604" s="121"/>
      <c r="V604" s="121"/>
      <c r="W604" s="121"/>
      <c r="X604" s="121"/>
      <c r="Y604" s="121"/>
      <c r="Z604" s="121"/>
    </row>
    <row r="605" customFormat="false" ht="15.75" hidden="false" customHeight="false" outlineLevel="0" collapsed="false">
      <c r="A605" s="121"/>
      <c r="B605" s="121"/>
      <c r="C605" s="121"/>
      <c r="D605" s="121"/>
      <c r="E605" s="121"/>
      <c r="F605" s="121"/>
      <c r="G605" s="121"/>
      <c r="H605" s="121"/>
      <c r="I605" s="121"/>
      <c r="J605" s="121"/>
      <c r="K605" s="121"/>
      <c r="L605" s="121"/>
      <c r="M605" s="121"/>
      <c r="N605" s="121"/>
      <c r="O605" s="121"/>
      <c r="P605" s="121"/>
      <c r="Q605" s="121"/>
      <c r="R605" s="121"/>
      <c r="S605" s="121"/>
      <c r="T605" s="121"/>
      <c r="U605" s="121"/>
      <c r="V605" s="121"/>
      <c r="W605" s="121"/>
      <c r="X605" s="121"/>
      <c r="Y605" s="121"/>
      <c r="Z605" s="121"/>
    </row>
    <row r="606" customFormat="false" ht="15.75" hidden="false" customHeight="false" outlineLevel="0" collapsed="false">
      <c r="A606" s="121"/>
      <c r="B606" s="121"/>
      <c r="C606" s="121"/>
      <c r="D606" s="121"/>
      <c r="E606" s="121"/>
      <c r="F606" s="121"/>
      <c r="G606" s="121"/>
      <c r="H606" s="121"/>
      <c r="I606" s="121"/>
      <c r="J606" s="121"/>
      <c r="K606" s="121"/>
      <c r="L606" s="121"/>
      <c r="M606" s="121"/>
      <c r="N606" s="121"/>
      <c r="O606" s="121"/>
      <c r="P606" s="121"/>
      <c r="Q606" s="121"/>
      <c r="R606" s="121"/>
      <c r="S606" s="121"/>
      <c r="T606" s="121"/>
      <c r="U606" s="121"/>
      <c r="V606" s="121"/>
      <c r="W606" s="121"/>
      <c r="X606" s="121"/>
      <c r="Y606" s="121"/>
      <c r="Z606" s="121"/>
    </row>
    <row r="607" customFormat="false" ht="15.75" hidden="false" customHeight="false" outlineLevel="0" collapsed="false">
      <c r="A607" s="121"/>
      <c r="B607" s="121"/>
      <c r="C607" s="121"/>
      <c r="D607" s="121"/>
      <c r="E607" s="121"/>
      <c r="F607" s="121"/>
      <c r="G607" s="121"/>
      <c r="H607" s="121"/>
      <c r="I607" s="121"/>
      <c r="J607" s="121"/>
      <c r="K607" s="121"/>
      <c r="L607" s="121"/>
      <c r="M607" s="121"/>
      <c r="N607" s="121"/>
      <c r="O607" s="121"/>
      <c r="P607" s="121"/>
      <c r="Q607" s="121"/>
      <c r="R607" s="121"/>
      <c r="S607" s="121"/>
      <c r="T607" s="121"/>
      <c r="U607" s="121"/>
      <c r="V607" s="121"/>
      <c r="W607" s="121"/>
      <c r="X607" s="121"/>
      <c r="Y607" s="121"/>
      <c r="Z607" s="121"/>
    </row>
    <row r="608" customFormat="false" ht="15.75" hidden="false" customHeight="false" outlineLevel="0" collapsed="false">
      <c r="A608" s="121"/>
      <c r="B608" s="121"/>
      <c r="C608" s="121"/>
      <c r="D608" s="121"/>
      <c r="E608" s="121"/>
      <c r="F608" s="121"/>
      <c r="G608" s="121"/>
      <c r="H608" s="121"/>
      <c r="I608" s="121"/>
      <c r="J608" s="121"/>
      <c r="K608" s="121"/>
      <c r="L608" s="121"/>
      <c r="M608" s="121"/>
      <c r="N608" s="121"/>
      <c r="O608" s="121"/>
      <c r="P608" s="121"/>
      <c r="Q608" s="121"/>
      <c r="R608" s="121"/>
      <c r="S608" s="121"/>
      <c r="T608" s="121"/>
      <c r="U608" s="121"/>
      <c r="V608" s="121"/>
      <c r="W608" s="121"/>
      <c r="X608" s="121"/>
      <c r="Y608" s="121"/>
      <c r="Z608" s="121"/>
    </row>
    <row r="609" customFormat="false" ht="15.75" hidden="false" customHeight="false" outlineLevel="0" collapsed="false">
      <c r="A609" s="121"/>
      <c r="B609" s="121"/>
      <c r="C609" s="121"/>
      <c r="D609" s="121"/>
      <c r="E609" s="121"/>
      <c r="F609" s="121"/>
      <c r="G609" s="121"/>
      <c r="H609" s="121"/>
      <c r="I609" s="121"/>
      <c r="J609" s="121"/>
      <c r="K609" s="121"/>
      <c r="L609" s="121"/>
      <c r="M609" s="121"/>
      <c r="N609" s="121"/>
      <c r="O609" s="121"/>
      <c r="P609" s="121"/>
      <c r="Q609" s="121"/>
      <c r="R609" s="121"/>
      <c r="S609" s="121"/>
      <c r="T609" s="121"/>
      <c r="U609" s="121"/>
      <c r="V609" s="121"/>
      <c r="W609" s="121"/>
      <c r="X609" s="121"/>
      <c r="Y609" s="121"/>
      <c r="Z609" s="121"/>
    </row>
    <row r="610" customFormat="false" ht="15.75" hidden="false" customHeight="false" outlineLevel="0" collapsed="false">
      <c r="A610" s="121"/>
      <c r="B610" s="121"/>
      <c r="C610" s="121"/>
      <c r="D610" s="121"/>
      <c r="E610" s="121"/>
      <c r="F610" s="121"/>
      <c r="G610" s="121"/>
      <c r="H610" s="121"/>
      <c r="I610" s="121"/>
      <c r="J610" s="121"/>
      <c r="K610" s="121"/>
      <c r="L610" s="121"/>
      <c r="M610" s="121"/>
      <c r="N610" s="121"/>
      <c r="O610" s="121"/>
      <c r="P610" s="121"/>
      <c r="Q610" s="121"/>
      <c r="R610" s="121"/>
      <c r="S610" s="121"/>
      <c r="T610" s="121"/>
      <c r="U610" s="121"/>
      <c r="V610" s="121"/>
      <c r="W610" s="121"/>
      <c r="X610" s="121"/>
      <c r="Y610" s="121"/>
      <c r="Z610" s="121"/>
    </row>
    <row r="611" customFormat="false" ht="15.75" hidden="false" customHeight="false" outlineLevel="0" collapsed="false">
      <c r="A611" s="121"/>
      <c r="B611" s="121"/>
      <c r="C611" s="121"/>
      <c r="D611" s="121"/>
      <c r="E611" s="121"/>
      <c r="F611" s="121"/>
      <c r="G611" s="121"/>
      <c r="H611" s="121"/>
      <c r="I611" s="121"/>
      <c r="J611" s="121"/>
      <c r="K611" s="121"/>
      <c r="L611" s="121"/>
      <c r="M611" s="121"/>
      <c r="N611" s="121"/>
      <c r="O611" s="121"/>
      <c r="P611" s="121"/>
      <c r="Q611" s="121"/>
      <c r="R611" s="121"/>
      <c r="S611" s="121"/>
      <c r="T611" s="121"/>
      <c r="U611" s="121"/>
      <c r="V611" s="121"/>
      <c r="W611" s="121"/>
      <c r="X611" s="121"/>
      <c r="Y611" s="121"/>
      <c r="Z611" s="121"/>
    </row>
    <row r="612" customFormat="false" ht="15.75" hidden="false" customHeight="false" outlineLevel="0" collapsed="false">
      <c r="A612" s="121"/>
      <c r="B612" s="121"/>
      <c r="C612" s="121"/>
      <c r="D612" s="121"/>
      <c r="E612" s="121"/>
      <c r="F612" s="121"/>
      <c r="G612" s="121"/>
      <c r="H612" s="121"/>
      <c r="I612" s="121"/>
      <c r="J612" s="121"/>
      <c r="K612" s="121"/>
      <c r="L612" s="121"/>
      <c r="M612" s="121"/>
      <c r="N612" s="121"/>
      <c r="O612" s="121"/>
      <c r="P612" s="121"/>
      <c r="Q612" s="121"/>
      <c r="R612" s="121"/>
      <c r="S612" s="121"/>
      <c r="T612" s="121"/>
      <c r="U612" s="121"/>
      <c r="V612" s="121"/>
      <c r="W612" s="121"/>
      <c r="X612" s="121"/>
      <c r="Y612" s="121"/>
      <c r="Z612" s="121"/>
    </row>
    <row r="613" customFormat="false" ht="15.75" hidden="false" customHeight="false" outlineLevel="0" collapsed="false">
      <c r="A613" s="121"/>
      <c r="B613" s="121"/>
      <c r="C613" s="121"/>
      <c r="D613" s="121"/>
      <c r="E613" s="121"/>
      <c r="F613" s="121"/>
      <c r="G613" s="121"/>
      <c r="H613" s="121"/>
      <c r="I613" s="121"/>
      <c r="J613" s="121"/>
      <c r="K613" s="121"/>
      <c r="L613" s="121"/>
      <c r="M613" s="121"/>
      <c r="N613" s="121"/>
      <c r="O613" s="121"/>
      <c r="P613" s="121"/>
      <c r="Q613" s="121"/>
      <c r="R613" s="121"/>
      <c r="S613" s="121"/>
      <c r="T613" s="121"/>
      <c r="U613" s="121"/>
      <c r="V613" s="121"/>
      <c r="W613" s="121"/>
      <c r="X613" s="121"/>
      <c r="Y613" s="121"/>
      <c r="Z613" s="121"/>
    </row>
    <row r="614" customFormat="false" ht="15.75" hidden="false" customHeight="false" outlineLevel="0" collapsed="false">
      <c r="A614" s="121"/>
      <c r="B614" s="121"/>
      <c r="C614" s="121"/>
      <c r="D614" s="121"/>
      <c r="E614" s="121"/>
      <c r="F614" s="121"/>
      <c r="G614" s="121"/>
      <c r="H614" s="121"/>
      <c r="I614" s="121"/>
      <c r="J614" s="121"/>
      <c r="K614" s="121"/>
      <c r="L614" s="121"/>
      <c r="M614" s="121"/>
      <c r="N614" s="121"/>
      <c r="O614" s="121"/>
      <c r="P614" s="121"/>
      <c r="Q614" s="121"/>
      <c r="R614" s="121"/>
      <c r="S614" s="121"/>
      <c r="T614" s="121"/>
      <c r="U614" s="121"/>
      <c r="V614" s="121"/>
      <c r="W614" s="121"/>
      <c r="X614" s="121"/>
      <c r="Y614" s="121"/>
      <c r="Z614" s="121"/>
    </row>
    <row r="615" customFormat="false" ht="15.75" hidden="false" customHeight="false" outlineLevel="0" collapsed="false">
      <c r="A615" s="121"/>
      <c r="B615" s="121"/>
      <c r="C615" s="121"/>
      <c r="D615" s="121"/>
      <c r="E615" s="121"/>
      <c r="F615" s="121"/>
      <c r="G615" s="121"/>
      <c r="H615" s="121"/>
      <c r="I615" s="121"/>
      <c r="J615" s="121"/>
      <c r="K615" s="121"/>
      <c r="L615" s="121"/>
      <c r="M615" s="121"/>
      <c r="N615" s="121"/>
      <c r="O615" s="121"/>
      <c r="P615" s="121"/>
      <c r="Q615" s="121"/>
      <c r="R615" s="121"/>
      <c r="S615" s="121"/>
      <c r="T615" s="121"/>
      <c r="U615" s="121"/>
      <c r="V615" s="121"/>
      <c r="W615" s="121"/>
      <c r="X615" s="121"/>
      <c r="Y615" s="121"/>
      <c r="Z615" s="121"/>
    </row>
    <row r="616" customFormat="false" ht="15.75" hidden="false" customHeight="false" outlineLevel="0" collapsed="false">
      <c r="A616" s="121"/>
      <c r="B616" s="121"/>
      <c r="C616" s="121"/>
      <c r="D616" s="121"/>
      <c r="E616" s="121"/>
      <c r="F616" s="121"/>
      <c r="G616" s="121"/>
      <c r="H616" s="121"/>
      <c r="I616" s="121"/>
      <c r="J616" s="121"/>
      <c r="K616" s="121"/>
      <c r="L616" s="121"/>
      <c r="M616" s="121"/>
      <c r="N616" s="121"/>
      <c r="O616" s="121"/>
      <c r="P616" s="121"/>
      <c r="Q616" s="121"/>
      <c r="R616" s="121"/>
      <c r="S616" s="121"/>
      <c r="T616" s="121"/>
      <c r="U616" s="121"/>
      <c r="V616" s="121"/>
      <c r="W616" s="121"/>
      <c r="X616" s="121"/>
      <c r="Y616" s="121"/>
      <c r="Z616" s="121"/>
    </row>
    <row r="617" customFormat="false" ht="15.75" hidden="false" customHeight="false" outlineLevel="0" collapsed="false">
      <c r="A617" s="121"/>
      <c r="B617" s="121"/>
      <c r="C617" s="121"/>
      <c r="D617" s="121"/>
      <c r="E617" s="121"/>
      <c r="F617" s="121"/>
      <c r="G617" s="121"/>
      <c r="H617" s="121"/>
      <c r="I617" s="121"/>
      <c r="J617" s="121"/>
      <c r="K617" s="121"/>
      <c r="L617" s="121"/>
      <c r="M617" s="121"/>
      <c r="N617" s="121"/>
      <c r="O617" s="121"/>
      <c r="P617" s="121"/>
      <c r="Q617" s="121"/>
      <c r="R617" s="121"/>
      <c r="S617" s="121"/>
      <c r="T617" s="121"/>
      <c r="U617" s="121"/>
      <c r="V617" s="121"/>
      <c r="W617" s="121"/>
      <c r="X617" s="121"/>
      <c r="Y617" s="121"/>
      <c r="Z617" s="121"/>
    </row>
    <row r="618" customFormat="false" ht="15.75" hidden="false" customHeight="false" outlineLevel="0" collapsed="false">
      <c r="A618" s="121"/>
      <c r="B618" s="121"/>
      <c r="C618" s="121"/>
      <c r="D618" s="121"/>
      <c r="E618" s="121"/>
      <c r="F618" s="121"/>
      <c r="G618" s="121"/>
      <c r="H618" s="121"/>
      <c r="I618" s="121"/>
      <c r="J618" s="121"/>
      <c r="K618" s="121"/>
      <c r="L618" s="121"/>
      <c r="M618" s="121"/>
      <c r="N618" s="121"/>
      <c r="O618" s="121"/>
      <c r="P618" s="121"/>
      <c r="Q618" s="121"/>
      <c r="R618" s="121"/>
      <c r="S618" s="121"/>
      <c r="T618" s="121"/>
      <c r="U618" s="121"/>
      <c r="V618" s="121"/>
      <c r="W618" s="121"/>
      <c r="X618" s="121"/>
      <c r="Y618" s="121"/>
      <c r="Z618" s="121"/>
    </row>
    <row r="619" customFormat="false" ht="15.75" hidden="false" customHeight="false" outlineLevel="0" collapsed="false">
      <c r="A619" s="121"/>
      <c r="B619" s="121"/>
      <c r="C619" s="121"/>
      <c r="D619" s="121"/>
      <c r="E619" s="121"/>
      <c r="F619" s="121"/>
      <c r="G619" s="121"/>
      <c r="H619" s="121"/>
      <c r="I619" s="121"/>
      <c r="J619" s="121"/>
      <c r="K619" s="121"/>
      <c r="L619" s="121"/>
      <c r="M619" s="121"/>
      <c r="N619" s="121"/>
      <c r="O619" s="121"/>
      <c r="P619" s="121"/>
      <c r="Q619" s="121"/>
      <c r="R619" s="121"/>
      <c r="S619" s="121"/>
      <c r="T619" s="121"/>
      <c r="U619" s="121"/>
      <c r="V619" s="121"/>
      <c r="W619" s="121"/>
      <c r="X619" s="121"/>
      <c r="Y619" s="121"/>
      <c r="Z619" s="121"/>
    </row>
    <row r="620" customFormat="false" ht="15.75" hidden="false" customHeight="false" outlineLevel="0" collapsed="false">
      <c r="A620" s="121"/>
      <c r="B620" s="121"/>
      <c r="C620" s="121"/>
      <c r="D620" s="121"/>
      <c r="E620" s="121"/>
      <c r="F620" s="121"/>
      <c r="G620" s="121"/>
      <c r="H620" s="121"/>
      <c r="I620" s="121"/>
      <c r="J620" s="121"/>
      <c r="K620" s="121"/>
      <c r="L620" s="121"/>
      <c r="M620" s="121"/>
      <c r="N620" s="121"/>
      <c r="O620" s="121"/>
      <c r="P620" s="121"/>
      <c r="Q620" s="121"/>
      <c r="R620" s="121"/>
      <c r="S620" s="121"/>
      <c r="T620" s="121"/>
      <c r="U620" s="121"/>
      <c r="V620" s="121"/>
      <c r="W620" s="121"/>
      <c r="X620" s="121"/>
      <c r="Y620" s="121"/>
      <c r="Z620" s="121"/>
    </row>
    <row r="621" customFormat="false" ht="15.75" hidden="false" customHeight="false" outlineLevel="0" collapsed="false">
      <c r="A621" s="121"/>
      <c r="B621" s="121"/>
      <c r="C621" s="121"/>
      <c r="D621" s="121"/>
      <c r="E621" s="121"/>
      <c r="F621" s="121"/>
      <c r="G621" s="121"/>
      <c r="H621" s="121"/>
      <c r="I621" s="121"/>
      <c r="J621" s="121"/>
      <c r="K621" s="121"/>
      <c r="L621" s="121"/>
      <c r="M621" s="121"/>
      <c r="N621" s="121"/>
      <c r="O621" s="121"/>
      <c r="P621" s="121"/>
      <c r="Q621" s="121"/>
      <c r="R621" s="121"/>
      <c r="S621" s="121"/>
      <c r="T621" s="121"/>
      <c r="U621" s="121"/>
      <c r="V621" s="121"/>
      <c r="W621" s="121"/>
      <c r="X621" s="121"/>
      <c r="Y621" s="121"/>
      <c r="Z621" s="121"/>
    </row>
    <row r="622" customFormat="false" ht="15.75" hidden="false" customHeight="false" outlineLevel="0" collapsed="false">
      <c r="A622" s="121"/>
      <c r="B622" s="121"/>
      <c r="C622" s="121"/>
      <c r="D622" s="121"/>
      <c r="E622" s="121"/>
      <c r="F622" s="121"/>
      <c r="G622" s="121"/>
      <c r="H622" s="121"/>
      <c r="I622" s="121"/>
      <c r="J622" s="121"/>
      <c r="K622" s="121"/>
      <c r="L622" s="121"/>
      <c r="M622" s="121"/>
      <c r="N622" s="121"/>
      <c r="O622" s="121"/>
      <c r="P622" s="121"/>
      <c r="Q622" s="121"/>
      <c r="R622" s="121"/>
      <c r="S622" s="121"/>
      <c r="T622" s="121"/>
      <c r="U622" s="121"/>
      <c r="V622" s="121"/>
      <c r="W622" s="121"/>
      <c r="X622" s="121"/>
      <c r="Y622" s="121"/>
      <c r="Z622" s="121"/>
    </row>
    <row r="623" customFormat="false" ht="15.75" hidden="false" customHeight="false" outlineLevel="0" collapsed="false">
      <c r="A623" s="121"/>
      <c r="B623" s="121"/>
      <c r="C623" s="121"/>
      <c r="D623" s="121"/>
      <c r="E623" s="121"/>
      <c r="F623" s="121"/>
      <c r="G623" s="121"/>
      <c r="H623" s="121"/>
      <c r="I623" s="121"/>
      <c r="J623" s="121"/>
      <c r="K623" s="121"/>
      <c r="L623" s="121"/>
      <c r="M623" s="121"/>
      <c r="N623" s="121"/>
      <c r="O623" s="121"/>
      <c r="P623" s="121"/>
      <c r="Q623" s="121"/>
      <c r="R623" s="121"/>
      <c r="S623" s="121"/>
      <c r="T623" s="121"/>
      <c r="U623" s="121"/>
      <c r="V623" s="121"/>
      <c r="W623" s="121"/>
      <c r="X623" s="121"/>
      <c r="Y623" s="121"/>
      <c r="Z623" s="121"/>
    </row>
    <row r="624" customFormat="false" ht="15.75" hidden="false" customHeight="false" outlineLevel="0" collapsed="false">
      <c r="A624" s="121"/>
      <c r="B624" s="121"/>
      <c r="C624" s="121"/>
      <c r="D624" s="121"/>
      <c r="E624" s="121"/>
      <c r="F624" s="121"/>
      <c r="G624" s="121"/>
      <c r="H624" s="121"/>
      <c r="I624" s="121"/>
      <c r="J624" s="121"/>
      <c r="K624" s="121"/>
      <c r="L624" s="121"/>
      <c r="M624" s="121"/>
      <c r="N624" s="121"/>
      <c r="O624" s="121"/>
      <c r="P624" s="121"/>
      <c r="Q624" s="121"/>
      <c r="R624" s="121"/>
      <c r="S624" s="121"/>
      <c r="T624" s="121"/>
      <c r="U624" s="121"/>
      <c r="V624" s="121"/>
      <c r="W624" s="121"/>
      <c r="X624" s="121"/>
      <c r="Y624" s="121"/>
      <c r="Z624" s="121"/>
    </row>
    <row r="625" customFormat="false" ht="15.75" hidden="false" customHeight="false" outlineLevel="0" collapsed="false">
      <c r="A625" s="121"/>
      <c r="B625" s="121"/>
      <c r="C625" s="121"/>
      <c r="D625" s="121"/>
      <c r="E625" s="121"/>
      <c r="F625" s="121"/>
      <c r="G625" s="121"/>
      <c r="H625" s="121"/>
      <c r="I625" s="121"/>
      <c r="J625" s="121"/>
      <c r="K625" s="121"/>
      <c r="L625" s="121"/>
      <c r="M625" s="121"/>
      <c r="N625" s="121"/>
      <c r="O625" s="121"/>
      <c r="P625" s="121"/>
      <c r="Q625" s="121"/>
      <c r="R625" s="121"/>
      <c r="S625" s="121"/>
      <c r="T625" s="121"/>
      <c r="U625" s="121"/>
      <c r="V625" s="121"/>
      <c r="W625" s="121"/>
      <c r="X625" s="121"/>
      <c r="Y625" s="121"/>
      <c r="Z625" s="121"/>
    </row>
    <row r="626" customFormat="false" ht="15.75" hidden="false" customHeight="false" outlineLevel="0" collapsed="false">
      <c r="A626" s="121"/>
      <c r="B626" s="121"/>
      <c r="C626" s="121"/>
      <c r="D626" s="121"/>
      <c r="E626" s="121"/>
      <c r="F626" s="121"/>
      <c r="G626" s="121"/>
      <c r="H626" s="121"/>
      <c r="I626" s="121"/>
      <c r="J626" s="121"/>
      <c r="K626" s="121"/>
      <c r="L626" s="121"/>
      <c r="M626" s="121"/>
      <c r="N626" s="121"/>
      <c r="O626" s="121"/>
      <c r="P626" s="121"/>
      <c r="Q626" s="121"/>
      <c r="R626" s="121"/>
      <c r="S626" s="121"/>
      <c r="T626" s="121"/>
      <c r="U626" s="121"/>
      <c r="V626" s="121"/>
      <c r="W626" s="121"/>
      <c r="X626" s="121"/>
      <c r="Y626" s="121"/>
      <c r="Z626" s="121"/>
    </row>
    <row r="627" customFormat="false" ht="15.75" hidden="false" customHeight="false" outlineLevel="0" collapsed="false">
      <c r="A627" s="121"/>
      <c r="B627" s="121"/>
      <c r="C627" s="121"/>
      <c r="D627" s="121"/>
      <c r="E627" s="121"/>
      <c r="F627" s="121"/>
      <c r="G627" s="121"/>
      <c r="H627" s="121"/>
      <c r="I627" s="121"/>
      <c r="J627" s="121"/>
      <c r="K627" s="121"/>
      <c r="L627" s="121"/>
      <c r="M627" s="121"/>
      <c r="N627" s="121"/>
      <c r="O627" s="121"/>
      <c r="P627" s="121"/>
      <c r="Q627" s="121"/>
      <c r="R627" s="121"/>
      <c r="S627" s="121"/>
      <c r="T627" s="121"/>
      <c r="U627" s="121"/>
      <c r="V627" s="121"/>
      <c r="W627" s="121"/>
      <c r="X627" s="121"/>
      <c r="Y627" s="121"/>
      <c r="Z627" s="121"/>
    </row>
    <row r="628" customFormat="false" ht="15.75" hidden="false" customHeight="false" outlineLevel="0" collapsed="false">
      <c r="A628" s="121"/>
      <c r="B628" s="121"/>
      <c r="C628" s="121"/>
      <c r="D628" s="121"/>
      <c r="E628" s="121"/>
      <c r="F628" s="121"/>
      <c r="G628" s="121"/>
      <c r="H628" s="121"/>
      <c r="I628" s="121"/>
      <c r="J628" s="121"/>
      <c r="K628" s="121"/>
      <c r="L628" s="121"/>
      <c r="M628" s="121"/>
      <c r="N628" s="121"/>
      <c r="O628" s="121"/>
      <c r="P628" s="121"/>
      <c r="Q628" s="121"/>
      <c r="R628" s="121"/>
      <c r="S628" s="121"/>
      <c r="T628" s="121"/>
      <c r="U628" s="121"/>
      <c r="V628" s="121"/>
      <c r="W628" s="121"/>
      <c r="X628" s="121"/>
      <c r="Y628" s="121"/>
      <c r="Z628" s="121"/>
    </row>
    <row r="629" customFormat="false" ht="15.75" hidden="false" customHeight="false" outlineLevel="0" collapsed="false">
      <c r="A629" s="121"/>
      <c r="B629" s="121"/>
      <c r="C629" s="121"/>
      <c r="D629" s="121"/>
      <c r="E629" s="121"/>
      <c r="F629" s="121"/>
      <c r="G629" s="121"/>
      <c r="H629" s="121"/>
      <c r="I629" s="121"/>
      <c r="J629" s="121"/>
      <c r="K629" s="121"/>
      <c r="L629" s="121"/>
      <c r="M629" s="121"/>
      <c r="N629" s="121"/>
      <c r="O629" s="121"/>
      <c r="P629" s="121"/>
      <c r="Q629" s="121"/>
      <c r="R629" s="121"/>
      <c r="S629" s="121"/>
      <c r="T629" s="121"/>
      <c r="U629" s="121"/>
      <c r="V629" s="121"/>
      <c r="W629" s="121"/>
      <c r="X629" s="121"/>
      <c r="Y629" s="121"/>
      <c r="Z629" s="121"/>
    </row>
    <row r="630" customFormat="false" ht="15.75" hidden="false" customHeight="false" outlineLevel="0" collapsed="false">
      <c r="A630" s="121"/>
      <c r="B630" s="121"/>
      <c r="C630" s="121"/>
      <c r="D630" s="121"/>
      <c r="E630" s="121"/>
      <c r="F630" s="121"/>
      <c r="G630" s="121"/>
      <c r="H630" s="121"/>
      <c r="I630" s="121"/>
      <c r="J630" s="121"/>
      <c r="K630" s="121"/>
      <c r="L630" s="121"/>
      <c r="M630" s="121"/>
      <c r="N630" s="121"/>
      <c r="O630" s="121"/>
      <c r="P630" s="121"/>
      <c r="Q630" s="121"/>
      <c r="R630" s="121"/>
      <c r="S630" s="121"/>
      <c r="T630" s="121"/>
      <c r="U630" s="121"/>
      <c r="V630" s="121"/>
      <c r="W630" s="121"/>
      <c r="X630" s="121"/>
      <c r="Y630" s="121"/>
      <c r="Z630" s="121"/>
    </row>
    <row r="631" customFormat="false" ht="15.75" hidden="false" customHeight="false" outlineLevel="0" collapsed="false">
      <c r="A631" s="121"/>
      <c r="B631" s="121"/>
      <c r="C631" s="121"/>
      <c r="D631" s="121"/>
      <c r="E631" s="121"/>
      <c r="F631" s="121"/>
      <c r="G631" s="121"/>
      <c r="H631" s="121"/>
      <c r="I631" s="121"/>
      <c r="J631" s="121"/>
      <c r="K631" s="121"/>
      <c r="L631" s="121"/>
      <c r="M631" s="121"/>
      <c r="N631" s="121"/>
      <c r="O631" s="121"/>
      <c r="P631" s="121"/>
      <c r="Q631" s="121"/>
      <c r="R631" s="121"/>
      <c r="S631" s="121"/>
      <c r="T631" s="121"/>
      <c r="U631" s="121"/>
      <c r="V631" s="121"/>
      <c r="W631" s="121"/>
      <c r="X631" s="121"/>
      <c r="Y631" s="121"/>
      <c r="Z631" s="121"/>
    </row>
    <row r="632" customFormat="false" ht="15.75" hidden="false" customHeight="false" outlineLevel="0" collapsed="false">
      <c r="A632" s="121"/>
      <c r="B632" s="121"/>
      <c r="C632" s="121"/>
      <c r="D632" s="121"/>
      <c r="E632" s="121"/>
      <c r="F632" s="121"/>
      <c r="G632" s="121"/>
      <c r="H632" s="121"/>
      <c r="I632" s="121"/>
      <c r="J632" s="121"/>
      <c r="K632" s="121"/>
      <c r="L632" s="121"/>
      <c r="M632" s="121"/>
      <c r="N632" s="121"/>
      <c r="O632" s="121"/>
      <c r="P632" s="121"/>
      <c r="Q632" s="121"/>
      <c r="R632" s="121"/>
      <c r="S632" s="121"/>
      <c r="T632" s="121"/>
      <c r="U632" s="121"/>
      <c r="V632" s="121"/>
      <c r="W632" s="121"/>
      <c r="X632" s="121"/>
      <c r="Y632" s="121"/>
      <c r="Z632" s="121"/>
    </row>
    <row r="633" customFormat="false" ht="15.75" hidden="false" customHeight="false" outlineLevel="0" collapsed="false">
      <c r="A633" s="121"/>
      <c r="B633" s="121"/>
      <c r="C633" s="121"/>
      <c r="D633" s="121"/>
      <c r="E633" s="121"/>
      <c r="F633" s="121"/>
      <c r="G633" s="121"/>
      <c r="H633" s="121"/>
      <c r="I633" s="121"/>
      <c r="J633" s="121"/>
      <c r="K633" s="121"/>
      <c r="L633" s="121"/>
      <c r="M633" s="121"/>
      <c r="N633" s="121"/>
      <c r="O633" s="121"/>
      <c r="P633" s="121"/>
      <c r="Q633" s="121"/>
      <c r="R633" s="121"/>
      <c r="S633" s="121"/>
      <c r="T633" s="121"/>
      <c r="U633" s="121"/>
      <c r="V633" s="121"/>
      <c r="W633" s="121"/>
      <c r="X633" s="121"/>
      <c r="Y633" s="121"/>
      <c r="Z633" s="121"/>
    </row>
    <row r="634" customFormat="false" ht="15.75" hidden="false" customHeight="false" outlineLevel="0" collapsed="false">
      <c r="A634" s="121"/>
      <c r="B634" s="121"/>
      <c r="C634" s="121"/>
      <c r="D634" s="121"/>
      <c r="E634" s="121"/>
      <c r="F634" s="121"/>
      <c r="G634" s="121"/>
      <c r="H634" s="121"/>
      <c r="I634" s="121"/>
      <c r="J634" s="121"/>
      <c r="K634" s="121"/>
      <c r="L634" s="121"/>
      <c r="M634" s="121"/>
      <c r="N634" s="121"/>
      <c r="O634" s="121"/>
      <c r="P634" s="121"/>
      <c r="Q634" s="121"/>
      <c r="R634" s="121"/>
      <c r="S634" s="121"/>
      <c r="T634" s="121"/>
      <c r="U634" s="121"/>
      <c r="V634" s="121"/>
      <c r="W634" s="121"/>
      <c r="X634" s="121"/>
      <c r="Y634" s="121"/>
      <c r="Z634" s="121"/>
    </row>
    <row r="635" customFormat="false" ht="15.75" hidden="false" customHeight="false" outlineLevel="0" collapsed="false">
      <c r="A635" s="121"/>
      <c r="B635" s="121"/>
      <c r="C635" s="121"/>
      <c r="D635" s="121"/>
      <c r="E635" s="121"/>
      <c r="F635" s="121"/>
      <c r="G635" s="121"/>
      <c r="H635" s="121"/>
      <c r="I635" s="121"/>
      <c r="J635" s="121"/>
      <c r="K635" s="121"/>
      <c r="L635" s="121"/>
      <c r="M635" s="121"/>
      <c r="N635" s="121"/>
      <c r="O635" s="121"/>
      <c r="P635" s="121"/>
      <c r="Q635" s="121"/>
      <c r="R635" s="121"/>
      <c r="S635" s="121"/>
      <c r="T635" s="121"/>
      <c r="U635" s="121"/>
      <c r="V635" s="121"/>
      <c r="W635" s="121"/>
      <c r="X635" s="121"/>
      <c r="Y635" s="121"/>
      <c r="Z635" s="121"/>
    </row>
    <row r="636" customFormat="false" ht="15.75" hidden="false" customHeight="false" outlineLevel="0" collapsed="false">
      <c r="A636" s="121"/>
      <c r="B636" s="121"/>
      <c r="C636" s="121"/>
      <c r="D636" s="121"/>
      <c r="E636" s="121"/>
      <c r="F636" s="121"/>
      <c r="G636" s="121"/>
      <c r="H636" s="121"/>
      <c r="I636" s="121"/>
      <c r="J636" s="121"/>
      <c r="K636" s="121"/>
      <c r="L636" s="121"/>
      <c r="M636" s="121"/>
      <c r="N636" s="121"/>
      <c r="O636" s="121"/>
      <c r="P636" s="121"/>
      <c r="Q636" s="121"/>
      <c r="R636" s="121"/>
      <c r="S636" s="121"/>
      <c r="T636" s="121"/>
      <c r="U636" s="121"/>
      <c r="V636" s="121"/>
      <c r="W636" s="121"/>
      <c r="X636" s="121"/>
      <c r="Y636" s="121"/>
      <c r="Z636" s="121"/>
    </row>
    <row r="637" customFormat="false" ht="15.75" hidden="false" customHeight="false" outlineLevel="0" collapsed="false">
      <c r="A637" s="121"/>
      <c r="B637" s="121"/>
      <c r="C637" s="121"/>
      <c r="D637" s="121"/>
      <c r="E637" s="121"/>
      <c r="F637" s="121"/>
      <c r="G637" s="121"/>
      <c r="H637" s="121"/>
      <c r="I637" s="121"/>
      <c r="J637" s="121"/>
      <c r="K637" s="121"/>
      <c r="L637" s="121"/>
      <c r="M637" s="121"/>
      <c r="N637" s="121"/>
      <c r="O637" s="121"/>
      <c r="P637" s="121"/>
      <c r="Q637" s="121"/>
      <c r="R637" s="121"/>
      <c r="S637" s="121"/>
      <c r="T637" s="121"/>
      <c r="U637" s="121"/>
      <c r="V637" s="121"/>
      <c r="W637" s="121"/>
      <c r="X637" s="121"/>
      <c r="Y637" s="121"/>
      <c r="Z637" s="121"/>
    </row>
    <row r="638" customFormat="false" ht="15.75" hidden="false" customHeight="false" outlineLevel="0" collapsed="false">
      <c r="A638" s="121"/>
      <c r="B638" s="121"/>
      <c r="C638" s="121"/>
      <c r="D638" s="121"/>
      <c r="E638" s="121"/>
      <c r="F638" s="121"/>
      <c r="G638" s="121"/>
      <c r="H638" s="121"/>
      <c r="I638" s="121"/>
      <c r="J638" s="121"/>
      <c r="K638" s="121"/>
      <c r="L638" s="121"/>
      <c r="M638" s="121"/>
      <c r="N638" s="121"/>
      <c r="O638" s="121"/>
      <c r="P638" s="121"/>
      <c r="Q638" s="121"/>
      <c r="R638" s="121"/>
      <c r="S638" s="121"/>
      <c r="T638" s="121"/>
      <c r="U638" s="121"/>
      <c r="V638" s="121"/>
      <c r="W638" s="121"/>
      <c r="X638" s="121"/>
      <c r="Y638" s="121"/>
      <c r="Z638" s="121"/>
    </row>
    <row r="639" customFormat="false" ht="15.75" hidden="false" customHeight="false" outlineLevel="0" collapsed="false">
      <c r="A639" s="121"/>
      <c r="B639" s="121"/>
      <c r="C639" s="121"/>
      <c r="D639" s="121"/>
      <c r="E639" s="121"/>
      <c r="F639" s="121"/>
      <c r="G639" s="121"/>
      <c r="H639" s="121"/>
      <c r="I639" s="121"/>
      <c r="J639" s="121"/>
      <c r="K639" s="121"/>
      <c r="L639" s="121"/>
      <c r="M639" s="121"/>
      <c r="N639" s="121"/>
      <c r="O639" s="121"/>
      <c r="P639" s="121"/>
      <c r="Q639" s="121"/>
      <c r="R639" s="121"/>
      <c r="S639" s="121"/>
      <c r="T639" s="121"/>
      <c r="U639" s="121"/>
      <c r="V639" s="121"/>
      <c r="W639" s="121"/>
      <c r="X639" s="121"/>
      <c r="Y639" s="121"/>
      <c r="Z639" s="121"/>
    </row>
    <row r="640" customFormat="false" ht="15.75" hidden="false" customHeight="false" outlineLevel="0" collapsed="false">
      <c r="A640" s="121"/>
      <c r="B640" s="121"/>
      <c r="C640" s="121"/>
      <c r="D640" s="121"/>
      <c r="E640" s="121"/>
      <c r="F640" s="121"/>
      <c r="G640" s="121"/>
      <c r="H640" s="121"/>
      <c r="I640" s="121"/>
      <c r="J640" s="121"/>
      <c r="K640" s="121"/>
      <c r="L640" s="121"/>
      <c r="M640" s="121"/>
      <c r="N640" s="121"/>
      <c r="O640" s="121"/>
      <c r="P640" s="121"/>
      <c r="Q640" s="121"/>
      <c r="R640" s="121"/>
      <c r="S640" s="121"/>
      <c r="T640" s="121"/>
      <c r="U640" s="121"/>
      <c r="V640" s="121"/>
      <c r="W640" s="121"/>
      <c r="X640" s="121"/>
      <c r="Y640" s="121"/>
      <c r="Z640" s="121"/>
    </row>
    <row r="641" customFormat="false" ht="15.75" hidden="false" customHeight="false" outlineLevel="0" collapsed="false">
      <c r="A641" s="121"/>
      <c r="B641" s="121"/>
      <c r="C641" s="121"/>
      <c r="D641" s="121"/>
      <c r="E641" s="121"/>
      <c r="F641" s="121"/>
      <c r="G641" s="121"/>
      <c r="H641" s="121"/>
      <c r="I641" s="121"/>
      <c r="J641" s="121"/>
      <c r="K641" s="121"/>
      <c r="L641" s="121"/>
      <c r="M641" s="121"/>
      <c r="N641" s="121"/>
      <c r="O641" s="121"/>
      <c r="P641" s="121"/>
      <c r="Q641" s="121"/>
      <c r="R641" s="121"/>
      <c r="S641" s="121"/>
      <c r="T641" s="121"/>
      <c r="U641" s="121"/>
      <c r="V641" s="121"/>
      <c r="W641" s="121"/>
      <c r="X641" s="121"/>
      <c r="Y641" s="121"/>
      <c r="Z641" s="121"/>
    </row>
    <row r="642" customFormat="false" ht="15.75" hidden="false" customHeight="false" outlineLevel="0" collapsed="false">
      <c r="A642" s="121"/>
      <c r="B642" s="121"/>
      <c r="C642" s="121"/>
      <c r="D642" s="121"/>
      <c r="E642" s="121"/>
      <c r="F642" s="121"/>
      <c r="G642" s="121"/>
      <c r="H642" s="121"/>
      <c r="I642" s="121"/>
      <c r="J642" s="121"/>
      <c r="K642" s="121"/>
      <c r="L642" s="121"/>
      <c r="M642" s="121"/>
      <c r="N642" s="121"/>
      <c r="O642" s="121"/>
      <c r="P642" s="121"/>
      <c r="Q642" s="121"/>
      <c r="R642" s="121"/>
      <c r="S642" s="121"/>
      <c r="T642" s="121"/>
      <c r="U642" s="121"/>
      <c r="V642" s="121"/>
      <c r="W642" s="121"/>
      <c r="X642" s="121"/>
      <c r="Y642" s="121"/>
      <c r="Z642" s="121"/>
    </row>
    <row r="643" customFormat="false" ht="15.75" hidden="false" customHeight="false" outlineLevel="0" collapsed="false">
      <c r="A643" s="121"/>
      <c r="B643" s="121"/>
      <c r="C643" s="121"/>
      <c r="D643" s="121"/>
      <c r="E643" s="121"/>
      <c r="F643" s="121"/>
      <c r="G643" s="121"/>
      <c r="H643" s="121"/>
      <c r="I643" s="121"/>
      <c r="J643" s="121"/>
      <c r="K643" s="121"/>
      <c r="L643" s="121"/>
      <c r="M643" s="121"/>
      <c r="N643" s="121"/>
      <c r="O643" s="121"/>
      <c r="P643" s="121"/>
      <c r="Q643" s="121"/>
      <c r="R643" s="121"/>
      <c r="S643" s="121"/>
      <c r="T643" s="121"/>
      <c r="U643" s="121"/>
      <c r="V643" s="121"/>
      <c r="W643" s="121"/>
      <c r="X643" s="121"/>
      <c r="Y643" s="121"/>
      <c r="Z643" s="121"/>
    </row>
    <row r="644" customFormat="false" ht="15.75" hidden="false" customHeight="false" outlineLevel="0" collapsed="false">
      <c r="A644" s="121"/>
      <c r="B644" s="121"/>
      <c r="C644" s="121"/>
      <c r="D644" s="121"/>
      <c r="E644" s="121"/>
      <c r="F644" s="121"/>
      <c r="G644" s="121"/>
      <c r="H644" s="121"/>
      <c r="I644" s="121"/>
      <c r="J644" s="121"/>
      <c r="K644" s="121"/>
      <c r="L644" s="121"/>
      <c r="M644" s="121"/>
      <c r="N644" s="121"/>
      <c r="O644" s="121"/>
      <c r="P644" s="121"/>
      <c r="Q644" s="121"/>
      <c r="R644" s="121"/>
      <c r="S644" s="121"/>
      <c r="T644" s="121"/>
      <c r="U644" s="121"/>
      <c r="V644" s="121"/>
      <c r="W644" s="121"/>
      <c r="X644" s="121"/>
      <c r="Y644" s="121"/>
      <c r="Z644" s="121"/>
    </row>
    <row r="645" customFormat="false" ht="15.75" hidden="false" customHeight="false" outlineLevel="0" collapsed="false">
      <c r="A645" s="121"/>
      <c r="B645" s="121"/>
      <c r="C645" s="121"/>
      <c r="D645" s="121"/>
      <c r="E645" s="121"/>
      <c r="F645" s="121"/>
      <c r="G645" s="121"/>
      <c r="H645" s="121"/>
      <c r="I645" s="121"/>
      <c r="J645" s="121"/>
      <c r="K645" s="121"/>
      <c r="L645" s="121"/>
      <c r="M645" s="121"/>
      <c r="N645" s="121"/>
      <c r="O645" s="121"/>
      <c r="P645" s="121"/>
      <c r="Q645" s="121"/>
      <c r="R645" s="121"/>
      <c r="S645" s="121"/>
      <c r="T645" s="121"/>
      <c r="U645" s="121"/>
      <c r="V645" s="121"/>
      <c r="W645" s="121"/>
      <c r="X645" s="121"/>
      <c r="Y645" s="121"/>
      <c r="Z645" s="121"/>
    </row>
    <row r="646" customFormat="false" ht="15.75" hidden="false" customHeight="false" outlineLevel="0" collapsed="false">
      <c r="A646" s="121"/>
      <c r="B646" s="121"/>
      <c r="C646" s="121"/>
      <c r="D646" s="121"/>
      <c r="E646" s="121"/>
      <c r="F646" s="121"/>
      <c r="G646" s="121"/>
      <c r="H646" s="121"/>
      <c r="I646" s="121"/>
      <c r="J646" s="121"/>
      <c r="K646" s="121"/>
      <c r="L646" s="121"/>
      <c r="M646" s="121"/>
      <c r="N646" s="121"/>
      <c r="O646" s="121"/>
      <c r="P646" s="121"/>
      <c r="Q646" s="121"/>
      <c r="R646" s="121"/>
      <c r="S646" s="121"/>
      <c r="T646" s="121"/>
      <c r="U646" s="121"/>
      <c r="V646" s="121"/>
      <c r="W646" s="121"/>
      <c r="X646" s="121"/>
      <c r="Y646" s="121"/>
      <c r="Z646" s="121"/>
    </row>
    <row r="647" customFormat="false" ht="15.75" hidden="false" customHeight="false" outlineLevel="0" collapsed="false">
      <c r="A647" s="121"/>
      <c r="B647" s="121"/>
      <c r="C647" s="121"/>
      <c r="D647" s="121"/>
      <c r="E647" s="121"/>
      <c r="F647" s="121"/>
      <c r="G647" s="121"/>
      <c r="H647" s="121"/>
      <c r="I647" s="121"/>
      <c r="J647" s="121"/>
      <c r="K647" s="121"/>
      <c r="L647" s="121"/>
      <c r="M647" s="121"/>
      <c r="N647" s="121"/>
      <c r="O647" s="121"/>
      <c r="P647" s="121"/>
      <c r="Q647" s="121"/>
      <c r="R647" s="121"/>
      <c r="S647" s="121"/>
      <c r="T647" s="121"/>
      <c r="U647" s="121"/>
      <c r="V647" s="121"/>
      <c r="W647" s="121"/>
      <c r="X647" s="121"/>
      <c r="Y647" s="121"/>
      <c r="Z647" s="121"/>
    </row>
    <row r="648" customFormat="false" ht="15.75" hidden="false" customHeight="false" outlineLevel="0" collapsed="false">
      <c r="A648" s="121"/>
      <c r="B648" s="121"/>
      <c r="C648" s="121"/>
      <c r="D648" s="121"/>
      <c r="E648" s="121"/>
      <c r="F648" s="121"/>
      <c r="G648" s="121"/>
      <c r="H648" s="121"/>
      <c r="I648" s="121"/>
      <c r="J648" s="121"/>
      <c r="K648" s="121"/>
      <c r="L648" s="121"/>
      <c r="M648" s="121"/>
      <c r="N648" s="121"/>
      <c r="O648" s="121"/>
      <c r="P648" s="121"/>
      <c r="Q648" s="121"/>
      <c r="R648" s="121"/>
      <c r="S648" s="121"/>
      <c r="T648" s="121"/>
      <c r="U648" s="121"/>
      <c r="V648" s="121"/>
      <c r="W648" s="121"/>
      <c r="X648" s="121"/>
      <c r="Y648" s="121"/>
      <c r="Z648" s="121"/>
    </row>
    <row r="649" customFormat="false" ht="15.75" hidden="false" customHeight="false" outlineLevel="0" collapsed="false">
      <c r="A649" s="121"/>
      <c r="B649" s="121"/>
      <c r="C649" s="121"/>
      <c r="D649" s="121"/>
      <c r="E649" s="121"/>
      <c r="F649" s="121"/>
      <c r="G649" s="121"/>
      <c r="H649" s="121"/>
      <c r="I649" s="121"/>
      <c r="J649" s="121"/>
      <c r="K649" s="121"/>
      <c r="L649" s="121"/>
      <c r="M649" s="121"/>
      <c r="N649" s="121"/>
      <c r="O649" s="121"/>
      <c r="P649" s="121"/>
      <c r="Q649" s="121"/>
      <c r="R649" s="121"/>
      <c r="S649" s="121"/>
      <c r="T649" s="121"/>
      <c r="U649" s="121"/>
      <c r="V649" s="121"/>
      <c r="W649" s="121"/>
      <c r="X649" s="121"/>
      <c r="Y649" s="121"/>
      <c r="Z649" s="121"/>
    </row>
    <row r="650" customFormat="false" ht="15.75" hidden="false" customHeight="false" outlineLevel="0" collapsed="false">
      <c r="A650" s="121"/>
      <c r="B650" s="121"/>
      <c r="C650" s="121"/>
      <c r="D650" s="121"/>
      <c r="E650" s="121"/>
      <c r="F650" s="121"/>
      <c r="G650" s="121"/>
      <c r="H650" s="121"/>
      <c r="I650" s="121"/>
      <c r="J650" s="121"/>
      <c r="K650" s="121"/>
      <c r="L650" s="121"/>
      <c r="M650" s="121"/>
      <c r="N650" s="121"/>
      <c r="O650" s="121"/>
      <c r="P650" s="121"/>
      <c r="Q650" s="121"/>
      <c r="R650" s="121"/>
      <c r="S650" s="121"/>
      <c r="T650" s="121"/>
      <c r="U650" s="121"/>
      <c r="V650" s="121"/>
      <c r="W650" s="121"/>
      <c r="X650" s="121"/>
      <c r="Y650" s="121"/>
      <c r="Z650" s="121"/>
    </row>
    <row r="651" customFormat="false" ht="15.75" hidden="false" customHeight="false" outlineLevel="0" collapsed="false">
      <c r="A651" s="121"/>
      <c r="B651" s="121"/>
      <c r="C651" s="121"/>
      <c r="D651" s="121"/>
      <c r="E651" s="121"/>
      <c r="F651" s="121"/>
      <c r="G651" s="121"/>
      <c r="H651" s="121"/>
      <c r="I651" s="121"/>
      <c r="J651" s="121"/>
      <c r="K651" s="121"/>
      <c r="L651" s="121"/>
      <c r="M651" s="121"/>
      <c r="N651" s="121"/>
      <c r="O651" s="121"/>
      <c r="P651" s="121"/>
      <c r="Q651" s="121"/>
      <c r="R651" s="121"/>
      <c r="S651" s="121"/>
      <c r="T651" s="121"/>
      <c r="U651" s="121"/>
      <c r="V651" s="121"/>
      <c r="W651" s="121"/>
      <c r="X651" s="121"/>
      <c r="Y651" s="121"/>
      <c r="Z651" s="121"/>
    </row>
    <row r="652" customFormat="false" ht="15.75" hidden="false" customHeight="false" outlineLevel="0" collapsed="false">
      <c r="A652" s="121"/>
      <c r="B652" s="121"/>
      <c r="C652" s="121"/>
      <c r="D652" s="121"/>
      <c r="E652" s="121"/>
      <c r="F652" s="121"/>
      <c r="G652" s="121"/>
      <c r="H652" s="121"/>
      <c r="I652" s="121"/>
      <c r="J652" s="121"/>
      <c r="K652" s="121"/>
      <c r="L652" s="121"/>
      <c r="M652" s="121"/>
      <c r="N652" s="121"/>
      <c r="O652" s="121"/>
      <c r="P652" s="121"/>
      <c r="Q652" s="121"/>
      <c r="R652" s="121"/>
      <c r="S652" s="121"/>
      <c r="T652" s="121"/>
      <c r="U652" s="121"/>
      <c r="V652" s="121"/>
      <c r="W652" s="121"/>
      <c r="X652" s="121"/>
      <c r="Y652" s="121"/>
      <c r="Z652" s="121"/>
    </row>
    <row r="653" customFormat="false" ht="15.75" hidden="false" customHeight="false" outlineLevel="0" collapsed="false">
      <c r="A653" s="121"/>
      <c r="B653" s="121"/>
      <c r="C653" s="121"/>
      <c r="D653" s="121"/>
      <c r="E653" s="121"/>
      <c r="F653" s="121"/>
      <c r="G653" s="121"/>
      <c r="H653" s="121"/>
      <c r="I653" s="121"/>
      <c r="J653" s="121"/>
      <c r="K653" s="121"/>
      <c r="L653" s="121"/>
      <c r="M653" s="121"/>
      <c r="N653" s="121"/>
      <c r="O653" s="121"/>
      <c r="P653" s="121"/>
      <c r="Q653" s="121"/>
      <c r="R653" s="121"/>
      <c r="S653" s="121"/>
      <c r="T653" s="121"/>
      <c r="U653" s="121"/>
      <c r="V653" s="121"/>
      <c r="W653" s="121"/>
      <c r="X653" s="121"/>
      <c r="Y653" s="121"/>
      <c r="Z653" s="121"/>
    </row>
    <row r="654" customFormat="false" ht="15.75" hidden="false" customHeight="false" outlineLevel="0" collapsed="false">
      <c r="A654" s="121"/>
      <c r="B654" s="121"/>
      <c r="C654" s="121"/>
      <c r="D654" s="121"/>
      <c r="E654" s="121"/>
      <c r="F654" s="121"/>
      <c r="G654" s="121"/>
      <c r="H654" s="121"/>
      <c r="I654" s="121"/>
      <c r="J654" s="121"/>
      <c r="K654" s="121"/>
      <c r="L654" s="121"/>
      <c r="M654" s="121"/>
      <c r="N654" s="121"/>
      <c r="O654" s="121"/>
      <c r="P654" s="121"/>
      <c r="Q654" s="121"/>
      <c r="R654" s="121"/>
      <c r="S654" s="121"/>
      <c r="T654" s="121"/>
      <c r="U654" s="121"/>
      <c r="V654" s="121"/>
      <c r="W654" s="121"/>
      <c r="X654" s="121"/>
      <c r="Y654" s="121"/>
      <c r="Z654" s="121"/>
    </row>
    <row r="655" customFormat="false" ht="15.75" hidden="false" customHeight="false" outlineLevel="0" collapsed="false">
      <c r="A655" s="121"/>
      <c r="B655" s="121"/>
      <c r="C655" s="121"/>
      <c r="D655" s="121"/>
      <c r="E655" s="121"/>
      <c r="F655" s="121"/>
      <c r="G655" s="121"/>
      <c r="H655" s="121"/>
      <c r="I655" s="121"/>
      <c r="J655" s="121"/>
      <c r="K655" s="121"/>
      <c r="L655" s="121"/>
      <c r="M655" s="121"/>
      <c r="N655" s="121"/>
      <c r="O655" s="121"/>
      <c r="P655" s="121"/>
      <c r="Q655" s="121"/>
      <c r="R655" s="121"/>
      <c r="S655" s="121"/>
      <c r="T655" s="121"/>
      <c r="U655" s="121"/>
      <c r="V655" s="121"/>
      <c r="W655" s="121"/>
      <c r="X655" s="121"/>
      <c r="Y655" s="121"/>
      <c r="Z655" s="121"/>
    </row>
    <row r="656" customFormat="false" ht="15.75" hidden="false" customHeight="false" outlineLevel="0" collapsed="false">
      <c r="A656" s="121"/>
      <c r="B656" s="121"/>
      <c r="C656" s="121"/>
      <c r="D656" s="121"/>
      <c r="E656" s="121"/>
      <c r="F656" s="121"/>
      <c r="G656" s="121"/>
      <c r="H656" s="121"/>
      <c r="I656" s="121"/>
      <c r="J656" s="121"/>
      <c r="K656" s="121"/>
      <c r="L656" s="121"/>
      <c r="M656" s="121"/>
      <c r="N656" s="121"/>
      <c r="O656" s="121"/>
      <c r="P656" s="121"/>
      <c r="Q656" s="121"/>
      <c r="R656" s="121"/>
      <c r="S656" s="121"/>
      <c r="T656" s="121"/>
      <c r="U656" s="121"/>
      <c r="V656" s="121"/>
      <c r="W656" s="121"/>
      <c r="X656" s="121"/>
      <c r="Y656" s="121"/>
      <c r="Z656" s="121"/>
    </row>
    <row r="657" customFormat="false" ht="15.75" hidden="false" customHeight="false" outlineLevel="0" collapsed="false">
      <c r="A657" s="121"/>
      <c r="B657" s="121"/>
      <c r="C657" s="121"/>
      <c r="D657" s="121"/>
      <c r="E657" s="121"/>
      <c r="F657" s="121"/>
      <c r="G657" s="121"/>
      <c r="H657" s="121"/>
      <c r="I657" s="121"/>
      <c r="J657" s="121"/>
      <c r="K657" s="121"/>
      <c r="L657" s="121"/>
      <c r="M657" s="121"/>
      <c r="N657" s="121"/>
      <c r="O657" s="121"/>
      <c r="P657" s="121"/>
      <c r="Q657" s="121"/>
      <c r="R657" s="121"/>
      <c r="S657" s="121"/>
      <c r="T657" s="121"/>
      <c r="U657" s="121"/>
      <c r="V657" s="121"/>
      <c r="W657" s="121"/>
      <c r="X657" s="121"/>
      <c r="Y657" s="121"/>
      <c r="Z657" s="121"/>
    </row>
    <row r="658" customFormat="false" ht="15.75" hidden="false" customHeight="false" outlineLevel="0" collapsed="false">
      <c r="A658" s="121"/>
      <c r="B658" s="121"/>
      <c r="C658" s="121"/>
      <c r="D658" s="121"/>
      <c r="E658" s="121"/>
      <c r="F658" s="121"/>
      <c r="G658" s="121"/>
      <c r="H658" s="121"/>
      <c r="I658" s="121"/>
      <c r="J658" s="121"/>
      <c r="K658" s="121"/>
      <c r="L658" s="121"/>
      <c r="M658" s="121"/>
      <c r="N658" s="121"/>
      <c r="O658" s="121"/>
      <c r="P658" s="121"/>
      <c r="Q658" s="121"/>
      <c r="R658" s="121"/>
      <c r="S658" s="121"/>
      <c r="T658" s="121"/>
      <c r="U658" s="121"/>
      <c r="V658" s="121"/>
      <c r="W658" s="121"/>
      <c r="X658" s="121"/>
      <c r="Y658" s="121"/>
      <c r="Z658" s="121"/>
    </row>
    <row r="659" customFormat="false" ht="15.75" hidden="false" customHeight="false" outlineLevel="0" collapsed="false">
      <c r="A659" s="121"/>
      <c r="B659" s="121"/>
      <c r="C659" s="121"/>
      <c r="D659" s="121"/>
      <c r="E659" s="121"/>
      <c r="F659" s="121"/>
      <c r="G659" s="121"/>
      <c r="H659" s="121"/>
      <c r="I659" s="121"/>
      <c r="J659" s="121"/>
      <c r="K659" s="121"/>
      <c r="L659" s="121"/>
      <c r="M659" s="121"/>
      <c r="N659" s="121"/>
      <c r="O659" s="121"/>
      <c r="P659" s="121"/>
      <c r="Q659" s="121"/>
      <c r="R659" s="121"/>
      <c r="S659" s="121"/>
      <c r="T659" s="121"/>
      <c r="U659" s="121"/>
      <c r="V659" s="121"/>
      <c r="W659" s="121"/>
      <c r="X659" s="121"/>
      <c r="Y659" s="121"/>
      <c r="Z659" s="121"/>
    </row>
    <row r="660" customFormat="false" ht="15.75" hidden="false" customHeight="false" outlineLevel="0" collapsed="false">
      <c r="A660" s="121"/>
      <c r="B660" s="121"/>
      <c r="C660" s="121"/>
      <c r="D660" s="121"/>
      <c r="E660" s="121"/>
      <c r="F660" s="121"/>
      <c r="G660" s="121"/>
      <c r="H660" s="121"/>
      <c r="I660" s="121"/>
      <c r="J660" s="121"/>
      <c r="K660" s="121"/>
      <c r="L660" s="121"/>
      <c r="M660" s="121"/>
      <c r="N660" s="121"/>
      <c r="O660" s="121"/>
      <c r="P660" s="121"/>
      <c r="Q660" s="121"/>
      <c r="R660" s="121"/>
      <c r="S660" s="121"/>
      <c r="T660" s="121"/>
      <c r="U660" s="121"/>
      <c r="V660" s="121"/>
      <c r="W660" s="121"/>
      <c r="X660" s="121"/>
      <c r="Y660" s="121"/>
      <c r="Z660" s="121"/>
    </row>
    <row r="661" customFormat="false" ht="15.75" hidden="false" customHeight="false" outlineLevel="0" collapsed="false">
      <c r="A661" s="121"/>
      <c r="B661" s="121"/>
      <c r="C661" s="121"/>
      <c r="D661" s="121"/>
      <c r="E661" s="121"/>
      <c r="F661" s="121"/>
      <c r="G661" s="121"/>
      <c r="H661" s="121"/>
      <c r="I661" s="121"/>
      <c r="J661" s="121"/>
      <c r="K661" s="121"/>
      <c r="L661" s="121"/>
      <c r="M661" s="121"/>
      <c r="N661" s="121"/>
      <c r="O661" s="121"/>
      <c r="P661" s="121"/>
      <c r="Q661" s="121"/>
      <c r="R661" s="121"/>
      <c r="S661" s="121"/>
      <c r="T661" s="121"/>
      <c r="U661" s="121"/>
      <c r="V661" s="121"/>
      <c r="W661" s="121"/>
      <c r="X661" s="121"/>
      <c r="Y661" s="121"/>
      <c r="Z661" s="121"/>
    </row>
    <row r="662" customFormat="false" ht="15.75" hidden="false" customHeight="false" outlineLevel="0" collapsed="false">
      <c r="A662" s="121"/>
      <c r="B662" s="121"/>
      <c r="C662" s="121"/>
      <c r="D662" s="121"/>
      <c r="E662" s="121"/>
      <c r="F662" s="121"/>
      <c r="G662" s="121"/>
      <c r="H662" s="121"/>
      <c r="I662" s="121"/>
      <c r="J662" s="121"/>
      <c r="K662" s="121"/>
      <c r="L662" s="121"/>
      <c r="M662" s="121"/>
      <c r="N662" s="121"/>
      <c r="O662" s="121"/>
      <c r="P662" s="121"/>
      <c r="Q662" s="121"/>
      <c r="R662" s="121"/>
      <c r="S662" s="121"/>
      <c r="T662" s="121"/>
      <c r="U662" s="121"/>
      <c r="V662" s="121"/>
      <c r="W662" s="121"/>
      <c r="X662" s="121"/>
      <c r="Y662" s="121"/>
      <c r="Z662" s="121"/>
    </row>
    <row r="663" customFormat="false" ht="15.75" hidden="false" customHeight="false" outlineLevel="0" collapsed="false">
      <c r="A663" s="121"/>
      <c r="B663" s="121"/>
      <c r="C663" s="121"/>
      <c r="D663" s="121"/>
      <c r="E663" s="121"/>
      <c r="F663" s="121"/>
      <c r="G663" s="121"/>
      <c r="H663" s="121"/>
      <c r="I663" s="121"/>
      <c r="J663" s="121"/>
      <c r="K663" s="121"/>
      <c r="L663" s="121"/>
      <c r="M663" s="121"/>
      <c r="N663" s="121"/>
      <c r="O663" s="121"/>
      <c r="P663" s="121"/>
      <c r="Q663" s="121"/>
      <c r="R663" s="121"/>
      <c r="S663" s="121"/>
      <c r="T663" s="121"/>
      <c r="U663" s="121"/>
      <c r="V663" s="121"/>
      <c r="W663" s="121"/>
      <c r="X663" s="121"/>
      <c r="Y663" s="121"/>
      <c r="Z663" s="121"/>
    </row>
    <row r="664" customFormat="false" ht="15.75" hidden="false" customHeight="false" outlineLevel="0" collapsed="false">
      <c r="A664" s="121"/>
      <c r="B664" s="121"/>
      <c r="C664" s="121"/>
      <c r="D664" s="121"/>
      <c r="E664" s="121"/>
      <c r="F664" s="121"/>
      <c r="G664" s="121"/>
      <c r="H664" s="121"/>
      <c r="I664" s="121"/>
      <c r="J664" s="121"/>
      <c r="K664" s="121"/>
      <c r="L664" s="121"/>
      <c r="M664" s="121"/>
      <c r="N664" s="121"/>
      <c r="O664" s="121"/>
      <c r="P664" s="121"/>
      <c r="Q664" s="121"/>
      <c r="R664" s="121"/>
      <c r="S664" s="121"/>
      <c r="T664" s="121"/>
      <c r="U664" s="121"/>
      <c r="V664" s="121"/>
      <c r="W664" s="121"/>
      <c r="X664" s="121"/>
      <c r="Y664" s="121"/>
      <c r="Z664" s="121"/>
    </row>
    <row r="665" customFormat="false" ht="15.75" hidden="false" customHeight="false" outlineLevel="0" collapsed="false">
      <c r="A665" s="121"/>
      <c r="B665" s="121"/>
      <c r="C665" s="121"/>
      <c r="D665" s="121"/>
      <c r="E665" s="121"/>
      <c r="F665" s="121"/>
      <c r="G665" s="121"/>
      <c r="H665" s="121"/>
      <c r="I665" s="121"/>
      <c r="J665" s="121"/>
      <c r="K665" s="121"/>
      <c r="L665" s="121"/>
      <c r="M665" s="121"/>
      <c r="N665" s="121"/>
      <c r="O665" s="121"/>
      <c r="P665" s="121"/>
      <c r="Q665" s="121"/>
      <c r="R665" s="121"/>
      <c r="S665" s="121"/>
      <c r="T665" s="121"/>
      <c r="U665" s="121"/>
      <c r="V665" s="121"/>
      <c r="W665" s="121"/>
      <c r="X665" s="121"/>
      <c r="Y665" s="121"/>
      <c r="Z665" s="121"/>
    </row>
    <row r="666" customFormat="false" ht="15.75" hidden="false" customHeight="false" outlineLevel="0" collapsed="false">
      <c r="A666" s="121"/>
      <c r="B666" s="121"/>
      <c r="C666" s="121"/>
      <c r="D666" s="121"/>
      <c r="E666" s="121"/>
      <c r="F666" s="121"/>
      <c r="G666" s="121"/>
      <c r="H666" s="121"/>
      <c r="I666" s="121"/>
      <c r="J666" s="121"/>
      <c r="K666" s="121"/>
      <c r="L666" s="121"/>
      <c r="M666" s="121"/>
      <c r="N666" s="121"/>
      <c r="O666" s="121"/>
      <c r="P666" s="121"/>
      <c r="Q666" s="121"/>
      <c r="R666" s="121"/>
      <c r="S666" s="121"/>
      <c r="T666" s="121"/>
      <c r="U666" s="121"/>
      <c r="V666" s="121"/>
      <c r="W666" s="121"/>
      <c r="X666" s="121"/>
      <c r="Y666" s="121"/>
      <c r="Z666" s="121"/>
    </row>
    <row r="667" customFormat="false" ht="15.75" hidden="false" customHeight="false" outlineLevel="0" collapsed="false">
      <c r="A667" s="121"/>
      <c r="B667" s="121"/>
      <c r="C667" s="121"/>
      <c r="D667" s="121"/>
      <c r="E667" s="121"/>
      <c r="F667" s="121"/>
      <c r="G667" s="121"/>
      <c r="H667" s="121"/>
      <c r="I667" s="121"/>
      <c r="J667" s="121"/>
      <c r="K667" s="121"/>
      <c r="L667" s="121"/>
      <c r="M667" s="121"/>
      <c r="N667" s="121"/>
      <c r="O667" s="121"/>
      <c r="P667" s="121"/>
      <c r="Q667" s="121"/>
      <c r="R667" s="121"/>
      <c r="S667" s="121"/>
      <c r="T667" s="121"/>
      <c r="U667" s="121"/>
      <c r="V667" s="121"/>
      <c r="W667" s="121"/>
      <c r="X667" s="121"/>
      <c r="Y667" s="121"/>
      <c r="Z667" s="121"/>
    </row>
    <row r="668" customFormat="false" ht="15.75" hidden="false" customHeight="false" outlineLevel="0" collapsed="false">
      <c r="A668" s="121"/>
      <c r="B668" s="121"/>
      <c r="C668" s="121"/>
      <c r="D668" s="121"/>
      <c r="E668" s="121"/>
      <c r="F668" s="121"/>
      <c r="G668" s="121"/>
      <c r="H668" s="121"/>
      <c r="I668" s="121"/>
      <c r="J668" s="121"/>
      <c r="K668" s="121"/>
      <c r="L668" s="121"/>
      <c r="M668" s="121"/>
      <c r="N668" s="121"/>
      <c r="O668" s="121"/>
      <c r="P668" s="121"/>
      <c r="Q668" s="121"/>
      <c r="R668" s="121"/>
      <c r="S668" s="121"/>
      <c r="T668" s="121"/>
      <c r="U668" s="121"/>
      <c r="V668" s="121"/>
      <c r="W668" s="121"/>
      <c r="X668" s="121"/>
      <c r="Y668" s="121"/>
      <c r="Z668" s="121"/>
    </row>
    <row r="669" customFormat="false" ht="15.75" hidden="false" customHeight="false" outlineLevel="0" collapsed="false">
      <c r="A669" s="121"/>
      <c r="B669" s="121"/>
      <c r="C669" s="121"/>
      <c r="D669" s="121"/>
      <c r="E669" s="121"/>
      <c r="F669" s="121"/>
      <c r="G669" s="121"/>
      <c r="H669" s="121"/>
      <c r="I669" s="121"/>
      <c r="J669" s="121"/>
      <c r="K669" s="121"/>
      <c r="L669" s="121"/>
      <c r="M669" s="121"/>
      <c r="N669" s="121"/>
      <c r="O669" s="121"/>
      <c r="P669" s="121"/>
      <c r="Q669" s="121"/>
      <c r="R669" s="121"/>
      <c r="S669" s="121"/>
      <c r="T669" s="121"/>
      <c r="U669" s="121"/>
      <c r="V669" s="121"/>
      <c r="W669" s="121"/>
      <c r="X669" s="121"/>
      <c r="Y669" s="121"/>
      <c r="Z669" s="121"/>
    </row>
    <row r="670" customFormat="false" ht="15.75" hidden="false" customHeight="false" outlineLevel="0" collapsed="false">
      <c r="A670" s="121"/>
      <c r="B670" s="121"/>
      <c r="C670" s="121"/>
      <c r="D670" s="121"/>
      <c r="E670" s="121"/>
      <c r="F670" s="121"/>
      <c r="G670" s="121"/>
      <c r="H670" s="121"/>
      <c r="I670" s="121"/>
      <c r="J670" s="121"/>
      <c r="K670" s="121"/>
      <c r="L670" s="121"/>
      <c r="M670" s="121"/>
      <c r="N670" s="121"/>
      <c r="O670" s="121"/>
      <c r="P670" s="121"/>
      <c r="Q670" s="121"/>
      <c r="R670" s="121"/>
      <c r="S670" s="121"/>
      <c r="T670" s="121"/>
      <c r="U670" s="121"/>
      <c r="V670" s="121"/>
      <c r="W670" s="121"/>
      <c r="X670" s="121"/>
      <c r="Y670" s="121"/>
      <c r="Z670" s="121"/>
    </row>
    <row r="671" customFormat="false" ht="15.75" hidden="false" customHeight="false" outlineLevel="0" collapsed="false">
      <c r="A671" s="121"/>
      <c r="B671" s="121"/>
      <c r="C671" s="121"/>
      <c r="D671" s="121"/>
      <c r="E671" s="121"/>
      <c r="F671" s="121"/>
      <c r="G671" s="121"/>
      <c r="H671" s="121"/>
      <c r="I671" s="121"/>
      <c r="J671" s="121"/>
      <c r="K671" s="121"/>
      <c r="L671" s="121"/>
      <c r="M671" s="121"/>
      <c r="N671" s="121"/>
      <c r="O671" s="121"/>
      <c r="P671" s="121"/>
      <c r="Q671" s="121"/>
      <c r="R671" s="121"/>
      <c r="S671" s="121"/>
      <c r="T671" s="121"/>
      <c r="U671" s="121"/>
      <c r="V671" s="121"/>
      <c r="W671" s="121"/>
      <c r="X671" s="121"/>
      <c r="Y671" s="121"/>
      <c r="Z671" s="121"/>
    </row>
    <row r="672" customFormat="false" ht="15.75" hidden="false" customHeight="false" outlineLevel="0" collapsed="false">
      <c r="A672" s="121"/>
      <c r="B672" s="121"/>
      <c r="C672" s="121"/>
      <c r="D672" s="121"/>
      <c r="E672" s="121"/>
      <c r="F672" s="121"/>
      <c r="G672" s="121"/>
      <c r="H672" s="121"/>
      <c r="I672" s="121"/>
      <c r="J672" s="121"/>
      <c r="K672" s="121"/>
      <c r="L672" s="121"/>
      <c r="M672" s="121"/>
      <c r="N672" s="121"/>
      <c r="O672" s="121"/>
      <c r="P672" s="121"/>
      <c r="Q672" s="121"/>
      <c r="R672" s="121"/>
      <c r="S672" s="121"/>
      <c r="T672" s="121"/>
      <c r="U672" s="121"/>
      <c r="V672" s="121"/>
      <c r="W672" s="121"/>
      <c r="X672" s="121"/>
      <c r="Y672" s="121"/>
      <c r="Z672" s="121"/>
    </row>
    <row r="673" customFormat="false" ht="15.75" hidden="false" customHeight="false" outlineLevel="0" collapsed="false">
      <c r="A673" s="121"/>
      <c r="B673" s="121"/>
      <c r="C673" s="121"/>
      <c r="D673" s="121"/>
      <c r="E673" s="121"/>
      <c r="F673" s="121"/>
      <c r="G673" s="121"/>
      <c r="H673" s="121"/>
      <c r="I673" s="121"/>
      <c r="J673" s="121"/>
      <c r="K673" s="121"/>
      <c r="L673" s="121"/>
      <c r="M673" s="121"/>
      <c r="N673" s="121"/>
      <c r="O673" s="121"/>
      <c r="P673" s="121"/>
      <c r="Q673" s="121"/>
      <c r="R673" s="121"/>
      <c r="S673" s="121"/>
      <c r="T673" s="121"/>
      <c r="U673" s="121"/>
      <c r="V673" s="121"/>
      <c r="W673" s="121"/>
      <c r="X673" s="121"/>
      <c r="Y673" s="121"/>
      <c r="Z673" s="121"/>
    </row>
    <row r="674" customFormat="false" ht="15.75" hidden="false" customHeight="false" outlineLevel="0" collapsed="false">
      <c r="A674" s="121"/>
      <c r="B674" s="121"/>
      <c r="C674" s="121"/>
      <c r="D674" s="121"/>
      <c r="E674" s="121"/>
      <c r="F674" s="121"/>
      <c r="G674" s="121"/>
      <c r="H674" s="121"/>
      <c r="I674" s="121"/>
      <c r="J674" s="121"/>
      <c r="K674" s="121"/>
      <c r="L674" s="121"/>
      <c r="M674" s="121"/>
      <c r="N674" s="121"/>
      <c r="O674" s="121"/>
      <c r="P674" s="121"/>
      <c r="Q674" s="121"/>
      <c r="R674" s="121"/>
      <c r="S674" s="121"/>
      <c r="T674" s="121"/>
      <c r="U674" s="121"/>
      <c r="V674" s="121"/>
      <c r="W674" s="121"/>
      <c r="X674" s="121"/>
      <c r="Y674" s="121"/>
      <c r="Z674" s="121"/>
    </row>
    <row r="675" customFormat="false" ht="15.75" hidden="false" customHeight="false" outlineLevel="0" collapsed="false">
      <c r="A675" s="121"/>
      <c r="B675" s="121"/>
      <c r="C675" s="121"/>
      <c r="D675" s="121"/>
      <c r="E675" s="121"/>
      <c r="F675" s="121"/>
      <c r="G675" s="121"/>
      <c r="H675" s="121"/>
      <c r="I675" s="121"/>
      <c r="J675" s="121"/>
      <c r="K675" s="121"/>
      <c r="L675" s="121"/>
      <c r="M675" s="121"/>
      <c r="N675" s="121"/>
      <c r="O675" s="121"/>
      <c r="P675" s="121"/>
      <c r="Q675" s="121"/>
      <c r="R675" s="121"/>
      <c r="S675" s="121"/>
      <c r="T675" s="121"/>
      <c r="U675" s="121"/>
      <c r="V675" s="121"/>
      <c r="W675" s="121"/>
      <c r="X675" s="121"/>
      <c r="Y675" s="121"/>
      <c r="Z675" s="121"/>
    </row>
    <row r="676" customFormat="false" ht="15.75" hidden="false" customHeight="false" outlineLevel="0" collapsed="false">
      <c r="A676" s="121"/>
      <c r="B676" s="121"/>
      <c r="C676" s="121"/>
      <c r="D676" s="121"/>
      <c r="E676" s="121"/>
      <c r="F676" s="121"/>
      <c r="G676" s="121"/>
      <c r="H676" s="121"/>
      <c r="I676" s="121"/>
      <c r="J676" s="121"/>
      <c r="K676" s="121"/>
      <c r="L676" s="121"/>
      <c r="M676" s="121"/>
      <c r="N676" s="121"/>
      <c r="O676" s="121"/>
      <c r="P676" s="121"/>
      <c r="Q676" s="121"/>
      <c r="R676" s="121"/>
      <c r="S676" s="121"/>
      <c r="T676" s="121"/>
      <c r="U676" s="121"/>
      <c r="V676" s="121"/>
      <c r="W676" s="121"/>
      <c r="X676" s="121"/>
      <c r="Y676" s="121"/>
      <c r="Z676" s="121"/>
    </row>
    <row r="677" customFormat="false" ht="15.75" hidden="false" customHeight="false" outlineLevel="0" collapsed="false">
      <c r="A677" s="121"/>
      <c r="B677" s="121"/>
      <c r="C677" s="121"/>
      <c r="D677" s="121"/>
      <c r="E677" s="121"/>
      <c r="F677" s="121"/>
      <c r="G677" s="121"/>
      <c r="H677" s="121"/>
      <c r="I677" s="121"/>
      <c r="J677" s="121"/>
      <c r="K677" s="121"/>
      <c r="L677" s="121"/>
      <c r="M677" s="121"/>
      <c r="N677" s="121"/>
      <c r="O677" s="121"/>
      <c r="P677" s="121"/>
      <c r="Q677" s="121"/>
      <c r="R677" s="121"/>
      <c r="S677" s="121"/>
      <c r="T677" s="121"/>
      <c r="U677" s="121"/>
      <c r="V677" s="121"/>
      <c r="W677" s="121"/>
      <c r="X677" s="121"/>
      <c r="Y677" s="121"/>
      <c r="Z677" s="121"/>
    </row>
    <row r="678" customFormat="false" ht="15.75" hidden="false" customHeight="false" outlineLevel="0" collapsed="false">
      <c r="A678" s="121"/>
      <c r="B678" s="121"/>
      <c r="C678" s="121"/>
      <c r="D678" s="121"/>
      <c r="E678" s="121"/>
      <c r="F678" s="121"/>
      <c r="G678" s="121"/>
      <c r="H678" s="121"/>
      <c r="I678" s="121"/>
      <c r="J678" s="121"/>
      <c r="K678" s="121"/>
      <c r="L678" s="121"/>
      <c r="M678" s="121"/>
      <c r="N678" s="121"/>
      <c r="O678" s="121"/>
      <c r="P678" s="121"/>
      <c r="Q678" s="121"/>
      <c r="R678" s="121"/>
      <c r="S678" s="121"/>
      <c r="T678" s="121"/>
      <c r="U678" s="121"/>
      <c r="V678" s="121"/>
      <c r="W678" s="121"/>
      <c r="X678" s="121"/>
      <c r="Y678" s="121"/>
      <c r="Z678" s="121"/>
    </row>
    <row r="679" customFormat="false" ht="15.75" hidden="false" customHeight="false" outlineLevel="0" collapsed="false">
      <c r="A679" s="121"/>
      <c r="B679" s="121"/>
      <c r="C679" s="121"/>
      <c r="D679" s="121"/>
      <c r="E679" s="121"/>
      <c r="F679" s="121"/>
      <c r="G679" s="121"/>
      <c r="H679" s="121"/>
      <c r="I679" s="121"/>
      <c r="J679" s="121"/>
      <c r="K679" s="121"/>
      <c r="L679" s="121"/>
      <c r="M679" s="121"/>
      <c r="N679" s="121"/>
      <c r="O679" s="121"/>
      <c r="P679" s="121"/>
      <c r="Q679" s="121"/>
      <c r="R679" s="121"/>
      <c r="S679" s="121"/>
      <c r="T679" s="121"/>
      <c r="U679" s="121"/>
      <c r="V679" s="121"/>
      <c r="W679" s="121"/>
      <c r="X679" s="121"/>
      <c r="Y679" s="121"/>
      <c r="Z679" s="121"/>
    </row>
    <row r="680" customFormat="false" ht="15.75" hidden="false" customHeight="false" outlineLevel="0" collapsed="false">
      <c r="A680" s="121"/>
      <c r="B680" s="121"/>
      <c r="C680" s="121"/>
      <c r="D680" s="121"/>
      <c r="E680" s="121"/>
      <c r="F680" s="121"/>
      <c r="G680" s="121"/>
      <c r="H680" s="121"/>
      <c r="I680" s="121"/>
      <c r="J680" s="121"/>
      <c r="K680" s="121"/>
      <c r="L680" s="121"/>
      <c r="M680" s="121"/>
      <c r="N680" s="121"/>
      <c r="O680" s="121"/>
      <c r="P680" s="121"/>
      <c r="Q680" s="121"/>
      <c r="R680" s="121"/>
      <c r="S680" s="121"/>
      <c r="T680" s="121"/>
      <c r="U680" s="121"/>
      <c r="V680" s="121"/>
      <c r="W680" s="121"/>
      <c r="X680" s="121"/>
      <c r="Y680" s="121"/>
      <c r="Z680" s="121"/>
    </row>
    <row r="681" customFormat="false" ht="15.75" hidden="false" customHeight="false" outlineLevel="0" collapsed="false">
      <c r="A681" s="121"/>
      <c r="B681" s="121"/>
      <c r="C681" s="121"/>
      <c r="D681" s="121"/>
      <c r="E681" s="121"/>
      <c r="F681" s="121"/>
      <c r="G681" s="121"/>
      <c r="H681" s="121"/>
      <c r="I681" s="121"/>
      <c r="J681" s="121"/>
      <c r="K681" s="121"/>
      <c r="L681" s="121"/>
      <c r="M681" s="121"/>
      <c r="N681" s="121"/>
      <c r="O681" s="121"/>
      <c r="P681" s="121"/>
      <c r="Q681" s="121"/>
      <c r="R681" s="121"/>
      <c r="S681" s="121"/>
      <c r="T681" s="121"/>
      <c r="U681" s="121"/>
      <c r="V681" s="121"/>
      <c r="W681" s="121"/>
      <c r="X681" s="121"/>
      <c r="Y681" s="121"/>
      <c r="Z681" s="121"/>
    </row>
    <row r="682" customFormat="false" ht="15.75" hidden="false" customHeight="false" outlineLevel="0" collapsed="false">
      <c r="A682" s="121"/>
      <c r="B682" s="121"/>
      <c r="C682" s="121"/>
      <c r="D682" s="121"/>
      <c r="E682" s="121"/>
      <c r="F682" s="121"/>
      <c r="G682" s="121"/>
      <c r="H682" s="121"/>
      <c r="I682" s="121"/>
      <c r="J682" s="121"/>
      <c r="K682" s="121"/>
      <c r="L682" s="121"/>
      <c r="M682" s="121"/>
      <c r="N682" s="121"/>
      <c r="O682" s="121"/>
      <c r="P682" s="121"/>
      <c r="Q682" s="121"/>
      <c r="R682" s="121"/>
      <c r="S682" s="121"/>
      <c r="T682" s="121"/>
      <c r="U682" s="121"/>
      <c r="V682" s="121"/>
      <c r="W682" s="121"/>
      <c r="X682" s="121"/>
      <c r="Y682" s="121"/>
      <c r="Z682" s="121"/>
    </row>
    <row r="683" customFormat="false" ht="15.75" hidden="false" customHeight="false" outlineLevel="0" collapsed="false">
      <c r="A683" s="121"/>
      <c r="B683" s="121"/>
      <c r="C683" s="121"/>
      <c r="D683" s="121"/>
      <c r="E683" s="121"/>
      <c r="F683" s="121"/>
      <c r="G683" s="121"/>
      <c r="H683" s="121"/>
      <c r="I683" s="121"/>
      <c r="J683" s="121"/>
      <c r="K683" s="121"/>
      <c r="L683" s="121"/>
      <c r="M683" s="121"/>
      <c r="N683" s="121"/>
      <c r="O683" s="121"/>
      <c r="P683" s="121"/>
      <c r="Q683" s="121"/>
      <c r="R683" s="121"/>
      <c r="S683" s="121"/>
      <c r="T683" s="121"/>
      <c r="U683" s="121"/>
      <c r="V683" s="121"/>
      <c r="W683" s="121"/>
      <c r="X683" s="121"/>
      <c r="Y683" s="121"/>
      <c r="Z683" s="121"/>
    </row>
    <row r="684" customFormat="false" ht="15.75" hidden="false" customHeight="false" outlineLevel="0" collapsed="false">
      <c r="A684" s="121"/>
      <c r="B684" s="121"/>
      <c r="C684" s="121"/>
      <c r="D684" s="121"/>
      <c r="E684" s="121"/>
      <c r="F684" s="121"/>
      <c r="G684" s="121"/>
      <c r="H684" s="121"/>
      <c r="I684" s="121"/>
      <c r="J684" s="121"/>
      <c r="K684" s="121"/>
      <c r="L684" s="121"/>
      <c r="M684" s="121"/>
      <c r="N684" s="121"/>
      <c r="O684" s="121"/>
      <c r="P684" s="121"/>
      <c r="Q684" s="121"/>
      <c r="R684" s="121"/>
      <c r="S684" s="121"/>
      <c r="T684" s="121"/>
      <c r="U684" s="121"/>
      <c r="V684" s="121"/>
      <c r="W684" s="121"/>
      <c r="X684" s="121"/>
      <c r="Y684" s="121"/>
      <c r="Z684" s="121"/>
    </row>
    <row r="685" customFormat="false" ht="15.75" hidden="false" customHeight="false" outlineLevel="0" collapsed="false">
      <c r="A685" s="121"/>
      <c r="B685" s="121"/>
      <c r="C685" s="121"/>
      <c r="D685" s="121"/>
      <c r="E685" s="121"/>
      <c r="F685" s="121"/>
      <c r="G685" s="121"/>
      <c r="H685" s="121"/>
      <c r="I685" s="121"/>
      <c r="J685" s="121"/>
      <c r="K685" s="121"/>
      <c r="L685" s="121"/>
      <c r="M685" s="121"/>
      <c r="N685" s="121"/>
      <c r="O685" s="121"/>
      <c r="P685" s="121"/>
      <c r="Q685" s="121"/>
      <c r="R685" s="121"/>
      <c r="S685" s="121"/>
      <c r="T685" s="121"/>
      <c r="U685" s="121"/>
      <c r="V685" s="121"/>
      <c r="W685" s="121"/>
      <c r="X685" s="121"/>
      <c r="Y685" s="121"/>
      <c r="Z685" s="121"/>
    </row>
    <row r="686" customFormat="false" ht="15.75" hidden="false" customHeight="false" outlineLevel="0" collapsed="false">
      <c r="A686" s="121"/>
      <c r="B686" s="121"/>
      <c r="C686" s="121"/>
      <c r="D686" s="121"/>
      <c r="E686" s="121"/>
      <c r="F686" s="121"/>
      <c r="G686" s="121"/>
      <c r="H686" s="121"/>
      <c r="I686" s="121"/>
      <c r="J686" s="121"/>
      <c r="K686" s="121"/>
      <c r="L686" s="121"/>
      <c r="M686" s="121"/>
      <c r="N686" s="121"/>
      <c r="O686" s="121"/>
      <c r="P686" s="121"/>
      <c r="Q686" s="121"/>
      <c r="R686" s="121"/>
      <c r="S686" s="121"/>
      <c r="T686" s="121"/>
      <c r="U686" s="121"/>
      <c r="V686" s="121"/>
      <c r="W686" s="121"/>
      <c r="X686" s="121"/>
      <c r="Y686" s="121"/>
      <c r="Z686" s="121"/>
    </row>
    <row r="687" customFormat="false" ht="15.75" hidden="false" customHeight="false" outlineLevel="0" collapsed="false">
      <c r="A687" s="121"/>
      <c r="B687" s="121"/>
      <c r="C687" s="121"/>
      <c r="D687" s="121"/>
      <c r="E687" s="121"/>
      <c r="F687" s="121"/>
      <c r="G687" s="121"/>
      <c r="H687" s="121"/>
      <c r="I687" s="121"/>
      <c r="J687" s="121"/>
      <c r="K687" s="121"/>
      <c r="L687" s="121"/>
      <c r="M687" s="121"/>
      <c r="N687" s="121"/>
      <c r="O687" s="121"/>
      <c r="P687" s="121"/>
      <c r="Q687" s="121"/>
      <c r="R687" s="121"/>
      <c r="S687" s="121"/>
      <c r="T687" s="121"/>
      <c r="U687" s="121"/>
      <c r="V687" s="121"/>
      <c r="W687" s="121"/>
      <c r="X687" s="121"/>
      <c r="Y687" s="121"/>
      <c r="Z687" s="121"/>
    </row>
    <row r="688" customFormat="false" ht="15.75" hidden="false" customHeight="false" outlineLevel="0" collapsed="false">
      <c r="A688" s="121"/>
      <c r="B688" s="121"/>
      <c r="C688" s="121"/>
      <c r="D688" s="121"/>
      <c r="E688" s="121"/>
      <c r="F688" s="121"/>
      <c r="G688" s="121"/>
      <c r="H688" s="121"/>
      <c r="I688" s="121"/>
      <c r="J688" s="121"/>
      <c r="K688" s="121"/>
      <c r="L688" s="121"/>
      <c r="M688" s="121"/>
      <c r="N688" s="121"/>
      <c r="O688" s="121"/>
      <c r="P688" s="121"/>
      <c r="Q688" s="121"/>
      <c r="R688" s="121"/>
      <c r="S688" s="121"/>
      <c r="T688" s="121"/>
      <c r="U688" s="121"/>
      <c r="V688" s="121"/>
      <c r="W688" s="121"/>
      <c r="X688" s="121"/>
      <c r="Y688" s="121"/>
      <c r="Z688" s="121"/>
    </row>
    <row r="689" customFormat="false" ht="15.75" hidden="false" customHeight="false" outlineLevel="0" collapsed="false">
      <c r="A689" s="121"/>
      <c r="B689" s="121"/>
      <c r="C689" s="121"/>
      <c r="D689" s="121"/>
      <c r="E689" s="121"/>
      <c r="F689" s="121"/>
      <c r="G689" s="121"/>
      <c r="H689" s="121"/>
      <c r="I689" s="121"/>
      <c r="J689" s="121"/>
      <c r="K689" s="121"/>
      <c r="L689" s="121"/>
      <c r="M689" s="121"/>
      <c r="N689" s="121"/>
      <c r="O689" s="121"/>
      <c r="P689" s="121"/>
      <c r="Q689" s="121"/>
      <c r="R689" s="121"/>
      <c r="S689" s="121"/>
      <c r="T689" s="121"/>
      <c r="U689" s="121"/>
      <c r="V689" s="121"/>
      <c r="W689" s="121"/>
      <c r="X689" s="121"/>
      <c r="Y689" s="121"/>
      <c r="Z689" s="121"/>
    </row>
    <row r="690" customFormat="false" ht="15.75" hidden="false" customHeight="false" outlineLevel="0" collapsed="false">
      <c r="A690" s="121"/>
      <c r="B690" s="121"/>
      <c r="C690" s="121"/>
      <c r="D690" s="121"/>
      <c r="E690" s="121"/>
      <c r="F690" s="121"/>
      <c r="G690" s="121"/>
      <c r="H690" s="121"/>
      <c r="I690" s="121"/>
      <c r="J690" s="121"/>
      <c r="K690" s="121"/>
      <c r="L690" s="121"/>
      <c r="M690" s="121"/>
      <c r="N690" s="121"/>
      <c r="O690" s="121"/>
      <c r="P690" s="121"/>
      <c r="Q690" s="121"/>
      <c r="R690" s="121"/>
      <c r="S690" s="121"/>
      <c r="T690" s="121"/>
      <c r="U690" s="121"/>
      <c r="V690" s="121"/>
      <c r="W690" s="121"/>
      <c r="X690" s="121"/>
      <c r="Y690" s="121"/>
      <c r="Z690" s="121"/>
    </row>
    <row r="691" customFormat="false" ht="15.75" hidden="false" customHeight="false" outlineLevel="0" collapsed="false">
      <c r="A691" s="121"/>
      <c r="B691" s="121"/>
      <c r="C691" s="121"/>
      <c r="D691" s="121"/>
      <c r="E691" s="121"/>
      <c r="F691" s="121"/>
      <c r="G691" s="121"/>
      <c r="H691" s="121"/>
      <c r="I691" s="121"/>
      <c r="J691" s="121"/>
      <c r="K691" s="121"/>
      <c r="L691" s="121"/>
      <c r="M691" s="121"/>
      <c r="N691" s="121"/>
      <c r="O691" s="121"/>
      <c r="P691" s="121"/>
      <c r="Q691" s="121"/>
      <c r="R691" s="121"/>
      <c r="S691" s="121"/>
      <c r="T691" s="121"/>
      <c r="U691" s="121"/>
      <c r="V691" s="121"/>
      <c r="W691" s="121"/>
      <c r="X691" s="121"/>
      <c r="Y691" s="121"/>
      <c r="Z691" s="121"/>
    </row>
    <row r="692" customFormat="false" ht="15.75" hidden="false" customHeight="false" outlineLevel="0" collapsed="false">
      <c r="A692" s="121"/>
      <c r="B692" s="121"/>
      <c r="C692" s="121"/>
      <c r="D692" s="121"/>
      <c r="E692" s="121"/>
      <c r="F692" s="121"/>
      <c r="G692" s="121"/>
      <c r="H692" s="121"/>
      <c r="I692" s="121"/>
      <c r="J692" s="121"/>
      <c r="K692" s="121"/>
      <c r="L692" s="121"/>
      <c r="M692" s="121"/>
      <c r="N692" s="121"/>
      <c r="O692" s="121"/>
      <c r="P692" s="121"/>
      <c r="Q692" s="121"/>
      <c r="R692" s="121"/>
      <c r="S692" s="121"/>
      <c r="T692" s="121"/>
      <c r="U692" s="121"/>
      <c r="V692" s="121"/>
      <c r="W692" s="121"/>
      <c r="X692" s="121"/>
      <c r="Y692" s="121"/>
      <c r="Z692" s="121"/>
    </row>
    <row r="693" customFormat="false" ht="15.75" hidden="false" customHeight="false" outlineLevel="0" collapsed="false">
      <c r="A693" s="121"/>
      <c r="B693" s="121"/>
      <c r="C693" s="121"/>
      <c r="D693" s="121"/>
      <c r="E693" s="121"/>
      <c r="F693" s="121"/>
      <c r="G693" s="121"/>
      <c r="H693" s="121"/>
      <c r="I693" s="121"/>
      <c r="J693" s="121"/>
      <c r="K693" s="121"/>
      <c r="L693" s="121"/>
      <c r="M693" s="121"/>
      <c r="N693" s="121"/>
      <c r="O693" s="121"/>
      <c r="P693" s="121"/>
      <c r="Q693" s="121"/>
      <c r="R693" s="121"/>
      <c r="S693" s="121"/>
      <c r="T693" s="121"/>
      <c r="U693" s="121"/>
      <c r="V693" s="121"/>
      <c r="W693" s="121"/>
      <c r="X693" s="121"/>
      <c r="Y693" s="121"/>
      <c r="Z693" s="121"/>
    </row>
    <row r="694" customFormat="false" ht="15.75" hidden="false" customHeight="false" outlineLevel="0" collapsed="false">
      <c r="A694" s="121"/>
      <c r="B694" s="121"/>
      <c r="C694" s="121"/>
      <c r="D694" s="121"/>
      <c r="E694" s="121"/>
      <c r="F694" s="121"/>
      <c r="G694" s="121"/>
      <c r="H694" s="121"/>
      <c r="I694" s="121"/>
      <c r="J694" s="121"/>
      <c r="K694" s="121"/>
      <c r="L694" s="121"/>
      <c r="M694" s="121"/>
      <c r="N694" s="121"/>
      <c r="O694" s="121"/>
      <c r="P694" s="121"/>
      <c r="Q694" s="121"/>
      <c r="R694" s="121"/>
      <c r="S694" s="121"/>
      <c r="T694" s="121"/>
      <c r="U694" s="121"/>
      <c r="V694" s="121"/>
      <c r="W694" s="121"/>
      <c r="X694" s="121"/>
      <c r="Y694" s="121"/>
      <c r="Z694" s="121"/>
    </row>
    <row r="695" customFormat="false" ht="15.75" hidden="false" customHeight="false" outlineLevel="0" collapsed="false">
      <c r="A695" s="121"/>
      <c r="B695" s="121"/>
      <c r="C695" s="121"/>
      <c r="D695" s="121"/>
      <c r="E695" s="121"/>
      <c r="F695" s="121"/>
      <c r="G695" s="121"/>
      <c r="H695" s="121"/>
      <c r="I695" s="121"/>
      <c r="J695" s="121"/>
      <c r="K695" s="121"/>
      <c r="L695" s="121"/>
      <c r="M695" s="121"/>
      <c r="N695" s="121"/>
      <c r="O695" s="121"/>
      <c r="P695" s="121"/>
      <c r="Q695" s="121"/>
      <c r="R695" s="121"/>
      <c r="S695" s="121"/>
      <c r="T695" s="121"/>
      <c r="U695" s="121"/>
      <c r="V695" s="121"/>
      <c r="W695" s="121"/>
      <c r="X695" s="121"/>
      <c r="Y695" s="121"/>
      <c r="Z695" s="121"/>
    </row>
    <row r="696" customFormat="false" ht="15.75" hidden="false" customHeight="false" outlineLevel="0" collapsed="false">
      <c r="A696" s="121"/>
      <c r="B696" s="121"/>
      <c r="C696" s="121"/>
      <c r="D696" s="121"/>
      <c r="E696" s="121"/>
      <c r="F696" s="121"/>
      <c r="G696" s="121"/>
      <c r="H696" s="121"/>
      <c r="I696" s="121"/>
      <c r="J696" s="121"/>
      <c r="K696" s="121"/>
      <c r="L696" s="121"/>
      <c r="M696" s="121"/>
      <c r="N696" s="121"/>
      <c r="O696" s="121"/>
      <c r="P696" s="121"/>
      <c r="Q696" s="121"/>
      <c r="R696" s="121"/>
      <c r="S696" s="121"/>
      <c r="T696" s="121"/>
      <c r="U696" s="121"/>
      <c r="V696" s="121"/>
      <c r="W696" s="121"/>
      <c r="X696" s="121"/>
      <c r="Y696" s="121"/>
      <c r="Z696" s="121"/>
    </row>
    <row r="697" customFormat="false" ht="15.75" hidden="false" customHeight="false" outlineLevel="0" collapsed="false">
      <c r="A697" s="121"/>
      <c r="B697" s="121"/>
      <c r="C697" s="121"/>
      <c r="D697" s="121"/>
      <c r="E697" s="121"/>
      <c r="F697" s="121"/>
      <c r="G697" s="121"/>
      <c r="H697" s="121"/>
      <c r="I697" s="121"/>
      <c r="J697" s="121"/>
      <c r="K697" s="121"/>
      <c r="L697" s="121"/>
      <c r="M697" s="121"/>
      <c r="N697" s="121"/>
      <c r="O697" s="121"/>
      <c r="P697" s="121"/>
      <c r="Q697" s="121"/>
      <c r="R697" s="121"/>
      <c r="S697" s="121"/>
      <c r="T697" s="121"/>
      <c r="U697" s="121"/>
      <c r="V697" s="121"/>
      <c r="W697" s="121"/>
      <c r="X697" s="121"/>
      <c r="Y697" s="121"/>
      <c r="Z697" s="121"/>
    </row>
    <row r="698" customFormat="false" ht="15.75" hidden="false" customHeight="false" outlineLevel="0" collapsed="false">
      <c r="A698" s="121"/>
      <c r="B698" s="121"/>
      <c r="C698" s="121"/>
      <c r="D698" s="121"/>
      <c r="E698" s="121"/>
      <c r="F698" s="121"/>
      <c r="G698" s="121"/>
      <c r="H698" s="121"/>
      <c r="I698" s="121"/>
      <c r="J698" s="121"/>
      <c r="K698" s="121"/>
      <c r="L698" s="121"/>
      <c r="M698" s="121"/>
      <c r="N698" s="121"/>
      <c r="O698" s="121"/>
      <c r="P698" s="121"/>
      <c r="Q698" s="121"/>
      <c r="R698" s="121"/>
      <c r="S698" s="121"/>
      <c r="T698" s="121"/>
      <c r="U698" s="121"/>
      <c r="V698" s="121"/>
      <c r="W698" s="121"/>
      <c r="X698" s="121"/>
      <c r="Y698" s="121"/>
      <c r="Z698" s="121"/>
    </row>
    <row r="699" customFormat="false" ht="15.75" hidden="false" customHeight="false" outlineLevel="0" collapsed="false">
      <c r="A699" s="121"/>
      <c r="B699" s="121"/>
      <c r="C699" s="121"/>
      <c r="D699" s="121"/>
      <c r="E699" s="121"/>
      <c r="F699" s="121"/>
      <c r="G699" s="121"/>
      <c r="H699" s="121"/>
      <c r="I699" s="121"/>
      <c r="J699" s="121"/>
      <c r="K699" s="121"/>
      <c r="L699" s="121"/>
      <c r="M699" s="121"/>
      <c r="N699" s="121"/>
      <c r="O699" s="121"/>
      <c r="P699" s="121"/>
      <c r="Q699" s="121"/>
      <c r="R699" s="121"/>
      <c r="S699" s="121"/>
      <c r="T699" s="121"/>
      <c r="U699" s="121"/>
      <c r="V699" s="121"/>
      <c r="W699" s="121"/>
      <c r="X699" s="121"/>
      <c r="Y699" s="121"/>
      <c r="Z699" s="121"/>
    </row>
    <row r="700" customFormat="false" ht="15.75" hidden="false" customHeight="false" outlineLevel="0" collapsed="false">
      <c r="A700" s="121"/>
      <c r="B700" s="121"/>
      <c r="C700" s="121"/>
      <c r="D700" s="121"/>
      <c r="E700" s="121"/>
      <c r="F700" s="121"/>
      <c r="G700" s="121"/>
      <c r="H700" s="121"/>
      <c r="I700" s="121"/>
      <c r="J700" s="121"/>
      <c r="K700" s="121"/>
      <c r="L700" s="121"/>
      <c r="M700" s="121"/>
      <c r="N700" s="121"/>
      <c r="O700" s="121"/>
      <c r="P700" s="121"/>
      <c r="Q700" s="121"/>
      <c r="R700" s="121"/>
      <c r="S700" s="121"/>
      <c r="T700" s="121"/>
      <c r="U700" s="121"/>
      <c r="V700" s="121"/>
      <c r="W700" s="121"/>
      <c r="X700" s="121"/>
      <c r="Y700" s="121"/>
      <c r="Z700" s="121"/>
    </row>
    <row r="701" customFormat="false" ht="15.75" hidden="false" customHeight="false" outlineLevel="0" collapsed="false">
      <c r="A701" s="121"/>
      <c r="B701" s="121"/>
      <c r="C701" s="121"/>
      <c r="D701" s="121"/>
      <c r="E701" s="121"/>
      <c r="F701" s="121"/>
      <c r="G701" s="121"/>
      <c r="H701" s="121"/>
      <c r="I701" s="121"/>
      <c r="J701" s="121"/>
      <c r="K701" s="121"/>
      <c r="L701" s="121"/>
      <c r="M701" s="121"/>
      <c r="N701" s="121"/>
      <c r="O701" s="121"/>
      <c r="P701" s="121"/>
      <c r="Q701" s="121"/>
      <c r="R701" s="121"/>
      <c r="S701" s="121"/>
      <c r="T701" s="121"/>
      <c r="U701" s="121"/>
      <c r="V701" s="121"/>
      <c r="W701" s="121"/>
      <c r="X701" s="121"/>
      <c r="Y701" s="121"/>
      <c r="Z701" s="121"/>
    </row>
    <row r="702" customFormat="false" ht="15.75" hidden="false" customHeight="false" outlineLevel="0" collapsed="false">
      <c r="A702" s="121"/>
      <c r="B702" s="121"/>
      <c r="C702" s="121"/>
      <c r="D702" s="121"/>
      <c r="E702" s="121"/>
      <c r="F702" s="121"/>
      <c r="G702" s="121"/>
      <c r="H702" s="121"/>
      <c r="I702" s="121"/>
      <c r="J702" s="121"/>
      <c r="K702" s="121"/>
      <c r="L702" s="121"/>
      <c r="M702" s="121"/>
      <c r="N702" s="121"/>
      <c r="O702" s="121"/>
      <c r="P702" s="121"/>
      <c r="Q702" s="121"/>
      <c r="R702" s="121"/>
      <c r="S702" s="121"/>
      <c r="T702" s="121"/>
      <c r="U702" s="121"/>
      <c r="V702" s="121"/>
      <c r="W702" s="121"/>
      <c r="X702" s="121"/>
      <c r="Y702" s="121"/>
      <c r="Z702" s="121"/>
    </row>
    <row r="703" customFormat="false" ht="15.75" hidden="false" customHeight="false" outlineLevel="0" collapsed="false">
      <c r="A703" s="121"/>
      <c r="B703" s="121"/>
      <c r="C703" s="121"/>
      <c r="D703" s="121"/>
      <c r="E703" s="121"/>
      <c r="F703" s="121"/>
      <c r="G703" s="121"/>
      <c r="H703" s="121"/>
      <c r="I703" s="121"/>
      <c r="J703" s="121"/>
      <c r="K703" s="121"/>
      <c r="L703" s="121"/>
      <c r="M703" s="121"/>
      <c r="N703" s="121"/>
      <c r="O703" s="121"/>
      <c r="P703" s="121"/>
      <c r="Q703" s="121"/>
      <c r="R703" s="121"/>
      <c r="S703" s="121"/>
      <c r="T703" s="121"/>
      <c r="U703" s="121"/>
      <c r="V703" s="121"/>
      <c r="W703" s="121"/>
      <c r="X703" s="121"/>
      <c r="Y703" s="121"/>
      <c r="Z703" s="121"/>
    </row>
    <row r="704" customFormat="false" ht="15.75" hidden="false" customHeight="false" outlineLevel="0" collapsed="false">
      <c r="A704" s="121"/>
      <c r="B704" s="121"/>
      <c r="C704" s="121"/>
      <c r="D704" s="121"/>
      <c r="E704" s="121"/>
      <c r="F704" s="121"/>
      <c r="G704" s="121"/>
      <c r="H704" s="121"/>
      <c r="I704" s="121"/>
      <c r="J704" s="121"/>
      <c r="K704" s="121"/>
      <c r="L704" s="121"/>
      <c r="M704" s="121"/>
      <c r="N704" s="121"/>
      <c r="O704" s="121"/>
      <c r="P704" s="121"/>
      <c r="Q704" s="121"/>
      <c r="R704" s="121"/>
      <c r="S704" s="121"/>
      <c r="T704" s="121"/>
      <c r="U704" s="121"/>
      <c r="V704" s="121"/>
      <c r="W704" s="121"/>
      <c r="X704" s="121"/>
      <c r="Y704" s="121"/>
      <c r="Z704" s="121"/>
    </row>
    <row r="705" customFormat="false" ht="15.75" hidden="false" customHeight="false" outlineLevel="0" collapsed="false">
      <c r="A705" s="121"/>
      <c r="B705" s="121"/>
      <c r="C705" s="121"/>
      <c r="D705" s="121"/>
      <c r="E705" s="121"/>
      <c r="F705" s="121"/>
      <c r="G705" s="121"/>
      <c r="H705" s="121"/>
      <c r="I705" s="121"/>
      <c r="J705" s="121"/>
      <c r="K705" s="121"/>
      <c r="L705" s="121"/>
      <c r="M705" s="121"/>
      <c r="N705" s="121"/>
      <c r="O705" s="121"/>
      <c r="P705" s="121"/>
      <c r="Q705" s="121"/>
      <c r="R705" s="121"/>
      <c r="S705" s="121"/>
      <c r="T705" s="121"/>
      <c r="U705" s="121"/>
      <c r="V705" s="121"/>
      <c r="W705" s="121"/>
      <c r="X705" s="121"/>
      <c r="Y705" s="121"/>
      <c r="Z705" s="121"/>
    </row>
    <row r="706" customFormat="false" ht="15.75" hidden="false" customHeight="false" outlineLevel="0" collapsed="false">
      <c r="A706" s="121"/>
      <c r="B706" s="121"/>
      <c r="C706" s="121"/>
      <c r="D706" s="121"/>
      <c r="E706" s="121"/>
      <c r="F706" s="121"/>
      <c r="G706" s="121"/>
      <c r="H706" s="121"/>
      <c r="I706" s="121"/>
      <c r="J706" s="121"/>
      <c r="K706" s="121"/>
      <c r="L706" s="121"/>
      <c r="M706" s="121"/>
      <c r="N706" s="121"/>
      <c r="O706" s="121"/>
      <c r="P706" s="121"/>
      <c r="Q706" s="121"/>
      <c r="R706" s="121"/>
      <c r="S706" s="121"/>
      <c r="T706" s="121"/>
      <c r="U706" s="121"/>
      <c r="V706" s="121"/>
      <c r="W706" s="121"/>
      <c r="X706" s="121"/>
      <c r="Y706" s="121"/>
      <c r="Z706" s="121"/>
    </row>
    <row r="707" customFormat="false" ht="15.75" hidden="false" customHeight="false" outlineLevel="0" collapsed="false">
      <c r="A707" s="121"/>
      <c r="B707" s="121"/>
      <c r="C707" s="121"/>
      <c r="D707" s="121"/>
      <c r="E707" s="121"/>
      <c r="F707" s="121"/>
      <c r="G707" s="121"/>
      <c r="H707" s="121"/>
      <c r="I707" s="121"/>
      <c r="J707" s="121"/>
      <c r="K707" s="121"/>
      <c r="L707" s="121"/>
      <c r="M707" s="121"/>
      <c r="N707" s="121"/>
      <c r="O707" s="121"/>
      <c r="P707" s="121"/>
      <c r="Q707" s="121"/>
      <c r="R707" s="121"/>
      <c r="S707" s="121"/>
      <c r="T707" s="121"/>
      <c r="U707" s="121"/>
      <c r="V707" s="121"/>
      <c r="W707" s="121"/>
      <c r="X707" s="121"/>
      <c r="Y707" s="121"/>
      <c r="Z707" s="121"/>
    </row>
    <row r="708" customFormat="false" ht="15.75" hidden="false" customHeight="false" outlineLevel="0" collapsed="false">
      <c r="A708" s="121"/>
      <c r="B708" s="121"/>
      <c r="C708" s="121"/>
      <c r="D708" s="121"/>
      <c r="E708" s="121"/>
      <c r="F708" s="121"/>
      <c r="G708" s="121"/>
      <c r="H708" s="121"/>
      <c r="I708" s="121"/>
      <c r="J708" s="121"/>
      <c r="K708" s="121"/>
      <c r="L708" s="121"/>
      <c r="M708" s="121"/>
      <c r="N708" s="121"/>
      <c r="O708" s="121"/>
      <c r="P708" s="121"/>
      <c r="Q708" s="121"/>
      <c r="R708" s="121"/>
      <c r="S708" s="121"/>
      <c r="T708" s="121"/>
      <c r="U708" s="121"/>
      <c r="V708" s="121"/>
      <c r="W708" s="121"/>
      <c r="X708" s="121"/>
      <c r="Y708" s="121"/>
      <c r="Z708" s="121"/>
    </row>
    <row r="709" customFormat="false" ht="15.75" hidden="false" customHeight="false" outlineLevel="0" collapsed="false">
      <c r="A709" s="121"/>
      <c r="B709" s="121"/>
      <c r="C709" s="121"/>
      <c r="D709" s="121"/>
      <c r="E709" s="121"/>
      <c r="F709" s="121"/>
      <c r="G709" s="121"/>
      <c r="H709" s="121"/>
      <c r="I709" s="121"/>
      <c r="J709" s="121"/>
      <c r="K709" s="121"/>
      <c r="L709" s="121"/>
      <c r="M709" s="121"/>
      <c r="N709" s="121"/>
      <c r="O709" s="121"/>
      <c r="P709" s="121"/>
      <c r="Q709" s="121"/>
      <c r="R709" s="121"/>
      <c r="S709" s="121"/>
      <c r="T709" s="121"/>
      <c r="U709" s="121"/>
      <c r="V709" s="121"/>
      <c r="W709" s="121"/>
      <c r="X709" s="121"/>
      <c r="Y709" s="121"/>
      <c r="Z709" s="121"/>
    </row>
    <row r="710" customFormat="false" ht="15.75" hidden="false" customHeight="false" outlineLevel="0" collapsed="false">
      <c r="A710" s="121"/>
      <c r="B710" s="121"/>
      <c r="C710" s="121"/>
      <c r="D710" s="121"/>
      <c r="E710" s="121"/>
      <c r="F710" s="121"/>
      <c r="G710" s="121"/>
      <c r="H710" s="121"/>
      <c r="I710" s="121"/>
      <c r="J710" s="121"/>
      <c r="K710" s="121"/>
      <c r="L710" s="121"/>
      <c r="M710" s="121"/>
      <c r="N710" s="121"/>
      <c r="O710" s="121"/>
      <c r="P710" s="121"/>
      <c r="Q710" s="121"/>
      <c r="R710" s="121"/>
      <c r="S710" s="121"/>
      <c r="T710" s="121"/>
      <c r="U710" s="121"/>
      <c r="V710" s="121"/>
      <c r="W710" s="121"/>
      <c r="X710" s="121"/>
      <c r="Y710" s="121"/>
      <c r="Z710" s="121"/>
    </row>
    <row r="711" customFormat="false" ht="15.75" hidden="false" customHeight="false" outlineLevel="0" collapsed="false">
      <c r="A711" s="121"/>
      <c r="B711" s="121"/>
      <c r="C711" s="121"/>
      <c r="D711" s="121"/>
      <c r="E711" s="121"/>
      <c r="F711" s="121"/>
      <c r="G711" s="121"/>
      <c r="H711" s="121"/>
      <c r="I711" s="121"/>
      <c r="J711" s="121"/>
      <c r="K711" s="121"/>
      <c r="L711" s="121"/>
      <c r="M711" s="121"/>
      <c r="N711" s="121"/>
      <c r="O711" s="121"/>
      <c r="P711" s="121"/>
      <c r="Q711" s="121"/>
      <c r="R711" s="121"/>
      <c r="S711" s="121"/>
      <c r="T711" s="121"/>
      <c r="U711" s="121"/>
      <c r="V711" s="121"/>
      <c r="W711" s="121"/>
      <c r="X711" s="121"/>
      <c r="Y711" s="121"/>
      <c r="Z711" s="121"/>
    </row>
    <row r="712" customFormat="false" ht="15.75" hidden="false" customHeight="false" outlineLevel="0" collapsed="false">
      <c r="A712" s="121"/>
      <c r="B712" s="121"/>
      <c r="C712" s="121"/>
      <c r="D712" s="121"/>
      <c r="E712" s="121"/>
      <c r="F712" s="121"/>
      <c r="G712" s="121"/>
      <c r="H712" s="121"/>
      <c r="I712" s="121"/>
      <c r="J712" s="121"/>
      <c r="K712" s="121"/>
      <c r="L712" s="121"/>
      <c r="M712" s="121"/>
      <c r="N712" s="121"/>
      <c r="O712" s="121"/>
      <c r="P712" s="121"/>
      <c r="Q712" s="121"/>
      <c r="R712" s="121"/>
      <c r="S712" s="121"/>
      <c r="T712" s="121"/>
      <c r="U712" s="121"/>
      <c r="V712" s="121"/>
      <c r="W712" s="121"/>
      <c r="X712" s="121"/>
      <c r="Y712" s="121"/>
      <c r="Z712" s="121"/>
    </row>
    <row r="713" customFormat="false" ht="15.75" hidden="false" customHeight="false" outlineLevel="0" collapsed="false">
      <c r="A713" s="121"/>
      <c r="B713" s="121"/>
      <c r="C713" s="121"/>
      <c r="D713" s="121"/>
      <c r="E713" s="121"/>
      <c r="F713" s="121"/>
      <c r="G713" s="121"/>
      <c r="H713" s="121"/>
      <c r="I713" s="121"/>
      <c r="J713" s="121"/>
      <c r="K713" s="121"/>
      <c r="L713" s="121"/>
      <c r="M713" s="121"/>
      <c r="N713" s="121"/>
      <c r="O713" s="121"/>
      <c r="P713" s="121"/>
      <c r="Q713" s="121"/>
      <c r="R713" s="121"/>
      <c r="S713" s="121"/>
      <c r="T713" s="121"/>
      <c r="U713" s="121"/>
      <c r="V713" s="121"/>
      <c r="W713" s="121"/>
      <c r="X713" s="121"/>
      <c r="Y713" s="121"/>
      <c r="Z713" s="121"/>
    </row>
    <row r="714" customFormat="false" ht="15.75" hidden="false" customHeight="false" outlineLevel="0" collapsed="false">
      <c r="A714" s="121"/>
      <c r="B714" s="121"/>
      <c r="C714" s="121"/>
      <c r="D714" s="121"/>
      <c r="E714" s="121"/>
      <c r="F714" s="121"/>
      <c r="G714" s="121"/>
      <c r="H714" s="121"/>
      <c r="I714" s="121"/>
      <c r="J714" s="121"/>
      <c r="K714" s="121"/>
      <c r="L714" s="121"/>
      <c r="M714" s="121"/>
      <c r="N714" s="121"/>
      <c r="O714" s="121"/>
      <c r="P714" s="121"/>
      <c r="Q714" s="121"/>
      <c r="R714" s="121"/>
      <c r="S714" s="121"/>
      <c r="T714" s="121"/>
      <c r="U714" s="121"/>
      <c r="V714" s="121"/>
      <c r="W714" s="121"/>
      <c r="X714" s="121"/>
      <c r="Y714" s="121"/>
      <c r="Z714" s="121"/>
    </row>
    <row r="715" customFormat="false" ht="15.75" hidden="false" customHeight="false" outlineLevel="0" collapsed="false">
      <c r="A715" s="121"/>
      <c r="B715" s="121"/>
      <c r="C715" s="121"/>
      <c r="D715" s="121"/>
      <c r="E715" s="121"/>
      <c r="F715" s="121"/>
      <c r="G715" s="121"/>
      <c r="H715" s="121"/>
      <c r="I715" s="121"/>
      <c r="J715" s="121"/>
      <c r="K715" s="121"/>
      <c r="L715" s="121"/>
      <c r="M715" s="121"/>
      <c r="N715" s="121"/>
      <c r="O715" s="121"/>
      <c r="P715" s="121"/>
      <c r="Q715" s="121"/>
      <c r="R715" s="121"/>
      <c r="S715" s="121"/>
      <c r="T715" s="121"/>
      <c r="U715" s="121"/>
      <c r="V715" s="121"/>
      <c r="W715" s="121"/>
      <c r="X715" s="121"/>
      <c r="Y715" s="121"/>
      <c r="Z715" s="121"/>
    </row>
    <row r="716" customFormat="false" ht="15.75" hidden="false" customHeight="false" outlineLevel="0" collapsed="false">
      <c r="A716" s="121"/>
      <c r="B716" s="121"/>
      <c r="C716" s="121"/>
      <c r="D716" s="121"/>
      <c r="E716" s="121"/>
      <c r="F716" s="121"/>
      <c r="G716" s="121"/>
      <c r="H716" s="121"/>
      <c r="I716" s="121"/>
      <c r="J716" s="121"/>
      <c r="K716" s="121"/>
      <c r="L716" s="121"/>
      <c r="M716" s="121"/>
      <c r="N716" s="121"/>
      <c r="O716" s="121"/>
      <c r="P716" s="121"/>
      <c r="Q716" s="121"/>
      <c r="R716" s="121"/>
      <c r="S716" s="121"/>
      <c r="T716" s="121"/>
      <c r="U716" s="121"/>
      <c r="V716" s="121"/>
      <c r="W716" s="121"/>
      <c r="X716" s="121"/>
      <c r="Y716" s="121"/>
      <c r="Z716" s="121"/>
    </row>
    <row r="717" customFormat="false" ht="15.75" hidden="false" customHeight="false" outlineLevel="0" collapsed="false">
      <c r="A717" s="121"/>
      <c r="B717" s="121"/>
      <c r="C717" s="121"/>
      <c r="D717" s="121"/>
      <c r="E717" s="121"/>
      <c r="F717" s="121"/>
      <c r="G717" s="121"/>
      <c r="H717" s="121"/>
      <c r="I717" s="121"/>
      <c r="J717" s="121"/>
      <c r="K717" s="121"/>
      <c r="L717" s="121"/>
      <c r="M717" s="121"/>
      <c r="N717" s="121"/>
      <c r="O717" s="121"/>
      <c r="P717" s="121"/>
      <c r="Q717" s="121"/>
      <c r="R717" s="121"/>
      <c r="S717" s="121"/>
      <c r="T717" s="121"/>
      <c r="U717" s="121"/>
      <c r="V717" s="121"/>
      <c r="W717" s="121"/>
      <c r="X717" s="121"/>
      <c r="Y717" s="121"/>
      <c r="Z717" s="121"/>
    </row>
    <row r="718" customFormat="false" ht="15.75" hidden="false" customHeight="false" outlineLevel="0" collapsed="false">
      <c r="A718" s="121"/>
      <c r="B718" s="121"/>
      <c r="C718" s="121"/>
      <c r="D718" s="121"/>
      <c r="E718" s="121"/>
      <c r="F718" s="121"/>
      <c r="G718" s="121"/>
      <c r="H718" s="121"/>
      <c r="I718" s="121"/>
      <c r="J718" s="121"/>
      <c r="K718" s="121"/>
      <c r="L718" s="121"/>
      <c r="M718" s="121"/>
      <c r="N718" s="121"/>
      <c r="O718" s="121"/>
      <c r="P718" s="121"/>
      <c r="Q718" s="121"/>
      <c r="R718" s="121"/>
      <c r="S718" s="121"/>
      <c r="T718" s="121"/>
      <c r="U718" s="121"/>
      <c r="V718" s="121"/>
      <c r="W718" s="121"/>
      <c r="X718" s="121"/>
      <c r="Y718" s="121"/>
      <c r="Z718" s="121"/>
    </row>
    <row r="719" customFormat="false" ht="15.75" hidden="false" customHeight="false" outlineLevel="0" collapsed="false">
      <c r="A719" s="121"/>
      <c r="B719" s="121"/>
      <c r="C719" s="121"/>
      <c r="D719" s="121"/>
      <c r="E719" s="121"/>
      <c r="F719" s="121"/>
      <c r="G719" s="121"/>
      <c r="H719" s="121"/>
      <c r="I719" s="121"/>
      <c r="J719" s="121"/>
      <c r="K719" s="121"/>
      <c r="L719" s="121"/>
      <c r="M719" s="121"/>
      <c r="N719" s="121"/>
      <c r="O719" s="121"/>
      <c r="P719" s="121"/>
      <c r="Q719" s="121"/>
      <c r="R719" s="121"/>
      <c r="S719" s="121"/>
      <c r="T719" s="121"/>
      <c r="U719" s="121"/>
      <c r="V719" s="121"/>
      <c r="W719" s="121"/>
      <c r="X719" s="121"/>
      <c r="Y719" s="121"/>
      <c r="Z719" s="121"/>
    </row>
    <row r="720" customFormat="false" ht="15.75" hidden="false" customHeight="false" outlineLevel="0" collapsed="false">
      <c r="A720" s="121"/>
      <c r="B720" s="121"/>
      <c r="C720" s="121"/>
      <c r="D720" s="121"/>
      <c r="E720" s="121"/>
      <c r="F720" s="121"/>
      <c r="G720" s="121"/>
      <c r="H720" s="121"/>
      <c r="I720" s="121"/>
      <c r="J720" s="121"/>
      <c r="K720" s="121"/>
      <c r="L720" s="121"/>
      <c r="M720" s="121"/>
      <c r="N720" s="121"/>
      <c r="O720" s="121"/>
      <c r="P720" s="121"/>
      <c r="Q720" s="121"/>
      <c r="R720" s="121"/>
      <c r="S720" s="121"/>
      <c r="T720" s="121"/>
      <c r="U720" s="121"/>
      <c r="V720" s="121"/>
      <c r="W720" s="121"/>
      <c r="X720" s="121"/>
      <c r="Y720" s="121"/>
      <c r="Z720" s="121"/>
    </row>
    <row r="721" customFormat="false" ht="15.75" hidden="false" customHeight="false" outlineLevel="0" collapsed="false">
      <c r="A721" s="121"/>
      <c r="B721" s="121"/>
      <c r="C721" s="121"/>
      <c r="D721" s="121"/>
      <c r="E721" s="121"/>
      <c r="F721" s="121"/>
      <c r="G721" s="121"/>
      <c r="H721" s="121"/>
      <c r="I721" s="121"/>
      <c r="J721" s="121"/>
      <c r="K721" s="121"/>
      <c r="L721" s="121"/>
      <c r="M721" s="121"/>
      <c r="N721" s="121"/>
      <c r="O721" s="121"/>
      <c r="P721" s="121"/>
      <c r="Q721" s="121"/>
      <c r="R721" s="121"/>
      <c r="S721" s="121"/>
      <c r="T721" s="121"/>
      <c r="U721" s="121"/>
      <c r="V721" s="121"/>
      <c r="W721" s="121"/>
      <c r="X721" s="121"/>
      <c r="Y721" s="121"/>
      <c r="Z721" s="121"/>
    </row>
    <row r="722" customFormat="false" ht="15.75" hidden="false" customHeight="false" outlineLevel="0" collapsed="false">
      <c r="A722" s="121"/>
      <c r="B722" s="121"/>
      <c r="C722" s="121"/>
      <c r="D722" s="121"/>
      <c r="E722" s="121"/>
      <c r="F722" s="121"/>
      <c r="G722" s="121"/>
      <c r="H722" s="121"/>
      <c r="I722" s="121"/>
      <c r="J722" s="121"/>
      <c r="K722" s="121"/>
      <c r="L722" s="121"/>
      <c r="M722" s="121"/>
      <c r="N722" s="121"/>
      <c r="O722" s="121"/>
      <c r="P722" s="121"/>
      <c r="Q722" s="121"/>
      <c r="R722" s="121"/>
      <c r="S722" s="121"/>
      <c r="T722" s="121"/>
      <c r="U722" s="121"/>
      <c r="V722" s="121"/>
      <c r="W722" s="121"/>
      <c r="X722" s="121"/>
      <c r="Y722" s="121"/>
      <c r="Z722" s="121"/>
    </row>
    <row r="723" customFormat="false" ht="15.75" hidden="false" customHeight="false" outlineLevel="0" collapsed="false">
      <c r="A723" s="121"/>
      <c r="B723" s="121"/>
      <c r="C723" s="121"/>
      <c r="D723" s="121"/>
      <c r="E723" s="121"/>
      <c r="F723" s="121"/>
      <c r="G723" s="121"/>
      <c r="H723" s="121"/>
      <c r="I723" s="121"/>
      <c r="J723" s="121"/>
      <c r="K723" s="121"/>
      <c r="L723" s="121"/>
      <c r="M723" s="121"/>
      <c r="N723" s="121"/>
      <c r="O723" s="121"/>
      <c r="P723" s="121"/>
      <c r="Q723" s="121"/>
      <c r="R723" s="121"/>
      <c r="S723" s="121"/>
      <c r="T723" s="121"/>
      <c r="U723" s="121"/>
      <c r="V723" s="121"/>
      <c r="W723" s="121"/>
      <c r="X723" s="121"/>
      <c r="Y723" s="121"/>
      <c r="Z723" s="121"/>
    </row>
    <row r="724" customFormat="false" ht="15.75" hidden="false" customHeight="false" outlineLevel="0" collapsed="false">
      <c r="A724" s="121"/>
      <c r="B724" s="121"/>
      <c r="C724" s="121"/>
      <c r="D724" s="121"/>
      <c r="E724" s="121"/>
      <c r="F724" s="121"/>
      <c r="G724" s="121"/>
      <c r="H724" s="121"/>
      <c r="I724" s="121"/>
      <c r="J724" s="121"/>
      <c r="K724" s="121"/>
      <c r="L724" s="121"/>
      <c r="M724" s="121"/>
      <c r="N724" s="121"/>
      <c r="O724" s="121"/>
      <c r="P724" s="121"/>
      <c r="Q724" s="121"/>
      <c r="R724" s="121"/>
      <c r="S724" s="121"/>
      <c r="T724" s="121"/>
      <c r="U724" s="121"/>
      <c r="V724" s="121"/>
      <c r="W724" s="121"/>
      <c r="X724" s="121"/>
      <c r="Y724" s="121"/>
      <c r="Z724" s="121"/>
    </row>
    <row r="725" customFormat="false" ht="15.75" hidden="false" customHeight="false" outlineLevel="0" collapsed="false">
      <c r="A725" s="121"/>
      <c r="B725" s="121"/>
      <c r="C725" s="121"/>
      <c r="D725" s="121"/>
      <c r="E725" s="121"/>
      <c r="F725" s="121"/>
      <c r="G725" s="121"/>
      <c r="H725" s="121"/>
      <c r="I725" s="121"/>
      <c r="J725" s="121"/>
      <c r="K725" s="121"/>
      <c r="L725" s="121"/>
      <c r="M725" s="121"/>
      <c r="N725" s="121"/>
      <c r="O725" s="121"/>
      <c r="P725" s="121"/>
      <c r="Q725" s="121"/>
      <c r="R725" s="121"/>
      <c r="S725" s="121"/>
      <c r="T725" s="121"/>
      <c r="U725" s="121"/>
      <c r="V725" s="121"/>
      <c r="W725" s="121"/>
      <c r="X725" s="121"/>
      <c r="Y725" s="121"/>
      <c r="Z725" s="121"/>
    </row>
    <row r="726" customFormat="false" ht="15.75" hidden="false" customHeight="false" outlineLevel="0" collapsed="false">
      <c r="A726" s="121"/>
      <c r="B726" s="121"/>
      <c r="C726" s="121"/>
      <c r="D726" s="121"/>
      <c r="E726" s="121"/>
      <c r="F726" s="121"/>
      <c r="G726" s="121"/>
      <c r="H726" s="121"/>
      <c r="I726" s="121"/>
      <c r="J726" s="121"/>
      <c r="K726" s="121"/>
      <c r="L726" s="121"/>
      <c r="M726" s="121"/>
      <c r="N726" s="121"/>
      <c r="O726" s="121"/>
      <c r="P726" s="121"/>
      <c r="Q726" s="121"/>
      <c r="R726" s="121"/>
      <c r="S726" s="121"/>
      <c r="T726" s="121"/>
      <c r="U726" s="121"/>
      <c r="V726" s="121"/>
      <c r="W726" s="121"/>
      <c r="X726" s="121"/>
      <c r="Y726" s="121"/>
      <c r="Z726" s="121"/>
    </row>
    <row r="727" customFormat="false" ht="15.75" hidden="false" customHeight="false" outlineLevel="0" collapsed="false">
      <c r="A727" s="121"/>
      <c r="B727" s="121"/>
      <c r="C727" s="121"/>
      <c r="D727" s="121"/>
      <c r="E727" s="121"/>
      <c r="F727" s="121"/>
      <c r="G727" s="121"/>
      <c r="H727" s="121"/>
      <c r="I727" s="121"/>
      <c r="J727" s="121"/>
      <c r="K727" s="121"/>
      <c r="L727" s="121"/>
      <c r="M727" s="121"/>
      <c r="N727" s="121"/>
      <c r="O727" s="121"/>
      <c r="P727" s="121"/>
      <c r="Q727" s="121"/>
      <c r="R727" s="121"/>
      <c r="S727" s="121"/>
      <c r="T727" s="121"/>
      <c r="U727" s="121"/>
      <c r="V727" s="121"/>
      <c r="W727" s="121"/>
      <c r="X727" s="121"/>
      <c r="Y727" s="121"/>
      <c r="Z727" s="121"/>
    </row>
    <row r="728" customFormat="false" ht="15.75" hidden="false" customHeight="false" outlineLevel="0" collapsed="false">
      <c r="A728" s="121"/>
      <c r="B728" s="121"/>
      <c r="C728" s="121"/>
      <c r="D728" s="121"/>
      <c r="E728" s="121"/>
      <c r="F728" s="121"/>
      <c r="G728" s="121"/>
      <c r="H728" s="121"/>
      <c r="I728" s="121"/>
      <c r="J728" s="121"/>
      <c r="K728" s="121"/>
      <c r="L728" s="121"/>
      <c r="M728" s="121"/>
      <c r="N728" s="121"/>
      <c r="O728" s="121"/>
      <c r="P728" s="121"/>
      <c r="Q728" s="121"/>
      <c r="R728" s="121"/>
      <c r="S728" s="121"/>
      <c r="T728" s="121"/>
      <c r="U728" s="121"/>
      <c r="V728" s="121"/>
      <c r="W728" s="121"/>
      <c r="X728" s="121"/>
      <c r="Y728" s="121"/>
      <c r="Z728" s="121"/>
    </row>
    <row r="729" customFormat="false" ht="15.75" hidden="false" customHeight="false" outlineLevel="0" collapsed="false">
      <c r="A729" s="121"/>
      <c r="B729" s="121"/>
      <c r="C729" s="121"/>
      <c r="D729" s="121"/>
      <c r="E729" s="121"/>
      <c r="F729" s="121"/>
      <c r="G729" s="121"/>
      <c r="H729" s="121"/>
      <c r="I729" s="121"/>
      <c r="J729" s="121"/>
      <c r="K729" s="121"/>
      <c r="L729" s="121"/>
      <c r="M729" s="121"/>
      <c r="N729" s="121"/>
      <c r="O729" s="121"/>
      <c r="P729" s="121"/>
      <c r="Q729" s="121"/>
      <c r="R729" s="121"/>
      <c r="S729" s="121"/>
      <c r="T729" s="121"/>
      <c r="U729" s="121"/>
      <c r="V729" s="121"/>
      <c r="W729" s="121"/>
      <c r="X729" s="121"/>
      <c r="Y729" s="121"/>
      <c r="Z729" s="121"/>
    </row>
    <row r="730" customFormat="false" ht="15.75" hidden="false" customHeight="false" outlineLevel="0" collapsed="false">
      <c r="A730" s="121"/>
      <c r="B730" s="121"/>
      <c r="C730" s="121"/>
      <c r="D730" s="121"/>
      <c r="E730" s="121"/>
      <c r="F730" s="121"/>
      <c r="G730" s="121"/>
      <c r="H730" s="121"/>
      <c r="I730" s="121"/>
      <c r="J730" s="121"/>
      <c r="K730" s="121"/>
      <c r="L730" s="121"/>
      <c r="M730" s="121"/>
      <c r="N730" s="121"/>
      <c r="O730" s="121"/>
      <c r="P730" s="121"/>
      <c r="Q730" s="121"/>
      <c r="R730" s="121"/>
      <c r="S730" s="121"/>
      <c r="T730" s="121"/>
      <c r="U730" s="121"/>
      <c r="V730" s="121"/>
      <c r="W730" s="121"/>
      <c r="X730" s="121"/>
      <c r="Y730" s="121"/>
      <c r="Z730" s="121"/>
    </row>
    <row r="731" customFormat="false" ht="15.75" hidden="false" customHeight="false" outlineLevel="0" collapsed="false">
      <c r="A731" s="121"/>
      <c r="B731" s="121"/>
      <c r="C731" s="121"/>
      <c r="D731" s="121"/>
      <c r="E731" s="121"/>
      <c r="F731" s="121"/>
      <c r="G731" s="121"/>
      <c r="H731" s="121"/>
      <c r="I731" s="121"/>
      <c r="J731" s="121"/>
      <c r="K731" s="121"/>
      <c r="L731" s="121"/>
      <c r="M731" s="121"/>
      <c r="N731" s="121"/>
      <c r="O731" s="121"/>
      <c r="P731" s="121"/>
      <c r="Q731" s="121"/>
      <c r="R731" s="121"/>
      <c r="S731" s="121"/>
      <c r="T731" s="121"/>
      <c r="U731" s="121"/>
      <c r="V731" s="121"/>
      <c r="W731" s="121"/>
      <c r="X731" s="121"/>
      <c r="Y731" s="121"/>
      <c r="Z731" s="121"/>
    </row>
    <row r="732" customFormat="false" ht="15.75" hidden="false" customHeight="false" outlineLevel="0" collapsed="false">
      <c r="A732" s="121"/>
      <c r="B732" s="121"/>
      <c r="C732" s="121"/>
      <c r="D732" s="121"/>
      <c r="E732" s="121"/>
      <c r="F732" s="121"/>
      <c r="G732" s="121"/>
      <c r="H732" s="121"/>
      <c r="I732" s="121"/>
      <c r="J732" s="121"/>
      <c r="K732" s="121"/>
      <c r="L732" s="121"/>
      <c r="M732" s="121"/>
      <c r="N732" s="121"/>
      <c r="O732" s="121"/>
      <c r="P732" s="121"/>
      <c r="Q732" s="121"/>
      <c r="R732" s="121"/>
      <c r="S732" s="121"/>
      <c r="T732" s="121"/>
      <c r="U732" s="121"/>
      <c r="V732" s="121"/>
      <c r="W732" s="121"/>
      <c r="X732" s="121"/>
      <c r="Y732" s="121"/>
      <c r="Z732" s="121"/>
    </row>
    <row r="733" customFormat="false" ht="15.75" hidden="false" customHeight="false" outlineLevel="0" collapsed="false">
      <c r="A733" s="121"/>
      <c r="B733" s="121"/>
      <c r="C733" s="121"/>
      <c r="D733" s="121"/>
      <c r="E733" s="121"/>
      <c r="F733" s="121"/>
      <c r="G733" s="121"/>
      <c r="H733" s="121"/>
      <c r="I733" s="121"/>
      <c r="J733" s="121"/>
      <c r="K733" s="121"/>
      <c r="L733" s="121"/>
      <c r="M733" s="121"/>
      <c r="N733" s="121"/>
      <c r="O733" s="121"/>
      <c r="P733" s="121"/>
      <c r="Q733" s="121"/>
      <c r="R733" s="121"/>
      <c r="S733" s="121"/>
      <c r="T733" s="121"/>
      <c r="U733" s="121"/>
      <c r="V733" s="121"/>
      <c r="W733" s="121"/>
      <c r="X733" s="121"/>
      <c r="Y733" s="121"/>
      <c r="Z733" s="121"/>
    </row>
    <row r="734" customFormat="false" ht="15.75" hidden="false" customHeight="false" outlineLevel="0" collapsed="false">
      <c r="A734" s="121"/>
      <c r="B734" s="121"/>
      <c r="C734" s="121"/>
      <c r="D734" s="121"/>
      <c r="E734" s="121"/>
      <c r="F734" s="121"/>
      <c r="G734" s="121"/>
      <c r="H734" s="121"/>
      <c r="I734" s="121"/>
      <c r="J734" s="121"/>
      <c r="K734" s="121"/>
      <c r="L734" s="121"/>
      <c r="M734" s="121"/>
      <c r="N734" s="121"/>
      <c r="O734" s="121"/>
      <c r="P734" s="121"/>
      <c r="Q734" s="121"/>
      <c r="R734" s="121"/>
      <c r="S734" s="121"/>
      <c r="T734" s="121"/>
      <c r="U734" s="121"/>
      <c r="V734" s="121"/>
      <c r="W734" s="121"/>
      <c r="X734" s="121"/>
      <c r="Y734" s="121"/>
      <c r="Z734" s="121"/>
    </row>
    <row r="735" customFormat="false" ht="15.75" hidden="false" customHeight="false" outlineLevel="0" collapsed="false">
      <c r="A735" s="121"/>
      <c r="B735" s="121"/>
      <c r="C735" s="121"/>
      <c r="D735" s="121"/>
      <c r="E735" s="121"/>
      <c r="F735" s="121"/>
      <c r="G735" s="121"/>
      <c r="H735" s="121"/>
      <c r="I735" s="121"/>
      <c r="J735" s="121"/>
      <c r="K735" s="121"/>
      <c r="L735" s="121"/>
      <c r="M735" s="121"/>
      <c r="N735" s="121"/>
      <c r="O735" s="121"/>
      <c r="P735" s="121"/>
      <c r="Q735" s="121"/>
      <c r="R735" s="121"/>
      <c r="S735" s="121"/>
      <c r="T735" s="121"/>
      <c r="U735" s="121"/>
      <c r="V735" s="121"/>
      <c r="W735" s="121"/>
      <c r="X735" s="121"/>
      <c r="Y735" s="121"/>
      <c r="Z735" s="121"/>
    </row>
    <row r="736" customFormat="false" ht="15.75" hidden="false" customHeight="false" outlineLevel="0" collapsed="false">
      <c r="A736" s="121"/>
      <c r="B736" s="121"/>
      <c r="C736" s="121"/>
      <c r="D736" s="121"/>
      <c r="E736" s="121"/>
      <c r="F736" s="121"/>
      <c r="G736" s="121"/>
      <c r="H736" s="121"/>
      <c r="I736" s="121"/>
      <c r="J736" s="121"/>
      <c r="K736" s="121"/>
      <c r="L736" s="121"/>
      <c r="M736" s="121"/>
      <c r="N736" s="121"/>
      <c r="O736" s="121"/>
      <c r="P736" s="121"/>
      <c r="Q736" s="121"/>
      <c r="R736" s="121"/>
      <c r="S736" s="121"/>
      <c r="T736" s="121"/>
      <c r="U736" s="121"/>
      <c r="V736" s="121"/>
      <c r="W736" s="121"/>
      <c r="X736" s="121"/>
      <c r="Y736" s="121"/>
      <c r="Z736" s="121"/>
    </row>
    <row r="737" customFormat="false" ht="15.75" hidden="false" customHeight="false" outlineLevel="0" collapsed="false">
      <c r="A737" s="121"/>
      <c r="B737" s="121"/>
      <c r="C737" s="121"/>
      <c r="D737" s="121"/>
      <c r="E737" s="121"/>
      <c r="F737" s="121"/>
      <c r="G737" s="121"/>
      <c r="H737" s="121"/>
      <c r="I737" s="121"/>
      <c r="J737" s="121"/>
      <c r="K737" s="121"/>
      <c r="L737" s="121"/>
      <c r="M737" s="121"/>
      <c r="N737" s="121"/>
      <c r="O737" s="121"/>
      <c r="P737" s="121"/>
      <c r="Q737" s="121"/>
      <c r="R737" s="121"/>
      <c r="S737" s="121"/>
      <c r="T737" s="121"/>
      <c r="U737" s="121"/>
      <c r="V737" s="121"/>
      <c r="W737" s="121"/>
      <c r="X737" s="121"/>
      <c r="Y737" s="121"/>
      <c r="Z737" s="121"/>
    </row>
    <row r="738" customFormat="false" ht="15.75" hidden="false" customHeight="false" outlineLevel="0" collapsed="false">
      <c r="A738" s="121"/>
      <c r="B738" s="121"/>
      <c r="C738" s="121"/>
      <c r="D738" s="121"/>
      <c r="E738" s="121"/>
      <c r="F738" s="121"/>
      <c r="G738" s="121"/>
      <c r="H738" s="121"/>
      <c r="I738" s="121"/>
      <c r="J738" s="121"/>
      <c r="K738" s="121"/>
      <c r="L738" s="121"/>
      <c r="M738" s="121"/>
      <c r="N738" s="121"/>
      <c r="O738" s="121"/>
      <c r="P738" s="121"/>
      <c r="Q738" s="121"/>
      <c r="R738" s="121"/>
      <c r="S738" s="121"/>
      <c r="T738" s="121"/>
      <c r="U738" s="121"/>
      <c r="V738" s="121"/>
      <c r="W738" s="121"/>
      <c r="X738" s="121"/>
      <c r="Y738" s="121"/>
      <c r="Z738" s="121"/>
    </row>
    <row r="739" customFormat="false" ht="15.75" hidden="false" customHeight="false" outlineLevel="0" collapsed="false">
      <c r="A739" s="121"/>
      <c r="B739" s="121"/>
      <c r="C739" s="121"/>
      <c r="D739" s="121"/>
      <c r="E739" s="121"/>
      <c r="F739" s="121"/>
      <c r="G739" s="121"/>
      <c r="H739" s="121"/>
      <c r="I739" s="121"/>
      <c r="J739" s="121"/>
      <c r="K739" s="121"/>
      <c r="L739" s="121"/>
      <c r="M739" s="121"/>
      <c r="N739" s="121"/>
      <c r="O739" s="121"/>
      <c r="P739" s="121"/>
      <c r="Q739" s="121"/>
      <c r="R739" s="121"/>
      <c r="S739" s="121"/>
      <c r="T739" s="121"/>
      <c r="U739" s="121"/>
      <c r="V739" s="121"/>
      <c r="W739" s="121"/>
      <c r="X739" s="121"/>
      <c r="Y739" s="121"/>
      <c r="Z739" s="121"/>
    </row>
    <row r="740" customFormat="false" ht="15.75" hidden="false" customHeight="false" outlineLevel="0" collapsed="false">
      <c r="A740" s="121"/>
      <c r="B740" s="121"/>
      <c r="C740" s="121"/>
      <c r="D740" s="121"/>
      <c r="E740" s="121"/>
      <c r="F740" s="121"/>
      <c r="G740" s="121"/>
      <c r="H740" s="121"/>
      <c r="I740" s="121"/>
      <c r="J740" s="121"/>
      <c r="K740" s="121"/>
      <c r="L740" s="121"/>
      <c r="M740" s="121"/>
      <c r="N740" s="121"/>
      <c r="O740" s="121"/>
      <c r="P740" s="121"/>
      <c r="Q740" s="121"/>
      <c r="R740" s="121"/>
      <c r="S740" s="121"/>
      <c r="T740" s="121"/>
      <c r="U740" s="121"/>
      <c r="V740" s="121"/>
      <c r="W740" s="121"/>
      <c r="X740" s="121"/>
      <c r="Y740" s="121"/>
      <c r="Z740" s="121"/>
    </row>
    <row r="741" customFormat="false" ht="15.75" hidden="false" customHeight="false" outlineLevel="0" collapsed="false">
      <c r="A741" s="121"/>
      <c r="B741" s="121"/>
      <c r="C741" s="121"/>
      <c r="D741" s="121"/>
      <c r="E741" s="121"/>
      <c r="F741" s="121"/>
      <c r="G741" s="121"/>
      <c r="H741" s="121"/>
      <c r="I741" s="121"/>
      <c r="J741" s="121"/>
      <c r="K741" s="121"/>
      <c r="L741" s="121"/>
      <c r="M741" s="121"/>
      <c r="N741" s="121"/>
      <c r="O741" s="121"/>
      <c r="P741" s="121"/>
      <c r="Q741" s="121"/>
      <c r="R741" s="121"/>
      <c r="S741" s="121"/>
      <c r="T741" s="121"/>
      <c r="U741" s="121"/>
      <c r="V741" s="121"/>
      <c r="W741" s="121"/>
      <c r="X741" s="121"/>
      <c r="Y741" s="121"/>
      <c r="Z741" s="121"/>
    </row>
    <row r="742" customFormat="false" ht="15.75" hidden="false" customHeight="false" outlineLevel="0" collapsed="false">
      <c r="A742" s="121"/>
      <c r="B742" s="121"/>
      <c r="C742" s="121"/>
      <c r="D742" s="121"/>
      <c r="E742" s="121"/>
      <c r="F742" s="121"/>
      <c r="G742" s="121"/>
      <c r="H742" s="121"/>
      <c r="I742" s="121"/>
      <c r="J742" s="121"/>
      <c r="K742" s="121"/>
      <c r="L742" s="121"/>
      <c r="M742" s="121"/>
      <c r="N742" s="121"/>
      <c r="O742" s="121"/>
      <c r="P742" s="121"/>
      <c r="Q742" s="121"/>
      <c r="R742" s="121"/>
      <c r="S742" s="121"/>
      <c r="T742" s="121"/>
      <c r="U742" s="121"/>
      <c r="V742" s="121"/>
      <c r="W742" s="121"/>
      <c r="X742" s="121"/>
      <c r="Y742" s="121"/>
      <c r="Z742" s="121"/>
    </row>
    <row r="743" customFormat="false" ht="15.75" hidden="false" customHeight="false" outlineLevel="0" collapsed="false">
      <c r="A743" s="121"/>
      <c r="B743" s="121"/>
      <c r="C743" s="121"/>
      <c r="D743" s="121"/>
      <c r="E743" s="121"/>
      <c r="F743" s="121"/>
      <c r="G743" s="121"/>
      <c r="H743" s="121"/>
      <c r="I743" s="121"/>
      <c r="J743" s="121"/>
      <c r="K743" s="121"/>
      <c r="L743" s="121"/>
      <c r="M743" s="121"/>
      <c r="N743" s="121"/>
      <c r="O743" s="121"/>
      <c r="P743" s="121"/>
      <c r="Q743" s="121"/>
      <c r="R743" s="121"/>
      <c r="S743" s="121"/>
      <c r="T743" s="121"/>
      <c r="U743" s="121"/>
      <c r="V743" s="121"/>
      <c r="W743" s="121"/>
      <c r="X743" s="121"/>
      <c r="Y743" s="121"/>
      <c r="Z743" s="121"/>
    </row>
    <row r="744" customFormat="false" ht="15.75" hidden="false" customHeight="false" outlineLevel="0" collapsed="false">
      <c r="A744" s="121"/>
      <c r="B744" s="121"/>
      <c r="C744" s="121"/>
      <c r="D744" s="121"/>
      <c r="E744" s="121"/>
      <c r="F744" s="121"/>
      <c r="G744" s="121"/>
      <c r="H744" s="121"/>
      <c r="I744" s="121"/>
      <c r="J744" s="121"/>
      <c r="K744" s="121"/>
      <c r="L744" s="121"/>
      <c r="M744" s="121"/>
      <c r="N744" s="121"/>
      <c r="O744" s="121"/>
      <c r="P744" s="121"/>
      <c r="Q744" s="121"/>
      <c r="R744" s="121"/>
      <c r="S744" s="121"/>
      <c r="T744" s="121"/>
      <c r="U744" s="121"/>
      <c r="V744" s="121"/>
      <c r="W744" s="121"/>
      <c r="X744" s="121"/>
      <c r="Y744" s="121"/>
      <c r="Z744" s="121"/>
    </row>
    <row r="745" customFormat="false" ht="15.75" hidden="false" customHeight="false" outlineLevel="0" collapsed="false">
      <c r="A745" s="121"/>
      <c r="B745" s="121"/>
      <c r="C745" s="121"/>
      <c r="D745" s="121"/>
      <c r="E745" s="121"/>
      <c r="F745" s="121"/>
      <c r="G745" s="121"/>
      <c r="H745" s="121"/>
      <c r="I745" s="121"/>
      <c r="J745" s="121"/>
      <c r="K745" s="121"/>
      <c r="L745" s="121"/>
      <c r="M745" s="121"/>
      <c r="N745" s="121"/>
      <c r="O745" s="121"/>
      <c r="P745" s="121"/>
      <c r="Q745" s="121"/>
      <c r="R745" s="121"/>
      <c r="S745" s="121"/>
      <c r="T745" s="121"/>
      <c r="U745" s="121"/>
      <c r="V745" s="121"/>
      <c r="W745" s="121"/>
      <c r="X745" s="121"/>
      <c r="Y745" s="121"/>
      <c r="Z745" s="121"/>
    </row>
    <row r="746" customFormat="false" ht="15.75" hidden="false" customHeight="false" outlineLevel="0" collapsed="false">
      <c r="A746" s="121"/>
      <c r="B746" s="121"/>
      <c r="C746" s="121"/>
      <c r="D746" s="121"/>
      <c r="E746" s="121"/>
      <c r="F746" s="121"/>
      <c r="G746" s="121"/>
      <c r="H746" s="121"/>
      <c r="I746" s="121"/>
      <c r="J746" s="121"/>
      <c r="K746" s="121"/>
      <c r="L746" s="121"/>
      <c r="M746" s="121"/>
      <c r="N746" s="121"/>
      <c r="O746" s="121"/>
      <c r="P746" s="121"/>
      <c r="Q746" s="121"/>
      <c r="R746" s="121"/>
      <c r="S746" s="121"/>
      <c r="T746" s="121"/>
      <c r="U746" s="121"/>
      <c r="V746" s="121"/>
      <c r="W746" s="121"/>
      <c r="X746" s="121"/>
      <c r="Y746" s="121"/>
      <c r="Z746" s="121"/>
    </row>
    <row r="747" customFormat="false" ht="15.75" hidden="false" customHeight="false" outlineLevel="0" collapsed="false">
      <c r="A747" s="121"/>
      <c r="B747" s="121"/>
      <c r="C747" s="121"/>
      <c r="D747" s="121"/>
      <c r="E747" s="121"/>
      <c r="F747" s="121"/>
      <c r="G747" s="121"/>
      <c r="H747" s="121"/>
      <c r="I747" s="121"/>
      <c r="J747" s="121"/>
      <c r="K747" s="121"/>
      <c r="L747" s="121"/>
      <c r="M747" s="121"/>
      <c r="N747" s="121"/>
      <c r="O747" s="121"/>
      <c r="P747" s="121"/>
      <c r="Q747" s="121"/>
      <c r="R747" s="121"/>
      <c r="S747" s="121"/>
      <c r="T747" s="121"/>
      <c r="U747" s="121"/>
      <c r="V747" s="121"/>
      <c r="W747" s="121"/>
      <c r="X747" s="121"/>
      <c r="Y747" s="121"/>
      <c r="Z747" s="121"/>
    </row>
    <row r="748" customFormat="false" ht="15.75" hidden="false" customHeight="false" outlineLevel="0" collapsed="false">
      <c r="A748" s="121"/>
      <c r="B748" s="121"/>
      <c r="C748" s="121"/>
      <c r="D748" s="121"/>
      <c r="E748" s="121"/>
      <c r="F748" s="121"/>
      <c r="G748" s="121"/>
      <c r="H748" s="121"/>
      <c r="I748" s="121"/>
      <c r="J748" s="121"/>
      <c r="K748" s="121"/>
      <c r="L748" s="121"/>
      <c r="M748" s="121"/>
      <c r="N748" s="121"/>
      <c r="O748" s="121"/>
      <c r="P748" s="121"/>
      <c r="Q748" s="121"/>
      <c r="R748" s="121"/>
      <c r="S748" s="121"/>
      <c r="T748" s="121"/>
      <c r="U748" s="121"/>
      <c r="V748" s="121"/>
      <c r="W748" s="121"/>
      <c r="X748" s="121"/>
      <c r="Y748" s="121"/>
      <c r="Z748" s="121"/>
    </row>
    <row r="749" customFormat="false" ht="15.75" hidden="false" customHeight="false" outlineLevel="0" collapsed="false">
      <c r="A749" s="121"/>
      <c r="B749" s="121"/>
      <c r="C749" s="121"/>
      <c r="D749" s="121"/>
      <c r="E749" s="121"/>
      <c r="F749" s="121"/>
      <c r="G749" s="121"/>
      <c r="H749" s="121"/>
      <c r="I749" s="121"/>
      <c r="J749" s="121"/>
      <c r="K749" s="121"/>
      <c r="L749" s="121"/>
      <c r="M749" s="121"/>
      <c r="N749" s="121"/>
      <c r="O749" s="121"/>
      <c r="P749" s="121"/>
      <c r="Q749" s="121"/>
      <c r="R749" s="121"/>
      <c r="S749" s="121"/>
      <c r="T749" s="121"/>
      <c r="U749" s="121"/>
      <c r="V749" s="121"/>
      <c r="W749" s="121"/>
      <c r="X749" s="121"/>
      <c r="Y749" s="121"/>
      <c r="Z749" s="121"/>
    </row>
    <row r="750" customFormat="false" ht="15.75" hidden="false" customHeight="false" outlineLevel="0" collapsed="false">
      <c r="A750" s="121"/>
      <c r="B750" s="121"/>
      <c r="C750" s="121"/>
      <c r="D750" s="121"/>
      <c r="E750" s="121"/>
      <c r="F750" s="121"/>
      <c r="G750" s="121"/>
      <c r="H750" s="121"/>
      <c r="I750" s="121"/>
      <c r="J750" s="121"/>
      <c r="K750" s="121"/>
      <c r="L750" s="121"/>
      <c r="M750" s="121"/>
      <c r="N750" s="121"/>
      <c r="O750" s="121"/>
      <c r="P750" s="121"/>
      <c r="Q750" s="121"/>
      <c r="R750" s="121"/>
      <c r="S750" s="121"/>
      <c r="T750" s="121"/>
      <c r="U750" s="121"/>
      <c r="V750" s="121"/>
      <c r="W750" s="121"/>
      <c r="X750" s="121"/>
      <c r="Y750" s="121"/>
      <c r="Z750" s="121"/>
    </row>
    <row r="751" customFormat="false" ht="15.75" hidden="false" customHeight="false" outlineLevel="0" collapsed="false">
      <c r="A751" s="121"/>
      <c r="B751" s="121"/>
      <c r="C751" s="121"/>
      <c r="D751" s="121"/>
      <c r="E751" s="121"/>
      <c r="F751" s="121"/>
      <c r="G751" s="121"/>
      <c r="H751" s="121"/>
      <c r="I751" s="121"/>
      <c r="J751" s="121"/>
      <c r="K751" s="121"/>
      <c r="L751" s="121"/>
      <c r="M751" s="121"/>
      <c r="N751" s="121"/>
      <c r="O751" s="121"/>
      <c r="P751" s="121"/>
      <c r="Q751" s="121"/>
      <c r="R751" s="121"/>
      <c r="S751" s="121"/>
      <c r="T751" s="121"/>
      <c r="U751" s="121"/>
      <c r="V751" s="121"/>
      <c r="W751" s="121"/>
      <c r="X751" s="121"/>
      <c r="Y751" s="121"/>
      <c r="Z751" s="121"/>
    </row>
    <row r="752" customFormat="false" ht="15.75" hidden="false" customHeight="false" outlineLevel="0" collapsed="false">
      <c r="A752" s="121"/>
      <c r="B752" s="121"/>
      <c r="C752" s="121"/>
      <c r="D752" s="121"/>
      <c r="E752" s="121"/>
      <c r="F752" s="121"/>
      <c r="G752" s="121"/>
      <c r="H752" s="121"/>
      <c r="I752" s="121"/>
      <c r="J752" s="121"/>
      <c r="K752" s="121"/>
      <c r="L752" s="121"/>
      <c r="M752" s="121"/>
      <c r="N752" s="121"/>
      <c r="O752" s="121"/>
      <c r="P752" s="121"/>
      <c r="Q752" s="121"/>
      <c r="R752" s="121"/>
      <c r="S752" s="121"/>
      <c r="T752" s="121"/>
      <c r="U752" s="121"/>
      <c r="V752" s="121"/>
      <c r="W752" s="121"/>
      <c r="X752" s="121"/>
      <c r="Y752" s="121"/>
      <c r="Z752" s="121"/>
    </row>
    <row r="753" customFormat="false" ht="15.75" hidden="false" customHeight="false" outlineLevel="0" collapsed="false">
      <c r="A753" s="121"/>
      <c r="B753" s="121"/>
      <c r="C753" s="121"/>
      <c r="D753" s="121"/>
      <c r="E753" s="121"/>
      <c r="F753" s="121"/>
      <c r="G753" s="121"/>
      <c r="H753" s="121"/>
      <c r="I753" s="121"/>
      <c r="J753" s="121"/>
      <c r="K753" s="121"/>
      <c r="L753" s="121"/>
      <c r="M753" s="121"/>
      <c r="N753" s="121"/>
      <c r="O753" s="121"/>
      <c r="P753" s="121"/>
      <c r="Q753" s="121"/>
      <c r="R753" s="121"/>
      <c r="S753" s="121"/>
      <c r="T753" s="121"/>
      <c r="U753" s="121"/>
      <c r="V753" s="121"/>
      <c r="W753" s="121"/>
      <c r="X753" s="121"/>
      <c r="Y753" s="121"/>
      <c r="Z753" s="121"/>
    </row>
    <row r="754" customFormat="false" ht="15.75" hidden="false" customHeight="false" outlineLevel="0" collapsed="false">
      <c r="A754" s="121"/>
      <c r="B754" s="121"/>
      <c r="C754" s="121"/>
      <c r="D754" s="121"/>
      <c r="E754" s="121"/>
      <c r="F754" s="121"/>
      <c r="G754" s="121"/>
      <c r="H754" s="121"/>
      <c r="I754" s="121"/>
      <c r="J754" s="121"/>
      <c r="K754" s="121"/>
      <c r="L754" s="121"/>
      <c r="M754" s="121"/>
      <c r="N754" s="121"/>
      <c r="O754" s="121"/>
      <c r="P754" s="121"/>
      <c r="Q754" s="121"/>
      <c r="R754" s="121"/>
      <c r="S754" s="121"/>
      <c r="T754" s="121"/>
      <c r="U754" s="121"/>
      <c r="V754" s="121"/>
      <c r="W754" s="121"/>
      <c r="X754" s="121"/>
      <c r="Y754" s="121"/>
      <c r="Z754" s="121"/>
    </row>
    <row r="755" customFormat="false" ht="15.75" hidden="false" customHeight="false" outlineLevel="0" collapsed="false">
      <c r="A755" s="121"/>
      <c r="B755" s="121"/>
      <c r="C755" s="121"/>
      <c r="D755" s="121"/>
      <c r="E755" s="121"/>
      <c r="F755" s="121"/>
      <c r="G755" s="121"/>
      <c r="H755" s="121"/>
      <c r="I755" s="121"/>
      <c r="J755" s="121"/>
      <c r="K755" s="121"/>
      <c r="L755" s="121"/>
      <c r="M755" s="121"/>
      <c r="N755" s="121"/>
      <c r="O755" s="121"/>
      <c r="P755" s="121"/>
      <c r="Q755" s="121"/>
      <c r="R755" s="121"/>
      <c r="S755" s="121"/>
      <c r="T755" s="121"/>
      <c r="U755" s="121"/>
      <c r="V755" s="121"/>
      <c r="W755" s="121"/>
      <c r="X755" s="121"/>
      <c r="Y755" s="121"/>
      <c r="Z755" s="121"/>
    </row>
    <row r="756" customFormat="false" ht="15.75" hidden="false" customHeight="false" outlineLevel="0" collapsed="false">
      <c r="A756" s="121"/>
      <c r="B756" s="121"/>
      <c r="C756" s="121"/>
      <c r="D756" s="121"/>
      <c r="E756" s="121"/>
      <c r="F756" s="121"/>
      <c r="G756" s="121"/>
      <c r="H756" s="121"/>
      <c r="I756" s="121"/>
      <c r="J756" s="121"/>
      <c r="K756" s="121"/>
      <c r="L756" s="121"/>
      <c r="M756" s="121"/>
      <c r="N756" s="121"/>
      <c r="O756" s="121"/>
      <c r="P756" s="121"/>
      <c r="Q756" s="121"/>
      <c r="R756" s="121"/>
      <c r="S756" s="121"/>
      <c r="T756" s="121"/>
      <c r="U756" s="121"/>
      <c r="V756" s="121"/>
      <c r="W756" s="121"/>
      <c r="X756" s="121"/>
      <c r="Y756" s="121"/>
      <c r="Z756" s="121"/>
    </row>
    <row r="757" customFormat="false" ht="15.75" hidden="false" customHeight="false" outlineLevel="0" collapsed="false">
      <c r="A757" s="121"/>
      <c r="B757" s="121"/>
      <c r="C757" s="121"/>
      <c r="D757" s="121"/>
      <c r="E757" s="121"/>
      <c r="F757" s="121"/>
      <c r="G757" s="121"/>
      <c r="H757" s="121"/>
      <c r="I757" s="121"/>
      <c r="J757" s="121"/>
      <c r="K757" s="121"/>
      <c r="L757" s="121"/>
      <c r="M757" s="121"/>
      <c r="N757" s="121"/>
      <c r="O757" s="121"/>
      <c r="P757" s="121"/>
      <c r="Q757" s="121"/>
      <c r="R757" s="121"/>
      <c r="S757" s="121"/>
      <c r="T757" s="121"/>
      <c r="U757" s="121"/>
      <c r="V757" s="121"/>
      <c r="W757" s="121"/>
      <c r="X757" s="121"/>
      <c r="Y757" s="121"/>
      <c r="Z757" s="121"/>
    </row>
    <row r="758" customFormat="false" ht="15.75" hidden="false" customHeight="false" outlineLevel="0" collapsed="false">
      <c r="A758" s="121"/>
      <c r="B758" s="121"/>
      <c r="C758" s="121"/>
      <c r="D758" s="121"/>
      <c r="E758" s="121"/>
      <c r="F758" s="121"/>
      <c r="G758" s="121"/>
      <c r="H758" s="121"/>
      <c r="I758" s="121"/>
      <c r="J758" s="121"/>
      <c r="K758" s="121"/>
      <c r="L758" s="121"/>
      <c r="M758" s="121"/>
      <c r="N758" s="121"/>
      <c r="O758" s="121"/>
      <c r="P758" s="121"/>
      <c r="Q758" s="121"/>
      <c r="R758" s="121"/>
      <c r="S758" s="121"/>
      <c r="T758" s="121"/>
      <c r="U758" s="121"/>
      <c r="V758" s="121"/>
      <c r="W758" s="121"/>
      <c r="X758" s="121"/>
      <c r="Y758" s="121"/>
      <c r="Z758" s="121"/>
    </row>
    <row r="759" customFormat="false" ht="15.75" hidden="false" customHeight="false" outlineLevel="0" collapsed="false">
      <c r="A759" s="121"/>
      <c r="B759" s="121"/>
      <c r="C759" s="121"/>
      <c r="D759" s="121"/>
      <c r="E759" s="121"/>
      <c r="F759" s="121"/>
      <c r="G759" s="121"/>
      <c r="H759" s="121"/>
      <c r="I759" s="121"/>
      <c r="J759" s="121"/>
      <c r="K759" s="121"/>
      <c r="L759" s="121"/>
      <c r="M759" s="121"/>
      <c r="N759" s="121"/>
      <c r="O759" s="121"/>
      <c r="P759" s="121"/>
      <c r="Q759" s="121"/>
      <c r="R759" s="121"/>
      <c r="S759" s="121"/>
      <c r="T759" s="121"/>
      <c r="U759" s="121"/>
      <c r="V759" s="121"/>
      <c r="W759" s="121"/>
      <c r="X759" s="121"/>
      <c r="Y759" s="121"/>
      <c r="Z759" s="121"/>
    </row>
    <row r="760" customFormat="false" ht="15.75" hidden="false" customHeight="false" outlineLevel="0" collapsed="false">
      <c r="A760" s="121"/>
      <c r="B760" s="121"/>
      <c r="C760" s="121"/>
      <c r="D760" s="121"/>
      <c r="E760" s="121"/>
      <c r="F760" s="121"/>
      <c r="G760" s="121"/>
      <c r="H760" s="121"/>
      <c r="I760" s="121"/>
      <c r="J760" s="121"/>
      <c r="K760" s="121"/>
      <c r="L760" s="121"/>
      <c r="M760" s="121"/>
      <c r="N760" s="121"/>
      <c r="O760" s="121"/>
      <c r="P760" s="121"/>
      <c r="Q760" s="121"/>
      <c r="R760" s="121"/>
      <c r="S760" s="121"/>
      <c r="T760" s="121"/>
      <c r="U760" s="121"/>
      <c r="V760" s="121"/>
      <c r="W760" s="121"/>
      <c r="X760" s="121"/>
      <c r="Y760" s="121"/>
      <c r="Z760" s="121"/>
    </row>
    <row r="761" customFormat="false" ht="15.75" hidden="false" customHeight="false" outlineLevel="0" collapsed="false">
      <c r="A761" s="121"/>
      <c r="B761" s="121"/>
      <c r="C761" s="121"/>
      <c r="D761" s="121"/>
      <c r="E761" s="121"/>
      <c r="F761" s="121"/>
      <c r="G761" s="121"/>
      <c r="H761" s="121"/>
      <c r="I761" s="121"/>
      <c r="J761" s="121"/>
      <c r="K761" s="121"/>
      <c r="L761" s="121"/>
      <c r="M761" s="121"/>
      <c r="N761" s="121"/>
      <c r="O761" s="121"/>
      <c r="P761" s="121"/>
      <c r="Q761" s="121"/>
      <c r="R761" s="121"/>
      <c r="S761" s="121"/>
      <c r="T761" s="121"/>
      <c r="U761" s="121"/>
      <c r="V761" s="121"/>
      <c r="W761" s="121"/>
      <c r="X761" s="121"/>
      <c r="Y761" s="121"/>
      <c r="Z761" s="121"/>
    </row>
    <row r="762" customFormat="false" ht="15.75" hidden="false" customHeight="false" outlineLevel="0" collapsed="false">
      <c r="A762" s="121"/>
      <c r="B762" s="121"/>
      <c r="C762" s="121"/>
      <c r="D762" s="121"/>
      <c r="E762" s="121"/>
      <c r="F762" s="121"/>
      <c r="G762" s="121"/>
      <c r="H762" s="121"/>
      <c r="I762" s="121"/>
      <c r="J762" s="121"/>
      <c r="K762" s="121"/>
      <c r="L762" s="121"/>
      <c r="M762" s="121"/>
      <c r="N762" s="121"/>
      <c r="O762" s="121"/>
      <c r="P762" s="121"/>
      <c r="Q762" s="121"/>
      <c r="R762" s="121"/>
      <c r="S762" s="121"/>
      <c r="T762" s="121"/>
      <c r="U762" s="121"/>
      <c r="V762" s="121"/>
      <c r="W762" s="121"/>
      <c r="X762" s="121"/>
      <c r="Y762" s="121"/>
      <c r="Z762" s="121"/>
    </row>
    <row r="763" customFormat="false" ht="15.75" hidden="false" customHeight="false" outlineLevel="0" collapsed="false">
      <c r="A763" s="121"/>
      <c r="B763" s="121"/>
      <c r="C763" s="121"/>
      <c r="D763" s="121"/>
      <c r="E763" s="121"/>
      <c r="F763" s="121"/>
      <c r="G763" s="121"/>
      <c r="H763" s="121"/>
      <c r="I763" s="121"/>
      <c r="J763" s="121"/>
      <c r="K763" s="121"/>
      <c r="L763" s="121"/>
      <c r="M763" s="121"/>
      <c r="N763" s="121"/>
      <c r="O763" s="121"/>
      <c r="P763" s="121"/>
      <c r="Q763" s="121"/>
      <c r="R763" s="121"/>
      <c r="S763" s="121"/>
      <c r="T763" s="121"/>
      <c r="U763" s="121"/>
      <c r="V763" s="121"/>
      <c r="W763" s="121"/>
      <c r="X763" s="121"/>
      <c r="Y763" s="121"/>
      <c r="Z763" s="121"/>
    </row>
    <row r="764" customFormat="false" ht="15.75" hidden="false" customHeight="false" outlineLevel="0" collapsed="false">
      <c r="A764" s="121"/>
      <c r="B764" s="121"/>
      <c r="C764" s="121"/>
      <c r="D764" s="121"/>
      <c r="E764" s="121"/>
      <c r="F764" s="121"/>
      <c r="G764" s="121"/>
      <c r="H764" s="121"/>
      <c r="I764" s="121"/>
      <c r="J764" s="121"/>
      <c r="K764" s="121"/>
      <c r="L764" s="121"/>
      <c r="M764" s="121"/>
      <c r="N764" s="121"/>
      <c r="O764" s="121"/>
      <c r="P764" s="121"/>
      <c r="Q764" s="121"/>
      <c r="R764" s="121"/>
      <c r="S764" s="121"/>
      <c r="T764" s="121"/>
      <c r="U764" s="121"/>
      <c r="V764" s="121"/>
      <c r="W764" s="121"/>
      <c r="X764" s="121"/>
      <c r="Y764" s="121"/>
      <c r="Z764" s="121"/>
    </row>
    <row r="765" customFormat="false" ht="15.75" hidden="false" customHeight="false" outlineLevel="0" collapsed="false">
      <c r="A765" s="121"/>
      <c r="B765" s="121"/>
      <c r="C765" s="121"/>
      <c r="D765" s="121"/>
      <c r="E765" s="121"/>
      <c r="F765" s="121"/>
      <c r="G765" s="121"/>
      <c r="H765" s="121"/>
      <c r="I765" s="121"/>
      <c r="J765" s="121"/>
      <c r="K765" s="121"/>
      <c r="L765" s="121"/>
      <c r="M765" s="121"/>
      <c r="N765" s="121"/>
      <c r="O765" s="121"/>
      <c r="P765" s="121"/>
      <c r="Q765" s="121"/>
      <c r="R765" s="121"/>
      <c r="S765" s="121"/>
      <c r="T765" s="121"/>
      <c r="U765" s="121"/>
      <c r="V765" s="121"/>
      <c r="W765" s="121"/>
      <c r="X765" s="121"/>
      <c r="Y765" s="121"/>
      <c r="Z765" s="121"/>
    </row>
    <row r="766" customFormat="false" ht="15.75" hidden="false" customHeight="false" outlineLevel="0" collapsed="false">
      <c r="A766" s="121"/>
      <c r="B766" s="121"/>
      <c r="C766" s="121"/>
      <c r="D766" s="121"/>
      <c r="E766" s="121"/>
      <c r="F766" s="121"/>
      <c r="G766" s="121"/>
      <c r="H766" s="121"/>
      <c r="I766" s="121"/>
      <c r="J766" s="121"/>
      <c r="K766" s="121"/>
      <c r="L766" s="121"/>
      <c r="M766" s="121"/>
      <c r="N766" s="121"/>
      <c r="O766" s="121"/>
      <c r="P766" s="121"/>
      <c r="Q766" s="121"/>
      <c r="R766" s="121"/>
      <c r="S766" s="121"/>
      <c r="T766" s="121"/>
      <c r="U766" s="121"/>
      <c r="V766" s="121"/>
      <c r="W766" s="121"/>
      <c r="X766" s="121"/>
      <c r="Y766" s="121"/>
      <c r="Z766" s="121"/>
    </row>
    <row r="767" customFormat="false" ht="15.75" hidden="false" customHeight="false" outlineLevel="0" collapsed="false">
      <c r="A767" s="121"/>
      <c r="B767" s="121"/>
      <c r="C767" s="121"/>
      <c r="D767" s="121"/>
      <c r="E767" s="121"/>
      <c r="F767" s="121"/>
      <c r="G767" s="121"/>
      <c r="H767" s="121"/>
      <c r="I767" s="121"/>
      <c r="J767" s="121"/>
      <c r="K767" s="121"/>
      <c r="L767" s="121"/>
      <c r="M767" s="121"/>
      <c r="N767" s="121"/>
      <c r="O767" s="121"/>
      <c r="P767" s="121"/>
      <c r="Q767" s="121"/>
      <c r="R767" s="121"/>
      <c r="S767" s="121"/>
      <c r="T767" s="121"/>
      <c r="U767" s="121"/>
      <c r="V767" s="121"/>
      <c r="W767" s="121"/>
      <c r="X767" s="121"/>
      <c r="Y767" s="121"/>
      <c r="Z767" s="121"/>
    </row>
    <row r="768" customFormat="false" ht="15.75" hidden="false" customHeight="false" outlineLevel="0" collapsed="false">
      <c r="A768" s="121"/>
      <c r="B768" s="121"/>
      <c r="C768" s="121"/>
      <c r="D768" s="121"/>
      <c r="E768" s="121"/>
      <c r="F768" s="121"/>
      <c r="G768" s="121"/>
      <c r="H768" s="121"/>
      <c r="I768" s="121"/>
      <c r="J768" s="121"/>
      <c r="K768" s="121"/>
      <c r="L768" s="121"/>
      <c r="M768" s="121"/>
      <c r="N768" s="121"/>
      <c r="O768" s="121"/>
      <c r="P768" s="121"/>
      <c r="Q768" s="121"/>
      <c r="R768" s="121"/>
      <c r="S768" s="121"/>
      <c r="T768" s="121"/>
      <c r="U768" s="121"/>
      <c r="V768" s="121"/>
      <c r="W768" s="121"/>
      <c r="X768" s="121"/>
      <c r="Y768" s="121"/>
      <c r="Z768" s="121"/>
    </row>
    <row r="769" customFormat="false" ht="15.75" hidden="false" customHeight="false" outlineLevel="0" collapsed="false">
      <c r="A769" s="121"/>
      <c r="B769" s="121"/>
      <c r="C769" s="121"/>
      <c r="D769" s="121"/>
      <c r="E769" s="121"/>
      <c r="F769" s="121"/>
      <c r="G769" s="121"/>
      <c r="H769" s="121"/>
      <c r="I769" s="121"/>
      <c r="J769" s="121"/>
      <c r="K769" s="121"/>
      <c r="L769" s="121"/>
      <c r="M769" s="121"/>
      <c r="N769" s="121"/>
      <c r="O769" s="121"/>
      <c r="P769" s="121"/>
      <c r="Q769" s="121"/>
      <c r="R769" s="121"/>
      <c r="S769" s="121"/>
      <c r="T769" s="121"/>
      <c r="U769" s="121"/>
      <c r="V769" s="121"/>
      <c r="W769" s="121"/>
      <c r="X769" s="121"/>
      <c r="Y769" s="121"/>
      <c r="Z769" s="121"/>
    </row>
    <row r="770" customFormat="false" ht="15.75" hidden="false" customHeight="false" outlineLevel="0" collapsed="false">
      <c r="A770" s="121"/>
      <c r="B770" s="121"/>
      <c r="C770" s="121"/>
      <c r="D770" s="121"/>
      <c r="E770" s="121"/>
      <c r="F770" s="121"/>
      <c r="G770" s="121"/>
      <c r="H770" s="121"/>
      <c r="I770" s="121"/>
      <c r="J770" s="121"/>
      <c r="K770" s="121"/>
      <c r="L770" s="121"/>
      <c r="M770" s="121"/>
      <c r="N770" s="121"/>
      <c r="O770" s="121"/>
      <c r="P770" s="121"/>
      <c r="Q770" s="121"/>
      <c r="R770" s="121"/>
      <c r="S770" s="121"/>
      <c r="T770" s="121"/>
      <c r="U770" s="121"/>
      <c r="V770" s="121"/>
      <c r="W770" s="121"/>
      <c r="X770" s="121"/>
      <c r="Y770" s="121"/>
      <c r="Z770" s="121"/>
    </row>
    <row r="771" customFormat="false" ht="15.75" hidden="false" customHeight="false" outlineLevel="0" collapsed="false">
      <c r="A771" s="121"/>
      <c r="B771" s="121"/>
      <c r="C771" s="121"/>
      <c r="D771" s="121"/>
      <c r="E771" s="121"/>
      <c r="F771" s="121"/>
      <c r="G771" s="121"/>
      <c r="H771" s="121"/>
      <c r="I771" s="121"/>
      <c r="J771" s="121"/>
      <c r="K771" s="121"/>
      <c r="L771" s="121"/>
      <c r="M771" s="121"/>
      <c r="N771" s="121"/>
      <c r="O771" s="121"/>
      <c r="P771" s="121"/>
      <c r="Q771" s="121"/>
      <c r="R771" s="121"/>
      <c r="S771" s="121"/>
      <c r="T771" s="121"/>
      <c r="U771" s="121"/>
      <c r="V771" s="121"/>
      <c r="W771" s="121"/>
      <c r="X771" s="121"/>
      <c r="Y771" s="121"/>
      <c r="Z771" s="121"/>
    </row>
    <row r="772" customFormat="false" ht="15.75" hidden="false" customHeight="false" outlineLevel="0" collapsed="false">
      <c r="A772" s="121"/>
      <c r="B772" s="121"/>
      <c r="C772" s="121"/>
      <c r="D772" s="121"/>
      <c r="E772" s="121"/>
      <c r="F772" s="121"/>
      <c r="G772" s="121"/>
      <c r="H772" s="121"/>
      <c r="I772" s="121"/>
      <c r="J772" s="121"/>
      <c r="K772" s="121"/>
      <c r="L772" s="121"/>
      <c r="M772" s="121"/>
      <c r="N772" s="121"/>
      <c r="O772" s="121"/>
      <c r="P772" s="121"/>
      <c r="Q772" s="121"/>
      <c r="R772" s="121"/>
      <c r="S772" s="121"/>
      <c r="T772" s="121"/>
      <c r="U772" s="121"/>
      <c r="V772" s="121"/>
      <c r="W772" s="121"/>
      <c r="X772" s="121"/>
      <c r="Y772" s="121"/>
      <c r="Z772" s="121"/>
    </row>
    <row r="773" customFormat="false" ht="15.75" hidden="false" customHeight="false" outlineLevel="0" collapsed="false">
      <c r="A773" s="121"/>
      <c r="B773" s="121"/>
      <c r="C773" s="121"/>
      <c r="D773" s="121"/>
      <c r="E773" s="121"/>
      <c r="F773" s="121"/>
      <c r="G773" s="121"/>
      <c r="H773" s="121"/>
      <c r="I773" s="121"/>
      <c r="J773" s="121"/>
      <c r="K773" s="121"/>
      <c r="L773" s="121"/>
      <c r="M773" s="121"/>
      <c r="N773" s="121"/>
      <c r="O773" s="121"/>
      <c r="P773" s="121"/>
      <c r="Q773" s="121"/>
      <c r="R773" s="121"/>
      <c r="S773" s="121"/>
      <c r="T773" s="121"/>
      <c r="U773" s="121"/>
      <c r="V773" s="121"/>
      <c r="W773" s="121"/>
      <c r="X773" s="121"/>
      <c r="Y773" s="121"/>
      <c r="Z773" s="121"/>
    </row>
    <row r="774" customFormat="false" ht="15.75" hidden="false" customHeight="false" outlineLevel="0" collapsed="false">
      <c r="A774" s="121"/>
      <c r="B774" s="121"/>
      <c r="C774" s="121"/>
      <c r="D774" s="121"/>
      <c r="E774" s="121"/>
      <c r="F774" s="121"/>
      <c r="G774" s="121"/>
      <c r="H774" s="121"/>
      <c r="I774" s="121"/>
      <c r="J774" s="121"/>
      <c r="K774" s="121"/>
      <c r="L774" s="121"/>
      <c r="M774" s="121"/>
      <c r="N774" s="121"/>
      <c r="O774" s="121"/>
      <c r="P774" s="121"/>
      <c r="Q774" s="121"/>
      <c r="R774" s="121"/>
      <c r="S774" s="121"/>
      <c r="T774" s="121"/>
      <c r="U774" s="121"/>
      <c r="V774" s="121"/>
      <c r="W774" s="121"/>
      <c r="X774" s="121"/>
      <c r="Y774" s="121"/>
      <c r="Z774" s="121"/>
    </row>
    <row r="775" customFormat="false" ht="15.75" hidden="false" customHeight="false" outlineLevel="0" collapsed="false">
      <c r="A775" s="121"/>
      <c r="B775" s="121"/>
      <c r="C775" s="121"/>
      <c r="D775" s="121"/>
      <c r="E775" s="121"/>
      <c r="F775" s="121"/>
      <c r="G775" s="121"/>
      <c r="H775" s="121"/>
      <c r="I775" s="121"/>
      <c r="J775" s="121"/>
      <c r="K775" s="121"/>
      <c r="L775" s="121"/>
      <c r="M775" s="121"/>
      <c r="N775" s="121"/>
      <c r="O775" s="121"/>
      <c r="P775" s="121"/>
      <c r="Q775" s="121"/>
      <c r="R775" s="121"/>
      <c r="S775" s="121"/>
      <c r="T775" s="121"/>
      <c r="U775" s="121"/>
      <c r="V775" s="121"/>
      <c r="W775" s="121"/>
      <c r="X775" s="121"/>
      <c r="Y775" s="121"/>
      <c r="Z775" s="121"/>
    </row>
    <row r="776" customFormat="false" ht="15.75" hidden="false" customHeight="false" outlineLevel="0" collapsed="false">
      <c r="A776" s="121"/>
      <c r="B776" s="121"/>
      <c r="C776" s="121"/>
      <c r="D776" s="121"/>
      <c r="E776" s="121"/>
      <c r="F776" s="121"/>
      <c r="G776" s="121"/>
      <c r="H776" s="121"/>
      <c r="I776" s="121"/>
      <c r="J776" s="121"/>
      <c r="K776" s="121"/>
      <c r="L776" s="121"/>
      <c r="M776" s="121"/>
      <c r="N776" s="121"/>
      <c r="O776" s="121"/>
      <c r="P776" s="121"/>
      <c r="Q776" s="121"/>
      <c r="R776" s="121"/>
      <c r="S776" s="121"/>
      <c r="T776" s="121"/>
      <c r="U776" s="121"/>
      <c r="V776" s="121"/>
      <c r="W776" s="121"/>
      <c r="X776" s="121"/>
      <c r="Y776" s="121"/>
      <c r="Z776" s="121"/>
    </row>
    <row r="777" customFormat="false" ht="15.75" hidden="false" customHeight="false" outlineLevel="0" collapsed="false">
      <c r="A777" s="121"/>
      <c r="B777" s="121"/>
      <c r="C777" s="121"/>
      <c r="D777" s="121"/>
      <c r="E777" s="121"/>
      <c r="F777" s="121"/>
      <c r="G777" s="121"/>
      <c r="H777" s="121"/>
      <c r="I777" s="121"/>
      <c r="J777" s="121"/>
      <c r="K777" s="121"/>
      <c r="L777" s="121"/>
      <c r="M777" s="121"/>
      <c r="N777" s="121"/>
      <c r="O777" s="121"/>
      <c r="P777" s="121"/>
      <c r="Q777" s="121"/>
      <c r="R777" s="121"/>
      <c r="S777" s="121"/>
      <c r="T777" s="121"/>
      <c r="U777" s="121"/>
      <c r="V777" s="121"/>
      <c r="W777" s="121"/>
      <c r="X777" s="121"/>
      <c r="Y777" s="121"/>
      <c r="Z777" s="121"/>
    </row>
    <row r="778" customFormat="false" ht="15.75" hidden="false" customHeight="false" outlineLevel="0" collapsed="false">
      <c r="A778" s="121"/>
      <c r="B778" s="121"/>
      <c r="C778" s="121"/>
      <c r="D778" s="121"/>
      <c r="E778" s="121"/>
      <c r="F778" s="121"/>
      <c r="G778" s="121"/>
      <c r="H778" s="121"/>
      <c r="I778" s="121"/>
      <c r="J778" s="121"/>
      <c r="K778" s="121"/>
      <c r="L778" s="121"/>
      <c r="M778" s="121"/>
      <c r="N778" s="121"/>
      <c r="O778" s="121"/>
      <c r="P778" s="121"/>
      <c r="Q778" s="121"/>
      <c r="R778" s="121"/>
      <c r="S778" s="121"/>
      <c r="T778" s="121"/>
      <c r="U778" s="121"/>
      <c r="V778" s="121"/>
      <c r="W778" s="121"/>
      <c r="X778" s="121"/>
      <c r="Y778" s="121"/>
      <c r="Z778" s="121"/>
    </row>
    <row r="779" customFormat="false" ht="15.75" hidden="false" customHeight="false" outlineLevel="0" collapsed="false">
      <c r="A779" s="121"/>
      <c r="B779" s="121"/>
      <c r="C779" s="121"/>
      <c r="D779" s="121"/>
      <c r="E779" s="121"/>
      <c r="F779" s="121"/>
      <c r="G779" s="121"/>
      <c r="H779" s="121"/>
      <c r="I779" s="121"/>
      <c r="J779" s="121"/>
      <c r="K779" s="121"/>
      <c r="L779" s="121"/>
      <c r="M779" s="121"/>
      <c r="N779" s="121"/>
      <c r="O779" s="121"/>
      <c r="P779" s="121"/>
      <c r="Q779" s="121"/>
      <c r="R779" s="121"/>
      <c r="S779" s="121"/>
      <c r="T779" s="121"/>
      <c r="U779" s="121"/>
      <c r="V779" s="121"/>
      <c r="W779" s="121"/>
      <c r="X779" s="121"/>
      <c r="Y779" s="121"/>
      <c r="Z779" s="121"/>
    </row>
    <row r="780" customFormat="false" ht="15.75" hidden="false" customHeight="false" outlineLevel="0" collapsed="false">
      <c r="A780" s="121"/>
      <c r="B780" s="121"/>
      <c r="C780" s="121"/>
      <c r="D780" s="121"/>
      <c r="E780" s="121"/>
      <c r="F780" s="121"/>
      <c r="G780" s="121"/>
      <c r="H780" s="121"/>
      <c r="I780" s="121"/>
      <c r="J780" s="121"/>
      <c r="K780" s="121"/>
      <c r="L780" s="121"/>
      <c r="M780" s="121"/>
      <c r="N780" s="121"/>
      <c r="O780" s="121"/>
      <c r="P780" s="121"/>
      <c r="Q780" s="121"/>
      <c r="R780" s="121"/>
      <c r="S780" s="121"/>
      <c r="T780" s="121"/>
      <c r="U780" s="121"/>
      <c r="V780" s="121"/>
      <c r="W780" s="121"/>
      <c r="X780" s="121"/>
      <c r="Y780" s="121"/>
      <c r="Z780" s="121"/>
    </row>
    <row r="781" customFormat="false" ht="15.75" hidden="false" customHeight="false" outlineLevel="0" collapsed="false">
      <c r="A781" s="121"/>
      <c r="B781" s="121"/>
      <c r="C781" s="121"/>
      <c r="D781" s="121"/>
      <c r="E781" s="121"/>
      <c r="F781" s="121"/>
      <c r="G781" s="121"/>
      <c r="H781" s="121"/>
      <c r="I781" s="121"/>
      <c r="J781" s="121"/>
      <c r="K781" s="121"/>
      <c r="L781" s="121"/>
      <c r="M781" s="121"/>
      <c r="N781" s="121"/>
      <c r="O781" s="121"/>
      <c r="P781" s="121"/>
      <c r="Q781" s="121"/>
      <c r="R781" s="121"/>
      <c r="S781" s="121"/>
      <c r="T781" s="121"/>
      <c r="U781" s="121"/>
      <c r="V781" s="121"/>
      <c r="W781" s="121"/>
      <c r="X781" s="121"/>
      <c r="Y781" s="121"/>
      <c r="Z781" s="121"/>
    </row>
    <row r="782" customFormat="false" ht="15.75" hidden="false" customHeight="false" outlineLevel="0" collapsed="false">
      <c r="A782" s="121"/>
      <c r="B782" s="121"/>
      <c r="C782" s="121"/>
      <c r="D782" s="121"/>
      <c r="E782" s="121"/>
      <c r="F782" s="121"/>
      <c r="G782" s="121"/>
      <c r="H782" s="121"/>
      <c r="I782" s="121"/>
      <c r="J782" s="121"/>
      <c r="K782" s="121"/>
      <c r="L782" s="121"/>
      <c r="M782" s="121"/>
      <c r="N782" s="121"/>
      <c r="O782" s="121"/>
      <c r="P782" s="121"/>
      <c r="Q782" s="121"/>
      <c r="R782" s="121"/>
      <c r="S782" s="121"/>
      <c r="T782" s="121"/>
      <c r="U782" s="121"/>
      <c r="V782" s="121"/>
      <c r="W782" s="121"/>
      <c r="X782" s="121"/>
      <c r="Y782" s="121"/>
      <c r="Z782" s="121"/>
    </row>
    <row r="783" customFormat="false" ht="15.75" hidden="false" customHeight="false" outlineLevel="0" collapsed="false">
      <c r="A783" s="121"/>
      <c r="B783" s="121"/>
      <c r="C783" s="121"/>
      <c r="D783" s="121"/>
      <c r="E783" s="121"/>
      <c r="F783" s="121"/>
      <c r="G783" s="121"/>
      <c r="H783" s="121"/>
      <c r="I783" s="121"/>
      <c r="J783" s="121"/>
      <c r="K783" s="121"/>
      <c r="L783" s="121"/>
      <c r="M783" s="121"/>
      <c r="N783" s="121"/>
      <c r="O783" s="121"/>
      <c r="P783" s="121"/>
      <c r="Q783" s="121"/>
      <c r="R783" s="121"/>
      <c r="S783" s="121"/>
      <c r="T783" s="121"/>
      <c r="U783" s="121"/>
      <c r="V783" s="121"/>
      <c r="W783" s="121"/>
      <c r="X783" s="121"/>
      <c r="Y783" s="121"/>
      <c r="Z783" s="121"/>
    </row>
    <row r="784" customFormat="false" ht="15.75" hidden="false" customHeight="false" outlineLevel="0" collapsed="false">
      <c r="A784" s="121"/>
      <c r="B784" s="121"/>
      <c r="C784" s="121"/>
      <c r="D784" s="121"/>
      <c r="E784" s="121"/>
      <c r="F784" s="121"/>
      <c r="G784" s="121"/>
      <c r="H784" s="121"/>
      <c r="I784" s="121"/>
      <c r="J784" s="121"/>
      <c r="K784" s="121"/>
      <c r="L784" s="121"/>
      <c r="M784" s="121"/>
      <c r="N784" s="121"/>
      <c r="O784" s="121"/>
      <c r="P784" s="121"/>
      <c r="Q784" s="121"/>
      <c r="R784" s="121"/>
      <c r="S784" s="121"/>
      <c r="T784" s="121"/>
      <c r="U784" s="121"/>
      <c r="V784" s="121"/>
      <c r="W784" s="121"/>
      <c r="X784" s="121"/>
      <c r="Y784" s="121"/>
      <c r="Z784" s="121"/>
    </row>
    <row r="785" customFormat="false" ht="15.75" hidden="false" customHeight="false" outlineLevel="0" collapsed="false">
      <c r="A785" s="121"/>
      <c r="B785" s="121"/>
      <c r="C785" s="121"/>
      <c r="D785" s="121"/>
      <c r="E785" s="121"/>
      <c r="F785" s="121"/>
      <c r="G785" s="121"/>
      <c r="H785" s="121"/>
      <c r="I785" s="121"/>
      <c r="J785" s="121"/>
      <c r="K785" s="121"/>
      <c r="L785" s="121"/>
      <c r="M785" s="121"/>
      <c r="N785" s="121"/>
      <c r="O785" s="121"/>
      <c r="P785" s="121"/>
      <c r="Q785" s="121"/>
      <c r="R785" s="121"/>
      <c r="S785" s="121"/>
      <c r="T785" s="121"/>
      <c r="U785" s="121"/>
      <c r="V785" s="121"/>
      <c r="W785" s="121"/>
      <c r="X785" s="121"/>
      <c r="Y785" s="121"/>
      <c r="Z785" s="121"/>
    </row>
    <row r="786" customFormat="false" ht="15.75" hidden="false" customHeight="false" outlineLevel="0" collapsed="false">
      <c r="A786" s="121"/>
      <c r="B786" s="121"/>
      <c r="C786" s="121"/>
      <c r="D786" s="121"/>
      <c r="E786" s="121"/>
      <c r="F786" s="121"/>
      <c r="G786" s="121"/>
      <c r="H786" s="121"/>
      <c r="I786" s="121"/>
      <c r="J786" s="121"/>
      <c r="K786" s="121"/>
      <c r="L786" s="121"/>
      <c r="M786" s="121"/>
      <c r="N786" s="121"/>
      <c r="O786" s="121"/>
      <c r="P786" s="121"/>
      <c r="Q786" s="121"/>
      <c r="R786" s="121"/>
      <c r="S786" s="121"/>
      <c r="T786" s="121"/>
      <c r="U786" s="121"/>
      <c r="V786" s="121"/>
      <c r="W786" s="121"/>
      <c r="X786" s="121"/>
      <c r="Y786" s="121"/>
      <c r="Z786" s="121"/>
    </row>
    <row r="787" customFormat="false" ht="15.75" hidden="false" customHeight="false" outlineLevel="0" collapsed="false">
      <c r="A787" s="121"/>
      <c r="B787" s="121"/>
      <c r="C787" s="121"/>
      <c r="D787" s="121"/>
      <c r="E787" s="121"/>
      <c r="F787" s="121"/>
      <c r="G787" s="121"/>
      <c r="H787" s="121"/>
      <c r="I787" s="121"/>
      <c r="J787" s="121"/>
      <c r="K787" s="121"/>
      <c r="L787" s="121"/>
      <c r="M787" s="121"/>
      <c r="N787" s="121"/>
      <c r="O787" s="121"/>
      <c r="P787" s="121"/>
      <c r="Q787" s="121"/>
      <c r="R787" s="121"/>
      <c r="S787" s="121"/>
      <c r="T787" s="121"/>
      <c r="U787" s="121"/>
      <c r="V787" s="121"/>
      <c r="W787" s="121"/>
      <c r="X787" s="121"/>
      <c r="Y787" s="121"/>
      <c r="Z787" s="121"/>
    </row>
    <row r="788" customFormat="false" ht="15.75" hidden="false" customHeight="false" outlineLevel="0" collapsed="false">
      <c r="A788" s="121"/>
      <c r="B788" s="121"/>
      <c r="C788" s="121"/>
      <c r="D788" s="121"/>
      <c r="E788" s="121"/>
      <c r="F788" s="121"/>
      <c r="G788" s="121"/>
      <c r="H788" s="121"/>
      <c r="I788" s="121"/>
      <c r="J788" s="121"/>
      <c r="K788" s="121"/>
      <c r="L788" s="121"/>
      <c r="M788" s="121"/>
      <c r="N788" s="121"/>
      <c r="O788" s="121"/>
      <c r="P788" s="121"/>
      <c r="Q788" s="121"/>
      <c r="R788" s="121"/>
      <c r="S788" s="121"/>
      <c r="T788" s="121"/>
      <c r="U788" s="121"/>
      <c r="V788" s="121"/>
      <c r="W788" s="121"/>
      <c r="X788" s="121"/>
      <c r="Y788" s="121"/>
      <c r="Z788" s="121"/>
    </row>
    <row r="789" customFormat="false" ht="15.75" hidden="false" customHeight="false" outlineLevel="0" collapsed="false">
      <c r="A789" s="121"/>
      <c r="B789" s="121"/>
      <c r="C789" s="121"/>
      <c r="D789" s="121"/>
      <c r="E789" s="121"/>
      <c r="F789" s="121"/>
      <c r="G789" s="121"/>
      <c r="H789" s="121"/>
      <c r="I789" s="121"/>
      <c r="J789" s="121"/>
      <c r="K789" s="121"/>
      <c r="L789" s="121"/>
      <c r="M789" s="121"/>
      <c r="N789" s="121"/>
      <c r="O789" s="121"/>
      <c r="P789" s="121"/>
      <c r="Q789" s="121"/>
      <c r="R789" s="121"/>
      <c r="S789" s="121"/>
      <c r="T789" s="121"/>
      <c r="U789" s="121"/>
      <c r="V789" s="121"/>
      <c r="W789" s="121"/>
      <c r="X789" s="121"/>
      <c r="Y789" s="121"/>
      <c r="Z789" s="121"/>
    </row>
    <row r="790" customFormat="false" ht="15.75" hidden="false" customHeight="false" outlineLevel="0" collapsed="false">
      <c r="A790" s="121"/>
      <c r="B790" s="121"/>
      <c r="C790" s="121"/>
      <c r="D790" s="121"/>
      <c r="E790" s="121"/>
      <c r="F790" s="121"/>
      <c r="G790" s="121"/>
      <c r="H790" s="121"/>
      <c r="I790" s="121"/>
      <c r="J790" s="121"/>
      <c r="K790" s="121"/>
      <c r="L790" s="121"/>
      <c r="M790" s="121"/>
      <c r="N790" s="121"/>
      <c r="O790" s="121"/>
      <c r="P790" s="121"/>
      <c r="Q790" s="121"/>
      <c r="R790" s="121"/>
      <c r="S790" s="121"/>
      <c r="T790" s="121"/>
      <c r="U790" s="121"/>
      <c r="V790" s="121"/>
      <c r="W790" s="121"/>
      <c r="X790" s="121"/>
      <c r="Y790" s="121"/>
      <c r="Z790" s="121"/>
    </row>
    <row r="791" customFormat="false" ht="15.75" hidden="false" customHeight="false" outlineLevel="0" collapsed="false">
      <c r="A791" s="121"/>
      <c r="B791" s="121"/>
      <c r="C791" s="121"/>
      <c r="D791" s="121"/>
      <c r="E791" s="121"/>
      <c r="F791" s="121"/>
      <c r="G791" s="121"/>
      <c r="H791" s="121"/>
      <c r="I791" s="121"/>
      <c r="J791" s="121"/>
      <c r="K791" s="121"/>
      <c r="L791" s="121"/>
      <c r="M791" s="121"/>
      <c r="N791" s="121"/>
      <c r="O791" s="121"/>
      <c r="P791" s="121"/>
      <c r="Q791" s="121"/>
      <c r="R791" s="121"/>
      <c r="S791" s="121"/>
      <c r="T791" s="121"/>
      <c r="U791" s="121"/>
      <c r="V791" s="121"/>
      <c r="W791" s="121"/>
      <c r="X791" s="121"/>
      <c r="Y791" s="121"/>
      <c r="Z791" s="121"/>
    </row>
    <row r="792" customFormat="false" ht="15.75" hidden="false" customHeight="false" outlineLevel="0" collapsed="false">
      <c r="A792" s="121"/>
      <c r="B792" s="121"/>
      <c r="C792" s="121"/>
      <c r="D792" s="121"/>
      <c r="E792" s="121"/>
      <c r="F792" s="121"/>
      <c r="G792" s="121"/>
      <c r="H792" s="121"/>
      <c r="I792" s="121"/>
      <c r="J792" s="121"/>
      <c r="K792" s="121"/>
      <c r="L792" s="121"/>
      <c r="M792" s="121"/>
      <c r="N792" s="121"/>
      <c r="O792" s="121"/>
      <c r="P792" s="121"/>
      <c r="Q792" s="121"/>
      <c r="R792" s="121"/>
      <c r="S792" s="121"/>
      <c r="T792" s="121"/>
      <c r="U792" s="121"/>
      <c r="V792" s="121"/>
      <c r="W792" s="121"/>
      <c r="X792" s="121"/>
      <c r="Y792" s="121"/>
      <c r="Z792" s="121"/>
    </row>
    <row r="793" customFormat="false" ht="15.75" hidden="false" customHeight="false" outlineLevel="0" collapsed="false">
      <c r="A793" s="121"/>
      <c r="B793" s="121"/>
      <c r="C793" s="121"/>
      <c r="D793" s="121"/>
      <c r="E793" s="121"/>
      <c r="F793" s="121"/>
      <c r="G793" s="121"/>
      <c r="H793" s="121"/>
      <c r="I793" s="121"/>
      <c r="J793" s="121"/>
      <c r="K793" s="121"/>
      <c r="L793" s="121"/>
      <c r="M793" s="121"/>
      <c r="N793" s="121"/>
      <c r="O793" s="121"/>
      <c r="P793" s="121"/>
      <c r="Q793" s="121"/>
      <c r="R793" s="121"/>
      <c r="S793" s="121"/>
      <c r="T793" s="121"/>
      <c r="U793" s="121"/>
      <c r="V793" s="121"/>
      <c r="W793" s="121"/>
      <c r="X793" s="121"/>
      <c r="Y793" s="121"/>
      <c r="Z793" s="121"/>
    </row>
    <row r="794" customFormat="false" ht="15.75" hidden="false" customHeight="false" outlineLevel="0" collapsed="false">
      <c r="A794" s="121"/>
      <c r="B794" s="121"/>
      <c r="C794" s="121"/>
      <c r="D794" s="121"/>
      <c r="E794" s="121"/>
      <c r="F794" s="121"/>
      <c r="G794" s="121"/>
      <c r="H794" s="121"/>
      <c r="I794" s="121"/>
      <c r="J794" s="121"/>
      <c r="K794" s="121"/>
      <c r="L794" s="121"/>
      <c r="M794" s="121"/>
      <c r="N794" s="121"/>
      <c r="O794" s="121"/>
      <c r="P794" s="121"/>
      <c r="Q794" s="121"/>
      <c r="R794" s="121"/>
      <c r="S794" s="121"/>
      <c r="T794" s="121"/>
      <c r="U794" s="121"/>
      <c r="V794" s="121"/>
      <c r="W794" s="121"/>
      <c r="X794" s="121"/>
      <c r="Y794" s="121"/>
      <c r="Z794" s="121"/>
    </row>
    <row r="795" customFormat="false" ht="15.75" hidden="false" customHeight="false" outlineLevel="0" collapsed="false">
      <c r="A795" s="121"/>
      <c r="B795" s="121"/>
      <c r="C795" s="121"/>
      <c r="D795" s="121"/>
      <c r="E795" s="121"/>
      <c r="F795" s="121"/>
      <c r="G795" s="121"/>
      <c r="H795" s="121"/>
      <c r="I795" s="121"/>
      <c r="J795" s="121"/>
      <c r="K795" s="121"/>
      <c r="L795" s="121"/>
      <c r="M795" s="121"/>
      <c r="N795" s="121"/>
      <c r="O795" s="121"/>
      <c r="P795" s="121"/>
      <c r="Q795" s="121"/>
      <c r="R795" s="121"/>
      <c r="S795" s="121"/>
      <c r="T795" s="121"/>
      <c r="U795" s="121"/>
      <c r="V795" s="121"/>
      <c r="W795" s="121"/>
      <c r="X795" s="121"/>
      <c r="Y795" s="121"/>
      <c r="Z795" s="121"/>
    </row>
    <row r="796" customFormat="false" ht="15.75" hidden="false" customHeight="false" outlineLevel="0" collapsed="false">
      <c r="A796" s="121"/>
      <c r="B796" s="121"/>
      <c r="C796" s="121"/>
      <c r="D796" s="121"/>
      <c r="E796" s="121"/>
      <c r="F796" s="121"/>
      <c r="G796" s="121"/>
      <c r="H796" s="121"/>
      <c r="I796" s="121"/>
      <c r="J796" s="121"/>
      <c r="K796" s="121"/>
      <c r="L796" s="121"/>
      <c r="M796" s="121"/>
      <c r="N796" s="121"/>
      <c r="O796" s="121"/>
      <c r="P796" s="121"/>
      <c r="Q796" s="121"/>
      <c r="R796" s="121"/>
      <c r="S796" s="121"/>
      <c r="T796" s="121"/>
      <c r="U796" s="121"/>
      <c r="V796" s="121"/>
      <c r="W796" s="121"/>
      <c r="X796" s="121"/>
      <c r="Y796" s="121"/>
      <c r="Z796" s="121"/>
    </row>
    <row r="797" customFormat="false" ht="15.75" hidden="false" customHeight="false" outlineLevel="0" collapsed="false">
      <c r="A797" s="121"/>
      <c r="B797" s="121"/>
      <c r="C797" s="121"/>
      <c r="D797" s="121"/>
      <c r="E797" s="121"/>
      <c r="F797" s="121"/>
      <c r="G797" s="121"/>
      <c r="H797" s="121"/>
      <c r="I797" s="121"/>
      <c r="J797" s="121"/>
      <c r="K797" s="121"/>
      <c r="L797" s="121"/>
      <c r="M797" s="121"/>
      <c r="N797" s="121"/>
      <c r="O797" s="121"/>
      <c r="P797" s="121"/>
      <c r="Q797" s="121"/>
      <c r="R797" s="121"/>
      <c r="S797" s="121"/>
      <c r="T797" s="121"/>
      <c r="U797" s="121"/>
      <c r="V797" s="121"/>
      <c r="W797" s="121"/>
      <c r="X797" s="121"/>
      <c r="Y797" s="121"/>
      <c r="Z797" s="121"/>
    </row>
    <row r="798" customFormat="false" ht="15.75" hidden="false" customHeight="false" outlineLevel="0" collapsed="false">
      <c r="A798" s="121"/>
      <c r="B798" s="121"/>
      <c r="C798" s="121"/>
      <c r="D798" s="121"/>
      <c r="E798" s="121"/>
      <c r="F798" s="121"/>
      <c r="G798" s="121"/>
      <c r="H798" s="121"/>
      <c r="I798" s="121"/>
      <c r="J798" s="121"/>
      <c r="K798" s="121"/>
      <c r="L798" s="121"/>
      <c r="M798" s="121"/>
      <c r="N798" s="121"/>
      <c r="O798" s="121"/>
      <c r="P798" s="121"/>
      <c r="Q798" s="121"/>
      <c r="R798" s="121"/>
      <c r="S798" s="121"/>
      <c r="T798" s="121"/>
      <c r="U798" s="121"/>
      <c r="V798" s="121"/>
      <c r="W798" s="121"/>
      <c r="X798" s="121"/>
      <c r="Y798" s="121"/>
      <c r="Z798" s="121"/>
    </row>
    <row r="799" customFormat="false" ht="15.75" hidden="false" customHeight="false" outlineLevel="0" collapsed="false">
      <c r="A799" s="121"/>
      <c r="B799" s="121"/>
      <c r="C799" s="121"/>
      <c r="D799" s="121"/>
      <c r="E799" s="121"/>
      <c r="F799" s="121"/>
      <c r="G799" s="121"/>
      <c r="H799" s="121"/>
      <c r="I799" s="121"/>
      <c r="J799" s="121"/>
      <c r="K799" s="121"/>
      <c r="L799" s="121"/>
      <c r="M799" s="121"/>
      <c r="N799" s="121"/>
      <c r="O799" s="121"/>
      <c r="P799" s="121"/>
      <c r="Q799" s="121"/>
      <c r="R799" s="121"/>
      <c r="S799" s="121"/>
      <c r="T799" s="121"/>
      <c r="U799" s="121"/>
      <c r="V799" s="121"/>
      <c r="W799" s="121"/>
      <c r="X799" s="121"/>
      <c r="Y799" s="121"/>
      <c r="Z799" s="121"/>
    </row>
    <row r="800" customFormat="false" ht="15.75" hidden="false" customHeight="false" outlineLevel="0" collapsed="false">
      <c r="A800" s="121"/>
      <c r="B800" s="121"/>
      <c r="C800" s="121"/>
      <c r="D800" s="121"/>
      <c r="E800" s="121"/>
      <c r="F800" s="121"/>
      <c r="G800" s="121"/>
      <c r="H800" s="121"/>
      <c r="I800" s="121"/>
      <c r="J800" s="121"/>
      <c r="K800" s="121"/>
      <c r="L800" s="121"/>
      <c r="M800" s="121"/>
      <c r="N800" s="121"/>
      <c r="O800" s="121"/>
      <c r="P800" s="121"/>
      <c r="Q800" s="121"/>
      <c r="R800" s="121"/>
      <c r="S800" s="121"/>
      <c r="T800" s="121"/>
      <c r="U800" s="121"/>
      <c r="V800" s="121"/>
      <c r="W800" s="121"/>
      <c r="X800" s="121"/>
      <c r="Y800" s="121"/>
      <c r="Z800" s="121"/>
    </row>
    <row r="801" customFormat="false" ht="15.75" hidden="false" customHeight="false" outlineLevel="0" collapsed="false">
      <c r="A801" s="121"/>
      <c r="B801" s="121"/>
      <c r="C801" s="121"/>
      <c r="D801" s="121"/>
      <c r="E801" s="121"/>
      <c r="F801" s="121"/>
      <c r="G801" s="121"/>
      <c r="H801" s="121"/>
      <c r="I801" s="121"/>
      <c r="J801" s="121"/>
      <c r="K801" s="121"/>
      <c r="L801" s="121"/>
      <c r="M801" s="121"/>
      <c r="N801" s="121"/>
      <c r="O801" s="121"/>
      <c r="P801" s="121"/>
      <c r="Q801" s="121"/>
      <c r="R801" s="121"/>
      <c r="S801" s="121"/>
      <c r="T801" s="121"/>
      <c r="U801" s="121"/>
      <c r="V801" s="121"/>
      <c r="W801" s="121"/>
      <c r="X801" s="121"/>
      <c r="Y801" s="121"/>
      <c r="Z801" s="121"/>
    </row>
    <row r="802" customFormat="false" ht="15.75" hidden="false" customHeight="false" outlineLevel="0" collapsed="false">
      <c r="A802" s="121"/>
      <c r="B802" s="121"/>
      <c r="C802" s="121"/>
      <c r="D802" s="121"/>
      <c r="E802" s="121"/>
      <c r="F802" s="121"/>
      <c r="G802" s="121"/>
      <c r="H802" s="121"/>
      <c r="I802" s="121"/>
      <c r="J802" s="121"/>
      <c r="K802" s="121"/>
      <c r="L802" s="121"/>
      <c r="M802" s="121"/>
      <c r="N802" s="121"/>
      <c r="O802" s="121"/>
      <c r="P802" s="121"/>
      <c r="Q802" s="121"/>
      <c r="R802" s="121"/>
      <c r="S802" s="121"/>
      <c r="T802" s="121"/>
      <c r="U802" s="121"/>
      <c r="V802" s="121"/>
      <c r="W802" s="121"/>
      <c r="X802" s="121"/>
      <c r="Y802" s="121"/>
      <c r="Z802" s="121"/>
    </row>
    <row r="803" customFormat="false" ht="15.75" hidden="false" customHeight="false" outlineLevel="0" collapsed="false">
      <c r="A803" s="121"/>
      <c r="B803" s="121"/>
      <c r="C803" s="121"/>
      <c r="D803" s="121"/>
      <c r="E803" s="121"/>
      <c r="F803" s="121"/>
      <c r="G803" s="121"/>
      <c r="H803" s="121"/>
      <c r="I803" s="121"/>
      <c r="J803" s="121"/>
      <c r="K803" s="121"/>
      <c r="L803" s="121"/>
      <c r="M803" s="121"/>
      <c r="N803" s="121"/>
      <c r="O803" s="121"/>
      <c r="P803" s="121"/>
      <c r="Q803" s="121"/>
      <c r="R803" s="121"/>
      <c r="S803" s="121"/>
      <c r="T803" s="121"/>
      <c r="U803" s="121"/>
      <c r="V803" s="121"/>
      <c r="W803" s="121"/>
      <c r="X803" s="121"/>
      <c r="Y803" s="121"/>
      <c r="Z803" s="121"/>
    </row>
    <row r="804" customFormat="false" ht="15.75" hidden="false" customHeight="false" outlineLevel="0" collapsed="false">
      <c r="A804" s="121"/>
      <c r="B804" s="121"/>
      <c r="C804" s="121"/>
      <c r="D804" s="121"/>
      <c r="E804" s="121"/>
      <c r="F804" s="121"/>
      <c r="G804" s="121"/>
      <c r="H804" s="121"/>
      <c r="I804" s="121"/>
      <c r="J804" s="121"/>
      <c r="K804" s="121"/>
      <c r="L804" s="121"/>
      <c r="M804" s="121"/>
      <c r="N804" s="121"/>
      <c r="O804" s="121"/>
      <c r="P804" s="121"/>
      <c r="Q804" s="121"/>
      <c r="R804" s="121"/>
      <c r="S804" s="121"/>
      <c r="T804" s="121"/>
      <c r="U804" s="121"/>
      <c r="V804" s="121"/>
      <c r="W804" s="121"/>
      <c r="X804" s="121"/>
      <c r="Y804" s="121"/>
      <c r="Z804" s="121"/>
    </row>
    <row r="805" customFormat="false" ht="15.75" hidden="false" customHeight="false" outlineLevel="0" collapsed="false">
      <c r="A805" s="121"/>
      <c r="B805" s="121"/>
      <c r="C805" s="121"/>
      <c r="D805" s="121"/>
      <c r="E805" s="121"/>
      <c r="F805" s="121"/>
      <c r="G805" s="121"/>
      <c r="H805" s="121"/>
      <c r="I805" s="121"/>
      <c r="J805" s="121"/>
      <c r="K805" s="121"/>
      <c r="L805" s="121"/>
      <c r="M805" s="121"/>
      <c r="N805" s="121"/>
      <c r="O805" s="121"/>
      <c r="P805" s="121"/>
      <c r="Q805" s="121"/>
      <c r="R805" s="121"/>
      <c r="S805" s="121"/>
      <c r="T805" s="121"/>
      <c r="U805" s="121"/>
      <c r="V805" s="121"/>
      <c r="W805" s="121"/>
      <c r="X805" s="121"/>
      <c r="Y805" s="121"/>
      <c r="Z805" s="121"/>
    </row>
    <row r="806" customFormat="false" ht="15.75" hidden="false" customHeight="false" outlineLevel="0" collapsed="false">
      <c r="A806" s="121"/>
      <c r="B806" s="121"/>
      <c r="C806" s="121"/>
      <c r="D806" s="121"/>
      <c r="E806" s="121"/>
      <c r="F806" s="121"/>
      <c r="G806" s="121"/>
      <c r="H806" s="121"/>
      <c r="I806" s="121"/>
      <c r="J806" s="121"/>
      <c r="K806" s="121"/>
      <c r="L806" s="121"/>
      <c r="M806" s="121"/>
      <c r="N806" s="121"/>
      <c r="O806" s="121"/>
      <c r="P806" s="121"/>
      <c r="Q806" s="121"/>
      <c r="R806" s="121"/>
      <c r="S806" s="121"/>
      <c r="T806" s="121"/>
      <c r="U806" s="121"/>
      <c r="V806" s="121"/>
      <c r="W806" s="121"/>
      <c r="X806" s="121"/>
      <c r="Y806" s="121"/>
      <c r="Z806" s="121"/>
    </row>
    <row r="807" customFormat="false" ht="15.75" hidden="false" customHeight="false" outlineLevel="0" collapsed="false">
      <c r="A807" s="121"/>
      <c r="B807" s="121"/>
      <c r="C807" s="121"/>
      <c r="D807" s="121"/>
      <c r="E807" s="121"/>
      <c r="F807" s="121"/>
      <c r="G807" s="121"/>
      <c r="H807" s="121"/>
      <c r="I807" s="121"/>
      <c r="J807" s="121"/>
      <c r="K807" s="121"/>
      <c r="L807" s="121"/>
      <c r="M807" s="121"/>
      <c r="N807" s="121"/>
      <c r="O807" s="121"/>
      <c r="P807" s="121"/>
      <c r="Q807" s="121"/>
      <c r="R807" s="121"/>
      <c r="S807" s="121"/>
      <c r="T807" s="121"/>
      <c r="U807" s="121"/>
      <c r="V807" s="121"/>
      <c r="W807" s="121"/>
      <c r="X807" s="121"/>
      <c r="Y807" s="121"/>
      <c r="Z807" s="121"/>
    </row>
    <row r="808" customFormat="false" ht="15.75" hidden="false" customHeight="false" outlineLevel="0" collapsed="false">
      <c r="A808" s="121"/>
      <c r="B808" s="121"/>
      <c r="C808" s="121"/>
      <c r="D808" s="121"/>
      <c r="E808" s="121"/>
      <c r="F808" s="121"/>
      <c r="G808" s="121"/>
      <c r="H808" s="121"/>
      <c r="I808" s="121"/>
      <c r="J808" s="121"/>
      <c r="K808" s="121"/>
      <c r="L808" s="121"/>
      <c r="M808" s="121"/>
      <c r="N808" s="121"/>
      <c r="O808" s="121"/>
      <c r="P808" s="121"/>
      <c r="Q808" s="121"/>
      <c r="R808" s="121"/>
      <c r="S808" s="121"/>
      <c r="T808" s="121"/>
      <c r="U808" s="121"/>
      <c r="V808" s="121"/>
      <c r="W808" s="121"/>
      <c r="X808" s="121"/>
      <c r="Y808" s="121"/>
      <c r="Z808" s="121"/>
    </row>
    <row r="809" customFormat="false" ht="15.75" hidden="false" customHeight="false" outlineLevel="0" collapsed="false">
      <c r="A809" s="121"/>
      <c r="B809" s="121"/>
      <c r="C809" s="121"/>
      <c r="D809" s="121"/>
      <c r="E809" s="121"/>
      <c r="F809" s="121"/>
      <c r="G809" s="121"/>
      <c r="H809" s="121"/>
      <c r="I809" s="121"/>
      <c r="J809" s="121"/>
      <c r="K809" s="121"/>
      <c r="L809" s="121"/>
      <c r="M809" s="121"/>
      <c r="N809" s="121"/>
      <c r="O809" s="121"/>
      <c r="P809" s="121"/>
      <c r="Q809" s="121"/>
      <c r="R809" s="121"/>
      <c r="S809" s="121"/>
      <c r="T809" s="121"/>
      <c r="U809" s="121"/>
      <c r="V809" s="121"/>
      <c r="W809" s="121"/>
      <c r="X809" s="121"/>
      <c r="Y809" s="121"/>
      <c r="Z809" s="121"/>
    </row>
    <row r="810" customFormat="false" ht="15.75" hidden="false" customHeight="false" outlineLevel="0" collapsed="false">
      <c r="A810" s="121"/>
      <c r="B810" s="121"/>
      <c r="C810" s="121"/>
      <c r="D810" s="121"/>
      <c r="E810" s="121"/>
      <c r="F810" s="121"/>
      <c r="G810" s="121"/>
      <c r="H810" s="121"/>
      <c r="I810" s="121"/>
      <c r="J810" s="121"/>
      <c r="K810" s="121"/>
      <c r="L810" s="121"/>
      <c r="M810" s="121"/>
      <c r="N810" s="121"/>
      <c r="O810" s="121"/>
      <c r="P810" s="121"/>
      <c r="Q810" s="121"/>
      <c r="R810" s="121"/>
      <c r="S810" s="121"/>
      <c r="T810" s="121"/>
      <c r="U810" s="121"/>
      <c r="V810" s="121"/>
      <c r="W810" s="121"/>
      <c r="X810" s="121"/>
      <c r="Y810" s="121"/>
      <c r="Z810" s="121"/>
    </row>
    <row r="811" customFormat="false" ht="15.75" hidden="false" customHeight="false" outlineLevel="0" collapsed="false">
      <c r="A811" s="121"/>
      <c r="B811" s="121"/>
      <c r="C811" s="121"/>
      <c r="D811" s="121"/>
      <c r="E811" s="121"/>
      <c r="F811" s="121"/>
      <c r="G811" s="121"/>
      <c r="H811" s="121"/>
      <c r="I811" s="121"/>
      <c r="J811" s="121"/>
      <c r="K811" s="121"/>
      <c r="L811" s="121"/>
      <c r="M811" s="121"/>
      <c r="N811" s="121"/>
      <c r="O811" s="121"/>
      <c r="P811" s="121"/>
      <c r="Q811" s="121"/>
      <c r="R811" s="121"/>
      <c r="S811" s="121"/>
      <c r="T811" s="121"/>
      <c r="U811" s="121"/>
      <c r="V811" s="121"/>
      <c r="W811" s="121"/>
      <c r="X811" s="121"/>
      <c r="Y811" s="121"/>
      <c r="Z811" s="121"/>
    </row>
    <row r="812" customFormat="false" ht="15.75" hidden="false" customHeight="false" outlineLevel="0" collapsed="false">
      <c r="A812" s="121"/>
      <c r="B812" s="121"/>
      <c r="C812" s="121"/>
      <c r="D812" s="121"/>
      <c r="E812" s="121"/>
      <c r="F812" s="121"/>
      <c r="G812" s="121"/>
      <c r="H812" s="121"/>
      <c r="I812" s="121"/>
      <c r="J812" s="121"/>
      <c r="K812" s="121"/>
      <c r="L812" s="121"/>
      <c r="M812" s="121"/>
      <c r="N812" s="121"/>
      <c r="O812" s="121"/>
      <c r="P812" s="121"/>
      <c r="Q812" s="121"/>
      <c r="R812" s="121"/>
      <c r="S812" s="121"/>
      <c r="T812" s="121"/>
      <c r="U812" s="121"/>
      <c r="V812" s="121"/>
      <c r="W812" s="121"/>
      <c r="X812" s="121"/>
      <c r="Y812" s="121"/>
      <c r="Z812" s="121"/>
    </row>
    <row r="813" customFormat="false" ht="15.75" hidden="false" customHeight="false" outlineLevel="0" collapsed="false">
      <c r="A813" s="121"/>
      <c r="B813" s="121"/>
      <c r="C813" s="121"/>
      <c r="D813" s="121"/>
      <c r="E813" s="121"/>
      <c r="F813" s="121"/>
      <c r="G813" s="121"/>
      <c r="H813" s="121"/>
      <c r="I813" s="121"/>
      <c r="J813" s="121"/>
      <c r="K813" s="121"/>
      <c r="L813" s="121"/>
      <c r="M813" s="121"/>
      <c r="N813" s="121"/>
      <c r="O813" s="121"/>
      <c r="P813" s="121"/>
      <c r="Q813" s="121"/>
      <c r="R813" s="121"/>
      <c r="S813" s="121"/>
      <c r="T813" s="121"/>
      <c r="U813" s="121"/>
      <c r="V813" s="121"/>
      <c r="W813" s="121"/>
      <c r="X813" s="121"/>
      <c r="Y813" s="121"/>
      <c r="Z813" s="121"/>
    </row>
    <row r="814" customFormat="false" ht="15.75" hidden="false" customHeight="false" outlineLevel="0" collapsed="false">
      <c r="A814" s="121"/>
      <c r="B814" s="121"/>
      <c r="C814" s="121"/>
      <c r="D814" s="121"/>
      <c r="E814" s="121"/>
      <c r="F814" s="121"/>
      <c r="G814" s="121"/>
      <c r="H814" s="121"/>
      <c r="I814" s="121"/>
      <c r="J814" s="121"/>
      <c r="K814" s="121"/>
      <c r="L814" s="121"/>
      <c r="M814" s="121"/>
      <c r="N814" s="121"/>
      <c r="O814" s="121"/>
      <c r="P814" s="121"/>
      <c r="Q814" s="121"/>
      <c r="R814" s="121"/>
      <c r="S814" s="121"/>
      <c r="T814" s="121"/>
      <c r="U814" s="121"/>
      <c r="V814" s="121"/>
      <c r="W814" s="121"/>
      <c r="X814" s="121"/>
      <c r="Y814" s="121"/>
      <c r="Z814" s="121"/>
    </row>
    <row r="815" customFormat="false" ht="15.75" hidden="false" customHeight="false" outlineLevel="0" collapsed="false">
      <c r="A815" s="121"/>
      <c r="B815" s="121"/>
      <c r="C815" s="121"/>
      <c r="D815" s="121"/>
      <c r="E815" s="121"/>
      <c r="F815" s="121"/>
      <c r="G815" s="121"/>
      <c r="H815" s="121"/>
      <c r="I815" s="121"/>
      <c r="J815" s="121"/>
      <c r="K815" s="121"/>
      <c r="L815" s="121"/>
      <c r="M815" s="121"/>
      <c r="N815" s="121"/>
      <c r="O815" s="121"/>
      <c r="P815" s="121"/>
      <c r="Q815" s="121"/>
      <c r="R815" s="121"/>
      <c r="S815" s="121"/>
      <c r="T815" s="121"/>
      <c r="U815" s="121"/>
      <c r="V815" s="121"/>
      <c r="W815" s="121"/>
      <c r="X815" s="121"/>
      <c r="Y815" s="121"/>
      <c r="Z815" s="121"/>
    </row>
    <row r="816" customFormat="false" ht="15.75" hidden="false" customHeight="false" outlineLevel="0" collapsed="false">
      <c r="A816" s="121"/>
      <c r="B816" s="121"/>
      <c r="C816" s="121"/>
      <c r="D816" s="121"/>
      <c r="E816" s="121"/>
      <c r="F816" s="121"/>
      <c r="G816" s="121"/>
      <c r="H816" s="121"/>
      <c r="I816" s="121"/>
      <c r="J816" s="121"/>
      <c r="K816" s="121"/>
      <c r="L816" s="121"/>
      <c r="M816" s="121"/>
      <c r="N816" s="121"/>
      <c r="O816" s="121"/>
      <c r="P816" s="121"/>
      <c r="Q816" s="121"/>
      <c r="R816" s="121"/>
      <c r="S816" s="121"/>
      <c r="T816" s="121"/>
      <c r="U816" s="121"/>
      <c r="V816" s="121"/>
      <c r="W816" s="121"/>
      <c r="X816" s="121"/>
      <c r="Y816" s="121"/>
      <c r="Z816" s="121"/>
    </row>
    <row r="817" customFormat="false" ht="15.75" hidden="false" customHeight="false" outlineLevel="0" collapsed="false">
      <c r="A817" s="121"/>
      <c r="B817" s="121"/>
      <c r="C817" s="121"/>
      <c r="D817" s="121"/>
      <c r="E817" s="121"/>
      <c r="F817" s="121"/>
      <c r="G817" s="121"/>
      <c r="H817" s="121"/>
      <c r="I817" s="121"/>
      <c r="J817" s="121"/>
      <c r="K817" s="121"/>
      <c r="L817" s="121"/>
      <c r="M817" s="121"/>
      <c r="N817" s="121"/>
      <c r="O817" s="121"/>
      <c r="P817" s="121"/>
      <c r="Q817" s="121"/>
      <c r="R817" s="121"/>
      <c r="S817" s="121"/>
      <c r="T817" s="121"/>
      <c r="U817" s="121"/>
      <c r="V817" s="121"/>
      <c r="W817" s="121"/>
      <c r="X817" s="121"/>
      <c r="Y817" s="121"/>
      <c r="Z817" s="121"/>
    </row>
    <row r="818" customFormat="false" ht="15.75" hidden="false" customHeight="false" outlineLevel="0" collapsed="false">
      <c r="A818" s="121"/>
      <c r="B818" s="121"/>
      <c r="C818" s="121"/>
      <c r="D818" s="121"/>
      <c r="E818" s="121"/>
      <c r="F818" s="121"/>
      <c r="G818" s="121"/>
      <c r="H818" s="121"/>
      <c r="I818" s="121"/>
      <c r="J818" s="121"/>
      <c r="K818" s="121"/>
      <c r="L818" s="121"/>
      <c r="M818" s="121"/>
      <c r="N818" s="121"/>
      <c r="O818" s="121"/>
      <c r="P818" s="121"/>
      <c r="Q818" s="121"/>
      <c r="R818" s="121"/>
      <c r="S818" s="121"/>
      <c r="T818" s="121"/>
      <c r="U818" s="121"/>
      <c r="V818" s="121"/>
      <c r="W818" s="121"/>
      <c r="X818" s="121"/>
      <c r="Y818" s="121"/>
      <c r="Z818" s="121"/>
    </row>
    <row r="819" customFormat="false" ht="15.75" hidden="false" customHeight="false" outlineLevel="0" collapsed="false">
      <c r="A819" s="121"/>
      <c r="B819" s="121"/>
      <c r="C819" s="121"/>
      <c r="D819" s="121"/>
      <c r="E819" s="121"/>
      <c r="F819" s="121"/>
      <c r="G819" s="121"/>
      <c r="H819" s="121"/>
      <c r="I819" s="121"/>
      <c r="J819" s="121"/>
      <c r="K819" s="121"/>
      <c r="L819" s="121"/>
      <c r="M819" s="121"/>
      <c r="N819" s="121"/>
      <c r="O819" s="121"/>
      <c r="P819" s="121"/>
      <c r="Q819" s="121"/>
      <c r="R819" s="121"/>
      <c r="S819" s="121"/>
      <c r="T819" s="121"/>
      <c r="U819" s="121"/>
      <c r="V819" s="121"/>
      <c r="W819" s="121"/>
      <c r="X819" s="121"/>
      <c r="Y819" s="121"/>
      <c r="Z819" s="121"/>
    </row>
    <row r="820" customFormat="false" ht="15.75" hidden="false" customHeight="false" outlineLevel="0" collapsed="false">
      <c r="A820" s="121"/>
      <c r="B820" s="121"/>
      <c r="C820" s="121"/>
      <c r="D820" s="121"/>
      <c r="E820" s="121"/>
      <c r="F820" s="121"/>
      <c r="G820" s="121"/>
      <c r="H820" s="121"/>
      <c r="I820" s="121"/>
      <c r="J820" s="121"/>
      <c r="K820" s="121"/>
      <c r="L820" s="121"/>
      <c r="M820" s="121"/>
      <c r="N820" s="121"/>
      <c r="O820" s="121"/>
      <c r="P820" s="121"/>
      <c r="Q820" s="121"/>
      <c r="R820" s="121"/>
      <c r="S820" s="121"/>
      <c r="T820" s="121"/>
      <c r="U820" s="121"/>
      <c r="V820" s="121"/>
      <c r="W820" s="121"/>
      <c r="X820" s="121"/>
      <c r="Y820" s="121"/>
      <c r="Z820" s="121"/>
    </row>
    <row r="821" customFormat="false" ht="15.75" hidden="false" customHeight="false" outlineLevel="0" collapsed="false">
      <c r="A821" s="121"/>
      <c r="B821" s="121"/>
      <c r="C821" s="121"/>
      <c r="D821" s="121"/>
      <c r="E821" s="121"/>
      <c r="F821" s="121"/>
      <c r="G821" s="121"/>
      <c r="H821" s="121"/>
      <c r="I821" s="121"/>
      <c r="J821" s="121"/>
      <c r="K821" s="121"/>
      <c r="L821" s="121"/>
      <c r="M821" s="121"/>
      <c r="N821" s="121"/>
      <c r="O821" s="121"/>
      <c r="P821" s="121"/>
      <c r="Q821" s="121"/>
      <c r="R821" s="121"/>
      <c r="S821" s="121"/>
      <c r="T821" s="121"/>
      <c r="U821" s="121"/>
      <c r="V821" s="121"/>
      <c r="W821" s="121"/>
      <c r="X821" s="121"/>
      <c r="Y821" s="121"/>
      <c r="Z821" s="121"/>
    </row>
    <row r="822" customFormat="false" ht="15.75" hidden="false" customHeight="false" outlineLevel="0" collapsed="false">
      <c r="A822" s="121"/>
      <c r="B822" s="121"/>
      <c r="C822" s="121"/>
      <c r="D822" s="121"/>
      <c r="E822" s="121"/>
      <c r="F822" s="121"/>
      <c r="G822" s="121"/>
      <c r="H822" s="121"/>
      <c r="I822" s="121"/>
      <c r="J822" s="121"/>
      <c r="K822" s="121"/>
      <c r="L822" s="121"/>
      <c r="M822" s="121"/>
      <c r="N822" s="121"/>
      <c r="O822" s="121"/>
      <c r="P822" s="121"/>
      <c r="Q822" s="121"/>
      <c r="R822" s="121"/>
      <c r="S822" s="121"/>
      <c r="T822" s="121"/>
      <c r="U822" s="121"/>
      <c r="V822" s="121"/>
      <c r="W822" s="121"/>
      <c r="X822" s="121"/>
      <c r="Y822" s="121"/>
      <c r="Z822" s="121"/>
    </row>
    <row r="823" customFormat="false" ht="15.75" hidden="false" customHeight="false" outlineLevel="0" collapsed="false">
      <c r="A823" s="121"/>
      <c r="B823" s="121"/>
      <c r="C823" s="121"/>
      <c r="D823" s="121"/>
      <c r="E823" s="121"/>
      <c r="F823" s="121"/>
      <c r="G823" s="121"/>
      <c r="H823" s="121"/>
      <c r="I823" s="121"/>
      <c r="J823" s="121"/>
      <c r="K823" s="121"/>
      <c r="L823" s="121"/>
      <c r="M823" s="121"/>
      <c r="N823" s="121"/>
      <c r="O823" s="121"/>
      <c r="P823" s="121"/>
      <c r="Q823" s="121"/>
      <c r="R823" s="121"/>
      <c r="S823" s="121"/>
      <c r="T823" s="121"/>
      <c r="U823" s="121"/>
      <c r="V823" s="121"/>
      <c r="W823" s="121"/>
      <c r="X823" s="121"/>
      <c r="Y823" s="121"/>
      <c r="Z823" s="121"/>
    </row>
    <row r="824" customFormat="false" ht="15.75" hidden="false" customHeight="false" outlineLevel="0" collapsed="false">
      <c r="A824" s="121"/>
      <c r="B824" s="121"/>
      <c r="C824" s="121"/>
      <c r="D824" s="121"/>
      <c r="E824" s="121"/>
      <c r="F824" s="121"/>
      <c r="G824" s="121"/>
      <c r="H824" s="121"/>
      <c r="I824" s="121"/>
      <c r="J824" s="121"/>
      <c r="K824" s="121"/>
      <c r="L824" s="121"/>
      <c r="M824" s="121"/>
      <c r="N824" s="121"/>
      <c r="O824" s="121"/>
      <c r="P824" s="121"/>
      <c r="Q824" s="121"/>
      <c r="R824" s="121"/>
      <c r="S824" s="121"/>
      <c r="T824" s="121"/>
      <c r="U824" s="121"/>
      <c r="V824" s="121"/>
      <c r="W824" s="121"/>
      <c r="X824" s="121"/>
      <c r="Y824" s="121"/>
      <c r="Z824" s="121"/>
    </row>
    <row r="825" customFormat="false" ht="15.75" hidden="false" customHeight="false" outlineLevel="0" collapsed="false">
      <c r="A825" s="121"/>
      <c r="B825" s="121"/>
      <c r="C825" s="121"/>
      <c r="D825" s="121"/>
      <c r="E825" s="121"/>
      <c r="F825" s="121"/>
      <c r="G825" s="121"/>
      <c r="H825" s="121"/>
      <c r="I825" s="121"/>
      <c r="J825" s="121"/>
      <c r="K825" s="121"/>
      <c r="L825" s="121"/>
      <c r="M825" s="121"/>
      <c r="N825" s="121"/>
      <c r="O825" s="121"/>
      <c r="P825" s="121"/>
      <c r="Q825" s="121"/>
      <c r="R825" s="121"/>
      <c r="S825" s="121"/>
      <c r="T825" s="121"/>
      <c r="U825" s="121"/>
      <c r="V825" s="121"/>
      <c r="W825" s="121"/>
      <c r="X825" s="121"/>
      <c r="Y825" s="121"/>
      <c r="Z825" s="121"/>
    </row>
    <row r="826" customFormat="false" ht="15.75" hidden="false" customHeight="false" outlineLevel="0" collapsed="false">
      <c r="A826" s="121"/>
      <c r="B826" s="121"/>
      <c r="C826" s="121"/>
      <c r="D826" s="121"/>
      <c r="E826" s="121"/>
      <c r="F826" s="121"/>
      <c r="G826" s="121"/>
      <c r="H826" s="121"/>
      <c r="I826" s="121"/>
      <c r="J826" s="121"/>
      <c r="K826" s="121"/>
      <c r="L826" s="121"/>
      <c r="M826" s="121"/>
      <c r="N826" s="121"/>
      <c r="O826" s="121"/>
      <c r="P826" s="121"/>
      <c r="Q826" s="121"/>
      <c r="R826" s="121"/>
      <c r="S826" s="121"/>
      <c r="T826" s="121"/>
      <c r="U826" s="121"/>
      <c r="V826" s="121"/>
      <c r="W826" s="121"/>
      <c r="X826" s="121"/>
      <c r="Y826" s="121"/>
      <c r="Z826" s="121"/>
    </row>
    <row r="827" customFormat="false" ht="15.75" hidden="false" customHeight="false" outlineLevel="0" collapsed="false">
      <c r="A827" s="121"/>
      <c r="B827" s="121"/>
      <c r="C827" s="121"/>
      <c r="D827" s="121"/>
      <c r="E827" s="121"/>
      <c r="F827" s="121"/>
      <c r="G827" s="121"/>
      <c r="H827" s="121"/>
      <c r="I827" s="121"/>
      <c r="J827" s="121"/>
      <c r="K827" s="121"/>
      <c r="L827" s="121"/>
      <c r="M827" s="121"/>
      <c r="N827" s="121"/>
      <c r="O827" s="121"/>
      <c r="P827" s="121"/>
      <c r="Q827" s="121"/>
      <c r="R827" s="121"/>
      <c r="S827" s="121"/>
      <c r="T827" s="121"/>
      <c r="U827" s="121"/>
      <c r="V827" s="121"/>
      <c r="W827" s="121"/>
      <c r="X827" s="121"/>
      <c r="Y827" s="121"/>
      <c r="Z827" s="121"/>
    </row>
    <row r="828" customFormat="false" ht="15.75" hidden="false" customHeight="false" outlineLevel="0" collapsed="false">
      <c r="A828" s="121"/>
      <c r="B828" s="121"/>
      <c r="C828" s="121"/>
      <c r="D828" s="121"/>
      <c r="E828" s="121"/>
      <c r="F828" s="121"/>
      <c r="G828" s="121"/>
      <c r="H828" s="121"/>
      <c r="I828" s="121"/>
      <c r="J828" s="121"/>
      <c r="K828" s="121"/>
      <c r="L828" s="121"/>
      <c r="M828" s="121"/>
      <c r="N828" s="121"/>
      <c r="O828" s="121"/>
      <c r="P828" s="121"/>
      <c r="Q828" s="121"/>
      <c r="R828" s="121"/>
      <c r="S828" s="121"/>
      <c r="T828" s="121"/>
      <c r="U828" s="121"/>
      <c r="V828" s="121"/>
      <c r="W828" s="121"/>
      <c r="X828" s="121"/>
      <c r="Y828" s="121"/>
      <c r="Z828" s="121"/>
    </row>
    <row r="829" customFormat="false" ht="15.75" hidden="false" customHeight="false" outlineLevel="0" collapsed="false">
      <c r="A829" s="121"/>
      <c r="B829" s="121"/>
      <c r="C829" s="121"/>
      <c r="D829" s="121"/>
      <c r="E829" s="121"/>
      <c r="F829" s="121"/>
      <c r="G829" s="121"/>
      <c r="H829" s="121"/>
      <c r="I829" s="121"/>
      <c r="J829" s="121"/>
      <c r="K829" s="121"/>
      <c r="L829" s="121"/>
      <c r="M829" s="121"/>
      <c r="N829" s="121"/>
      <c r="O829" s="121"/>
      <c r="P829" s="121"/>
      <c r="Q829" s="121"/>
      <c r="R829" s="121"/>
      <c r="S829" s="121"/>
      <c r="T829" s="121"/>
      <c r="U829" s="121"/>
      <c r="V829" s="121"/>
      <c r="W829" s="121"/>
      <c r="X829" s="121"/>
      <c r="Y829" s="121"/>
      <c r="Z829" s="121"/>
    </row>
    <row r="830" customFormat="false" ht="15.75" hidden="false" customHeight="false" outlineLevel="0" collapsed="false">
      <c r="A830" s="121"/>
      <c r="B830" s="121"/>
      <c r="C830" s="121"/>
      <c r="D830" s="121"/>
      <c r="E830" s="121"/>
      <c r="F830" s="121"/>
      <c r="G830" s="121"/>
      <c r="H830" s="121"/>
      <c r="I830" s="121"/>
      <c r="J830" s="121"/>
      <c r="K830" s="121"/>
      <c r="L830" s="121"/>
      <c r="M830" s="121"/>
      <c r="N830" s="121"/>
      <c r="O830" s="121"/>
      <c r="P830" s="121"/>
      <c r="Q830" s="121"/>
      <c r="R830" s="121"/>
      <c r="S830" s="121"/>
      <c r="T830" s="121"/>
      <c r="U830" s="121"/>
      <c r="V830" s="121"/>
      <c r="W830" s="121"/>
      <c r="X830" s="121"/>
      <c r="Y830" s="121"/>
      <c r="Z830" s="121"/>
    </row>
    <row r="831" customFormat="false" ht="15.75" hidden="false" customHeight="false" outlineLevel="0" collapsed="false">
      <c r="A831" s="121"/>
      <c r="B831" s="121"/>
      <c r="C831" s="121"/>
      <c r="D831" s="121"/>
      <c r="E831" s="121"/>
      <c r="F831" s="121"/>
      <c r="G831" s="121"/>
      <c r="H831" s="121"/>
      <c r="I831" s="121"/>
      <c r="J831" s="121"/>
      <c r="K831" s="121"/>
      <c r="L831" s="121"/>
      <c r="M831" s="121"/>
      <c r="N831" s="121"/>
      <c r="O831" s="121"/>
      <c r="P831" s="121"/>
      <c r="Q831" s="121"/>
      <c r="R831" s="121"/>
      <c r="S831" s="121"/>
      <c r="T831" s="121"/>
      <c r="U831" s="121"/>
      <c r="V831" s="121"/>
      <c r="W831" s="121"/>
      <c r="X831" s="121"/>
      <c r="Y831" s="121"/>
      <c r="Z831" s="121"/>
    </row>
    <row r="832" customFormat="false" ht="15.75" hidden="false" customHeight="false" outlineLevel="0" collapsed="false">
      <c r="A832" s="121"/>
      <c r="B832" s="121"/>
      <c r="C832" s="121"/>
      <c r="D832" s="121"/>
      <c r="E832" s="121"/>
      <c r="F832" s="121"/>
      <c r="G832" s="121"/>
      <c r="H832" s="121"/>
      <c r="I832" s="121"/>
      <c r="J832" s="121"/>
      <c r="K832" s="121"/>
      <c r="L832" s="121"/>
      <c r="M832" s="121"/>
      <c r="N832" s="121"/>
      <c r="O832" s="121"/>
      <c r="P832" s="121"/>
      <c r="Q832" s="121"/>
      <c r="R832" s="121"/>
      <c r="S832" s="121"/>
      <c r="T832" s="121"/>
      <c r="U832" s="121"/>
      <c r="V832" s="121"/>
      <c r="W832" s="121"/>
      <c r="X832" s="121"/>
      <c r="Y832" s="121"/>
      <c r="Z832" s="121"/>
    </row>
    <row r="833" customFormat="false" ht="15.75" hidden="false" customHeight="false" outlineLevel="0" collapsed="false">
      <c r="A833" s="121"/>
      <c r="B833" s="121"/>
      <c r="C833" s="121"/>
      <c r="D833" s="121"/>
      <c r="E833" s="121"/>
      <c r="F833" s="121"/>
      <c r="G833" s="121"/>
      <c r="H833" s="121"/>
      <c r="I833" s="121"/>
      <c r="J833" s="121"/>
      <c r="K833" s="121"/>
      <c r="L833" s="121"/>
      <c r="M833" s="121"/>
      <c r="N833" s="121"/>
      <c r="O833" s="121"/>
      <c r="P833" s="121"/>
      <c r="Q833" s="121"/>
      <c r="R833" s="121"/>
      <c r="S833" s="121"/>
      <c r="T833" s="121"/>
      <c r="U833" s="121"/>
      <c r="V833" s="121"/>
      <c r="W833" s="121"/>
      <c r="X833" s="121"/>
      <c r="Y833" s="121"/>
      <c r="Z833" s="121"/>
    </row>
    <row r="834" customFormat="false" ht="15.75" hidden="false" customHeight="false" outlineLevel="0" collapsed="false">
      <c r="A834" s="121"/>
      <c r="B834" s="121"/>
      <c r="C834" s="121"/>
      <c r="D834" s="121"/>
      <c r="E834" s="121"/>
      <c r="F834" s="121"/>
      <c r="G834" s="121"/>
      <c r="H834" s="121"/>
      <c r="I834" s="121"/>
      <c r="J834" s="121"/>
      <c r="K834" s="121"/>
      <c r="L834" s="121"/>
      <c r="M834" s="121"/>
      <c r="N834" s="121"/>
      <c r="O834" s="121"/>
      <c r="P834" s="121"/>
      <c r="Q834" s="121"/>
      <c r="R834" s="121"/>
      <c r="S834" s="121"/>
      <c r="T834" s="121"/>
      <c r="U834" s="121"/>
      <c r="V834" s="121"/>
      <c r="W834" s="121"/>
      <c r="X834" s="121"/>
      <c r="Y834" s="121"/>
      <c r="Z834" s="121"/>
    </row>
    <row r="835" customFormat="false" ht="15.75" hidden="false" customHeight="false" outlineLevel="0" collapsed="false">
      <c r="A835" s="121"/>
      <c r="B835" s="121"/>
      <c r="C835" s="121"/>
      <c r="D835" s="121"/>
      <c r="E835" s="121"/>
      <c r="F835" s="121"/>
      <c r="G835" s="121"/>
      <c r="H835" s="121"/>
      <c r="I835" s="121"/>
      <c r="J835" s="121"/>
      <c r="K835" s="121"/>
      <c r="L835" s="121"/>
      <c r="M835" s="121"/>
      <c r="N835" s="121"/>
      <c r="O835" s="121"/>
      <c r="P835" s="121"/>
      <c r="Q835" s="121"/>
      <c r="R835" s="121"/>
      <c r="S835" s="121"/>
      <c r="T835" s="121"/>
      <c r="U835" s="121"/>
      <c r="V835" s="121"/>
      <c r="W835" s="121"/>
      <c r="X835" s="121"/>
      <c r="Y835" s="121"/>
      <c r="Z835" s="121"/>
    </row>
    <row r="836" customFormat="false" ht="15.75" hidden="false" customHeight="false" outlineLevel="0" collapsed="false">
      <c r="A836" s="121"/>
      <c r="B836" s="121"/>
      <c r="C836" s="121"/>
      <c r="D836" s="121"/>
      <c r="E836" s="121"/>
      <c r="F836" s="121"/>
      <c r="G836" s="121"/>
      <c r="H836" s="121"/>
      <c r="I836" s="121"/>
      <c r="J836" s="121"/>
      <c r="K836" s="121"/>
      <c r="L836" s="121"/>
      <c r="M836" s="121"/>
      <c r="N836" s="121"/>
      <c r="O836" s="121"/>
      <c r="P836" s="121"/>
      <c r="Q836" s="121"/>
      <c r="R836" s="121"/>
      <c r="S836" s="121"/>
      <c r="T836" s="121"/>
      <c r="U836" s="121"/>
      <c r="V836" s="121"/>
      <c r="W836" s="121"/>
      <c r="X836" s="121"/>
      <c r="Y836" s="121"/>
      <c r="Z836" s="121"/>
    </row>
    <row r="837" customFormat="false" ht="15.75" hidden="false" customHeight="false" outlineLevel="0" collapsed="false">
      <c r="A837" s="121"/>
      <c r="B837" s="121"/>
      <c r="C837" s="121"/>
      <c r="D837" s="121"/>
      <c r="E837" s="121"/>
      <c r="F837" s="121"/>
      <c r="G837" s="121"/>
      <c r="H837" s="121"/>
      <c r="I837" s="121"/>
      <c r="J837" s="121"/>
      <c r="K837" s="121"/>
      <c r="L837" s="121"/>
      <c r="M837" s="121"/>
      <c r="N837" s="121"/>
      <c r="O837" s="121"/>
      <c r="P837" s="121"/>
      <c r="Q837" s="121"/>
      <c r="R837" s="121"/>
      <c r="S837" s="121"/>
      <c r="T837" s="121"/>
      <c r="U837" s="121"/>
      <c r="V837" s="121"/>
      <c r="W837" s="121"/>
      <c r="X837" s="121"/>
      <c r="Y837" s="121"/>
      <c r="Z837" s="121"/>
    </row>
    <row r="838" customFormat="false" ht="15.75" hidden="false" customHeight="false" outlineLevel="0" collapsed="false">
      <c r="A838" s="121"/>
      <c r="B838" s="121"/>
      <c r="C838" s="121"/>
      <c r="D838" s="121"/>
      <c r="E838" s="121"/>
      <c r="F838" s="121"/>
      <c r="G838" s="121"/>
      <c r="H838" s="121"/>
      <c r="I838" s="121"/>
      <c r="J838" s="121"/>
      <c r="K838" s="121"/>
      <c r="L838" s="121"/>
      <c r="M838" s="121"/>
      <c r="N838" s="121"/>
      <c r="O838" s="121"/>
      <c r="P838" s="121"/>
      <c r="Q838" s="121"/>
      <c r="R838" s="121"/>
      <c r="S838" s="121"/>
      <c r="T838" s="121"/>
      <c r="U838" s="121"/>
      <c r="V838" s="121"/>
      <c r="W838" s="121"/>
      <c r="X838" s="121"/>
      <c r="Y838" s="121"/>
      <c r="Z838" s="121"/>
    </row>
    <row r="839" customFormat="false" ht="15.75" hidden="false" customHeight="false" outlineLevel="0" collapsed="false">
      <c r="A839" s="121"/>
      <c r="B839" s="121"/>
      <c r="C839" s="121"/>
      <c r="D839" s="121"/>
      <c r="E839" s="121"/>
      <c r="F839" s="121"/>
      <c r="G839" s="121"/>
      <c r="H839" s="121"/>
      <c r="I839" s="121"/>
      <c r="J839" s="121"/>
      <c r="K839" s="121"/>
      <c r="L839" s="121"/>
      <c r="M839" s="121"/>
      <c r="N839" s="121"/>
      <c r="O839" s="121"/>
      <c r="P839" s="121"/>
      <c r="Q839" s="121"/>
      <c r="R839" s="121"/>
      <c r="S839" s="121"/>
      <c r="T839" s="121"/>
      <c r="U839" s="121"/>
      <c r="V839" s="121"/>
      <c r="W839" s="121"/>
      <c r="X839" s="121"/>
      <c r="Y839" s="121"/>
      <c r="Z839" s="121"/>
    </row>
    <row r="840" customFormat="false" ht="15.75" hidden="false" customHeight="false" outlineLevel="0" collapsed="false">
      <c r="A840" s="121"/>
      <c r="B840" s="121"/>
      <c r="C840" s="121"/>
      <c r="D840" s="121"/>
      <c r="E840" s="121"/>
      <c r="F840" s="121"/>
      <c r="G840" s="121"/>
      <c r="H840" s="121"/>
      <c r="I840" s="121"/>
      <c r="J840" s="121"/>
      <c r="K840" s="121"/>
      <c r="L840" s="121"/>
      <c r="M840" s="121"/>
      <c r="N840" s="121"/>
      <c r="O840" s="121"/>
      <c r="P840" s="121"/>
      <c r="Q840" s="121"/>
      <c r="R840" s="121"/>
      <c r="S840" s="121"/>
      <c r="T840" s="121"/>
      <c r="U840" s="121"/>
      <c r="V840" s="121"/>
      <c r="W840" s="121"/>
      <c r="X840" s="121"/>
      <c r="Y840" s="121"/>
      <c r="Z840" s="121"/>
    </row>
    <row r="841" customFormat="false" ht="15.75" hidden="false" customHeight="false" outlineLevel="0" collapsed="false">
      <c r="A841" s="121"/>
      <c r="B841" s="121"/>
      <c r="C841" s="121"/>
      <c r="D841" s="121"/>
      <c r="E841" s="121"/>
      <c r="F841" s="121"/>
      <c r="G841" s="121"/>
      <c r="H841" s="121"/>
      <c r="I841" s="121"/>
      <c r="J841" s="121"/>
      <c r="K841" s="121"/>
      <c r="L841" s="121"/>
      <c r="M841" s="121"/>
      <c r="N841" s="121"/>
      <c r="O841" s="121"/>
      <c r="P841" s="121"/>
      <c r="Q841" s="121"/>
      <c r="R841" s="121"/>
      <c r="S841" s="121"/>
      <c r="T841" s="121"/>
      <c r="U841" s="121"/>
      <c r="V841" s="121"/>
      <c r="W841" s="121"/>
      <c r="X841" s="121"/>
      <c r="Y841" s="121"/>
      <c r="Z841" s="121"/>
    </row>
    <row r="842" customFormat="false" ht="15.75" hidden="false" customHeight="false" outlineLevel="0" collapsed="false">
      <c r="A842" s="121"/>
      <c r="B842" s="121"/>
      <c r="C842" s="121"/>
      <c r="D842" s="121"/>
      <c r="E842" s="121"/>
      <c r="F842" s="121"/>
      <c r="G842" s="121"/>
      <c r="H842" s="121"/>
      <c r="I842" s="121"/>
      <c r="J842" s="121"/>
      <c r="K842" s="121"/>
      <c r="L842" s="121"/>
      <c r="M842" s="121"/>
      <c r="N842" s="121"/>
      <c r="O842" s="121"/>
      <c r="P842" s="121"/>
      <c r="Q842" s="121"/>
      <c r="R842" s="121"/>
      <c r="S842" s="121"/>
      <c r="T842" s="121"/>
      <c r="U842" s="121"/>
      <c r="V842" s="121"/>
      <c r="W842" s="121"/>
      <c r="X842" s="121"/>
      <c r="Y842" s="121"/>
      <c r="Z842" s="121"/>
    </row>
    <row r="843" customFormat="false" ht="15.75" hidden="false" customHeight="false" outlineLevel="0" collapsed="false">
      <c r="A843" s="121"/>
      <c r="B843" s="121"/>
      <c r="C843" s="121"/>
      <c r="D843" s="121"/>
      <c r="E843" s="121"/>
      <c r="F843" s="121"/>
      <c r="G843" s="121"/>
      <c r="H843" s="121"/>
      <c r="I843" s="121"/>
      <c r="J843" s="121"/>
      <c r="K843" s="121"/>
      <c r="L843" s="121"/>
      <c r="M843" s="121"/>
      <c r="N843" s="121"/>
      <c r="O843" s="121"/>
      <c r="P843" s="121"/>
      <c r="Q843" s="121"/>
      <c r="R843" s="121"/>
      <c r="S843" s="121"/>
      <c r="T843" s="121"/>
      <c r="U843" s="121"/>
      <c r="V843" s="121"/>
      <c r="W843" s="121"/>
      <c r="X843" s="121"/>
      <c r="Y843" s="121"/>
      <c r="Z843" s="121"/>
    </row>
    <row r="844" customFormat="false" ht="15.75" hidden="false" customHeight="false" outlineLevel="0" collapsed="false">
      <c r="A844" s="121"/>
      <c r="B844" s="121"/>
      <c r="C844" s="121"/>
      <c r="D844" s="121"/>
      <c r="E844" s="121"/>
      <c r="F844" s="121"/>
      <c r="G844" s="121"/>
      <c r="H844" s="121"/>
      <c r="I844" s="121"/>
      <c r="J844" s="121"/>
      <c r="K844" s="121"/>
      <c r="L844" s="121"/>
      <c r="M844" s="121"/>
      <c r="N844" s="121"/>
      <c r="O844" s="121"/>
      <c r="P844" s="121"/>
      <c r="Q844" s="121"/>
      <c r="R844" s="121"/>
      <c r="S844" s="121"/>
      <c r="T844" s="121"/>
      <c r="U844" s="121"/>
      <c r="V844" s="121"/>
      <c r="W844" s="121"/>
      <c r="X844" s="121"/>
      <c r="Y844" s="121"/>
      <c r="Z844" s="121"/>
    </row>
    <row r="845" customFormat="false" ht="15.75" hidden="false" customHeight="false" outlineLevel="0" collapsed="false">
      <c r="A845" s="121"/>
      <c r="B845" s="121"/>
      <c r="C845" s="121"/>
      <c r="D845" s="121"/>
      <c r="E845" s="121"/>
      <c r="F845" s="121"/>
      <c r="G845" s="121"/>
      <c r="H845" s="121"/>
      <c r="I845" s="121"/>
      <c r="J845" s="121"/>
      <c r="K845" s="121"/>
      <c r="L845" s="121"/>
      <c r="M845" s="121"/>
      <c r="N845" s="121"/>
      <c r="O845" s="121"/>
      <c r="P845" s="121"/>
      <c r="Q845" s="121"/>
      <c r="R845" s="121"/>
      <c r="S845" s="121"/>
      <c r="T845" s="121"/>
      <c r="U845" s="121"/>
      <c r="V845" s="121"/>
      <c r="W845" s="121"/>
      <c r="X845" s="121"/>
      <c r="Y845" s="121"/>
      <c r="Z845" s="121"/>
    </row>
    <row r="846" customFormat="false" ht="15.75" hidden="false" customHeight="false" outlineLevel="0" collapsed="false">
      <c r="A846" s="121"/>
      <c r="B846" s="121"/>
      <c r="C846" s="121"/>
      <c r="D846" s="121"/>
      <c r="E846" s="121"/>
      <c r="F846" s="121"/>
      <c r="G846" s="121"/>
      <c r="H846" s="121"/>
      <c r="I846" s="121"/>
      <c r="J846" s="121"/>
      <c r="K846" s="121"/>
      <c r="L846" s="121"/>
      <c r="M846" s="121"/>
      <c r="N846" s="121"/>
      <c r="O846" s="121"/>
      <c r="P846" s="121"/>
      <c r="Q846" s="121"/>
      <c r="R846" s="121"/>
      <c r="S846" s="121"/>
      <c r="T846" s="121"/>
      <c r="U846" s="121"/>
      <c r="V846" s="121"/>
      <c r="W846" s="121"/>
      <c r="X846" s="121"/>
      <c r="Y846" s="121"/>
      <c r="Z846" s="121"/>
    </row>
    <row r="847" customFormat="false" ht="15.75" hidden="false" customHeight="false" outlineLevel="0" collapsed="false">
      <c r="A847" s="121"/>
      <c r="B847" s="121"/>
      <c r="C847" s="121"/>
      <c r="D847" s="121"/>
      <c r="E847" s="121"/>
      <c r="F847" s="121"/>
      <c r="G847" s="121"/>
      <c r="H847" s="121"/>
      <c r="I847" s="121"/>
      <c r="J847" s="121"/>
      <c r="K847" s="121"/>
      <c r="L847" s="121"/>
      <c r="M847" s="121"/>
      <c r="N847" s="121"/>
      <c r="O847" s="121"/>
      <c r="P847" s="121"/>
      <c r="Q847" s="121"/>
      <c r="R847" s="121"/>
      <c r="S847" s="121"/>
      <c r="T847" s="121"/>
      <c r="U847" s="121"/>
      <c r="V847" s="121"/>
      <c r="W847" s="121"/>
      <c r="X847" s="121"/>
      <c r="Y847" s="121"/>
      <c r="Z847" s="121"/>
    </row>
    <row r="848" customFormat="false" ht="15.75" hidden="false" customHeight="false" outlineLevel="0" collapsed="false">
      <c r="A848" s="121"/>
      <c r="B848" s="121"/>
      <c r="C848" s="121"/>
      <c r="D848" s="121"/>
      <c r="E848" s="121"/>
      <c r="F848" s="121"/>
      <c r="G848" s="121"/>
      <c r="H848" s="121"/>
      <c r="I848" s="121"/>
      <c r="J848" s="121"/>
      <c r="K848" s="121"/>
      <c r="L848" s="121"/>
      <c r="M848" s="121"/>
      <c r="N848" s="121"/>
      <c r="O848" s="121"/>
      <c r="P848" s="121"/>
      <c r="Q848" s="121"/>
      <c r="R848" s="121"/>
      <c r="S848" s="121"/>
      <c r="T848" s="121"/>
      <c r="U848" s="121"/>
      <c r="V848" s="121"/>
      <c r="W848" s="121"/>
      <c r="X848" s="121"/>
      <c r="Y848" s="121"/>
      <c r="Z848" s="121"/>
    </row>
    <row r="849" customFormat="false" ht="15.75" hidden="false" customHeight="false" outlineLevel="0" collapsed="false">
      <c r="A849" s="121"/>
      <c r="B849" s="121"/>
      <c r="C849" s="121"/>
      <c r="D849" s="121"/>
      <c r="E849" s="121"/>
      <c r="F849" s="121"/>
      <c r="G849" s="121"/>
      <c r="H849" s="121"/>
      <c r="I849" s="121"/>
      <c r="J849" s="121"/>
      <c r="K849" s="121"/>
      <c r="L849" s="121"/>
      <c r="M849" s="121"/>
      <c r="N849" s="121"/>
      <c r="O849" s="121"/>
      <c r="P849" s="121"/>
      <c r="Q849" s="121"/>
      <c r="R849" s="121"/>
      <c r="S849" s="121"/>
      <c r="T849" s="121"/>
      <c r="U849" s="121"/>
      <c r="V849" s="121"/>
      <c r="W849" s="121"/>
      <c r="X849" s="121"/>
      <c r="Y849" s="121"/>
      <c r="Z849" s="121"/>
    </row>
    <row r="850" customFormat="false" ht="15.75" hidden="false" customHeight="false" outlineLevel="0" collapsed="false">
      <c r="A850" s="121"/>
      <c r="B850" s="121"/>
      <c r="C850" s="121"/>
      <c r="D850" s="121"/>
      <c r="E850" s="121"/>
      <c r="F850" s="121"/>
      <c r="G850" s="121"/>
      <c r="H850" s="121"/>
      <c r="I850" s="121"/>
      <c r="J850" s="121"/>
      <c r="K850" s="121"/>
      <c r="L850" s="121"/>
      <c r="M850" s="121"/>
      <c r="N850" s="121"/>
      <c r="O850" s="121"/>
      <c r="P850" s="121"/>
      <c r="Q850" s="121"/>
      <c r="R850" s="121"/>
      <c r="S850" s="121"/>
      <c r="T850" s="121"/>
      <c r="U850" s="121"/>
      <c r="V850" s="121"/>
      <c r="W850" s="121"/>
      <c r="X850" s="121"/>
      <c r="Y850" s="121"/>
      <c r="Z850" s="121"/>
    </row>
    <row r="851" customFormat="false" ht="15.75" hidden="false" customHeight="false" outlineLevel="0" collapsed="false">
      <c r="A851" s="121"/>
      <c r="B851" s="121"/>
      <c r="C851" s="121"/>
      <c r="D851" s="121"/>
      <c r="E851" s="121"/>
      <c r="F851" s="121"/>
      <c r="G851" s="121"/>
      <c r="H851" s="121"/>
      <c r="I851" s="121"/>
      <c r="J851" s="121"/>
      <c r="K851" s="121"/>
      <c r="L851" s="121"/>
      <c r="M851" s="121"/>
      <c r="N851" s="121"/>
      <c r="O851" s="121"/>
      <c r="P851" s="121"/>
      <c r="Q851" s="121"/>
      <c r="R851" s="121"/>
      <c r="S851" s="121"/>
      <c r="T851" s="121"/>
      <c r="U851" s="121"/>
      <c r="V851" s="121"/>
      <c r="W851" s="121"/>
      <c r="X851" s="121"/>
      <c r="Y851" s="121"/>
      <c r="Z851" s="121"/>
    </row>
    <row r="852" customFormat="false" ht="15.75" hidden="false" customHeight="false" outlineLevel="0" collapsed="false">
      <c r="A852" s="121"/>
      <c r="B852" s="121"/>
      <c r="C852" s="121"/>
      <c r="D852" s="121"/>
      <c r="E852" s="121"/>
      <c r="F852" s="121"/>
      <c r="G852" s="121"/>
      <c r="H852" s="121"/>
      <c r="I852" s="121"/>
      <c r="J852" s="121"/>
      <c r="K852" s="121"/>
      <c r="L852" s="121"/>
      <c r="M852" s="121"/>
      <c r="N852" s="121"/>
      <c r="O852" s="121"/>
      <c r="P852" s="121"/>
      <c r="Q852" s="121"/>
      <c r="R852" s="121"/>
      <c r="S852" s="121"/>
      <c r="T852" s="121"/>
      <c r="U852" s="121"/>
      <c r="V852" s="121"/>
      <c r="W852" s="121"/>
      <c r="X852" s="121"/>
      <c r="Y852" s="121"/>
      <c r="Z852" s="121"/>
    </row>
    <row r="853" customFormat="false" ht="15.75" hidden="false" customHeight="false" outlineLevel="0" collapsed="false">
      <c r="A853" s="121"/>
      <c r="B853" s="121"/>
      <c r="C853" s="121"/>
      <c r="D853" s="121"/>
      <c r="E853" s="121"/>
      <c r="F853" s="121"/>
      <c r="G853" s="121"/>
      <c r="H853" s="121"/>
      <c r="I853" s="121"/>
      <c r="J853" s="121"/>
      <c r="K853" s="121"/>
      <c r="L853" s="121"/>
      <c r="M853" s="121"/>
      <c r="N853" s="121"/>
      <c r="O853" s="121"/>
      <c r="P853" s="121"/>
      <c r="Q853" s="121"/>
      <c r="R853" s="121"/>
      <c r="S853" s="121"/>
      <c r="T853" s="121"/>
      <c r="U853" s="121"/>
      <c r="V853" s="121"/>
      <c r="W853" s="121"/>
      <c r="X853" s="121"/>
      <c r="Y853" s="121"/>
      <c r="Z853" s="121"/>
    </row>
    <row r="854" customFormat="false" ht="15.75" hidden="false" customHeight="false" outlineLevel="0" collapsed="false">
      <c r="A854" s="121"/>
      <c r="B854" s="121"/>
      <c r="C854" s="121"/>
      <c r="D854" s="121"/>
      <c r="E854" s="121"/>
      <c r="F854" s="121"/>
      <c r="G854" s="121"/>
      <c r="H854" s="121"/>
      <c r="I854" s="121"/>
      <c r="J854" s="121"/>
      <c r="K854" s="121"/>
      <c r="L854" s="121"/>
      <c r="M854" s="121"/>
      <c r="N854" s="121"/>
      <c r="O854" s="121"/>
      <c r="P854" s="121"/>
      <c r="Q854" s="121"/>
      <c r="R854" s="121"/>
      <c r="S854" s="121"/>
      <c r="T854" s="121"/>
      <c r="U854" s="121"/>
      <c r="V854" s="121"/>
      <c r="W854" s="121"/>
      <c r="X854" s="121"/>
      <c r="Y854" s="121"/>
      <c r="Z854" s="121"/>
    </row>
    <row r="855" customFormat="false" ht="15.75" hidden="false" customHeight="false" outlineLevel="0" collapsed="false">
      <c r="A855" s="121"/>
      <c r="B855" s="121"/>
      <c r="C855" s="121"/>
      <c r="D855" s="121"/>
      <c r="E855" s="121"/>
      <c r="F855" s="121"/>
      <c r="G855" s="121"/>
      <c r="H855" s="121"/>
      <c r="I855" s="121"/>
      <c r="J855" s="121"/>
      <c r="K855" s="121"/>
      <c r="L855" s="121"/>
      <c r="M855" s="121"/>
      <c r="N855" s="121"/>
      <c r="O855" s="121"/>
      <c r="P855" s="121"/>
      <c r="Q855" s="121"/>
      <c r="R855" s="121"/>
      <c r="S855" s="121"/>
      <c r="T855" s="121"/>
      <c r="U855" s="121"/>
      <c r="V855" s="121"/>
      <c r="W855" s="121"/>
      <c r="X855" s="121"/>
      <c r="Y855" s="121"/>
      <c r="Z855" s="121"/>
    </row>
    <row r="856" customFormat="false" ht="15.75" hidden="false" customHeight="false" outlineLevel="0" collapsed="false">
      <c r="A856" s="121"/>
      <c r="B856" s="121"/>
      <c r="C856" s="121"/>
      <c r="D856" s="121"/>
      <c r="E856" s="121"/>
      <c r="F856" s="121"/>
      <c r="G856" s="121"/>
      <c r="H856" s="121"/>
      <c r="I856" s="121"/>
      <c r="J856" s="121"/>
      <c r="K856" s="121"/>
      <c r="L856" s="121"/>
      <c r="M856" s="121"/>
      <c r="N856" s="121"/>
      <c r="O856" s="121"/>
      <c r="P856" s="121"/>
      <c r="Q856" s="121"/>
      <c r="R856" s="121"/>
      <c r="S856" s="121"/>
      <c r="T856" s="121"/>
      <c r="U856" s="121"/>
      <c r="V856" s="121"/>
      <c r="W856" s="121"/>
      <c r="X856" s="121"/>
      <c r="Y856" s="121"/>
      <c r="Z856" s="121"/>
    </row>
    <row r="857" customFormat="false" ht="15.75" hidden="false" customHeight="false" outlineLevel="0" collapsed="false">
      <c r="A857" s="121"/>
      <c r="B857" s="121"/>
      <c r="C857" s="121"/>
      <c r="D857" s="121"/>
      <c r="E857" s="121"/>
      <c r="F857" s="121"/>
      <c r="G857" s="121"/>
      <c r="H857" s="121"/>
      <c r="I857" s="121"/>
      <c r="J857" s="121"/>
      <c r="K857" s="121"/>
      <c r="L857" s="121"/>
      <c r="M857" s="121"/>
      <c r="N857" s="121"/>
      <c r="O857" s="121"/>
      <c r="P857" s="121"/>
      <c r="Q857" s="121"/>
      <c r="R857" s="121"/>
      <c r="S857" s="121"/>
      <c r="T857" s="121"/>
      <c r="U857" s="121"/>
      <c r="V857" s="121"/>
      <c r="W857" s="121"/>
      <c r="X857" s="121"/>
      <c r="Y857" s="121"/>
      <c r="Z857" s="121"/>
    </row>
    <row r="858" customFormat="false" ht="15.75" hidden="false" customHeight="false" outlineLevel="0" collapsed="false">
      <c r="A858" s="121"/>
      <c r="B858" s="121"/>
      <c r="C858" s="121"/>
      <c r="D858" s="121"/>
      <c r="E858" s="121"/>
      <c r="F858" s="121"/>
      <c r="G858" s="121"/>
      <c r="H858" s="121"/>
      <c r="I858" s="121"/>
      <c r="J858" s="121"/>
      <c r="K858" s="121"/>
      <c r="L858" s="121"/>
      <c r="M858" s="121"/>
      <c r="N858" s="121"/>
      <c r="O858" s="121"/>
      <c r="P858" s="121"/>
      <c r="Q858" s="121"/>
      <c r="R858" s="121"/>
      <c r="S858" s="121"/>
      <c r="T858" s="121"/>
      <c r="U858" s="121"/>
      <c r="V858" s="121"/>
      <c r="W858" s="121"/>
      <c r="X858" s="121"/>
      <c r="Y858" s="121"/>
      <c r="Z858" s="121"/>
    </row>
    <row r="859" customFormat="false" ht="15.75" hidden="false" customHeight="false" outlineLevel="0" collapsed="false">
      <c r="A859" s="121"/>
      <c r="B859" s="121"/>
      <c r="C859" s="121"/>
      <c r="D859" s="121"/>
      <c r="E859" s="121"/>
      <c r="F859" s="121"/>
      <c r="G859" s="121"/>
      <c r="H859" s="121"/>
      <c r="I859" s="121"/>
      <c r="J859" s="121"/>
      <c r="K859" s="121"/>
      <c r="L859" s="121"/>
      <c r="M859" s="121"/>
      <c r="N859" s="121"/>
      <c r="O859" s="121"/>
      <c r="P859" s="121"/>
      <c r="Q859" s="121"/>
      <c r="R859" s="121"/>
      <c r="S859" s="121"/>
      <c r="T859" s="121"/>
      <c r="U859" s="121"/>
      <c r="V859" s="121"/>
      <c r="W859" s="121"/>
      <c r="X859" s="121"/>
      <c r="Y859" s="121"/>
      <c r="Z859" s="121"/>
    </row>
    <row r="860" customFormat="false" ht="15.75" hidden="false" customHeight="false" outlineLevel="0" collapsed="false">
      <c r="A860" s="121"/>
      <c r="B860" s="121"/>
      <c r="C860" s="121"/>
      <c r="D860" s="121"/>
      <c r="E860" s="121"/>
      <c r="F860" s="121"/>
      <c r="G860" s="121"/>
      <c r="H860" s="121"/>
      <c r="I860" s="121"/>
      <c r="J860" s="121"/>
      <c r="K860" s="121"/>
      <c r="L860" s="121"/>
      <c r="M860" s="121"/>
      <c r="N860" s="121"/>
      <c r="O860" s="121"/>
      <c r="P860" s="121"/>
      <c r="Q860" s="121"/>
      <c r="R860" s="121"/>
      <c r="S860" s="121"/>
      <c r="T860" s="121"/>
      <c r="U860" s="121"/>
      <c r="V860" s="121"/>
      <c r="W860" s="121"/>
      <c r="X860" s="121"/>
      <c r="Y860" s="121"/>
      <c r="Z860" s="121"/>
    </row>
    <row r="861" customFormat="false" ht="15.75" hidden="false" customHeight="false" outlineLevel="0" collapsed="false">
      <c r="A861" s="121"/>
      <c r="B861" s="121"/>
      <c r="C861" s="121"/>
      <c r="D861" s="121"/>
      <c r="E861" s="121"/>
      <c r="F861" s="121"/>
      <c r="G861" s="121"/>
      <c r="H861" s="121"/>
      <c r="I861" s="121"/>
      <c r="J861" s="121"/>
      <c r="K861" s="121"/>
      <c r="L861" s="121"/>
      <c r="M861" s="121"/>
      <c r="N861" s="121"/>
      <c r="O861" s="121"/>
      <c r="P861" s="121"/>
      <c r="Q861" s="121"/>
      <c r="R861" s="121"/>
      <c r="S861" s="121"/>
      <c r="T861" s="121"/>
      <c r="U861" s="121"/>
      <c r="V861" s="121"/>
      <c r="W861" s="121"/>
      <c r="X861" s="121"/>
      <c r="Y861" s="121"/>
      <c r="Z861" s="121"/>
    </row>
    <row r="862" customFormat="false" ht="15.75" hidden="false" customHeight="false" outlineLevel="0" collapsed="false">
      <c r="A862" s="121"/>
      <c r="B862" s="121"/>
      <c r="C862" s="121"/>
      <c r="D862" s="121"/>
      <c r="E862" s="121"/>
      <c r="F862" s="121"/>
      <c r="G862" s="121"/>
      <c r="H862" s="121"/>
      <c r="I862" s="121"/>
      <c r="J862" s="121"/>
      <c r="K862" s="121"/>
      <c r="L862" s="121"/>
      <c r="M862" s="121"/>
      <c r="N862" s="121"/>
      <c r="O862" s="121"/>
      <c r="P862" s="121"/>
      <c r="Q862" s="121"/>
      <c r="R862" s="121"/>
      <c r="S862" s="121"/>
      <c r="T862" s="121"/>
      <c r="U862" s="121"/>
      <c r="V862" s="121"/>
      <c r="W862" s="121"/>
      <c r="X862" s="121"/>
      <c r="Y862" s="121"/>
      <c r="Z862" s="121"/>
    </row>
    <row r="863" customFormat="false" ht="15.75" hidden="false" customHeight="false" outlineLevel="0" collapsed="false">
      <c r="A863" s="121"/>
      <c r="B863" s="121"/>
      <c r="C863" s="121"/>
      <c r="D863" s="121"/>
      <c r="E863" s="121"/>
      <c r="F863" s="121"/>
      <c r="G863" s="121"/>
      <c r="H863" s="121"/>
      <c r="I863" s="121"/>
      <c r="J863" s="121"/>
      <c r="K863" s="121"/>
      <c r="L863" s="121"/>
      <c r="M863" s="121"/>
      <c r="N863" s="121"/>
      <c r="O863" s="121"/>
      <c r="P863" s="121"/>
      <c r="Q863" s="121"/>
      <c r="R863" s="121"/>
      <c r="S863" s="121"/>
      <c r="T863" s="121"/>
      <c r="U863" s="121"/>
      <c r="V863" s="121"/>
      <c r="W863" s="121"/>
      <c r="X863" s="121"/>
      <c r="Y863" s="121"/>
      <c r="Z863" s="121"/>
    </row>
    <row r="864" customFormat="false" ht="15.75" hidden="false" customHeight="false" outlineLevel="0" collapsed="false">
      <c r="A864" s="121"/>
      <c r="B864" s="121"/>
      <c r="C864" s="121"/>
      <c r="D864" s="121"/>
      <c r="E864" s="121"/>
      <c r="F864" s="121"/>
      <c r="G864" s="121"/>
      <c r="H864" s="121"/>
      <c r="I864" s="121"/>
      <c r="J864" s="121"/>
      <c r="K864" s="121"/>
      <c r="L864" s="121"/>
      <c r="M864" s="121"/>
      <c r="N864" s="121"/>
      <c r="O864" s="121"/>
      <c r="P864" s="121"/>
      <c r="Q864" s="121"/>
      <c r="R864" s="121"/>
      <c r="S864" s="121"/>
      <c r="T864" s="121"/>
      <c r="U864" s="121"/>
      <c r="V864" s="121"/>
      <c r="W864" s="121"/>
      <c r="X864" s="121"/>
      <c r="Y864" s="121"/>
      <c r="Z864" s="121"/>
    </row>
    <row r="865" customFormat="false" ht="15.75" hidden="false" customHeight="false" outlineLevel="0" collapsed="false">
      <c r="A865" s="121"/>
      <c r="B865" s="121"/>
      <c r="C865" s="121"/>
      <c r="D865" s="121"/>
      <c r="E865" s="121"/>
      <c r="F865" s="121"/>
      <c r="G865" s="121"/>
      <c r="H865" s="121"/>
      <c r="I865" s="121"/>
      <c r="J865" s="121"/>
      <c r="K865" s="121"/>
      <c r="L865" s="121"/>
      <c r="M865" s="121"/>
      <c r="N865" s="121"/>
      <c r="O865" s="121"/>
      <c r="P865" s="121"/>
      <c r="Q865" s="121"/>
      <c r="R865" s="121"/>
      <c r="S865" s="121"/>
      <c r="T865" s="121"/>
      <c r="U865" s="121"/>
      <c r="V865" s="121"/>
      <c r="W865" s="121"/>
      <c r="X865" s="121"/>
      <c r="Y865" s="121"/>
      <c r="Z865" s="121"/>
    </row>
    <row r="866" customFormat="false" ht="15.75" hidden="false" customHeight="false" outlineLevel="0" collapsed="false">
      <c r="A866" s="121"/>
      <c r="B866" s="121"/>
      <c r="C866" s="121"/>
      <c r="D866" s="121"/>
      <c r="E866" s="121"/>
      <c r="F866" s="121"/>
      <c r="G866" s="121"/>
      <c r="H866" s="121"/>
      <c r="I866" s="121"/>
      <c r="J866" s="121"/>
      <c r="K866" s="121"/>
      <c r="L866" s="121"/>
      <c r="M866" s="121"/>
      <c r="N866" s="121"/>
      <c r="O866" s="121"/>
      <c r="P866" s="121"/>
      <c r="Q866" s="121"/>
      <c r="R866" s="121"/>
      <c r="S866" s="121"/>
      <c r="T866" s="121"/>
      <c r="U866" s="121"/>
      <c r="V866" s="121"/>
      <c r="W866" s="121"/>
      <c r="X866" s="121"/>
      <c r="Y866" s="121"/>
      <c r="Z866" s="121"/>
    </row>
    <row r="867" customFormat="false" ht="15.75" hidden="false" customHeight="false" outlineLevel="0" collapsed="false">
      <c r="A867" s="121"/>
      <c r="B867" s="121"/>
      <c r="C867" s="121"/>
      <c r="D867" s="121"/>
      <c r="E867" s="121"/>
      <c r="F867" s="121"/>
      <c r="G867" s="121"/>
      <c r="H867" s="121"/>
      <c r="I867" s="121"/>
      <c r="J867" s="121"/>
      <c r="K867" s="121"/>
      <c r="L867" s="121"/>
      <c r="M867" s="121"/>
      <c r="N867" s="121"/>
      <c r="O867" s="121"/>
      <c r="P867" s="121"/>
      <c r="Q867" s="121"/>
      <c r="R867" s="121"/>
      <c r="S867" s="121"/>
      <c r="T867" s="121"/>
      <c r="U867" s="121"/>
      <c r="V867" s="121"/>
      <c r="W867" s="121"/>
      <c r="X867" s="121"/>
      <c r="Y867" s="121"/>
      <c r="Z867" s="121"/>
    </row>
    <row r="868" customFormat="false" ht="15.75" hidden="false" customHeight="false" outlineLevel="0" collapsed="false">
      <c r="A868" s="121"/>
      <c r="B868" s="121"/>
      <c r="C868" s="121"/>
      <c r="D868" s="121"/>
      <c r="E868" s="121"/>
      <c r="F868" s="121"/>
      <c r="G868" s="121"/>
      <c r="H868" s="121"/>
      <c r="I868" s="121"/>
      <c r="J868" s="121"/>
      <c r="K868" s="121"/>
      <c r="L868" s="121"/>
      <c r="M868" s="121"/>
      <c r="N868" s="121"/>
      <c r="O868" s="121"/>
      <c r="P868" s="121"/>
      <c r="Q868" s="121"/>
      <c r="R868" s="121"/>
      <c r="S868" s="121"/>
      <c r="T868" s="121"/>
      <c r="U868" s="121"/>
      <c r="V868" s="121"/>
      <c r="W868" s="121"/>
      <c r="X868" s="121"/>
      <c r="Y868" s="121"/>
      <c r="Z868" s="121"/>
    </row>
    <row r="869" customFormat="false" ht="15.75" hidden="false" customHeight="false" outlineLevel="0" collapsed="false">
      <c r="A869" s="121"/>
      <c r="B869" s="121"/>
      <c r="C869" s="121"/>
      <c r="D869" s="121"/>
      <c r="E869" s="121"/>
      <c r="F869" s="121"/>
      <c r="G869" s="121"/>
      <c r="H869" s="121"/>
      <c r="I869" s="121"/>
      <c r="J869" s="121"/>
      <c r="K869" s="121"/>
      <c r="L869" s="121"/>
      <c r="M869" s="121"/>
      <c r="N869" s="121"/>
      <c r="O869" s="121"/>
      <c r="P869" s="121"/>
      <c r="Q869" s="121"/>
      <c r="R869" s="121"/>
      <c r="S869" s="121"/>
      <c r="T869" s="121"/>
      <c r="U869" s="121"/>
      <c r="V869" s="121"/>
      <c r="W869" s="121"/>
      <c r="X869" s="121"/>
      <c r="Y869" s="121"/>
      <c r="Z869" s="121"/>
    </row>
    <row r="870" customFormat="false" ht="15.75" hidden="false" customHeight="false" outlineLevel="0" collapsed="false">
      <c r="A870" s="121"/>
      <c r="B870" s="121"/>
      <c r="C870" s="121"/>
      <c r="D870" s="121"/>
      <c r="E870" s="121"/>
      <c r="F870" s="121"/>
      <c r="G870" s="121"/>
      <c r="H870" s="121"/>
      <c r="I870" s="121"/>
      <c r="J870" s="121"/>
      <c r="K870" s="121"/>
      <c r="L870" s="121"/>
      <c r="M870" s="121"/>
      <c r="N870" s="121"/>
      <c r="O870" s="121"/>
      <c r="P870" s="121"/>
      <c r="Q870" s="121"/>
      <c r="R870" s="121"/>
      <c r="S870" s="121"/>
      <c r="T870" s="121"/>
      <c r="U870" s="121"/>
      <c r="V870" s="121"/>
      <c r="W870" s="121"/>
      <c r="X870" s="121"/>
      <c r="Y870" s="121"/>
      <c r="Z870" s="121"/>
    </row>
    <row r="871" customFormat="false" ht="15.75" hidden="false" customHeight="false" outlineLevel="0" collapsed="false">
      <c r="A871" s="121"/>
      <c r="B871" s="121"/>
      <c r="C871" s="121"/>
      <c r="D871" s="121"/>
      <c r="E871" s="121"/>
      <c r="F871" s="121"/>
      <c r="G871" s="121"/>
      <c r="H871" s="121"/>
      <c r="I871" s="121"/>
      <c r="J871" s="121"/>
      <c r="K871" s="121"/>
      <c r="L871" s="121"/>
      <c r="M871" s="121"/>
      <c r="N871" s="121"/>
      <c r="O871" s="121"/>
      <c r="P871" s="121"/>
      <c r="Q871" s="121"/>
      <c r="R871" s="121"/>
      <c r="S871" s="121"/>
      <c r="T871" s="121"/>
      <c r="U871" s="121"/>
      <c r="V871" s="121"/>
      <c r="W871" s="121"/>
      <c r="X871" s="121"/>
      <c r="Y871" s="121"/>
      <c r="Z871" s="121"/>
    </row>
    <row r="872" customFormat="false" ht="15.75" hidden="false" customHeight="false" outlineLevel="0" collapsed="false">
      <c r="A872" s="121"/>
      <c r="B872" s="121"/>
      <c r="C872" s="121"/>
      <c r="D872" s="121"/>
      <c r="E872" s="121"/>
      <c r="F872" s="121"/>
      <c r="G872" s="121"/>
      <c r="H872" s="121"/>
      <c r="I872" s="121"/>
      <c r="J872" s="121"/>
      <c r="K872" s="121"/>
      <c r="L872" s="121"/>
      <c r="M872" s="121"/>
      <c r="N872" s="121"/>
      <c r="O872" s="121"/>
      <c r="P872" s="121"/>
      <c r="Q872" s="121"/>
      <c r="R872" s="121"/>
      <c r="S872" s="121"/>
      <c r="T872" s="121"/>
      <c r="U872" s="121"/>
      <c r="V872" s="121"/>
      <c r="W872" s="121"/>
      <c r="X872" s="121"/>
      <c r="Y872" s="121"/>
      <c r="Z872" s="121"/>
    </row>
    <row r="873" customFormat="false" ht="15.75" hidden="false" customHeight="false" outlineLevel="0" collapsed="false">
      <c r="A873" s="121"/>
      <c r="B873" s="121"/>
      <c r="C873" s="121"/>
      <c r="D873" s="121"/>
      <c r="E873" s="121"/>
      <c r="F873" s="121"/>
      <c r="G873" s="121"/>
      <c r="H873" s="121"/>
      <c r="I873" s="121"/>
      <c r="J873" s="121"/>
      <c r="K873" s="121"/>
      <c r="L873" s="121"/>
      <c r="M873" s="121"/>
      <c r="N873" s="121"/>
      <c r="O873" s="121"/>
      <c r="P873" s="121"/>
      <c r="Q873" s="121"/>
      <c r="R873" s="121"/>
      <c r="S873" s="121"/>
      <c r="T873" s="121"/>
      <c r="U873" s="121"/>
      <c r="V873" s="121"/>
      <c r="W873" s="121"/>
      <c r="X873" s="121"/>
      <c r="Y873" s="121"/>
      <c r="Z873" s="121"/>
    </row>
    <row r="874" customFormat="false" ht="15.75" hidden="false" customHeight="false" outlineLevel="0" collapsed="false">
      <c r="A874" s="121"/>
      <c r="B874" s="121"/>
      <c r="C874" s="121"/>
      <c r="D874" s="121"/>
      <c r="E874" s="121"/>
      <c r="F874" s="121"/>
      <c r="G874" s="121"/>
      <c r="H874" s="121"/>
      <c r="I874" s="121"/>
      <c r="J874" s="121"/>
      <c r="K874" s="121"/>
      <c r="L874" s="121"/>
      <c r="M874" s="121"/>
      <c r="N874" s="121"/>
      <c r="O874" s="121"/>
      <c r="P874" s="121"/>
      <c r="Q874" s="121"/>
      <c r="R874" s="121"/>
      <c r="S874" s="121"/>
      <c r="T874" s="121"/>
      <c r="U874" s="121"/>
      <c r="V874" s="121"/>
      <c r="W874" s="121"/>
      <c r="X874" s="121"/>
      <c r="Y874" s="121"/>
      <c r="Z874" s="121"/>
    </row>
    <row r="875" customFormat="false" ht="15.75" hidden="false" customHeight="false" outlineLevel="0" collapsed="false">
      <c r="A875" s="121"/>
      <c r="B875" s="121"/>
      <c r="C875" s="121"/>
      <c r="D875" s="121"/>
      <c r="E875" s="121"/>
      <c r="F875" s="121"/>
      <c r="G875" s="121"/>
      <c r="H875" s="121"/>
      <c r="I875" s="121"/>
      <c r="J875" s="121"/>
      <c r="K875" s="121"/>
      <c r="L875" s="121"/>
      <c r="M875" s="121"/>
      <c r="N875" s="121"/>
      <c r="O875" s="121"/>
      <c r="P875" s="121"/>
      <c r="Q875" s="121"/>
      <c r="R875" s="121"/>
      <c r="S875" s="121"/>
      <c r="T875" s="121"/>
      <c r="U875" s="121"/>
      <c r="V875" s="121"/>
      <c r="W875" s="121"/>
      <c r="X875" s="121"/>
      <c r="Y875" s="121"/>
      <c r="Z875" s="121"/>
    </row>
    <row r="876" customFormat="false" ht="15.75" hidden="false" customHeight="false" outlineLevel="0" collapsed="false">
      <c r="A876" s="121"/>
      <c r="B876" s="121"/>
      <c r="C876" s="121"/>
      <c r="D876" s="121"/>
      <c r="E876" s="121"/>
      <c r="F876" s="121"/>
      <c r="G876" s="121"/>
      <c r="H876" s="121"/>
      <c r="I876" s="121"/>
      <c r="J876" s="121"/>
      <c r="K876" s="121"/>
      <c r="L876" s="121"/>
      <c r="M876" s="121"/>
      <c r="N876" s="121"/>
      <c r="O876" s="121"/>
      <c r="P876" s="121"/>
      <c r="Q876" s="121"/>
      <c r="R876" s="121"/>
      <c r="S876" s="121"/>
      <c r="T876" s="121"/>
      <c r="U876" s="121"/>
      <c r="V876" s="121"/>
      <c r="W876" s="121"/>
      <c r="X876" s="121"/>
      <c r="Y876" s="121"/>
      <c r="Z876" s="121"/>
    </row>
    <row r="877" customFormat="false" ht="15.75" hidden="false" customHeight="false" outlineLevel="0" collapsed="false">
      <c r="A877" s="121"/>
      <c r="B877" s="121"/>
      <c r="C877" s="121"/>
      <c r="D877" s="121"/>
      <c r="E877" s="121"/>
      <c r="F877" s="121"/>
      <c r="G877" s="121"/>
      <c r="H877" s="121"/>
      <c r="I877" s="121"/>
      <c r="J877" s="121"/>
      <c r="K877" s="121"/>
      <c r="L877" s="121"/>
      <c r="M877" s="121"/>
      <c r="N877" s="121"/>
      <c r="O877" s="121"/>
      <c r="P877" s="121"/>
      <c r="Q877" s="121"/>
      <c r="R877" s="121"/>
      <c r="S877" s="121"/>
      <c r="T877" s="121"/>
      <c r="U877" s="121"/>
      <c r="V877" s="121"/>
      <c r="W877" s="121"/>
      <c r="X877" s="121"/>
      <c r="Y877" s="121"/>
      <c r="Z877" s="121"/>
    </row>
    <row r="878" customFormat="false" ht="15.75" hidden="false" customHeight="false" outlineLevel="0" collapsed="false">
      <c r="A878" s="121"/>
      <c r="B878" s="121"/>
      <c r="C878" s="121"/>
      <c r="D878" s="121"/>
      <c r="E878" s="121"/>
      <c r="F878" s="121"/>
      <c r="G878" s="121"/>
      <c r="H878" s="121"/>
      <c r="I878" s="121"/>
      <c r="J878" s="121"/>
      <c r="K878" s="121"/>
      <c r="L878" s="121"/>
      <c r="M878" s="121"/>
      <c r="N878" s="121"/>
      <c r="O878" s="121"/>
      <c r="P878" s="121"/>
      <c r="Q878" s="121"/>
      <c r="R878" s="121"/>
      <c r="S878" s="121"/>
      <c r="T878" s="121"/>
      <c r="U878" s="121"/>
      <c r="V878" s="121"/>
      <c r="W878" s="121"/>
      <c r="X878" s="121"/>
      <c r="Y878" s="121"/>
      <c r="Z878" s="121"/>
    </row>
    <row r="879" customFormat="false" ht="15.75" hidden="false" customHeight="false" outlineLevel="0" collapsed="false">
      <c r="A879" s="121"/>
      <c r="B879" s="121"/>
      <c r="C879" s="121"/>
      <c r="D879" s="121"/>
      <c r="E879" s="121"/>
      <c r="F879" s="121"/>
      <c r="G879" s="121"/>
      <c r="H879" s="121"/>
      <c r="I879" s="121"/>
      <c r="J879" s="121"/>
      <c r="K879" s="121"/>
      <c r="L879" s="121"/>
      <c r="M879" s="121"/>
      <c r="N879" s="121"/>
      <c r="O879" s="121"/>
      <c r="P879" s="121"/>
      <c r="Q879" s="121"/>
      <c r="R879" s="121"/>
      <c r="S879" s="121"/>
      <c r="T879" s="121"/>
      <c r="U879" s="121"/>
      <c r="V879" s="121"/>
      <c r="W879" s="121"/>
      <c r="X879" s="121"/>
      <c r="Y879" s="121"/>
      <c r="Z879" s="121"/>
    </row>
    <row r="880" customFormat="false" ht="15.75" hidden="false" customHeight="false" outlineLevel="0" collapsed="false">
      <c r="A880" s="121"/>
      <c r="B880" s="121"/>
      <c r="C880" s="121"/>
      <c r="D880" s="121"/>
      <c r="E880" s="121"/>
      <c r="F880" s="121"/>
      <c r="G880" s="121"/>
      <c r="H880" s="121"/>
      <c r="I880" s="121"/>
      <c r="J880" s="121"/>
      <c r="K880" s="121"/>
      <c r="L880" s="121"/>
      <c r="M880" s="121"/>
      <c r="N880" s="121"/>
      <c r="O880" s="121"/>
      <c r="P880" s="121"/>
      <c r="Q880" s="121"/>
      <c r="R880" s="121"/>
      <c r="S880" s="121"/>
      <c r="T880" s="121"/>
      <c r="U880" s="121"/>
      <c r="V880" s="121"/>
      <c r="W880" s="121"/>
      <c r="X880" s="121"/>
      <c r="Y880" s="121"/>
      <c r="Z880" s="121"/>
    </row>
    <row r="881" customFormat="false" ht="15.75" hidden="false" customHeight="false" outlineLevel="0" collapsed="false">
      <c r="A881" s="121"/>
      <c r="B881" s="121"/>
      <c r="C881" s="121"/>
      <c r="D881" s="121"/>
      <c r="E881" s="121"/>
      <c r="F881" s="121"/>
      <c r="G881" s="121"/>
      <c r="H881" s="121"/>
      <c r="I881" s="121"/>
      <c r="J881" s="121"/>
      <c r="K881" s="121"/>
      <c r="L881" s="121"/>
      <c r="M881" s="121"/>
      <c r="N881" s="121"/>
      <c r="O881" s="121"/>
      <c r="P881" s="121"/>
      <c r="Q881" s="121"/>
      <c r="R881" s="121"/>
      <c r="S881" s="121"/>
      <c r="T881" s="121"/>
      <c r="U881" s="121"/>
      <c r="V881" s="121"/>
      <c r="W881" s="121"/>
      <c r="X881" s="121"/>
      <c r="Y881" s="121"/>
      <c r="Z881" s="121"/>
    </row>
    <row r="882" customFormat="false" ht="15.75" hidden="false" customHeight="false" outlineLevel="0" collapsed="false">
      <c r="A882" s="121"/>
      <c r="B882" s="121"/>
      <c r="C882" s="121"/>
      <c r="D882" s="121"/>
      <c r="E882" s="121"/>
      <c r="F882" s="121"/>
      <c r="G882" s="121"/>
      <c r="H882" s="121"/>
      <c r="I882" s="121"/>
      <c r="J882" s="121"/>
      <c r="K882" s="121"/>
      <c r="L882" s="121"/>
      <c r="M882" s="121"/>
      <c r="N882" s="121"/>
      <c r="O882" s="121"/>
      <c r="P882" s="121"/>
      <c r="Q882" s="121"/>
      <c r="R882" s="121"/>
      <c r="S882" s="121"/>
      <c r="T882" s="121"/>
      <c r="U882" s="121"/>
      <c r="V882" s="121"/>
      <c r="W882" s="121"/>
      <c r="X882" s="121"/>
      <c r="Y882" s="121"/>
      <c r="Z882" s="121"/>
    </row>
    <row r="883" customFormat="false" ht="15.75" hidden="false" customHeight="false" outlineLevel="0" collapsed="false">
      <c r="A883" s="121"/>
      <c r="B883" s="121"/>
      <c r="C883" s="121"/>
      <c r="D883" s="121"/>
      <c r="E883" s="121"/>
      <c r="F883" s="121"/>
      <c r="G883" s="121"/>
      <c r="H883" s="121"/>
      <c r="I883" s="121"/>
      <c r="J883" s="121"/>
      <c r="K883" s="121"/>
      <c r="L883" s="121"/>
      <c r="M883" s="121"/>
      <c r="N883" s="121"/>
      <c r="O883" s="121"/>
      <c r="P883" s="121"/>
      <c r="Q883" s="121"/>
      <c r="R883" s="121"/>
      <c r="S883" s="121"/>
      <c r="T883" s="121"/>
      <c r="U883" s="121"/>
      <c r="V883" s="121"/>
      <c r="W883" s="121"/>
      <c r="X883" s="121"/>
      <c r="Y883" s="121"/>
      <c r="Z883" s="121"/>
    </row>
    <row r="884" customFormat="false" ht="15.75" hidden="false" customHeight="false" outlineLevel="0" collapsed="false">
      <c r="A884" s="121"/>
      <c r="B884" s="121"/>
      <c r="C884" s="121"/>
      <c r="D884" s="121"/>
      <c r="E884" s="121"/>
      <c r="F884" s="121"/>
      <c r="G884" s="121"/>
      <c r="H884" s="121"/>
      <c r="I884" s="121"/>
      <c r="J884" s="121"/>
      <c r="K884" s="121"/>
      <c r="L884" s="121"/>
      <c r="M884" s="121"/>
      <c r="N884" s="121"/>
      <c r="O884" s="121"/>
      <c r="P884" s="121"/>
      <c r="Q884" s="121"/>
      <c r="R884" s="121"/>
      <c r="S884" s="121"/>
      <c r="T884" s="121"/>
      <c r="U884" s="121"/>
      <c r="V884" s="121"/>
      <c r="W884" s="121"/>
      <c r="X884" s="121"/>
      <c r="Y884" s="121"/>
      <c r="Z884" s="121"/>
    </row>
    <row r="885" customFormat="false" ht="15.75" hidden="false" customHeight="false" outlineLevel="0" collapsed="false">
      <c r="A885" s="121"/>
      <c r="B885" s="121"/>
      <c r="C885" s="121"/>
      <c r="D885" s="121"/>
      <c r="E885" s="121"/>
      <c r="F885" s="121"/>
      <c r="G885" s="121"/>
      <c r="H885" s="121"/>
      <c r="I885" s="121"/>
      <c r="J885" s="121"/>
      <c r="K885" s="121"/>
      <c r="L885" s="121"/>
      <c r="M885" s="121"/>
      <c r="N885" s="121"/>
      <c r="O885" s="121"/>
      <c r="P885" s="121"/>
      <c r="Q885" s="121"/>
      <c r="R885" s="121"/>
      <c r="S885" s="121"/>
      <c r="T885" s="121"/>
      <c r="U885" s="121"/>
      <c r="V885" s="121"/>
      <c r="W885" s="121"/>
      <c r="X885" s="121"/>
      <c r="Y885" s="121"/>
      <c r="Z885" s="121"/>
    </row>
    <row r="886" customFormat="false" ht="15.75" hidden="false" customHeight="false" outlineLevel="0" collapsed="false">
      <c r="A886" s="121"/>
      <c r="B886" s="121"/>
      <c r="C886" s="121"/>
      <c r="D886" s="121"/>
      <c r="E886" s="121"/>
      <c r="F886" s="121"/>
      <c r="G886" s="121"/>
      <c r="H886" s="121"/>
      <c r="I886" s="121"/>
      <c r="J886" s="121"/>
      <c r="K886" s="121"/>
      <c r="L886" s="121"/>
      <c r="M886" s="121"/>
      <c r="N886" s="121"/>
      <c r="O886" s="121"/>
      <c r="P886" s="121"/>
      <c r="Q886" s="121"/>
      <c r="R886" s="121"/>
      <c r="S886" s="121"/>
      <c r="T886" s="121"/>
      <c r="U886" s="121"/>
      <c r="V886" s="121"/>
      <c r="W886" s="121"/>
      <c r="X886" s="121"/>
      <c r="Y886" s="121"/>
      <c r="Z886" s="121"/>
    </row>
    <row r="887" customFormat="false" ht="15.75" hidden="false" customHeight="false" outlineLevel="0" collapsed="false">
      <c r="A887" s="121"/>
      <c r="B887" s="121"/>
      <c r="C887" s="121"/>
      <c r="D887" s="121"/>
      <c r="E887" s="121"/>
      <c r="F887" s="121"/>
      <c r="G887" s="121"/>
      <c r="H887" s="121"/>
      <c r="I887" s="121"/>
      <c r="J887" s="121"/>
      <c r="K887" s="121"/>
      <c r="L887" s="121"/>
      <c r="M887" s="121"/>
      <c r="N887" s="121"/>
      <c r="O887" s="121"/>
      <c r="P887" s="121"/>
      <c r="Q887" s="121"/>
      <c r="R887" s="121"/>
      <c r="S887" s="121"/>
      <c r="T887" s="121"/>
      <c r="U887" s="121"/>
      <c r="V887" s="121"/>
      <c r="W887" s="121"/>
      <c r="X887" s="121"/>
      <c r="Y887" s="121"/>
      <c r="Z887" s="121"/>
    </row>
    <row r="888" customFormat="false" ht="15.75" hidden="false" customHeight="false" outlineLevel="0" collapsed="false">
      <c r="A888" s="121"/>
      <c r="B888" s="121"/>
      <c r="C888" s="121"/>
      <c r="D888" s="121"/>
      <c r="E888" s="121"/>
      <c r="F888" s="121"/>
      <c r="G888" s="121"/>
      <c r="H888" s="121"/>
      <c r="I888" s="121"/>
      <c r="J888" s="121"/>
      <c r="K888" s="121"/>
      <c r="L888" s="121"/>
      <c r="M888" s="121"/>
      <c r="N888" s="121"/>
      <c r="O888" s="121"/>
      <c r="P888" s="121"/>
      <c r="Q888" s="121"/>
      <c r="R888" s="121"/>
      <c r="S888" s="121"/>
      <c r="T888" s="121"/>
      <c r="U888" s="121"/>
      <c r="V888" s="121"/>
      <c r="W888" s="121"/>
      <c r="X888" s="121"/>
      <c r="Y888" s="121"/>
      <c r="Z888" s="121"/>
    </row>
    <row r="889" customFormat="false" ht="15.75" hidden="false" customHeight="false" outlineLevel="0" collapsed="false">
      <c r="A889" s="121"/>
      <c r="B889" s="121"/>
      <c r="C889" s="121"/>
      <c r="D889" s="121"/>
      <c r="E889" s="121"/>
      <c r="F889" s="121"/>
      <c r="G889" s="121"/>
      <c r="H889" s="121"/>
      <c r="I889" s="121"/>
      <c r="J889" s="121"/>
      <c r="K889" s="121"/>
      <c r="L889" s="121"/>
      <c r="M889" s="121"/>
      <c r="N889" s="121"/>
      <c r="O889" s="121"/>
      <c r="P889" s="121"/>
      <c r="Q889" s="121"/>
      <c r="R889" s="121"/>
      <c r="S889" s="121"/>
      <c r="T889" s="121"/>
      <c r="U889" s="121"/>
      <c r="V889" s="121"/>
      <c r="W889" s="121"/>
      <c r="X889" s="121"/>
      <c r="Y889" s="121"/>
      <c r="Z889" s="121"/>
    </row>
    <row r="890" customFormat="false" ht="15.75" hidden="false" customHeight="false" outlineLevel="0" collapsed="false">
      <c r="A890" s="121"/>
      <c r="B890" s="121"/>
      <c r="C890" s="121"/>
      <c r="D890" s="121"/>
      <c r="E890" s="121"/>
      <c r="F890" s="121"/>
      <c r="G890" s="121"/>
      <c r="H890" s="121"/>
      <c r="I890" s="121"/>
      <c r="J890" s="121"/>
      <c r="K890" s="121"/>
      <c r="L890" s="121"/>
      <c r="M890" s="121"/>
      <c r="N890" s="121"/>
      <c r="O890" s="121"/>
      <c r="P890" s="121"/>
      <c r="Q890" s="121"/>
      <c r="R890" s="121"/>
      <c r="S890" s="121"/>
      <c r="T890" s="121"/>
      <c r="U890" s="121"/>
      <c r="V890" s="121"/>
      <c r="W890" s="121"/>
      <c r="X890" s="121"/>
      <c r="Y890" s="121"/>
      <c r="Z890" s="121"/>
    </row>
    <row r="891" customFormat="false" ht="15.75" hidden="false" customHeight="false" outlineLevel="0" collapsed="false">
      <c r="A891" s="121"/>
      <c r="B891" s="121"/>
      <c r="C891" s="121"/>
      <c r="D891" s="121"/>
      <c r="E891" s="121"/>
      <c r="F891" s="121"/>
      <c r="G891" s="121"/>
      <c r="H891" s="121"/>
      <c r="I891" s="121"/>
      <c r="J891" s="121"/>
      <c r="K891" s="121"/>
      <c r="L891" s="121"/>
      <c r="M891" s="121"/>
      <c r="N891" s="121"/>
      <c r="O891" s="121"/>
      <c r="P891" s="121"/>
      <c r="Q891" s="121"/>
      <c r="R891" s="121"/>
      <c r="S891" s="121"/>
      <c r="T891" s="121"/>
      <c r="U891" s="121"/>
      <c r="V891" s="121"/>
      <c r="W891" s="121"/>
      <c r="X891" s="121"/>
      <c r="Y891" s="121"/>
      <c r="Z891" s="121"/>
    </row>
    <row r="892" customFormat="false" ht="15.75" hidden="false" customHeight="false" outlineLevel="0" collapsed="false">
      <c r="A892" s="121"/>
      <c r="B892" s="121"/>
      <c r="C892" s="121"/>
      <c r="D892" s="121"/>
      <c r="E892" s="121"/>
      <c r="F892" s="121"/>
      <c r="G892" s="121"/>
      <c r="H892" s="121"/>
      <c r="I892" s="121"/>
      <c r="J892" s="121"/>
      <c r="K892" s="121"/>
      <c r="L892" s="121"/>
      <c r="M892" s="121"/>
      <c r="N892" s="121"/>
      <c r="O892" s="121"/>
      <c r="P892" s="121"/>
      <c r="Q892" s="121"/>
      <c r="R892" s="121"/>
      <c r="S892" s="121"/>
      <c r="T892" s="121"/>
      <c r="U892" s="121"/>
      <c r="V892" s="121"/>
      <c r="W892" s="121"/>
      <c r="X892" s="121"/>
      <c r="Y892" s="121"/>
      <c r="Z892" s="121"/>
    </row>
    <row r="893" customFormat="false" ht="15.75" hidden="false" customHeight="false" outlineLevel="0" collapsed="false">
      <c r="A893" s="121"/>
      <c r="B893" s="121"/>
      <c r="C893" s="121"/>
      <c r="D893" s="121"/>
      <c r="E893" s="121"/>
      <c r="F893" s="121"/>
      <c r="G893" s="121"/>
      <c r="H893" s="121"/>
      <c r="I893" s="121"/>
      <c r="J893" s="121"/>
      <c r="K893" s="121"/>
      <c r="L893" s="121"/>
      <c r="M893" s="121"/>
      <c r="N893" s="121"/>
      <c r="O893" s="121"/>
      <c r="P893" s="121"/>
      <c r="Q893" s="121"/>
      <c r="R893" s="121"/>
      <c r="S893" s="121"/>
      <c r="T893" s="121"/>
      <c r="U893" s="121"/>
      <c r="V893" s="121"/>
      <c r="W893" s="121"/>
      <c r="X893" s="121"/>
      <c r="Y893" s="121"/>
      <c r="Z893" s="121"/>
    </row>
    <row r="894" customFormat="false" ht="15.75" hidden="false" customHeight="false" outlineLevel="0" collapsed="false">
      <c r="A894" s="121"/>
      <c r="B894" s="121"/>
      <c r="C894" s="121"/>
      <c r="D894" s="121"/>
      <c r="E894" s="121"/>
      <c r="F894" s="121"/>
      <c r="G894" s="121"/>
      <c r="H894" s="121"/>
      <c r="I894" s="121"/>
      <c r="J894" s="121"/>
      <c r="K894" s="121"/>
      <c r="L894" s="121"/>
      <c r="M894" s="121"/>
      <c r="N894" s="121"/>
      <c r="O894" s="121"/>
      <c r="P894" s="121"/>
      <c r="Q894" s="121"/>
      <c r="R894" s="121"/>
      <c r="S894" s="121"/>
      <c r="T894" s="121"/>
      <c r="U894" s="121"/>
      <c r="V894" s="121"/>
      <c r="W894" s="121"/>
      <c r="X894" s="121"/>
      <c r="Y894" s="121"/>
      <c r="Z894" s="121"/>
    </row>
    <row r="895" customFormat="false" ht="15.75" hidden="false" customHeight="false" outlineLevel="0" collapsed="false">
      <c r="A895" s="121"/>
      <c r="B895" s="121"/>
      <c r="C895" s="121"/>
      <c r="D895" s="121"/>
      <c r="E895" s="121"/>
      <c r="F895" s="121"/>
      <c r="G895" s="121"/>
      <c r="H895" s="121"/>
      <c r="I895" s="121"/>
      <c r="J895" s="121"/>
      <c r="K895" s="121"/>
      <c r="L895" s="121"/>
      <c r="M895" s="121"/>
      <c r="N895" s="121"/>
      <c r="O895" s="121"/>
      <c r="P895" s="121"/>
      <c r="Q895" s="121"/>
      <c r="R895" s="121"/>
      <c r="S895" s="121"/>
      <c r="T895" s="121"/>
      <c r="U895" s="121"/>
      <c r="V895" s="121"/>
      <c r="W895" s="121"/>
      <c r="X895" s="121"/>
      <c r="Y895" s="121"/>
      <c r="Z895" s="121"/>
    </row>
    <row r="896" customFormat="false" ht="15.75" hidden="false" customHeight="false" outlineLevel="0" collapsed="false">
      <c r="A896" s="121"/>
      <c r="B896" s="121"/>
      <c r="C896" s="121"/>
      <c r="D896" s="121"/>
      <c r="E896" s="121"/>
      <c r="F896" s="121"/>
      <c r="G896" s="121"/>
      <c r="H896" s="121"/>
      <c r="I896" s="121"/>
      <c r="J896" s="121"/>
      <c r="K896" s="121"/>
      <c r="L896" s="121"/>
      <c r="M896" s="121"/>
      <c r="N896" s="121"/>
      <c r="O896" s="121"/>
      <c r="P896" s="121"/>
      <c r="Q896" s="121"/>
      <c r="R896" s="121"/>
      <c r="S896" s="121"/>
      <c r="T896" s="121"/>
      <c r="U896" s="121"/>
      <c r="V896" s="121"/>
      <c r="W896" s="121"/>
      <c r="X896" s="121"/>
      <c r="Y896" s="121"/>
      <c r="Z896" s="121"/>
    </row>
    <row r="897" customFormat="false" ht="15.75" hidden="false" customHeight="false" outlineLevel="0" collapsed="false">
      <c r="A897" s="121"/>
      <c r="B897" s="121"/>
      <c r="C897" s="121"/>
      <c r="D897" s="121"/>
      <c r="E897" s="121"/>
      <c r="F897" s="121"/>
      <c r="G897" s="121"/>
      <c r="H897" s="121"/>
      <c r="I897" s="121"/>
      <c r="J897" s="121"/>
      <c r="K897" s="121"/>
      <c r="L897" s="121"/>
      <c r="M897" s="121"/>
      <c r="N897" s="121"/>
      <c r="O897" s="121"/>
      <c r="P897" s="121"/>
      <c r="Q897" s="121"/>
      <c r="R897" s="121"/>
      <c r="S897" s="121"/>
      <c r="T897" s="121"/>
      <c r="U897" s="121"/>
      <c r="V897" s="121"/>
      <c r="W897" s="121"/>
      <c r="X897" s="121"/>
      <c r="Y897" s="121"/>
      <c r="Z897" s="121"/>
    </row>
    <row r="898" customFormat="false" ht="15.75" hidden="false" customHeight="false" outlineLevel="0" collapsed="false">
      <c r="A898" s="121"/>
      <c r="B898" s="121"/>
      <c r="C898" s="121"/>
      <c r="D898" s="121"/>
      <c r="E898" s="121"/>
      <c r="F898" s="121"/>
      <c r="G898" s="121"/>
      <c r="H898" s="121"/>
      <c r="I898" s="121"/>
      <c r="J898" s="121"/>
      <c r="K898" s="121"/>
      <c r="L898" s="121"/>
      <c r="M898" s="121"/>
      <c r="N898" s="121"/>
      <c r="O898" s="121"/>
      <c r="P898" s="121"/>
      <c r="Q898" s="121"/>
      <c r="R898" s="121"/>
      <c r="S898" s="121"/>
      <c r="T898" s="121"/>
      <c r="U898" s="121"/>
      <c r="V898" s="121"/>
      <c r="W898" s="121"/>
      <c r="X898" s="121"/>
      <c r="Y898" s="121"/>
      <c r="Z898" s="121"/>
    </row>
    <row r="899" customFormat="false" ht="15.75" hidden="false" customHeight="false" outlineLevel="0" collapsed="false">
      <c r="A899" s="121"/>
      <c r="B899" s="121"/>
      <c r="C899" s="121"/>
      <c r="D899" s="121"/>
      <c r="E899" s="121"/>
      <c r="F899" s="121"/>
      <c r="G899" s="121"/>
      <c r="H899" s="121"/>
      <c r="I899" s="121"/>
      <c r="J899" s="121"/>
      <c r="K899" s="121"/>
      <c r="L899" s="121"/>
      <c r="M899" s="121"/>
      <c r="N899" s="121"/>
      <c r="O899" s="121"/>
      <c r="P899" s="121"/>
      <c r="Q899" s="121"/>
      <c r="R899" s="121"/>
      <c r="S899" s="121"/>
      <c r="T899" s="121"/>
      <c r="U899" s="121"/>
      <c r="V899" s="121"/>
      <c r="W899" s="121"/>
      <c r="X899" s="121"/>
      <c r="Y899" s="121"/>
      <c r="Z899" s="121"/>
    </row>
    <row r="900" customFormat="false" ht="15.75" hidden="false" customHeight="false" outlineLevel="0" collapsed="false">
      <c r="A900" s="121"/>
      <c r="B900" s="121"/>
      <c r="C900" s="121"/>
      <c r="D900" s="121"/>
      <c r="E900" s="121"/>
      <c r="F900" s="121"/>
      <c r="G900" s="121"/>
      <c r="H900" s="121"/>
      <c r="I900" s="121"/>
      <c r="J900" s="121"/>
      <c r="K900" s="121"/>
      <c r="L900" s="121"/>
      <c r="M900" s="121"/>
      <c r="N900" s="121"/>
      <c r="O900" s="121"/>
      <c r="P900" s="121"/>
      <c r="Q900" s="121"/>
      <c r="R900" s="121"/>
      <c r="S900" s="121"/>
      <c r="T900" s="121"/>
      <c r="U900" s="121"/>
      <c r="V900" s="121"/>
      <c r="W900" s="121"/>
      <c r="X900" s="121"/>
      <c r="Y900" s="121"/>
      <c r="Z900" s="121"/>
    </row>
    <row r="901" customFormat="false" ht="15.75" hidden="false" customHeight="false" outlineLevel="0" collapsed="false">
      <c r="A901" s="121"/>
      <c r="B901" s="121"/>
      <c r="C901" s="121"/>
      <c r="D901" s="121"/>
      <c r="E901" s="121"/>
      <c r="F901" s="121"/>
      <c r="G901" s="121"/>
      <c r="H901" s="121"/>
      <c r="I901" s="121"/>
      <c r="J901" s="121"/>
      <c r="K901" s="121"/>
      <c r="L901" s="121"/>
      <c r="M901" s="121"/>
      <c r="N901" s="121"/>
      <c r="O901" s="121"/>
      <c r="P901" s="121"/>
      <c r="Q901" s="121"/>
      <c r="R901" s="121"/>
      <c r="S901" s="121"/>
      <c r="T901" s="121"/>
      <c r="U901" s="121"/>
      <c r="V901" s="121"/>
      <c r="W901" s="121"/>
      <c r="X901" s="121"/>
      <c r="Y901" s="121"/>
      <c r="Z901" s="121"/>
    </row>
    <row r="902" customFormat="false" ht="15.75" hidden="false" customHeight="false" outlineLevel="0" collapsed="false">
      <c r="A902" s="121"/>
      <c r="B902" s="121"/>
      <c r="C902" s="121"/>
      <c r="D902" s="121"/>
      <c r="E902" s="121"/>
      <c r="F902" s="121"/>
      <c r="G902" s="121"/>
      <c r="H902" s="121"/>
      <c r="I902" s="121"/>
      <c r="J902" s="121"/>
      <c r="K902" s="121"/>
      <c r="L902" s="121"/>
      <c r="M902" s="121"/>
      <c r="N902" s="121"/>
      <c r="O902" s="121"/>
      <c r="P902" s="121"/>
      <c r="Q902" s="121"/>
      <c r="R902" s="121"/>
      <c r="S902" s="121"/>
      <c r="T902" s="121"/>
      <c r="U902" s="121"/>
      <c r="V902" s="121"/>
      <c r="W902" s="121"/>
      <c r="X902" s="121"/>
      <c r="Y902" s="121"/>
      <c r="Z902" s="121"/>
    </row>
    <row r="903" customFormat="false" ht="15.75" hidden="false" customHeight="false" outlineLevel="0" collapsed="false">
      <c r="A903" s="121"/>
      <c r="B903" s="121"/>
      <c r="C903" s="121"/>
      <c r="D903" s="121"/>
      <c r="E903" s="121"/>
      <c r="F903" s="121"/>
      <c r="G903" s="121"/>
      <c r="H903" s="121"/>
      <c r="I903" s="121"/>
      <c r="J903" s="121"/>
      <c r="K903" s="121"/>
      <c r="L903" s="121"/>
      <c r="M903" s="121"/>
      <c r="N903" s="121"/>
      <c r="O903" s="121"/>
      <c r="P903" s="121"/>
      <c r="Q903" s="121"/>
      <c r="R903" s="121"/>
      <c r="S903" s="121"/>
      <c r="T903" s="121"/>
      <c r="U903" s="121"/>
      <c r="V903" s="121"/>
      <c r="W903" s="121"/>
      <c r="X903" s="121"/>
      <c r="Y903" s="121"/>
      <c r="Z903" s="121"/>
    </row>
    <row r="904" customFormat="false" ht="15.75" hidden="false" customHeight="false" outlineLevel="0" collapsed="false">
      <c r="A904" s="121"/>
      <c r="B904" s="121"/>
      <c r="C904" s="121"/>
      <c r="D904" s="121"/>
      <c r="E904" s="121"/>
      <c r="F904" s="121"/>
      <c r="G904" s="121"/>
      <c r="H904" s="121"/>
      <c r="I904" s="121"/>
      <c r="J904" s="121"/>
      <c r="K904" s="121"/>
      <c r="L904" s="121"/>
      <c r="M904" s="121"/>
      <c r="N904" s="121"/>
      <c r="O904" s="121"/>
      <c r="P904" s="121"/>
      <c r="Q904" s="121"/>
      <c r="R904" s="121"/>
      <c r="S904" s="121"/>
      <c r="T904" s="121"/>
      <c r="U904" s="121"/>
      <c r="V904" s="121"/>
      <c r="W904" s="121"/>
      <c r="X904" s="121"/>
      <c r="Y904" s="121"/>
      <c r="Z904" s="121"/>
    </row>
    <row r="905" customFormat="false" ht="15.75" hidden="false" customHeight="false" outlineLevel="0" collapsed="false">
      <c r="A905" s="121"/>
      <c r="B905" s="121"/>
      <c r="C905" s="121"/>
      <c r="D905" s="121"/>
      <c r="E905" s="121"/>
      <c r="F905" s="121"/>
      <c r="G905" s="121"/>
      <c r="H905" s="121"/>
      <c r="I905" s="121"/>
      <c r="J905" s="121"/>
      <c r="K905" s="121"/>
      <c r="L905" s="121"/>
      <c r="M905" s="121"/>
      <c r="N905" s="121"/>
      <c r="O905" s="121"/>
      <c r="P905" s="121"/>
      <c r="Q905" s="121"/>
      <c r="R905" s="121"/>
      <c r="S905" s="121"/>
      <c r="T905" s="121"/>
      <c r="U905" s="121"/>
      <c r="V905" s="121"/>
      <c r="W905" s="121"/>
      <c r="X905" s="121"/>
      <c r="Y905" s="121"/>
      <c r="Z905" s="121"/>
    </row>
    <row r="906" customFormat="false" ht="15.75" hidden="false" customHeight="false" outlineLevel="0" collapsed="false">
      <c r="A906" s="121"/>
      <c r="B906" s="121"/>
      <c r="C906" s="121"/>
      <c r="D906" s="121"/>
      <c r="E906" s="121"/>
      <c r="F906" s="121"/>
      <c r="G906" s="121"/>
      <c r="H906" s="121"/>
      <c r="I906" s="121"/>
      <c r="J906" s="121"/>
      <c r="K906" s="121"/>
      <c r="L906" s="121"/>
      <c r="M906" s="121"/>
      <c r="N906" s="121"/>
      <c r="O906" s="121"/>
      <c r="P906" s="121"/>
      <c r="Q906" s="121"/>
      <c r="R906" s="121"/>
      <c r="S906" s="121"/>
      <c r="T906" s="121"/>
      <c r="U906" s="121"/>
      <c r="V906" s="121"/>
      <c r="W906" s="121"/>
      <c r="X906" s="121"/>
      <c r="Y906" s="121"/>
      <c r="Z906" s="121"/>
    </row>
    <row r="907" customFormat="false" ht="15.75" hidden="false" customHeight="false" outlineLevel="0" collapsed="false">
      <c r="A907" s="121"/>
      <c r="B907" s="121"/>
      <c r="C907" s="121"/>
      <c r="D907" s="121"/>
      <c r="E907" s="121"/>
      <c r="F907" s="121"/>
      <c r="G907" s="121"/>
      <c r="H907" s="121"/>
      <c r="I907" s="121"/>
      <c r="J907" s="121"/>
      <c r="K907" s="121"/>
      <c r="L907" s="121"/>
      <c r="M907" s="121"/>
      <c r="N907" s="121"/>
      <c r="O907" s="121"/>
      <c r="P907" s="121"/>
      <c r="Q907" s="121"/>
      <c r="R907" s="121"/>
      <c r="S907" s="121"/>
      <c r="T907" s="121"/>
      <c r="U907" s="121"/>
      <c r="V907" s="121"/>
      <c r="W907" s="121"/>
      <c r="X907" s="121"/>
      <c r="Y907" s="121"/>
      <c r="Z907" s="121"/>
    </row>
    <row r="908" customFormat="false" ht="15.75" hidden="false" customHeight="false" outlineLevel="0" collapsed="false">
      <c r="A908" s="121"/>
      <c r="B908" s="121"/>
      <c r="C908" s="121"/>
      <c r="D908" s="121"/>
      <c r="E908" s="121"/>
      <c r="F908" s="121"/>
      <c r="G908" s="121"/>
      <c r="H908" s="121"/>
      <c r="I908" s="121"/>
      <c r="J908" s="121"/>
      <c r="K908" s="121"/>
      <c r="L908" s="121"/>
      <c r="M908" s="121"/>
      <c r="N908" s="121"/>
      <c r="O908" s="121"/>
      <c r="P908" s="121"/>
      <c r="Q908" s="121"/>
      <c r="R908" s="121"/>
      <c r="S908" s="121"/>
      <c r="T908" s="121"/>
      <c r="U908" s="121"/>
      <c r="V908" s="121"/>
      <c r="W908" s="121"/>
      <c r="X908" s="121"/>
      <c r="Y908" s="121"/>
      <c r="Z908" s="121"/>
    </row>
    <row r="909" customFormat="false" ht="15.75" hidden="false" customHeight="false" outlineLevel="0" collapsed="false">
      <c r="A909" s="121"/>
      <c r="B909" s="121"/>
      <c r="C909" s="121"/>
      <c r="D909" s="121"/>
      <c r="E909" s="121"/>
      <c r="F909" s="121"/>
      <c r="G909" s="121"/>
      <c r="H909" s="121"/>
      <c r="I909" s="121"/>
      <c r="J909" s="121"/>
      <c r="K909" s="121"/>
      <c r="L909" s="121"/>
      <c r="M909" s="121"/>
      <c r="N909" s="121"/>
      <c r="O909" s="121"/>
      <c r="P909" s="121"/>
      <c r="Q909" s="121"/>
      <c r="R909" s="121"/>
      <c r="S909" s="121"/>
      <c r="T909" s="121"/>
      <c r="U909" s="121"/>
      <c r="V909" s="121"/>
      <c r="W909" s="121"/>
      <c r="X909" s="121"/>
      <c r="Y909" s="121"/>
      <c r="Z909" s="121"/>
    </row>
    <row r="910" customFormat="false" ht="15.75" hidden="false" customHeight="false" outlineLevel="0" collapsed="false">
      <c r="A910" s="121"/>
      <c r="B910" s="121"/>
      <c r="C910" s="121"/>
      <c r="D910" s="121"/>
      <c r="E910" s="121"/>
      <c r="F910" s="121"/>
      <c r="G910" s="121"/>
      <c r="H910" s="121"/>
      <c r="I910" s="121"/>
      <c r="J910" s="121"/>
      <c r="K910" s="121"/>
      <c r="L910" s="121"/>
      <c r="M910" s="121"/>
      <c r="N910" s="121"/>
      <c r="O910" s="121"/>
      <c r="P910" s="121"/>
      <c r="Q910" s="121"/>
      <c r="R910" s="121"/>
      <c r="S910" s="121"/>
      <c r="T910" s="121"/>
      <c r="U910" s="121"/>
      <c r="V910" s="121"/>
      <c r="W910" s="121"/>
      <c r="X910" s="121"/>
      <c r="Y910" s="121"/>
      <c r="Z910" s="121"/>
    </row>
    <row r="911" customFormat="false" ht="15.75" hidden="false" customHeight="false" outlineLevel="0" collapsed="false">
      <c r="A911" s="121"/>
      <c r="B911" s="121"/>
      <c r="C911" s="121"/>
      <c r="D911" s="121"/>
      <c r="E911" s="121"/>
      <c r="F911" s="121"/>
      <c r="G911" s="121"/>
      <c r="H911" s="121"/>
      <c r="I911" s="121"/>
      <c r="J911" s="121"/>
      <c r="K911" s="121"/>
      <c r="L911" s="121"/>
      <c r="M911" s="121"/>
      <c r="N911" s="121"/>
      <c r="O911" s="121"/>
      <c r="P911" s="121"/>
      <c r="Q911" s="121"/>
      <c r="R911" s="121"/>
      <c r="S911" s="121"/>
      <c r="T911" s="121"/>
      <c r="U911" s="121"/>
      <c r="V911" s="121"/>
      <c r="W911" s="121"/>
      <c r="X911" s="121"/>
      <c r="Y911" s="121"/>
      <c r="Z911" s="121"/>
    </row>
    <row r="912" customFormat="false" ht="15.75" hidden="false" customHeight="false" outlineLevel="0" collapsed="false">
      <c r="A912" s="121"/>
      <c r="B912" s="121"/>
      <c r="C912" s="121"/>
      <c r="D912" s="121"/>
      <c r="E912" s="121"/>
      <c r="F912" s="121"/>
      <c r="G912" s="121"/>
      <c r="H912" s="121"/>
      <c r="I912" s="121"/>
      <c r="J912" s="121"/>
      <c r="K912" s="121"/>
      <c r="L912" s="121"/>
      <c r="M912" s="121"/>
      <c r="N912" s="121"/>
      <c r="O912" s="121"/>
      <c r="P912" s="121"/>
      <c r="Q912" s="121"/>
      <c r="R912" s="121"/>
      <c r="S912" s="121"/>
      <c r="T912" s="121"/>
      <c r="U912" s="121"/>
      <c r="V912" s="121"/>
      <c r="W912" s="121"/>
      <c r="X912" s="121"/>
      <c r="Y912" s="121"/>
      <c r="Z912" s="121"/>
    </row>
    <row r="913" customFormat="false" ht="15.75" hidden="false" customHeight="false" outlineLevel="0" collapsed="false">
      <c r="A913" s="121"/>
      <c r="B913" s="121"/>
      <c r="C913" s="121"/>
      <c r="D913" s="121"/>
      <c r="E913" s="121"/>
      <c r="F913" s="121"/>
      <c r="G913" s="121"/>
      <c r="H913" s="121"/>
      <c r="I913" s="121"/>
      <c r="J913" s="121"/>
      <c r="K913" s="121"/>
      <c r="L913" s="121"/>
      <c r="M913" s="121"/>
      <c r="N913" s="121"/>
      <c r="O913" s="121"/>
      <c r="P913" s="121"/>
      <c r="Q913" s="121"/>
      <c r="R913" s="121"/>
      <c r="S913" s="121"/>
      <c r="T913" s="121"/>
      <c r="U913" s="121"/>
      <c r="V913" s="121"/>
      <c r="W913" s="121"/>
      <c r="X913" s="121"/>
      <c r="Y913" s="121"/>
      <c r="Z913" s="121"/>
    </row>
    <row r="914" customFormat="false" ht="15.75" hidden="false" customHeight="false" outlineLevel="0" collapsed="false">
      <c r="A914" s="121"/>
      <c r="B914" s="121"/>
      <c r="C914" s="121"/>
      <c r="D914" s="121"/>
      <c r="E914" s="121"/>
      <c r="F914" s="121"/>
      <c r="G914" s="121"/>
      <c r="H914" s="121"/>
      <c r="I914" s="121"/>
      <c r="J914" s="121"/>
      <c r="K914" s="121"/>
      <c r="L914" s="121"/>
      <c r="M914" s="121"/>
      <c r="N914" s="121"/>
      <c r="O914" s="121"/>
      <c r="P914" s="121"/>
      <c r="Q914" s="121"/>
      <c r="R914" s="121"/>
      <c r="S914" s="121"/>
      <c r="T914" s="121"/>
      <c r="U914" s="121"/>
      <c r="V914" s="121"/>
      <c r="W914" s="121"/>
      <c r="X914" s="121"/>
      <c r="Y914" s="121"/>
      <c r="Z914" s="121"/>
    </row>
    <row r="915" customFormat="false" ht="15.75" hidden="false" customHeight="false" outlineLevel="0" collapsed="false">
      <c r="A915" s="121"/>
      <c r="B915" s="121"/>
      <c r="C915" s="121"/>
      <c r="D915" s="121"/>
      <c r="E915" s="121"/>
      <c r="F915" s="121"/>
      <c r="G915" s="121"/>
      <c r="H915" s="121"/>
      <c r="I915" s="121"/>
      <c r="J915" s="121"/>
      <c r="K915" s="121"/>
      <c r="L915" s="121"/>
      <c r="M915" s="121"/>
      <c r="N915" s="121"/>
      <c r="O915" s="121"/>
      <c r="P915" s="121"/>
      <c r="Q915" s="121"/>
      <c r="R915" s="121"/>
      <c r="S915" s="121"/>
      <c r="T915" s="121"/>
      <c r="U915" s="121"/>
      <c r="V915" s="121"/>
      <c r="W915" s="121"/>
      <c r="X915" s="121"/>
      <c r="Y915" s="121"/>
      <c r="Z915" s="121"/>
    </row>
    <row r="916" customFormat="false" ht="15.75" hidden="false" customHeight="false" outlineLevel="0" collapsed="false">
      <c r="A916" s="121"/>
      <c r="B916" s="121"/>
      <c r="C916" s="121"/>
      <c r="D916" s="121"/>
      <c r="E916" s="121"/>
      <c r="F916" s="121"/>
      <c r="G916" s="121"/>
      <c r="H916" s="121"/>
      <c r="I916" s="121"/>
      <c r="J916" s="121"/>
      <c r="K916" s="121"/>
      <c r="L916" s="121"/>
      <c r="M916" s="121"/>
      <c r="N916" s="121"/>
      <c r="O916" s="121"/>
      <c r="P916" s="121"/>
      <c r="Q916" s="121"/>
      <c r="R916" s="121"/>
      <c r="S916" s="121"/>
      <c r="T916" s="121"/>
      <c r="U916" s="121"/>
      <c r="V916" s="121"/>
      <c r="W916" s="121"/>
      <c r="X916" s="121"/>
      <c r="Y916" s="121"/>
      <c r="Z916" s="121"/>
    </row>
    <row r="917" customFormat="false" ht="15.75" hidden="false" customHeight="false" outlineLevel="0" collapsed="false">
      <c r="A917" s="121"/>
      <c r="B917" s="121"/>
      <c r="C917" s="121"/>
      <c r="D917" s="121"/>
      <c r="E917" s="121"/>
      <c r="F917" s="121"/>
      <c r="G917" s="121"/>
      <c r="H917" s="121"/>
      <c r="I917" s="121"/>
      <c r="J917" s="121"/>
      <c r="K917" s="121"/>
      <c r="L917" s="121"/>
      <c r="M917" s="121"/>
      <c r="N917" s="121"/>
      <c r="O917" s="121"/>
      <c r="P917" s="121"/>
      <c r="Q917" s="121"/>
      <c r="R917" s="121"/>
      <c r="S917" s="121"/>
      <c r="T917" s="121"/>
      <c r="U917" s="121"/>
      <c r="V917" s="121"/>
      <c r="W917" s="121"/>
      <c r="X917" s="121"/>
      <c r="Y917" s="121"/>
      <c r="Z917" s="121"/>
    </row>
    <row r="918" customFormat="false" ht="15.75" hidden="false" customHeight="false" outlineLevel="0" collapsed="false">
      <c r="A918" s="121"/>
      <c r="B918" s="121"/>
      <c r="C918" s="121"/>
      <c r="D918" s="121"/>
      <c r="E918" s="121"/>
      <c r="F918" s="121"/>
      <c r="G918" s="121"/>
      <c r="H918" s="121"/>
      <c r="I918" s="121"/>
      <c r="J918" s="121"/>
      <c r="K918" s="121"/>
      <c r="L918" s="121"/>
      <c r="M918" s="121"/>
      <c r="N918" s="121"/>
      <c r="O918" s="121"/>
      <c r="P918" s="121"/>
      <c r="Q918" s="121"/>
      <c r="R918" s="121"/>
      <c r="S918" s="121"/>
      <c r="T918" s="121"/>
      <c r="U918" s="121"/>
      <c r="V918" s="121"/>
      <c r="W918" s="121"/>
      <c r="X918" s="121"/>
      <c r="Y918" s="121"/>
      <c r="Z918" s="121"/>
    </row>
    <row r="919" customFormat="false" ht="15.75" hidden="false" customHeight="false" outlineLevel="0" collapsed="false">
      <c r="A919" s="121"/>
      <c r="B919" s="121"/>
      <c r="C919" s="121"/>
      <c r="D919" s="121"/>
      <c r="E919" s="121"/>
      <c r="F919" s="121"/>
      <c r="G919" s="121"/>
      <c r="H919" s="121"/>
      <c r="I919" s="121"/>
      <c r="J919" s="121"/>
      <c r="K919" s="121"/>
      <c r="L919" s="121"/>
      <c r="M919" s="121"/>
      <c r="N919" s="121"/>
      <c r="O919" s="121"/>
      <c r="P919" s="121"/>
      <c r="Q919" s="121"/>
      <c r="R919" s="121"/>
      <c r="S919" s="121"/>
      <c r="T919" s="121"/>
      <c r="U919" s="121"/>
      <c r="V919" s="121"/>
      <c r="W919" s="121"/>
      <c r="X919" s="121"/>
      <c r="Y919" s="121"/>
      <c r="Z919" s="121"/>
    </row>
    <row r="920" customFormat="false" ht="15.75" hidden="false" customHeight="false" outlineLevel="0" collapsed="false">
      <c r="A920" s="121"/>
      <c r="B920" s="121"/>
      <c r="C920" s="121"/>
      <c r="D920" s="121"/>
      <c r="E920" s="121"/>
      <c r="F920" s="121"/>
      <c r="G920" s="121"/>
      <c r="H920" s="121"/>
      <c r="I920" s="121"/>
      <c r="J920" s="121"/>
      <c r="K920" s="121"/>
      <c r="L920" s="121"/>
      <c r="M920" s="121"/>
      <c r="N920" s="121"/>
      <c r="O920" s="121"/>
      <c r="P920" s="121"/>
      <c r="Q920" s="121"/>
      <c r="R920" s="121"/>
      <c r="S920" s="121"/>
      <c r="T920" s="121"/>
      <c r="U920" s="121"/>
      <c r="V920" s="121"/>
      <c r="W920" s="121"/>
      <c r="X920" s="121"/>
      <c r="Y920" s="121"/>
      <c r="Z920" s="121"/>
    </row>
    <row r="921" customFormat="false" ht="15.75" hidden="false" customHeight="false" outlineLevel="0" collapsed="false">
      <c r="A921" s="121"/>
      <c r="B921" s="121"/>
      <c r="C921" s="121"/>
      <c r="D921" s="121"/>
      <c r="E921" s="121"/>
      <c r="F921" s="121"/>
      <c r="G921" s="121"/>
      <c r="H921" s="121"/>
      <c r="I921" s="121"/>
      <c r="J921" s="121"/>
      <c r="K921" s="121"/>
      <c r="L921" s="121"/>
      <c r="M921" s="121"/>
      <c r="N921" s="121"/>
      <c r="O921" s="121"/>
      <c r="P921" s="121"/>
      <c r="Q921" s="121"/>
      <c r="R921" s="121"/>
      <c r="S921" s="121"/>
      <c r="T921" s="121"/>
      <c r="U921" s="121"/>
      <c r="V921" s="121"/>
      <c r="W921" s="121"/>
      <c r="X921" s="121"/>
      <c r="Y921" s="121"/>
      <c r="Z921" s="121"/>
    </row>
    <row r="922" customFormat="false" ht="15.75" hidden="false" customHeight="false" outlineLevel="0" collapsed="false">
      <c r="A922" s="121"/>
      <c r="B922" s="121"/>
      <c r="C922" s="121"/>
      <c r="D922" s="121"/>
      <c r="E922" s="121"/>
      <c r="F922" s="121"/>
      <c r="G922" s="121"/>
      <c r="H922" s="121"/>
      <c r="I922" s="121"/>
      <c r="J922" s="121"/>
      <c r="K922" s="121"/>
      <c r="L922" s="121"/>
      <c r="M922" s="121"/>
      <c r="N922" s="121"/>
      <c r="O922" s="121"/>
      <c r="P922" s="121"/>
      <c r="Q922" s="121"/>
      <c r="R922" s="121"/>
      <c r="S922" s="121"/>
      <c r="T922" s="121"/>
      <c r="U922" s="121"/>
      <c r="V922" s="121"/>
      <c r="W922" s="121"/>
      <c r="X922" s="121"/>
      <c r="Y922" s="121"/>
      <c r="Z922" s="121"/>
    </row>
    <row r="923" customFormat="false" ht="15.75" hidden="false" customHeight="false" outlineLevel="0" collapsed="false">
      <c r="A923" s="121"/>
      <c r="B923" s="121"/>
      <c r="C923" s="121"/>
      <c r="D923" s="121"/>
      <c r="E923" s="121"/>
      <c r="F923" s="121"/>
      <c r="G923" s="121"/>
      <c r="H923" s="121"/>
      <c r="I923" s="121"/>
      <c r="J923" s="121"/>
      <c r="K923" s="121"/>
      <c r="L923" s="121"/>
      <c r="M923" s="121"/>
      <c r="N923" s="121"/>
      <c r="O923" s="121"/>
      <c r="P923" s="121"/>
      <c r="Q923" s="121"/>
      <c r="R923" s="121"/>
      <c r="S923" s="121"/>
      <c r="T923" s="121"/>
      <c r="U923" s="121"/>
      <c r="V923" s="121"/>
      <c r="W923" s="121"/>
      <c r="X923" s="121"/>
      <c r="Y923" s="121"/>
      <c r="Z923" s="121"/>
    </row>
    <row r="924" customFormat="false" ht="15.75" hidden="false" customHeight="false" outlineLevel="0" collapsed="false">
      <c r="A924" s="121"/>
      <c r="B924" s="121"/>
      <c r="C924" s="121"/>
      <c r="D924" s="121"/>
      <c r="E924" s="121"/>
      <c r="F924" s="121"/>
      <c r="G924" s="121"/>
      <c r="H924" s="121"/>
      <c r="I924" s="121"/>
      <c r="J924" s="121"/>
      <c r="K924" s="121"/>
      <c r="L924" s="121"/>
      <c r="M924" s="121"/>
      <c r="N924" s="121"/>
      <c r="O924" s="121"/>
      <c r="P924" s="121"/>
      <c r="Q924" s="121"/>
      <c r="R924" s="121"/>
      <c r="S924" s="121"/>
      <c r="T924" s="121"/>
      <c r="U924" s="121"/>
      <c r="V924" s="121"/>
      <c r="W924" s="121"/>
      <c r="X924" s="121"/>
      <c r="Y924" s="121"/>
      <c r="Z924" s="121"/>
    </row>
    <row r="925" customFormat="false" ht="15.75" hidden="false" customHeight="false" outlineLevel="0" collapsed="false">
      <c r="A925" s="121"/>
      <c r="B925" s="121"/>
      <c r="C925" s="121"/>
      <c r="D925" s="121"/>
      <c r="E925" s="121"/>
      <c r="F925" s="121"/>
      <c r="G925" s="121"/>
      <c r="H925" s="121"/>
      <c r="I925" s="121"/>
      <c r="J925" s="121"/>
      <c r="K925" s="121"/>
      <c r="L925" s="121"/>
      <c r="M925" s="121"/>
      <c r="N925" s="121"/>
      <c r="O925" s="121"/>
      <c r="P925" s="121"/>
      <c r="Q925" s="121"/>
      <c r="R925" s="121"/>
      <c r="S925" s="121"/>
      <c r="T925" s="121"/>
      <c r="U925" s="121"/>
      <c r="V925" s="121"/>
      <c r="W925" s="121"/>
      <c r="X925" s="121"/>
      <c r="Y925" s="121"/>
      <c r="Z925" s="121"/>
    </row>
    <row r="926" customFormat="false" ht="15.75" hidden="false" customHeight="false" outlineLevel="0" collapsed="false">
      <c r="A926" s="121"/>
      <c r="B926" s="121"/>
      <c r="C926" s="121"/>
      <c r="D926" s="121"/>
      <c r="E926" s="121"/>
      <c r="F926" s="121"/>
      <c r="G926" s="121"/>
      <c r="H926" s="121"/>
      <c r="I926" s="121"/>
      <c r="J926" s="121"/>
      <c r="K926" s="121"/>
      <c r="L926" s="121"/>
      <c r="M926" s="121"/>
      <c r="N926" s="121"/>
      <c r="O926" s="121"/>
      <c r="P926" s="121"/>
      <c r="Q926" s="121"/>
      <c r="R926" s="121"/>
      <c r="S926" s="121"/>
      <c r="T926" s="121"/>
      <c r="U926" s="121"/>
      <c r="V926" s="121"/>
      <c r="W926" s="121"/>
      <c r="X926" s="121"/>
      <c r="Y926" s="121"/>
      <c r="Z926" s="121"/>
    </row>
    <row r="927" customFormat="false" ht="15.75" hidden="false" customHeight="false" outlineLevel="0" collapsed="false">
      <c r="A927" s="121"/>
      <c r="B927" s="121"/>
      <c r="C927" s="121"/>
      <c r="D927" s="121"/>
      <c r="E927" s="121"/>
      <c r="F927" s="121"/>
      <c r="G927" s="121"/>
      <c r="H927" s="121"/>
      <c r="I927" s="121"/>
      <c r="J927" s="121"/>
      <c r="K927" s="121"/>
      <c r="L927" s="121"/>
      <c r="M927" s="121"/>
      <c r="N927" s="121"/>
      <c r="O927" s="121"/>
      <c r="P927" s="121"/>
      <c r="Q927" s="121"/>
      <c r="R927" s="121"/>
      <c r="S927" s="121"/>
      <c r="T927" s="121"/>
      <c r="U927" s="121"/>
      <c r="V927" s="121"/>
      <c r="W927" s="121"/>
      <c r="X927" s="121"/>
      <c r="Y927" s="121"/>
      <c r="Z927" s="121"/>
    </row>
    <row r="928" customFormat="false" ht="15.75" hidden="false" customHeight="false" outlineLevel="0" collapsed="false">
      <c r="A928" s="121"/>
      <c r="B928" s="121"/>
      <c r="C928" s="121"/>
      <c r="D928" s="121"/>
      <c r="E928" s="121"/>
      <c r="F928" s="121"/>
      <c r="G928" s="121"/>
      <c r="H928" s="121"/>
      <c r="I928" s="121"/>
      <c r="J928" s="121"/>
      <c r="K928" s="121"/>
      <c r="L928" s="121"/>
      <c r="M928" s="121"/>
      <c r="N928" s="121"/>
      <c r="O928" s="121"/>
      <c r="P928" s="121"/>
      <c r="Q928" s="121"/>
      <c r="R928" s="121"/>
      <c r="S928" s="121"/>
      <c r="T928" s="121"/>
      <c r="U928" s="121"/>
      <c r="V928" s="121"/>
      <c r="W928" s="121"/>
      <c r="X928" s="121"/>
      <c r="Y928" s="121"/>
      <c r="Z928" s="121"/>
    </row>
    <row r="929" customFormat="false" ht="15.75" hidden="false" customHeight="false" outlineLevel="0" collapsed="false">
      <c r="A929" s="121"/>
      <c r="B929" s="121"/>
      <c r="C929" s="121"/>
      <c r="D929" s="121"/>
      <c r="E929" s="121"/>
      <c r="F929" s="121"/>
      <c r="G929" s="121"/>
      <c r="H929" s="121"/>
      <c r="I929" s="121"/>
      <c r="J929" s="121"/>
      <c r="K929" s="121"/>
      <c r="L929" s="121"/>
      <c r="M929" s="121"/>
      <c r="N929" s="121"/>
      <c r="O929" s="121"/>
      <c r="P929" s="121"/>
      <c r="Q929" s="121"/>
      <c r="R929" s="121"/>
      <c r="S929" s="121"/>
      <c r="T929" s="121"/>
      <c r="U929" s="121"/>
      <c r="V929" s="121"/>
      <c r="W929" s="121"/>
      <c r="X929" s="121"/>
      <c r="Y929" s="121"/>
      <c r="Z929" s="121"/>
    </row>
    <row r="930" customFormat="false" ht="15.75" hidden="false" customHeight="false" outlineLevel="0" collapsed="false">
      <c r="A930" s="121"/>
      <c r="B930" s="121"/>
      <c r="C930" s="121"/>
      <c r="D930" s="121"/>
      <c r="E930" s="121"/>
      <c r="F930" s="121"/>
      <c r="G930" s="121"/>
      <c r="H930" s="121"/>
      <c r="I930" s="121"/>
      <c r="J930" s="121"/>
      <c r="K930" s="121"/>
      <c r="L930" s="121"/>
      <c r="M930" s="121"/>
      <c r="N930" s="121"/>
      <c r="O930" s="121"/>
      <c r="P930" s="121"/>
      <c r="Q930" s="121"/>
      <c r="R930" s="121"/>
      <c r="S930" s="121"/>
      <c r="T930" s="121"/>
      <c r="U930" s="121"/>
      <c r="V930" s="121"/>
      <c r="W930" s="121"/>
      <c r="X930" s="121"/>
      <c r="Y930" s="121"/>
      <c r="Z930" s="121"/>
    </row>
    <row r="931" customFormat="false" ht="15.75" hidden="false" customHeight="false" outlineLevel="0" collapsed="false">
      <c r="A931" s="121"/>
      <c r="B931" s="121"/>
      <c r="C931" s="121"/>
      <c r="D931" s="121"/>
      <c r="E931" s="121"/>
      <c r="F931" s="121"/>
      <c r="G931" s="121"/>
      <c r="H931" s="121"/>
      <c r="I931" s="121"/>
      <c r="J931" s="121"/>
      <c r="K931" s="121"/>
      <c r="L931" s="121"/>
      <c r="M931" s="121"/>
      <c r="N931" s="121"/>
      <c r="O931" s="121"/>
      <c r="P931" s="121"/>
      <c r="Q931" s="121"/>
      <c r="R931" s="121"/>
      <c r="S931" s="121"/>
      <c r="T931" s="121"/>
      <c r="U931" s="121"/>
      <c r="V931" s="121"/>
      <c r="W931" s="121"/>
      <c r="X931" s="121"/>
      <c r="Y931" s="121"/>
      <c r="Z931" s="121"/>
    </row>
    <row r="932" customFormat="false" ht="15.75" hidden="false" customHeight="false" outlineLevel="0" collapsed="false">
      <c r="A932" s="121"/>
      <c r="B932" s="121"/>
      <c r="C932" s="121"/>
      <c r="D932" s="121"/>
      <c r="E932" s="121"/>
      <c r="F932" s="121"/>
      <c r="G932" s="121"/>
      <c r="H932" s="121"/>
      <c r="I932" s="121"/>
      <c r="J932" s="121"/>
      <c r="K932" s="121"/>
      <c r="L932" s="121"/>
      <c r="M932" s="121"/>
      <c r="N932" s="121"/>
      <c r="O932" s="121"/>
      <c r="P932" s="121"/>
      <c r="Q932" s="121"/>
      <c r="R932" s="121"/>
      <c r="S932" s="121"/>
      <c r="T932" s="121"/>
      <c r="U932" s="121"/>
      <c r="V932" s="121"/>
      <c r="W932" s="121"/>
      <c r="X932" s="121"/>
      <c r="Y932" s="121"/>
      <c r="Z932" s="121"/>
    </row>
    <row r="933" customFormat="false" ht="15.75" hidden="false" customHeight="false" outlineLevel="0" collapsed="false">
      <c r="A933" s="121"/>
      <c r="B933" s="121"/>
      <c r="C933" s="121"/>
      <c r="D933" s="121"/>
      <c r="E933" s="121"/>
      <c r="F933" s="121"/>
      <c r="G933" s="121"/>
      <c r="H933" s="121"/>
      <c r="I933" s="121"/>
      <c r="J933" s="121"/>
      <c r="K933" s="121"/>
      <c r="L933" s="121"/>
      <c r="M933" s="121"/>
      <c r="N933" s="121"/>
      <c r="O933" s="121"/>
      <c r="P933" s="121"/>
      <c r="Q933" s="121"/>
      <c r="R933" s="121"/>
      <c r="S933" s="121"/>
      <c r="T933" s="121"/>
      <c r="U933" s="121"/>
      <c r="V933" s="121"/>
      <c r="W933" s="121"/>
      <c r="X933" s="121"/>
      <c r="Y933" s="121"/>
      <c r="Z933" s="121"/>
    </row>
    <row r="934" customFormat="false" ht="15.75" hidden="false" customHeight="false" outlineLevel="0" collapsed="false">
      <c r="A934" s="121"/>
      <c r="B934" s="121"/>
      <c r="C934" s="121"/>
      <c r="D934" s="121"/>
      <c r="E934" s="121"/>
      <c r="F934" s="121"/>
      <c r="G934" s="121"/>
      <c r="H934" s="121"/>
      <c r="I934" s="121"/>
      <c r="J934" s="121"/>
      <c r="K934" s="121"/>
      <c r="L934" s="121"/>
      <c r="M934" s="121"/>
      <c r="N934" s="121"/>
      <c r="O934" s="121"/>
      <c r="P934" s="121"/>
      <c r="Q934" s="121"/>
      <c r="R934" s="121"/>
      <c r="S934" s="121"/>
      <c r="T934" s="121"/>
      <c r="U934" s="121"/>
      <c r="V934" s="121"/>
      <c r="W934" s="121"/>
      <c r="X934" s="121"/>
      <c r="Y934" s="121"/>
      <c r="Z934" s="121"/>
    </row>
    <row r="935" customFormat="false" ht="15.75" hidden="false" customHeight="false" outlineLevel="0" collapsed="false">
      <c r="A935" s="121"/>
      <c r="B935" s="121"/>
      <c r="C935" s="121"/>
      <c r="D935" s="121"/>
      <c r="E935" s="121"/>
      <c r="F935" s="121"/>
      <c r="G935" s="121"/>
      <c r="H935" s="121"/>
      <c r="I935" s="121"/>
      <c r="J935" s="121"/>
      <c r="K935" s="121"/>
      <c r="L935" s="121"/>
      <c r="M935" s="121"/>
      <c r="N935" s="121"/>
      <c r="O935" s="121"/>
      <c r="P935" s="121"/>
      <c r="Q935" s="121"/>
      <c r="R935" s="121"/>
      <c r="S935" s="121"/>
      <c r="T935" s="121"/>
      <c r="U935" s="121"/>
      <c r="V935" s="121"/>
      <c r="W935" s="121"/>
      <c r="X935" s="121"/>
      <c r="Y935" s="121"/>
      <c r="Z935" s="121"/>
    </row>
    <row r="936" customFormat="false" ht="15.75" hidden="false" customHeight="false" outlineLevel="0" collapsed="false">
      <c r="A936" s="121"/>
      <c r="B936" s="121"/>
      <c r="C936" s="121"/>
      <c r="D936" s="121"/>
      <c r="E936" s="121"/>
      <c r="F936" s="121"/>
      <c r="G936" s="121"/>
      <c r="H936" s="121"/>
      <c r="I936" s="121"/>
      <c r="J936" s="121"/>
      <c r="K936" s="121"/>
      <c r="L936" s="121"/>
      <c r="M936" s="121"/>
      <c r="N936" s="121"/>
      <c r="O936" s="121"/>
      <c r="P936" s="121"/>
      <c r="Q936" s="121"/>
      <c r="R936" s="121"/>
      <c r="S936" s="121"/>
      <c r="T936" s="121"/>
      <c r="U936" s="121"/>
      <c r="V936" s="121"/>
      <c r="W936" s="121"/>
      <c r="X936" s="121"/>
      <c r="Y936" s="121"/>
      <c r="Z936" s="121"/>
    </row>
    <row r="937" customFormat="false" ht="15.75" hidden="false" customHeight="false" outlineLevel="0" collapsed="false">
      <c r="A937" s="121"/>
      <c r="B937" s="121"/>
      <c r="C937" s="121"/>
      <c r="D937" s="121"/>
      <c r="E937" s="121"/>
      <c r="F937" s="121"/>
      <c r="G937" s="121"/>
      <c r="H937" s="121"/>
      <c r="I937" s="121"/>
      <c r="J937" s="121"/>
      <c r="K937" s="121"/>
      <c r="L937" s="121"/>
      <c r="M937" s="121"/>
      <c r="N937" s="121"/>
      <c r="O937" s="121"/>
      <c r="P937" s="121"/>
      <c r="Q937" s="121"/>
      <c r="R937" s="121"/>
      <c r="S937" s="121"/>
      <c r="T937" s="121"/>
      <c r="U937" s="121"/>
      <c r="V937" s="121"/>
      <c r="W937" s="121"/>
      <c r="X937" s="121"/>
      <c r="Y937" s="121"/>
      <c r="Z937" s="121"/>
    </row>
    <row r="938" customFormat="false" ht="15.75" hidden="false" customHeight="false" outlineLevel="0" collapsed="false">
      <c r="A938" s="121"/>
      <c r="B938" s="121"/>
      <c r="C938" s="121"/>
      <c r="D938" s="121"/>
      <c r="E938" s="121"/>
      <c r="F938" s="121"/>
      <c r="G938" s="121"/>
      <c r="H938" s="121"/>
      <c r="I938" s="121"/>
      <c r="J938" s="121"/>
      <c r="K938" s="121"/>
      <c r="L938" s="121"/>
      <c r="M938" s="121"/>
      <c r="N938" s="121"/>
      <c r="O938" s="121"/>
      <c r="P938" s="121"/>
      <c r="Q938" s="121"/>
      <c r="R938" s="121"/>
      <c r="S938" s="121"/>
      <c r="T938" s="121"/>
      <c r="U938" s="121"/>
      <c r="V938" s="121"/>
      <c r="W938" s="121"/>
      <c r="X938" s="121"/>
      <c r="Y938" s="121"/>
      <c r="Z938" s="121"/>
    </row>
    <row r="939" customFormat="false" ht="15.75" hidden="false" customHeight="false" outlineLevel="0" collapsed="false">
      <c r="A939" s="121"/>
      <c r="B939" s="121"/>
      <c r="C939" s="121"/>
      <c r="D939" s="121"/>
      <c r="E939" s="121"/>
      <c r="F939" s="121"/>
      <c r="G939" s="121"/>
      <c r="H939" s="121"/>
      <c r="I939" s="121"/>
      <c r="J939" s="121"/>
      <c r="K939" s="121"/>
      <c r="L939" s="121"/>
      <c r="M939" s="121"/>
      <c r="N939" s="121"/>
      <c r="O939" s="121"/>
      <c r="P939" s="121"/>
      <c r="Q939" s="121"/>
      <c r="R939" s="121"/>
      <c r="S939" s="121"/>
      <c r="T939" s="121"/>
      <c r="U939" s="121"/>
      <c r="V939" s="121"/>
      <c r="W939" s="121"/>
      <c r="X939" s="121"/>
      <c r="Y939" s="121"/>
      <c r="Z939" s="121"/>
    </row>
    <row r="940" customFormat="false" ht="15.75" hidden="false" customHeight="false" outlineLevel="0" collapsed="false">
      <c r="A940" s="121"/>
      <c r="B940" s="121"/>
      <c r="C940" s="121"/>
      <c r="D940" s="121"/>
      <c r="E940" s="121"/>
      <c r="F940" s="121"/>
      <c r="G940" s="121"/>
      <c r="H940" s="121"/>
      <c r="I940" s="121"/>
      <c r="J940" s="121"/>
      <c r="K940" s="121"/>
      <c r="L940" s="121"/>
      <c r="M940" s="121"/>
      <c r="N940" s="121"/>
      <c r="O940" s="121"/>
      <c r="P940" s="121"/>
      <c r="Q940" s="121"/>
      <c r="R940" s="121"/>
      <c r="S940" s="121"/>
      <c r="T940" s="121"/>
      <c r="U940" s="121"/>
      <c r="V940" s="121"/>
      <c r="W940" s="121"/>
      <c r="X940" s="121"/>
      <c r="Y940" s="121"/>
      <c r="Z940" s="121"/>
    </row>
    <row r="941" customFormat="false" ht="15.75" hidden="false" customHeight="false" outlineLevel="0" collapsed="false">
      <c r="A941" s="121"/>
      <c r="B941" s="121"/>
      <c r="C941" s="121"/>
      <c r="D941" s="121"/>
      <c r="E941" s="121"/>
      <c r="F941" s="121"/>
      <c r="G941" s="121"/>
      <c r="H941" s="121"/>
      <c r="I941" s="121"/>
      <c r="J941" s="121"/>
      <c r="K941" s="121"/>
      <c r="L941" s="121"/>
      <c r="M941" s="121"/>
      <c r="N941" s="121"/>
      <c r="O941" s="121"/>
      <c r="P941" s="121"/>
      <c r="Q941" s="121"/>
      <c r="R941" s="121"/>
      <c r="S941" s="121"/>
      <c r="T941" s="121"/>
      <c r="U941" s="121"/>
      <c r="V941" s="121"/>
      <c r="W941" s="121"/>
      <c r="X941" s="121"/>
      <c r="Y941" s="121"/>
      <c r="Z941" s="121"/>
    </row>
    <row r="942" customFormat="false" ht="15.75" hidden="false" customHeight="false" outlineLevel="0" collapsed="false">
      <c r="A942" s="121"/>
      <c r="B942" s="121"/>
      <c r="C942" s="121"/>
      <c r="D942" s="121"/>
      <c r="E942" s="121"/>
      <c r="F942" s="121"/>
      <c r="G942" s="121"/>
      <c r="H942" s="121"/>
      <c r="I942" s="121"/>
      <c r="J942" s="121"/>
      <c r="K942" s="121"/>
      <c r="L942" s="121"/>
      <c r="M942" s="121"/>
      <c r="N942" s="121"/>
      <c r="O942" s="121"/>
      <c r="P942" s="121"/>
      <c r="Q942" s="121"/>
      <c r="R942" s="121"/>
      <c r="S942" s="121"/>
      <c r="T942" s="121"/>
      <c r="U942" s="121"/>
      <c r="V942" s="121"/>
      <c r="W942" s="121"/>
      <c r="X942" s="121"/>
      <c r="Y942" s="121"/>
      <c r="Z942" s="121"/>
    </row>
    <row r="943" customFormat="false" ht="15.75" hidden="false" customHeight="false" outlineLevel="0" collapsed="false">
      <c r="A943" s="121"/>
      <c r="B943" s="121"/>
      <c r="C943" s="121"/>
      <c r="D943" s="121"/>
      <c r="E943" s="121"/>
      <c r="F943" s="121"/>
      <c r="G943" s="121"/>
      <c r="H943" s="121"/>
      <c r="I943" s="121"/>
      <c r="J943" s="121"/>
      <c r="K943" s="121"/>
      <c r="L943" s="121"/>
      <c r="M943" s="121"/>
      <c r="N943" s="121"/>
      <c r="O943" s="121"/>
      <c r="P943" s="121"/>
      <c r="Q943" s="121"/>
      <c r="R943" s="121"/>
      <c r="S943" s="121"/>
      <c r="T943" s="121"/>
      <c r="U943" s="121"/>
      <c r="V943" s="121"/>
      <c r="W943" s="121"/>
      <c r="X943" s="121"/>
      <c r="Y943" s="121"/>
      <c r="Z943" s="121"/>
    </row>
    <row r="944" customFormat="false" ht="15.75" hidden="false" customHeight="false" outlineLevel="0" collapsed="false">
      <c r="A944" s="121"/>
      <c r="B944" s="121"/>
      <c r="C944" s="121"/>
      <c r="D944" s="121"/>
      <c r="E944" s="121"/>
      <c r="F944" s="121"/>
      <c r="G944" s="121"/>
      <c r="H944" s="121"/>
      <c r="I944" s="121"/>
      <c r="J944" s="121"/>
      <c r="K944" s="121"/>
      <c r="L944" s="121"/>
      <c r="M944" s="121"/>
      <c r="N944" s="121"/>
      <c r="O944" s="121"/>
      <c r="P944" s="121"/>
      <c r="Q944" s="121"/>
      <c r="R944" s="121"/>
      <c r="S944" s="121"/>
      <c r="T944" s="121"/>
      <c r="U944" s="121"/>
      <c r="V944" s="121"/>
      <c r="W944" s="121"/>
      <c r="X944" s="121"/>
      <c r="Y944" s="121"/>
      <c r="Z944" s="121"/>
    </row>
    <row r="945" customFormat="false" ht="15.75" hidden="false" customHeight="false" outlineLevel="0" collapsed="false">
      <c r="A945" s="121"/>
      <c r="B945" s="121"/>
      <c r="C945" s="121"/>
      <c r="D945" s="121"/>
      <c r="E945" s="121"/>
      <c r="F945" s="121"/>
      <c r="G945" s="121"/>
      <c r="H945" s="121"/>
      <c r="I945" s="121"/>
      <c r="J945" s="121"/>
      <c r="K945" s="121"/>
      <c r="L945" s="121"/>
      <c r="M945" s="121"/>
      <c r="N945" s="121"/>
      <c r="O945" s="121"/>
      <c r="P945" s="121"/>
      <c r="Q945" s="121"/>
      <c r="R945" s="121"/>
      <c r="S945" s="121"/>
      <c r="T945" s="121"/>
      <c r="U945" s="121"/>
      <c r="V945" s="121"/>
      <c r="W945" s="121"/>
      <c r="X945" s="121"/>
      <c r="Y945" s="121"/>
      <c r="Z945" s="121"/>
    </row>
    <row r="946" customFormat="false" ht="15.75" hidden="false" customHeight="false" outlineLevel="0" collapsed="false">
      <c r="A946" s="121"/>
      <c r="B946" s="121"/>
      <c r="C946" s="121"/>
      <c r="D946" s="121"/>
      <c r="E946" s="121"/>
      <c r="F946" s="121"/>
      <c r="G946" s="121"/>
      <c r="H946" s="121"/>
      <c r="I946" s="121"/>
      <c r="J946" s="121"/>
      <c r="K946" s="121"/>
      <c r="L946" s="121"/>
      <c r="M946" s="121"/>
      <c r="N946" s="121"/>
      <c r="O946" s="121"/>
      <c r="P946" s="121"/>
      <c r="Q946" s="121"/>
      <c r="R946" s="121"/>
      <c r="S946" s="121"/>
      <c r="T946" s="121"/>
      <c r="U946" s="121"/>
      <c r="V946" s="121"/>
      <c r="W946" s="121"/>
      <c r="X946" s="121"/>
      <c r="Y946" s="121"/>
      <c r="Z946" s="121"/>
    </row>
    <row r="947" customFormat="false" ht="15.75" hidden="false" customHeight="false" outlineLevel="0" collapsed="false">
      <c r="A947" s="121"/>
      <c r="B947" s="121"/>
      <c r="C947" s="121"/>
      <c r="D947" s="121"/>
      <c r="E947" s="121"/>
      <c r="F947" s="121"/>
      <c r="G947" s="121"/>
      <c r="H947" s="121"/>
      <c r="I947" s="121"/>
      <c r="J947" s="121"/>
      <c r="K947" s="121"/>
      <c r="L947" s="121"/>
      <c r="M947" s="121"/>
      <c r="N947" s="121"/>
      <c r="O947" s="121"/>
      <c r="P947" s="121"/>
      <c r="Q947" s="121"/>
      <c r="R947" s="121"/>
      <c r="S947" s="121"/>
      <c r="T947" s="121"/>
      <c r="U947" s="121"/>
      <c r="V947" s="121"/>
      <c r="W947" s="121"/>
      <c r="X947" s="121"/>
      <c r="Y947" s="121"/>
      <c r="Z947" s="121"/>
    </row>
    <row r="948" customFormat="false" ht="15.75" hidden="false" customHeight="false" outlineLevel="0" collapsed="false">
      <c r="A948" s="121"/>
      <c r="B948" s="121"/>
      <c r="C948" s="121"/>
      <c r="D948" s="121"/>
      <c r="E948" s="121"/>
      <c r="F948" s="121"/>
      <c r="G948" s="121"/>
      <c r="H948" s="121"/>
      <c r="I948" s="121"/>
      <c r="J948" s="121"/>
      <c r="K948" s="121"/>
      <c r="L948" s="121"/>
      <c r="M948" s="121"/>
      <c r="N948" s="121"/>
      <c r="O948" s="121"/>
      <c r="P948" s="121"/>
      <c r="Q948" s="121"/>
      <c r="R948" s="121"/>
      <c r="S948" s="121"/>
      <c r="T948" s="121"/>
      <c r="U948" s="121"/>
      <c r="V948" s="121"/>
      <c r="W948" s="121"/>
      <c r="X948" s="121"/>
      <c r="Y948" s="121"/>
      <c r="Z948" s="121"/>
    </row>
    <row r="949" customFormat="false" ht="15.75" hidden="false" customHeight="false" outlineLevel="0" collapsed="false">
      <c r="A949" s="121"/>
      <c r="B949" s="121"/>
      <c r="C949" s="121"/>
      <c r="D949" s="121"/>
      <c r="E949" s="121"/>
      <c r="F949" s="121"/>
      <c r="G949" s="121"/>
      <c r="H949" s="121"/>
      <c r="I949" s="121"/>
      <c r="J949" s="121"/>
      <c r="K949" s="121"/>
      <c r="L949" s="121"/>
      <c r="M949" s="121"/>
      <c r="N949" s="121"/>
      <c r="O949" s="121"/>
      <c r="P949" s="121"/>
      <c r="Q949" s="121"/>
      <c r="R949" s="121"/>
      <c r="S949" s="121"/>
      <c r="T949" s="121"/>
      <c r="U949" s="121"/>
      <c r="V949" s="121"/>
      <c r="W949" s="121"/>
      <c r="X949" s="121"/>
      <c r="Y949" s="121"/>
      <c r="Z949" s="121"/>
    </row>
    <row r="950" customFormat="false" ht="15.75" hidden="false" customHeight="false" outlineLevel="0" collapsed="false">
      <c r="A950" s="121"/>
      <c r="B950" s="121"/>
      <c r="C950" s="121"/>
      <c r="D950" s="121"/>
      <c r="E950" s="121"/>
      <c r="F950" s="121"/>
      <c r="G950" s="121"/>
      <c r="H950" s="121"/>
      <c r="I950" s="121"/>
      <c r="J950" s="121"/>
      <c r="K950" s="121"/>
      <c r="L950" s="121"/>
      <c r="M950" s="121"/>
      <c r="N950" s="121"/>
      <c r="O950" s="121"/>
      <c r="P950" s="121"/>
      <c r="Q950" s="121"/>
      <c r="R950" s="121"/>
      <c r="S950" s="121"/>
      <c r="T950" s="121"/>
      <c r="U950" s="121"/>
      <c r="V950" s="121"/>
      <c r="W950" s="121"/>
      <c r="X950" s="121"/>
      <c r="Y950" s="121"/>
      <c r="Z950" s="121"/>
    </row>
    <row r="951" customFormat="false" ht="15.75" hidden="false" customHeight="false" outlineLevel="0" collapsed="false">
      <c r="A951" s="121"/>
      <c r="B951" s="121"/>
      <c r="C951" s="121"/>
      <c r="D951" s="121"/>
      <c r="E951" s="121"/>
      <c r="F951" s="121"/>
      <c r="G951" s="121"/>
      <c r="H951" s="121"/>
      <c r="I951" s="121"/>
      <c r="J951" s="121"/>
      <c r="K951" s="121"/>
      <c r="L951" s="121"/>
      <c r="M951" s="121"/>
      <c r="N951" s="121"/>
      <c r="O951" s="121"/>
      <c r="P951" s="121"/>
      <c r="Q951" s="121"/>
      <c r="R951" s="121"/>
      <c r="S951" s="121"/>
      <c r="T951" s="121"/>
      <c r="U951" s="121"/>
      <c r="V951" s="121"/>
      <c r="W951" s="121"/>
      <c r="X951" s="121"/>
      <c r="Y951" s="121"/>
      <c r="Z951" s="121"/>
    </row>
    <row r="952" customFormat="false" ht="15.75" hidden="false" customHeight="false" outlineLevel="0" collapsed="false">
      <c r="A952" s="121"/>
      <c r="B952" s="121"/>
      <c r="C952" s="121"/>
      <c r="D952" s="121"/>
      <c r="E952" s="121"/>
      <c r="F952" s="121"/>
      <c r="G952" s="121"/>
      <c r="H952" s="121"/>
      <c r="I952" s="121"/>
      <c r="J952" s="121"/>
      <c r="K952" s="121"/>
      <c r="L952" s="121"/>
      <c r="M952" s="121"/>
      <c r="N952" s="121"/>
      <c r="O952" s="121"/>
      <c r="P952" s="121"/>
      <c r="Q952" s="121"/>
      <c r="R952" s="121"/>
      <c r="S952" s="121"/>
      <c r="T952" s="121"/>
      <c r="U952" s="121"/>
      <c r="V952" s="121"/>
      <c r="W952" s="121"/>
      <c r="X952" s="121"/>
      <c r="Y952" s="121"/>
      <c r="Z952" s="121"/>
    </row>
    <row r="953" customFormat="false" ht="15.75" hidden="false" customHeight="false" outlineLevel="0" collapsed="false">
      <c r="A953" s="121"/>
      <c r="B953" s="121"/>
      <c r="C953" s="121"/>
      <c r="D953" s="121"/>
      <c r="E953" s="121"/>
      <c r="F953" s="121"/>
      <c r="G953" s="121"/>
      <c r="H953" s="121"/>
      <c r="I953" s="121"/>
      <c r="J953" s="121"/>
      <c r="K953" s="121"/>
      <c r="L953" s="121"/>
      <c r="M953" s="121"/>
      <c r="N953" s="121"/>
      <c r="O953" s="121"/>
      <c r="P953" s="121"/>
      <c r="Q953" s="121"/>
      <c r="R953" s="121"/>
      <c r="S953" s="121"/>
      <c r="T953" s="121"/>
      <c r="U953" s="121"/>
      <c r="V953" s="121"/>
      <c r="W953" s="121"/>
      <c r="X953" s="121"/>
      <c r="Y953" s="121"/>
      <c r="Z953" s="121"/>
    </row>
    <row r="954" customFormat="false" ht="15.75" hidden="false" customHeight="false" outlineLevel="0" collapsed="false">
      <c r="A954" s="121"/>
      <c r="B954" s="121"/>
      <c r="C954" s="121"/>
      <c r="D954" s="121"/>
      <c r="E954" s="121"/>
      <c r="F954" s="121"/>
      <c r="G954" s="121"/>
      <c r="H954" s="121"/>
      <c r="I954" s="121"/>
      <c r="J954" s="121"/>
      <c r="K954" s="121"/>
      <c r="L954" s="121"/>
      <c r="M954" s="121"/>
      <c r="N954" s="121"/>
      <c r="O954" s="121"/>
      <c r="P954" s="121"/>
      <c r="Q954" s="121"/>
      <c r="R954" s="121"/>
      <c r="S954" s="121"/>
      <c r="T954" s="121"/>
      <c r="U954" s="121"/>
      <c r="V954" s="121"/>
      <c r="W954" s="121"/>
      <c r="X954" s="121"/>
      <c r="Y954" s="121"/>
      <c r="Z954" s="121"/>
    </row>
    <row r="955" customFormat="false" ht="15.75" hidden="false" customHeight="false" outlineLevel="0" collapsed="false">
      <c r="A955" s="121"/>
      <c r="B955" s="121"/>
      <c r="C955" s="121"/>
      <c r="D955" s="121"/>
      <c r="E955" s="121"/>
      <c r="F955" s="121"/>
      <c r="G955" s="121"/>
      <c r="H955" s="121"/>
      <c r="I955" s="121"/>
      <c r="J955" s="121"/>
      <c r="K955" s="121"/>
      <c r="L955" s="121"/>
      <c r="M955" s="121"/>
      <c r="N955" s="121"/>
      <c r="O955" s="121"/>
      <c r="P955" s="121"/>
      <c r="Q955" s="121"/>
      <c r="R955" s="121"/>
      <c r="S955" s="121"/>
      <c r="T955" s="121"/>
      <c r="U955" s="121"/>
      <c r="V955" s="121"/>
      <c r="W955" s="121"/>
      <c r="X955" s="121"/>
      <c r="Y955" s="121"/>
      <c r="Z955" s="121"/>
    </row>
    <row r="956" customFormat="false" ht="15.75" hidden="false" customHeight="false" outlineLevel="0" collapsed="false">
      <c r="A956" s="121"/>
      <c r="B956" s="121"/>
      <c r="C956" s="121"/>
      <c r="D956" s="121"/>
      <c r="E956" s="121"/>
      <c r="F956" s="121"/>
      <c r="G956" s="121"/>
      <c r="H956" s="121"/>
      <c r="I956" s="121"/>
      <c r="J956" s="121"/>
      <c r="K956" s="121"/>
      <c r="L956" s="121"/>
      <c r="M956" s="121"/>
      <c r="N956" s="121"/>
      <c r="O956" s="121"/>
      <c r="P956" s="121"/>
      <c r="Q956" s="121"/>
      <c r="R956" s="121"/>
      <c r="S956" s="121"/>
      <c r="T956" s="121"/>
      <c r="U956" s="121"/>
      <c r="V956" s="121"/>
      <c r="W956" s="121"/>
      <c r="X956" s="121"/>
      <c r="Y956" s="121"/>
      <c r="Z956" s="121"/>
    </row>
    <row r="957" customFormat="false" ht="15.75" hidden="false" customHeight="false" outlineLevel="0" collapsed="false">
      <c r="A957" s="121"/>
      <c r="B957" s="121"/>
      <c r="C957" s="121"/>
      <c r="D957" s="121"/>
      <c r="E957" s="121"/>
      <c r="F957" s="121"/>
      <c r="G957" s="121"/>
      <c r="H957" s="121"/>
      <c r="I957" s="121"/>
      <c r="J957" s="121"/>
      <c r="K957" s="121"/>
      <c r="L957" s="121"/>
      <c r="M957" s="121"/>
      <c r="N957" s="121"/>
      <c r="O957" s="121"/>
      <c r="P957" s="121"/>
      <c r="Q957" s="121"/>
      <c r="R957" s="121"/>
      <c r="S957" s="121"/>
      <c r="T957" s="121"/>
      <c r="U957" s="121"/>
      <c r="V957" s="121"/>
      <c r="W957" s="121"/>
      <c r="X957" s="121"/>
      <c r="Y957" s="121"/>
      <c r="Z957" s="121"/>
    </row>
    <row r="958" customFormat="false" ht="15.75" hidden="false" customHeight="false" outlineLevel="0" collapsed="false">
      <c r="A958" s="121"/>
      <c r="B958" s="121"/>
      <c r="C958" s="121"/>
      <c r="D958" s="121"/>
      <c r="E958" s="121"/>
      <c r="F958" s="121"/>
      <c r="G958" s="121"/>
      <c r="H958" s="121"/>
      <c r="I958" s="121"/>
      <c r="J958" s="121"/>
      <c r="K958" s="121"/>
      <c r="L958" s="121"/>
      <c r="M958" s="121"/>
      <c r="N958" s="121"/>
      <c r="O958" s="121"/>
      <c r="P958" s="121"/>
      <c r="Q958" s="121"/>
      <c r="R958" s="121"/>
      <c r="S958" s="121"/>
      <c r="T958" s="121"/>
      <c r="U958" s="121"/>
      <c r="V958" s="121"/>
      <c r="W958" s="121"/>
      <c r="X958" s="121"/>
      <c r="Y958" s="121"/>
      <c r="Z958" s="121"/>
    </row>
    <row r="959" customFormat="false" ht="15.75" hidden="false" customHeight="false" outlineLevel="0" collapsed="false">
      <c r="A959" s="121"/>
      <c r="B959" s="121"/>
      <c r="C959" s="121"/>
      <c r="D959" s="121"/>
      <c r="E959" s="121"/>
      <c r="F959" s="121"/>
      <c r="G959" s="121"/>
      <c r="H959" s="121"/>
      <c r="I959" s="121"/>
      <c r="J959" s="121"/>
      <c r="K959" s="121"/>
      <c r="L959" s="121"/>
      <c r="M959" s="121"/>
      <c r="N959" s="121"/>
      <c r="O959" s="121"/>
      <c r="P959" s="121"/>
      <c r="Q959" s="121"/>
      <c r="R959" s="121"/>
      <c r="S959" s="121"/>
      <c r="T959" s="121"/>
      <c r="U959" s="121"/>
      <c r="V959" s="121"/>
      <c r="W959" s="121"/>
      <c r="X959" s="121"/>
      <c r="Y959" s="121"/>
      <c r="Z959" s="121"/>
    </row>
    <row r="960" customFormat="false" ht="15.75" hidden="false" customHeight="false" outlineLevel="0" collapsed="false">
      <c r="A960" s="121"/>
      <c r="B960" s="121"/>
      <c r="C960" s="121"/>
      <c r="D960" s="121"/>
      <c r="E960" s="121"/>
      <c r="F960" s="121"/>
      <c r="G960" s="121"/>
      <c r="H960" s="121"/>
      <c r="I960" s="121"/>
      <c r="J960" s="121"/>
      <c r="K960" s="121"/>
      <c r="L960" s="121"/>
      <c r="M960" s="121"/>
      <c r="N960" s="121"/>
      <c r="O960" s="121"/>
      <c r="P960" s="121"/>
      <c r="Q960" s="121"/>
      <c r="R960" s="121"/>
      <c r="S960" s="121"/>
      <c r="T960" s="121"/>
      <c r="U960" s="121"/>
      <c r="V960" s="121"/>
      <c r="W960" s="121"/>
      <c r="X960" s="121"/>
      <c r="Y960" s="121"/>
      <c r="Z960" s="121"/>
    </row>
    <row r="961" customFormat="false" ht="15.75" hidden="false" customHeight="false" outlineLevel="0" collapsed="false">
      <c r="A961" s="121"/>
      <c r="B961" s="121"/>
      <c r="C961" s="121"/>
      <c r="D961" s="121"/>
      <c r="E961" s="121"/>
      <c r="F961" s="121"/>
      <c r="G961" s="121"/>
      <c r="H961" s="121"/>
      <c r="I961" s="121"/>
      <c r="J961" s="121"/>
      <c r="K961" s="121"/>
      <c r="L961" s="121"/>
      <c r="M961" s="121"/>
      <c r="N961" s="121"/>
      <c r="O961" s="121"/>
      <c r="P961" s="121"/>
      <c r="Q961" s="121"/>
      <c r="R961" s="121"/>
      <c r="S961" s="121"/>
      <c r="T961" s="121"/>
      <c r="U961" s="121"/>
      <c r="V961" s="121"/>
      <c r="W961" s="121"/>
      <c r="X961" s="121"/>
      <c r="Y961" s="121"/>
      <c r="Z961" s="121"/>
    </row>
    <row r="962" customFormat="false" ht="15.75" hidden="false" customHeight="false" outlineLevel="0" collapsed="false">
      <c r="A962" s="121"/>
      <c r="B962" s="121"/>
      <c r="C962" s="121"/>
      <c r="D962" s="121"/>
      <c r="E962" s="121"/>
      <c r="F962" s="121"/>
      <c r="G962" s="121"/>
      <c r="H962" s="121"/>
      <c r="I962" s="121"/>
      <c r="J962" s="121"/>
      <c r="K962" s="121"/>
      <c r="L962" s="121"/>
      <c r="M962" s="121"/>
      <c r="N962" s="121"/>
      <c r="O962" s="121"/>
      <c r="P962" s="121"/>
      <c r="Q962" s="121"/>
      <c r="R962" s="121"/>
      <c r="S962" s="121"/>
      <c r="T962" s="121"/>
      <c r="U962" s="121"/>
      <c r="V962" s="121"/>
      <c r="W962" s="121"/>
      <c r="X962" s="121"/>
      <c r="Y962" s="121"/>
      <c r="Z962" s="121"/>
    </row>
    <row r="963" customFormat="false" ht="15.75" hidden="false" customHeight="false" outlineLevel="0" collapsed="false">
      <c r="A963" s="121"/>
      <c r="B963" s="121"/>
      <c r="C963" s="121"/>
      <c r="D963" s="121"/>
      <c r="E963" s="121"/>
      <c r="F963" s="121"/>
      <c r="G963" s="121"/>
      <c r="H963" s="121"/>
      <c r="I963" s="121"/>
      <c r="J963" s="121"/>
      <c r="K963" s="121"/>
      <c r="L963" s="121"/>
      <c r="M963" s="121"/>
      <c r="N963" s="121"/>
      <c r="O963" s="121"/>
      <c r="P963" s="121"/>
      <c r="Q963" s="121"/>
      <c r="R963" s="121"/>
      <c r="S963" s="121"/>
      <c r="T963" s="121"/>
      <c r="U963" s="121"/>
      <c r="V963" s="121"/>
      <c r="W963" s="121"/>
      <c r="X963" s="121"/>
      <c r="Y963" s="121"/>
      <c r="Z963" s="121"/>
    </row>
    <row r="964" customFormat="false" ht="15.75" hidden="false" customHeight="false" outlineLevel="0" collapsed="false">
      <c r="A964" s="121"/>
      <c r="B964" s="121"/>
      <c r="C964" s="121"/>
      <c r="D964" s="121"/>
      <c r="E964" s="121"/>
      <c r="F964" s="121"/>
      <c r="G964" s="121"/>
      <c r="H964" s="121"/>
      <c r="I964" s="121"/>
      <c r="J964" s="121"/>
      <c r="K964" s="121"/>
      <c r="L964" s="121"/>
      <c r="M964" s="121"/>
      <c r="N964" s="121"/>
      <c r="O964" s="121"/>
      <c r="P964" s="121"/>
      <c r="Q964" s="121"/>
      <c r="R964" s="121"/>
      <c r="S964" s="121"/>
      <c r="T964" s="121"/>
      <c r="U964" s="121"/>
      <c r="V964" s="121"/>
      <c r="W964" s="121"/>
      <c r="X964" s="121"/>
      <c r="Y964" s="121"/>
      <c r="Z964" s="121"/>
    </row>
    <row r="965" customFormat="false" ht="15.75" hidden="false" customHeight="false" outlineLevel="0" collapsed="false">
      <c r="A965" s="121"/>
      <c r="B965" s="121"/>
      <c r="C965" s="121"/>
      <c r="D965" s="121"/>
      <c r="E965" s="121"/>
      <c r="F965" s="121"/>
      <c r="G965" s="121"/>
      <c r="H965" s="121"/>
      <c r="I965" s="121"/>
      <c r="J965" s="121"/>
      <c r="K965" s="121"/>
      <c r="L965" s="121"/>
      <c r="M965" s="121"/>
      <c r="N965" s="121"/>
      <c r="O965" s="121"/>
      <c r="P965" s="121"/>
      <c r="Q965" s="121"/>
      <c r="R965" s="121"/>
      <c r="S965" s="121"/>
      <c r="T965" s="121"/>
      <c r="U965" s="121"/>
      <c r="V965" s="121"/>
      <c r="W965" s="121"/>
      <c r="X965" s="121"/>
      <c r="Y965" s="121"/>
      <c r="Z965" s="121"/>
    </row>
    <row r="966" customFormat="false" ht="15.75" hidden="false" customHeight="false" outlineLevel="0" collapsed="false">
      <c r="A966" s="121"/>
      <c r="B966" s="121"/>
      <c r="C966" s="121"/>
      <c r="D966" s="121"/>
      <c r="E966" s="121"/>
      <c r="F966" s="121"/>
      <c r="G966" s="121"/>
      <c r="H966" s="121"/>
      <c r="I966" s="121"/>
      <c r="J966" s="121"/>
      <c r="K966" s="121"/>
      <c r="L966" s="121"/>
      <c r="M966" s="121"/>
      <c r="N966" s="121"/>
      <c r="O966" s="121"/>
      <c r="P966" s="121"/>
      <c r="Q966" s="121"/>
      <c r="R966" s="121"/>
      <c r="S966" s="121"/>
      <c r="T966" s="121"/>
      <c r="U966" s="121"/>
      <c r="V966" s="121"/>
      <c r="W966" s="121"/>
      <c r="X966" s="121"/>
      <c r="Y966" s="121"/>
      <c r="Z966" s="121"/>
    </row>
    <row r="967" customFormat="false" ht="15.75" hidden="false" customHeight="false" outlineLevel="0" collapsed="false">
      <c r="A967" s="121"/>
      <c r="B967" s="121"/>
      <c r="C967" s="121"/>
      <c r="D967" s="121"/>
      <c r="E967" s="121"/>
      <c r="F967" s="121"/>
      <c r="G967" s="121"/>
      <c r="H967" s="121"/>
      <c r="I967" s="121"/>
      <c r="J967" s="121"/>
      <c r="K967" s="121"/>
      <c r="L967" s="121"/>
      <c r="M967" s="121"/>
      <c r="N967" s="121"/>
      <c r="O967" s="121"/>
      <c r="P967" s="121"/>
      <c r="Q967" s="121"/>
      <c r="R967" s="121"/>
      <c r="S967" s="121"/>
      <c r="T967" s="121"/>
      <c r="U967" s="121"/>
      <c r="V967" s="121"/>
      <c r="W967" s="121"/>
      <c r="X967" s="121"/>
      <c r="Y967" s="121"/>
      <c r="Z967" s="121"/>
    </row>
    <row r="968" customFormat="false" ht="15.75" hidden="false" customHeight="false" outlineLevel="0" collapsed="false">
      <c r="A968" s="121"/>
      <c r="B968" s="121"/>
      <c r="C968" s="121"/>
      <c r="D968" s="121"/>
      <c r="E968" s="121"/>
      <c r="F968" s="121"/>
      <c r="G968" s="121"/>
      <c r="H968" s="121"/>
      <c r="I968" s="121"/>
      <c r="J968" s="121"/>
      <c r="K968" s="121"/>
      <c r="L968" s="121"/>
      <c r="M968" s="121"/>
      <c r="N968" s="121"/>
      <c r="O968" s="121"/>
      <c r="P968" s="121"/>
      <c r="Q968" s="121"/>
      <c r="R968" s="121"/>
      <c r="S968" s="121"/>
      <c r="T968" s="121"/>
      <c r="U968" s="121"/>
      <c r="V968" s="121"/>
      <c r="W968" s="121"/>
      <c r="X968" s="121"/>
      <c r="Y968" s="121"/>
      <c r="Z968" s="121"/>
    </row>
    <row r="969" customFormat="false" ht="15.75" hidden="false" customHeight="false" outlineLevel="0" collapsed="false">
      <c r="A969" s="121"/>
      <c r="B969" s="121"/>
      <c r="C969" s="121"/>
      <c r="D969" s="121"/>
      <c r="E969" s="121"/>
      <c r="F969" s="121"/>
      <c r="G969" s="121"/>
      <c r="H969" s="121"/>
      <c r="I969" s="121"/>
      <c r="J969" s="121"/>
      <c r="K969" s="121"/>
      <c r="L969" s="121"/>
      <c r="M969" s="121"/>
      <c r="N969" s="121"/>
      <c r="O969" s="121"/>
      <c r="P969" s="121"/>
      <c r="Q969" s="121"/>
      <c r="R969" s="121"/>
      <c r="S969" s="121"/>
      <c r="T969" s="121"/>
      <c r="U969" s="121"/>
      <c r="V969" s="121"/>
      <c r="W969" s="121"/>
      <c r="X969" s="121"/>
      <c r="Y969" s="121"/>
      <c r="Z969" s="121"/>
    </row>
    <row r="970" customFormat="false" ht="15.75" hidden="false" customHeight="false" outlineLevel="0" collapsed="false">
      <c r="A970" s="121"/>
      <c r="B970" s="121"/>
      <c r="C970" s="121"/>
      <c r="D970" s="121"/>
      <c r="E970" s="121"/>
      <c r="F970" s="121"/>
      <c r="G970" s="121"/>
      <c r="H970" s="121"/>
      <c r="I970" s="121"/>
      <c r="J970" s="121"/>
      <c r="K970" s="121"/>
      <c r="L970" s="121"/>
      <c r="M970" s="121"/>
      <c r="N970" s="121"/>
      <c r="O970" s="121"/>
      <c r="P970" s="121"/>
      <c r="Q970" s="121"/>
      <c r="R970" s="121"/>
      <c r="S970" s="121"/>
      <c r="T970" s="121"/>
      <c r="U970" s="121"/>
      <c r="V970" s="121"/>
      <c r="W970" s="121"/>
      <c r="X970" s="121"/>
      <c r="Y970" s="121"/>
      <c r="Z970" s="121"/>
    </row>
    <row r="971" customFormat="false" ht="15.75" hidden="false" customHeight="false" outlineLevel="0" collapsed="false">
      <c r="A971" s="121"/>
      <c r="B971" s="121"/>
      <c r="C971" s="121"/>
      <c r="D971" s="121"/>
      <c r="E971" s="121"/>
      <c r="F971" s="121"/>
      <c r="G971" s="121"/>
      <c r="H971" s="121"/>
      <c r="I971" s="121"/>
      <c r="J971" s="121"/>
      <c r="K971" s="121"/>
      <c r="L971" s="121"/>
      <c r="M971" s="121"/>
      <c r="N971" s="121"/>
      <c r="O971" s="121"/>
      <c r="P971" s="121"/>
      <c r="Q971" s="121"/>
      <c r="R971" s="121"/>
      <c r="S971" s="121"/>
      <c r="T971" s="121"/>
      <c r="U971" s="121"/>
      <c r="V971" s="121"/>
      <c r="W971" s="121"/>
      <c r="X971" s="121"/>
      <c r="Y971" s="121"/>
      <c r="Z971" s="121"/>
    </row>
    <row r="972" customFormat="false" ht="15.75" hidden="false" customHeight="false" outlineLevel="0" collapsed="false">
      <c r="A972" s="121"/>
      <c r="B972" s="121"/>
      <c r="C972" s="121"/>
      <c r="D972" s="121"/>
      <c r="E972" s="121"/>
      <c r="F972" s="121"/>
      <c r="G972" s="121"/>
      <c r="H972" s="121"/>
      <c r="I972" s="121"/>
      <c r="J972" s="121"/>
      <c r="K972" s="121"/>
      <c r="L972" s="121"/>
      <c r="M972" s="121"/>
      <c r="N972" s="121"/>
      <c r="O972" s="121"/>
      <c r="P972" s="121"/>
      <c r="Q972" s="121"/>
      <c r="R972" s="121"/>
      <c r="S972" s="121"/>
      <c r="T972" s="121"/>
      <c r="U972" s="121"/>
      <c r="V972" s="121"/>
      <c r="W972" s="121"/>
      <c r="X972" s="121"/>
      <c r="Y972" s="121"/>
      <c r="Z972" s="121"/>
    </row>
    <row r="973" customFormat="false" ht="15.75" hidden="false" customHeight="false" outlineLevel="0" collapsed="false">
      <c r="A973" s="121"/>
      <c r="B973" s="121"/>
      <c r="C973" s="121"/>
      <c r="D973" s="121"/>
      <c r="E973" s="121"/>
      <c r="F973" s="121"/>
      <c r="G973" s="121"/>
      <c r="H973" s="121"/>
      <c r="I973" s="121"/>
      <c r="J973" s="121"/>
      <c r="K973" s="121"/>
      <c r="L973" s="121"/>
      <c r="M973" s="121"/>
      <c r="N973" s="121"/>
      <c r="O973" s="121"/>
      <c r="P973" s="121"/>
      <c r="Q973" s="121"/>
      <c r="R973" s="121"/>
      <c r="S973" s="121"/>
      <c r="T973" s="121"/>
      <c r="U973" s="121"/>
      <c r="V973" s="121"/>
      <c r="W973" s="121"/>
      <c r="X973" s="121"/>
      <c r="Y973" s="121"/>
      <c r="Z973" s="121"/>
    </row>
    <row r="974" customFormat="false" ht="15.75" hidden="false" customHeight="false" outlineLevel="0" collapsed="false">
      <c r="A974" s="121"/>
      <c r="B974" s="121"/>
      <c r="C974" s="121"/>
      <c r="D974" s="121"/>
      <c r="E974" s="121"/>
      <c r="F974" s="121"/>
      <c r="G974" s="121"/>
      <c r="H974" s="121"/>
      <c r="I974" s="121"/>
      <c r="J974" s="121"/>
      <c r="K974" s="121"/>
      <c r="L974" s="121"/>
      <c r="M974" s="121"/>
      <c r="N974" s="121"/>
      <c r="O974" s="121"/>
      <c r="P974" s="121"/>
      <c r="Q974" s="121"/>
      <c r="R974" s="121"/>
      <c r="S974" s="121"/>
      <c r="T974" s="121"/>
      <c r="U974" s="121"/>
      <c r="V974" s="121"/>
      <c r="W974" s="121"/>
      <c r="X974" s="121"/>
      <c r="Y974" s="121"/>
      <c r="Z974" s="121"/>
    </row>
    <row r="975" customFormat="false" ht="15.75" hidden="false" customHeight="false" outlineLevel="0" collapsed="false">
      <c r="A975" s="121"/>
      <c r="B975" s="121"/>
      <c r="C975" s="121"/>
      <c r="D975" s="121"/>
      <c r="E975" s="121"/>
      <c r="F975" s="121"/>
      <c r="G975" s="121"/>
      <c r="H975" s="121"/>
      <c r="I975" s="121"/>
      <c r="J975" s="121"/>
      <c r="K975" s="121"/>
      <c r="L975" s="121"/>
      <c r="M975" s="121"/>
      <c r="N975" s="121"/>
      <c r="O975" s="121"/>
      <c r="P975" s="121"/>
      <c r="Q975" s="121"/>
      <c r="R975" s="121"/>
      <c r="S975" s="121"/>
      <c r="T975" s="121"/>
      <c r="U975" s="121"/>
      <c r="V975" s="121"/>
      <c r="W975" s="121"/>
      <c r="X975" s="121"/>
      <c r="Y975" s="121"/>
      <c r="Z975" s="121"/>
    </row>
    <row r="976" customFormat="false" ht="15.75" hidden="false" customHeight="false" outlineLevel="0" collapsed="false">
      <c r="A976" s="121"/>
      <c r="B976" s="121"/>
      <c r="C976" s="121"/>
      <c r="D976" s="121"/>
      <c r="E976" s="121"/>
      <c r="F976" s="121"/>
      <c r="G976" s="121"/>
      <c r="H976" s="121"/>
      <c r="I976" s="121"/>
      <c r="J976" s="121"/>
      <c r="K976" s="121"/>
      <c r="L976" s="121"/>
      <c r="M976" s="121"/>
      <c r="N976" s="121"/>
      <c r="O976" s="121"/>
      <c r="P976" s="121"/>
      <c r="Q976" s="121"/>
      <c r="R976" s="121"/>
      <c r="S976" s="121"/>
      <c r="T976" s="121"/>
      <c r="U976" s="121"/>
      <c r="V976" s="121"/>
      <c r="W976" s="121"/>
      <c r="X976" s="121"/>
      <c r="Y976" s="121"/>
      <c r="Z976" s="121"/>
    </row>
    <row r="977" customFormat="false" ht="15.75" hidden="false" customHeight="false" outlineLevel="0" collapsed="false">
      <c r="A977" s="121"/>
      <c r="B977" s="121"/>
      <c r="C977" s="121"/>
      <c r="D977" s="121"/>
      <c r="E977" s="121"/>
      <c r="F977" s="121"/>
      <c r="G977" s="121"/>
      <c r="H977" s="121"/>
      <c r="I977" s="121"/>
      <c r="J977" s="121"/>
      <c r="K977" s="121"/>
      <c r="L977" s="121"/>
      <c r="M977" s="121"/>
      <c r="N977" s="121"/>
      <c r="O977" s="121"/>
      <c r="P977" s="121"/>
      <c r="Q977" s="121"/>
      <c r="R977" s="121"/>
      <c r="S977" s="121"/>
      <c r="T977" s="121"/>
      <c r="U977" s="121"/>
      <c r="V977" s="121"/>
      <c r="W977" s="121"/>
      <c r="X977" s="121"/>
      <c r="Y977" s="121"/>
      <c r="Z977" s="121"/>
    </row>
    <row r="978" customFormat="false" ht="15.75" hidden="false" customHeight="false" outlineLevel="0" collapsed="false">
      <c r="A978" s="121"/>
      <c r="B978" s="121"/>
      <c r="C978" s="121"/>
      <c r="D978" s="121"/>
      <c r="E978" s="121"/>
      <c r="F978" s="121"/>
      <c r="G978" s="121"/>
      <c r="H978" s="121"/>
      <c r="I978" s="121"/>
      <c r="J978" s="121"/>
      <c r="K978" s="121"/>
      <c r="L978" s="121"/>
      <c r="M978" s="121"/>
      <c r="N978" s="121"/>
      <c r="O978" s="121"/>
      <c r="P978" s="121"/>
      <c r="Q978" s="121"/>
      <c r="R978" s="121"/>
      <c r="S978" s="121"/>
      <c r="T978" s="121"/>
      <c r="U978" s="121"/>
      <c r="V978" s="121"/>
      <c r="W978" s="121"/>
      <c r="X978" s="121"/>
      <c r="Y978" s="121"/>
      <c r="Z978" s="121"/>
    </row>
    <row r="979" customFormat="false" ht="15.75" hidden="false" customHeight="false" outlineLevel="0" collapsed="false">
      <c r="A979" s="121"/>
      <c r="B979" s="121"/>
      <c r="C979" s="121"/>
      <c r="D979" s="121"/>
      <c r="E979" s="121"/>
      <c r="F979" s="121"/>
      <c r="G979" s="121"/>
      <c r="H979" s="121"/>
      <c r="I979" s="121"/>
      <c r="J979" s="121"/>
      <c r="K979" s="121"/>
      <c r="L979" s="121"/>
      <c r="M979" s="121"/>
      <c r="N979" s="121"/>
      <c r="O979" s="121"/>
      <c r="P979" s="121"/>
      <c r="Q979" s="121"/>
      <c r="R979" s="121"/>
      <c r="S979" s="121"/>
      <c r="T979" s="121"/>
      <c r="U979" s="121"/>
      <c r="V979" s="121"/>
      <c r="W979" s="121"/>
      <c r="X979" s="121"/>
      <c r="Y979" s="121"/>
      <c r="Z979" s="121"/>
    </row>
    <row r="980" customFormat="false" ht="15.75" hidden="false" customHeight="false" outlineLevel="0" collapsed="false">
      <c r="A980" s="121"/>
      <c r="B980" s="121"/>
      <c r="C980" s="121"/>
      <c r="D980" s="121"/>
      <c r="E980" s="121"/>
      <c r="F980" s="121"/>
      <c r="G980" s="121"/>
      <c r="H980" s="121"/>
      <c r="I980" s="121"/>
      <c r="J980" s="121"/>
      <c r="K980" s="121"/>
      <c r="L980" s="121"/>
      <c r="M980" s="121"/>
      <c r="N980" s="121"/>
      <c r="O980" s="121"/>
      <c r="P980" s="121"/>
      <c r="Q980" s="121"/>
      <c r="R980" s="121"/>
      <c r="S980" s="121"/>
      <c r="T980" s="121"/>
      <c r="U980" s="121"/>
      <c r="V980" s="121"/>
      <c r="W980" s="121"/>
      <c r="X980" s="121"/>
      <c r="Y980" s="121"/>
      <c r="Z980" s="121"/>
    </row>
    <row r="981" customFormat="false" ht="15.75" hidden="false" customHeight="false" outlineLevel="0" collapsed="false">
      <c r="A981" s="121"/>
      <c r="B981" s="121"/>
      <c r="C981" s="121"/>
      <c r="D981" s="121"/>
      <c r="E981" s="121"/>
      <c r="F981" s="121"/>
      <c r="G981" s="121"/>
      <c r="H981" s="121"/>
      <c r="I981" s="121"/>
      <c r="J981" s="121"/>
      <c r="K981" s="121"/>
      <c r="L981" s="121"/>
      <c r="M981" s="121"/>
      <c r="N981" s="121"/>
      <c r="O981" s="121"/>
      <c r="P981" s="121"/>
      <c r="Q981" s="121"/>
      <c r="R981" s="121"/>
      <c r="S981" s="121"/>
      <c r="T981" s="121"/>
      <c r="U981" s="121"/>
      <c r="V981" s="121"/>
      <c r="W981" s="121"/>
      <c r="X981" s="121"/>
      <c r="Y981" s="121"/>
      <c r="Z981" s="121"/>
    </row>
    <row r="982" customFormat="false" ht="15.75" hidden="false" customHeight="false" outlineLevel="0" collapsed="false">
      <c r="A982" s="121"/>
      <c r="B982" s="121"/>
      <c r="C982" s="121"/>
      <c r="D982" s="121"/>
      <c r="E982" s="121"/>
      <c r="F982" s="121"/>
      <c r="G982" s="121"/>
      <c r="H982" s="121"/>
      <c r="I982" s="121"/>
      <c r="J982" s="121"/>
      <c r="K982" s="121"/>
      <c r="L982" s="121"/>
      <c r="M982" s="121"/>
      <c r="N982" s="121"/>
      <c r="O982" s="121"/>
      <c r="P982" s="121"/>
      <c r="Q982" s="121"/>
      <c r="R982" s="121"/>
      <c r="S982" s="121"/>
      <c r="T982" s="121"/>
      <c r="U982" s="121"/>
      <c r="V982" s="121"/>
      <c r="W982" s="121"/>
      <c r="X982" s="121"/>
      <c r="Y982" s="121"/>
      <c r="Z982" s="121"/>
    </row>
    <row r="983" customFormat="false" ht="15.75" hidden="false" customHeight="false" outlineLevel="0" collapsed="false">
      <c r="A983" s="121"/>
      <c r="B983" s="121"/>
      <c r="C983" s="121"/>
      <c r="D983" s="121"/>
      <c r="E983" s="121"/>
      <c r="F983" s="121"/>
      <c r="G983" s="121"/>
      <c r="H983" s="121"/>
      <c r="I983" s="121"/>
      <c r="J983" s="121"/>
      <c r="K983" s="121"/>
      <c r="L983" s="121"/>
      <c r="M983" s="121"/>
      <c r="N983" s="121"/>
      <c r="O983" s="121"/>
      <c r="P983" s="121"/>
      <c r="Q983" s="121"/>
      <c r="R983" s="121"/>
      <c r="S983" s="121"/>
      <c r="T983" s="121"/>
      <c r="U983" s="121"/>
      <c r="V983" s="121"/>
      <c r="W983" s="121"/>
      <c r="X983" s="121"/>
      <c r="Y983" s="121"/>
      <c r="Z983" s="121"/>
    </row>
    <row r="984" customFormat="false" ht="15.75" hidden="false" customHeight="false" outlineLevel="0" collapsed="false">
      <c r="A984" s="121"/>
      <c r="B984" s="121"/>
      <c r="C984" s="121"/>
      <c r="D984" s="121"/>
      <c r="E984" s="121"/>
      <c r="F984" s="121"/>
      <c r="G984" s="121"/>
      <c r="H984" s="121"/>
      <c r="I984" s="121"/>
      <c r="J984" s="121"/>
      <c r="K984" s="121"/>
      <c r="L984" s="121"/>
      <c r="M984" s="121"/>
      <c r="N984" s="121"/>
      <c r="O984" s="121"/>
      <c r="P984" s="121"/>
      <c r="Q984" s="121"/>
      <c r="R984" s="121"/>
      <c r="S984" s="121"/>
      <c r="T984" s="121"/>
      <c r="U984" s="121"/>
      <c r="V984" s="121"/>
      <c r="W984" s="121"/>
      <c r="X984" s="121"/>
      <c r="Y984" s="121"/>
      <c r="Z984" s="121"/>
    </row>
    <row r="985" customFormat="false" ht="15.75" hidden="false" customHeight="false" outlineLevel="0" collapsed="false">
      <c r="A985" s="121"/>
      <c r="B985" s="121"/>
      <c r="C985" s="121"/>
      <c r="D985" s="121"/>
      <c r="E985" s="121"/>
      <c r="F985" s="121"/>
      <c r="G985" s="121"/>
      <c r="H985" s="121"/>
      <c r="I985" s="121"/>
      <c r="J985" s="121"/>
      <c r="K985" s="121"/>
      <c r="L985" s="121"/>
      <c r="M985" s="121"/>
      <c r="N985" s="121"/>
      <c r="O985" s="121"/>
      <c r="P985" s="121"/>
      <c r="Q985" s="121"/>
      <c r="R985" s="121"/>
      <c r="S985" s="121"/>
      <c r="T985" s="121"/>
      <c r="U985" s="121"/>
      <c r="V985" s="121"/>
      <c r="W985" s="121"/>
      <c r="X985" s="121"/>
      <c r="Y985" s="121"/>
      <c r="Z985" s="121"/>
    </row>
    <row r="986" customFormat="false" ht="15.75" hidden="false" customHeight="false" outlineLevel="0" collapsed="false">
      <c r="A986" s="121"/>
      <c r="B986" s="121"/>
      <c r="C986" s="121"/>
      <c r="D986" s="121"/>
      <c r="E986" s="121"/>
      <c r="F986" s="121"/>
      <c r="G986" s="121"/>
      <c r="H986" s="121"/>
      <c r="I986" s="121"/>
      <c r="J986" s="121"/>
      <c r="K986" s="121"/>
      <c r="L986" s="121"/>
      <c r="M986" s="121"/>
      <c r="N986" s="121"/>
      <c r="O986" s="121"/>
      <c r="P986" s="121"/>
      <c r="Q986" s="121"/>
      <c r="R986" s="121"/>
      <c r="S986" s="121"/>
      <c r="T986" s="121"/>
      <c r="U986" s="121"/>
      <c r="V986" s="121"/>
      <c r="W986" s="121"/>
      <c r="X986" s="121"/>
      <c r="Y986" s="121"/>
      <c r="Z986" s="121"/>
    </row>
    <row r="987" customFormat="false" ht="15.75" hidden="false" customHeight="false" outlineLevel="0" collapsed="false">
      <c r="A987" s="121"/>
      <c r="B987" s="121"/>
      <c r="C987" s="121"/>
      <c r="D987" s="121"/>
      <c r="E987" s="121"/>
      <c r="F987" s="121"/>
      <c r="G987" s="121"/>
      <c r="H987" s="121"/>
      <c r="I987" s="121"/>
      <c r="J987" s="121"/>
      <c r="K987" s="121"/>
      <c r="L987" s="121"/>
      <c r="M987" s="121"/>
      <c r="N987" s="121"/>
      <c r="O987" s="121"/>
      <c r="P987" s="121"/>
      <c r="Q987" s="121"/>
      <c r="R987" s="121"/>
      <c r="S987" s="121"/>
      <c r="T987" s="121"/>
      <c r="U987" s="121"/>
      <c r="V987" s="121"/>
      <c r="W987" s="121"/>
      <c r="X987" s="121"/>
      <c r="Y987" s="121"/>
      <c r="Z987" s="121"/>
    </row>
    <row r="988" customFormat="false" ht="15.75" hidden="false" customHeight="false" outlineLevel="0" collapsed="false">
      <c r="A988" s="121"/>
      <c r="B988" s="121"/>
      <c r="C988" s="121"/>
      <c r="D988" s="121"/>
      <c r="E988" s="121"/>
      <c r="F988" s="121"/>
      <c r="G988" s="121"/>
      <c r="H988" s="121"/>
      <c r="I988" s="121"/>
      <c r="J988" s="121"/>
      <c r="K988" s="121"/>
      <c r="L988" s="121"/>
      <c r="M988" s="121"/>
      <c r="N988" s="121"/>
      <c r="O988" s="121"/>
      <c r="P988" s="121"/>
      <c r="Q988" s="121"/>
      <c r="R988" s="121"/>
      <c r="S988" s="121"/>
      <c r="T988" s="121"/>
      <c r="U988" s="121"/>
      <c r="V988" s="121"/>
      <c r="W988" s="121"/>
      <c r="X988" s="121"/>
      <c r="Y988" s="121"/>
      <c r="Z988" s="121"/>
    </row>
    <row r="989" customFormat="false" ht="15.75" hidden="false" customHeight="false" outlineLevel="0" collapsed="false">
      <c r="A989" s="121"/>
      <c r="B989" s="121"/>
      <c r="C989" s="121"/>
      <c r="D989" s="121"/>
      <c r="E989" s="121"/>
      <c r="F989" s="121"/>
      <c r="G989" s="121"/>
      <c r="H989" s="121"/>
      <c r="I989" s="121"/>
      <c r="J989" s="121"/>
      <c r="K989" s="121"/>
      <c r="L989" s="121"/>
      <c r="M989" s="121"/>
      <c r="N989" s="121"/>
      <c r="O989" s="121"/>
      <c r="P989" s="121"/>
      <c r="Q989" s="121"/>
      <c r="R989" s="121"/>
      <c r="S989" s="121"/>
      <c r="T989" s="121"/>
      <c r="U989" s="121"/>
      <c r="V989" s="121"/>
      <c r="W989" s="121"/>
      <c r="X989" s="121"/>
      <c r="Y989" s="121"/>
      <c r="Z989" s="121"/>
    </row>
    <row r="990" customFormat="false" ht="15.75" hidden="false" customHeight="false" outlineLevel="0" collapsed="false">
      <c r="A990" s="121"/>
      <c r="B990" s="121"/>
      <c r="C990" s="121"/>
      <c r="D990" s="121"/>
      <c r="E990" s="121"/>
      <c r="F990" s="121"/>
      <c r="G990" s="121"/>
      <c r="H990" s="121"/>
      <c r="I990" s="121"/>
      <c r="J990" s="121"/>
      <c r="K990" s="121"/>
      <c r="L990" s="121"/>
      <c r="M990" s="121"/>
      <c r="N990" s="121"/>
      <c r="O990" s="121"/>
      <c r="P990" s="121"/>
      <c r="Q990" s="121"/>
      <c r="R990" s="121"/>
      <c r="S990" s="121"/>
      <c r="T990" s="121"/>
      <c r="U990" s="121"/>
      <c r="V990" s="121"/>
      <c r="W990" s="121"/>
      <c r="X990" s="121"/>
      <c r="Y990" s="121"/>
      <c r="Z990" s="121"/>
    </row>
    <row r="991" customFormat="false" ht="15.75" hidden="false" customHeight="false" outlineLevel="0" collapsed="false">
      <c r="A991" s="121"/>
      <c r="B991" s="121"/>
      <c r="C991" s="121"/>
      <c r="D991" s="121"/>
      <c r="E991" s="121"/>
      <c r="F991" s="121"/>
      <c r="G991" s="121"/>
      <c r="H991" s="121"/>
      <c r="I991" s="121"/>
      <c r="J991" s="121"/>
      <c r="K991" s="121"/>
      <c r="L991" s="121"/>
      <c r="M991" s="121"/>
      <c r="N991" s="121"/>
      <c r="O991" s="121"/>
      <c r="P991" s="121"/>
      <c r="Q991" s="121"/>
      <c r="R991" s="121"/>
      <c r="S991" s="121"/>
      <c r="T991" s="121"/>
      <c r="U991" s="121"/>
      <c r="V991" s="121"/>
      <c r="W991" s="121"/>
      <c r="X991" s="121"/>
      <c r="Y991" s="121"/>
      <c r="Z991" s="121"/>
    </row>
    <row r="992" customFormat="false" ht="15.75" hidden="false" customHeight="false" outlineLevel="0" collapsed="false">
      <c r="A992" s="121"/>
      <c r="B992" s="121"/>
      <c r="C992" s="121"/>
      <c r="D992" s="121"/>
      <c r="E992" s="121"/>
      <c r="F992" s="121"/>
      <c r="G992" s="121"/>
      <c r="H992" s="121"/>
      <c r="I992" s="121"/>
      <c r="J992" s="121"/>
      <c r="K992" s="121"/>
      <c r="L992" s="121"/>
      <c r="M992" s="121"/>
      <c r="N992" s="121"/>
      <c r="O992" s="121"/>
      <c r="P992" s="121"/>
      <c r="Q992" s="121"/>
      <c r="R992" s="121"/>
      <c r="S992" s="121"/>
      <c r="T992" s="121"/>
      <c r="U992" s="121"/>
      <c r="V992" s="121"/>
      <c r="W992" s="121"/>
      <c r="X992" s="121"/>
      <c r="Y992" s="121"/>
      <c r="Z992" s="121"/>
    </row>
    <row r="993" customFormat="false" ht="15.75" hidden="false" customHeight="false" outlineLevel="0" collapsed="false">
      <c r="A993" s="121"/>
      <c r="B993" s="121"/>
      <c r="C993" s="121"/>
      <c r="D993" s="121"/>
      <c r="E993" s="121"/>
      <c r="F993" s="121"/>
      <c r="G993" s="121"/>
      <c r="H993" s="121"/>
      <c r="I993" s="121"/>
      <c r="J993" s="121"/>
      <c r="K993" s="121"/>
      <c r="L993" s="121"/>
      <c r="M993" s="121"/>
      <c r="N993" s="121"/>
      <c r="O993" s="121"/>
      <c r="P993" s="121"/>
      <c r="Q993" s="121"/>
      <c r="R993" s="121"/>
      <c r="S993" s="121"/>
      <c r="T993" s="121"/>
      <c r="U993" s="121"/>
      <c r="V993" s="121"/>
      <c r="W993" s="121"/>
      <c r="X993" s="121"/>
      <c r="Y993" s="121"/>
      <c r="Z993" s="121"/>
    </row>
    <row r="994" customFormat="false" ht="15.75" hidden="false" customHeight="false" outlineLevel="0" collapsed="false">
      <c r="A994" s="121"/>
      <c r="B994" s="121"/>
      <c r="C994" s="121"/>
      <c r="D994" s="121"/>
      <c r="E994" s="121"/>
      <c r="F994" s="121"/>
      <c r="G994" s="121"/>
      <c r="H994" s="121"/>
      <c r="I994" s="121"/>
      <c r="J994" s="121"/>
      <c r="K994" s="121"/>
      <c r="L994" s="121"/>
      <c r="M994" s="121"/>
      <c r="N994" s="121"/>
      <c r="O994" s="121"/>
      <c r="P994" s="121"/>
      <c r="Q994" s="121"/>
      <c r="R994" s="121"/>
      <c r="S994" s="121"/>
      <c r="T994" s="121"/>
      <c r="U994" s="121"/>
      <c r="V994" s="121"/>
      <c r="W994" s="121"/>
      <c r="X994" s="121"/>
      <c r="Y994" s="121"/>
      <c r="Z994" s="121"/>
    </row>
    <row r="995" customFormat="false" ht="15.75" hidden="false" customHeight="false" outlineLevel="0" collapsed="false">
      <c r="A995" s="121"/>
      <c r="B995" s="121"/>
      <c r="C995" s="121"/>
      <c r="D995" s="121"/>
      <c r="E995" s="121"/>
      <c r="F995" s="121"/>
      <c r="G995" s="121"/>
      <c r="H995" s="121"/>
      <c r="I995" s="121"/>
      <c r="J995" s="121"/>
      <c r="K995" s="121"/>
      <c r="L995" s="121"/>
      <c r="M995" s="121"/>
      <c r="N995" s="121"/>
      <c r="O995" s="121"/>
      <c r="P995" s="121"/>
      <c r="Q995" s="121"/>
      <c r="R995" s="121"/>
      <c r="S995" s="121"/>
      <c r="T995" s="121"/>
      <c r="U995" s="121"/>
      <c r="V995" s="121"/>
      <c r="W995" s="121"/>
      <c r="X995" s="121"/>
      <c r="Y995" s="121"/>
      <c r="Z995" s="121"/>
    </row>
    <row r="996" customFormat="false" ht="15.75" hidden="false" customHeight="false" outlineLevel="0" collapsed="false">
      <c r="A996" s="121"/>
      <c r="B996" s="121"/>
      <c r="C996" s="121"/>
      <c r="D996" s="121"/>
      <c r="E996" s="121"/>
      <c r="F996" s="121"/>
      <c r="G996" s="121"/>
      <c r="H996" s="121"/>
      <c r="I996" s="121"/>
      <c r="J996" s="121"/>
      <c r="K996" s="121"/>
      <c r="L996" s="121"/>
      <c r="M996" s="121"/>
      <c r="N996" s="121"/>
      <c r="O996" s="121"/>
      <c r="P996" s="121"/>
      <c r="Q996" s="121"/>
      <c r="R996" s="121"/>
      <c r="S996" s="121"/>
      <c r="T996" s="121"/>
      <c r="U996" s="121"/>
      <c r="V996" s="121"/>
      <c r="W996" s="121"/>
      <c r="X996" s="121"/>
      <c r="Y996" s="121"/>
      <c r="Z996" s="121"/>
    </row>
    <row r="997" customFormat="false" ht="15.75" hidden="false" customHeight="false" outlineLevel="0" collapsed="false">
      <c r="A997" s="121"/>
      <c r="B997" s="121"/>
      <c r="C997" s="121"/>
      <c r="D997" s="121"/>
      <c r="E997" s="121"/>
      <c r="F997" s="121"/>
      <c r="G997" s="121"/>
      <c r="H997" s="121"/>
      <c r="I997" s="121"/>
      <c r="J997" s="121"/>
      <c r="K997" s="121"/>
      <c r="L997" s="121"/>
      <c r="M997" s="121"/>
      <c r="N997" s="121"/>
      <c r="O997" s="121"/>
      <c r="P997" s="121"/>
      <c r="Q997" s="121"/>
      <c r="R997" s="121"/>
      <c r="S997" s="121"/>
      <c r="T997" s="121"/>
      <c r="U997" s="121"/>
      <c r="V997" s="121"/>
      <c r="W997" s="121"/>
      <c r="X997" s="121"/>
      <c r="Y997" s="121"/>
      <c r="Z997" s="121"/>
    </row>
    <row r="998" customFormat="false" ht="15.75" hidden="false" customHeight="false" outlineLevel="0" collapsed="false">
      <c r="A998" s="121"/>
      <c r="B998" s="121"/>
      <c r="C998" s="121"/>
      <c r="D998" s="121"/>
      <c r="E998" s="121"/>
      <c r="F998" s="121"/>
      <c r="G998" s="121"/>
      <c r="H998" s="121"/>
      <c r="I998" s="121"/>
      <c r="J998" s="121"/>
      <c r="K998" s="121"/>
      <c r="L998" s="121"/>
      <c r="M998" s="121"/>
      <c r="N998" s="121"/>
      <c r="O998" s="121"/>
      <c r="P998" s="121"/>
      <c r="Q998" s="121"/>
      <c r="R998" s="121"/>
      <c r="S998" s="121"/>
      <c r="T998" s="121"/>
      <c r="U998" s="121"/>
      <c r="V998" s="121"/>
      <c r="W998" s="121"/>
      <c r="X998" s="121"/>
      <c r="Y998" s="121"/>
      <c r="Z998" s="121"/>
    </row>
    <row r="999" customFormat="false" ht="15.75" hidden="false" customHeight="false" outlineLevel="0" collapsed="false">
      <c r="A999" s="121"/>
      <c r="B999" s="121"/>
      <c r="C999" s="121"/>
      <c r="D999" s="121"/>
      <c r="E999" s="121"/>
      <c r="F999" s="121"/>
      <c r="G999" s="121"/>
      <c r="H999" s="121"/>
      <c r="I999" s="121"/>
      <c r="J999" s="121"/>
      <c r="K999" s="121"/>
      <c r="L999" s="121"/>
      <c r="M999" s="121"/>
      <c r="N999" s="121"/>
      <c r="O999" s="121"/>
      <c r="P999" s="121"/>
      <c r="Q999" s="121"/>
      <c r="R999" s="121"/>
      <c r="S999" s="121"/>
      <c r="T999" s="121"/>
      <c r="U999" s="121"/>
      <c r="V999" s="121"/>
      <c r="W999" s="121"/>
      <c r="X999" s="121"/>
      <c r="Y999" s="121"/>
      <c r="Z999" s="121"/>
    </row>
    <row r="1000" customFormat="false" ht="15.75" hidden="false" customHeight="false" outlineLevel="0" collapsed="false">
      <c r="A1000" s="121"/>
      <c r="B1000" s="121"/>
      <c r="C1000" s="121"/>
      <c r="D1000" s="121"/>
      <c r="E1000" s="121"/>
      <c r="F1000" s="121"/>
      <c r="G1000" s="121"/>
      <c r="H1000" s="121"/>
      <c r="I1000" s="121"/>
      <c r="J1000" s="121"/>
      <c r="K1000" s="121"/>
      <c r="L1000" s="121"/>
      <c r="M1000" s="121"/>
      <c r="N1000" s="121"/>
      <c r="O1000" s="121"/>
      <c r="P1000" s="121"/>
      <c r="Q1000" s="121"/>
      <c r="R1000" s="121"/>
      <c r="S1000" s="121"/>
      <c r="T1000" s="121"/>
      <c r="U1000" s="121"/>
      <c r="V1000" s="121"/>
      <c r="W1000" s="121"/>
      <c r="X1000" s="121"/>
      <c r="Y1000" s="121"/>
      <c r="Z1000" s="121"/>
    </row>
    <row r="1001" customFormat="false" ht="15.75" hidden="false" customHeight="false" outlineLevel="0" collapsed="false">
      <c r="A1001" s="121"/>
      <c r="B1001" s="121"/>
      <c r="C1001" s="121"/>
      <c r="D1001" s="121"/>
      <c r="E1001" s="121"/>
      <c r="F1001" s="121"/>
      <c r="G1001" s="121"/>
      <c r="H1001" s="121"/>
      <c r="I1001" s="121"/>
      <c r="J1001" s="121"/>
      <c r="K1001" s="121"/>
      <c r="L1001" s="121"/>
      <c r="M1001" s="121"/>
      <c r="N1001" s="121"/>
      <c r="O1001" s="121"/>
      <c r="P1001" s="121"/>
      <c r="Q1001" s="121"/>
      <c r="R1001" s="121"/>
      <c r="S1001" s="121"/>
      <c r="T1001" s="121"/>
      <c r="U1001" s="121"/>
      <c r="V1001" s="121"/>
      <c r="W1001" s="121"/>
      <c r="X1001" s="121"/>
      <c r="Y1001" s="121"/>
      <c r="Z1001" s="121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21" t="s">
        <v>101</v>
      </c>
      <c r="B1" s="121" t="s">
        <v>71</v>
      </c>
      <c r="C1" s="121" t="s">
        <v>24</v>
      </c>
      <c r="D1" s="121"/>
      <c r="E1" s="121"/>
      <c r="F1" s="121"/>
      <c r="G1" s="121"/>
      <c r="H1" s="121"/>
      <c r="I1" s="121"/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</row>
    <row r="2" customFormat="false" ht="15.75" hidden="false" customHeight="false" outlineLevel="0" collapsed="false">
      <c r="A2" s="121" t="s">
        <v>73</v>
      </c>
      <c r="B2" s="121" t="s">
        <v>73</v>
      </c>
      <c r="C2" s="121" t="s">
        <v>23</v>
      </c>
      <c r="D2" s="121"/>
      <c r="E2" s="121"/>
      <c r="F2" s="121"/>
      <c r="G2" s="121"/>
      <c r="H2" s="121"/>
      <c r="I2" s="121"/>
      <c r="J2" s="121"/>
      <c r="K2" s="121"/>
      <c r="L2" s="121"/>
      <c r="M2" s="121"/>
      <c r="N2" s="121"/>
      <c r="O2" s="121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</row>
    <row r="3" customFormat="false" ht="15.75" hidden="false" customHeight="false" outlineLevel="0" collapsed="false">
      <c r="A3" s="121" t="s">
        <v>102</v>
      </c>
      <c r="B3" s="121" t="s">
        <v>103</v>
      </c>
      <c r="C3" s="121" t="s">
        <v>26</v>
      </c>
      <c r="D3" s="121"/>
      <c r="E3" s="121"/>
      <c r="F3" s="121"/>
      <c r="G3" s="121"/>
      <c r="H3" s="121"/>
      <c r="I3" s="121"/>
      <c r="J3" s="121"/>
      <c r="K3" s="121"/>
      <c r="L3" s="121"/>
      <c r="M3" s="121"/>
      <c r="N3" s="121"/>
      <c r="O3" s="121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</row>
    <row r="4" customFormat="false" ht="15.75" hidden="false" customHeight="false" outlineLevel="0" collapsed="false">
      <c r="A4" s="121" t="s">
        <v>103</v>
      </c>
      <c r="B4" s="121"/>
      <c r="C4" s="121" t="s">
        <v>20</v>
      </c>
      <c r="D4" s="121"/>
      <c r="E4" s="121"/>
      <c r="F4" s="121"/>
      <c r="G4" s="121"/>
      <c r="H4" s="121"/>
      <c r="I4" s="121"/>
      <c r="J4" s="121"/>
      <c r="K4" s="121"/>
      <c r="L4" s="121"/>
      <c r="M4" s="121"/>
      <c r="N4" s="121"/>
      <c r="O4" s="121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</row>
    <row r="5" customFormat="false" ht="15.75" hidden="false" customHeight="false" outlineLevel="0" collapsed="false">
      <c r="A5" s="121"/>
      <c r="B5" s="121"/>
      <c r="C5" s="121" t="s">
        <v>37</v>
      </c>
      <c r="D5" s="121"/>
      <c r="E5" s="121"/>
      <c r="F5" s="121"/>
      <c r="G5" s="121"/>
      <c r="H5" s="121"/>
      <c r="I5" s="121"/>
      <c r="J5" s="121"/>
      <c r="K5" s="121"/>
      <c r="L5" s="121"/>
      <c r="M5" s="121"/>
      <c r="N5" s="121"/>
      <c r="O5" s="121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</row>
    <row r="6" customFormat="false" ht="15.75" hidden="false" customHeight="false" outlineLevel="0" collapsed="false">
      <c r="A6" s="121"/>
      <c r="B6" s="121"/>
      <c r="C6" s="121" t="s">
        <v>25</v>
      </c>
      <c r="D6" s="121"/>
      <c r="E6" s="121"/>
      <c r="F6" s="121"/>
      <c r="G6" s="121"/>
      <c r="H6" s="121"/>
      <c r="I6" s="121"/>
      <c r="J6" s="121"/>
      <c r="K6" s="121"/>
      <c r="L6" s="121"/>
      <c r="M6" s="121"/>
      <c r="N6" s="121"/>
      <c r="O6" s="121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</row>
    <row r="7" customFormat="false" ht="15.75" hidden="false" customHeight="false" outlineLevel="0" collapsed="false">
      <c r="A7" s="121"/>
      <c r="B7" s="121"/>
      <c r="C7" s="121" t="s">
        <v>27</v>
      </c>
      <c r="D7" s="121"/>
      <c r="E7" s="121"/>
      <c r="F7" s="121"/>
      <c r="G7" s="121"/>
      <c r="H7" s="121"/>
      <c r="I7" s="121"/>
      <c r="J7" s="121"/>
      <c r="K7" s="121"/>
      <c r="L7" s="121"/>
      <c r="M7" s="121"/>
      <c r="N7" s="121"/>
      <c r="O7" s="121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</row>
    <row r="8" customFormat="false" ht="15.75" hidden="false" customHeight="false" outlineLevel="0" collapsed="false">
      <c r="A8" s="121"/>
      <c r="B8" s="121"/>
      <c r="C8" s="121" t="s">
        <v>22</v>
      </c>
      <c r="D8" s="121"/>
      <c r="E8" s="121"/>
      <c r="F8" s="121"/>
      <c r="G8" s="121"/>
      <c r="H8" s="121"/>
      <c r="I8" s="121"/>
      <c r="J8" s="121"/>
      <c r="K8" s="121"/>
      <c r="L8" s="121"/>
      <c r="M8" s="121"/>
      <c r="N8" s="121"/>
      <c r="O8" s="121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</row>
    <row r="9" customFormat="false" ht="15.75" hidden="false" customHeight="false" outlineLevel="0" collapsed="false">
      <c r="A9" s="121"/>
      <c r="B9" s="121"/>
      <c r="C9" s="121" t="s">
        <v>21</v>
      </c>
      <c r="D9" s="121"/>
      <c r="E9" s="121"/>
      <c r="F9" s="121"/>
      <c r="G9" s="121"/>
      <c r="H9" s="121"/>
      <c r="I9" s="121"/>
      <c r="J9" s="121"/>
      <c r="K9" s="121"/>
      <c r="L9" s="121"/>
      <c r="M9" s="121"/>
      <c r="N9" s="121"/>
      <c r="O9" s="121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</row>
    <row r="10" customFormat="false" ht="15.75" hidden="false" customHeight="false" outlineLevel="0" collapsed="false">
      <c r="A10" s="121"/>
      <c r="B10" s="121"/>
      <c r="C10" s="121"/>
      <c r="D10" s="121"/>
      <c r="E10" s="121"/>
      <c r="F10" s="121"/>
      <c r="G10" s="121"/>
      <c r="H10" s="121"/>
      <c r="I10" s="121"/>
      <c r="J10" s="121"/>
      <c r="K10" s="121"/>
      <c r="L10" s="121"/>
      <c r="M10" s="121"/>
      <c r="N10" s="121"/>
      <c r="O10" s="121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1"/>
    </row>
    <row r="11" customFormat="false" ht="15.75" hidden="false" customHeight="false" outlineLevel="0" collapsed="false">
      <c r="A11" s="121"/>
      <c r="B11" s="121"/>
      <c r="C11" s="121"/>
      <c r="D11" s="121"/>
      <c r="E11" s="121"/>
      <c r="F11" s="121"/>
      <c r="G11" s="121"/>
      <c r="H11" s="121"/>
      <c r="I11" s="121"/>
      <c r="J11" s="121"/>
      <c r="K11" s="121"/>
      <c r="L11" s="121"/>
      <c r="M11" s="121"/>
      <c r="N11" s="121"/>
      <c r="O11" s="121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</row>
    <row r="12" customFormat="false" ht="15.75" hidden="false" customHeight="false" outlineLevel="0" collapsed="false">
      <c r="A12" s="121"/>
      <c r="B12" s="121"/>
      <c r="C12" s="121"/>
      <c r="D12" s="121"/>
      <c r="E12" s="121"/>
      <c r="F12" s="121"/>
      <c r="G12" s="121"/>
      <c r="H12" s="121"/>
      <c r="I12" s="121"/>
      <c r="J12" s="121"/>
      <c r="K12" s="121"/>
      <c r="L12" s="121"/>
      <c r="M12" s="121"/>
      <c r="N12" s="121"/>
      <c r="O12" s="121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</row>
    <row r="13" customFormat="false" ht="15.75" hidden="false" customHeight="false" outlineLevel="0" collapsed="false">
      <c r="A13" s="121"/>
      <c r="B13" s="121"/>
      <c r="C13" s="121"/>
      <c r="D13" s="121"/>
      <c r="E13" s="121"/>
      <c r="F13" s="121"/>
      <c r="G13" s="121"/>
      <c r="H13" s="121"/>
      <c r="I13" s="121"/>
      <c r="J13" s="121"/>
      <c r="K13" s="121"/>
      <c r="L13" s="121"/>
      <c r="M13" s="121"/>
      <c r="N13" s="121"/>
      <c r="O13" s="121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</row>
    <row r="14" customFormat="false" ht="15.75" hidden="false" customHeight="false" outlineLevel="0" collapsed="false">
      <c r="A14" s="121"/>
      <c r="B14" s="121"/>
      <c r="C14" s="121"/>
      <c r="D14" s="121"/>
      <c r="E14" s="121"/>
      <c r="F14" s="121"/>
      <c r="G14" s="121"/>
      <c r="H14" s="121"/>
      <c r="I14" s="121"/>
      <c r="J14" s="121"/>
      <c r="K14" s="121"/>
      <c r="L14" s="121"/>
      <c r="M14" s="121"/>
      <c r="N14" s="121"/>
      <c r="O14" s="121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</row>
    <row r="15" customFormat="false" ht="15.75" hidden="false" customHeight="false" outlineLevel="0" collapsed="false">
      <c r="A15" s="121"/>
      <c r="B15" s="121"/>
      <c r="C15" s="121"/>
      <c r="D15" s="121"/>
      <c r="E15" s="121"/>
      <c r="F15" s="121"/>
      <c r="G15" s="121"/>
      <c r="H15" s="121"/>
      <c r="I15" s="121"/>
      <c r="J15" s="121"/>
      <c r="K15" s="121"/>
      <c r="L15" s="121"/>
      <c r="M15" s="121"/>
      <c r="N15" s="121"/>
      <c r="O15" s="121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</row>
    <row r="16" customFormat="false" ht="15.75" hidden="false" customHeight="false" outlineLevel="0" collapsed="false">
      <c r="A16" s="121"/>
      <c r="B16" s="121"/>
      <c r="C16" s="121"/>
      <c r="D16" s="121"/>
      <c r="E16" s="121"/>
      <c r="F16" s="121"/>
      <c r="G16" s="121"/>
      <c r="H16" s="121"/>
      <c r="I16" s="121"/>
      <c r="J16" s="121"/>
      <c r="K16" s="121"/>
      <c r="L16" s="121"/>
      <c r="M16" s="121"/>
      <c r="N16" s="121"/>
      <c r="O16" s="121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</row>
    <row r="17" customFormat="false" ht="15.75" hidden="false" customHeight="false" outlineLevel="0" collapsed="false">
      <c r="A17" s="121"/>
      <c r="B17" s="121"/>
      <c r="C17" s="121"/>
      <c r="D17" s="121"/>
      <c r="E17" s="121"/>
      <c r="F17" s="121"/>
      <c r="G17" s="121"/>
      <c r="H17" s="121"/>
      <c r="I17" s="121"/>
      <c r="J17" s="121"/>
      <c r="K17" s="121"/>
      <c r="L17" s="121"/>
      <c r="M17" s="121"/>
      <c r="N17" s="121"/>
      <c r="O17" s="121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</row>
    <row r="18" customFormat="false" ht="15.75" hidden="false" customHeight="false" outlineLevel="0" collapsed="false">
      <c r="A18" s="121"/>
      <c r="B18" s="121"/>
      <c r="C18" s="121"/>
      <c r="D18" s="121"/>
      <c r="E18" s="121"/>
      <c r="F18" s="121"/>
      <c r="G18" s="121"/>
      <c r="H18" s="121"/>
      <c r="I18" s="121"/>
      <c r="J18" s="121"/>
      <c r="K18" s="121"/>
      <c r="L18" s="121"/>
      <c r="M18" s="121"/>
      <c r="N18" s="121"/>
      <c r="O18" s="121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</row>
    <row r="19" customFormat="false" ht="15.75" hidden="false" customHeight="false" outlineLevel="0" collapsed="false">
      <c r="A19" s="121"/>
      <c r="B19" s="121"/>
      <c r="C19" s="121"/>
      <c r="D19" s="121"/>
      <c r="E19" s="121"/>
      <c r="F19" s="121"/>
      <c r="G19" s="121"/>
      <c r="H19" s="121"/>
      <c r="I19" s="121"/>
      <c r="J19" s="121"/>
      <c r="K19" s="121"/>
      <c r="L19" s="121"/>
      <c r="M19" s="121"/>
      <c r="N19" s="121"/>
      <c r="O19" s="121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</row>
    <row r="20" customFormat="false" ht="15.75" hidden="false" customHeight="false" outlineLevel="0" collapsed="false">
      <c r="A20" s="121"/>
      <c r="B20" s="121"/>
      <c r="C20" s="121"/>
      <c r="D20" s="121"/>
      <c r="E20" s="121"/>
      <c r="F20" s="121"/>
      <c r="G20" s="121"/>
      <c r="H20" s="121"/>
      <c r="I20" s="121"/>
      <c r="J20" s="121"/>
      <c r="K20" s="121"/>
      <c r="L20" s="121"/>
      <c r="M20" s="121"/>
      <c r="N20" s="121"/>
      <c r="O20" s="121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</row>
    <row r="21" customFormat="false" ht="15.75" hidden="false" customHeight="false" outlineLevel="0" collapsed="false">
      <c r="A21" s="121"/>
      <c r="B21" s="121"/>
      <c r="C21" s="121"/>
      <c r="D21" s="121"/>
      <c r="E21" s="121"/>
      <c r="F21" s="121"/>
      <c r="G21" s="121"/>
      <c r="H21" s="121"/>
      <c r="I21" s="121"/>
      <c r="J21" s="121"/>
      <c r="K21" s="121"/>
      <c r="L21" s="121"/>
      <c r="M21" s="121"/>
      <c r="N21" s="121"/>
      <c r="O21" s="121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</row>
    <row r="22" customFormat="false" ht="15.75" hidden="false" customHeight="false" outlineLevel="0" collapsed="false">
      <c r="A22" s="121"/>
      <c r="B22" s="121"/>
      <c r="C22" s="121"/>
      <c r="D22" s="121"/>
      <c r="E22" s="121"/>
      <c r="F22" s="121"/>
      <c r="G22" s="121"/>
      <c r="H22" s="121"/>
      <c r="I22" s="121"/>
      <c r="J22" s="121"/>
      <c r="K22" s="121"/>
      <c r="L22" s="121"/>
      <c r="M22" s="121"/>
      <c r="N22" s="121"/>
      <c r="O22" s="121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</row>
    <row r="23" customFormat="false" ht="15.75" hidden="false" customHeight="false" outlineLevel="0" collapsed="false">
      <c r="A23" s="121"/>
      <c r="B23" s="121"/>
      <c r="C23" s="121"/>
      <c r="D23" s="121"/>
      <c r="E23" s="121"/>
      <c r="F23" s="121"/>
      <c r="G23" s="121"/>
      <c r="H23" s="121"/>
      <c r="I23" s="121"/>
      <c r="J23" s="121"/>
      <c r="K23" s="121"/>
      <c r="L23" s="121"/>
      <c r="M23" s="121"/>
      <c r="N23" s="121"/>
      <c r="O23" s="121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</row>
    <row r="24" customFormat="false" ht="15.75" hidden="false" customHeight="false" outlineLevel="0" collapsed="false">
      <c r="A24" s="121"/>
      <c r="B24" s="121"/>
      <c r="C24" s="121"/>
      <c r="D24" s="121"/>
      <c r="E24" s="121"/>
      <c r="F24" s="121"/>
      <c r="G24" s="121"/>
      <c r="H24" s="121"/>
      <c r="I24" s="121"/>
      <c r="J24" s="121"/>
      <c r="K24" s="121"/>
      <c r="L24" s="121"/>
      <c r="M24" s="121"/>
      <c r="N24" s="121"/>
      <c r="O24" s="121"/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</row>
    <row r="25" customFormat="false" ht="15.75" hidden="false" customHeight="false" outlineLevel="0" collapsed="false">
      <c r="A25" s="121"/>
      <c r="B25" s="121"/>
      <c r="C25" s="121"/>
      <c r="D25" s="121"/>
      <c r="E25" s="121"/>
      <c r="F25" s="121"/>
      <c r="G25" s="121"/>
      <c r="H25" s="121"/>
      <c r="I25" s="121"/>
      <c r="J25" s="121"/>
      <c r="K25" s="121"/>
      <c r="L25" s="121"/>
      <c r="M25" s="121"/>
      <c r="N25" s="121"/>
      <c r="O25" s="121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</row>
    <row r="26" customFormat="false" ht="15.75" hidden="false" customHeight="false" outlineLevel="0" collapsed="false">
      <c r="A26" s="121"/>
      <c r="B26" s="121"/>
      <c r="C26" s="121"/>
      <c r="D26" s="121"/>
      <c r="E26" s="121"/>
      <c r="F26" s="121"/>
      <c r="G26" s="121"/>
      <c r="H26" s="121"/>
      <c r="I26" s="121"/>
      <c r="J26" s="121"/>
      <c r="K26" s="121"/>
      <c r="L26" s="121"/>
      <c r="M26" s="121"/>
      <c r="N26" s="121"/>
      <c r="O26" s="121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</row>
    <row r="27" customFormat="false" ht="15.75" hidden="false" customHeight="false" outlineLevel="0" collapsed="false">
      <c r="A27" s="121"/>
      <c r="B27" s="121"/>
      <c r="C27" s="121"/>
      <c r="D27" s="121"/>
      <c r="E27" s="121"/>
      <c r="F27" s="121"/>
      <c r="G27" s="121"/>
      <c r="H27" s="121"/>
      <c r="I27" s="121"/>
      <c r="J27" s="121"/>
      <c r="K27" s="121"/>
      <c r="L27" s="121"/>
      <c r="M27" s="121"/>
      <c r="N27" s="121"/>
      <c r="O27" s="121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</row>
    <row r="28" customFormat="false" ht="15.75" hidden="false" customHeight="false" outlineLevel="0" collapsed="false">
      <c r="A28" s="121"/>
      <c r="B28" s="121"/>
      <c r="C28" s="121"/>
      <c r="D28" s="121"/>
      <c r="E28" s="121"/>
      <c r="F28" s="121"/>
      <c r="G28" s="121"/>
      <c r="H28" s="121"/>
      <c r="I28" s="121"/>
      <c r="J28" s="121"/>
      <c r="K28" s="121"/>
      <c r="L28" s="121"/>
      <c r="M28" s="121"/>
      <c r="N28" s="121"/>
      <c r="O28" s="121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</row>
    <row r="29" customFormat="false" ht="15.75" hidden="false" customHeight="false" outlineLevel="0" collapsed="false">
      <c r="A29" s="121"/>
      <c r="B29" s="121"/>
      <c r="C29" s="121"/>
      <c r="D29" s="121"/>
      <c r="E29" s="121"/>
      <c r="F29" s="121"/>
      <c r="G29" s="121"/>
      <c r="H29" s="121"/>
      <c r="I29" s="121"/>
      <c r="J29" s="121"/>
      <c r="K29" s="121"/>
      <c r="L29" s="121"/>
      <c r="M29" s="121"/>
      <c r="N29" s="121"/>
      <c r="O29" s="121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</row>
    <row r="30" customFormat="false" ht="15.75" hidden="false" customHeight="false" outlineLevel="0" collapsed="false">
      <c r="A30" s="121"/>
      <c r="B30" s="121"/>
      <c r="C30" s="121"/>
      <c r="D30" s="121"/>
      <c r="E30" s="121"/>
      <c r="F30" s="121"/>
      <c r="G30" s="121"/>
      <c r="H30" s="121"/>
      <c r="I30" s="121"/>
      <c r="J30" s="121"/>
      <c r="K30" s="121"/>
      <c r="L30" s="121"/>
      <c r="M30" s="121"/>
      <c r="N30" s="121"/>
      <c r="O30" s="121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</row>
    <row r="31" customFormat="false" ht="15.75" hidden="false" customHeight="false" outlineLevel="0" collapsed="false">
      <c r="A31" s="121"/>
      <c r="B31" s="121"/>
      <c r="C31" s="121"/>
      <c r="D31" s="121"/>
      <c r="E31" s="121"/>
      <c r="F31" s="121"/>
      <c r="G31" s="121"/>
      <c r="H31" s="121"/>
      <c r="I31" s="121"/>
      <c r="J31" s="121"/>
      <c r="K31" s="121"/>
      <c r="L31" s="121"/>
      <c r="M31" s="121"/>
      <c r="N31" s="121"/>
      <c r="O31" s="121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</row>
    <row r="32" customFormat="false" ht="15.75" hidden="false" customHeight="false" outlineLevel="0" collapsed="false">
      <c r="A32" s="121"/>
      <c r="B32" s="121"/>
      <c r="C32" s="121"/>
      <c r="D32" s="121"/>
      <c r="E32" s="121"/>
      <c r="F32" s="121"/>
      <c r="G32" s="121"/>
      <c r="H32" s="121"/>
      <c r="I32" s="121"/>
      <c r="J32" s="121"/>
      <c r="K32" s="121"/>
      <c r="L32" s="121"/>
      <c r="M32" s="121"/>
      <c r="N32" s="121"/>
      <c r="O32" s="121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</row>
    <row r="33" customFormat="false" ht="15.75" hidden="false" customHeight="false" outlineLevel="0" collapsed="false">
      <c r="A33" s="121"/>
      <c r="B33" s="121"/>
      <c r="C33" s="121"/>
      <c r="D33" s="121"/>
      <c r="E33" s="121"/>
      <c r="F33" s="121"/>
      <c r="G33" s="121"/>
      <c r="H33" s="121"/>
      <c r="I33" s="121"/>
      <c r="J33" s="121"/>
      <c r="K33" s="121"/>
      <c r="L33" s="121"/>
      <c r="M33" s="121"/>
      <c r="N33" s="121"/>
      <c r="O33" s="121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</row>
    <row r="34" customFormat="false" ht="15.75" hidden="false" customHeight="false" outlineLevel="0" collapsed="false">
      <c r="A34" s="121"/>
      <c r="B34" s="121"/>
      <c r="C34" s="121"/>
      <c r="D34" s="121"/>
      <c r="E34" s="121"/>
      <c r="F34" s="121"/>
      <c r="G34" s="121"/>
      <c r="H34" s="121"/>
      <c r="I34" s="121"/>
      <c r="J34" s="121"/>
      <c r="K34" s="121"/>
      <c r="L34" s="121"/>
      <c r="M34" s="121"/>
      <c r="N34" s="121"/>
      <c r="O34" s="121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</row>
    <row r="35" customFormat="false" ht="15.75" hidden="false" customHeight="false" outlineLevel="0" collapsed="false">
      <c r="A35" s="121"/>
      <c r="B35" s="121"/>
      <c r="C35" s="121"/>
      <c r="D35" s="121"/>
      <c r="E35" s="121"/>
      <c r="F35" s="121"/>
      <c r="G35" s="121"/>
      <c r="H35" s="121"/>
      <c r="I35" s="121"/>
      <c r="J35" s="121"/>
      <c r="K35" s="121"/>
      <c r="L35" s="121"/>
      <c r="M35" s="121"/>
      <c r="N35" s="121"/>
      <c r="O35" s="121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</row>
    <row r="36" customFormat="false" ht="15.75" hidden="false" customHeight="false" outlineLevel="0" collapsed="false">
      <c r="A36" s="121"/>
      <c r="B36" s="121"/>
      <c r="C36" s="121"/>
      <c r="D36" s="121"/>
      <c r="E36" s="121"/>
      <c r="F36" s="121"/>
      <c r="G36" s="121"/>
      <c r="H36" s="121"/>
      <c r="I36" s="121"/>
      <c r="J36" s="121"/>
      <c r="K36" s="121"/>
      <c r="L36" s="121"/>
      <c r="M36" s="121"/>
      <c r="N36" s="121"/>
      <c r="O36" s="121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</row>
    <row r="37" customFormat="false" ht="15.75" hidden="false" customHeight="false" outlineLevel="0" collapsed="false">
      <c r="A37" s="121"/>
      <c r="B37" s="121"/>
      <c r="C37" s="121"/>
      <c r="D37" s="121"/>
      <c r="E37" s="121"/>
      <c r="F37" s="121"/>
      <c r="G37" s="121"/>
      <c r="H37" s="121"/>
      <c r="I37" s="121"/>
      <c r="J37" s="121"/>
      <c r="K37" s="121"/>
      <c r="L37" s="121"/>
      <c r="M37" s="121"/>
      <c r="N37" s="121"/>
      <c r="O37" s="121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</row>
    <row r="38" customFormat="false" ht="15.75" hidden="false" customHeight="false" outlineLevel="0" collapsed="false">
      <c r="A38" s="121"/>
      <c r="B38" s="121"/>
      <c r="C38" s="121"/>
      <c r="D38" s="121"/>
      <c r="E38" s="121"/>
      <c r="F38" s="121"/>
      <c r="G38" s="121"/>
      <c r="H38" s="121"/>
      <c r="I38" s="121"/>
      <c r="J38" s="121"/>
      <c r="K38" s="121"/>
      <c r="L38" s="121"/>
      <c r="M38" s="121"/>
      <c r="N38" s="121"/>
      <c r="O38" s="121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</row>
    <row r="39" customFormat="false" ht="15.75" hidden="false" customHeight="false" outlineLevel="0" collapsed="false">
      <c r="A39" s="121"/>
      <c r="B39" s="121"/>
      <c r="C39" s="121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1"/>
      <c r="O39" s="121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</row>
    <row r="40" customFormat="false" ht="15.75" hidden="false" customHeight="false" outlineLevel="0" collapsed="false">
      <c r="A40" s="121"/>
      <c r="B40" s="121"/>
      <c r="C40" s="121"/>
      <c r="D40" s="121"/>
      <c r="E40" s="121"/>
      <c r="F40" s="121"/>
      <c r="G40" s="121"/>
      <c r="H40" s="121"/>
      <c r="I40" s="121"/>
      <c r="J40" s="121"/>
      <c r="K40" s="121"/>
      <c r="L40" s="121"/>
      <c r="M40" s="121"/>
      <c r="N40" s="121"/>
      <c r="O40" s="121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</row>
    <row r="41" customFormat="false" ht="15.75" hidden="false" customHeight="false" outlineLevel="0" collapsed="false">
      <c r="A41" s="121"/>
      <c r="B41" s="121"/>
      <c r="C41" s="121"/>
      <c r="D41" s="121"/>
      <c r="E41" s="121"/>
      <c r="F41" s="121"/>
      <c r="G41" s="121"/>
      <c r="H41" s="121"/>
      <c r="I41" s="121"/>
      <c r="J41" s="121"/>
      <c r="K41" s="121"/>
      <c r="L41" s="121"/>
      <c r="M41" s="121"/>
      <c r="N41" s="121"/>
      <c r="O41" s="121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</row>
    <row r="42" customFormat="false" ht="15.75" hidden="false" customHeight="false" outlineLevel="0" collapsed="false">
      <c r="A42" s="121"/>
      <c r="B42" s="121"/>
      <c r="C42" s="121"/>
      <c r="D42" s="121"/>
      <c r="E42" s="121"/>
      <c r="F42" s="121"/>
      <c r="G42" s="121"/>
      <c r="H42" s="121"/>
      <c r="I42" s="121"/>
      <c r="J42" s="121"/>
      <c r="K42" s="121"/>
      <c r="L42" s="121"/>
      <c r="M42" s="121"/>
      <c r="N42" s="121"/>
      <c r="O42" s="121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</row>
    <row r="43" customFormat="false" ht="15.75" hidden="false" customHeight="false" outlineLevel="0" collapsed="false">
      <c r="A43" s="121"/>
      <c r="B43" s="121"/>
      <c r="C43" s="121"/>
      <c r="D43" s="121"/>
      <c r="E43" s="121"/>
      <c r="F43" s="121"/>
      <c r="G43" s="121"/>
      <c r="H43" s="121"/>
      <c r="I43" s="121"/>
      <c r="J43" s="121"/>
      <c r="K43" s="121"/>
      <c r="L43" s="121"/>
      <c r="M43" s="121"/>
      <c r="N43" s="121"/>
      <c r="O43" s="121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</row>
    <row r="44" customFormat="false" ht="15.75" hidden="false" customHeight="false" outlineLevel="0" collapsed="false">
      <c r="A44" s="121"/>
      <c r="B44" s="121"/>
      <c r="C44" s="121"/>
      <c r="D44" s="121"/>
      <c r="E44" s="121"/>
      <c r="F44" s="121"/>
      <c r="G44" s="121"/>
      <c r="H44" s="121"/>
      <c r="I44" s="121"/>
      <c r="J44" s="121"/>
      <c r="K44" s="121"/>
      <c r="L44" s="121"/>
      <c r="M44" s="121"/>
      <c r="N44" s="121"/>
      <c r="O44" s="121"/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</row>
    <row r="45" customFormat="false" ht="15.75" hidden="false" customHeight="false" outlineLevel="0" collapsed="false">
      <c r="A45" s="121"/>
      <c r="B45" s="121"/>
      <c r="C45" s="121"/>
      <c r="D45" s="121"/>
      <c r="E45" s="121"/>
      <c r="F45" s="121"/>
      <c r="G45" s="121"/>
      <c r="H45" s="121"/>
      <c r="I45" s="121"/>
      <c r="J45" s="121"/>
      <c r="K45" s="121"/>
      <c r="L45" s="121"/>
      <c r="M45" s="121"/>
      <c r="N45" s="121"/>
      <c r="O45" s="121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</row>
    <row r="46" customFormat="false" ht="15.75" hidden="false" customHeight="false" outlineLevel="0" collapsed="false">
      <c r="A46" s="121"/>
      <c r="B46" s="121"/>
      <c r="C46" s="121"/>
      <c r="D46" s="121"/>
      <c r="E46" s="121"/>
      <c r="F46" s="121"/>
      <c r="G46" s="121"/>
      <c r="H46" s="121"/>
      <c r="I46" s="121"/>
      <c r="J46" s="121"/>
      <c r="K46" s="121"/>
      <c r="L46" s="121"/>
      <c r="M46" s="121"/>
      <c r="N46" s="121"/>
      <c r="O46" s="121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</row>
    <row r="47" customFormat="false" ht="15.75" hidden="false" customHeight="false" outlineLevel="0" collapsed="false">
      <c r="A47" s="121"/>
      <c r="B47" s="121"/>
      <c r="C47" s="121"/>
      <c r="D47" s="121"/>
      <c r="E47" s="121"/>
      <c r="F47" s="121"/>
      <c r="G47" s="121"/>
      <c r="H47" s="121"/>
      <c r="I47" s="121"/>
      <c r="J47" s="121"/>
      <c r="K47" s="121"/>
      <c r="L47" s="121"/>
      <c r="M47" s="121"/>
      <c r="N47" s="121"/>
      <c r="O47" s="121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</row>
    <row r="48" customFormat="false" ht="15.75" hidden="false" customHeight="false" outlineLevel="0" collapsed="false">
      <c r="A48" s="121"/>
      <c r="B48" s="121"/>
      <c r="C48" s="121"/>
      <c r="D48" s="121"/>
      <c r="E48" s="121"/>
      <c r="F48" s="121"/>
      <c r="G48" s="121"/>
      <c r="H48" s="121"/>
      <c r="I48" s="121"/>
      <c r="J48" s="121"/>
      <c r="K48" s="121"/>
      <c r="L48" s="121"/>
      <c r="M48" s="121"/>
      <c r="N48" s="121"/>
      <c r="O48" s="121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</row>
    <row r="49" customFormat="false" ht="15.75" hidden="false" customHeight="false" outlineLevel="0" collapsed="false">
      <c r="A49" s="121"/>
      <c r="B49" s="121"/>
      <c r="C49" s="121"/>
      <c r="D49" s="121"/>
      <c r="E49" s="121"/>
      <c r="F49" s="121"/>
      <c r="G49" s="121"/>
      <c r="H49" s="121"/>
      <c r="I49" s="121"/>
      <c r="J49" s="121"/>
      <c r="K49" s="121"/>
      <c r="L49" s="121"/>
      <c r="M49" s="121"/>
      <c r="N49" s="121"/>
      <c r="O49" s="121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</row>
    <row r="50" customFormat="false" ht="15.75" hidden="false" customHeight="false" outlineLevel="0" collapsed="false">
      <c r="A50" s="121"/>
      <c r="B50" s="121"/>
      <c r="C50" s="121"/>
      <c r="D50" s="121"/>
      <c r="E50" s="121"/>
      <c r="F50" s="121"/>
      <c r="G50" s="121"/>
      <c r="H50" s="121"/>
      <c r="I50" s="121"/>
      <c r="J50" s="121"/>
      <c r="K50" s="121"/>
      <c r="L50" s="121"/>
      <c r="M50" s="121"/>
      <c r="N50" s="121"/>
      <c r="O50" s="121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</row>
    <row r="51" customFormat="false" ht="15.75" hidden="false" customHeight="false" outlineLevel="0" collapsed="false">
      <c r="A51" s="121"/>
      <c r="B51" s="121"/>
      <c r="C51" s="121"/>
      <c r="D51" s="121"/>
      <c r="E51" s="121"/>
      <c r="F51" s="121"/>
      <c r="G51" s="121"/>
      <c r="H51" s="121"/>
      <c r="I51" s="121"/>
      <c r="J51" s="121"/>
      <c r="K51" s="121"/>
      <c r="L51" s="121"/>
      <c r="M51" s="121"/>
      <c r="N51" s="121"/>
      <c r="O51" s="121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</row>
    <row r="52" customFormat="false" ht="15.75" hidden="false" customHeight="false" outlineLevel="0" collapsed="false">
      <c r="A52" s="121"/>
      <c r="B52" s="121"/>
      <c r="C52" s="121"/>
      <c r="D52" s="121"/>
      <c r="E52" s="121"/>
      <c r="F52" s="121"/>
      <c r="G52" s="121"/>
      <c r="H52" s="121"/>
      <c r="I52" s="121"/>
      <c r="J52" s="121"/>
      <c r="K52" s="121"/>
      <c r="L52" s="121"/>
      <c r="M52" s="121"/>
      <c r="N52" s="121"/>
      <c r="O52" s="121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</row>
    <row r="53" customFormat="false" ht="15.75" hidden="false" customHeight="false" outlineLevel="0" collapsed="false">
      <c r="A53" s="121"/>
      <c r="B53" s="121"/>
      <c r="C53" s="121"/>
      <c r="D53" s="121"/>
      <c r="E53" s="121"/>
      <c r="F53" s="121"/>
      <c r="G53" s="121"/>
      <c r="H53" s="121"/>
      <c r="I53" s="121"/>
      <c r="J53" s="121"/>
      <c r="K53" s="121"/>
      <c r="L53" s="121"/>
      <c r="M53" s="121"/>
      <c r="N53" s="121"/>
      <c r="O53" s="121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</row>
    <row r="54" customFormat="false" ht="15.75" hidden="false" customHeight="false" outlineLevel="0" collapsed="false">
      <c r="A54" s="121"/>
      <c r="B54" s="121"/>
      <c r="C54" s="121"/>
      <c r="D54" s="121"/>
      <c r="E54" s="121"/>
      <c r="F54" s="121"/>
      <c r="G54" s="121"/>
      <c r="H54" s="121"/>
      <c r="I54" s="121"/>
      <c r="J54" s="121"/>
      <c r="K54" s="121"/>
      <c r="L54" s="121"/>
      <c r="M54" s="121"/>
      <c r="N54" s="121"/>
      <c r="O54" s="121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</row>
    <row r="55" customFormat="false" ht="15.75" hidden="false" customHeight="false" outlineLevel="0" collapsed="false">
      <c r="A55" s="121"/>
      <c r="B55" s="121"/>
      <c r="C55" s="121"/>
      <c r="D55" s="121"/>
      <c r="E55" s="121"/>
      <c r="F55" s="121"/>
      <c r="G55" s="121"/>
      <c r="H55" s="121"/>
      <c r="I55" s="121"/>
      <c r="J55" s="121"/>
      <c r="K55" s="121"/>
      <c r="L55" s="121"/>
      <c r="M55" s="121"/>
      <c r="N55" s="121"/>
      <c r="O55" s="121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</row>
    <row r="56" customFormat="false" ht="15.75" hidden="false" customHeight="false" outlineLevel="0" collapsed="false">
      <c r="A56" s="121"/>
      <c r="B56" s="121"/>
      <c r="C56" s="121"/>
      <c r="D56" s="121"/>
      <c r="E56" s="121"/>
      <c r="F56" s="121"/>
      <c r="G56" s="121"/>
      <c r="H56" s="121"/>
      <c r="I56" s="121"/>
      <c r="J56" s="121"/>
      <c r="K56" s="121"/>
      <c r="L56" s="121"/>
      <c r="M56" s="121"/>
      <c r="N56" s="121"/>
      <c r="O56" s="121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</row>
    <row r="57" customFormat="false" ht="15.75" hidden="false" customHeight="false" outlineLevel="0" collapsed="false">
      <c r="A57" s="121"/>
      <c r="B57" s="121"/>
      <c r="C57" s="121"/>
      <c r="D57" s="121"/>
      <c r="E57" s="121"/>
      <c r="F57" s="121"/>
      <c r="G57" s="121"/>
      <c r="H57" s="121"/>
      <c r="I57" s="121"/>
      <c r="J57" s="121"/>
      <c r="K57" s="121"/>
      <c r="L57" s="121"/>
      <c r="M57" s="121"/>
      <c r="N57" s="121"/>
      <c r="O57" s="121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</row>
    <row r="58" customFormat="false" ht="15.75" hidden="false" customHeight="false" outlineLevel="0" collapsed="false">
      <c r="A58" s="121"/>
      <c r="B58" s="121"/>
      <c r="C58" s="121"/>
      <c r="D58" s="121"/>
      <c r="E58" s="121"/>
      <c r="F58" s="121"/>
      <c r="G58" s="121"/>
      <c r="H58" s="121"/>
      <c r="I58" s="121"/>
      <c r="J58" s="121"/>
      <c r="K58" s="121"/>
      <c r="L58" s="121"/>
      <c r="M58" s="121"/>
      <c r="N58" s="121"/>
      <c r="O58" s="121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</row>
    <row r="59" customFormat="false" ht="15.75" hidden="false" customHeight="false" outlineLevel="0" collapsed="false">
      <c r="A59" s="121"/>
      <c r="B59" s="121"/>
      <c r="C59" s="121"/>
      <c r="D59" s="121"/>
      <c r="E59" s="121"/>
      <c r="F59" s="121"/>
      <c r="G59" s="121"/>
      <c r="H59" s="121"/>
      <c r="I59" s="121"/>
      <c r="J59" s="121"/>
      <c r="K59" s="121"/>
      <c r="L59" s="121"/>
      <c r="M59" s="121"/>
      <c r="N59" s="121"/>
      <c r="O59" s="121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</row>
    <row r="60" customFormat="false" ht="15.75" hidden="false" customHeight="false" outlineLevel="0" collapsed="false">
      <c r="A60" s="121"/>
      <c r="B60" s="121"/>
      <c r="C60" s="121"/>
      <c r="D60" s="121"/>
      <c r="E60" s="121"/>
      <c r="F60" s="121"/>
      <c r="G60" s="121"/>
      <c r="H60" s="121"/>
      <c r="I60" s="121"/>
      <c r="J60" s="121"/>
      <c r="K60" s="121"/>
      <c r="L60" s="121"/>
      <c r="M60" s="121"/>
      <c r="N60" s="121"/>
      <c r="O60" s="121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</row>
    <row r="61" customFormat="false" ht="15.75" hidden="false" customHeight="false" outlineLevel="0" collapsed="false">
      <c r="A61" s="121"/>
      <c r="B61" s="121"/>
      <c r="C61" s="121"/>
      <c r="D61" s="121"/>
      <c r="E61" s="121"/>
      <c r="F61" s="121"/>
      <c r="G61" s="121"/>
      <c r="H61" s="121"/>
      <c r="I61" s="121"/>
      <c r="J61" s="121"/>
      <c r="K61" s="121"/>
      <c r="L61" s="121"/>
      <c r="M61" s="121"/>
      <c r="N61" s="121"/>
      <c r="O61" s="121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</row>
    <row r="62" customFormat="false" ht="15.75" hidden="false" customHeight="false" outlineLevel="0" collapsed="false">
      <c r="A62" s="121"/>
      <c r="B62" s="121"/>
      <c r="C62" s="121"/>
      <c r="D62" s="121"/>
      <c r="E62" s="121"/>
      <c r="F62" s="121"/>
      <c r="G62" s="121"/>
      <c r="H62" s="121"/>
      <c r="I62" s="121"/>
      <c r="J62" s="121"/>
      <c r="K62" s="121"/>
      <c r="L62" s="121"/>
      <c r="M62" s="121"/>
      <c r="N62" s="121"/>
      <c r="O62" s="121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</row>
    <row r="63" customFormat="false" ht="15.75" hidden="false" customHeight="false" outlineLevel="0" collapsed="false">
      <c r="A63" s="121"/>
      <c r="B63" s="121"/>
      <c r="C63" s="121"/>
      <c r="D63" s="121"/>
      <c r="E63" s="121"/>
      <c r="F63" s="121"/>
      <c r="G63" s="121"/>
      <c r="H63" s="121"/>
      <c r="I63" s="121"/>
      <c r="J63" s="121"/>
      <c r="K63" s="121"/>
      <c r="L63" s="121"/>
      <c r="M63" s="121"/>
      <c r="N63" s="121"/>
      <c r="O63" s="121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</row>
    <row r="64" customFormat="false" ht="15.75" hidden="false" customHeight="false" outlineLevel="0" collapsed="false">
      <c r="A64" s="121"/>
      <c r="B64" s="121"/>
      <c r="C64" s="121"/>
      <c r="D64" s="121"/>
      <c r="E64" s="121"/>
      <c r="F64" s="121"/>
      <c r="G64" s="121"/>
      <c r="H64" s="121"/>
      <c r="I64" s="121"/>
      <c r="J64" s="121"/>
      <c r="K64" s="121"/>
      <c r="L64" s="121"/>
      <c r="M64" s="121"/>
      <c r="N64" s="121"/>
      <c r="O64" s="121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</row>
    <row r="65" customFormat="false" ht="15.75" hidden="false" customHeight="false" outlineLevel="0" collapsed="false">
      <c r="A65" s="121"/>
      <c r="B65" s="121"/>
      <c r="C65" s="121"/>
      <c r="D65" s="121"/>
      <c r="E65" s="121"/>
      <c r="F65" s="121"/>
      <c r="G65" s="121"/>
      <c r="H65" s="121"/>
      <c r="I65" s="121"/>
      <c r="J65" s="121"/>
      <c r="K65" s="121"/>
      <c r="L65" s="121"/>
      <c r="M65" s="121"/>
      <c r="N65" s="121"/>
      <c r="O65" s="121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</row>
    <row r="66" customFormat="false" ht="15.75" hidden="false" customHeight="false" outlineLevel="0" collapsed="false">
      <c r="A66" s="121"/>
      <c r="B66" s="121"/>
      <c r="C66" s="121"/>
      <c r="D66" s="121"/>
      <c r="E66" s="121"/>
      <c r="F66" s="121"/>
      <c r="G66" s="121"/>
      <c r="H66" s="121"/>
      <c r="I66" s="121"/>
      <c r="J66" s="121"/>
      <c r="K66" s="121"/>
      <c r="L66" s="121"/>
      <c r="M66" s="121"/>
      <c r="N66" s="121"/>
      <c r="O66" s="121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</row>
    <row r="67" customFormat="false" ht="15.75" hidden="false" customHeight="false" outlineLevel="0" collapsed="false">
      <c r="A67" s="121"/>
      <c r="B67" s="121"/>
      <c r="C67" s="121"/>
      <c r="D67" s="121"/>
      <c r="E67" s="121"/>
      <c r="F67" s="121"/>
      <c r="G67" s="121"/>
      <c r="H67" s="121"/>
      <c r="I67" s="121"/>
      <c r="J67" s="121"/>
      <c r="K67" s="121"/>
      <c r="L67" s="121"/>
      <c r="M67" s="121"/>
      <c r="N67" s="121"/>
      <c r="O67" s="121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</row>
    <row r="68" customFormat="false" ht="15.75" hidden="false" customHeight="false" outlineLevel="0" collapsed="false">
      <c r="A68" s="121"/>
      <c r="B68" s="121"/>
      <c r="C68" s="121"/>
      <c r="D68" s="121"/>
      <c r="E68" s="121"/>
      <c r="F68" s="121"/>
      <c r="G68" s="121"/>
      <c r="H68" s="121"/>
      <c r="I68" s="121"/>
      <c r="J68" s="121"/>
      <c r="K68" s="121"/>
      <c r="L68" s="121"/>
      <c r="M68" s="121"/>
      <c r="N68" s="121"/>
      <c r="O68" s="121"/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</row>
    <row r="69" customFormat="false" ht="15.75" hidden="false" customHeight="false" outlineLevel="0" collapsed="false">
      <c r="A69" s="121"/>
      <c r="B69" s="121"/>
      <c r="C69" s="121"/>
      <c r="D69" s="121"/>
      <c r="E69" s="121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</row>
    <row r="70" customFormat="false" ht="15.75" hidden="false" customHeight="false" outlineLevel="0" collapsed="false">
      <c r="A70" s="121"/>
      <c r="B70" s="121"/>
      <c r="C70" s="121"/>
      <c r="D70" s="121"/>
      <c r="E70" s="121"/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</row>
    <row r="71" customFormat="false" ht="15.75" hidden="false" customHeight="false" outlineLevel="0" collapsed="false">
      <c r="A71" s="121"/>
      <c r="B71" s="121"/>
      <c r="C71" s="121"/>
      <c r="D71" s="121"/>
      <c r="E71" s="121"/>
      <c r="F71" s="121"/>
      <c r="G71" s="121"/>
      <c r="H71" s="121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</row>
    <row r="72" customFormat="false" ht="15.75" hidden="false" customHeight="false" outlineLevel="0" collapsed="false">
      <c r="A72" s="121"/>
      <c r="B72" s="121"/>
      <c r="C72" s="121"/>
      <c r="D72" s="121"/>
      <c r="E72" s="121"/>
      <c r="F72" s="121"/>
      <c r="G72" s="121"/>
      <c r="H72" s="121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</row>
    <row r="73" customFormat="false" ht="15.75" hidden="false" customHeight="false" outlineLevel="0" collapsed="false">
      <c r="A73" s="121"/>
      <c r="B73" s="121"/>
      <c r="C73" s="121"/>
      <c r="D73" s="121"/>
      <c r="E73" s="121"/>
      <c r="F73" s="121"/>
      <c r="G73" s="121"/>
      <c r="H73" s="121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</row>
    <row r="74" customFormat="false" ht="15.75" hidden="false" customHeight="false" outlineLevel="0" collapsed="false">
      <c r="A74" s="121"/>
      <c r="B74" s="121"/>
      <c r="C74" s="121"/>
      <c r="D74" s="121"/>
      <c r="E74" s="121"/>
      <c r="F74" s="121"/>
      <c r="G74" s="121"/>
      <c r="H74" s="121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</row>
    <row r="75" customFormat="false" ht="15.75" hidden="false" customHeight="false" outlineLevel="0" collapsed="false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</row>
    <row r="76" customFormat="false" ht="15.75" hidden="false" customHeight="false" outlineLevel="0" collapsed="false">
      <c r="A76" s="121"/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</row>
    <row r="77" customFormat="false" ht="15.75" hidden="false" customHeight="false" outlineLevel="0" collapsed="false">
      <c r="A77" s="121"/>
      <c r="B77" s="121"/>
      <c r="C77" s="121"/>
      <c r="D77" s="121"/>
      <c r="E77" s="121"/>
      <c r="F77" s="121"/>
      <c r="G77" s="121"/>
      <c r="H77" s="121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</row>
    <row r="78" customFormat="false" ht="15.75" hidden="false" customHeight="false" outlineLevel="0" collapsed="false">
      <c r="A78" s="121"/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</row>
    <row r="79" customFormat="false" ht="15.75" hidden="false" customHeight="false" outlineLevel="0" collapsed="false">
      <c r="A79" s="121"/>
      <c r="B79" s="121"/>
      <c r="C79" s="121"/>
      <c r="D79" s="121"/>
      <c r="E79" s="121"/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</row>
    <row r="80" customFormat="false" ht="15.75" hidden="false" customHeight="false" outlineLevel="0" collapsed="false">
      <c r="A80" s="121"/>
      <c r="B80" s="121"/>
      <c r="C80" s="121"/>
      <c r="D80" s="121"/>
      <c r="E80" s="121"/>
      <c r="F80" s="121"/>
      <c r="G80" s="121"/>
      <c r="H80" s="121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</row>
    <row r="81" customFormat="false" ht="15.75" hidden="false" customHeight="false" outlineLevel="0" collapsed="false">
      <c r="A81" s="121"/>
      <c r="B81" s="121"/>
      <c r="C81" s="121"/>
      <c r="D81" s="121"/>
      <c r="E81" s="121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</row>
    <row r="82" customFormat="false" ht="15.75" hidden="false" customHeight="false" outlineLevel="0" collapsed="false">
      <c r="A82" s="121"/>
      <c r="B82" s="121"/>
      <c r="C82" s="121"/>
      <c r="D82" s="121"/>
      <c r="E82" s="121"/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</row>
    <row r="83" customFormat="false" ht="15.75" hidden="false" customHeight="false" outlineLevel="0" collapsed="false">
      <c r="A83" s="121"/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</row>
    <row r="84" customFormat="false" ht="15.75" hidden="false" customHeight="false" outlineLevel="0" collapsed="false">
      <c r="A84" s="121"/>
      <c r="B84" s="121"/>
      <c r="C84" s="121"/>
      <c r="D84" s="121"/>
      <c r="E84" s="121"/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</row>
    <row r="85" customFormat="false" ht="15.75" hidden="false" customHeight="false" outlineLevel="0" collapsed="false">
      <c r="A85" s="121"/>
      <c r="B85" s="121"/>
      <c r="C85" s="121"/>
      <c r="D85" s="121"/>
      <c r="E85" s="121"/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</row>
    <row r="86" customFormat="false" ht="15.75" hidden="false" customHeight="false" outlineLevel="0" collapsed="false">
      <c r="A86" s="121"/>
      <c r="B86" s="121"/>
      <c r="C86" s="121"/>
      <c r="D86" s="121"/>
      <c r="E86" s="121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</row>
    <row r="87" customFormat="false" ht="15.75" hidden="false" customHeight="false" outlineLevel="0" collapsed="false">
      <c r="A87" s="121"/>
      <c r="B87" s="121"/>
      <c r="C87" s="121"/>
      <c r="D87" s="121"/>
      <c r="E87" s="121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</row>
    <row r="88" customFormat="false" ht="15.75" hidden="false" customHeight="false" outlineLevel="0" collapsed="false">
      <c r="A88" s="121"/>
      <c r="B88" s="121"/>
      <c r="C88" s="121"/>
      <c r="D88" s="121"/>
      <c r="E88" s="121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</row>
    <row r="89" customFormat="false" ht="15.75" hidden="false" customHeight="false" outlineLevel="0" collapsed="false">
      <c r="A89" s="121"/>
      <c r="B89" s="121"/>
      <c r="C89" s="121"/>
      <c r="D89" s="121"/>
      <c r="E89" s="121"/>
      <c r="F89" s="121"/>
      <c r="G89" s="121"/>
      <c r="H89" s="121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</row>
    <row r="90" customFormat="false" ht="15.75" hidden="false" customHeight="false" outlineLevel="0" collapsed="false">
      <c r="A90" s="121"/>
      <c r="B90" s="121"/>
      <c r="C90" s="121"/>
      <c r="D90" s="121"/>
      <c r="E90" s="121"/>
      <c r="F90" s="121"/>
      <c r="G90" s="121"/>
      <c r="H90" s="121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</row>
    <row r="91" customFormat="false" ht="15.75" hidden="false" customHeight="false" outlineLevel="0" collapsed="false">
      <c r="A91" s="121"/>
      <c r="B91" s="121"/>
      <c r="C91" s="121"/>
      <c r="D91" s="121"/>
      <c r="E91" s="121"/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</row>
    <row r="92" customFormat="false" ht="15.75" hidden="false" customHeight="false" outlineLevel="0" collapsed="false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</row>
    <row r="93" customFormat="false" ht="15.75" hidden="false" customHeight="false" outlineLevel="0" collapsed="false">
      <c r="A93" s="121"/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</row>
    <row r="94" customFormat="false" ht="15.75" hidden="false" customHeight="false" outlineLevel="0" collapsed="false">
      <c r="A94" s="121"/>
      <c r="B94" s="121"/>
      <c r="C94" s="121"/>
      <c r="D94" s="121"/>
      <c r="E94" s="121"/>
      <c r="F94" s="121"/>
      <c r="G94" s="121"/>
      <c r="H94" s="121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</row>
    <row r="95" customFormat="false" ht="15.75" hidden="false" customHeight="false" outlineLevel="0" collapsed="false">
      <c r="A95" s="121"/>
      <c r="B95" s="121"/>
      <c r="C95" s="121"/>
      <c r="D95" s="121"/>
      <c r="E95" s="121"/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</row>
    <row r="96" customFormat="false" ht="15.75" hidden="false" customHeight="false" outlineLevel="0" collapsed="false">
      <c r="A96" s="121"/>
      <c r="B96" s="121"/>
      <c r="C96" s="121"/>
      <c r="D96" s="121"/>
      <c r="E96" s="121"/>
      <c r="F96" s="121"/>
      <c r="G96" s="121"/>
      <c r="H96" s="121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</row>
    <row r="97" customFormat="false" ht="15.75" hidden="false" customHeight="false" outlineLevel="0" collapsed="false">
      <c r="A97" s="121"/>
      <c r="B97" s="121"/>
      <c r="C97" s="121"/>
      <c r="D97" s="121"/>
      <c r="E97" s="121"/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</row>
    <row r="98" customFormat="false" ht="15.75" hidden="false" customHeight="false" outlineLevel="0" collapsed="false">
      <c r="A98" s="121"/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</row>
    <row r="99" customFormat="false" ht="15.75" hidden="false" customHeight="false" outlineLevel="0" collapsed="false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</row>
    <row r="100" customFormat="false" ht="15.75" hidden="false" customHeight="false" outlineLevel="0" collapsed="false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</row>
    <row r="101" customFormat="false" ht="15.75" hidden="false" customHeight="false" outlineLevel="0" collapsed="false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</row>
    <row r="102" customFormat="false" ht="15.75" hidden="false" customHeight="false" outlineLevel="0" collapsed="false">
      <c r="A102" s="121"/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</row>
    <row r="103" customFormat="false" ht="15.75" hidden="false" customHeight="false" outlineLevel="0" collapsed="false">
      <c r="A103" s="121"/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</row>
    <row r="104" customFormat="false" ht="15.75" hidden="false" customHeight="false" outlineLevel="0" collapsed="false">
      <c r="A104" s="121"/>
      <c r="B104" s="121"/>
      <c r="C104" s="121"/>
      <c r="D104" s="121"/>
      <c r="E104" s="121"/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</row>
    <row r="105" customFormat="false" ht="15.75" hidden="false" customHeight="false" outlineLevel="0" collapsed="false">
      <c r="A105" s="121"/>
      <c r="B105" s="121"/>
      <c r="C105" s="121"/>
      <c r="D105" s="121"/>
      <c r="E105" s="121"/>
      <c r="F105" s="121"/>
      <c r="G105" s="121"/>
      <c r="H105" s="121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</row>
    <row r="106" customFormat="false" ht="15.75" hidden="false" customHeight="false" outlineLevel="0" collapsed="false">
      <c r="A106" s="121"/>
      <c r="B106" s="121"/>
      <c r="C106" s="121"/>
      <c r="D106" s="121"/>
      <c r="E106" s="121"/>
      <c r="F106" s="121"/>
      <c r="G106" s="121"/>
      <c r="H106" s="121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</row>
    <row r="107" customFormat="false" ht="15.75" hidden="false" customHeight="false" outlineLevel="0" collapsed="false">
      <c r="A107" s="121"/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</row>
    <row r="108" customFormat="false" ht="15.75" hidden="false" customHeight="false" outlineLevel="0" collapsed="false">
      <c r="A108" s="121"/>
      <c r="B108" s="121"/>
      <c r="C108" s="121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</row>
    <row r="109" customFormat="false" ht="15.75" hidden="false" customHeight="false" outlineLevel="0" collapsed="false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</row>
    <row r="110" customFormat="false" ht="15.75" hidden="false" customHeight="false" outlineLevel="0" collapsed="false">
      <c r="A110" s="121"/>
      <c r="B110" s="121"/>
      <c r="C110" s="121"/>
      <c r="D110" s="121"/>
      <c r="E110" s="121"/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</row>
    <row r="111" customFormat="false" ht="15.75" hidden="false" customHeight="false" outlineLevel="0" collapsed="false">
      <c r="A111" s="121"/>
      <c r="B111" s="121"/>
      <c r="C111" s="121"/>
      <c r="D111" s="121"/>
      <c r="E111" s="121"/>
      <c r="F111" s="121"/>
      <c r="G111" s="121"/>
      <c r="H111" s="121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</row>
    <row r="112" customFormat="false" ht="15.75" hidden="false" customHeight="false" outlineLevel="0" collapsed="false">
      <c r="A112" s="121"/>
      <c r="B112" s="121"/>
      <c r="C112" s="121"/>
      <c r="D112" s="121"/>
      <c r="E112" s="121"/>
      <c r="F112" s="121"/>
      <c r="G112" s="121"/>
      <c r="H112" s="121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</row>
    <row r="113" customFormat="false" ht="15.75" hidden="false" customHeight="false" outlineLevel="0" collapsed="false">
      <c r="A113" s="121"/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</row>
    <row r="114" customFormat="false" ht="15.75" hidden="false" customHeight="false" outlineLevel="0" collapsed="false">
      <c r="A114" s="121"/>
      <c r="B114" s="121"/>
      <c r="C114" s="121"/>
      <c r="D114" s="121"/>
      <c r="E114" s="121"/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</row>
    <row r="115" customFormat="false" ht="15.75" hidden="false" customHeight="false" outlineLevel="0" collapsed="false">
      <c r="A115" s="121"/>
      <c r="B115" s="121"/>
      <c r="C115" s="121"/>
      <c r="D115" s="121"/>
      <c r="E115" s="121"/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</row>
    <row r="116" customFormat="false" ht="15.75" hidden="false" customHeight="false" outlineLevel="0" collapsed="false">
      <c r="A116" s="121"/>
      <c r="B116" s="121"/>
      <c r="C116" s="121"/>
      <c r="D116" s="121"/>
      <c r="E116" s="121"/>
      <c r="F116" s="121"/>
      <c r="G116" s="121"/>
      <c r="H116" s="121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</row>
    <row r="117" customFormat="false" ht="15.75" hidden="false" customHeight="false" outlineLevel="0" collapsed="false">
      <c r="A117" s="121"/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</row>
    <row r="118" customFormat="false" ht="15.75" hidden="false" customHeight="false" outlineLevel="0" collapsed="false">
      <c r="A118" s="121"/>
      <c r="B118" s="121"/>
      <c r="C118" s="121"/>
      <c r="D118" s="121"/>
      <c r="E118" s="121"/>
      <c r="F118" s="121"/>
      <c r="G118" s="121"/>
      <c r="H118" s="121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</row>
    <row r="119" customFormat="false" ht="15.75" hidden="false" customHeight="false" outlineLevel="0" collapsed="false">
      <c r="A119" s="121"/>
      <c r="B119" s="121"/>
      <c r="C119" s="121"/>
      <c r="D119" s="121"/>
      <c r="E119" s="121"/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</row>
    <row r="120" customFormat="false" ht="15.75" hidden="false" customHeight="false" outlineLevel="0" collapsed="false">
      <c r="A120" s="121"/>
      <c r="B120" s="121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</row>
    <row r="121" customFormat="false" ht="15.75" hidden="false" customHeight="false" outlineLevel="0" collapsed="false">
      <c r="A121" s="121"/>
      <c r="B121" s="121"/>
      <c r="C121" s="121"/>
      <c r="D121" s="121"/>
      <c r="E121" s="121"/>
      <c r="F121" s="121"/>
      <c r="G121" s="121"/>
      <c r="H121" s="121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</row>
    <row r="122" customFormat="false" ht="15.75" hidden="false" customHeight="false" outlineLevel="0" collapsed="false">
      <c r="A122" s="121"/>
      <c r="B122" s="121"/>
      <c r="C122" s="121"/>
      <c r="D122" s="121"/>
      <c r="E122" s="121"/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</row>
    <row r="123" customFormat="false" ht="15.75" hidden="false" customHeight="false" outlineLevel="0" collapsed="false">
      <c r="A123" s="121"/>
      <c r="B123" s="121"/>
      <c r="C123" s="121"/>
      <c r="D123" s="121"/>
      <c r="E123" s="121"/>
      <c r="F123" s="121"/>
      <c r="G123" s="121"/>
      <c r="H123" s="121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</row>
    <row r="124" customFormat="false" ht="15.75" hidden="false" customHeight="false" outlineLevel="0" collapsed="false">
      <c r="A124" s="121"/>
      <c r="B124" s="121"/>
      <c r="C124" s="121"/>
      <c r="D124" s="121"/>
      <c r="E124" s="121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</row>
    <row r="125" customFormat="false" ht="15.75" hidden="false" customHeight="false" outlineLevel="0" collapsed="false">
      <c r="A125" s="121"/>
      <c r="B125" s="121"/>
      <c r="C125" s="121"/>
      <c r="D125" s="121"/>
      <c r="E125" s="121"/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</row>
    <row r="126" customFormat="false" ht="15.75" hidden="false" customHeight="false" outlineLevel="0" collapsed="false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</row>
    <row r="127" customFormat="false" ht="15.75" hidden="false" customHeight="false" outlineLevel="0" collapsed="false">
      <c r="A127" s="121"/>
      <c r="B127" s="121"/>
      <c r="C127" s="121"/>
      <c r="D127" s="121"/>
      <c r="E127" s="121"/>
      <c r="F127" s="121"/>
      <c r="G127" s="121"/>
      <c r="H127" s="121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</row>
    <row r="128" customFormat="false" ht="15.75" hidden="false" customHeight="false" outlineLevel="0" collapsed="false">
      <c r="A128" s="121"/>
      <c r="B128" s="121"/>
      <c r="C128" s="121"/>
      <c r="D128" s="121"/>
      <c r="E128" s="121"/>
      <c r="F128" s="121"/>
      <c r="G128" s="121"/>
      <c r="H128" s="121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</row>
    <row r="129" customFormat="false" ht="15.75" hidden="false" customHeight="false" outlineLevel="0" collapsed="false">
      <c r="A129" s="121"/>
      <c r="B129" s="121"/>
      <c r="C129" s="121"/>
      <c r="D129" s="121"/>
      <c r="E129" s="121"/>
      <c r="F129" s="121"/>
      <c r="G129" s="121"/>
      <c r="H129" s="121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</row>
    <row r="130" customFormat="false" ht="15.75" hidden="false" customHeight="false" outlineLevel="0" collapsed="false">
      <c r="A130" s="121"/>
      <c r="B130" s="121"/>
      <c r="C130" s="121"/>
      <c r="D130" s="121"/>
      <c r="E130" s="121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</row>
    <row r="131" customFormat="false" ht="15.75" hidden="false" customHeight="false" outlineLevel="0" collapsed="false">
      <c r="A131" s="121"/>
      <c r="B131" s="121"/>
      <c r="C131" s="121"/>
      <c r="D131" s="121"/>
      <c r="E131" s="121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</row>
    <row r="132" customFormat="false" ht="15.75" hidden="false" customHeight="false" outlineLevel="0" collapsed="false">
      <c r="A132" s="121"/>
      <c r="B132" s="121"/>
      <c r="C132" s="121"/>
      <c r="D132" s="121"/>
      <c r="E132" s="121"/>
      <c r="F132" s="121"/>
      <c r="G132" s="121"/>
      <c r="H132" s="121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</row>
    <row r="133" customFormat="false" ht="15.75" hidden="false" customHeight="false" outlineLevel="0" collapsed="false">
      <c r="A133" s="121"/>
      <c r="B133" s="121"/>
      <c r="C133" s="121"/>
      <c r="D133" s="121"/>
      <c r="E133" s="121"/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</row>
    <row r="134" customFormat="false" ht="15.75" hidden="false" customHeight="false" outlineLevel="0" collapsed="false">
      <c r="A134" s="121"/>
      <c r="B134" s="121"/>
      <c r="C134" s="121"/>
      <c r="D134" s="121"/>
      <c r="E134" s="121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</row>
    <row r="135" customFormat="false" ht="15.75" hidden="false" customHeight="false" outlineLevel="0" collapsed="false">
      <c r="A135" s="121"/>
      <c r="B135" s="121"/>
      <c r="C135" s="121"/>
      <c r="D135" s="121"/>
      <c r="E135" s="121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</row>
    <row r="136" customFormat="false" ht="15.75" hidden="false" customHeight="false" outlineLevel="0" collapsed="false">
      <c r="A136" s="121"/>
      <c r="B136" s="121"/>
      <c r="C136" s="121"/>
      <c r="D136" s="121"/>
      <c r="E136" s="121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</row>
    <row r="137" customFormat="false" ht="15.75" hidden="false" customHeight="false" outlineLevel="0" collapsed="false">
      <c r="A137" s="121"/>
      <c r="B137" s="121"/>
      <c r="C137" s="121"/>
      <c r="D137" s="121"/>
      <c r="E137" s="121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</row>
    <row r="138" customFormat="false" ht="15.75" hidden="false" customHeight="false" outlineLevel="0" collapsed="false">
      <c r="A138" s="121"/>
      <c r="B138" s="121"/>
      <c r="C138" s="121"/>
      <c r="D138" s="121"/>
      <c r="E138" s="121"/>
      <c r="F138" s="121"/>
      <c r="G138" s="121"/>
      <c r="H138" s="121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</row>
    <row r="139" customFormat="false" ht="15.75" hidden="false" customHeight="false" outlineLevel="0" collapsed="false">
      <c r="A139" s="121"/>
      <c r="B139" s="121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</row>
    <row r="140" customFormat="false" ht="15.75" hidden="false" customHeight="false" outlineLevel="0" collapsed="false">
      <c r="A140" s="121"/>
      <c r="B140" s="121"/>
      <c r="C140" s="121"/>
      <c r="D140" s="121"/>
      <c r="E140" s="121"/>
      <c r="F140" s="121"/>
      <c r="G140" s="121"/>
      <c r="H140" s="121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</row>
    <row r="141" customFormat="false" ht="15.75" hidden="false" customHeight="false" outlineLevel="0" collapsed="false">
      <c r="A141" s="121"/>
      <c r="B141" s="121"/>
      <c r="C141" s="121"/>
      <c r="D141" s="121"/>
      <c r="E141" s="121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</row>
    <row r="142" customFormat="false" ht="15.75" hidden="false" customHeight="false" outlineLevel="0" collapsed="false">
      <c r="A142" s="121"/>
      <c r="B142" s="121"/>
      <c r="C142" s="121"/>
      <c r="D142" s="121"/>
      <c r="E142" s="121"/>
      <c r="F142" s="121"/>
      <c r="G142" s="121"/>
      <c r="H142" s="121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</row>
    <row r="143" customFormat="false" ht="15.75" hidden="false" customHeight="false" outlineLevel="0" collapsed="false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</row>
    <row r="144" customFormat="false" ht="15.75" hidden="false" customHeight="false" outlineLevel="0" collapsed="false">
      <c r="A144" s="121"/>
      <c r="B144" s="121"/>
      <c r="C144" s="121"/>
      <c r="D144" s="121"/>
      <c r="E144" s="121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</row>
    <row r="145" customFormat="false" ht="15.75" hidden="false" customHeight="false" outlineLevel="0" collapsed="false">
      <c r="A145" s="121"/>
      <c r="B145" s="121"/>
      <c r="C145" s="121"/>
      <c r="D145" s="121"/>
      <c r="E145" s="121"/>
      <c r="F145" s="121"/>
      <c r="G145" s="121"/>
      <c r="H145" s="121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</row>
    <row r="146" customFormat="false" ht="15.75" hidden="false" customHeight="false" outlineLevel="0" collapsed="false">
      <c r="A146" s="121"/>
      <c r="B146" s="121"/>
      <c r="C146" s="121"/>
      <c r="D146" s="121"/>
      <c r="E146" s="121"/>
      <c r="F146" s="121"/>
      <c r="G146" s="121"/>
      <c r="H146" s="121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</row>
    <row r="147" customFormat="false" ht="15.75" hidden="false" customHeight="false" outlineLevel="0" collapsed="false">
      <c r="A147" s="121"/>
      <c r="B147" s="121"/>
      <c r="C147" s="121"/>
      <c r="D147" s="121"/>
      <c r="E147" s="121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</row>
    <row r="148" customFormat="false" ht="15.75" hidden="false" customHeight="false" outlineLevel="0" collapsed="false">
      <c r="A148" s="121"/>
      <c r="B148" s="121"/>
      <c r="C148" s="121"/>
      <c r="D148" s="121"/>
      <c r="E148" s="121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</row>
    <row r="149" customFormat="false" ht="15.75" hidden="false" customHeight="false" outlineLevel="0" collapsed="false">
      <c r="A149" s="121"/>
      <c r="B149" s="121"/>
      <c r="C149" s="121"/>
      <c r="D149" s="121"/>
      <c r="E149" s="121"/>
      <c r="F149" s="121"/>
      <c r="G149" s="121"/>
      <c r="H149" s="121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</row>
    <row r="150" customFormat="false" ht="15.75" hidden="false" customHeight="false" outlineLevel="0" collapsed="false">
      <c r="A150" s="121"/>
      <c r="B150" s="121"/>
      <c r="C150" s="121"/>
      <c r="D150" s="121"/>
      <c r="E150" s="121"/>
      <c r="F150" s="121"/>
      <c r="G150" s="121"/>
      <c r="H150" s="121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</row>
    <row r="151" customFormat="false" ht="15.75" hidden="false" customHeight="false" outlineLevel="0" collapsed="false">
      <c r="A151" s="121"/>
      <c r="B151" s="121"/>
      <c r="C151" s="121"/>
      <c r="D151" s="121"/>
      <c r="E151" s="121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</row>
    <row r="152" customFormat="false" ht="15.75" hidden="false" customHeight="false" outlineLevel="0" collapsed="false">
      <c r="A152" s="121"/>
      <c r="B152" s="121"/>
      <c r="C152" s="121"/>
      <c r="D152" s="121"/>
      <c r="E152" s="121"/>
      <c r="F152" s="121"/>
      <c r="G152" s="121"/>
      <c r="H152" s="121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</row>
    <row r="153" customFormat="false" ht="15.75" hidden="false" customHeight="false" outlineLevel="0" collapsed="false">
      <c r="A153" s="121"/>
      <c r="B153" s="121"/>
      <c r="C153" s="121"/>
      <c r="D153" s="121"/>
      <c r="E153" s="121"/>
      <c r="F153" s="121"/>
      <c r="G153" s="121"/>
      <c r="H153" s="121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</row>
    <row r="154" customFormat="false" ht="15.75" hidden="false" customHeight="false" outlineLevel="0" collapsed="false">
      <c r="A154" s="121"/>
      <c r="B154" s="121"/>
      <c r="C154" s="121"/>
      <c r="D154" s="121"/>
      <c r="E154" s="121"/>
      <c r="F154" s="121"/>
      <c r="G154" s="121"/>
      <c r="H154" s="121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</row>
    <row r="155" customFormat="false" ht="15.75" hidden="false" customHeight="false" outlineLevel="0" collapsed="false">
      <c r="A155" s="121"/>
      <c r="B155" s="121"/>
      <c r="C155" s="121"/>
      <c r="D155" s="121"/>
      <c r="E155" s="121"/>
      <c r="F155" s="121"/>
      <c r="G155" s="121"/>
      <c r="H155" s="121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</row>
    <row r="156" customFormat="false" ht="15.75" hidden="false" customHeight="false" outlineLevel="0" collapsed="false">
      <c r="A156" s="121"/>
      <c r="B156" s="121"/>
      <c r="C156" s="121"/>
      <c r="D156" s="121"/>
      <c r="E156" s="121"/>
      <c r="F156" s="121"/>
      <c r="G156" s="121"/>
      <c r="H156" s="121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</row>
    <row r="157" customFormat="false" ht="15.75" hidden="false" customHeight="false" outlineLevel="0" collapsed="false">
      <c r="A157" s="121"/>
      <c r="B157" s="121"/>
      <c r="C157" s="121"/>
      <c r="D157" s="121"/>
      <c r="E157" s="121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</row>
    <row r="158" customFormat="false" ht="15.75" hidden="false" customHeight="false" outlineLevel="0" collapsed="false">
      <c r="A158" s="121"/>
      <c r="B158" s="121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</row>
    <row r="159" customFormat="false" ht="15.75" hidden="false" customHeight="false" outlineLevel="0" collapsed="false">
      <c r="A159" s="121"/>
      <c r="B159" s="121"/>
      <c r="C159" s="121"/>
      <c r="D159" s="121"/>
      <c r="E159" s="121"/>
      <c r="F159" s="121"/>
      <c r="G159" s="121"/>
      <c r="H159" s="121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</row>
    <row r="160" customFormat="false" ht="15.75" hidden="false" customHeight="false" outlineLevel="0" collapsed="false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</row>
    <row r="161" customFormat="false" ht="15.75" hidden="false" customHeight="false" outlineLevel="0" collapsed="false">
      <c r="A161" s="121"/>
      <c r="B161" s="121"/>
      <c r="C161" s="121"/>
      <c r="D161" s="121"/>
      <c r="E161" s="121"/>
      <c r="F161" s="121"/>
      <c r="G161" s="121"/>
      <c r="H161" s="121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</row>
    <row r="162" customFormat="false" ht="15.75" hidden="false" customHeight="false" outlineLevel="0" collapsed="false">
      <c r="A162" s="121"/>
      <c r="B162" s="121"/>
      <c r="C162" s="121"/>
      <c r="D162" s="121"/>
      <c r="E162" s="121"/>
      <c r="F162" s="121"/>
      <c r="G162" s="121"/>
      <c r="H162" s="121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</row>
    <row r="163" customFormat="false" ht="15.75" hidden="false" customHeight="false" outlineLevel="0" collapsed="false">
      <c r="A163" s="121"/>
      <c r="B163" s="121"/>
      <c r="C163" s="121"/>
      <c r="D163" s="121"/>
      <c r="E163" s="121"/>
      <c r="F163" s="121"/>
      <c r="G163" s="121"/>
      <c r="H163" s="121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</row>
    <row r="164" customFormat="false" ht="15.75" hidden="false" customHeight="false" outlineLevel="0" collapsed="false">
      <c r="A164" s="121"/>
      <c r="B164" s="121"/>
      <c r="C164" s="121"/>
      <c r="D164" s="121"/>
      <c r="E164" s="121"/>
      <c r="F164" s="121"/>
      <c r="G164" s="121"/>
      <c r="H164" s="121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</row>
    <row r="165" customFormat="false" ht="15.75" hidden="false" customHeight="false" outlineLevel="0" collapsed="false">
      <c r="A165" s="121"/>
      <c r="B165" s="121"/>
      <c r="C165" s="121"/>
      <c r="D165" s="121"/>
      <c r="E165" s="121"/>
      <c r="F165" s="121"/>
      <c r="G165" s="121"/>
      <c r="H165" s="121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</row>
    <row r="166" customFormat="false" ht="15.75" hidden="false" customHeight="false" outlineLevel="0" collapsed="false">
      <c r="A166" s="121"/>
      <c r="B166" s="121"/>
      <c r="C166" s="121"/>
      <c r="D166" s="121"/>
      <c r="E166" s="121"/>
      <c r="F166" s="121"/>
      <c r="G166" s="121"/>
      <c r="H166" s="121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</row>
    <row r="167" customFormat="false" ht="15.75" hidden="false" customHeight="false" outlineLevel="0" collapsed="false">
      <c r="A167" s="121"/>
      <c r="B167" s="121"/>
      <c r="C167" s="121"/>
      <c r="D167" s="121"/>
      <c r="E167" s="121"/>
      <c r="F167" s="121"/>
      <c r="G167" s="121"/>
      <c r="H167" s="121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</row>
    <row r="168" customFormat="false" ht="15.75" hidden="false" customHeight="false" outlineLevel="0" collapsed="false">
      <c r="A168" s="121"/>
      <c r="B168" s="121"/>
      <c r="C168" s="121"/>
      <c r="D168" s="121"/>
      <c r="E168" s="121"/>
      <c r="F168" s="121"/>
      <c r="G168" s="121"/>
      <c r="H168" s="121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</row>
    <row r="169" customFormat="false" ht="15.75" hidden="false" customHeight="false" outlineLevel="0" collapsed="false">
      <c r="A169" s="121"/>
      <c r="B169" s="121"/>
      <c r="C169" s="121"/>
      <c r="D169" s="121"/>
      <c r="E169" s="121"/>
      <c r="F169" s="121"/>
      <c r="G169" s="121"/>
      <c r="H169" s="121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</row>
    <row r="170" customFormat="false" ht="15.75" hidden="false" customHeight="false" outlineLevel="0" collapsed="false">
      <c r="A170" s="121"/>
      <c r="B170" s="121"/>
      <c r="C170" s="121"/>
      <c r="D170" s="121"/>
      <c r="E170" s="121"/>
      <c r="F170" s="121"/>
      <c r="G170" s="121"/>
      <c r="H170" s="121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</row>
    <row r="171" customFormat="false" ht="15.75" hidden="false" customHeight="false" outlineLevel="0" collapsed="false">
      <c r="A171" s="121"/>
      <c r="B171" s="121"/>
      <c r="C171" s="121"/>
      <c r="D171" s="121"/>
      <c r="E171" s="121"/>
      <c r="F171" s="121"/>
      <c r="G171" s="121"/>
      <c r="H171" s="121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</row>
    <row r="172" customFormat="false" ht="15.75" hidden="false" customHeight="false" outlineLevel="0" collapsed="false">
      <c r="A172" s="121"/>
      <c r="B172" s="121"/>
      <c r="C172" s="121"/>
      <c r="D172" s="121"/>
      <c r="E172" s="121"/>
      <c r="F172" s="121"/>
      <c r="G172" s="121"/>
      <c r="H172" s="121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</row>
    <row r="173" customFormat="false" ht="15.75" hidden="false" customHeight="false" outlineLevel="0" collapsed="false">
      <c r="A173" s="121"/>
      <c r="B173" s="121"/>
      <c r="C173" s="121"/>
      <c r="D173" s="121"/>
      <c r="E173" s="121"/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</row>
    <row r="174" customFormat="false" ht="15.75" hidden="false" customHeight="false" outlineLevel="0" collapsed="false">
      <c r="A174" s="121"/>
      <c r="B174" s="121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</row>
    <row r="175" customFormat="false" ht="15.75" hidden="false" customHeight="false" outlineLevel="0" collapsed="false">
      <c r="A175" s="121"/>
      <c r="B175" s="121"/>
      <c r="C175" s="121"/>
      <c r="D175" s="121"/>
      <c r="E175" s="121"/>
      <c r="F175" s="121"/>
      <c r="G175" s="121"/>
      <c r="H175" s="121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</row>
    <row r="176" customFormat="false" ht="15.75" hidden="false" customHeight="false" outlineLevel="0" collapsed="false">
      <c r="A176" s="121"/>
      <c r="B176" s="121"/>
      <c r="C176" s="121"/>
      <c r="D176" s="121"/>
      <c r="E176" s="121"/>
      <c r="F176" s="121"/>
      <c r="G176" s="121"/>
      <c r="H176" s="121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</row>
    <row r="177" customFormat="false" ht="15.75" hidden="false" customHeight="false" outlineLevel="0" collapsed="false">
      <c r="A177" s="121"/>
      <c r="B177" s="121"/>
      <c r="C177" s="121"/>
      <c r="D177" s="121"/>
      <c r="E177" s="121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</row>
    <row r="178" customFormat="false" ht="15.75" hidden="false" customHeight="false" outlineLevel="0" collapsed="false">
      <c r="A178" s="121"/>
      <c r="B178" s="121"/>
      <c r="C178" s="121"/>
      <c r="D178" s="121"/>
      <c r="E178" s="121"/>
      <c r="F178" s="121"/>
      <c r="G178" s="121"/>
      <c r="H178" s="121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</row>
    <row r="179" customFormat="false" ht="15.75" hidden="false" customHeight="false" outlineLevel="0" collapsed="false">
      <c r="A179" s="121"/>
      <c r="B179" s="121"/>
      <c r="C179" s="121"/>
      <c r="D179" s="121"/>
      <c r="E179" s="121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</row>
    <row r="180" customFormat="false" ht="15.75" hidden="false" customHeight="false" outlineLevel="0" collapsed="false">
      <c r="A180" s="121"/>
      <c r="B180" s="121"/>
      <c r="C180" s="121"/>
      <c r="D180" s="121"/>
      <c r="E180" s="121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</row>
    <row r="181" customFormat="false" ht="15.75" hidden="false" customHeight="false" outlineLevel="0" collapsed="false">
      <c r="A181" s="121"/>
      <c r="B181" s="121"/>
      <c r="C181" s="121"/>
      <c r="D181" s="121"/>
      <c r="E181" s="121"/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</row>
    <row r="182" customFormat="false" ht="15.75" hidden="false" customHeight="false" outlineLevel="0" collapsed="false">
      <c r="A182" s="121"/>
      <c r="B182" s="121"/>
      <c r="C182" s="121"/>
      <c r="D182" s="121"/>
      <c r="E182" s="121"/>
      <c r="F182" s="121"/>
      <c r="G182" s="121"/>
      <c r="H182" s="121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</row>
    <row r="183" customFormat="false" ht="15.75" hidden="false" customHeight="false" outlineLevel="0" collapsed="false">
      <c r="A183" s="121"/>
      <c r="B183" s="121"/>
      <c r="C183" s="121"/>
      <c r="D183" s="121"/>
      <c r="E183" s="121"/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</row>
    <row r="184" customFormat="false" ht="15.75" hidden="false" customHeight="false" outlineLevel="0" collapsed="false">
      <c r="A184" s="121"/>
      <c r="B184" s="121"/>
      <c r="C184" s="121"/>
      <c r="D184" s="121"/>
      <c r="E184" s="121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</row>
    <row r="185" customFormat="false" ht="15.75" hidden="false" customHeight="false" outlineLevel="0" collapsed="false">
      <c r="A185" s="121"/>
      <c r="B185" s="121"/>
      <c r="C185" s="121"/>
      <c r="D185" s="121"/>
      <c r="E185" s="121"/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</row>
    <row r="186" customFormat="false" ht="15.75" hidden="false" customHeight="false" outlineLevel="0" collapsed="false">
      <c r="A186" s="121"/>
      <c r="B186" s="121"/>
      <c r="C186" s="121"/>
      <c r="D186" s="121"/>
      <c r="E186" s="121"/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</row>
    <row r="187" customFormat="false" ht="15.75" hidden="false" customHeight="false" outlineLevel="0" collapsed="false">
      <c r="A187" s="121"/>
      <c r="B187" s="121"/>
      <c r="C187" s="121"/>
      <c r="D187" s="121"/>
      <c r="E187" s="121"/>
      <c r="F187" s="121"/>
      <c r="G187" s="121"/>
      <c r="H187" s="121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</row>
    <row r="188" customFormat="false" ht="15.75" hidden="false" customHeight="false" outlineLevel="0" collapsed="false">
      <c r="A188" s="121"/>
      <c r="B188" s="121"/>
      <c r="C188" s="121"/>
      <c r="D188" s="121"/>
      <c r="E188" s="121"/>
      <c r="F188" s="121"/>
      <c r="G188" s="121"/>
      <c r="H188" s="121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</row>
    <row r="189" customFormat="false" ht="15.75" hidden="false" customHeight="false" outlineLevel="0" collapsed="false">
      <c r="A189" s="121"/>
      <c r="B189" s="121"/>
      <c r="C189" s="121"/>
      <c r="D189" s="121"/>
      <c r="E189" s="121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</row>
    <row r="190" customFormat="false" ht="15.75" hidden="false" customHeight="false" outlineLevel="0" collapsed="false">
      <c r="A190" s="121"/>
      <c r="B190" s="121"/>
      <c r="C190" s="121"/>
      <c r="D190" s="121"/>
      <c r="E190" s="121"/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</row>
    <row r="191" customFormat="false" ht="15.75" hidden="false" customHeight="false" outlineLevel="0" collapsed="false">
      <c r="A191" s="121"/>
      <c r="B191" s="121"/>
      <c r="C191" s="121"/>
      <c r="D191" s="121"/>
      <c r="E191" s="121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</row>
    <row r="192" customFormat="false" ht="15.75" hidden="false" customHeight="false" outlineLevel="0" collapsed="false">
      <c r="A192" s="121"/>
      <c r="B192" s="121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</row>
    <row r="193" customFormat="false" ht="15.75" hidden="false" customHeight="false" outlineLevel="0" collapsed="false">
      <c r="A193" s="121"/>
      <c r="B193" s="121"/>
      <c r="C193" s="121"/>
      <c r="D193" s="121"/>
      <c r="E193" s="121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</row>
    <row r="194" customFormat="false" ht="15.75" hidden="false" customHeight="false" outlineLevel="0" collapsed="false">
      <c r="A194" s="121"/>
      <c r="B194" s="121"/>
      <c r="C194" s="121"/>
      <c r="D194" s="121"/>
      <c r="E194" s="121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</row>
    <row r="195" customFormat="false" ht="15.75" hidden="false" customHeight="false" outlineLevel="0" collapsed="false">
      <c r="A195" s="121"/>
      <c r="B195" s="121"/>
      <c r="C195" s="121"/>
      <c r="D195" s="121"/>
      <c r="E195" s="121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</row>
    <row r="196" customFormat="false" ht="15.75" hidden="false" customHeight="false" outlineLevel="0" collapsed="false">
      <c r="A196" s="121"/>
      <c r="B196" s="121"/>
      <c r="C196" s="121"/>
      <c r="D196" s="121"/>
      <c r="E196" s="121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</row>
    <row r="197" customFormat="false" ht="15.75" hidden="false" customHeight="false" outlineLevel="0" collapsed="false">
      <c r="A197" s="121"/>
      <c r="B197" s="121"/>
      <c r="C197" s="121"/>
      <c r="D197" s="121"/>
      <c r="E197" s="121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</row>
    <row r="198" customFormat="false" ht="15.75" hidden="false" customHeight="false" outlineLevel="0" collapsed="false">
      <c r="A198" s="121"/>
      <c r="B198" s="121"/>
      <c r="C198" s="121"/>
      <c r="D198" s="121"/>
      <c r="E198" s="121"/>
      <c r="F198" s="121"/>
      <c r="G198" s="121"/>
      <c r="H198" s="121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</row>
    <row r="199" customFormat="false" ht="15.75" hidden="false" customHeight="false" outlineLevel="0" collapsed="false">
      <c r="A199" s="121"/>
      <c r="B199" s="121"/>
      <c r="C199" s="121"/>
      <c r="D199" s="121"/>
      <c r="E199" s="121"/>
      <c r="F199" s="121"/>
      <c r="G199" s="121"/>
      <c r="H199" s="121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</row>
    <row r="200" customFormat="false" ht="15.75" hidden="false" customHeight="false" outlineLevel="0" collapsed="false">
      <c r="A200" s="121"/>
      <c r="B200" s="121"/>
      <c r="C200" s="121"/>
      <c r="D200" s="121"/>
      <c r="E200" s="121"/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</row>
    <row r="201" customFormat="false" ht="15.75" hidden="false" customHeight="false" outlineLevel="0" collapsed="false">
      <c r="A201" s="121"/>
      <c r="B201" s="121"/>
      <c r="C201" s="121"/>
      <c r="D201" s="121"/>
      <c r="E201" s="121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</row>
    <row r="202" customFormat="false" ht="15.75" hidden="false" customHeight="false" outlineLevel="0" collapsed="false">
      <c r="A202" s="121"/>
      <c r="B202" s="121"/>
      <c r="C202" s="121"/>
      <c r="D202" s="121"/>
      <c r="E202" s="121"/>
      <c r="F202" s="121"/>
      <c r="G202" s="121"/>
      <c r="H202" s="121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</row>
    <row r="203" customFormat="false" ht="15.75" hidden="false" customHeight="false" outlineLevel="0" collapsed="false">
      <c r="A203" s="121"/>
      <c r="B203" s="121"/>
      <c r="C203" s="121"/>
      <c r="D203" s="121"/>
      <c r="E203" s="121"/>
      <c r="F203" s="121"/>
      <c r="G203" s="121"/>
      <c r="H203" s="121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</row>
    <row r="204" customFormat="false" ht="15.75" hidden="false" customHeight="false" outlineLevel="0" collapsed="false">
      <c r="A204" s="121"/>
      <c r="B204" s="121"/>
      <c r="C204" s="121"/>
      <c r="D204" s="121"/>
      <c r="E204" s="121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</row>
    <row r="205" customFormat="false" ht="15.75" hidden="false" customHeight="false" outlineLevel="0" collapsed="false">
      <c r="A205" s="121"/>
      <c r="B205" s="121"/>
      <c r="C205" s="121"/>
      <c r="D205" s="121"/>
      <c r="E205" s="121"/>
      <c r="F205" s="121"/>
      <c r="G205" s="121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</row>
    <row r="206" customFormat="false" ht="15.75" hidden="false" customHeight="false" outlineLevel="0" collapsed="false">
      <c r="A206" s="121"/>
      <c r="B206" s="121"/>
      <c r="C206" s="121"/>
      <c r="D206" s="121"/>
      <c r="E206" s="121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</row>
    <row r="207" customFormat="false" ht="15.75" hidden="false" customHeight="false" outlineLevel="0" collapsed="false">
      <c r="A207" s="121"/>
      <c r="B207" s="121"/>
      <c r="C207" s="121"/>
      <c r="D207" s="121"/>
      <c r="E207" s="121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</row>
    <row r="208" customFormat="false" ht="15.75" hidden="false" customHeight="false" outlineLevel="0" collapsed="false">
      <c r="A208" s="121"/>
      <c r="B208" s="121"/>
      <c r="C208" s="121"/>
      <c r="D208" s="121"/>
      <c r="E208" s="121"/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</row>
    <row r="209" customFormat="false" ht="15.75" hidden="false" customHeight="false" outlineLevel="0" collapsed="false">
      <c r="A209" s="121"/>
      <c r="B209" s="121"/>
      <c r="C209" s="121"/>
      <c r="D209" s="121"/>
      <c r="E209" s="121"/>
      <c r="F209" s="121"/>
      <c r="G209" s="121"/>
      <c r="H209" s="121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</row>
    <row r="210" customFormat="false" ht="15.75" hidden="false" customHeight="false" outlineLevel="0" collapsed="false">
      <c r="A210" s="121"/>
      <c r="B210" s="121"/>
      <c r="C210" s="121"/>
      <c r="D210" s="121"/>
      <c r="E210" s="121"/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</row>
    <row r="211" customFormat="false" ht="15.75" hidden="false" customHeight="false" outlineLevel="0" collapsed="false">
      <c r="A211" s="121"/>
      <c r="B211" s="121"/>
      <c r="C211" s="121"/>
      <c r="D211" s="121"/>
      <c r="E211" s="121"/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</row>
    <row r="212" customFormat="false" ht="15.75" hidden="false" customHeight="false" outlineLevel="0" collapsed="false">
      <c r="A212" s="121"/>
      <c r="B212" s="121"/>
      <c r="C212" s="121"/>
      <c r="D212" s="121"/>
      <c r="E212" s="121"/>
      <c r="F212" s="121"/>
      <c r="G212" s="121"/>
      <c r="H212" s="121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</row>
    <row r="213" customFormat="false" ht="15.75" hidden="false" customHeight="false" outlineLevel="0" collapsed="false">
      <c r="A213" s="121"/>
      <c r="B213" s="121"/>
      <c r="C213" s="121"/>
      <c r="D213" s="121"/>
      <c r="E213" s="121"/>
      <c r="F213" s="121"/>
      <c r="G213" s="121"/>
      <c r="H213" s="121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</row>
    <row r="214" customFormat="false" ht="15.75" hidden="false" customHeight="false" outlineLevel="0" collapsed="false">
      <c r="A214" s="121"/>
      <c r="B214" s="121"/>
      <c r="C214" s="121"/>
      <c r="D214" s="121"/>
      <c r="E214" s="121"/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</row>
    <row r="215" customFormat="false" ht="15.75" hidden="false" customHeight="false" outlineLevel="0" collapsed="false">
      <c r="A215" s="121"/>
      <c r="B215" s="121"/>
      <c r="C215" s="121"/>
      <c r="D215" s="121"/>
      <c r="E215" s="121"/>
      <c r="F215" s="121"/>
      <c r="G215" s="121"/>
      <c r="H215" s="121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</row>
    <row r="216" customFormat="false" ht="15.75" hidden="false" customHeight="false" outlineLevel="0" collapsed="false">
      <c r="A216" s="121"/>
      <c r="B216" s="121"/>
      <c r="C216" s="121"/>
      <c r="D216" s="121"/>
      <c r="E216" s="121"/>
      <c r="F216" s="121"/>
      <c r="G216" s="121"/>
      <c r="H216" s="121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</row>
    <row r="217" customFormat="false" ht="15.75" hidden="false" customHeight="false" outlineLevel="0" collapsed="false">
      <c r="A217" s="121"/>
      <c r="B217" s="121"/>
      <c r="C217" s="121"/>
      <c r="D217" s="121"/>
      <c r="E217" s="121"/>
      <c r="F217" s="121"/>
      <c r="G217" s="121"/>
      <c r="H217" s="121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</row>
    <row r="218" customFormat="false" ht="15.75" hidden="false" customHeight="false" outlineLevel="0" collapsed="false">
      <c r="A218" s="121"/>
      <c r="B218" s="121"/>
      <c r="C218" s="121"/>
      <c r="D218" s="121"/>
      <c r="E218" s="121"/>
      <c r="F218" s="121"/>
      <c r="G218" s="121"/>
      <c r="H218" s="121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</row>
    <row r="219" customFormat="false" ht="15.75" hidden="false" customHeight="false" outlineLevel="0" collapsed="false">
      <c r="A219" s="121"/>
      <c r="B219" s="121"/>
      <c r="C219" s="121"/>
      <c r="D219" s="121"/>
      <c r="E219" s="121"/>
      <c r="F219" s="121"/>
      <c r="G219" s="121"/>
      <c r="H219" s="121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</row>
    <row r="220" customFormat="false" ht="15.75" hidden="false" customHeight="false" outlineLevel="0" collapsed="false">
      <c r="A220" s="121"/>
      <c r="B220" s="121"/>
      <c r="C220" s="121"/>
      <c r="D220" s="121"/>
      <c r="E220" s="121"/>
      <c r="F220" s="121"/>
      <c r="G220" s="121"/>
      <c r="H220" s="121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21"/>
      <c r="T220" s="121"/>
      <c r="U220" s="121"/>
      <c r="V220" s="121"/>
      <c r="W220" s="121"/>
      <c r="X220" s="121"/>
      <c r="Y220" s="121"/>
      <c r="Z220" s="121"/>
    </row>
    <row r="221" customFormat="false" ht="15.75" hidden="false" customHeight="false" outlineLevel="0" collapsed="false">
      <c r="A221" s="121"/>
      <c r="B221" s="121"/>
      <c r="C221" s="121"/>
      <c r="D221" s="121"/>
      <c r="E221" s="121"/>
      <c r="F221" s="121"/>
      <c r="G221" s="121"/>
      <c r="H221" s="121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21"/>
      <c r="T221" s="121"/>
      <c r="U221" s="121"/>
      <c r="V221" s="121"/>
      <c r="W221" s="121"/>
      <c r="X221" s="121"/>
      <c r="Y221" s="121"/>
      <c r="Z221" s="121"/>
    </row>
    <row r="222" customFormat="false" ht="15.75" hidden="false" customHeight="false" outlineLevel="0" collapsed="false">
      <c r="A222" s="121"/>
      <c r="B222" s="121"/>
      <c r="C222" s="121"/>
      <c r="D222" s="121"/>
      <c r="E222" s="121"/>
      <c r="F222" s="121"/>
      <c r="G222" s="121"/>
      <c r="H222" s="121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21"/>
      <c r="T222" s="121"/>
      <c r="U222" s="121"/>
      <c r="V222" s="121"/>
      <c r="W222" s="121"/>
      <c r="X222" s="121"/>
      <c r="Y222" s="121"/>
      <c r="Z222" s="121"/>
    </row>
    <row r="223" customFormat="false" ht="15.75" hidden="false" customHeight="false" outlineLevel="0" collapsed="false">
      <c r="A223" s="121"/>
      <c r="B223" s="121"/>
      <c r="C223" s="121"/>
      <c r="D223" s="121"/>
      <c r="E223" s="121"/>
      <c r="F223" s="121"/>
      <c r="G223" s="121"/>
      <c r="H223" s="121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21"/>
      <c r="T223" s="121"/>
      <c r="U223" s="121"/>
      <c r="V223" s="121"/>
      <c r="W223" s="121"/>
      <c r="X223" s="121"/>
      <c r="Y223" s="121"/>
      <c r="Z223" s="121"/>
    </row>
    <row r="224" customFormat="false" ht="15.75" hidden="false" customHeight="false" outlineLevel="0" collapsed="false">
      <c r="A224" s="121"/>
      <c r="B224" s="121"/>
      <c r="C224" s="121"/>
      <c r="D224" s="121"/>
      <c r="E224" s="121"/>
      <c r="F224" s="121"/>
      <c r="G224" s="121"/>
      <c r="H224" s="121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</row>
    <row r="225" customFormat="false" ht="15.75" hidden="false" customHeight="false" outlineLevel="0" collapsed="false">
      <c r="A225" s="121"/>
      <c r="B225" s="121"/>
      <c r="C225" s="121"/>
      <c r="D225" s="121"/>
      <c r="E225" s="121"/>
      <c r="F225" s="121"/>
      <c r="G225" s="121"/>
      <c r="H225" s="121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</row>
    <row r="226" customFormat="false" ht="15.75" hidden="false" customHeight="false" outlineLevel="0" collapsed="false">
      <c r="A226" s="121"/>
      <c r="B226" s="121"/>
      <c r="C226" s="121"/>
      <c r="D226" s="121"/>
      <c r="E226" s="121"/>
      <c r="F226" s="121"/>
      <c r="G226" s="121"/>
      <c r="H226" s="121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</row>
    <row r="227" customFormat="false" ht="15.75" hidden="false" customHeight="false" outlineLevel="0" collapsed="false">
      <c r="A227" s="121"/>
      <c r="B227" s="121"/>
      <c r="C227" s="121"/>
      <c r="D227" s="121"/>
      <c r="E227" s="121"/>
      <c r="F227" s="121"/>
      <c r="G227" s="121"/>
      <c r="H227" s="121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</row>
    <row r="228" customFormat="false" ht="15.75" hidden="false" customHeight="false" outlineLevel="0" collapsed="false">
      <c r="A228" s="121"/>
      <c r="B228" s="121"/>
      <c r="C228" s="121"/>
      <c r="D228" s="121"/>
      <c r="E228" s="121"/>
      <c r="F228" s="121"/>
      <c r="G228" s="121"/>
      <c r="H228" s="121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</row>
    <row r="229" customFormat="false" ht="15.75" hidden="false" customHeight="false" outlineLevel="0" collapsed="false">
      <c r="A229" s="121"/>
      <c r="B229" s="121"/>
      <c r="C229" s="121"/>
      <c r="D229" s="121"/>
      <c r="E229" s="121"/>
      <c r="F229" s="121"/>
      <c r="G229" s="121"/>
      <c r="H229" s="121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</row>
    <row r="230" customFormat="false" ht="15.75" hidden="false" customHeight="false" outlineLevel="0" collapsed="false">
      <c r="A230" s="121"/>
      <c r="B230" s="121"/>
      <c r="C230" s="121"/>
      <c r="D230" s="121"/>
      <c r="E230" s="121"/>
      <c r="F230" s="121"/>
      <c r="G230" s="121"/>
      <c r="H230" s="121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</row>
    <row r="231" customFormat="false" ht="15.75" hidden="false" customHeight="false" outlineLevel="0" collapsed="false">
      <c r="A231" s="121"/>
      <c r="B231" s="121"/>
      <c r="C231" s="121"/>
      <c r="D231" s="121"/>
      <c r="E231" s="121"/>
      <c r="F231" s="121"/>
      <c r="G231" s="121"/>
      <c r="H231" s="121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21"/>
      <c r="T231" s="121"/>
      <c r="U231" s="121"/>
      <c r="V231" s="121"/>
      <c r="W231" s="121"/>
      <c r="X231" s="121"/>
      <c r="Y231" s="121"/>
      <c r="Z231" s="121"/>
    </row>
    <row r="232" customFormat="false" ht="15.75" hidden="false" customHeight="false" outlineLevel="0" collapsed="false">
      <c r="A232" s="121"/>
      <c r="B232" s="121"/>
      <c r="C232" s="121"/>
      <c r="D232" s="121"/>
      <c r="E232" s="121"/>
      <c r="F232" s="121"/>
      <c r="G232" s="121"/>
      <c r="H232" s="121"/>
      <c r="I232" s="121"/>
      <c r="J232" s="121"/>
      <c r="K232" s="121"/>
      <c r="L232" s="121"/>
      <c r="M232" s="121"/>
      <c r="N232" s="121"/>
      <c r="O232" s="121"/>
      <c r="P232" s="121"/>
      <c r="Q232" s="121"/>
      <c r="R232" s="121"/>
      <c r="S232" s="121"/>
      <c r="T232" s="121"/>
      <c r="U232" s="121"/>
      <c r="V232" s="121"/>
      <c r="W232" s="121"/>
      <c r="X232" s="121"/>
      <c r="Y232" s="121"/>
      <c r="Z232" s="121"/>
    </row>
    <row r="233" customFormat="false" ht="15.75" hidden="false" customHeight="false" outlineLevel="0" collapsed="false">
      <c r="A233" s="121"/>
      <c r="B233" s="121"/>
      <c r="C233" s="121"/>
      <c r="D233" s="121"/>
      <c r="E233" s="121"/>
      <c r="F233" s="121"/>
      <c r="G233" s="121"/>
      <c r="H233" s="121"/>
      <c r="I233" s="121"/>
      <c r="J233" s="121"/>
      <c r="K233" s="121"/>
      <c r="L233" s="121"/>
      <c r="M233" s="121"/>
      <c r="N233" s="121"/>
      <c r="O233" s="121"/>
      <c r="P233" s="121"/>
      <c r="Q233" s="121"/>
      <c r="R233" s="121"/>
      <c r="S233" s="121"/>
      <c r="T233" s="121"/>
      <c r="U233" s="121"/>
      <c r="V233" s="121"/>
      <c r="W233" s="121"/>
      <c r="X233" s="121"/>
      <c r="Y233" s="121"/>
      <c r="Z233" s="121"/>
    </row>
    <row r="234" customFormat="false" ht="15.75" hidden="false" customHeight="false" outlineLevel="0" collapsed="false">
      <c r="A234" s="121"/>
      <c r="B234" s="121"/>
      <c r="C234" s="121"/>
      <c r="D234" s="121"/>
      <c r="E234" s="121"/>
      <c r="F234" s="121"/>
      <c r="G234" s="121"/>
      <c r="H234" s="121"/>
      <c r="I234" s="121"/>
      <c r="J234" s="121"/>
      <c r="K234" s="121"/>
      <c r="L234" s="121"/>
      <c r="M234" s="121"/>
      <c r="N234" s="121"/>
      <c r="O234" s="121"/>
      <c r="P234" s="121"/>
      <c r="Q234" s="121"/>
      <c r="R234" s="121"/>
      <c r="S234" s="121"/>
      <c r="T234" s="121"/>
      <c r="U234" s="121"/>
      <c r="V234" s="121"/>
      <c r="W234" s="121"/>
      <c r="X234" s="121"/>
      <c r="Y234" s="121"/>
      <c r="Z234" s="121"/>
    </row>
    <row r="235" customFormat="false" ht="15.75" hidden="false" customHeight="false" outlineLevel="0" collapsed="false">
      <c r="A235" s="121"/>
      <c r="B235" s="121"/>
      <c r="C235" s="121"/>
      <c r="D235" s="121"/>
      <c r="E235" s="121"/>
      <c r="F235" s="121"/>
      <c r="G235" s="121"/>
      <c r="H235" s="121"/>
      <c r="I235" s="121"/>
      <c r="J235" s="121"/>
      <c r="K235" s="121"/>
      <c r="L235" s="121"/>
      <c r="M235" s="121"/>
      <c r="N235" s="121"/>
      <c r="O235" s="121"/>
      <c r="P235" s="121"/>
      <c r="Q235" s="121"/>
      <c r="R235" s="121"/>
      <c r="S235" s="121"/>
      <c r="T235" s="121"/>
      <c r="U235" s="121"/>
      <c r="V235" s="121"/>
      <c r="W235" s="121"/>
      <c r="X235" s="121"/>
      <c r="Y235" s="121"/>
      <c r="Z235" s="121"/>
    </row>
    <row r="236" customFormat="false" ht="15.75" hidden="false" customHeight="false" outlineLevel="0" collapsed="false">
      <c r="A236" s="121"/>
      <c r="B236" s="121"/>
      <c r="C236" s="121"/>
      <c r="D236" s="121"/>
      <c r="E236" s="121"/>
      <c r="F236" s="121"/>
      <c r="G236" s="121"/>
      <c r="H236" s="121"/>
      <c r="I236" s="121"/>
      <c r="J236" s="121"/>
      <c r="K236" s="121"/>
      <c r="L236" s="121"/>
      <c r="M236" s="121"/>
      <c r="N236" s="121"/>
      <c r="O236" s="121"/>
      <c r="P236" s="121"/>
      <c r="Q236" s="121"/>
      <c r="R236" s="121"/>
      <c r="S236" s="121"/>
      <c r="T236" s="121"/>
      <c r="U236" s="121"/>
      <c r="V236" s="121"/>
      <c r="W236" s="121"/>
      <c r="X236" s="121"/>
      <c r="Y236" s="121"/>
      <c r="Z236" s="121"/>
    </row>
    <row r="237" customFormat="false" ht="15.75" hidden="false" customHeight="false" outlineLevel="0" collapsed="false">
      <c r="A237" s="121"/>
      <c r="B237" s="121"/>
      <c r="C237" s="121"/>
      <c r="D237" s="121"/>
      <c r="E237" s="121"/>
      <c r="F237" s="121"/>
      <c r="G237" s="121"/>
      <c r="H237" s="121"/>
      <c r="I237" s="121"/>
      <c r="J237" s="121"/>
      <c r="K237" s="121"/>
      <c r="L237" s="121"/>
      <c r="M237" s="121"/>
      <c r="N237" s="121"/>
      <c r="O237" s="121"/>
      <c r="P237" s="121"/>
      <c r="Q237" s="121"/>
      <c r="R237" s="121"/>
      <c r="S237" s="121"/>
      <c r="T237" s="121"/>
      <c r="U237" s="121"/>
      <c r="V237" s="121"/>
      <c r="W237" s="121"/>
      <c r="X237" s="121"/>
      <c r="Y237" s="121"/>
      <c r="Z237" s="121"/>
    </row>
    <row r="238" customFormat="false" ht="15.75" hidden="false" customHeight="false" outlineLevel="0" collapsed="false">
      <c r="A238" s="121"/>
      <c r="B238" s="121"/>
      <c r="C238" s="121"/>
      <c r="D238" s="121"/>
      <c r="E238" s="121"/>
      <c r="F238" s="121"/>
      <c r="G238" s="121"/>
      <c r="H238" s="121"/>
      <c r="I238" s="121"/>
      <c r="J238" s="121"/>
      <c r="K238" s="121"/>
      <c r="L238" s="121"/>
      <c r="M238" s="121"/>
      <c r="N238" s="121"/>
      <c r="O238" s="121"/>
      <c r="P238" s="121"/>
      <c r="Q238" s="121"/>
      <c r="R238" s="121"/>
      <c r="S238" s="121"/>
      <c r="T238" s="121"/>
      <c r="U238" s="121"/>
      <c r="V238" s="121"/>
      <c r="W238" s="121"/>
      <c r="X238" s="121"/>
      <c r="Y238" s="121"/>
      <c r="Z238" s="121"/>
    </row>
    <row r="239" customFormat="false" ht="15.75" hidden="false" customHeight="false" outlineLevel="0" collapsed="false">
      <c r="A239" s="121"/>
      <c r="B239" s="121"/>
      <c r="C239" s="121"/>
      <c r="D239" s="121"/>
      <c r="E239" s="121"/>
      <c r="F239" s="121"/>
      <c r="G239" s="121"/>
      <c r="H239" s="121"/>
      <c r="I239" s="121"/>
      <c r="J239" s="121"/>
      <c r="K239" s="121"/>
      <c r="L239" s="121"/>
      <c r="M239" s="121"/>
      <c r="N239" s="121"/>
      <c r="O239" s="121"/>
      <c r="P239" s="121"/>
      <c r="Q239" s="121"/>
      <c r="R239" s="121"/>
      <c r="S239" s="121"/>
      <c r="T239" s="121"/>
      <c r="U239" s="121"/>
      <c r="V239" s="121"/>
      <c r="W239" s="121"/>
      <c r="X239" s="121"/>
      <c r="Y239" s="121"/>
      <c r="Z239" s="121"/>
    </row>
    <row r="240" customFormat="false" ht="15.75" hidden="false" customHeight="false" outlineLevel="0" collapsed="false">
      <c r="A240" s="121"/>
      <c r="B240" s="121"/>
      <c r="C240" s="121"/>
      <c r="D240" s="121"/>
      <c r="E240" s="121"/>
      <c r="F240" s="121"/>
      <c r="G240" s="121"/>
      <c r="H240" s="121"/>
      <c r="I240" s="121"/>
      <c r="J240" s="121"/>
      <c r="K240" s="121"/>
      <c r="L240" s="121"/>
      <c r="M240" s="121"/>
      <c r="N240" s="121"/>
      <c r="O240" s="121"/>
      <c r="P240" s="121"/>
      <c r="Q240" s="121"/>
      <c r="R240" s="121"/>
      <c r="S240" s="121"/>
      <c r="T240" s="121"/>
      <c r="U240" s="121"/>
      <c r="V240" s="121"/>
      <c r="W240" s="121"/>
      <c r="X240" s="121"/>
      <c r="Y240" s="121"/>
      <c r="Z240" s="121"/>
    </row>
    <row r="241" customFormat="false" ht="15.75" hidden="false" customHeight="false" outlineLevel="0" collapsed="false">
      <c r="A241" s="121"/>
      <c r="B241" s="121"/>
      <c r="C241" s="121"/>
      <c r="D241" s="121"/>
      <c r="E241" s="121"/>
      <c r="F241" s="121"/>
      <c r="G241" s="121"/>
      <c r="H241" s="121"/>
      <c r="I241" s="121"/>
      <c r="J241" s="121"/>
      <c r="K241" s="121"/>
      <c r="L241" s="121"/>
      <c r="M241" s="121"/>
      <c r="N241" s="121"/>
      <c r="O241" s="121"/>
      <c r="P241" s="121"/>
      <c r="Q241" s="121"/>
      <c r="R241" s="121"/>
      <c r="S241" s="121"/>
      <c r="T241" s="121"/>
      <c r="U241" s="121"/>
      <c r="V241" s="121"/>
      <c r="W241" s="121"/>
      <c r="X241" s="121"/>
      <c r="Y241" s="121"/>
      <c r="Z241" s="121"/>
    </row>
    <row r="242" customFormat="false" ht="15.75" hidden="false" customHeight="false" outlineLevel="0" collapsed="false">
      <c r="A242" s="121"/>
      <c r="B242" s="121"/>
      <c r="C242" s="121"/>
      <c r="D242" s="121"/>
      <c r="E242" s="121"/>
      <c r="F242" s="121"/>
      <c r="G242" s="121"/>
      <c r="H242" s="121"/>
      <c r="I242" s="121"/>
      <c r="J242" s="121"/>
      <c r="K242" s="121"/>
      <c r="L242" s="121"/>
      <c r="M242" s="121"/>
      <c r="N242" s="121"/>
      <c r="O242" s="121"/>
      <c r="P242" s="121"/>
      <c r="Q242" s="121"/>
      <c r="R242" s="121"/>
      <c r="S242" s="121"/>
      <c r="T242" s="121"/>
      <c r="U242" s="121"/>
      <c r="V242" s="121"/>
      <c r="W242" s="121"/>
      <c r="X242" s="121"/>
      <c r="Y242" s="121"/>
      <c r="Z242" s="121"/>
    </row>
    <row r="243" customFormat="false" ht="15.75" hidden="false" customHeight="false" outlineLevel="0" collapsed="false">
      <c r="A243" s="121"/>
      <c r="B243" s="121"/>
      <c r="C243" s="121"/>
      <c r="D243" s="121"/>
      <c r="E243" s="121"/>
      <c r="F243" s="121"/>
      <c r="G243" s="121"/>
      <c r="H243" s="121"/>
      <c r="I243" s="121"/>
      <c r="J243" s="121"/>
      <c r="K243" s="121"/>
      <c r="L243" s="121"/>
      <c r="M243" s="121"/>
      <c r="N243" s="121"/>
      <c r="O243" s="121"/>
      <c r="P243" s="121"/>
      <c r="Q243" s="121"/>
      <c r="R243" s="121"/>
      <c r="S243" s="121"/>
      <c r="T243" s="121"/>
      <c r="U243" s="121"/>
      <c r="V243" s="121"/>
      <c r="W243" s="121"/>
      <c r="X243" s="121"/>
      <c r="Y243" s="121"/>
      <c r="Z243" s="121"/>
    </row>
    <row r="244" customFormat="false" ht="15.75" hidden="false" customHeight="false" outlineLevel="0" collapsed="false">
      <c r="A244" s="121"/>
      <c r="B244" s="121"/>
      <c r="C244" s="121"/>
      <c r="D244" s="121"/>
      <c r="E244" s="121"/>
      <c r="F244" s="121"/>
      <c r="G244" s="121"/>
      <c r="H244" s="121"/>
      <c r="I244" s="121"/>
      <c r="J244" s="121"/>
      <c r="K244" s="121"/>
      <c r="L244" s="121"/>
      <c r="M244" s="121"/>
      <c r="N244" s="121"/>
      <c r="O244" s="121"/>
      <c r="P244" s="121"/>
      <c r="Q244" s="121"/>
      <c r="R244" s="121"/>
      <c r="S244" s="121"/>
      <c r="T244" s="121"/>
      <c r="U244" s="121"/>
      <c r="V244" s="121"/>
      <c r="W244" s="121"/>
      <c r="X244" s="121"/>
      <c r="Y244" s="121"/>
      <c r="Z244" s="121"/>
    </row>
    <row r="245" customFormat="false" ht="15.75" hidden="false" customHeight="false" outlineLevel="0" collapsed="false">
      <c r="A245" s="121"/>
      <c r="B245" s="121"/>
      <c r="C245" s="121"/>
      <c r="D245" s="121"/>
      <c r="E245" s="121"/>
      <c r="F245" s="121"/>
      <c r="G245" s="121"/>
      <c r="H245" s="121"/>
      <c r="I245" s="121"/>
      <c r="J245" s="121"/>
      <c r="K245" s="121"/>
      <c r="L245" s="121"/>
      <c r="M245" s="121"/>
      <c r="N245" s="121"/>
      <c r="O245" s="121"/>
      <c r="P245" s="121"/>
      <c r="Q245" s="121"/>
      <c r="R245" s="121"/>
      <c r="S245" s="121"/>
      <c r="T245" s="121"/>
      <c r="U245" s="121"/>
      <c r="V245" s="121"/>
      <c r="W245" s="121"/>
      <c r="X245" s="121"/>
      <c r="Y245" s="121"/>
      <c r="Z245" s="121"/>
    </row>
    <row r="246" customFormat="false" ht="15.75" hidden="false" customHeight="false" outlineLevel="0" collapsed="false">
      <c r="A246" s="121"/>
      <c r="B246" s="121"/>
      <c r="C246" s="121"/>
      <c r="D246" s="121"/>
      <c r="E246" s="121"/>
      <c r="F246" s="121"/>
      <c r="G246" s="121"/>
      <c r="H246" s="121"/>
      <c r="I246" s="121"/>
      <c r="J246" s="121"/>
      <c r="K246" s="121"/>
      <c r="L246" s="121"/>
      <c r="M246" s="121"/>
      <c r="N246" s="121"/>
      <c r="O246" s="121"/>
      <c r="P246" s="121"/>
      <c r="Q246" s="121"/>
      <c r="R246" s="121"/>
      <c r="S246" s="121"/>
      <c r="T246" s="121"/>
      <c r="U246" s="121"/>
      <c r="V246" s="121"/>
      <c r="W246" s="121"/>
      <c r="X246" s="121"/>
      <c r="Y246" s="121"/>
      <c r="Z246" s="121"/>
    </row>
    <row r="247" customFormat="false" ht="15.75" hidden="false" customHeight="false" outlineLevel="0" collapsed="false">
      <c r="A247" s="121"/>
      <c r="B247" s="121"/>
      <c r="C247" s="121"/>
      <c r="D247" s="121"/>
      <c r="E247" s="121"/>
      <c r="F247" s="121"/>
      <c r="G247" s="121"/>
      <c r="H247" s="121"/>
      <c r="I247" s="121"/>
      <c r="J247" s="121"/>
      <c r="K247" s="121"/>
      <c r="L247" s="121"/>
      <c r="M247" s="121"/>
      <c r="N247" s="121"/>
      <c r="O247" s="121"/>
      <c r="P247" s="121"/>
      <c r="Q247" s="121"/>
      <c r="R247" s="121"/>
      <c r="S247" s="121"/>
      <c r="T247" s="121"/>
      <c r="U247" s="121"/>
      <c r="V247" s="121"/>
      <c r="W247" s="121"/>
      <c r="X247" s="121"/>
      <c r="Y247" s="121"/>
      <c r="Z247" s="121"/>
    </row>
    <row r="248" customFormat="false" ht="15.75" hidden="false" customHeight="false" outlineLevel="0" collapsed="false">
      <c r="A248" s="121"/>
      <c r="B248" s="121"/>
      <c r="C248" s="121"/>
      <c r="D248" s="121"/>
      <c r="E248" s="121"/>
      <c r="F248" s="121"/>
      <c r="G248" s="121"/>
      <c r="H248" s="121"/>
      <c r="I248" s="121"/>
      <c r="J248" s="121"/>
      <c r="K248" s="121"/>
      <c r="L248" s="121"/>
      <c r="M248" s="121"/>
      <c r="N248" s="121"/>
      <c r="O248" s="121"/>
      <c r="P248" s="121"/>
      <c r="Q248" s="121"/>
      <c r="R248" s="121"/>
      <c r="S248" s="121"/>
      <c r="T248" s="121"/>
      <c r="U248" s="121"/>
      <c r="V248" s="121"/>
      <c r="W248" s="121"/>
      <c r="X248" s="121"/>
      <c r="Y248" s="121"/>
      <c r="Z248" s="121"/>
    </row>
    <row r="249" customFormat="false" ht="15.75" hidden="false" customHeight="false" outlineLevel="0" collapsed="false">
      <c r="A249" s="121"/>
      <c r="B249" s="121"/>
      <c r="C249" s="121"/>
      <c r="D249" s="121"/>
      <c r="E249" s="121"/>
      <c r="F249" s="121"/>
      <c r="G249" s="121"/>
      <c r="H249" s="121"/>
      <c r="I249" s="121"/>
      <c r="J249" s="121"/>
      <c r="K249" s="121"/>
      <c r="L249" s="121"/>
      <c r="M249" s="121"/>
      <c r="N249" s="121"/>
      <c r="O249" s="121"/>
      <c r="P249" s="121"/>
      <c r="Q249" s="121"/>
      <c r="R249" s="121"/>
      <c r="S249" s="121"/>
      <c r="T249" s="121"/>
      <c r="U249" s="121"/>
      <c r="V249" s="121"/>
      <c r="W249" s="121"/>
      <c r="X249" s="121"/>
      <c r="Y249" s="121"/>
      <c r="Z249" s="121"/>
    </row>
    <row r="250" customFormat="false" ht="15.75" hidden="false" customHeight="false" outlineLevel="0" collapsed="false">
      <c r="A250" s="121"/>
      <c r="B250" s="121"/>
      <c r="C250" s="121"/>
      <c r="D250" s="121"/>
      <c r="E250" s="121"/>
      <c r="F250" s="121"/>
      <c r="G250" s="121"/>
      <c r="H250" s="121"/>
      <c r="I250" s="121"/>
      <c r="J250" s="121"/>
      <c r="K250" s="121"/>
      <c r="L250" s="121"/>
      <c r="M250" s="121"/>
      <c r="N250" s="121"/>
      <c r="O250" s="121"/>
      <c r="P250" s="121"/>
      <c r="Q250" s="121"/>
      <c r="R250" s="121"/>
      <c r="S250" s="121"/>
      <c r="T250" s="121"/>
      <c r="U250" s="121"/>
      <c r="V250" s="121"/>
      <c r="W250" s="121"/>
      <c r="X250" s="121"/>
      <c r="Y250" s="121"/>
      <c r="Z250" s="121"/>
    </row>
    <row r="251" customFormat="false" ht="15.75" hidden="false" customHeight="false" outlineLevel="0" collapsed="false">
      <c r="A251" s="121"/>
      <c r="B251" s="121"/>
      <c r="C251" s="121"/>
      <c r="D251" s="121"/>
      <c r="E251" s="121"/>
      <c r="F251" s="121"/>
      <c r="G251" s="121"/>
      <c r="H251" s="121"/>
      <c r="I251" s="121"/>
      <c r="J251" s="121"/>
      <c r="K251" s="121"/>
      <c r="L251" s="121"/>
      <c r="M251" s="121"/>
      <c r="N251" s="121"/>
      <c r="O251" s="121"/>
      <c r="P251" s="121"/>
      <c r="Q251" s="121"/>
      <c r="R251" s="121"/>
      <c r="S251" s="121"/>
      <c r="T251" s="121"/>
      <c r="U251" s="121"/>
      <c r="V251" s="121"/>
      <c r="W251" s="121"/>
      <c r="X251" s="121"/>
      <c r="Y251" s="121"/>
      <c r="Z251" s="121"/>
    </row>
    <row r="252" customFormat="false" ht="15.75" hidden="false" customHeight="false" outlineLevel="0" collapsed="false">
      <c r="A252" s="121"/>
      <c r="B252" s="121"/>
      <c r="C252" s="121"/>
      <c r="D252" s="121"/>
      <c r="E252" s="121"/>
      <c r="F252" s="121"/>
      <c r="G252" s="121"/>
      <c r="H252" s="121"/>
      <c r="I252" s="121"/>
      <c r="J252" s="121"/>
      <c r="K252" s="121"/>
      <c r="L252" s="121"/>
      <c r="M252" s="121"/>
      <c r="N252" s="121"/>
      <c r="O252" s="121"/>
      <c r="P252" s="121"/>
      <c r="Q252" s="121"/>
      <c r="R252" s="121"/>
      <c r="S252" s="121"/>
      <c r="T252" s="121"/>
      <c r="U252" s="121"/>
      <c r="V252" s="121"/>
      <c r="W252" s="121"/>
      <c r="X252" s="121"/>
      <c r="Y252" s="121"/>
      <c r="Z252" s="121"/>
    </row>
    <row r="253" customFormat="false" ht="15.75" hidden="false" customHeight="false" outlineLevel="0" collapsed="false">
      <c r="A253" s="121"/>
      <c r="B253" s="121"/>
      <c r="C253" s="121"/>
      <c r="D253" s="121"/>
      <c r="E253" s="121"/>
      <c r="F253" s="121"/>
      <c r="G253" s="121"/>
      <c r="H253" s="121"/>
      <c r="I253" s="121"/>
      <c r="J253" s="121"/>
      <c r="K253" s="121"/>
      <c r="L253" s="121"/>
      <c r="M253" s="121"/>
      <c r="N253" s="121"/>
      <c r="O253" s="121"/>
      <c r="P253" s="121"/>
      <c r="Q253" s="121"/>
      <c r="R253" s="121"/>
      <c r="S253" s="121"/>
      <c r="T253" s="121"/>
      <c r="U253" s="121"/>
      <c r="V253" s="121"/>
      <c r="W253" s="121"/>
      <c r="X253" s="121"/>
      <c r="Y253" s="121"/>
      <c r="Z253" s="121"/>
    </row>
    <row r="254" customFormat="false" ht="15.75" hidden="false" customHeight="false" outlineLevel="0" collapsed="false">
      <c r="A254" s="121"/>
      <c r="B254" s="121"/>
      <c r="C254" s="121"/>
      <c r="D254" s="121"/>
      <c r="E254" s="121"/>
      <c r="F254" s="121"/>
      <c r="G254" s="121"/>
      <c r="H254" s="121"/>
      <c r="I254" s="121"/>
      <c r="J254" s="121"/>
      <c r="K254" s="121"/>
      <c r="L254" s="121"/>
      <c r="M254" s="121"/>
      <c r="N254" s="121"/>
      <c r="O254" s="121"/>
      <c r="P254" s="121"/>
      <c r="Q254" s="121"/>
      <c r="R254" s="121"/>
      <c r="S254" s="121"/>
      <c r="T254" s="121"/>
      <c r="U254" s="121"/>
      <c r="V254" s="121"/>
      <c r="W254" s="121"/>
      <c r="X254" s="121"/>
      <c r="Y254" s="121"/>
      <c r="Z254" s="121"/>
    </row>
    <row r="255" customFormat="false" ht="15.75" hidden="false" customHeight="false" outlineLevel="0" collapsed="false">
      <c r="A255" s="121"/>
      <c r="B255" s="121"/>
      <c r="C255" s="121"/>
      <c r="D255" s="121"/>
      <c r="E255" s="121"/>
      <c r="F255" s="121"/>
      <c r="G255" s="121"/>
      <c r="H255" s="121"/>
      <c r="I255" s="121"/>
      <c r="J255" s="121"/>
      <c r="K255" s="121"/>
      <c r="L255" s="121"/>
      <c r="M255" s="121"/>
      <c r="N255" s="121"/>
      <c r="O255" s="121"/>
      <c r="P255" s="121"/>
      <c r="Q255" s="121"/>
      <c r="R255" s="121"/>
      <c r="S255" s="121"/>
      <c r="T255" s="121"/>
      <c r="U255" s="121"/>
      <c r="V255" s="121"/>
      <c r="W255" s="121"/>
      <c r="X255" s="121"/>
      <c r="Y255" s="121"/>
      <c r="Z255" s="121"/>
    </row>
    <row r="256" customFormat="false" ht="15.75" hidden="false" customHeight="false" outlineLevel="0" collapsed="false">
      <c r="A256" s="121"/>
      <c r="B256" s="121"/>
      <c r="C256" s="121"/>
      <c r="D256" s="121"/>
      <c r="E256" s="121"/>
      <c r="F256" s="121"/>
      <c r="G256" s="121"/>
      <c r="H256" s="121"/>
      <c r="I256" s="121"/>
      <c r="J256" s="121"/>
      <c r="K256" s="121"/>
      <c r="L256" s="121"/>
      <c r="M256" s="121"/>
      <c r="N256" s="121"/>
      <c r="O256" s="121"/>
      <c r="P256" s="121"/>
      <c r="Q256" s="121"/>
      <c r="R256" s="121"/>
      <c r="S256" s="121"/>
      <c r="T256" s="121"/>
      <c r="U256" s="121"/>
      <c r="V256" s="121"/>
      <c r="W256" s="121"/>
      <c r="X256" s="121"/>
      <c r="Y256" s="121"/>
      <c r="Z256" s="121"/>
    </row>
    <row r="257" customFormat="false" ht="15.75" hidden="false" customHeight="false" outlineLevel="0" collapsed="false">
      <c r="A257" s="121"/>
      <c r="B257" s="121"/>
      <c r="C257" s="121"/>
      <c r="D257" s="121"/>
      <c r="E257" s="121"/>
      <c r="F257" s="121"/>
      <c r="G257" s="121"/>
      <c r="H257" s="121"/>
      <c r="I257" s="121"/>
      <c r="J257" s="121"/>
      <c r="K257" s="121"/>
      <c r="L257" s="121"/>
      <c r="M257" s="121"/>
      <c r="N257" s="121"/>
      <c r="O257" s="121"/>
      <c r="P257" s="121"/>
      <c r="Q257" s="121"/>
      <c r="R257" s="121"/>
      <c r="S257" s="121"/>
      <c r="T257" s="121"/>
      <c r="U257" s="121"/>
      <c r="V257" s="121"/>
      <c r="W257" s="121"/>
      <c r="X257" s="121"/>
      <c r="Y257" s="121"/>
      <c r="Z257" s="121"/>
    </row>
    <row r="258" customFormat="false" ht="15.75" hidden="false" customHeight="false" outlineLevel="0" collapsed="false">
      <c r="A258" s="121"/>
      <c r="B258" s="121"/>
      <c r="C258" s="121"/>
      <c r="D258" s="121"/>
      <c r="E258" s="121"/>
      <c r="F258" s="121"/>
      <c r="G258" s="121"/>
      <c r="H258" s="121"/>
      <c r="I258" s="121"/>
      <c r="J258" s="121"/>
      <c r="K258" s="121"/>
      <c r="L258" s="121"/>
      <c r="M258" s="121"/>
      <c r="N258" s="121"/>
      <c r="O258" s="121"/>
      <c r="P258" s="121"/>
      <c r="Q258" s="121"/>
      <c r="R258" s="121"/>
      <c r="S258" s="121"/>
      <c r="T258" s="121"/>
      <c r="U258" s="121"/>
      <c r="V258" s="121"/>
      <c r="W258" s="121"/>
      <c r="X258" s="121"/>
      <c r="Y258" s="121"/>
      <c r="Z258" s="121"/>
    </row>
    <row r="259" customFormat="false" ht="15.75" hidden="false" customHeight="false" outlineLevel="0" collapsed="false">
      <c r="A259" s="121"/>
      <c r="B259" s="121"/>
      <c r="C259" s="121"/>
      <c r="D259" s="121"/>
      <c r="E259" s="121"/>
      <c r="F259" s="121"/>
      <c r="G259" s="121"/>
      <c r="H259" s="121"/>
      <c r="I259" s="121"/>
      <c r="J259" s="121"/>
      <c r="K259" s="121"/>
      <c r="L259" s="121"/>
      <c r="M259" s="121"/>
      <c r="N259" s="121"/>
      <c r="O259" s="121"/>
      <c r="P259" s="121"/>
      <c r="Q259" s="121"/>
      <c r="R259" s="121"/>
      <c r="S259" s="121"/>
      <c r="T259" s="121"/>
      <c r="U259" s="121"/>
      <c r="V259" s="121"/>
      <c r="W259" s="121"/>
      <c r="X259" s="121"/>
      <c r="Y259" s="121"/>
      <c r="Z259" s="121"/>
    </row>
    <row r="260" customFormat="false" ht="15.75" hidden="false" customHeight="false" outlineLevel="0" collapsed="false">
      <c r="A260" s="121"/>
      <c r="B260" s="121"/>
      <c r="C260" s="121"/>
      <c r="D260" s="121"/>
      <c r="E260" s="121"/>
      <c r="F260" s="121"/>
      <c r="G260" s="121"/>
      <c r="H260" s="121"/>
      <c r="I260" s="121"/>
      <c r="J260" s="121"/>
      <c r="K260" s="121"/>
      <c r="L260" s="121"/>
      <c r="M260" s="121"/>
      <c r="N260" s="121"/>
      <c r="O260" s="121"/>
      <c r="P260" s="121"/>
      <c r="Q260" s="121"/>
      <c r="R260" s="121"/>
      <c r="S260" s="121"/>
      <c r="T260" s="121"/>
      <c r="U260" s="121"/>
      <c r="V260" s="121"/>
      <c r="W260" s="121"/>
      <c r="X260" s="121"/>
      <c r="Y260" s="121"/>
      <c r="Z260" s="121"/>
    </row>
    <row r="261" customFormat="false" ht="15.75" hidden="false" customHeight="false" outlineLevel="0" collapsed="false">
      <c r="A261" s="121"/>
      <c r="B261" s="121"/>
      <c r="C261" s="121"/>
      <c r="D261" s="121"/>
      <c r="E261" s="121"/>
      <c r="F261" s="121"/>
      <c r="G261" s="121"/>
      <c r="H261" s="121"/>
      <c r="I261" s="121"/>
      <c r="J261" s="121"/>
      <c r="K261" s="121"/>
      <c r="L261" s="121"/>
      <c r="M261" s="121"/>
      <c r="N261" s="121"/>
      <c r="O261" s="121"/>
      <c r="P261" s="121"/>
      <c r="Q261" s="121"/>
      <c r="R261" s="121"/>
      <c r="S261" s="121"/>
      <c r="T261" s="121"/>
      <c r="U261" s="121"/>
      <c r="V261" s="121"/>
      <c r="W261" s="121"/>
      <c r="X261" s="121"/>
      <c r="Y261" s="121"/>
      <c r="Z261" s="121"/>
    </row>
    <row r="262" customFormat="false" ht="15.75" hidden="false" customHeight="false" outlineLevel="0" collapsed="false">
      <c r="A262" s="121"/>
      <c r="B262" s="121"/>
      <c r="C262" s="121"/>
      <c r="D262" s="121"/>
      <c r="E262" s="121"/>
      <c r="F262" s="121"/>
      <c r="G262" s="121"/>
      <c r="H262" s="121"/>
      <c r="I262" s="121"/>
      <c r="J262" s="121"/>
      <c r="K262" s="121"/>
      <c r="L262" s="121"/>
      <c r="M262" s="121"/>
      <c r="N262" s="121"/>
      <c r="O262" s="121"/>
      <c r="P262" s="121"/>
      <c r="Q262" s="121"/>
      <c r="R262" s="121"/>
      <c r="S262" s="121"/>
      <c r="T262" s="121"/>
      <c r="U262" s="121"/>
      <c r="V262" s="121"/>
      <c r="W262" s="121"/>
      <c r="X262" s="121"/>
      <c r="Y262" s="121"/>
      <c r="Z262" s="121"/>
    </row>
    <row r="263" customFormat="false" ht="15.75" hidden="false" customHeight="false" outlineLevel="0" collapsed="false">
      <c r="A263" s="121"/>
      <c r="B263" s="121"/>
      <c r="C263" s="121"/>
      <c r="D263" s="121"/>
      <c r="E263" s="121"/>
      <c r="F263" s="121"/>
      <c r="G263" s="121"/>
      <c r="H263" s="121"/>
      <c r="I263" s="121"/>
      <c r="J263" s="121"/>
      <c r="K263" s="121"/>
      <c r="L263" s="121"/>
      <c r="M263" s="121"/>
      <c r="N263" s="121"/>
      <c r="O263" s="121"/>
      <c r="P263" s="121"/>
      <c r="Q263" s="121"/>
      <c r="R263" s="121"/>
      <c r="S263" s="121"/>
      <c r="T263" s="121"/>
      <c r="U263" s="121"/>
      <c r="V263" s="121"/>
      <c r="W263" s="121"/>
      <c r="X263" s="121"/>
      <c r="Y263" s="121"/>
      <c r="Z263" s="121"/>
    </row>
    <row r="264" customFormat="false" ht="15.75" hidden="false" customHeight="false" outlineLevel="0" collapsed="false">
      <c r="A264" s="121"/>
      <c r="B264" s="121"/>
      <c r="C264" s="121"/>
      <c r="D264" s="121"/>
      <c r="E264" s="121"/>
      <c r="F264" s="121"/>
      <c r="G264" s="121"/>
      <c r="H264" s="121"/>
      <c r="I264" s="121"/>
      <c r="J264" s="121"/>
      <c r="K264" s="121"/>
      <c r="L264" s="121"/>
      <c r="M264" s="121"/>
      <c r="N264" s="121"/>
      <c r="O264" s="121"/>
      <c r="P264" s="121"/>
      <c r="Q264" s="121"/>
      <c r="R264" s="121"/>
      <c r="S264" s="121"/>
      <c r="T264" s="121"/>
      <c r="U264" s="121"/>
      <c r="V264" s="121"/>
      <c r="W264" s="121"/>
      <c r="X264" s="121"/>
      <c r="Y264" s="121"/>
      <c r="Z264" s="121"/>
    </row>
    <row r="265" customFormat="false" ht="15.75" hidden="false" customHeight="false" outlineLevel="0" collapsed="false">
      <c r="A265" s="121"/>
      <c r="B265" s="121"/>
      <c r="C265" s="121"/>
      <c r="D265" s="121"/>
      <c r="E265" s="121"/>
      <c r="F265" s="121"/>
      <c r="G265" s="121"/>
      <c r="H265" s="121"/>
      <c r="I265" s="121"/>
      <c r="J265" s="121"/>
      <c r="K265" s="121"/>
      <c r="L265" s="121"/>
      <c r="M265" s="121"/>
      <c r="N265" s="121"/>
      <c r="O265" s="121"/>
      <c r="P265" s="121"/>
      <c r="Q265" s="121"/>
      <c r="R265" s="121"/>
      <c r="S265" s="121"/>
      <c r="T265" s="121"/>
      <c r="U265" s="121"/>
      <c r="V265" s="121"/>
      <c r="W265" s="121"/>
      <c r="X265" s="121"/>
      <c r="Y265" s="121"/>
      <c r="Z265" s="121"/>
    </row>
    <row r="266" customFormat="false" ht="15.75" hidden="false" customHeight="false" outlineLevel="0" collapsed="false">
      <c r="A266" s="121"/>
      <c r="B266" s="121"/>
      <c r="C266" s="121"/>
      <c r="D266" s="121"/>
      <c r="E266" s="121"/>
      <c r="F266" s="121"/>
      <c r="G266" s="121"/>
      <c r="H266" s="121"/>
      <c r="I266" s="121"/>
      <c r="J266" s="121"/>
      <c r="K266" s="121"/>
      <c r="L266" s="121"/>
      <c r="M266" s="121"/>
      <c r="N266" s="121"/>
      <c r="O266" s="121"/>
      <c r="P266" s="121"/>
      <c r="Q266" s="121"/>
      <c r="R266" s="121"/>
      <c r="S266" s="121"/>
      <c r="T266" s="121"/>
      <c r="U266" s="121"/>
      <c r="V266" s="121"/>
      <c r="W266" s="121"/>
      <c r="X266" s="121"/>
      <c r="Y266" s="121"/>
      <c r="Z266" s="121"/>
    </row>
    <row r="267" customFormat="false" ht="15.75" hidden="false" customHeight="false" outlineLevel="0" collapsed="false">
      <c r="A267" s="121"/>
      <c r="B267" s="121"/>
      <c r="C267" s="121"/>
      <c r="D267" s="121"/>
      <c r="E267" s="121"/>
      <c r="F267" s="121"/>
      <c r="G267" s="121"/>
      <c r="H267" s="121"/>
      <c r="I267" s="121"/>
      <c r="J267" s="121"/>
      <c r="K267" s="121"/>
      <c r="L267" s="121"/>
      <c r="M267" s="121"/>
      <c r="N267" s="121"/>
      <c r="O267" s="121"/>
      <c r="P267" s="121"/>
      <c r="Q267" s="121"/>
      <c r="R267" s="121"/>
      <c r="S267" s="121"/>
      <c r="T267" s="121"/>
      <c r="U267" s="121"/>
      <c r="V267" s="121"/>
      <c r="W267" s="121"/>
      <c r="X267" s="121"/>
      <c r="Y267" s="121"/>
      <c r="Z267" s="121"/>
    </row>
    <row r="268" customFormat="false" ht="15.75" hidden="false" customHeight="false" outlineLevel="0" collapsed="false">
      <c r="A268" s="121"/>
      <c r="B268" s="121"/>
      <c r="C268" s="121"/>
      <c r="D268" s="121"/>
      <c r="E268" s="121"/>
      <c r="F268" s="121"/>
      <c r="G268" s="121"/>
      <c r="H268" s="121"/>
      <c r="I268" s="121"/>
      <c r="J268" s="121"/>
      <c r="K268" s="121"/>
      <c r="L268" s="121"/>
      <c r="M268" s="121"/>
      <c r="N268" s="121"/>
      <c r="O268" s="121"/>
      <c r="P268" s="121"/>
      <c r="Q268" s="121"/>
      <c r="R268" s="121"/>
      <c r="S268" s="121"/>
      <c r="T268" s="121"/>
      <c r="U268" s="121"/>
      <c r="V268" s="121"/>
      <c r="W268" s="121"/>
      <c r="X268" s="121"/>
      <c r="Y268" s="121"/>
      <c r="Z268" s="121"/>
    </row>
    <row r="269" customFormat="false" ht="15.75" hidden="false" customHeight="false" outlineLevel="0" collapsed="false">
      <c r="A269" s="121"/>
      <c r="B269" s="121"/>
      <c r="C269" s="121"/>
      <c r="D269" s="121"/>
      <c r="E269" s="121"/>
      <c r="F269" s="121"/>
      <c r="G269" s="121"/>
      <c r="H269" s="121"/>
      <c r="I269" s="121"/>
      <c r="J269" s="121"/>
      <c r="K269" s="121"/>
      <c r="L269" s="121"/>
      <c r="M269" s="121"/>
      <c r="N269" s="121"/>
      <c r="O269" s="121"/>
      <c r="P269" s="121"/>
      <c r="Q269" s="121"/>
      <c r="R269" s="121"/>
      <c r="S269" s="121"/>
      <c r="T269" s="121"/>
      <c r="U269" s="121"/>
      <c r="V269" s="121"/>
      <c r="W269" s="121"/>
      <c r="X269" s="121"/>
      <c r="Y269" s="121"/>
      <c r="Z269" s="121"/>
    </row>
    <row r="270" customFormat="false" ht="15.75" hidden="false" customHeight="false" outlineLevel="0" collapsed="false">
      <c r="A270" s="121"/>
      <c r="B270" s="121"/>
      <c r="C270" s="121"/>
      <c r="D270" s="121"/>
      <c r="E270" s="121"/>
      <c r="F270" s="121"/>
      <c r="G270" s="121"/>
      <c r="H270" s="121"/>
      <c r="I270" s="121"/>
      <c r="J270" s="121"/>
      <c r="K270" s="121"/>
      <c r="L270" s="121"/>
      <c r="M270" s="121"/>
      <c r="N270" s="121"/>
      <c r="O270" s="121"/>
      <c r="P270" s="121"/>
      <c r="Q270" s="121"/>
      <c r="R270" s="121"/>
      <c r="S270" s="121"/>
      <c r="T270" s="121"/>
      <c r="U270" s="121"/>
      <c r="V270" s="121"/>
      <c r="W270" s="121"/>
      <c r="X270" s="121"/>
      <c r="Y270" s="121"/>
      <c r="Z270" s="121"/>
    </row>
    <row r="271" customFormat="false" ht="15.75" hidden="false" customHeight="false" outlineLevel="0" collapsed="false">
      <c r="A271" s="121"/>
      <c r="B271" s="121"/>
      <c r="C271" s="121"/>
      <c r="D271" s="121"/>
      <c r="E271" s="121"/>
      <c r="F271" s="121"/>
      <c r="G271" s="121"/>
      <c r="H271" s="121"/>
      <c r="I271" s="121"/>
      <c r="J271" s="121"/>
      <c r="K271" s="121"/>
      <c r="L271" s="121"/>
      <c r="M271" s="121"/>
      <c r="N271" s="121"/>
      <c r="O271" s="121"/>
      <c r="P271" s="121"/>
      <c r="Q271" s="121"/>
      <c r="R271" s="121"/>
      <c r="S271" s="121"/>
      <c r="T271" s="121"/>
      <c r="U271" s="121"/>
      <c r="V271" s="121"/>
      <c r="W271" s="121"/>
      <c r="X271" s="121"/>
      <c r="Y271" s="121"/>
      <c r="Z271" s="121"/>
    </row>
    <row r="272" customFormat="false" ht="15.75" hidden="false" customHeight="false" outlineLevel="0" collapsed="false">
      <c r="A272" s="121"/>
      <c r="B272" s="121"/>
      <c r="C272" s="121"/>
      <c r="D272" s="121"/>
      <c r="E272" s="121"/>
      <c r="F272" s="121"/>
      <c r="G272" s="121"/>
      <c r="H272" s="121"/>
      <c r="I272" s="121"/>
      <c r="J272" s="121"/>
      <c r="K272" s="121"/>
      <c r="L272" s="121"/>
      <c r="M272" s="121"/>
      <c r="N272" s="121"/>
      <c r="O272" s="121"/>
      <c r="P272" s="121"/>
      <c r="Q272" s="121"/>
      <c r="R272" s="121"/>
      <c r="S272" s="121"/>
      <c r="T272" s="121"/>
      <c r="U272" s="121"/>
      <c r="V272" s="121"/>
      <c r="W272" s="121"/>
      <c r="X272" s="121"/>
      <c r="Y272" s="121"/>
      <c r="Z272" s="121"/>
    </row>
    <row r="273" customFormat="false" ht="15.75" hidden="false" customHeight="false" outlineLevel="0" collapsed="false">
      <c r="A273" s="121"/>
      <c r="B273" s="121"/>
      <c r="C273" s="121"/>
      <c r="D273" s="121"/>
      <c r="E273" s="121"/>
      <c r="F273" s="121"/>
      <c r="G273" s="121"/>
      <c r="H273" s="121"/>
      <c r="I273" s="121"/>
      <c r="J273" s="121"/>
      <c r="K273" s="121"/>
      <c r="L273" s="121"/>
      <c r="M273" s="121"/>
      <c r="N273" s="121"/>
      <c r="O273" s="121"/>
      <c r="P273" s="121"/>
      <c r="Q273" s="121"/>
      <c r="R273" s="121"/>
      <c r="S273" s="121"/>
      <c r="T273" s="121"/>
      <c r="U273" s="121"/>
      <c r="V273" s="121"/>
      <c r="W273" s="121"/>
      <c r="X273" s="121"/>
      <c r="Y273" s="121"/>
      <c r="Z273" s="121"/>
    </row>
    <row r="274" customFormat="false" ht="15.75" hidden="false" customHeight="false" outlineLevel="0" collapsed="false">
      <c r="A274" s="121"/>
      <c r="B274" s="121"/>
      <c r="C274" s="121"/>
      <c r="D274" s="121"/>
      <c r="E274" s="121"/>
      <c r="F274" s="121"/>
      <c r="G274" s="121"/>
      <c r="H274" s="121"/>
      <c r="I274" s="121"/>
      <c r="J274" s="121"/>
      <c r="K274" s="121"/>
      <c r="L274" s="121"/>
      <c r="M274" s="121"/>
      <c r="N274" s="121"/>
      <c r="O274" s="121"/>
      <c r="P274" s="121"/>
      <c r="Q274" s="121"/>
      <c r="R274" s="121"/>
      <c r="S274" s="121"/>
      <c r="T274" s="121"/>
      <c r="U274" s="121"/>
      <c r="V274" s="121"/>
      <c r="W274" s="121"/>
      <c r="X274" s="121"/>
      <c r="Y274" s="121"/>
      <c r="Z274" s="121"/>
    </row>
    <row r="275" customFormat="false" ht="15.75" hidden="false" customHeight="false" outlineLevel="0" collapsed="false">
      <c r="A275" s="121"/>
      <c r="B275" s="121"/>
      <c r="C275" s="121"/>
      <c r="D275" s="121"/>
      <c r="E275" s="121"/>
      <c r="F275" s="121"/>
      <c r="G275" s="121"/>
      <c r="H275" s="121"/>
      <c r="I275" s="121"/>
      <c r="J275" s="121"/>
      <c r="K275" s="121"/>
      <c r="L275" s="121"/>
      <c r="M275" s="121"/>
      <c r="N275" s="121"/>
      <c r="O275" s="121"/>
      <c r="P275" s="121"/>
      <c r="Q275" s="121"/>
      <c r="R275" s="121"/>
      <c r="S275" s="121"/>
      <c r="T275" s="121"/>
      <c r="U275" s="121"/>
      <c r="V275" s="121"/>
      <c r="W275" s="121"/>
      <c r="X275" s="121"/>
      <c r="Y275" s="121"/>
      <c r="Z275" s="121"/>
    </row>
    <row r="276" customFormat="false" ht="15.75" hidden="false" customHeight="false" outlineLevel="0" collapsed="false">
      <c r="A276" s="121"/>
      <c r="B276" s="121"/>
      <c r="C276" s="121"/>
      <c r="D276" s="121"/>
      <c r="E276" s="121"/>
      <c r="F276" s="121"/>
      <c r="G276" s="121"/>
      <c r="H276" s="121"/>
      <c r="I276" s="121"/>
      <c r="J276" s="121"/>
      <c r="K276" s="121"/>
      <c r="L276" s="121"/>
      <c r="M276" s="121"/>
      <c r="N276" s="121"/>
      <c r="O276" s="121"/>
      <c r="P276" s="121"/>
      <c r="Q276" s="121"/>
      <c r="R276" s="121"/>
      <c r="S276" s="121"/>
      <c r="T276" s="121"/>
      <c r="U276" s="121"/>
      <c r="V276" s="121"/>
      <c r="W276" s="121"/>
      <c r="X276" s="121"/>
      <c r="Y276" s="121"/>
      <c r="Z276" s="121"/>
    </row>
    <row r="277" customFormat="false" ht="15.75" hidden="false" customHeight="false" outlineLevel="0" collapsed="false">
      <c r="A277" s="121"/>
      <c r="B277" s="121"/>
      <c r="C277" s="121"/>
      <c r="D277" s="121"/>
      <c r="E277" s="121"/>
      <c r="F277" s="121"/>
      <c r="G277" s="121"/>
      <c r="H277" s="121"/>
      <c r="I277" s="121"/>
      <c r="J277" s="121"/>
      <c r="K277" s="121"/>
      <c r="L277" s="121"/>
      <c r="M277" s="121"/>
      <c r="N277" s="121"/>
      <c r="O277" s="121"/>
      <c r="P277" s="121"/>
      <c r="Q277" s="121"/>
      <c r="R277" s="121"/>
      <c r="S277" s="121"/>
      <c r="T277" s="121"/>
      <c r="U277" s="121"/>
      <c r="V277" s="121"/>
      <c r="W277" s="121"/>
      <c r="X277" s="121"/>
      <c r="Y277" s="121"/>
      <c r="Z277" s="121"/>
    </row>
    <row r="278" customFormat="false" ht="15.75" hidden="false" customHeight="false" outlineLevel="0" collapsed="false">
      <c r="A278" s="121"/>
      <c r="B278" s="121"/>
      <c r="C278" s="121"/>
      <c r="D278" s="121"/>
      <c r="E278" s="121"/>
      <c r="F278" s="121"/>
      <c r="G278" s="121"/>
      <c r="H278" s="121"/>
      <c r="I278" s="121"/>
      <c r="J278" s="121"/>
      <c r="K278" s="121"/>
      <c r="L278" s="121"/>
      <c r="M278" s="121"/>
      <c r="N278" s="121"/>
      <c r="O278" s="121"/>
      <c r="P278" s="121"/>
      <c r="Q278" s="121"/>
      <c r="R278" s="121"/>
      <c r="S278" s="121"/>
      <c r="T278" s="121"/>
      <c r="U278" s="121"/>
      <c r="V278" s="121"/>
      <c r="W278" s="121"/>
      <c r="X278" s="121"/>
      <c r="Y278" s="121"/>
      <c r="Z278" s="121"/>
    </row>
    <row r="279" customFormat="false" ht="15.75" hidden="false" customHeight="false" outlineLevel="0" collapsed="false">
      <c r="A279" s="121"/>
      <c r="B279" s="121"/>
      <c r="C279" s="121"/>
      <c r="D279" s="121"/>
      <c r="E279" s="121"/>
      <c r="F279" s="121"/>
      <c r="G279" s="121"/>
      <c r="H279" s="121"/>
      <c r="I279" s="121"/>
      <c r="J279" s="121"/>
      <c r="K279" s="121"/>
      <c r="L279" s="121"/>
      <c r="M279" s="121"/>
      <c r="N279" s="121"/>
      <c r="O279" s="121"/>
      <c r="P279" s="121"/>
      <c r="Q279" s="121"/>
      <c r="R279" s="121"/>
      <c r="S279" s="121"/>
      <c r="T279" s="121"/>
      <c r="U279" s="121"/>
      <c r="V279" s="121"/>
      <c r="W279" s="121"/>
      <c r="X279" s="121"/>
      <c r="Y279" s="121"/>
      <c r="Z279" s="121"/>
    </row>
    <row r="280" customFormat="false" ht="15.75" hidden="false" customHeight="false" outlineLevel="0" collapsed="false">
      <c r="A280" s="121"/>
      <c r="B280" s="121"/>
      <c r="C280" s="121"/>
      <c r="D280" s="121"/>
      <c r="E280" s="121"/>
      <c r="F280" s="121"/>
      <c r="G280" s="121"/>
      <c r="H280" s="121"/>
      <c r="I280" s="121"/>
      <c r="J280" s="121"/>
      <c r="K280" s="121"/>
      <c r="L280" s="121"/>
      <c r="M280" s="121"/>
      <c r="N280" s="121"/>
      <c r="O280" s="121"/>
      <c r="P280" s="121"/>
      <c r="Q280" s="121"/>
      <c r="R280" s="121"/>
      <c r="S280" s="121"/>
      <c r="T280" s="121"/>
      <c r="U280" s="121"/>
      <c r="V280" s="121"/>
      <c r="W280" s="121"/>
      <c r="X280" s="121"/>
      <c r="Y280" s="121"/>
      <c r="Z280" s="121"/>
    </row>
    <row r="281" customFormat="false" ht="15.75" hidden="false" customHeight="false" outlineLevel="0" collapsed="false">
      <c r="A281" s="121"/>
      <c r="B281" s="121"/>
      <c r="C281" s="121"/>
      <c r="D281" s="121"/>
      <c r="E281" s="121"/>
      <c r="F281" s="121"/>
      <c r="G281" s="121"/>
      <c r="H281" s="121"/>
      <c r="I281" s="121"/>
      <c r="J281" s="121"/>
      <c r="K281" s="121"/>
      <c r="L281" s="121"/>
      <c r="M281" s="121"/>
      <c r="N281" s="121"/>
      <c r="O281" s="121"/>
      <c r="P281" s="121"/>
      <c r="Q281" s="121"/>
      <c r="R281" s="121"/>
      <c r="S281" s="121"/>
      <c r="T281" s="121"/>
      <c r="U281" s="121"/>
      <c r="V281" s="121"/>
      <c r="W281" s="121"/>
      <c r="X281" s="121"/>
      <c r="Y281" s="121"/>
      <c r="Z281" s="121"/>
    </row>
    <row r="282" customFormat="false" ht="15.75" hidden="false" customHeight="false" outlineLevel="0" collapsed="false">
      <c r="A282" s="121"/>
      <c r="B282" s="121"/>
      <c r="C282" s="121"/>
      <c r="D282" s="121"/>
      <c r="E282" s="121"/>
      <c r="F282" s="121"/>
      <c r="G282" s="121"/>
      <c r="H282" s="121"/>
      <c r="I282" s="121"/>
      <c r="J282" s="121"/>
      <c r="K282" s="121"/>
      <c r="L282" s="121"/>
      <c r="M282" s="121"/>
      <c r="N282" s="121"/>
      <c r="O282" s="121"/>
      <c r="P282" s="121"/>
      <c r="Q282" s="121"/>
      <c r="R282" s="121"/>
      <c r="S282" s="121"/>
      <c r="T282" s="121"/>
      <c r="U282" s="121"/>
      <c r="V282" s="121"/>
      <c r="W282" s="121"/>
      <c r="X282" s="121"/>
      <c r="Y282" s="121"/>
      <c r="Z282" s="121"/>
    </row>
    <row r="283" customFormat="false" ht="15.75" hidden="false" customHeight="false" outlineLevel="0" collapsed="false">
      <c r="A283" s="121"/>
      <c r="B283" s="121"/>
      <c r="C283" s="121"/>
      <c r="D283" s="121"/>
      <c r="E283" s="121"/>
      <c r="F283" s="121"/>
      <c r="G283" s="121"/>
      <c r="H283" s="121"/>
      <c r="I283" s="121"/>
      <c r="J283" s="121"/>
      <c r="K283" s="121"/>
      <c r="L283" s="121"/>
      <c r="M283" s="121"/>
      <c r="N283" s="121"/>
      <c r="O283" s="121"/>
      <c r="P283" s="121"/>
      <c r="Q283" s="121"/>
      <c r="R283" s="121"/>
      <c r="S283" s="121"/>
      <c r="T283" s="121"/>
      <c r="U283" s="121"/>
      <c r="V283" s="121"/>
      <c r="W283" s="121"/>
      <c r="X283" s="121"/>
      <c r="Y283" s="121"/>
      <c r="Z283" s="121"/>
    </row>
    <row r="284" customFormat="false" ht="15.75" hidden="false" customHeight="false" outlineLevel="0" collapsed="false">
      <c r="A284" s="121"/>
      <c r="B284" s="121"/>
      <c r="C284" s="121"/>
      <c r="D284" s="121"/>
      <c r="E284" s="121"/>
      <c r="F284" s="121"/>
      <c r="G284" s="121"/>
      <c r="H284" s="121"/>
      <c r="I284" s="121"/>
      <c r="J284" s="121"/>
      <c r="K284" s="121"/>
      <c r="L284" s="121"/>
      <c r="M284" s="121"/>
      <c r="N284" s="121"/>
      <c r="O284" s="121"/>
      <c r="P284" s="121"/>
      <c r="Q284" s="121"/>
      <c r="R284" s="121"/>
      <c r="S284" s="121"/>
      <c r="T284" s="121"/>
      <c r="U284" s="121"/>
      <c r="V284" s="121"/>
      <c r="W284" s="121"/>
      <c r="X284" s="121"/>
      <c r="Y284" s="121"/>
      <c r="Z284" s="121"/>
    </row>
    <row r="285" customFormat="false" ht="15.75" hidden="false" customHeight="false" outlineLevel="0" collapsed="false">
      <c r="A285" s="121"/>
      <c r="B285" s="121"/>
      <c r="C285" s="121"/>
      <c r="D285" s="121"/>
      <c r="E285" s="121"/>
      <c r="F285" s="121"/>
      <c r="G285" s="121"/>
      <c r="H285" s="121"/>
      <c r="I285" s="121"/>
      <c r="J285" s="121"/>
      <c r="K285" s="121"/>
      <c r="L285" s="121"/>
      <c r="M285" s="121"/>
      <c r="N285" s="121"/>
      <c r="O285" s="121"/>
      <c r="P285" s="121"/>
      <c r="Q285" s="121"/>
      <c r="R285" s="121"/>
      <c r="S285" s="121"/>
      <c r="T285" s="121"/>
      <c r="U285" s="121"/>
      <c r="V285" s="121"/>
      <c r="W285" s="121"/>
      <c r="X285" s="121"/>
      <c r="Y285" s="121"/>
      <c r="Z285" s="121"/>
    </row>
    <row r="286" customFormat="false" ht="15.75" hidden="false" customHeight="false" outlineLevel="0" collapsed="false">
      <c r="A286" s="121"/>
      <c r="B286" s="121"/>
      <c r="C286" s="121"/>
      <c r="D286" s="121"/>
      <c r="E286" s="121"/>
      <c r="F286" s="121"/>
      <c r="G286" s="121"/>
      <c r="H286" s="121"/>
      <c r="I286" s="121"/>
      <c r="J286" s="121"/>
      <c r="K286" s="121"/>
      <c r="L286" s="121"/>
      <c r="M286" s="121"/>
      <c r="N286" s="121"/>
      <c r="O286" s="121"/>
      <c r="P286" s="121"/>
      <c r="Q286" s="121"/>
      <c r="R286" s="121"/>
      <c r="S286" s="121"/>
      <c r="T286" s="121"/>
      <c r="U286" s="121"/>
      <c r="V286" s="121"/>
      <c r="W286" s="121"/>
      <c r="X286" s="121"/>
      <c r="Y286" s="121"/>
      <c r="Z286" s="121"/>
    </row>
    <row r="287" customFormat="false" ht="15.75" hidden="false" customHeight="false" outlineLevel="0" collapsed="false">
      <c r="A287" s="121"/>
      <c r="B287" s="121"/>
      <c r="C287" s="121"/>
      <c r="D287" s="121"/>
      <c r="E287" s="121"/>
      <c r="F287" s="121"/>
      <c r="G287" s="121"/>
      <c r="H287" s="121"/>
      <c r="I287" s="121"/>
      <c r="J287" s="121"/>
      <c r="K287" s="121"/>
      <c r="L287" s="121"/>
      <c r="M287" s="121"/>
      <c r="N287" s="121"/>
      <c r="O287" s="121"/>
      <c r="P287" s="121"/>
      <c r="Q287" s="121"/>
      <c r="R287" s="121"/>
      <c r="S287" s="121"/>
      <c r="T287" s="121"/>
      <c r="U287" s="121"/>
      <c r="V287" s="121"/>
      <c r="W287" s="121"/>
      <c r="X287" s="121"/>
      <c r="Y287" s="121"/>
      <c r="Z287" s="121"/>
    </row>
    <row r="288" customFormat="false" ht="15.75" hidden="false" customHeight="false" outlineLevel="0" collapsed="false">
      <c r="A288" s="121"/>
      <c r="B288" s="121"/>
      <c r="C288" s="121"/>
      <c r="D288" s="121"/>
      <c r="E288" s="121"/>
      <c r="F288" s="121"/>
      <c r="G288" s="121"/>
      <c r="H288" s="121"/>
      <c r="I288" s="121"/>
      <c r="J288" s="121"/>
      <c r="K288" s="121"/>
      <c r="L288" s="121"/>
      <c r="M288" s="121"/>
      <c r="N288" s="121"/>
      <c r="O288" s="121"/>
      <c r="P288" s="121"/>
      <c r="Q288" s="121"/>
      <c r="R288" s="121"/>
      <c r="S288" s="121"/>
      <c r="T288" s="121"/>
      <c r="U288" s="121"/>
      <c r="V288" s="121"/>
      <c r="W288" s="121"/>
      <c r="X288" s="121"/>
      <c r="Y288" s="121"/>
      <c r="Z288" s="121"/>
    </row>
    <row r="289" customFormat="false" ht="15.75" hidden="false" customHeight="false" outlineLevel="0" collapsed="false">
      <c r="A289" s="121"/>
      <c r="B289" s="121"/>
      <c r="C289" s="121"/>
      <c r="D289" s="121"/>
      <c r="E289" s="121"/>
      <c r="F289" s="121"/>
      <c r="G289" s="121"/>
      <c r="H289" s="121"/>
      <c r="I289" s="121"/>
      <c r="J289" s="121"/>
      <c r="K289" s="121"/>
      <c r="L289" s="121"/>
      <c r="M289" s="121"/>
      <c r="N289" s="121"/>
      <c r="O289" s="121"/>
      <c r="P289" s="121"/>
      <c r="Q289" s="121"/>
      <c r="R289" s="121"/>
      <c r="S289" s="121"/>
      <c r="T289" s="121"/>
      <c r="U289" s="121"/>
      <c r="V289" s="121"/>
      <c r="W289" s="121"/>
      <c r="X289" s="121"/>
      <c r="Y289" s="121"/>
      <c r="Z289" s="121"/>
    </row>
    <row r="290" customFormat="false" ht="15.75" hidden="false" customHeight="false" outlineLevel="0" collapsed="false">
      <c r="A290" s="121"/>
      <c r="B290" s="121"/>
      <c r="C290" s="121"/>
      <c r="D290" s="121"/>
      <c r="E290" s="121"/>
      <c r="F290" s="121"/>
      <c r="G290" s="121"/>
      <c r="H290" s="121"/>
      <c r="I290" s="121"/>
      <c r="J290" s="121"/>
      <c r="K290" s="121"/>
      <c r="L290" s="121"/>
      <c r="M290" s="121"/>
      <c r="N290" s="121"/>
      <c r="O290" s="121"/>
      <c r="P290" s="121"/>
      <c r="Q290" s="121"/>
      <c r="R290" s="121"/>
      <c r="S290" s="121"/>
      <c r="T290" s="121"/>
      <c r="U290" s="121"/>
      <c r="V290" s="121"/>
      <c r="W290" s="121"/>
      <c r="X290" s="121"/>
      <c r="Y290" s="121"/>
      <c r="Z290" s="121"/>
    </row>
    <row r="291" customFormat="false" ht="15.75" hidden="false" customHeight="false" outlineLevel="0" collapsed="false">
      <c r="A291" s="121"/>
      <c r="B291" s="121"/>
      <c r="C291" s="121"/>
      <c r="D291" s="121"/>
      <c r="E291" s="121"/>
      <c r="F291" s="121"/>
      <c r="G291" s="121"/>
      <c r="H291" s="121"/>
      <c r="I291" s="121"/>
      <c r="J291" s="121"/>
      <c r="K291" s="121"/>
      <c r="L291" s="121"/>
      <c r="M291" s="121"/>
      <c r="N291" s="121"/>
      <c r="O291" s="121"/>
      <c r="P291" s="121"/>
      <c r="Q291" s="121"/>
      <c r="R291" s="121"/>
      <c r="S291" s="121"/>
      <c r="T291" s="121"/>
      <c r="U291" s="121"/>
      <c r="V291" s="121"/>
      <c r="W291" s="121"/>
      <c r="X291" s="121"/>
      <c r="Y291" s="121"/>
      <c r="Z291" s="121"/>
    </row>
    <row r="292" customFormat="false" ht="15.75" hidden="false" customHeight="false" outlineLevel="0" collapsed="false">
      <c r="A292" s="121"/>
      <c r="B292" s="121"/>
      <c r="C292" s="121"/>
      <c r="D292" s="121"/>
      <c r="E292" s="121"/>
      <c r="F292" s="121"/>
      <c r="G292" s="121"/>
      <c r="H292" s="121"/>
      <c r="I292" s="121"/>
      <c r="J292" s="121"/>
      <c r="K292" s="121"/>
      <c r="L292" s="121"/>
      <c r="M292" s="121"/>
      <c r="N292" s="121"/>
      <c r="O292" s="121"/>
      <c r="P292" s="121"/>
      <c r="Q292" s="121"/>
      <c r="R292" s="121"/>
      <c r="S292" s="121"/>
      <c r="T292" s="121"/>
      <c r="U292" s="121"/>
      <c r="V292" s="121"/>
      <c r="W292" s="121"/>
      <c r="X292" s="121"/>
      <c r="Y292" s="121"/>
      <c r="Z292" s="121"/>
    </row>
    <row r="293" customFormat="false" ht="15.75" hidden="false" customHeight="false" outlineLevel="0" collapsed="false">
      <c r="A293" s="121"/>
      <c r="B293" s="121"/>
      <c r="C293" s="121"/>
      <c r="D293" s="121"/>
      <c r="E293" s="121"/>
      <c r="F293" s="121"/>
      <c r="G293" s="121"/>
      <c r="H293" s="121"/>
      <c r="I293" s="121"/>
      <c r="J293" s="121"/>
      <c r="K293" s="121"/>
      <c r="L293" s="121"/>
      <c r="M293" s="121"/>
      <c r="N293" s="121"/>
      <c r="O293" s="121"/>
      <c r="P293" s="121"/>
      <c r="Q293" s="121"/>
      <c r="R293" s="121"/>
      <c r="S293" s="121"/>
      <c r="T293" s="121"/>
      <c r="U293" s="121"/>
      <c r="V293" s="121"/>
      <c r="W293" s="121"/>
      <c r="X293" s="121"/>
      <c r="Y293" s="121"/>
      <c r="Z293" s="121"/>
    </row>
    <row r="294" customFormat="false" ht="15.75" hidden="false" customHeight="false" outlineLevel="0" collapsed="false">
      <c r="A294" s="121"/>
      <c r="B294" s="121"/>
      <c r="C294" s="121"/>
      <c r="D294" s="121"/>
      <c r="E294" s="121"/>
      <c r="F294" s="121"/>
      <c r="G294" s="121"/>
      <c r="H294" s="121"/>
      <c r="I294" s="121"/>
      <c r="J294" s="121"/>
      <c r="K294" s="121"/>
      <c r="L294" s="121"/>
      <c r="M294" s="121"/>
      <c r="N294" s="121"/>
      <c r="O294" s="121"/>
      <c r="P294" s="121"/>
      <c r="Q294" s="121"/>
      <c r="R294" s="121"/>
      <c r="S294" s="121"/>
      <c r="T294" s="121"/>
      <c r="U294" s="121"/>
      <c r="V294" s="121"/>
      <c r="W294" s="121"/>
      <c r="X294" s="121"/>
      <c r="Y294" s="121"/>
      <c r="Z294" s="121"/>
    </row>
    <row r="295" customFormat="false" ht="15.75" hidden="false" customHeight="false" outlineLevel="0" collapsed="false">
      <c r="A295" s="121"/>
      <c r="B295" s="121"/>
      <c r="C295" s="121"/>
      <c r="D295" s="121"/>
      <c r="E295" s="121"/>
      <c r="F295" s="121"/>
      <c r="G295" s="121"/>
      <c r="H295" s="121"/>
      <c r="I295" s="121"/>
      <c r="J295" s="121"/>
      <c r="K295" s="121"/>
      <c r="L295" s="121"/>
      <c r="M295" s="121"/>
      <c r="N295" s="121"/>
      <c r="O295" s="121"/>
      <c r="P295" s="121"/>
      <c r="Q295" s="121"/>
      <c r="R295" s="121"/>
      <c r="S295" s="121"/>
      <c r="T295" s="121"/>
      <c r="U295" s="121"/>
      <c r="V295" s="121"/>
      <c r="W295" s="121"/>
      <c r="X295" s="121"/>
      <c r="Y295" s="121"/>
      <c r="Z295" s="121"/>
    </row>
    <row r="296" customFormat="false" ht="15.75" hidden="false" customHeight="false" outlineLevel="0" collapsed="false">
      <c r="A296" s="121"/>
      <c r="B296" s="121"/>
      <c r="C296" s="121"/>
      <c r="D296" s="121"/>
      <c r="E296" s="121"/>
      <c r="F296" s="121"/>
      <c r="G296" s="121"/>
      <c r="H296" s="121"/>
      <c r="I296" s="121"/>
      <c r="J296" s="121"/>
      <c r="K296" s="121"/>
      <c r="L296" s="121"/>
      <c r="M296" s="121"/>
      <c r="N296" s="121"/>
      <c r="O296" s="121"/>
      <c r="P296" s="121"/>
      <c r="Q296" s="121"/>
      <c r="R296" s="121"/>
      <c r="S296" s="121"/>
      <c r="T296" s="121"/>
      <c r="U296" s="121"/>
      <c r="V296" s="121"/>
      <c r="W296" s="121"/>
      <c r="X296" s="121"/>
      <c r="Y296" s="121"/>
      <c r="Z296" s="121"/>
    </row>
    <row r="297" customFormat="false" ht="15.75" hidden="false" customHeight="false" outlineLevel="0" collapsed="false">
      <c r="A297" s="121"/>
      <c r="B297" s="121"/>
      <c r="C297" s="121"/>
      <c r="D297" s="121"/>
      <c r="E297" s="121"/>
      <c r="F297" s="121"/>
      <c r="G297" s="121"/>
      <c r="H297" s="121"/>
      <c r="I297" s="121"/>
      <c r="J297" s="121"/>
      <c r="K297" s="121"/>
      <c r="L297" s="121"/>
      <c r="M297" s="121"/>
      <c r="N297" s="121"/>
      <c r="O297" s="121"/>
      <c r="P297" s="121"/>
      <c r="Q297" s="121"/>
      <c r="R297" s="121"/>
      <c r="S297" s="121"/>
      <c r="T297" s="121"/>
      <c r="U297" s="121"/>
      <c r="V297" s="121"/>
      <c r="W297" s="121"/>
      <c r="X297" s="121"/>
      <c r="Y297" s="121"/>
      <c r="Z297" s="121"/>
    </row>
    <row r="298" customFormat="false" ht="15.75" hidden="false" customHeight="false" outlineLevel="0" collapsed="false">
      <c r="A298" s="121"/>
      <c r="B298" s="121"/>
      <c r="C298" s="121"/>
      <c r="D298" s="121"/>
      <c r="E298" s="121"/>
      <c r="F298" s="121"/>
      <c r="G298" s="121"/>
      <c r="H298" s="121"/>
      <c r="I298" s="121"/>
      <c r="J298" s="121"/>
      <c r="K298" s="121"/>
      <c r="L298" s="121"/>
      <c r="M298" s="121"/>
      <c r="N298" s="121"/>
      <c r="O298" s="121"/>
      <c r="P298" s="121"/>
      <c r="Q298" s="121"/>
      <c r="R298" s="121"/>
      <c r="S298" s="121"/>
      <c r="T298" s="121"/>
      <c r="U298" s="121"/>
      <c r="V298" s="121"/>
      <c r="W298" s="121"/>
      <c r="X298" s="121"/>
      <c r="Y298" s="121"/>
      <c r="Z298" s="121"/>
    </row>
    <row r="299" customFormat="false" ht="15.75" hidden="false" customHeight="false" outlineLevel="0" collapsed="false">
      <c r="A299" s="121"/>
      <c r="B299" s="121"/>
      <c r="C299" s="121"/>
      <c r="D299" s="121"/>
      <c r="E299" s="121"/>
      <c r="F299" s="121"/>
      <c r="G299" s="121"/>
      <c r="H299" s="121"/>
      <c r="I299" s="121"/>
      <c r="J299" s="121"/>
      <c r="K299" s="121"/>
      <c r="L299" s="121"/>
      <c r="M299" s="121"/>
      <c r="N299" s="121"/>
      <c r="O299" s="121"/>
      <c r="P299" s="121"/>
      <c r="Q299" s="121"/>
      <c r="R299" s="121"/>
      <c r="S299" s="121"/>
      <c r="T299" s="121"/>
      <c r="U299" s="121"/>
      <c r="V299" s="121"/>
      <c r="W299" s="121"/>
      <c r="X299" s="121"/>
      <c r="Y299" s="121"/>
      <c r="Z299" s="121"/>
    </row>
    <row r="300" customFormat="false" ht="15.75" hidden="false" customHeight="false" outlineLevel="0" collapsed="false">
      <c r="A300" s="121"/>
      <c r="B300" s="121"/>
      <c r="C300" s="121"/>
      <c r="D300" s="121"/>
      <c r="E300" s="121"/>
      <c r="F300" s="121"/>
      <c r="G300" s="121"/>
      <c r="H300" s="121"/>
      <c r="I300" s="121"/>
      <c r="J300" s="121"/>
      <c r="K300" s="121"/>
      <c r="L300" s="121"/>
      <c r="M300" s="121"/>
      <c r="N300" s="121"/>
      <c r="O300" s="121"/>
      <c r="P300" s="121"/>
      <c r="Q300" s="121"/>
      <c r="R300" s="121"/>
      <c r="S300" s="121"/>
      <c r="T300" s="121"/>
      <c r="U300" s="121"/>
      <c r="V300" s="121"/>
      <c r="W300" s="121"/>
      <c r="X300" s="121"/>
      <c r="Y300" s="121"/>
      <c r="Z300" s="121"/>
    </row>
    <row r="301" customFormat="false" ht="15.75" hidden="false" customHeight="false" outlineLevel="0" collapsed="false">
      <c r="A301" s="121"/>
      <c r="B301" s="121"/>
      <c r="C301" s="121"/>
      <c r="D301" s="121"/>
      <c r="E301" s="121"/>
      <c r="F301" s="121"/>
      <c r="G301" s="121"/>
      <c r="H301" s="121"/>
      <c r="I301" s="121"/>
      <c r="J301" s="121"/>
      <c r="K301" s="121"/>
      <c r="L301" s="121"/>
      <c r="M301" s="121"/>
      <c r="N301" s="121"/>
      <c r="O301" s="121"/>
      <c r="P301" s="121"/>
      <c r="Q301" s="121"/>
      <c r="R301" s="121"/>
      <c r="S301" s="121"/>
      <c r="T301" s="121"/>
      <c r="U301" s="121"/>
      <c r="V301" s="121"/>
      <c r="W301" s="121"/>
      <c r="X301" s="121"/>
      <c r="Y301" s="121"/>
      <c r="Z301" s="121"/>
    </row>
    <row r="302" customFormat="false" ht="15.75" hidden="false" customHeight="false" outlineLevel="0" collapsed="false">
      <c r="A302" s="121"/>
      <c r="B302" s="121"/>
      <c r="C302" s="121"/>
      <c r="D302" s="121"/>
      <c r="E302" s="121"/>
      <c r="F302" s="121"/>
      <c r="G302" s="121"/>
      <c r="H302" s="121"/>
      <c r="I302" s="121"/>
      <c r="J302" s="121"/>
      <c r="K302" s="121"/>
      <c r="L302" s="121"/>
      <c r="M302" s="121"/>
      <c r="N302" s="121"/>
      <c r="O302" s="121"/>
      <c r="P302" s="121"/>
      <c r="Q302" s="121"/>
      <c r="R302" s="121"/>
      <c r="S302" s="121"/>
      <c r="T302" s="121"/>
      <c r="U302" s="121"/>
      <c r="V302" s="121"/>
      <c r="W302" s="121"/>
      <c r="X302" s="121"/>
      <c r="Y302" s="121"/>
      <c r="Z302" s="121"/>
    </row>
    <row r="303" customFormat="false" ht="15.75" hidden="false" customHeight="false" outlineLevel="0" collapsed="false">
      <c r="A303" s="121"/>
      <c r="B303" s="121"/>
      <c r="C303" s="121"/>
      <c r="D303" s="121"/>
      <c r="E303" s="121"/>
      <c r="F303" s="121"/>
      <c r="G303" s="121"/>
      <c r="H303" s="121"/>
      <c r="I303" s="121"/>
      <c r="J303" s="121"/>
      <c r="K303" s="121"/>
      <c r="L303" s="121"/>
      <c r="M303" s="121"/>
      <c r="N303" s="121"/>
      <c r="O303" s="121"/>
      <c r="P303" s="121"/>
      <c r="Q303" s="121"/>
      <c r="R303" s="121"/>
      <c r="S303" s="121"/>
      <c r="T303" s="121"/>
      <c r="U303" s="121"/>
      <c r="V303" s="121"/>
      <c r="W303" s="121"/>
      <c r="X303" s="121"/>
      <c r="Y303" s="121"/>
      <c r="Z303" s="121"/>
    </row>
    <row r="304" customFormat="false" ht="15.75" hidden="false" customHeight="false" outlineLevel="0" collapsed="false">
      <c r="A304" s="121"/>
      <c r="B304" s="121"/>
      <c r="C304" s="121"/>
      <c r="D304" s="121"/>
      <c r="E304" s="121"/>
      <c r="F304" s="121"/>
      <c r="G304" s="121"/>
      <c r="H304" s="121"/>
      <c r="I304" s="121"/>
      <c r="J304" s="121"/>
      <c r="K304" s="121"/>
      <c r="L304" s="121"/>
      <c r="M304" s="121"/>
      <c r="N304" s="121"/>
      <c r="O304" s="121"/>
      <c r="P304" s="121"/>
      <c r="Q304" s="121"/>
      <c r="R304" s="121"/>
      <c r="S304" s="121"/>
      <c r="T304" s="121"/>
      <c r="U304" s="121"/>
      <c r="V304" s="121"/>
      <c r="W304" s="121"/>
      <c r="X304" s="121"/>
      <c r="Y304" s="121"/>
      <c r="Z304" s="121"/>
    </row>
    <row r="305" customFormat="false" ht="15.75" hidden="false" customHeight="false" outlineLevel="0" collapsed="false">
      <c r="A305" s="121"/>
      <c r="B305" s="121"/>
      <c r="C305" s="121"/>
      <c r="D305" s="121"/>
      <c r="E305" s="121"/>
      <c r="F305" s="121"/>
      <c r="G305" s="121"/>
      <c r="H305" s="121"/>
      <c r="I305" s="121"/>
      <c r="J305" s="121"/>
      <c r="K305" s="121"/>
      <c r="L305" s="121"/>
      <c r="M305" s="121"/>
      <c r="N305" s="121"/>
      <c r="O305" s="121"/>
      <c r="P305" s="121"/>
      <c r="Q305" s="121"/>
      <c r="R305" s="121"/>
      <c r="S305" s="121"/>
      <c r="T305" s="121"/>
      <c r="U305" s="121"/>
      <c r="V305" s="121"/>
      <c r="W305" s="121"/>
      <c r="X305" s="121"/>
      <c r="Y305" s="121"/>
      <c r="Z305" s="121"/>
    </row>
    <row r="306" customFormat="false" ht="15.75" hidden="false" customHeight="false" outlineLevel="0" collapsed="false">
      <c r="A306" s="121"/>
      <c r="B306" s="121"/>
      <c r="C306" s="121"/>
      <c r="D306" s="121"/>
      <c r="E306" s="121"/>
      <c r="F306" s="121"/>
      <c r="G306" s="121"/>
      <c r="H306" s="121"/>
      <c r="I306" s="121"/>
      <c r="J306" s="121"/>
      <c r="K306" s="121"/>
      <c r="L306" s="121"/>
      <c r="M306" s="121"/>
      <c r="N306" s="121"/>
      <c r="O306" s="121"/>
      <c r="P306" s="121"/>
      <c r="Q306" s="121"/>
      <c r="R306" s="121"/>
      <c r="S306" s="121"/>
      <c r="T306" s="121"/>
      <c r="U306" s="121"/>
      <c r="V306" s="121"/>
      <c r="W306" s="121"/>
      <c r="X306" s="121"/>
      <c r="Y306" s="121"/>
      <c r="Z306" s="121"/>
    </row>
    <row r="307" customFormat="false" ht="15.75" hidden="false" customHeight="false" outlineLevel="0" collapsed="false">
      <c r="A307" s="121"/>
      <c r="B307" s="121"/>
      <c r="C307" s="121"/>
      <c r="D307" s="121"/>
      <c r="E307" s="121"/>
      <c r="F307" s="121"/>
      <c r="G307" s="121"/>
      <c r="H307" s="121"/>
      <c r="I307" s="121"/>
      <c r="J307" s="121"/>
      <c r="K307" s="121"/>
      <c r="L307" s="121"/>
      <c r="M307" s="121"/>
      <c r="N307" s="121"/>
      <c r="O307" s="121"/>
      <c r="P307" s="121"/>
      <c r="Q307" s="121"/>
      <c r="R307" s="121"/>
      <c r="S307" s="121"/>
      <c r="T307" s="121"/>
      <c r="U307" s="121"/>
      <c r="V307" s="121"/>
      <c r="W307" s="121"/>
      <c r="X307" s="121"/>
      <c r="Y307" s="121"/>
      <c r="Z307" s="121"/>
    </row>
    <row r="308" customFormat="false" ht="15.75" hidden="false" customHeight="false" outlineLevel="0" collapsed="false">
      <c r="A308" s="121"/>
      <c r="B308" s="121"/>
      <c r="C308" s="121"/>
      <c r="D308" s="121"/>
      <c r="E308" s="121"/>
      <c r="F308" s="121"/>
      <c r="G308" s="121"/>
      <c r="H308" s="121"/>
      <c r="I308" s="121"/>
      <c r="J308" s="121"/>
      <c r="K308" s="121"/>
      <c r="L308" s="121"/>
      <c r="M308" s="121"/>
      <c r="N308" s="121"/>
      <c r="O308" s="121"/>
      <c r="P308" s="121"/>
      <c r="Q308" s="121"/>
      <c r="R308" s="121"/>
      <c r="S308" s="121"/>
      <c r="T308" s="121"/>
      <c r="U308" s="121"/>
      <c r="V308" s="121"/>
      <c r="W308" s="121"/>
      <c r="X308" s="121"/>
      <c r="Y308" s="121"/>
      <c r="Z308" s="121"/>
    </row>
    <row r="309" customFormat="false" ht="15.75" hidden="false" customHeight="false" outlineLevel="0" collapsed="false">
      <c r="A309" s="121"/>
      <c r="B309" s="121"/>
      <c r="C309" s="121"/>
      <c r="D309" s="121"/>
      <c r="E309" s="121"/>
      <c r="F309" s="121"/>
      <c r="G309" s="121"/>
      <c r="H309" s="121"/>
      <c r="I309" s="121"/>
      <c r="J309" s="121"/>
      <c r="K309" s="121"/>
      <c r="L309" s="121"/>
      <c r="M309" s="121"/>
      <c r="N309" s="121"/>
      <c r="O309" s="121"/>
      <c r="P309" s="121"/>
      <c r="Q309" s="121"/>
      <c r="R309" s="121"/>
      <c r="S309" s="121"/>
      <c r="T309" s="121"/>
      <c r="U309" s="121"/>
      <c r="V309" s="121"/>
      <c r="W309" s="121"/>
      <c r="X309" s="121"/>
      <c r="Y309" s="121"/>
      <c r="Z309" s="121"/>
    </row>
    <row r="310" customFormat="false" ht="15.75" hidden="false" customHeight="false" outlineLevel="0" collapsed="false">
      <c r="A310" s="121"/>
      <c r="B310" s="121"/>
      <c r="C310" s="121"/>
      <c r="D310" s="121"/>
      <c r="E310" s="121"/>
      <c r="F310" s="121"/>
      <c r="G310" s="121"/>
      <c r="H310" s="121"/>
      <c r="I310" s="121"/>
      <c r="J310" s="121"/>
      <c r="K310" s="121"/>
      <c r="L310" s="121"/>
      <c r="M310" s="121"/>
      <c r="N310" s="121"/>
      <c r="O310" s="121"/>
      <c r="P310" s="121"/>
      <c r="Q310" s="121"/>
      <c r="R310" s="121"/>
      <c r="S310" s="121"/>
      <c r="T310" s="121"/>
      <c r="U310" s="121"/>
      <c r="V310" s="121"/>
      <c r="W310" s="121"/>
      <c r="X310" s="121"/>
      <c r="Y310" s="121"/>
      <c r="Z310" s="121"/>
    </row>
    <row r="311" customFormat="false" ht="15.75" hidden="false" customHeight="false" outlineLevel="0" collapsed="false">
      <c r="A311" s="121"/>
      <c r="B311" s="121"/>
      <c r="C311" s="121"/>
      <c r="D311" s="121"/>
      <c r="E311" s="121"/>
      <c r="F311" s="121"/>
      <c r="G311" s="121"/>
      <c r="H311" s="121"/>
      <c r="I311" s="121"/>
      <c r="J311" s="121"/>
      <c r="K311" s="121"/>
      <c r="L311" s="121"/>
      <c r="M311" s="121"/>
      <c r="N311" s="121"/>
      <c r="O311" s="121"/>
      <c r="P311" s="121"/>
      <c r="Q311" s="121"/>
      <c r="R311" s="121"/>
      <c r="S311" s="121"/>
      <c r="T311" s="121"/>
      <c r="U311" s="121"/>
      <c r="V311" s="121"/>
      <c r="W311" s="121"/>
      <c r="X311" s="121"/>
      <c r="Y311" s="121"/>
      <c r="Z311" s="121"/>
    </row>
    <row r="312" customFormat="false" ht="15.75" hidden="false" customHeight="false" outlineLevel="0" collapsed="false">
      <c r="A312" s="121"/>
      <c r="B312" s="121"/>
      <c r="C312" s="121"/>
      <c r="D312" s="121"/>
      <c r="E312" s="121"/>
      <c r="F312" s="121"/>
      <c r="G312" s="121"/>
      <c r="H312" s="121"/>
      <c r="I312" s="121"/>
      <c r="J312" s="121"/>
      <c r="K312" s="121"/>
      <c r="L312" s="121"/>
      <c r="M312" s="121"/>
      <c r="N312" s="121"/>
      <c r="O312" s="121"/>
      <c r="P312" s="121"/>
      <c r="Q312" s="121"/>
      <c r="R312" s="121"/>
      <c r="S312" s="121"/>
      <c r="T312" s="121"/>
      <c r="U312" s="121"/>
      <c r="V312" s="121"/>
      <c r="W312" s="121"/>
      <c r="X312" s="121"/>
      <c r="Y312" s="121"/>
      <c r="Z312" s="121"/>
    </row>
    <row r="313" customFormat="false" ht="15.75" hidden="false" customHeight="false" outlineLevel="0" collapsed="false">
      <c r="A313" s="121"/>
      <c r="B313" s="121"/>
      <c r="C313" s="121"/>
      <c r="D313" s="121"/>
      <c r="E313" s="121"/>
      <c r="F313" s="121"/>
      <c r="G313" s="121"/>
      <c r="H313" s="121"/>
      <c r="I313" s="121"/>
      <c r="J313" s="121"/>
      <c r="K313" s="121"/>
      <c r="L313" s="121"/>
      <c r="M313" s="121"/>
      <c r="N313" s="121"/>
      <c r="O313" s="121"/>
      <c r="P313" s="121"/>
      <c r="Q313" s="121"/>
      <c r="R313" s="121"/>
      <c r="S313" s="121"/>
      <c r="T313" s="121"/>
      <c r="U313" s="121"/>
      <c r="V313" s="121"/>
      <c r="W313" s="121"/>
      <c r="X313" s="121"/>
      <c r="Y313" s="121"/>
      <c r="Z313" s="121"/>
    </row>
    <row r="314" customFormat="false" ht="15.75" hidden="false" customHeight="false" outlineLevel="0" collapsed="false">
      <c r="A314" s="121"/>
      <c r="B314" s="121"/>
      <c r="C314" s="121"/>
      <c r="D314" s="121"/>
      <c r="E314" s="121"/>
      <c r="F314" s="121"/>
      <c r="G314" s="121"/>
      <c r="H314" s="121"/>
      <c r="I314" s="121"/>
      <c r="J314" s="121"/>
      <c r="K314" s="121"/>
      <c r="L314" s="121"/>
      <c r="M314" s="121"/>
      <c r="N314" s="121"/>
      <c r="O314" s="121"/>
      <c r="P314" s="121"/>
      <c r="Q314" s="121"/>
      <c r="R314" s="121"/>
      <c r="S314" s="121"/>
      <c r="T314" s="121"/>
      <c r="U314" s="121"/>
      <c r="V314" s="121"/>
      <c r="W314" s="121"/>
      <c r="X314" s="121"/>
      <c r="Y314" s="121"/>
      <c r="Z314" s="121"/>
    </row>
    <row r="315" customFormat="false" ht="15.75" hidden="false" customHeight="false" outlineLevel="0" collapsed="false">
      <c r="A315" s="121"/>
      <c r="B315" s="121"/>
      <c r="C315" s="121"/>
      <c r="D315" s="121"/>
      <c r="E315" s="121"/>
      <c r="F315" s="121"/>
      <c r="G315" s="121"/>
      <c r="H315" s="121"/>
      <c r="I315" s="121"/>
      <c r="J315" s="121"/>
      <c r="K315" s="121"/>
      <c r="L315" s="121"/>
      <c r="M315" s="121"/>
      <c r="N315" s="121"/>
      <c r="O315" s="121"/>
      <c r="P315" s="121"/>
      <c r="Q315" s="121"/>
      <c r="R315" s="121"/>
      <c r="S315" s="121"/>
      <c r="T315" s="121"/>
      <c r="U315" s="121"/>
      <c r="V315" s="121"/>
      <c r="W315" s="121"/>
      <c r="X315" s="121"/>
      <c r="Y315" s="121"/>
      <c r="Z315" s="121"/>
    </row>
    <row r="316" customFormat="false" ht="15.75" hidden="false" customHeight="false" outlineLevel="0" collapsed="false">
      <c r="A316" s="121"/>
      <c r="B316" s="121"/>
      <c r="C316" s="121"/>
      <c r="D316" s="121"/>
      <c r="E316" s="121"/>
      <c r="F316" s="121"/>
      <c r="G316" s="121"/>
      <c r="H316" s="121"/>
      <c r="I316" s="121"/>
      <c r="J316" s="121"/>
      <c r="K316" s="121"/>
      <c r="L316" s="121"/>
      <c r="M316" s="121"/>
      <c r="N316" s="121"/>
      <c r="O316" s="121"/>
      <c r="P316" s="121"/>
      <c r="Q316" s="121"/>
      <c r="R316" s="121"/>
      <c r="S316" s="121"/>
      <c r="T316" s="121"/>
      <c r="U316" s="121"/>
      <c r="V316" s="121"/>
      <c r="W316" s="121"/>
      <c r="X316" s="121"/>
      <c r="Y316" s="121"/>
      <c r="Z316" s="121"/>
    </row>
    <row r="317" customFormat="false" ht="15.75" hidden="false" customHeight="false" outlineLevel="0" collapsed="false">
      <c r="A317" s="121"/>
      <c r="B317" s="121"/>
      <c r="C317" s="121"/>
      <c r="D317" s="121"/>
      <c r="E317" s="121"/>
      <c r="F317" s="121"/>
      <c r="G317" s="121"/>
      <c r="H317" s="121"/>
      <c r="I317" s="121"/>
      <c r="J317" s="121"/>
      <c r="K317" s="121"/>
      <c r="L317" s="121"/>
      <c r="M317" s="121"/>
      <c r="N317" s="121"/>
      <c r="O317" s="121"/>
      <c r="P317" s="121"/>
      <c r="Q317" s="121"/>
      <c r="R317" s="121"/>
      <c r="S317" s="121"/>
      <c r="T317" s="121"/>
      <c r="U317" s="121"/>
      <c r="V317" s="121"/>
      <c r="W317" s="121"/>
      <c r="X317" s="121"/>
      <c r="Y317" s="121"/>
      <c r="Z317" s="121"/>
    </row>
    <row r="318" customFormat="false" ht="15.75" hidden="false" customHeight="false" outlineLevel="0" collapsed="false">
      <c r="A318" s="121"/>
      <c r="B318" s="121"/>
      <c r="C318" s="121"/>
      <c r="D318" s="121"/>
      <c r="E318" s="121"/>
      <c r="F318" s="121"/>
      <c r="G318" s="121"/>
      <c r="H318" s="121"/>
      <c r="I318" s="121"/>
      <c r="J318" s="121"/>
      <c r="K318" s="121"/>
      <c r="L318" s="121"/>
      <c r="M318" s="121"/>
      <c r="N318" s="121"/>
      <c r="O318" s="121"/>
      <c r="P318" s="121"/>
      <c r="Q318" s="121"/>
      <c r="R318" s="121"/>
      <c r="S318" s="121"/>
      <c r="T318" s="121"/>
      <c r="U318" s="121"/>
      <c r="V318" s="121"/>
      <c r="W318" s="121"/>
      <c r="X318" s="121"/>
      <c r="Y318" s="121"/>
      <c r="Z318" s="121"/>
    </row>
    <row r="319" customFormat="false" ht="15.75" hidden="false" customHeight="false" outlineLevel="0" collapsed="false">
      <c r="A319" s="121"/>
      <c r="B319" s="121"/>
      <c r="C319" s="121"/>
      <c r="D319" s="121"/>
      <c r="E319" s="121"/>
      <c r="F319" s="121"/>
      <c r="G319" s="121"/>
      <c r="H319" s="121"/>
      <c r="I319" s="121"/>
      <c r="J319" s="121"/>
      <c r="K319" s="121"/>
      <c r="L319" s="121"/>
      <c r="M319" s="121"/>
      <c r="N319" s="121"/>
      <c r="O319" s="121"/>
      <c r="P319" s="121"/>
      <c r="Q319" s="121"/>
      <c r="R319" s="121"/>
      <c r="S319" s="121"/>
      <c r="T319" s="121"/>
      <c r="U319" s="121"/>
      <c r="V319" s="121"/>
      <c r="W319" s="121"/>
      <c r="X319" s="121"/>
      <c r="Y319" s="121"/>
      <c r="Z319" s="121"/>
    </row>
    <row r="320" customFormat="false" ht="15.75" hidden="false" customHeight="false" outlineLevel="0" collapsed="false">
      <c r="A320" s="121"/>
      <c r="B320" s="121"/>
      <c r="C320" s="121"/>
      <c r="D320" s="121"/>
      <c r="E320" s="121"/>
      <c r="F320" s="121"/>
      <c r="G320" s="121"/>
      <c r="H320" s="121"/>
      <c r="I320" s="121"/>
      <c r="J320" s="121"/>
      <c r="K320" s="121"/>
      <c r="L320" s="121"/>
      <c r="M320" s="121"/>
      <c r="N320" s="121"/>
      <c r="O320" s="121"/>
      <c r="P320" s="121"/>
      <c r="Q320" s="121"/>
      <c r="R320" s="121"/>
      <c r="S320" s="121"/>
      <c r="T320" s="121"/>
      <c r="U320" s="121"/>
      <c r="V320" s="121"/>
      <c r="W320" s="121"/>
      <c r="X320" s="121"/>
      <c r="Y320" s="121"/>
      <c r="Z320" s="121"/>
    </row>
    <row r="321" customFormat="false" ht="15.75" hidden="false" customHeight="false" outlineLevel="0" collapsed="false">
      <c r="A321" s="121"/>
      <c r="B321" s="121"/>
      <c r="C321" s="121"/>
      <c r="D321" s="121"/>
      <c r="E321" s="121"/>
      <c r="F321" s="121"/>
      <c r="G321" s="121"/>
      <c r="H321" s="121"/>
      <c r="I321" s="121"/>
      <c r="J321" s="121"/>
      <c r="K321" s="121"/>
      <c r="L321" s="121"/>
      <c r="M321" s="121"/>
      <c r="N321" s="121"/>
      <c r="O321" s="121"/>
      <c r="P321" s="121"/>
      <c r="Q321" s="121"/>
      <c r="R321" s="121"/>
      <c r="S321" s="121"/>
      <c r="T321" s="121"/>
      <c r="U321" s="121"/>
      <c r="V321" s="121"/>
      <c r="W321" s="121"/>
      <c r="X321" s="121"/>
      <c r="Y321" s="121"/>
      <c r="Z321" s="121"/>
    </row>
    <row r="322" customFormat="false" ht="15.75" hidden="false" customHeight="false" outlineLevel="0" collapsed="false">
      <c r="A322" s="121"/>
      <c r="B322" s="121"/>
      <c r="C322" s="121"/>
      <c r="D322" s="121"/>
      <c r="E322" s="121"/>
      <c r="F322" s="121"/>
      <c r="G322" s="121"/>
      <c r="H322" s="121"/>
      <c r="I322" s="121"/>
      <c r="J322" s="121"/>
      <c r="K322" s="121"/>
      <c r="L322" s="121"/>
      <c r="M322" s="121"/>
      <c r="N322" s="121"/>
      <c r="O322" s="121"/>
      <c r="P322" s="121"/>
      <c r="Q322" s="121"/>
      <c r="R322" s="121"/>
      <c r="S322" s="121"/>
      <c r="T322" s="121"/>
      <c r="U322" s="121"/>
      <c r="V322" s="121"/>
      <c r="W322" s="121"/>
      <c r="X322" s="121"/>
      <c r="Y322" s="121"/>
      <c r="Z322" s="121"/>
    </row>
    <row r="323" customFormat="false" ht="15.75" hidden="false" customHeight="false" outlineLevel="0" collapsed="false">
      <c r="A323" s="121"/>
      <c r="B323" s="121"/>
      <c r="C323" s="121"/>
      <c r="D323" s="121"/>
      <c r="E323" s="121"/>
      <c r="F323" s="121"/>
      <c r="G323" s="121"/>
      <c r="H323" s="121"/>
      <c r="I323" s="121"/>
      <c r="J323" s="121"/>
      <c r="K323" s="121"/>
      <c r="L323" s="121"/>
      <c r="M323" s="121"/>
      <c r="N323" s="121"/>
      <c r="O323" s="121"/>
      <c r="P323" s="121"/>
      <c r="Q323" s="121"/>
      <c r="R323" s="121"/>
      <c r="S323" s="121"/>
      <c r="T323" s="121"/>
      <c r="U323" s="121"/>
      <c r="V323" s="121"/>
      <c r="W323" s="121"/>
      <c r="X323" s="121"/>
      <c r="Y323" s="121"/>
      <c r="Z323" s="121"/>
    </row>
    <row r="324" customFormat="false" ht="15.75" hidden="false" customHeight="false" outlineLevel="0" collapsed="false">
      <c r="A324" s="121"/>
      <c r="B324" s="121"/>
      <c r="C324" s="121"/>
      <c r="D324" s="121"/>
      <c r="E324" s="121"/>
      <c r="F324" s="121"/>
      <c r="G324" s="121"/>
      <c r="H324" s="121"/>
      <c r="I324" s="121"/>
      <c r="J324" s="121"/>
      <c r="K324" s="121"/>
      <c r="L324" s="121"/>
      <c r="M324" s="121"/>
      <c r="N324" s="121"/>
      <c r="O324" s="121"/>
      <c r="P324" s="121"/>
      <c r="Q324" s="121"/>
      <c r="R324" s="121"/>
      <c r="S324" s="121"/>
      <c r="T324" s="121"/>
      <c r="U324" s="121"/>
      <c r="V324" s="121"/>
      <c r="W324" s="121"/>
      <c r="X324" s="121"/>
      <c r="Y324" s="121"/>
      <c r="Z324" s="121"/>
    </row>
    <row r="325" customFormat="false" ht="15.75" hidden="false" customHeight="false" outlineLevel="0" collapsed="false">
      <c r="A325" s="121"/>
      <c r="B325" s="121"/>
      <c r="C325" s="121"/>
      <c r="D325" s="121"/>
      <c r="E325" s="121"/>
      <c r="F325" s="121"/>
      <c r="G325" s="121"/>
      <c r="H325" s="121"/>
      <c r="I325" s="121"/>
      <c r="J325" s="121"/>
      <c r="K325" s="121"/>
      <c r="L325" s="121"/>
      <c r="M325" s="121"/>
      <c r="N325" s="121"/>
      <c r="O325" s="121"/>
      <c r="P325" s="121"/>
      <c r="Q325" s="121"/>
      <c r="R325" s="121"/>
      <c r="S325" s="121"/>
      <c r="T325" s="121"/>
      <c r="U325" s="121"/>
      <c r="V325" s="121"/>
      <c r="W325" s="121"/>
      <c r="X325" s="121"/>
      <c r="Y325" s="121"/>
      <c r="Z325" s="121"/>
    </row>
    <row r="326" customFormat="false" ht="15.75" hidden="false" customHeight="false" outlineLevel="0" collapsed="false">
      <c r="A326" s="121"/>
      <c r="B326" s="121"/>
      <c r="C326" s="121"/>
      <c r="D326" s="121"/>
      <c r="E326" s="121"/>
      <c r="F326" s="121"/>
      <c r="G326" s="121"/>
      <c r="H326" s="121"/>
      <c r="I326" s="121"/>
      <c r="J326" s="121"/>
      <c r="K326" s="121"/>
      <c r="L326" s="121"/>
      <c r="M326" s="121"/>
      <c r="N326" s="121"/>
      <c r="O326" s="121"/>
      <c r="P326" s="121"/>
      <c r="Q326" s="121"/>
      <c r="R326" s="121"/>
      <c r="S326" s="121"/>
      <c r="T326" s="121"/>
      <c r="U326" s="121"/>
      <c r="V326" s="121"/>
      <c r="W326" s="121"/>
      <c r="X326" s="121"/>
      <c r="Y326" s="121"/>
      <c r="Z326" s="121"/>
    </row>
    <row r="327" customFormat="false" ht="15.75" hidden="false" customHeight="false" outlineLevel="0" collapsed="false">
      <c r="A327" s="121"/>
      <c r="B327" s="121"/>
      <c r="C327" s="121"/>
      <c r="D327" s="121"/>
      <c r="E327" s="121"/>
      <c r="F327" s="121"/>
      <c r="G327" s="121"/>
      <c r="H327" s="121"/>
      <c r="I327" s="121"/>
      <c r="J327" s="121"/>
      <c r="K327" s="121"/>
      <c r="L327" s="121"/>
      <c r="M327" s="121"/>
      <c r="N327" s="121"/>
      <c r="O327" s="121"/>
      <c r="P327" s="121"/>
      <c r="Q327" s="121"/>
      <c r="R327" s="121"/>
      <c r="S327" s="121"/>
      <c r="T327" s="121"/>
      <c r="U327" s="121"/>
      <c r="V327" s="121"/>
      <c r="W327" s="121"/>
      <c r="X327" s="121"/>
      <c r="Y327" s="121"/>
      <c r="Z327" s="121"/>
    </row>
    <row r="328" customFormat="false" ht="15.75" hidden="false" customHeight="false" outlineLevel="0" collapsed="false">
      <c r="A328" s="121"/>
      <c r="B328" s="121"/>
      <c r="C328" s="121"/>
      <c r="D328" s="121"/>
      <c r="E328" s="121"/>
      <c r="F328" s="121"/>
      <c r="G328" s="121"/>
      <c r="H328" s="121"/>
      <c r="I328" s="121"/>
      <c r="J328" s="121"/>
      <c r="K328" s="121"/>
      <c r="L328" s="121"/>
      <c r="M328" s="121"/>
      <c r="N328" s="121"/>
      <c r="O328" s="121"/>
      <c r="P328" s="121"/>
      <c r="Q328" s="121"/>
      <c r="R328" s="121"/>
      <c r="S328" s="121"/>
      <c r="T328" s="121"/>
      <c r="U328" s="121"/>
      <c r="V328" s="121"/>
      <c r="W328" s="121"/>
      <c r="X328" s="121"/>
      <c r="Y328" s="121"/>
      <c r="Z328" s="121"/>
    </row>
    <row r="329" customFormat="false" ht="15.75" hidden="false" customHeight="false" outlineLevel="0" collapsed="false">
      <c r="A329" s="121"/>
      <c r="B329" s="121"/>
      <c r="C329" s="121"/>
      <c r="D329" s="121"/>
      <c r="E329" s="121"/>
      <c r="F329" s="121"/>
      <c r="G329" s="121"/>
      <c r="H329" s="121"/>
      <c r="I329" s="121"/>
      <c r="J329" s="121"/>
      <c r="K329" s="121"/>
      <c r="L329" s="121"/>
      <c r="M329" s="121"/>
      <c r="N329" s="121"/>
      <c r="O329" s="121"/>
      <c r="P329" s="121"/>
      <c r="Q329" s="121"/>
      <c r="R329" s="121"/>
      <c r="S329" s="121"/>
      <c r="T329" s="121"/>
      <c r="U329" s="121"/>
      <c r="V329" s="121"/>
      <c r="W329" s="121"/>
      <c r="X329" s="121"/>
      <c r="Y329" s="121"/>
      <c r="Z329" s="121"/>
    </row>
    <row r="330" customFormat="false" ht="15.75" hidden="false" customHeight="false" outlineLevel="0" collapsed="false">
      <c r="A330" s="121"/>
      <c r="B330" s="121"/>
      <c r="C330" s="121"/>
      <c r="D330" s="121"/>
      <c r="E330" s="121"/>
      <c r="F330" s="121"/>
      <c r="G330" s="121"/>
      <c r="H330" s="121"/>
      <c r="I330" s="121"/>
      <c r="J330" s="121"/>
      <c r="K330" s="121"/>
      <c r="L330" s="121"/>
      <c r="M330" s="121"/>
      <c r="N330" s="121"/>
      <c r="O330" s="121"/>
      <c r="P330" s="121"/>
      <c r="Q330" s="121"/>
      <c r="R330" s="121"/>
      <c r="S330" s="121"/>
      <c r="T330" s="121"/>
      <c r="U330" s="121"/>
      <c r="V330" s="121"/>
      <c r="W330" s="121"/>
      <c r="X330" s="121"/>
      <c r="Y330" s="121"/>
      <c r="Z330" s="121"/>
    </row>
    <row r="331" customFormat="false" ht="15.75" hidden="false" customHeight="false" outlineLevel="0" collapsed="false">
      <c r="A331" s="121"/>
      <c r="B331" s="121"/>
      <c r="C331" s="121"/>
      <c r="D331" s="121"/>
      <c r="E331" s="121"/>
      <c r="F331" s="121"/>
      <c r="G331" s="121"/>
      <c r="H331" s="121"/>
      <c r="I331" s="121"/>
      <c r="J331" s="121"/>
      <c r="K331" s="121"/>
      <c r="L331" s="121"/>
      <c r="M331" s="121"/>
      <c r="N331" s="121"/>
      <c r="O331" s="121"/>
      <c r="P331" s="121"/>
      <c r="Q331" s="121"/>
      <c r="R331" s="121"/>
      <c r="S331" s="121"/>
      <c r="T331" s="121"/>
      <c r="U331" s="121"/>
      <c r="V331" s="121"/>
      <c r="W331" s="121"/>
      <c r="X331" s="121"/>
      <c r="Y331" s="121"/>
      <c r="Z331" s="121"/>
    </row>
    <row r="332" customFormat="false" ht="15.75" hidden="false" customHeight="false" outlineLevel="0" collapsed="false">
      <c r="A332" s="121"/>
      <c r="B332" s="121"/>
      <c r="C332" s="121"/>
      <c r="D332" s="121"/>
      <c r="E332" s="121"/>
      <c r="F332" s="121"/>
      <c r="G332" s="121"/>
      <c r="H332" s="121"/>
      <c r="I332" s="121"/>
      <c r="J332" s="121"/>
      <c r="K332" s="121"/>
      <c r="L332" s="121"/>
      <c r="M332" s="121"/>
      <c r="N332" s="121"/>
      <c r="O332" s="121"/>
      <c r="P332" s="121"/>
      <c r="Q332" s="121"/>
      <c r="R332" s="121"/>
      <c r="S332" s="121"/>
      <c r="T332" s="121"/>
      <c r="U332" s="121"/>
      <c r="V332" s="121"/>
      <c r="W332" s="121"/>
      <c r="X332" s="121"/>
      <c r="Y332" s="121"/>
      <c r="Z332" s="121"/>
    </row>
    <row r="333" customFormat="false" ht="15.75" hidden="false" customHeight="false" outlineLevel="0" collapsed="false">
      <c r="A333" s="121"/>
      <c r="B333" s="121"/>
      <c r="C333" s="121"/>
      <c r="D333" s="121"/>
      <c r="E333" s="121"/>
      <c r="F333" s="121"/>
      <c r="G333" s="121"/>
      <c r="H333" s="121"/>
      <c r="I333" s="121"/>
      <c r="J333" s="121"/>
      <c r="K333" s="121"/>
      <c r="L333" s="121"/>
      <c r="M333" s="121"/>
      <c r="N333" s="121"/>
      <c r="O333" s="121"/>
      <c r="P333" s="121"/>
      <c r="Q333" s="121"/>
      <c r="R333" s="121"/>
      <c r="S333" s="121"/>
      <c r="T333" s="121"/>
      <c r="U333" s="121"/>
      <c r="V333" s="121"/>
      <c r="W333" s="121"/>
      <c r="X333" s="121"/>
      <c r="Y333" s="121"/>
      <c r="Z333" s="121"/>
    </row>
    <row r="334" customFormat="false" ht="15.75" hidden="false" customHeight="false" outlineLevel="0" collapsed="false">
      <c r="A334" s="121"/>
      <c r="B334" s="121"/>
      <c r="C334" s="121"/>
      <c r="D334" s="121"/>
      <c r="E334" s="121"/>
      <c r="F334" s="121"/>
      <c r="G334" s="121"/>
      <c r="H334" s="121"/>
      <c r="I334" s="121"/>
      <c r="J334" s="121"/>
      <c r="K334" s="121"/>
      <c r="L334" s="121"/>
      <c r="M334" s="121"/>
      <c r="N334" s="121"/>
      <c r="O334" s="121"/>
      <c r="P334" s="121"/>
      <c r="Q334" s="121"/>
      <c r="R334" s="121"/>
      <c r="S334" s="121"/>
      <c r="T334" s="121"/>
      <c r="U334" s="121"/>
      <c r="V334" s="121"/>
      <c r="W334" s="121"/>
      <c r="X334" s="121"/>
      <c r="Y334" s="121"/>
      <c r="Z334" s="121"/>
    </row>
    <row r="335" customFormat="false" ht="15.75" hidden="false" customHeight="false" outlineLevel="0" collapsed="false">
      <c r="A335" s="121"/>
      <c r="B335" s="121"/>
      <c r="C335" s="121"/>
      <c r="D335" s="121"/>
      <c r="E335" s="121"/>
      <c r="F335" s="121"/>
      <c r="G335" s="121"/>
      <c r="H335" s="121"/>
      <c r="I335" s="121"/>
      <c r="J335" s="121"/>
      <c r="K335" s="121"/>
      <c r="L335" s="121"/>
      <c r="M335" s="121"/>
      <c r="N335" s="121"/>
      <c r="O335" s="121"/>
      <c r="P335" s="121"/>
      <c r="Q335" s="121"/>
      <c r="R335" s="121"/>
      <c r="S335" s="121"/>
      <c r="T335" s="121"/>
      <c r="U335" s="121"/>
      <c r="V335" s="121"/>
      <c r="W335" s="121"/>
      <c r="X335" s="121"/>
      <c r="Y335" s="121"/>
      <c r="Z335" s="121"/>
    </row>
    <row r="336" customFormat="false" ht="15.75" hidden="false" customHeight="false" outlineLevel="0" collapsed="false">
      <c r="A336" s="121"/>
      <c r="B336" s="121"/>
      <c r="C336" s="121"/>
      <c r="D336" s="121"/>
      <c r="E336" s="121"/>
      <c r="F336" s="121"/>
      <c r="G336" s="121"/>
      <c r="H336" s="121"/>
      <c r="I336" s="121"/>
      <c r="J336" s="121"/>
      <c r="K336" s="121"/>
      <c r="L336" s="121"/>
      <c r="M336" s="121"/>
      <c r="N336" s="121"/>
      <c r="O336" s="121"/>
      <c r="P336" s="121"/>
      <c r="Q336" s="121"/>
      <c r="R336" s="121"/>
      <c r="S336" s="121"/>
      <c r="T336" s="121"/>
      <c r="U336" s="121"/>
      <c r="V336" s="121"/>
      <c r="W336" s="121"/>
      <c r="X336" s="121"/>
      <c r="Y336" s="121"/>
      <c r="Z336" s="121"/>
    </row>
    <row r="337" customFormat="false" ht="15.75" hidden="false" customHeight="false" outlineLevel="0" collapsed="false">
      <c r="A337" s="121"/>
      <c r="B337" s="121"/>
      <c r="C337" s="121"/>
      <c r="D337" s="121"/>
      <c r="E337" s="121"/>
      <c r="F337" s="121"/>
      <c r="G337" s="121"/>
      <c r="H337" s="121"/>
      <c r="I337" s="121"/>
      <c r="J337" s="121"/>
      <c r="K337" s="121"/>
      <c r="L337" s="121"/>
      <c r="M337" s="121"/>
      <c r="N337" s="121"/>
      <c r="O337" s="121"/>
      <c r="P337" s="121"/>
      <c r="Q337" s="121"/>
      <c r="R337" s="121"/>
      <c r="S337" s="121"/>
      <c r="T337" s="121"/>
      <c r="U337" s="121"/>
      <c r="V337" s="121"/>
      <c r="W337" s="121"/>
      <c r="X337" s="121"/>
      <c r="Y337" s="121"/>
      <c r="Z337" s="121"/>
    </row>
    <row r="338" customFormat="false" ht="15.75" hidden="false" customHeight="false" outlineLevel="0" collapsed="false">
      <c r="A338" s="121"/>
      <c r="B338" s="121"/>
      <c r="C338" s="121"/>
      <c r="D338" s="121"/>
      <c r="E338" s="121"/>
      <c r="F338" s="121"/>
      <c r="G338" s="121"/>
      <c r="H338" s="121"/>
      <c r="I338" s="121"/>
      <c r="J338" s="121"/>
      <c r="K338" s="121"/>
      <c r="L338" s="121"/>
      <c r="M338" s="121"/>
      <c r="N338" s="121"/>
      <c r="O338" s="121"/>
      <c r="P338" s="121"/>
      <c r="Q338" s="121"/>
      <c r="R338" s="121"/>
      <c r="S338" s="121"/>
      <c r="T338" s="121"/>
      <c r="U338" s="121"/>
      <c r="V338" s="121"/>
      <c r="W338" s="121"/>
      <c r="X338" s="121"/>
      <c r="Y338" s="121"/>
      <c r="Z338" s="121"/>
    </row>
    <row r="339" customFormat="false" ht="15.75" hidden="false" customHeight="false" outlineLevel="0" collapsed="false">
      <c r="A339" s="121"/>
      <c r="B339" s="121"/>
      <c r="C339" s="121"/>
      <c r="D339" s="121"/>
      <c r="E339" s="121"/>
      <c r="F339" s="121"/>
      <c r="G339" s="121"/>
      <c r="H339" s="121"/>
      <c r="I339" s="121"/>
      <c r="J339" s="121"/>
      <c r="K339" s="121"/>
      <c r="L339" s="121"/>
      <c r="M339" s="121"/>
      <c r="N339" s="121"/>
      <c r="O339" s="121"/>
      <c r="P339" s="121"/>
      <c r="Q339" s="121"/>
      <c r="R339" s="121"/>
      <c r="S339" s="121"/>
      <c r="T339" s="121"/>
      <c r="U339" s="121"/>
      <c r="V339" s="121"/>
      <c r="W339" s="121"/>
      <c r="X339" s="121"/>
      <c r="Y339" s="121"/>
      <c r="Z339" s="121"/>
    </row>
    <row r="340" customFormat="false" ht="15.75" hidden="false" customHeight="false" outlineLevel="0" collapsed="false">
      <c r="A340" s="121"/>
      <c r="B340" s="121"/>
      <c r="C340" s="121"/>
      <c r="D340" s="121"/>
      <c r="E340" s="121"/>
      <c r="F340" s="121"/>
      <c r="G340" s="121"/>
      <c r="H340" s="121"/>
      <c r="I340" s="121"/>
      <c r="J340" s="121"/>
      <c r="K340" s="121"/>
      <c r="L340" s="121"/>
      <c r="M340" s="121"/>
      <c r="N340" s="121"/>
      <c r="O340" s="121"/>
      <c r="P340" s="121"/>
      <c r="Q340" s="121"/>
      <c r="R340" s="121"/>
      <c r="S340" s="121"/>
      <c r="T340" s="121"/>
      <c r="U340" s="121"/>
      <c r="V340" s="121"/>
      <c r="W340" s="121"/>
      <c r="X340" s="121"/>
      <c r="Y340" s="121"/>
      <c r="Z340" s="121"/>
    </row>
    <row r="341" customFormat="false" ht="15.75" hidden="false" customHeight="false" outlineLevel="0" collapsed="false">
      <c r="A341" s="121"/>
      <c r="B341" s="121"/>
      <c r="C341" s="121"/>
      <c r="D341" s="121"/>
      <c r="E341" s="121"/>
      <c r="F341" s="121"/>
      <c r="G341" s="121"/>
      <c r="H341" s="121"/>
      <c r="I341" s="121"/>
      <c r="J341" s="121"/>
      <c r="K341" s="121"/>
      <c r="L341" s="121"/>
      <c r="M341" s="121"/>
      <c r="N341" s="121"/>
      <c r="O341" s="121"/>
      <c r="P341" s="121"/>
      <c r="Q341" s="121"/>
      <c r="R341" s="121"/>
      <c r="S341" s="121"/>
      <c r="T341" s="121"/>
      <c r="U341" s="121"/>
      <c r="V341" s="121"/>
      <c r="W341" s="121"/>
      <c r="X341" s="121"/>
      <c r="Y341" s="121"/>
      <c r="Z341" s="121"/>
    </row>
    <row r="342" customFormat="false" ht="15.75" hidden="false" customHeight="false" outlineLevel="0" collapsed="false">
      <c r="A342" s="121"/>
      <c r="B342" s="121"/>
      <c r="C342" s="121"/>
      <c r="D342" s="121"/>
      <c r="E342" s="121"/>
      <c r="F342" s="121"/>
      <c r="G342" s="121"/>
      <c r="H342" s="121"/>
      <c r="I342" s="121"/>
      <c r="J342" s="121"/>
      <c r="K342" s="121"/>
      <c r="L342" s="121"/>
      <c r="M342" s="121"/>
      <c r="N342" s="121"/>
      <c r="O342" s="121"/>
      <c r="P342" s="121"/>
      <c r="Q342" s="121"/>
      <c r="R342" s="121"/>
      <c r="S342" s="121"/>
      <c r="T342" s="121"/>
      <c r="U342" s="121"/>
      <c r="V342" s="121"/>
      <c r="W342" s="121"/>
      <c r="X342" s="121"/>
      <c r="Y342" s="121"/>
      <c r="Z342" s="121"/>
    </row>
    <row r="343" customFormat="false" ht="15.75" hidden="false" customHeight="false" outlineLevel="0" collapsed="false">
      <c r="A343" s="121"/>
      <c r="B343" s="121"/>
      <c r="C343" s="121"/>
      <c r="D343" s="121"/>
      <c r="E343" s="121"/>
      <c r="F343" s="121"/>
      <c r="G343" s="121"/>
      <c r="H343" s="121"/>
      <c r="I343" s="121"/>
      <c r="J343" s="121"/>
      <c r="K343" s="121"/>
      <c r="L343" s="121"/>
      <c r="M343" s="121"/>
      <c r="N343" s="121"/>
      <c r="O343" s="121"/>
      <c r="P343" s="121"/>
      <c r="Q343" s="121"/>
      <c r="R343" s="121"/>
      <c r="S343" s="121"/>
      <c r="T343" s="121"/>
      <c r="U343" s="121"/>
      <c r="V343" s="121"/>
      <c r="W343" s="121"/>
      <c r="X343" s="121"/>
      <c r="Y343" s="121"/>
      <c r="Z343" s="121"/>
    </row>
    <row r="344" customFormat="false" ht="15.75" hidden="false" customHeight="false" outlineLevel="0" collapsed="false">
      <c r="A344" s="121"/>
      <c r="B344" s="121"/>
      <c r="C344" s="121"/>
      <c r="D344" s="121"/>
      <c r="E344" s="121"/>
      <c r="F344" s="121"/>
      <c r="G344" s="121"/>
      <c r="H344" s="121"/>
      <c r="I344" s="121"/>
      <c r="J344" s="121"/>
      <c r="K344" s="121"/>
      <c r="L344" s="121"/>
      <c r="M344" s="121"/>
      <c r="N344" s="121"/>
      <c r="O344" s="121"/>
      <c r="P344" s="121"/>
      <c r="Q344" s="121"/>
      <c r="R344" s="121"/>
      <c r="S344" s="121"/>
      <c r="T344" s="121"/>
      <c r="U344" s="121"/>
      <c r="V344" s="121"/>
      <c r="W344" s="121"/>
      <c r="X344" s="121"/>
      <c r="Y344" s="121"/>
      <c r="Z344" s="121"/>
    </row>
    <row r="345" customFormat="false" ht="15.75" hidden="false" customHeight="false" outlineLevel="0" collapsed="false">
      <c r="A345" s="121"/>
      <c r="B345" s="121"/>
      <c r="C345" s="121"/>
      <c r="D345" s="121"/>
      <c r="E345" s="121"/>
      <c r="F345" s="121"/>
      <c r="G345" s="121"/>
      <c r="H345" s="121"/>
      <c r="I345" s="121"/>
      <c r="J345" s="121"/>
      <c r="K345" s="121"/>
      <c r="L345" s="121"/>
      <c r="M345" s="121"/>
      <c r="N345" s="121"/>
      <c r="O345" s="121"/>
      <c r="P345" s="121"/>
      <c r="Q345" s="121"/>
      <c r="R345" s="121"/>
      <c r="S345" s="121"/>
      <c r="T345" s="121"/>
      <c r="U345" s="121"/>
      <c r="V345" s="121"/>
      <c r="W345" s="121"/>
      <c r="X345" s="121"/>
      <c r="Y345" s="121"/>
      <c r="Z345" s="121"/>
    </row>
    <row r="346" customFormat="false" ht="15.75" hidden="false" customHeight="false" outlineLevel="0" collapsed="false">
      <c r="A346" s="121"/>
      <c r="B346" s="121"/>
      <c r="C346" s="121"/>
      <c r="D346" s="121"/>
      <c r="E346" s="121"/>
      <c r="F346" s="121"/>
      <c r="G346" s="121"/>
      <c r="H346" s="121"/>
      <c r="I346" s="121"/>
      <c r="J346" s="121"/>
      <c r="K346" s="121"/>
      <c r="L346" s="121"/>
      <c r="M346" s="121"/>
      <c r="N346" s="121"/>
      <c r="O346" s="121"/>
      <c r="P346" s="121"/>
      <c r="Q346" s="121"/>
      <c r="R346" s="121"/>
      <c r="S346" s="121"/>
      <c r="T346" s="121"/>
      <c r="U346" s="121"/>
      <c r="V346" s="121"/>
      <c r="W346" s="121"/>
      <c r="X346" s="121"/>
      <c r="Y346" s="121"/>
      <c r="Z346" s="121"/>
    </row>
    <row r="347" customFormat="false" ht="15.75" hidden="false" customHeight="false" outlineLevel="0" collapsed="false">
      <c r="A347" s="121"/>
      <c r="B347" s="121"/>
      <c r="C347" s="121"/>
      <c r="D347" s="121"/>
      <c r="E347" s="121"/>
      <c r="F347" s="121"/>
      <c r="G347" s="121"/>
      <c r="H347" s="121"/>
      <c r="I347" s="121"/>
      <c r="J347" s="121"/>
      <c r="K347" s="121"/>
      <c r="L347" s="121"/>
      <c r="M347" s="121"/>
      <c r="N347" s="121"/>
      <c r="O347" s="121"/>
      <c r="P347" s="121"/>
      <c r="Q347" s="121"/>
      <c r="R347" s="121"/>
      <c r="S347" s="121"/>
      <c r="T347" s="121"/>
      <c r="U347" s="121"/>
      <c r="V347" s="121"/>
      <c r="W347" s="121"/>
      <c r="X347" s="121"/>
      <c r="Y347" s="121"/>
      <c r="Z347" s="121"/>
    </row>
    <row r="348" customFormat="false" ht="15.75" hidden="false" customHeight="false" outlineLevel="0" collapsed="false">
      <c r="A348" s="121"/>
      <c r="B348" s="121"/>
      <c r="C348" s="121"/>
      <c r="D348" s="121"/>
      <c r="E348" s="121"/>
      <c r="F348" s="121"/>
      <c r="G348" s="121"/>
      <c r="H348" s="121"/>
      <c r="I348" s="121"/>
      <c r="J348" s="121"/>
      <c r="K348" s="121"/>
      <c r="L348" s="121"/>
      <c r="M348" s="121"/>
      <c r="N348" s="121"/>
      <c r="O348" s="121"/>
      <c r="P348" s="121"/>
      <c r="Q348" s="121"/>
      <c r="R348" s="121"/>
      <c r="S348" s="121"/>
      <c r="T348" s="121"/>
      <c r="U348" s="121"/>
      <c r="V348" s="121"/>
      <c r="W348" s="121"/>
      <c r="X348" s="121"/>
      <c r="Y348" s="121"/>
      <c r="Z348" s="121"/>
    </row>
    <row r="349" customFormat="false" ht="15.75" hidden="false" customHeight="false" outlineLevel="0" collapsed="false">
      <c r="A349" s="121"/>
      <c r="B349" s="121"/>
      <c r="C349" s="121"/>
      <c r="D349" s="121"/>
      <c r="E349" s="121"/>
      <c r="F349" s="121"/>
      <c r="G349" s="121"/>
      <c r="H349" s="121"/>
      <c r="I349" s="121"/>
      <c r="J349" s="121"/>
      <c r="K349" s="121"/>
      <c r="L349" s="121"/>
      <c r="M349" s="121"/>
      <c r="N349" s="121"/>
      <c r="O349" s="121"/>
      <c r="P349" s="121"/>
      <c r="Q349" s="121"/>
      <c r="R349" s="121"/>
      <c r="S349" s="121"/>
      <c r="T349" s="121"/>
      <c r="U349" s="121"/>
      <c r="V349" s="121"/>
      <c r="W349" s="121"/>
      <c r="X349" s="121"/>
      <c r="Y349" s="121"/>
      <c r="Z349" s="121"/>
    </row>
    <row r="350" customFormat="false" ht="15.75" hidden="false" customHeight="false" outlineLevel="0" collapsed="false">
      <c r="A350" s="121"/>
      <c r="B350" s="121"/>
      <c r="C350" s="121"/>
      <c r="D350" s="121"/>
      <c r="E350" s="121"/>
      <c r="F350" s="121"/>
      <c r="G350" s="121"/>
      <c r="H350" s="121"/>
      <c r="I350" s="121"/>
      <c r="J350" s="121"/>
      <c r="K350" s="121"/>
      <c r="L350" s="121"/>
      <c r="M350" s="121"/>
      <c r="N350" s="121"/>
      <c r="O350" s="121"/>
      <c r="P350" s="121"/>
      <c r="Q350" s="121"/>
      <c r="R350" s="121"/>
      <c r="S350" s="121"/>
      <c r="T350" s="121"/>
      <c r="U350" s="121"/>
      <c r="V350" s="121"/>
      <c r="W350" s="121"/>
      <c r="X350" s="121"/>
      <c r="Y350" s="121"/>
      <c r="Z350" s="121"/>
    </row>
    <row r="351" customFormat="false" ht="15.75" hidden="false" customHeight="false" outlineLevel="0" collapsed="false">
      <c r="A351" s="121"/>
      <c r="B351" s="121"/>
      <c r="C351" s="121"/>
      <c r="D351" s="121"/>
      <c r="E351" s="121"/>
      <c r="F351" s="121"/>
      <c r="G351" s="121"/>
      <c r="H351" s="121"/>
      <c r="I351" s="121"/>
      <c r="J351" s="121"/>
      <c r="K351" s="121"/>
      <c r="L351" s="121"/>
      <c r="M351" s="121"/>
      <c r="N351" s="121"/>
      <c r="O351" s="121"/>
      <c r="P351" s="121"/>
      <c r="Q351" s="121"/>
      <c r="R351" s="121"/>
      <c r="S351" s="121"/>
      <c r="T351" s="121"/>
      <c r="U351" s="121"/>
      <c r="V351" s="121"/>
      <c r="W351" s="121"/>
      <c r="X351" s="121"/>
      <c r="Y351" s="121"/>
      <c r="Z351" s="121"/>
    </row>
    <row r="352" customFormat="false" ht="15.75" hidden="false" customHeight="false" outlineLevel="0" collapsed="false">
      <c r="A352" s="121"/>
      <c r="B352" s="121"/>
      <c r="C352" s="121"/>
      <c r="D352" s="121"/>
      <c r="E352" s="121"/>
      <c r="F352" s="121"/>
      <c r="G352" s="121"/>
      <c r="H352" s="121"/>
      <c r="I352" s="121"/>
      <c r="J352" s="121"/>
      <c r="K352" s="121"/>
      <c r="L352" s="121"/>
      <c r="M352" s="121"/>
      <c r="N352" s="121"/>
      <c r="O352" s="121"/>
      <c r="P352" s="121"/>
      <c r="Q352" s="121"/>
      <c r="R352" s="121"/>
      <c r="S352" s="121"/>
      <c r="T352" s="121"/>
      <c r="U352" s="121"/>
      <c r="V352" s="121"/>
      <c r="W352" s="121"/>
      <c r="X352" s="121"/>
      <c r="Y352" s="121"/>
      <c r="Z352" s="121"/>
    </row>
    <row r="353" customFormat="false" ht="15.75" hidden="false" customHeight="false" outlineLevel="0" collapsed="false">
      <c r="A353" s="121"/>
      <c r="B353" s="121"/>
      <c r="C353" s="121"/>
      <c r="D353" s="121"/>
      <c r="E353" s="121"/>
      <c r="F353" s="121"/>
      <c r="G353" s="121"/>
      <c r="H353" s="121"/>
      <c r="I353" s="121"/>
      <c r="J353" s="121"/>
      <c r="K353" s="121"/>
      <c r="L353" s="121"/>
      <c r="M353" s="121"/>
      <c r="N353" s="121"/>
      <c r="O353" s="121"/>
      <c r="P353" s="121"/>
      <c r="Q353" s="121"/>
      <c r="R353" s="121"/>
      <c r="S353" s="121"/>
      <c r="T353" s="121"/>
      <c r="U353" s="121"/>
      <c r="V353" s="121"/>
      <c r="W353" s="121"/>
      <c r="X353" s="121"/>
      <c r="Y353" s="121"/>
      <c r="Z353" s="121"/>
    </row>
    <row r="354" customFormat="false" ht="15.75" hidden="false" customHeight="false" outlineLevel="0" collapsed="false">
      <c r="A354" s="121"/>
      <c r="B354" s="121"/>
      <c r="C354" s="121"/>
      <c r="D354" s="121"/>
      <c r="E354" s="121"/>
      <c r="F354" s="121"/>
      <c r="G354" s="121"/>
      <c r="H354" s="121"/>
      <c r="I354" s="121"/>
      <c r="J354" s="121"/>
      <c r="K354" s="121"/>
      <c r="L354" s="121"/>
      <c r="M354" s="121"/>
      <c r="N354" s="121"/>
      <c r="O354" s="121"/>
      <c r="P354" s="121"/>
      <c r="Q354" s="121"/>
      <c r="R354" s="121"/>
      <c r="S354" s="121"/>
      <c r="T354" s="121"/>
      <c r="U354" s="121"/>
      <c r="V354" s="121"/>
      <c r="W354" s="121"/>
      <c r="X354" s="121"/>
      <c r="Y354" s="121"/>
      <c r="Z354" s="121"/>
    </row>
    <row r="355" customFormat="false" ht="15.75" hidden="false" customHeight="false" outlineLevel="0" collapsed="false">
      <c r="A355" s="121"/>
      <c r="B355" s="121"/>
      <c r="C355" s="121"/>
      <c r="D355" s="121"/>
      <c r="E355" s="121"/>
      <c r="F355" s="121"/>
      <c r="G355" s="121"/>
      <c r="H355" s="121"/>
      <c r="I355" s="121"/>
      <c r="J355" s="121"/>
      <c r="K355" s="121"/>
      <c r="L355" s="121"/>
      <c r="M355" s="121"/>
      <c r="N355" s="121"/>
      <c r="O355" s="121"/>
      <c r="P355" s="121"/>
      <c r="Q355" s="121"/>
      <c r="R355" s="121"/>
      <c r="S355" s="121"/>
      <c r="T355" s="121"/>
      <c r="U355" s="121"/>
      <c r="V355" s="121"/>
      <c r="W355" s="121"/>
      <c r="X355" s="121"/>
      <c r="Y355" s="121"/>
      <c r="Z355" s="121"/>
    </row>
    <row r="356" customFormat="false" ht="15.75" hidden="false" customHeight="false" outlineLevel="0" collapsed="false">
      <c r="A356" s="121"/>
      <c r="B356" s="121"/>
      <c r="C356" s="121"/>
      <c r="D356" s="121"/>
      <c r="E356" s="121"/>
      <c r="F356" s="121"/>
      <c r="G356" s="121"/>
      <c r="H356" s="121"/>
      <c r="I356" s="121"/>
      <c r="J356" s="121"/>
      <c r="K356" s="121"/>
      <c r="L356" s="121"/>
      <c r="M356" s="121"/>
      <c r="N356" s="121"/>
      <c r="O356" s="121"/>
      <c r="P356" s="121"/>
      <c r="Q356" s="121"/>
      <c r="R356" s="121"/>
      <c r="S356" s="121"/>
      <c r="T356" s="121"/>
      <c r="U356" s="121"/>
      <c r="V356" s="121"/>
      <c r="W356" s="121"/>
      <c r="X356" s="121"/>
      <c r="Y356" s="121"/>
      <c r="Z356" s="121"/>
    </row>
    <row r="357" customFormat="false" ht="15.75" hidden="false" customHeight="false" outlineLevel="0" collapsed="false">
      <c r="A357" s="121"/>
      <c r="B357" s="121"/>
      <c r="C357" s="121"/>
      <c r="D357" s="121"/>
      <c r="E357" s="121"/>
      <c r="F357" s="121"/>
      <c r="G357" s="121"/>
      <c r="H357" s="121"/>
      <c r="I357" s="121"/>
      <c r="J357" s="121"/>
      <c r="K357" s="121"/>
      <c r="L357" s="121"/>
      <c r="M357" s="121"/>
      <c r="N357" s="121"/>
      <c r="O357" s="121"/>
      <c r="P357" s="121"/>
      <c r="Q357" s="121"/>
      <c r="R357" s="121"/>
      <c r="S357" s="121"/>
      <c r="T357" s="121"/>
      <c r="U357" s="121"/>
      <c r="V357" s="121"/>
      <c r="W357" s="121"/>
      <c r="X357" s="121"/>
      <c r="Y357" s="121"/>
      <c r="Z357" s="121"/>
    </row>
    <row r="358" customFormat="false" ht="15.75" hidden="false" customHeight="false" outlineLevel="0" collapsed="false">
      <c r="A358" s="121"/>
      <c r="B358" s="121"/>
      <c r="C358" s="121"/>
      <c r="D358" s="121"/>
      <c r="E358" s="121"/>
      <c r="F358" s="121"/>
      <c r="G358" s="121"/>
      <c r="H358" s="121"/>
      <c r="I358" s="121"/>
      <c r="J358" s="121"/>
      <c r="K358" s="121"/>
      <c r="L358" s="121"/>
      <c r="M358" s="121"/>
      <c r="N358" s="121"/>
      <c r="O358" s="121"/>
      <c r="P358" s="121"/>
      <c r="Q358" s="121"/>
      <c r="R358" s="121"/>
      <c r="S358" s="121"/>
      <c r="T358" s="121"/>
      <c r="U358" s="121"/>
      <c r="V358" s="121"/>
      <c r="W358" s="121"/>
      <c r="X358" s="121"/>
      <c r="Y358" s="121"/>
      <c r="Z358" s="121"/>
    </row>
    <row r="359" customFormat="false" ht="15.75" hidden="false" customHeight="false" outlineLevel="0" collapsed="false">
      <c r="A359" s="121"/>
      <c r="B359" s="121"/>
      <c r="C359" s="121"/>
      <c r="D359" s="121"/>
      <c r="E359" s="121"/>
      <c r="F359" s="121"/>
      <c r="G359" s="121"/>
      <c r="H359" s="121"/>
      <c r="I359" s="121"/>
      <c r="J359" s="121"/>
      <c r="K359" s="121"/>
      <c r="L359" s="121"/>
      <c r="M359" s="121"/>
      <c r="N359" s="121"/>
      <c r="O359" s="121"/>
      <c r="P359" s="121"/>
      <c r="Q359" s="121"/>
      <c r="R359" s="121"/>
      <c r="S359" s="121"/>
      <c r="T359" s="121"/>
      <c r="U359" s="121"/>
      <c r="V359" s="121"/>
      <c r="W359" s="121"/>
      <c r="X359" s="121"/>
      <c r="Y359" s="121"/>
      <c r="Z359" s="121"/>
    </row>
    <row r="360" customFormat="false" ht="15.75" hidden="false" customHeight="false" outlineLevel="0" collapsed="false">
      <c r="A360" s="121"/>
      <c r="B360" s="121"/>
      <c r="C360" s="121"/>
      <c r="D360" s="121"/>
      <c r="E360" s="121"/>
      <c r="F360" s="121"/>
      <c r="G360" s="121"/>
      <c r="H360" s="121"/>
      <c r="I360" s="121"/>
      <c r="J360" s="121"/>
      <c r="K360" s="121"/>
      <c r="L360" s="121"/>
      <c r="M360" s="121"/>
      <c r="N360" s="121"/>
      <c r="O360" s="121"/>
      <c r="P360" s="121"/>
      <c r="Q360" s="121"/>
      <c r="R360" s="121"/>
      <c r="S360" s="121"/>
      <c r="T360" s="121"/>
      <c r="U360" s="121"/>
      <c r="V360" s="121"/>
      <c r="W360" s="121"/>
      <c r="X360" s="121"/>
      <c r="Y360" s="121"/>
      <c r="Z360" s="121"/>
    </row>
    <row r="361" customFormat="false" ht="15.75" hidden="false" customHeight="false" outlineLevel="0" collapsed="false">
      <c r="A361" s="121"/>
      <c r="B361" s="121"/>
      <c r="C361" s="121"/>
      <c r="D361" s="121"/>
      <c r="E361" s="121"/>
      <c r="F361" s="121"/>
      <c r="G361" s="121"/>
      <c r="H361" s="121"/>
      <c r="I361" s="121"/>
      <c r="J361" s="121"/>
      <c r="K361" s="121"/>
      <c r="L361" s="121"/>
      <c r="M361" s="121"/>
      <c r="N361" s="121"/>
      <c r="O361" s="121"/>
      <c r="P361" s="121"/>
      <c r="Q361" s="121"/>
      <c r="R361" s="121"/>
      <c r="S361" s="121"/>
      <c r="T361" s="121"/>
      <c r="U361" s="121"/>
      <c r="V361" s="121"/>
      <c r="W361" s="121"/>
      <c r="X361" s="121"/>
      <c r="Y361" s="121"/>
      <c r="Z361" s="121"/>
    </row>
    <row r="362" customFormat="false" ht="15.75" hidden="false" customHeight="false" outlineLevel="0" collapsed="false">
      <c r="A362" s="121"/>
      <c r="B362" s="121"/>
      <c r="C362" s="121"/>
      <c r="D362" s="121"/>
      <c r="E362" s="121"/>
      <c r="F362" s="121"/>
      <c r="G362" s="121"/>
      <c r="H362" s="121"/>
      <c r="I362" s="121"/>
      <c r="J362" s="121"/>
      <c r="K362" s="121"/>
      <c r="L362" s="121"/>
      <c r="M362" s="121"/>
      <c r="N362" s="121"/>
      <c r="O362" s="121"/>
      <c r="P362" s="121"/>
      <c r="Q362" s="121"/>
      <c r="R362" s="121"/>
      <c r="S362" s="121"/>
      <c r="T362" s="121"/>
      <c r="U362" s="121"/>
      <c r="V362" s="121"/>
      <c r="W362" s="121"/>
      <c r="X362" s="121"/>
      <c r="Y362" s="121"/>
      <c r="Z362" s="121"/>
    </row>
    <row r="363" customFormat="false" ht="15.75" hidden="false" customHeight="false" outlineLevel="0" collapsed="false">
      <c r="A363" s="121"/>
      <c r="B363" s="121"/>
      <c r="C363" s="121"/>
      <c r="D363" s="121"/>
      <c r="E363" s="121"/>
      <c r="F363" s="121"/>
      <c r="G363" s="121"/>
      <c r="H363" s="121"/>
      <c r="I363" s="121"/>
      <c r="J363" s="121"/>
      <c r="K363" s="121"/>
      <c r="L363" s="121"/>
      <c r="M363" s="121"/>
      <c r="N363" s="121"/>
      <c r="O363" s="121"/>
      <c r="P363" s="121"/>
      <c r="Q363" s="121"/>
      <c r="R363" s="121"/>
      <c r="S363" s="121"/>
      <c r="T363" s="121"/>
      <c r="U363" s="121"/>
      <c r="V363" s="121"/>
      <c r="W363" s="121"/>
      <c r="X363" s="121"/>
      <c r="Y363" s="121"/>
      <c r="Z363" s="121"/>
    </row>
    <row r="364" customFormat="false" ht="15.75" hidden="false" customHeight="false" outlineLevel="0" collapsed="false">
      <c r="A364" s="121"/>
      <c r="B364" s="121"/>
      <c r="C364" s="121"/>
      <c r="D364" s="121"/>
      <c r="E364" s="121"/>
      <c r="F364" s="121"/>
      <c r="G364" s="121"/>
      <c r="H364" s="121"/>
      <c r="I364" s="121"/>
      <c r="J364" s="121"/>
      <c r="K364" s="121"/>
      <c r="L364" s="121"/>
      <c r="M364" s="121"/>
      <c r="N364" s="121"/>
      <c r="O364" s="121"/>
      <c r="P364" s="121"/>
      <c r="Q364" s="121"/>
      <c r="R364" s="121"/>
      <c r="S364" s="121"/>
      <c r="T364" s="121"/>
      <c r="U364" s="121"/>
      <c r="V364" s="121"/>
      <c r="W364" s="121"/>
      <c r="X364" s="121"/>
      <c r="Y364" s="121"/>
      <c r="Z364" s="121"/>
    </row>
    <row r="365" customFormat="false" ht="15.75" hidden="false" customHeight="false" outlineLevel="0" collapsed="false">
      <c r="A365" s="121"/>
      <c r="B365" s="121"/>
      <c r="C365" s="121"/>
      <c r="D365" s="121"/>
      <c r="E365" s="121"/>
      <c r="F365" s="121"/>
      <c r="G365" s="121"/>
      <c r="H365" s="121"/>
      <c r="I365" s="121"/>
      <c r="J365" s="121"/>
      <c r="K365" s="121"/>
      <c r="L365" s="121"/>
      <c r="M365" s="121"/>
      <c r="N365" s="121"/>
      <c r="O365" s="121"/>
      <c r="P365" s="121"/>
      <c r="Q365" s="121"/>
      <c r="R365" s="121"/>
      <c r="S365" s="121"/>
      <c r="T365" s="121"/>
      <c r="U365" s="121"/>
      <c r="V365" s="121"/>
      <c r="W365" s="121"/>
      <c r="X365" s="121"/>
      <c r="Y365" s="121"/>
      <c r="Z365" s="121"/>
    </row>
    <row r="366" customFormat="false" ht="15.75" hidden="false" customHeight="false" outlineLevel="0" collapsed="false">
      <c r="A366" s="121"/>
      <c r="B366" s="121"/>
      <c r="C366" s="121"/>
      <c r="D366" s="121"/>
      <c r="E366" s="121"/>
      <c r="F366" s="121"/>
      <c r="G366" s="121"/>
      <c r="H366" s="121"/>
      <c r="I366" s="121"/>
      <c r="J366" s="121"/>
      <c r="K366" s="121"/>
      <c r="L366" s="121"/>
      <c r="M366" s="121"/>
      <c r="N366" s="121"/>
      <c r="O366" s="121"/>
      <c r="P366" s="121"/>
      <c r="Q366" s="121"/>
      <c r="R366" s="121"/>
      <c r="S366" s="121"/>
      <c r="T366" s="121"/>
      <c r="U366" s="121"/>
      <c r="V366" s="121"/>
      <c r="W366" s="121"/>
      <c r="X366" s="121"/>
      <c r="Y366" s="121"/>
      <c r="Z366" s="121"/>
    </row>
    <row r="367" customFormat="false" ht="15.75" hidden="false" customHeight="false" outlineLevel="0" collapsed="false">
      <c r="A367" s="121"/>
      <c r="B367" s="121"/>
      <c r="C367" s="121"/>
      <c r="D367" s="121"/>
      <c r="E367" s="121"/>
      <c r="F367" s="121"/>
      <c r="G367" s="121"/>
      <c r="H367" s="121"/>
      <c r="I367" s="121"/>
      <c r="J367" s="121"/>
      <c r="K367" s="121"/>
      <c r="L367" s="121"/>
      <c r="M367" s="121"/>
      <c r="N367" s="121"/>
      <c r="O367" s="121"/>
      <c r="P367" s="121"/>
      <c r="Q367" s="121"/>
      <c r="R367" s="121"/>
      <c r="S367" s="121"/>
      <c r="T367" s="121"/>
      <c r="U367" s="121"/>
      <c r="V367" s="121"/>
      <c r="W367" s="121"/>
      <c r="X367" s="121"/>
      <c r="Y367" s="121"/>
      <c r="Z367" s="121"/>
    </row>
    <row r="368" customFormat="false" ht="15.75" hidden="false" customHeight="false" outlineLevel="0" collapsed="false">
      <c r="A368" s="121"/>
      <c r="B368" s="121"/>
      <c r="C368" s="121"/>
      <c r="D368" s="121"/>
      <c r="E368" s="121"/>
      <c r="F368" s="121"/>
      <c r="G368" s="121"/>
      <c r="H368" s="121"/>
      <c r="I368" s="121"/>
      <c r="J368" s="121"/>
      <c r="K368" s="121"/>
      <c r="L368" s="121"/>
      <c r="M368" s="121"/>
      <c r="N368" s="121"/>
      <c r="O368" s="121"/>
      <c r="P368" s="121"/>
      <c r="Q368" s="121"/>
      <c r="R368" s="121"/>
      <c r="S368" s="121"/>
      <c r="T368" s="121"/>
      <c r="U368" s="121"/>
      <c r="V368" s="121"/>
      <c r="W368" s="121"/>
      <c r="X368" s="121"/>
      <c r="Y368" s="121"/>
      <c r="Z368" s="121"/>
    </row>
    <row r="369" customFormat="false" ht="15.75" hidden="false" customHeight="false" outlineLevel="0" collapsed="false">
      <c r="A369" s="121"/>
      <c r="B369" s="121"/>
      <c r="C369" s="121"/>
      <c r="D369" s="121"/>
      <c r="E369" s="121"/>
      <c r="F369" s="121"/>
      <c r="G369" s="121"/>
      <c r="H369" s="121"/>
      <c r="I369" s="121"/>
      <c r="J369" s="121"/>
      <c r="K369" s="121"/>
      <c r="L369" s="121"/>
      <c r="M369" s="121"/>
      <c r="N369" s="121"/>
      <c r="O369" s="121"/>
      <c r="P369" s="121"/>
      <c r="Q369" s="121"/>
      <c r="R369" s="121"/>
      <c r="S369" s="121"/>
      <c r="T369" s="121"/>
      <c r="U369" s="121"/>
      <c r="V369" s="121"/>
      <c r="W369" s="121"/>
      <c r="X369" s="121"/>
      <c r="Y369" s="121"/>
      <c r="Z369" s="121"/>
    </row>
    <row r="370" customFormat="false" ht="15.75" hidden="false" customHeight="false" outlineLevel="0" collapsed="false">
      <c r="A370" s="121"/>
      <c r="B370" s="121"/>
      <c r="C370" s="121"/>
      <c r="D370" s="121"/>
      <c r="E370" s="121"/>
      <c r="F370" s="121"/>
      <c r="G370" s="121"/>
      <c r="H370" s="121"/>
      <c r="I370" s="121"/>
      <c r="J370" s="121"/>
      <c r="K370" s="121"/>
      <c r="L370" s="121"/>
      <c r="M370" s="121"/>
      <c r="N370" s="121"/>
      <c r="O370" s="121"/>
      <c r="P370" s="121"/>
      <c r="Q370" s="121"/>
      <c r="R370" s="121"/>
      <c r="S370" s="121"/>
      <c r="T370" s="121"/>
      <c r="U370" s="121"/>
      <c r="V370" s="121"/>
      <c r="W370" s="121"/>
      <c r="X370" s="121"/>
      <c r="Y370" s="121"/>
      <c r="Z370" s="121"/>
    </row>
    <row r="371" customFormat="false" ht="15.75" hidden="false" customHeight="false" outlineLevel="0" collapsed="false">
      <c r="A371" s="121"/>
      <c r="B371" s="121"/>
      <c r="C371" s="121"/>
      <c r="D371" s="121"/>
      <c r="E371" s="121"/>
      <c r="F371" s="121"/>
      <c r="G371" s="121"/>
      <c r="H371" s="121"/>
      <c r="I371" s="121"/>
      <c r="J371" s="121"/>
      <c r="K371" s="121"/>
      <c r="L371" s="121"/>
      <c r="M371" s="121"/>
      <c r="N371" s="121"/>
      <c r="O371" s="121"/>
      <c r="P371" s="121"/>
      <c r="Q371" s="121"/>
      <c r="R371" s="121"/>
      <c r="S371" s="121"/>
      <c r="T371" s="121"/>
      <c r="U371" s="121"/>
      <c r="V371" s="121"/>
      <c r="W371" s="121"/>
      <c r="X371" s="121"/>
      <c r="Y371" s="121"/>
      <c r="Z371" s="121"/>
    </row>
    <row r="372" customFormat="false" ht="15.75" hidden="false" customHeight="false" outlineLevel="0" collapsed="false">
      <c r="A372" s="121"/>
      <c r="B372" s="121"/>
      <c r="C372" s="121"/>
      <c r="D372" s="121"/>
      <c r="E372" s="121"/>
      <c r="F372" s="121"/>
      <c r="G372" s="121"/>
      <c r="H372" s="121"/>
      <c r="I372" s="121"/>
      <c r="J372" s="121"/>
      <c r="K372" s="121"/>
      <c r="L372" s="121"/>
      <c r="M372" s="121"/>
      <c r="N372" s="121"/>
      <c r="O372" s="121"/>
      <c r="P372" s="121"/>
      <c r="Q372" s="121"/>
      <c r="R372" s="121"/>
      <c r="S372" s="121"/>
      <c r="T372" s="121"/>
      <c r="U372" s="121"/>
      <c r="V372" s="121"/>
      <c r="W372" s="121"/>
      <c r="X372" s="121"/>
      <c r="Y372" s="121"/>
      <c r="Z372" s="121"/>
    </row>
    <row r="373" customFormat="false" ht="15.75" hidden="false" customHeight="false" outlineLevel="0" collapsed="false">
      <c r="A373" s="121"/>
      <c r="B373" s="121"/>
      <c r="C373" s="121"/>
      <c r="D373" s="121"/>
      <c r="E373" s="121"/>
      <c r="F373" s="121"/>
      <c r="G373" s="121"/>
      <c r="H373" s="121"/>
      <c r="I373" s="121"/>
      <c r="J373" s="121"/>
      <c r="K373" s="121"/>
      <c r="L373" s="121"/>
      <c r="M373" s="121"/>
      <c r="N373" s="121"/>
      <c r="O373" s="121"/>
      <c r="P373" s="121"/>
      <c r="Q373" s="121"/>
      <c r="R373" s="121"/>
      <c r="S373" s="121"/>
      <c r="T373" s="121"/>
      <c r="U373" s="121"/>
      <c r="V373" s="121"/>
      <c r="W373" s="121"/>
      <c r="X373" s="121"/>
      <c r="Y373" s="121"/>
      <c r="Z373" s="121"/>
    </row>
    <row r="374" customFormat="false" ht="15.75" hidden="false" customHeight="false" outlineLevel="0" collapsed="false">
      <c r="A374" s="121"/>
      <c r="B374" s="121"/>
      <c r="C374" s="121"/>
      <c r="D374" s="121"/>
      <c r="E374" s="121"/>
      <c r="F374" s="121"/>
      <c r="G374" s="121"/>
      <c r="H374" s="121"/>
      <c r="I374" s="121"/>
      <c r="J374" s="121"/>
      <c r="K374" s="121"/>
      <c r="L374" s="121"/>
      <c r="M374" s="121"/>
      <c r="N374" s="121"/>
      <c r="O374" s="121"/>
      <c r="P374" s="121"/>
      <c r="Q374" s="121"/>
      <c r="R374" s="121"/>
      <c r="S374" s="121"/>
      <c r="T374" s="121"/>
      <c r="U374" s="121"/>
      <c r="V374" s="121"/>
      <c r="W374" s="121"/>
      <c r="X374" s="121"/>
      <c r="Y374" s="121"/>
      <c r="Z374" s="121"/>
    </row>
    <row r="375" customFormat="false" ht="15.75" hidden="false" customHeight="false" outlineLevel="0" collapsed="false">
      <c r="A375" s="121"/>
      <c r="B375" s="121"/>
      <c r="C375" s="121"/>
      <c r="D375" s="121"/>
      <c r="E375" s="121"/>
      <c r="F375" s="121"/>
      <c r="G375" s="121"/>
      <c r="H375" s="121"/>
      <c r="I375" s="121"/>
      <c r="J375" s="121"/>
      <c r="K375" s="121"/>
      <c r="L375" s="121"/>
      <c r="M375" s="121"/>
      <c r="N375" s="121"/>
      <c r="O375" s="121"/>
      <c r="P375" s="121"/>
      <c r="Q375" s="121"/>
      <c r="R375" s="121"/>
      <c r="S375" s="121"/>
      <c r="T375" s="121"/>
      <c r="U375" s="121"/>
      <c r="V375" s="121"/>
      <c r="W375" s="121"/>
      <c r="X375" s="121"/>
      <c r="Y375" s="121"/>
      <c r="Z375" s="121"/>
    </row>
    <row r="376" customFormat="false" ht="15.75" hidden="false" customHeight="false" outlineLevel="0" collapsed="false">
      <c r="A376" s="121"/>
      <c r="B376" s="121"/>
      <c r="C376" s="121"/>
      <c r="D376" s="121"/>
      <c r="E376" s="121"/>
      <c r="F376" s="121"/>
      <c r="G376" s="121"/>
      <c r="H376" s="121"/>
      <c r="I376" s="121"/>
      <c r="J376" s="121"/>
      <c r="K376" s="121"/>
      <c r="L376" s="121"/>
      <c r="M376" s="121"/>
      <c r="N376" s="121"/>
      <c r="O376" s="121"/>
      <c r="P376" s="121"/>
      <c r="Q376" s="121"/>
      <c r="R376" s="121"/>
      <c r="S376" s="121"/>
      <c r="T376" s="121"/>
      <c r="U376" s="121"/>
      <c r="V376" s="121"/>
      <c r="W376" s="121"/>
      <c r="X376" s="121"/>
      <c r="Y376" s="121"/>
      <c r="Z376" s="121"/>
    </row>
    <row r="377" customFormat="false" ht="15.75" hidden="false" customHeight="false" outlineLevel="0" collapsed="false">
      <c r="A377" s="121"/>
      <c r="B377" s="121"/>
      <c r="C377" s="121"/>
      <c r="D377" s="121"/>
      <c r="E377" s="121"/>
      <c r="F377" s="121"/>
      <c r="G377" s="121"/>
      <c r="H377" s="121"/>
      <c r="I377" s="121"/>
      <c r="J377" s="121"/>
      <c r="K377" s="121"/>
      <c r="L377" s="121"/>
      <c r="M377" s="121"/>
      <c r="N377" s="121"/>
      <c r="O377" s="121"/>
      <c r="P377" s="121"/>
      <c r="Q377" s="121"/>
      <c r="R377" s="121"/>
      <c r="S377" s="121"/>
      <c r="T377" s="121"/>
      <c r="U377" s="121"/>
      <c r="V377" s="121"/>
      <c r="W377" s="121"/>
      <c r="X377" s="121"/>
      <c r="Y377" s="121"/>
      <c r="Z377" s="121"/>
    </row>
    <row r="378" customFormat="false" ht="15.75" hidden="false" customHeight="false" outlineLevel="0" collapsed="false">
      <c r="A378" s="121"/>
      <c r="B378" s="121"/>
      <c r="C378" s="121"/>
      <c r="D378" s="121"/>
      <c r="E378" s="121"/>
      <c r="F378" s="121"/>
      <c r="G378" s="121"/>
      <c r="H378" s="121"/>
      <c r="I378" s="121"/>
      <c r="J378" s="121"/>
      <c r="K378" s="121"/>
      <c r="L378" s="121"/>
      <c r="M378" s="121"/>
      <c r="N378" s="121"/>
      <c r="O378" s="121"/>
      <c r="P378" s="121"/>
      <c r="Q378" s="121"/>
      <c r="R378" s="121"/>
      <c r="S378" s="121"/>
      <c r="T378" s="121"/>
      <c r="U378" s="121"/>
      <c r="V378" s="121"/>
      <c r="W378" s="121"/>
      <c r="X378" s="121"/>
      <c r="Y378" s="121"/>
      <c r="Z378" s="121"/>
    </row>
    <row r="379" customFormat="false" ht="15.75" hidden="false" customHeight="false" outlineLevel="0" collapsed="false">
      <c r="A379" s="121"/>
      <c r="B379" s="121"/>
      <c r="C379" s="121"/>
      <c r="D379" s="121"/>
      <c r="E379" s="121"/>
      <c r="F379" s="121"/>
      <c r="G379" s="121"/>
      <c r="H379" s="121"/>
      <c r="I379" s="121"/>
      <c r="J379" s="121"/>
      <c r="K379" s="121"/>
      <c r="L379" s="121"/>
      <c r="M379" s="121"/>
      <c r="N379" s="121"/>
      <c r="O379" s="121"/>
      <c r="P379" s="121"/>
      <c r="Q379" s="121"/>
      <c r="R379" s="121"/>
      <c r="S379" s="121"/>
      <c r="T379" s="121"/>
      <c r="U379" s="121"/>
      <c r="V379" s="121"/>
      <c r="W379" s="121"/>
      <c r="X379" s="121"/>
      <c r="Y379" s="121"/>
      <c r="Z379" s="121"/>
    </row>
    <row r="380" customFormat="false" ht="15.75" hidden="false" customHeight="false" outlineLevel="0" collapsed="false">
      <c r="A380" s="121"/>
      <c r="B380" s="121"/>
      <c r="C380" s="121"/>
      <c r="D380" s="121"/>
      <c r="E380" s="121"/>
      <c r="F380" s="121"/>
      <c r="G380" s="121"/>
      <c r="H380" s="121"/>
      <c r="I380" s="121"/>
      <c r="J380" s="121"/>
      <c r="K380" s="121"/>
      <c r="L380" s="121"/>
      <c r="M380" s="121"/>
      <c r="N380" s="121"/>
      <c r="O380" s="121"/>
      <c r="P380" s="121"/>
      <c r="Q380" s="121"/>
      <c r="R380" s="121"/>
      <c r="S380" s="121"/>
      <c r="T380" s="121"/>
      <c r="U380" s="121"/>
      <c r="V380" s="121"/>
      <c r="W380" s="121"/>
      <c r="X380" s="121"/>
      <c r="Y380" s="121"/>
      <c r="Z380" s="121"/>
    </row>
    <row r="381" customFormat="false" ht="15.75" hidden="false" customHeight="false" outlineLevel="0" collapsed="false">
      <c r="A381" s="121"/>
      <c r="B381" s="121"/>
      <c r="C381" s="121"/>
      <c r="D381" s="121"/>
      <c r="E381" s="121"/>
      <c r="F381" s="121"/>
      <c r="G381" s="121"/>
      <c r="H381" s="121"/>
      <c r="I381" s="121"/>
      <c r="J381" s="121"/>
      <c r="K381" s="121"/>
      <c r="L381" s="121"/>
      <c r="M381" s="121"/>
      <c r="N381" s="121"/>
      <c r="O381" s="121"/>
      <c r="P381" s="121"/>
      <c r="Q381" s="121"/>
      <c r="R381" s="121"/>
      <c r="S381" s="121"/>
      <c r="T381" s="121"/>
      <c r="U381" s="121"/>
      <c r="V381" s="121"/>
      <c r="W381" s="121"/>
      <c r="X381" s="121"/>
      <c r="Y381" s="121"/>
      <c r="Z381" s="121"/>
    </row>
    <row r="382" customFormat="false" ht="15.75" hidden="false" customHeight="false" outlineLevel="0" collapsed="false">
      <c r="A382" s="121"/>
      <c r="B382" s="121"/>
      <c r="C382" s="121"/>
      <c r="D382" s="121"/>
      <c r="E382" s="121"/>
      <c r="F382" s="121"/>
      <c r="G382" s="121"/>
      <c r="H382" s="121"/>
      <c r="I382" s="121"/>
      <c r="J382" s="121"/>
      <c r="K382" s="121"/>
      <c r="L382" s="121"/>
      <c r="M382" s="121"/>
      <c r="N382" s="121"/>
      <c r="O382" s="121"/>
      <c r="P382" s="121"/>
      <c r="Q382" s="121"/>
      <c r="R382" s="121"/>
      <c r="S382" s="121"/>
      <c r="T382" s="121"/>
      <c r="U382" s="121"/>
      <c r="V382" s="121"/>
      <c r="W382" s="121"/>
      <c r="X382" s="121"/>
      <c r="Y382" s="121"/>
      <c r="Z382" s="121"/>
    </row>
    <row r="383" customFormat="false" ht="15.75" hidden="false" customHeight="false" outlineLevel="0" collapsed="false">
      <c r="A383" s="121"/>
      <c r="B383" s="121"/>
      <c r="C383" s="121"/>
      <c r="D383" s="121"/>
      <c r="E383" s="121"/>
      <c r="F383" s="121"/>
      <c r="G383" s="121"/>
      <c r="H383" s="121"/>
      <c r="I383" s="121"/>
      <c r="J383" s="121"/>
      <c r="K383" s="121"/>
      <c r="L383" s="121"/>
      <c r="M383" s="121"/>
      <c r="N383" s="121"/>
      <c r="O383" s="121"/>
      <c r="P383" s="121"/>
      <c r="Q383" s="121"/>
      <c r="R383" s="121"/>
      <c r="S383" s="121"/>
      <c r="T383" s="121"/>
      <c r="U383" s="121"/>
      <c r="V383" s="121"/>
      <c r="W383" s="121"/>
      <c r="X383" s="121"/>
      <c r="Y383" s="121"/>
      <c r="Z383" s="121"/>
    </row>
    <row r="384" customFormat="false" ht="15.75" hidden="false" customHeight="false" outlineLevel="0" collapsed="false">
      <c r="A384" s="121"/>
      <c r="B384" s="121"/>
      <c r="C384" s="121"/>
      <c r="D384" s="121"/>
      <c r="E384" s="121"/>
      <c r="F384" s="121"/>
      <c r="G384" s="121"/>
      <c r="H384" s="121"/>
      <c r="I384" s="121"/>
      <c r="J384" s="121"/>
      <c r="K384" s="121"/>
      <c r="L384" s="121"/>
      <c r="M384" s="121"/>
      <c r="N384" s="121"/>
      <c r="O384" s="121"/>
      <c r="P384" s="121"/>
      <c r="Q384" s="121"/>
      <c r="R384" s="121"/>
      <c r="S384" s="121"/>
      <c r="T384" s="121"/>
      <c r="U384" s="121"/>
      <c r="V384" s="121"/>
      <c r="W384" s="121"/>
      <c r="X384" s="121"/>
      <c r="Y384" s="121"/>
      <c r="Z384" s="121"/>
    </row>
    <row r="385" customFormat="false" ht="15.75" hidden="false" customHeight="false" outlineLevel="0" collapsed="false">
      <c r="A385" s="121"/>
      <c r="B385" s="121"/>
      <c r="C385" s="121"/>
      <c r="D385" s="121"/>
      <c r="E385" s="121"/>
      <c r="F385" s="121"/>
      <c r="G385" s="121"/>
      <c r="H385" s="121"/>
      <c r="I385" s="121"/>
      <c r="J385" s="121"/>
      <c r="K385" s="121"/>
      <c r="L385" s="121"/>
      <c r="M385" s="121"/>
      <c r="N385" s="121"/>
      <c r="O385" s="121"/>
      <c r="P385" s="121"/>
      <c r="Q385" s="121"/>
      <c r="R385" s="121"/>
      <c r="S385" s="121"/>
      <c r="T385" s="121"/>
      <c r="U385" s="121"/>
      <c r="V385" s="121"/>
      <c r="W385" s="121"/>
      <c r="X385" s="121"/>
      <c r="Y385" s="121"/>
      <c r="Z385" s="121"/>
    </row>
    <row r="386" customFormat="false" ht="15.75" hidden="false" customHeight="false" outlineLevel="0" collapsed="false">
      <c r="A386" s="121"/>
      <c r="B386" s="121"/>
      <c r="C386" s="121"/>
      <c r="D386" s="121"/>
      <c r="E386" s="121"/>
      <c r="F386" s="121"/>
      <c r="G386" s="121"/>
      <c r="H386" s="121"/>
      <c r="I386" s="121"/>
      <c r="J386" s="121"/>
      <c r="K386" s="121"/>
      <c r="L386" s="121"/>
      <c r="M386" s="121"/>
      <c r="N386" s="121"/>
      <c r="O386" s="121"/>
      <c r="P386" s="121"/>
      <c r="Q386" s="121"/>
      <c r="R386" s="121"/>
      <c r="S386" s="121"/>
      <c r="T386" s="121"/>
      <c r="U386" s="121"/>
      <c r="V386" s="121"/>
      <c r="W386" s="121"/>
      <c r="X386" s="121"/>
      <c r="Y386" s="121"/>
      <c r="Z386" s="121"/>
    </row>
    <row r="387" customFormat="false" ht="15.75" hidden="false" customHeight="false" outlineLevel="0" collapsed="false">
      <c r="A387" s="121"/>
      <c r="B387" s="121"/>
      <c r="C387" s="121"/>
      <c r="D387" s="121"/>
      <c r="E387" s="121"/>
      <c r="F387" s="121"/>
      <c r="G387" s="121"/>
      <c r="H387" s="121"/>
      <c r="I387" s="121"/>
      <c r="J387" s="121"/>
      <c r="K387" s="121"/>
      <c r="L387" s="121"/>
      <c r="M387" s="121"/>
      <c r="N387" s="121"/>
      <c r="O387" s="121"/>
      <c r="P387" s="121"/>
      <c r="Q387" s="121"/>
      <c r="R387" s="121"/>
      <c r="S387" s="121"/>
      <c r="T387" s="121"/>
      <c r="U387" s="121"/>
      <c r="V387" s="121"/>
      <c r="W387" s="121"/>
      <c r="X387" s="121"/>
      <c r="Y387" s="121"/>
      <c r="Z387" s="121"/>
    </row>
    <row r="388" customFormat="false" ht="15.75" hidden="false" customHeight="false" outlineLevel="0" collapsed="false">
      <c r="A388" s="121"/>
      <c r="B388" s="121"/>
      <c r="C388" s="121"/>
      <c r="D388" s="121"/>
      <c r="E388" s="121"/>
      <c r="F388" s="121"/>
      <c r="G388" s="121"/>
      <c r="H388" s="121"/>
      <c r="I388" s="121"/>
      <c r="J388" s="121"/>
      <c r="K388" s="121"/>
      <c r="L388" s="121"/>
      <c r="M388" s="121"/>
      <c r="N388" s="121"/>
      <c r="O388" s="121"/>
      <c r="P388" s="121"/>
      <c r="Q388" s="121"/>
      <c r="R388" s="121"/>
      <c r="S388" s="121"/>
      <c r="T388" s="121"/>
      <c r="U388" s="121"/>
      <c r="V388" s="121"/>
      <c r="W388" s="121"/>
      <c r="X388" s="121"/>
      <c r="Y388" s="121"/>
      <c r="Z388" s="121"/>
    </row>
    <row r="389" customFormat="false" ht="15.75" hidden="false" customHeight="false" outlineLevel="0" collapsed="false">
      <c r="A389" s="121"/>
      <c r="B389" s="121"/>
      <c r="C389" s="121"/>
      <c r="D389" s="121"/>
      <c r="E389" s="121"/>
      <c r="F389" s="121"/>
      <c r="G389" s="121"/>
      <c r="H389" s="121"/>
      <c r="I389" s="121"/>
      <c r="J389" s="121"/>
      <c r="K389" s="121"/>
      <c r="L389" s="121"/>
      <c r="M389" s="121"/>
      <c r="N389" s="121"/>
      <c r="O389" s="121"/>
      <c r="P389" s="121"/>
      <c r="Q389" s="121"/>
      <c r="R389" s="121"/>
      <c r="S389" s="121"/>
      <c r="T389" s="121"/>
      <c r="U389" s="121"/>
      <c r="V389" s="121"/>
      <c r="W389" s="121"/>
      <c r="X389" s="121"/>
      <c r="Y389" s="121"/>
      <c r="Z389" s="121"/>
    </row>
    <row r="390" customFormat="false" ht="15.75" hidden="false" customHeight="false" outlineLevel="0" collapsed="false">
      <c r="A390" s="121"/>
      <c r="B390" s="121"/>
      <c r="C390" s="121"/>
      <c r="D390" s="121"/>
      <c r="E390" s="121"/>
      <c r="F390" s="121"/>
      <c r="G390" s="121"/>
      <c r="H390" s="121"/>
      <c r="I390" s="121"/>
      <c r="J390" s="121"/>
      <c r="K390" s="121"/>
      <c r="L390" s="121"/>
      <c r="M390" s="121"/>
      <c r="N390" s="121"/>
      <c r="O390" s="121"/>
      <c r="P390" s="121"/>
      <c r="Q390" s="121"/>
      <c r="R390" s="121"/>
      <c r="S390" s="121"/>
      <c r="T390" s="121"/>
      <c r="U390" s="121"/>
      <c r="V390" s="121"/>
      <c r="W390" s="121"/>
      <c r="X390" s="121"/>
      <c r="Y390" s="121"/>
      <c r="Z390" s="121"/>
    </row>
    <row r="391" customFormat="false" ht="15.75" hidden="false" customHeight="false" outlineLevel="0" collapsed="false">
      <c r="A391" s="121"/>
      <c r="B391" s="121"/>
      <c r="C391" s="121"/>
      <c r="D391" s="121"/>
      <c r="E391" s="121"/>
      <c r="F391" s="121"/>
      <c r="G391" s="121"/>
      <c r="H391" s="121"/>
      <c r="I391" s="121"/>
      <c r="J391" s="121"/>
      <c r="K391" s="121"/>
      <c r="L391" s="121"/>
      <c r="M391" s="121"/>
      <c r="N391" s="121"/>
      <c r="O391" s="121"/>
      <c r="P391" s="121"/>
      <c r="Q391" s="121"/>
      <c r="R391" s="121"/>
      <c r="S391" s="121"/>
      <c r="T391" s="121"/>
      <c r="U391" s="121"/>
      <c r="V391" s="121"/>
      <c r="W391" s="121"/>
      <c r="X391" s="121"/>
      <c r="Y391" s="121"/>
      <c r="Z391" s="121"/>
    </row>
    <row r="392" customFormat="false" ht="15.75" hidden="false" customHeight="false" outlineLevel="0" collapsed="false">
      <c r="A392" s="121"/>
      <c r="B392" s="121"/>
      <c r="C392" s="121"/>
      <c r="D392" s="121"/>
      <c r="E392" s="121"/>
      <c r="F392" s="121"/>
      <c r="G392" s="121"/>
      <c r="H392" s="121"/>
      <c r="I392" s="121"/>
      <c r="J392" s="121"/>
      <c r="K392" s="121"/>
      <c r="L392" s="121"/>
      <c r="M392" s="121"/>
      <c r="N392" s="121"/>
      <c r="O392" s="121"/>
      <c r="P392" s="121"/>
      <c r="Q392" s="121"/>
      <c r="R392" s="121"/>
      <c r="S392" s="121"/>
      <c r="T392" s="121"/>
      <c r="U392" s="121"/>
      <c r="V392" s="121"/>
      <c r="W392" s="121"/>
      <c r="X392" s="121"/>
      <c r="Y392" s="121"/>
      <c r="Z392" s="121"/>
    </row>
    <row r="393" customFormat="false" ht="15.75" hidden="false" customHeight="false" outlineLevel="0" collapsed="false">
      <c r="A393" s="121"/>
      <c r="B393" s="121"/>
      <c r="C393" s="121"/>
      <c r="D393" s="121"/>
      <c r="E393" s="121"/>
      <c r="F393" s="121"/>
      <c r="G393" s="121"/>
      <c r="H393" s="121"/>
      <c r="I393" s="121"/>
      <c r="J393" s="121"/>
      <c r="K393" s="121"/>
      <c r="L393" s="121"/>
      <c r="M393" s="121"/>
      <c r="N393" s="121"/>
      <c r="O393" s="121"/>
      <c r="P393" s="121"/>
      <c r="Q393" s="121"/>
      <c r="R393" s="121"/>
      <c r="S393" s="121"/>
      <c r="T393" s="121"/>
      <c r="U393" s="121"/>
      <c r="V393" s="121"/>
      <c r="W393" s="121"/>
      <c r="X393" s="121"/>
      <c r="Y393" s="121"/>
      <c r="Z393" s="121"/>
    </row>
    <row r="394" customFormat="false" ht="15.75" hidden="false" customHeight="false" outlineLevel="0" collapsed="false">
      <c r="A394" s="121"/>
      <c r="B394" s="121"/>
      <c r="C394" s="121"/>
      <c r="D394" s="121"/>
      <c r="E394" s="121"/>
      <c r="F394" s="121"/>
      <c r="G394" s="121"/>
      <c r="H394" s="121"/>
      <c r="I394" s="121"/>
      <c r="J394" s="121"/>
      <c r="K394" s="121"/>
      <c r="L394" s="121"/>
      <c r="M394" s="121"/>
      <c r="N394" s="121"/>
      <c r="O394" s="121"/>
      <c r="P394" s="121"/>
      <c r="Q394" s="121"/>
      <c r="R394" s="121"/>
      <c r="S394" s="121"/>
      <c r="T394" s="121"/>
      <c r="U394" s="121"/>
      <c r="V394" s="121"/>
      <c r="W394" s="121"/>
      <c r="X394" s="121"/>
      <c r="Y394" s="121"/>
      <c r="Z394" s="121"/>
    </row>
    <row r="395" customFormat="false" ht="15.75" hidden="false" customHeight="false" outlineLevel="0" collapsed="false">
      <c r="A395" s="121"/>
      <c r="B395" s="121"/>
      <c r="C395" s="121"/>
      <c r="D395" s="121"/>
      <c r="E395" s="121"/>
      <c r="F395" s="121"/>
      <c r="G395" s="121"/>
      <c r="H395" s="121"/>
      <c r="I395" s="121"/>
      <c r="J395" s="121"/>
      <c r="K395" s="121"/>
      <c r="L395" s="121"/>
      <c r="M395" s="121"/>
      <c r="N395" s="121"/>
      <c r="O395" s="121"/>
      <c r="P395" s="121"/>
      <c r="Q395" s="121"/>
      <c r="R395" s="121"/>
      <c r="S395" s="121"/>
      <c r="T395" s="121"/>
      <c r="U395" s="121"/>
      <c r="V395" s="121"/>
      <c r="W395" s="121"/>
      <c r="X395" s="121"/>
      <c r="Y395" s="121"/>
      <c r="Z395" s="121"/>
    </row>
    <row r="396" customFormat="false" ht="15.75" hidden="false" customHeight="false" outlineLevel="0" collapsed="false">
      <c r="A396" s="121"/>
      <c r="B396" s="121"/>
      <c r="C396" s="121"/>
      <c r="D396" s="121"/>
      <c r="E396" s="121"/>
      <c r="F396" s="121"/>
      <c r="G396" s="121"/>
      <c r="H396" s="121"/>
      <c r="I396" s="121"/>
      <c r="J396" s="121"/>
      <c r="K396" s="121"/>
      <c r="L396" s="121"/>
      <c r="M396" s="121"/>
      <c r="N396" s="121"/>
      <c r="O396" s="121"/>
      <c r="P396" s="121"/>
      <c r="Q396" s="121"/>
      <c r="R396" s="121"/>
      <c r="S396" s="121"/>
      <c r="T396" s="121"/>
      <c r="U396" s="121"/>
      <c r="V396" s="121"/>
      <c r="W396" s="121"/>
      <c r="X396" s="121"/>
      <c r="Y396" s="121"/>
      <c r="Z396" s="121"/>
    </row>
    <row r="397" customFormat="false" ht="15.75" hidden="false" customHeight="false" outlineLevel="0" collapsed="false">
      <c r="A397" s="121"/>
      <c r="B397" s="121"/>
      <c r="C397" s="121"/>
      <c r="D397" s="121"/>
      <c r="E397" s="121"/>
      <c r="F397" s="121"/>
      <c r="G397" s="121"/>
      <c r="H397" s="121"/>
      <c r="I397" s="121"/>
      <c r="J397" s="121"/>
      <c r="K397" s="121"/>
      <c r="L397" s="121"/>
      <c r="M397" s="121"/>
      <c r="N397" s="121"/>
      <c r="O397" s="121"/>
      <c r="P397" s="121"/>
      <c r="Q397" s="121"/>
      <c r="R397" s="121"/>
      <c r="S397" s="121"/>
      <c r="T397" s="121"/>
      <c r="U397" s="121"/>
      <c r="V397" s="121"/>
      <c r="W397" s="121"/>
      <c r="X397" s="121"/>
      <c r="Y397" s="121"/>
      <c r="Z397" s="121"/>
    </row>
    <row r="398" customFormat="false" ht="15.75" hidden="false" customHeight="false" outlineLevel="0" collapsed="false">
      <c r="A398" s="121"/>
      <c r="B398" s="121"/>
      <c r="C398" s="121"/>
      <c r="D398" s="121"/>
      <c r="E398" s="121"/>
      <c r="F398" s="121"/>
      <c r="G398" s="121"/>
      <c r="H398" s="121"/>
      <c r="I398" s="121"/>
      <c r="J398" s="121"/>
      <c r="K398" s="121"/>
      <c r="L398" s="121"/>
      <c r="M398" s="121"/>
      <c r="N398" s="121"/>
      <c r="O398" s="121"/>
      <c r="P398" s="121"/>
      <c r="Q398" s="121"/>
      <c r="R398" s="121"/>
      <c r="S398" s="121"/>
      <c r="T398" s="121"/>
      <c r="U398" s="121"/>
      <c r="V398" s="121"/>
      <c r="W398" s="121"/>
      <c r="X398" s="121"/>
      <c r="Y398" s="121"/>
      <c r="Z398" s="121"/>
    </row>
    <row r="399" customFormat="false" ht="15.75" hidden="false" customHeight="false" outlineLevel="0" collapsed="false">
      <c r="A399" s="121"/>
      <c r="B399" s="121"/>
      <c r="C399" s="121"/>
      <c r="D399" s="121"/>
      <c r="E399" s="121"/>
      <c r="F399" s="121"/>
      <c r="G399" s="121"/>
      <c r="H399" s="121"/>
      <c r="I399" s="121"/>
      <c r="J399" s="121"/>
      <c r="K399" s="121"/>
      <c r="L399" s="121"/>
      <c r="M399" s="121"/>
      <c r="N399" s="121"/>
      <c r="O399" s="121"/>
      <c r="P399" s="121"/>
      <c r="Q399" s="121"/>
      <c r="R399" s="121"/>
      <c r="S399" s="121"/>
      <c r="T399" s="121"/>
      <c r="U399" s="121"/>
      <c r="V399" s="121"/>
      <c r="W399" s="121"/>
      <c r="X399" s="121"/>
      <c r="Y399" s="121"/>
      <c r="Z399" s="121"/>
    </row>
    <row r="400" customFormat="false" ht="15.75" hidden="false" customHeight="false" outlineLevel="0" collapsed="false">
      <c r="A400" s="121"/>
      <c r="B400" s="121"/>
      <c r="C400" s="121"/>
      <c r="D400" s="121"/>
      <c r="E400" s="121"/>
      <c r="F400" s="121"/>
      <c r="G400" s="121"/>
      <c r="H400" s="121"/>
      <c r="I400" s="121"/>
      <c r="J400" s="121"/>
      <c r="K400" s="121"/>
      <c r="L400" s="121"/>
      <c r="M400" s="121"/>
      <c r="N400" s="121"/>
      <c r="O400" s="121"/>
      <c r="P400" s="121"/>
      <c r="Q400" s="121"/>
      <c r="R400" s="121"/>
      <c r="S400" s="121"/>
      <c r="T400" s="121"/>
      <c r="U400" s="121"/>
      <c r="V400" s="121"/>
      <c r="W400" s="121"/>
      <c r="X400" s="121"/>
      <c r="Y400" s="121"/>
      <c r="Z400" s="121"/>
    </row>
    <row r="401" customFormat="false" ht="15.75" hidden="false" customHeight="false" outlineLevel="0" collapsed="false">
      <c r="A401" s="121"/>
      <c r="B401" s="121"/>
      <c r="C401" s="121"/>
      <c r="D401" s="121"/>
      <c r="E401" s="121"/>
      <c r="F401" s="121"/>
      <c r="G401" s="121"/>
      <c r="H401" s="121"/>
      <c r="I401" s="121"/>
      <c r="J401" s="121"/>
      <c r="K401" s="121"/>
      <c r="L401" s="121"/>
      <c r="M401" s="121"/>
      <c r="N401" s="121"/>
      <c r="O401" s="121"/>
      <c r="P401" s="121"/>
      <c r="Q401" s="121"/>
      <c r="R401" s="121"/>
      <c r="S401" s="121"/>
      <c r="T401" s="121"/>
      <c r="U401" s="121"/>
      <c r="V401" s="121"/>
      <c r="W401" s="121"/>
      <c r="X401" s="121"/>
      <c r="Y401" s="121"/>
      <c r="Z401" s="121"/>
    </row>
    <row r="402" customFormat="false" ht="15.75" hidden="false" customHeight="false" outlineLevel="0" collapsed="false">
      <c r="A402" s="121"/>
      <c r="B402" s="121"/>
      <c r="C402" s="121"/>
      <c r="D402" s="121"/>
      <c r="E402" s="121"/>
      <c r="F402" s="121"/>
      <c r="G402" s="121"/>
      <c r="H402" s="121"/>
      <c r="I402" s="121"/>
      <c r="J402" s="121"/>
      <c r="K402" s="121"/>
      <c r="L402" s="121"/>
      <c r="M402" s="121"/>
      <c r="N402" s="121"/>
      <c r="O402" s="121"/>
      <c r="P402" s="121"/>
      <c r="Q402" s="121"/>
      <c r="R402" s="121"/>
      <c r="S402" s="121"/>
      <c r="T402" s="121"/>
      <c r="U402" s="121"/>
      <c r="V402" s="121"/>
      <c r="W402" s="121"/>
      <c r="X402" s="121"/>
      <c r="Y402" s="121"/>
      <c r="Z402" s="121"/>
    </row>
    <row r="403" customFormat="false" ht="15.75" hidden="false" customHeight="false" outlineLevel="0" collapsed="false">
      <c r="A403" s="121"/>
      <c r="B403" s="121"/>
      <c r="C403" s="121"/>
      <c r="D403" s="121"/>
      <c r="E403" s="121"/>
      <c r="F403" s="121"/>
      <c r="G403" s="121"/>
      <c r="H403" s="121"/>
      <c r="I403" s="121"/>
      <c r="J403" s="121"/>
      <c r="K403" s="121"/>
      <c r="L403" s="121"/>
      <c r="M403" s="121"/>
      <c r="N403" s="121"/>
      <c r="O403" s="121"/>
      <c r="P403" s="121"/>
      <c r="Q403" s="121"/>
      <c r="R403" s="121"/>
      <c r="S403" s="121"/>
      <c r="T403" s="121"/>
      <c r="U403" s="121"/>
      <c r="V403" s="121"/>
      <c r="W403" s="121"/>
      <c r="X403" s="121"/>
      <c r="Y403" s="121"/>
      <c r="Z403" s="121"/>
    </row>
    <row r="404" customFormat="false" ht="15.75" hidden="false" customHeight="false" outlineLevel="0" collapsed="false">
      <c r="A404" s="121"/>
      <c r="B404" s="121"/>
      <c r="C404" s="121"/>
      <c r="D404" s="121"/>
      <c r="E404" s="121"/>
      <c r="F404" s="121"/>
      <c r="G404" s="121"/>
      <c r="H404" s="121"/>
      <c r="I404" s="121"/>
      <c r="J404" s="121"/>
      <c r="K404" s="121"/>
      <c r="L404" s="121"/>
      <c r="M404" s="121"/>
      <c r="N404" s="121"/>
      <c r="O404" s="121"/>
      <c r="P404" s="121"/>
      <c r="Q404" s="121"/>
      <c r="R404" s="121"/>
      <c r="S404" s="121"/>
      <c r="T404" s="121"/>
      <c r="U404" s="121"/>
      <c r="V404" s="121"/>
      <c r="W404" s="121"/>
      <c r="X404" s="121"/>
      <c r="Y404" s="121"/>
      <c r="Z404" s="121"/>
    </row>
    <row r="405" customFormat="false" ht="15.75" hidden="false" customHeight="false" outlineLevel="0" collapsed="false">
      <c r="A405" s="121"/>
      <c r="B405" s="121"/>
      <c r="C405" s="121"/>
      <c r="D405" s="121"/>
      <c r="E405" s="121"/>
      <c r="F405" s="121"/>
      <c r="G405" s="121"/>
      <c r="H405" s="121"/>
      <c r="I405" s="121"/>
      <c r="J405" s="121"/>
      <c r="K405" s="121"/>
      <c r="L405" s="121"/>
      <c r="M405" s="121"/>
      <c r="N405" s="121"/>
      <c r="O405" s="121"/>
      <c r="P405" s="121"/>
      <c r="Q405" s="121"/>
      <c r="R405" s="121"/>
      <c r="S405" s="121"/>
      <c r="T405" s="121"/>
      <c r="U405" s="121"/>
      <c r="V405" s="121"/>
      <c r="W405" s="121"/>
      <c r="X405" s="121"/>
      <c r="Y405" s="121"/>
      <c r="Z405" s="121"/>
    </row>
    <row r="406" customFormat="false" ht="15.75" hidden="false" customHeight="false" outlineLevel="0" collapsed="false">
      <c r="A406" s="121"/>
      <c r="B406" s="121"/>
      <c r="C406" s="121"/>
      <c r="D406" s="121"/>
      <c r="E406" s="121"/>
      <c r="F406" s="121"/>
      <c r="G406" s="121"/>
      <c r="H406" s="121"/>
      <c r="I406" s="121"/>
      <c r="J406" s="121"/>
      <c r="K406" s="121"/>
      <c r="L406" s="121"/>
      <c r="M406" s="121"/>
      <c r="N406" s="121"/>
      <c r="O406" s="121"/>
      <c r="P406" s="121"/>
      <c r="Q406" s="121"/>
      <c r="R406" s="121"/>
      <c r="S406" s="121"/>
      <c r="T406" s="121"/>
      <c r="U406" s="121"/>
      <c r="V406" s="121"/>
      <c r="W406" s="121"/>
      <c r="X406" s="121"/>
      <c r="Y406" s="121"/>
      <c r="Z406" s="121"/>
    </row>
    <row r="407" customFormat="false" ht="15.75" hidden="false" customHeight="false" outlineLevel="0" collapsed="false">
      <c r="A407" s="121"/>
      <c r="B407" s="121"/>
      <c r="C407" s="121"/>
      <c r="D407" s="121"/>
      <c r="E407" s="121"/>
      <c r="F407" s="121"/>
      <c r="G407" s="121"/>
      <c r="H407" s="121"/>
      <c r="I407" s="121"/>
      <c r="J407" s="121"/>
      <c r="K407" s="121"/>
      <c r="L407" s="121"/>
      <c r="M407" s="121"/>
      <c r="N407" s="121"/>
      <c r="O407" s="121"/>
      <c r="P407" s="121"/>
      <c r="Q407" s="121"/>
      <c r="R407" s="121"/>
      <c r="S407" s="121"/>
      <c r="T407" s="121"/>
      <c r="U407" s="121"/>
      <c r="V407" s="121"/>
      <c r="W407" s="121"/>
      <c r="X407" s="121"/>
      <c r="Y407" s="121"/>
      <c r="Z407" s="121"/>
    </row>
    <row r="408" customFormat="false" ht="15.75" hidden="false" customHeight="false" outlineLevel="0" collapsed="false">
      <c r="A408" s="121"/>
      <c r="B408" s="121"/>
      <c r="C408" s="121"/>
      <c r="D408" s="121"/>
      <c r="E408" s="121"/>
      <c r="F408" s="121"/>
      <c r="G408" s="121"/>
      <c r="H408" s="121"/>
      <c r="I408" s="121"/>
      <c r="J408" s="121"/>
      <c r="K408" s="121"/>
      <c r="L408" s="121"/>
      <c r="M408" s="121"/>
      <c r="N408" s="121"/>
      <c r="O408" s="121"/>
      <c r="P408" s="121"/>
      <c r="Q408" s="121"/>
      <c r="R408" s="121"/>
      <c r="S408" s="121"/>
      <c r="T408" s="121"/>
      <c r="U408" s="121"/>
      <c r="V408" s="121"/>
      <c r="W408" s="121"/>
      <c r="X408" s="121"/>
      <c r="Y408" s="121"/>
      <c r="Z408" s="121"/>
    </row>
    <row r="409" customFormat="false" ht="15.75" hidden="false" customHeight="false" outlineLevel="0" collapsed="false">
      <c r="A409" s="121"/>
      <c r="B409" s="121"/>
      <c r="C409" s="121"/>
      <c r="D409" s="121"/>
      <c r="E409" s="121"/>
      <c r="F409" s="121"/>
      <c r="G409" s="121"/>
      <c r="H409" s="121"/>
      <c r="I409" s="121"/>
      <c r="J409" s="121"/>
      <c r="K409" s="121"/>
      <c r="L409" s="121"/>
      <c r="M409" s="121"/>
      <c r="N409" s="121"/>
      <c r="O409" s="121"/>
      <c r="P409" s="121"/>
      <c r="Q409" s="121"/>
      <c r="R409" s="121"/>
      <c r="S409" s="121"/>
      <c r="T409" s="121"/>
      <c r="U409" s="121"/>
      <c r="V409" s="121"/>
      <c r="W409" s="121"/>
      <c r="X409" s="121"/>
      <c r="Y409" s="121"/>
      <c r="Z409" s="121"/>
    </row>
    <row r="410" customFormat="false" ht="15.75" hidden="false" customHeight="false" outlineLevel="0" collapsed="false">
      <c r="A410" s="121"/>
      <c r="B410" s="121"/>
      <c r="C410" s="121"/>
      <c r="D410" s="121"/>
      <c r="E410" s="121"/>
      <c r="F410" s="121"/>
      <c r="G410" s="121"/>
      <c r="H410" s="121"/>
      <c r="I410" s="121"/>
      <c r="J410" s="121"/>
      <c r="K410" s="121"/>
      <c r="L410" s="121"/>
      <c r="M410" s="121"/>
      <c r="N410" s="121"/>
      <c r="O410" s="121"/>
      <c r="P410" s="121"/>
      <c r="Q410" s="121"/>
      <c r="R410" s="121"/>
      <c r="S410" s="121"/>
      <c r="T410" s="121"/>
      <c r="U410" s="121"/>
      <c r="V410" s="121"/>
      <c r="W410" s="121"/>
      <c r="X410" s="121"/>
      <c r="Y410" s="121"/>
      <c r="Z410" s="121"/>
    </row>
    <row r="411" customFormat="false" ht="15.75" hidden="false" customHeight="false" outlineLevel="0" collapsed="false">
      <c r="A411" s="121"/>
      <c r="B411" s="121"/>
      <c r="C411" s="121"/>
      <c r="D411" s="121"/>
      <c r="E411" s="121"/>
      <c r="F411" s="121"/>
      <c r="G411" s="121"/>
      <c r="H411" s="121"/>
      <c r="I411" s="121"/>
      <c r="J411" s="121"/>
      <c r="K411" s="121"/>
      <c r="L411" s="121"/>
      <c r="M411" s="121"/>
      <c r="N411" s="121"/>
      <c r="O411" s="121"/>
      <c r="P411" s="121"/>
      <c r="Q411" s="121"/>
      <c r="R411" s="121"/>
      <c r="S411" s="121"/>
      <c r="T411" s="121"/>
      <c r="U411" s="121"/>
      <c r="V411" s="121"/>
      <c r="W411" s="121"/>
      <c r="X411" s="121"/>
      <c r="Y411" s="121"/>
      <c r="Z411" s="121"/>
    </row>
    <row r="412" customFormat="false" ht="15.75" hidden="false" customHeight="false" outlineLevel="0" collapsed="false">
      <c r="A412" s="121"/>
      <c r="B412" s="121"/>
      <c r="C412" s="121"/>
      <c r="D412" s="121"/>
      <c r="E412" s="121"/>
      <c r="F412" s="121"/>
      <c r="G412" s="121"/>
      <c r="H412" s="121"/>
      <c r="I412" s="121"/>
      <c r="J412" s="121"/>
      <c r="K412" s="121"/>
      <c r="L412" s="121"/>
      <c r="M412" s="121"/>
      <c r="N412" s="121"/>
      <c r="O412" s="121"/>
      <c r="P412" s="121"/>
      <c r="Q412" s="121"/>
      <c r="R412" s="121"/>
      <c r="S412" s="121"/>
      <c r="T412" s="121"/>
      <c r="U412" s="121"/>
      <c r="V412" s="121"/>
      <c r="W412" s="121"/>
      <c r="X412" s="121"/>
      <c r="Y412" s="121"/>
      <c r="Z412" s="121"/>
    </row>
    <row r="413" customFormat="false" ht="15.75" hidden="false" customHeight="false" outlineLevel="0" collapsed="false">
      <c r="A413" s="121"/>
      <c r="B413" s="121"/>
      <c r="C413" s="121"/>
      <c r="D413" s="121"/>
      <c r="E413" s="121"/>
      <c r="F413" s="121"/>
      <c r="G413" s="121"/>
      <c r="H413" s="121"/>
      <c r="I413" s="121"/>
      <c r="J413" s="121"/>
      <c r="K413" s="121"/>
      <c r="L413" s="121"/>
      <c r="M413" s="121"/>
      <c r="N413" s="121"/>
      <c r="O413" s="121"/>
      <c r="P413" s="121"/>
      <c r="Q413" s="121"/>
      <c r="R413" s="121"/>
      <c r="S413" s="121"/>
      <c r="T413" s="121"/>
      <c r="U413" s="121"/>
      <c r="V413" s="121"/>
      <c r="W413" s="121"/>
      <c r="X413" s="121"/>
      <c r="Y413" s="121"/>
      <c r="Z413" s="121"/>
    </row>
    <row r="414" customFormat="false" ht="15.75" hidden="false" customHeight="false" outlineLevel="0" collapsed="false">
      <c r="A414" s="121"/>
      <c r="B414" s="121"/>
      <c r="C414" s="121"/>
      <c r="D414" s="121"/>
      <c r="E414" s="121"/>
      <c r="F414" s="121"/>
      <c r="G414" s="121"/>
      <c r="H414" s="121"/>
      <c r="I414" s="121"/>
      <c r="J414" s="121"/>
      <c r="K414" s="121"/>
      <c r="L414" s="121"/>
      <c r="M414" s="121"/>
      <c r="N414" s="121"/>
      <c r="O414" s="121"/>
      <c r="P414" s="121"/>
      <c r="Q414" s="121"/>
      <c r="R414" s="121"/>
      <c r="S414" s="121"/>
      <c r="T414" s="121"/>
      <c r="U414" s="121"/>
      <c r="V414" s="121"/>
      <c r="W414" s="121"/>
      <c r="X414" s="121"/>
      <c r="Y414" s="121"/>
      <c r="Z414" s="121"/>
    </row>
    <row r="415" customFormat="false" ht="15.75" hidden="false" customHeight="false" outlineLevel="0" collapsed="false">
      <c r="A415" s="121"/>
      <c r="B415" s="121"/>
      <c r="C415" s="121"/>
      <c r="D415" s="121"/>
      <c r="E415" s="121"/>
      <c r="F415" s="121"/>
      <c r="G415" s="121"/>
      <c r="H415" s="121"/>
      <c r="I415" s="121"/>
      <c r="J415" s="121"/>
      <c r="K415" s="121"/>
      <c r="L415" s="121"/>
      <c r="M415" s="121"/>
      <c r="N415" s="121"/>
      <c r="O415" s="121"/>
      <c r="P415" s="121"/>
      <c r="Q415" s="121"/>
      <c r="R415" s="121"/>
      <c r="S415" s="121"/>
      <c r="T415" s="121"/>
      <c r="U415" s="121"/>
      <c r="V415" s="121"/>
      <c r="W415" s="121"/>
      <c r="X415" s="121"/>
      <c r="Y415" s="121"/>
      <c r="Z415" s="121"/>
    </row>
    <row r="416" customFormat="false" ht="15.75" hidden="false" customHeight="false" outlineLevel="0" collapsed="false">
      <c r="A416" s="121"/>
      <c r="B416" s="121"/>
      <c r="C416" s="121"/>
      <c r="D416" s="121"/>
      <c r="E416" s="121"/>
      <c r="F416" s="121"/>
      <c r="G416" s="121"/>
      <c r="H416" s="121"/>
      <c r="I416" s="121"/>
      <c r="J416" s="121"/>
      <c r="K416" s="121"/>
      <c r="L416" s="121"/>
      <c r="M416" s="121"/>
      <c r="N416" s="121"/>
      <c r="O416" s="121"/>
      <c r="P416" s="121"/>
      <c r="Q416" s="121"/>
      <c r="R416" s="121"/>
      <c r="S416" s="121"/>
      <c r="T416" s="121"/>
      <c r="U416" s="121"/>
      <c r="V416" s="121"/>
      <c r="W416" s="121"/>
      <c r="X416" s="121"/>
      <c r="Y416" s="121"/>
      <c r="Z416" s="121"/>
    </row>
    <row r="417" customFormat="false" ht="15.75" hidden="false" customHeight="false" outlineLevel="0" collapsed="false">
      <c r="A417" s="121"/>
      <c r="B417" s="121"/>
      <c r="C417" s="121"/>
      <c r="D417" s="121"/>
      <c r="E417" s="121"/>
      <c r="F417" s="121"/>
      <c r="G417" s="121"/>
      <c r="H417" s="121"/>
      <c r="I417" s="121"/>
      <c r="J417" s="121"/>
      <c r="K417" s="121"/>
      <c r="L417" s="121"/>
      <c r="M417" s="121"/>
      <c r="N417" s="121"/>
      <c r="O417" s="121"/>
      <c r="P417" s="121"/>
      <c r="Q417" s="121"/>
      <c r="R417" s="121"/>
      <c r="S417" s="121"/>
      <c r="T417" s="121"/>
      <c r="U417" s="121"/>
      <c r="V417" s="121"/>
      <c r="W417" s="121"/>
      <c r="X417" s="121"/>
      <c r="Y417" s="121"/>
      <c r="Z417" s="121"/>
    </row>
    <row r="418" customFormat="false" ht="15.75" hidden="false" customHeight="false" outlineLevel="0" collapsed="false">
      <c r="A418" s="121"/>
      <c r="B418" s="121"/>
      <c r="C418" s="121"/>
      <c r="D418" s="121"/>
      <c r="E418" s="121"/>
      <c r="F418" s="121"/>
      <c r="G418" s="121"/>
      <c r="H418" s="121"/>
      <c r="I418" s="121"/>
      <c r="J418" s="121"/>
      <c r="K418" s="121"/>
      <c r="L418" s="121"/>
      <c r="M418" s="121"/>
      <c r="N418" s="121"/>
      <c r="O418" s="121"/>
      <c r="P418" s="121"/>
      <c r="Q418" s="121"/>
      <c r="R418" s="121"/>
      <c r="S418" s="121"/>
      <c r="T418" s="121"/>
      <c r="U418" s="121"/>
      <c r="V418" s="121"/>
      <c r="W418" s="121"/>
      <c r="X418" s="121"/>
      <c r="Y418" s="121"/>
      <c r="Z418" s="121"/>
    </row>
    <row r="419" customFormat="false" ht="15.75" hidden="false" customHeight="false" outlineLevel="0" collapsed="false">
      <c r="A419" s="121"/>
      <c r="B419" s="121"/>
      <c r="C419" s="121"/>
      <c r="D419" s="121"/>
      <c r="E419" s="121"/>
      <c r="F419" s="121"/>
      <c r="G419" s="121"/>
      <c r="H419" s="121"/>
      <c r="I419" s="121"/>
      <c r="J419" s="121"/>
      <c r="K419" s="121"/>
      <c r="L419" s="121"/>
      <c r="M419" s="121"/>
      <c r="N419" s="121"/>
      <c r="O419" s="121"/>
      <c r="P419" s="121"/>
      <c r="Q419" s="121"/>
      <c r="R419" s="121"/>
      <c r="S419" s="121"/>
      <c r="T419" s="121"/>
      <c r="U419" s="121"/>
      <c r="V419" s="121"/>
      <c r="W419" s="121"/>
      <c r="X419" s="121"/>
      <c r="Y419" s="121"/>
      <c r="Z419" s="121"/>
    </row>
    <row r="420" customFormat="false" ht="15.75" hidden="false" customHeight="false" outlineLevel="0" collapsed="false">
      <c r="A420" s="121"/>
      <c r="B420" s="121"/>
      <c r="C420" s="121"/>
      <c r="D420" s="121"/>
      <c r="E420" s="121"/>
      <c r="F420" s="121"/>
      <c r="G420" s="121"/>
      <c r="H420" s="121"/>
      <c r="I420" s="121"/>
      <c r="J420" s="121"/>
      <c r="K420" s="121"/>
      <c r="L420" s="121"/>
      <c r="M420" s="121"/>
      <c r="N420" s="121"/>
      <c r="O420" s="121"/>
      <c r="P420" s="121"/>
      <c r="Q420" s="121"/>
      <c r="R420" s="121"/>
      <c r="S420" s="121"/>
      <c r="T420" s="121"/>
      <c r="U420" s="121"/>
      <c r="V420" s="121"/>
      <c r="W420" s="121"/>
      <c r="X420" s="121"/>
      <c r="Y420" s="121"/>
      <c r="Z420" s="121"/>
    </row>
    <row r="421" customFormat="false" ht="15.75" hidden="false" customHeight="false" outlineLevel="0" collapsed="false">
      <c r="A421" s="121"/>
      <c r="B421" s="121"/>
      <c r="C421" s="121"/>
      <c r="D421" s="121"/>
      <c r="E421" s="121"/>
      <c r="F421" s="121"/>
      <c r="G421" s="121"/>
      <c r="H421" s="121"/>
      <c r="I421" s="121"/>
      <c r="J421" s="121"/>
      <c r="K421" s="121"/>
      <c r="L421" s="121"/>
      <c r="M421" s="121"/>
      <c r="N421" s="121"/>
      <c r="O421" s="121"/>
      <c r="P421" s="121"/>
      <c r="Q421" s="121"/>
      <c r="R421" s="121"/>
      <c r="S421" s="121"/>
      <c r="T421" s="121"/>
      <c r="U421" s="121"/>
      <c r="V421" s="121"/>
      <c r="W421" s="121"/>
      <c r="X421" s="121"/>
      <c r="Y421" s="121"/>
      <c r="Z421" s="121"/>
    </row>
    <row r="422" customFormat="false" ht="15.75" hidden="false" customHeight="false" outlineLevel="0" collapsed="false">
      <c r="A422" s="121"/>
      <c r="B422" s="121"/>
      <c r="C422" s="121"/>
      <c r="D422" s="121"/>
      <c r="E422" s="121"/>
      <c r="F422" s="121"/>
      <c r="G422" s="121"/>
      <c r="H422" s="121"/>
      <c r="I422" s="121"/>
      <c r="J422" s="121"/>
      <c r="K422" s="121"/>
      <c r="L422" s="121"/>
      <c r="M422" s="121"/>
      <c r="N422" s="121"/>
      <c r="O422" s="121"/>
      <c r="P422" s="121"/>
      <c r="Q422" s="121"/>
      <c r="R422" s="121"/>
      <c r="S422" s="121"/>
      <c r="T422" s="121"/>
      <c r="U422" s="121"/>
      <c r="V422" s="121"/>
      <c r="W422" s="121"/>
      <c r="X422" s="121"/>
      <c r="Y422" s="121"/>
      <c r="Z422" s="121"/>
    </row>
    <row r="423" customFormat="false" ht="15.75" hidden="false" customHeight="false" outlineLevel="0" collapsed="false">
      <c r="A423" s="121"/>
      <c r="B423" s="121"/>
      <c r="C423" s="121"/>
      <c r="D423" s="121"/>
      <c r="E423" s="121"/>
      <c r="F423" s="121"/>
      <c r="G423" s="121"/>
      <c r="H423" s="121"/>
      <c r="I423" s="121"/>
      <c r="J423" s="121"/>
      <c r="K423" s="121"/>
      <c r="L423" s="121"/>
      <c r="M423" s="121"/>
      <c r="N423" s="121"/>
      <c r="O423" s="121"/>
      <c r="P423" s="121"/>
      <c r="Q423" s="121"/>
      <c r="R423" s="121"/>
      <c r="S423" s="121"/>
      <c r="T423" s="121"/>
      <c r="U423" s="121"/>
      <c r="V423" s="121"/>
      <c r="W423" s="121"/>
      <c r="X423" s="121"/>
      <c r="Y423" s="121"/>
      <c r="Z423" s="121"/>
    </row>
    <row r="424" customFormat="false" ht="15.75" hidden="false" customHeight="false" outlineLevel="0" collapsed="false">
      <c r="A424" s="121"/>
      <c r="B424" s="121"/>
      <c r="C424" s="121"/>
      <c r="D424" s="121"/>
      <c r="E424" s="121"/>
      <c r="F424" s="121"/>
      <c r="G424" s="121"/>
      <c r="H424" s="121"/>
      <c r="I424" s="121"/>
      <c r="J424" s="121"/>
      <c r="K424" s="121"/>
      <c r="L424" s="121"/>
      <c r="M424" s="121"/>
      <c r="N424" s="121"/>
      <c r="O424" s="121"/>
      <c r="P424" s="121"/>
      <c r="Q424" s="121"/>
      <c r="R424" s="121"/>
      <c r="S424" s="121"/>
      <c r="T424" s="121"/>
      <c r="U424" s="121"/>
      <c r="V424" s="121"/>
      <c r="W424" s="121"/>
      <c r="X424" s="121"/>
      <c r="Y424" s="121"/>
      <c r="Z424" s="121"/>
    </row>
    <row r="425" customFormat="false" ht="15.75" hidden="false" customHeight="false" outlineLevel="0" collapsed="false">
      <c r="A425" s="121"/>
      <c r="B425" s="121"/>
      <c r="C425" s="121"/>
      <c r="D425" s="121"/>
      <c r="E425" s="121"/>
      <c r="F425" s="121"/>
      <c r="G425" s="121"/>
      <c r="H425" s="121"/>
      <c r="I425" s="121"/>
      <c r="J425" s="121"/>
      <c r="K425" s="121"/>
      <c r="L425" s="121"/>
      <c r="M425" s="121"/>
      <c r="N425" s="121"/>
      <c r="O425" s="121"/>
      <c r="P425" s="121"/>
      <c r="Q425" s="121"/>
      <c r="R425" s="121"/>
      <c r="S425" s="121"/>
      <c r="T425" s="121"/>
      <c r="U425" s="121"/>
      <c r="V425" s="121"/>
      <c r="W425" s="121"/>
      <c r="X425" s="121"/>
      <c r="Y425" s="121"/>
      <c r="Z425" s="121"/>
    </row>
    <row r="426" customFormat="false" ht="15.75" hidden="false" customHeight="false" outlineLevel="0" collapsed="false">
      <c r="A426" s="121"/>
      <c r="B426" s="121"/>
      <c r="C426" s="121"/>
      <c r="D426" s="121"/>
      <c r="E426" s="121"/>
      <c r="F426" s="121"/>
      <c r="G426" s="121"/>
      <c r="H426" s="121"/>
      <c r="I426" s="121"/>
      <c r="J426" s="121"/>
      <c r="K426" s="121"/>
      <c r="L426" s="121"/>
      <c r="M426" s="121"/>
      <c r="N426" s="121"/>
      <c r="O426" s="121"/>
      <c r="P426" s="121"/>
      <c r="Q426" s="121"/>
      <c r="R426" s="121"/>
      <c r="S426" s="121"/>
      <c r="T426" s="121"/>
      <c r="U426" s="121"/>
      <c r="V426" s="121"/>
      <c r="W426" s="121"/>
      <c r="X426" s="121"/>
      <c r="Y426" s="121"/>
      <c r="Z426" s="121"/>
    </row>
    <row r="427" customFormat="false" ht="15.75" hidden="false" customHeight="false" outlineLevel="0" collapsed="false">
      <c r="A427" s="121"/>
      <c r="B427" s="121"/>
      <c r="C427" s="121"/>
      <c r="D427" s="121"/>
      <c r="E427" s="121"/>
      <c r="F427" s="121"/>
      <c r="G427" s="121"/>
      <c r="H427" s="121"/>
      <c r="I427" s="121"/>
      <c r="J427" s="121"/>
      <c r="K427" s="121"/>
      <c r="L427" s="121"/>
      <c r="M427" s="121"/>
      <c r="N427" s="121"/>
      <c r="O427" s="121"/>
      <c r="P427" s="121"/>
      <c r="Q427" s="121"/>
      <c r="R427" s="121"/>
      <c r="S427" s="121"/>
      <c r="T427" s="121"/>
      <c r="U427" s="121"/>
      <c r="V427" s="121"/>
      <c r="W427" s="121"/>
      <c r="X427" s="121"/>
      <c r="Y427" s="121"/>
      <c r="Z427" s="121"/>
    </row>
    <row r="428" customFormat="false" ht="15.75" hidden="false" customHeight="false" outlineLevel="0" collapsed="false">
      <c r="A428" s="121"/>
      <c r="B428" s="121"/>
      <c r="C428" s="121"/>
      <c r="D428" s="121"/>
      <c r="E428" s="121"/>
      <c r="F428" s="121"/>
      <c r="G428" s="121"/>
      <c r="H428" s="121"/>
      <c r="I428" s="121"/>
      <c r="J428" s="121"/>
      <c r="K428" s="121"/>
      <c r="L428" s="121"/>
      <c r="M428" s="121"/>
      <c r="N428" s="121"/>
      <c r="O428" s="121"/>
      <c r="P428" s="121"/>
      <c r="Q428" s="121"/>
      <c r="R428" s="121"/>
      <c r="S428" s="121"/>
      <c r="T428" s="121"/>
      <c r="U428" s="121"/>
      <c r="V428" s="121"/>
      <c r="W428" s="121"/>
      <c r="X428" s="121"/>
      <c r="Y428" s="121"/>
      <c r="Z428" s="121"/>
    </row>
    <row r="429" customFormat="false" ht="15.75" hidden="false" customHeight="false" outlineLevel="0" collapsed="false">
      <c r="A429" s="121"/>
      <c r="B429" s="121"/>
      <c r="C429" s="121"/>
      <c r="D429" s="121"/>
      <c r="E429" s="121"/>
      <c r="F429" s="121"/>
      <c r="G429" s="121"/>
      <c r="H429" s="121"/>
      <c r="I429" s="121"/>
      <c r="J429" s="121"/>
      <c r="K429" s="121"/>
      <c r="L429" s="121"/>
      <c r="M429" s="121"/>
      <c r="N429" s="121"/>
      <c r="O429" s="121"/>
      <c r="P429" s="121"/>
      <c r="Q429" s="121"/>
      <c r="R429" s="121"/>
      <c r="S429" s="121"/>
      <c r="T429" s="121"/>
      <c r="U429" s="121"/>
      <c r="V429" s="121"/>
      <c r="W429" s="121"/>
      <c r="X429" s="121"/>
      <c r="Y429" s="121"/>
      <c r="Z429" s="121"/>
    </row>
    <row r="430" customFormat="false" ht="15.75" hidden="false" customHeight="false" outlineLevel="0" collapsed="false">
      <c r="A430" s="121"/>
      <c r="B430" s="121"/>
      <c r="C430" s="121"/>
      <c r="D430" s="121"/>
      <c r="E430" s="121"/>
      <c r="F430" s="121"/>
      <c r="G430" s="121"/>
      <c r="H430" s="121"/>
      <c r="I430" s="121"/>
      <c r="J430" s="121"/>
      <c r="K430" s="121"/>
      <c r="L430" s="121"/>
      <c r="M430" s="121"/>
      <c r="N430" s="121"/>
      <c r="O430" s="121"/>
      <c r="P430" s="121"/>
      <c r="Q430" s="121"/>
      <c r="R430" s="121"/>
      <c r="S430" s="121"/>
      <c r="T430" s="121"/>
      <c r="U430" s="121"/>
      <c r="V430" s="121"/>
      <c r="W430" s="121"/>
      <c r="X430" s="121"/>
      <c r="Y430" s="121"/>
      <c r="Z430" s="121"/>
    </row>
    <row r="431" customFormat="false" ht="15.75" hidden="false" customHeight="false" outlineLevel="0" collapsed="false">
      <c r="A431" s="121"/>
      <c r="B431" s="121"/>
      <c r="C431" s="121"/>
      <c r="D431" s="121"/>
      <c r="E431" s="121"/>
      <c r="F431" s="121"/>
      <c r="G431" s="121"/>
      <c r="H431" s="121"/>
      <c r="I431" s="121"/>
      <c r="J431" s="121"/>
      <c r="K431" s="121"/>
      <c r="L431" s="121"/>
      <c r="M431" s="121"/>
      <c r="N431" s="121"/>
      <c r="O431" s="121"/>
      <c r="P431" s="121"/>
      <c r="Q431" s="121"/>
      <c r="R431" s="121"/>
      <c r="S431" s="121"/>
      <c r="T431" s="121"/>
      <c r="U431" s="121"/>
      <c r="V431" s="121"/>
      <c r="W431" s="121"/>
      <c r="X431" s="121"/>
      <c r="Y431" s="121"/>
      <c r="Z431" s="121"/>
    </row>
    <row r="432" customFormat="false" ht="15.75" hidden="false" customHeight="false" outlineLevel="0" collapsed="false">
      <c r="A432" s="121"/>
      <c r="B432" s="121"/>
      <c r="C432" s="121"/>
      <c r="D432" s="121"/>
      <c r="E432" s="121"/>
      <c r="F432" s="121"/>
      <c r="G432" s="121"/>
      <c r="H432" s="121"/>
      <c r="I432" s="121"/>
      <c r="J432" s="121"/>
      <c r="K432" s="121"/>
      <c r="L432" s="121"/>
      <c r="M432" s="121"/>
      <c r="N432" s="121"/>
      <c r="O432" s="121"/>
      <c r="P432" s="121"/>
      <c r="Q432" s="121"/>
      <c r="R432" s="121"/>
      <c r="S432" s="121"/>
      <c r="T432" s="121"/>
      <c r="U432" s="121"/>
      <c r="V432" s="121"/>
      <c r="W432" s="121"/>
      <c r="X432" s="121"/>
      <c r="Y432" s="121"/>
      <c r="Z432" s="121"/>
    </row>
    <row r="433" customFormat="false" ht="15.75" hidden="false" customHeight="false" outlineLevel="0" collapsed="false">
      <c r="A433" s="121"/>
      <c r="B433" s="121"/>
      <c r="C433" s="121"/>
      <c r="D433" s="121"/>
      <c r="E433" s="121"/>
      <c r="F433" s="121"/>
      <c r="G433" s="121"/>
      <c r="H433" s="121"/>
      <c r="I433" s="121"/>
      <c r="J433" s="121"/>
      <c r="K433" s="121"/>
      <c r="L433" s="121"/>
      <c r="M433" s="121"/>
      <c r="N433" s="121"/>
      <c r="O433" s="121"/>
      <c r="P433" s="121"/>
      <c r="Q433" s="121"/>
      <c r="R433" s="121"/>
      <c r="S433" s="121"/>
      <c r="T433" s="121"/>
      <c r="U433" s="121"/>
      <c r="V433" s="121"/>
      <c r="W433" s="121"/>
      <c r="X433" s="121"/>
      <c r="Y433" s="121"/>
      <c r="Z433" s="121"/>
    </row>
    <row r="434" customFormat="false" ht="15.75" hidden="false" customHeight="false" outlineLevel="0" collapsed="false">
      <c r="A434" s="121"/>
      <c r="B434" s="121"/>
      <c r="C434" s="121"/>
      <c r="D434" s="121"/>
      <c r="E434" s="121"/>
      <c r="F434" s="121"/>
      <c r="G434" s="121"/>
      <c r="H434" s="121"/>
      <c r="I434" s="121"/>
      <c r="J434" s="121"/>
      <c r="K434" s="121"/>
      <c r="L434" s="121"/>
      <c r="M434" s="121"/>
      <c r="N434" s="121"/>
      <c r="O434" s="121"/>
      <c r="P434" s="121"/>
      <c r="Q434" s="121"/>
      <c r="R434" s="121"/>
      <c r="S434" s="121"/>
      <c r="T434" s="121"/>
      <c r="U434" s="121"/>
      <c r="V434" s="121"/>
      <c r="W434" s="121"/>
      <c r="X434" s="121"/>
      <c r="Y434" s="121"/>
      <c r="Z434" s="121"/>
    </row>
    <row r="435" customFormat="false" ht="15.75" hidden="false" customHeight="false" outlineLevel="0" collapsed="false">
      <c r="A435" s="121"/>
      <c r="B435" s="121"/>
      <c r="C435" s="121"/>
      <c r="D435" s="121"/>
      <c r="E435" s="121"/>
      <c r="F435" s="121"/>
      <c r="G435" s="121"/>
      <c r="H435" s="121"/>
      <c r="I435" s="121"/>
      <c r="J435" s="121"/>
      <c r="K435" s="121"/>
      <c r="L435" s="121"/>
      <c r="M435" s="121"/>
      <c r="N435" s="121"/>
      <c r="O435" s="121"/>
      <c r="P435" s="121"/>
      <c r="Q435" s="121"/>
      <c r="R435" s="121"/>
      <c r="S435" s="121"/>
      <c r="T435" s="121"/>
      <c r="U435" s="121"/>
      <c r="V435" s="121"/>
      <c r="W435" s="121"/>
      <c r="X435" s="121"/>
      <c r="Y435" s="121"/>
      <c r="Z435" s="121"/>
    </row>
    <row r="436" customFormat="false" ht="15.75" hidden="false" customHeight="false" outlineLevel="0" collapsed="false">
      <c r="A436" s="121"/>
      <c r="B436" s="121"/>
      <c r="C436" s="121"/>
      <c r="D436" s="121"/>
      <c r="E436" s="121"/>
      <c r="F436" s="121"/>
      <c r="G436" s="121"/>
      <c r="H436" s="121"/>
      <c r="I436" s="121"/>
      <c r="J436" s="121"/>
      <c r="K436" s="121"/>
      <c r="L436" s="121"/>
      <c r="M436" s="121"/>
      <c r="N436" s="121"/>
      <c r="O436" s="121"/>
      <c r="P436" s="121"/>
      <c r="Q436" s="121"/>
      <c r="R436" s="121"/>
      <c r="S436" s="121"/>
      <c r="T436" s="121"/>
      <c r="U436" s="121"/>
      <c r="V436" s="121"/>
      <c r="W436" s="121"/>
      <c r="X436" s="121"/>
      <c r="Y436" s="121"/>
      <c r="Z436" s="121"/>
    </row>
    <row r="437" customFormat="false" ht="15.75" hidden="false" customHeight="false" outlineLevel="0" collapsed="false">
      <c r="A437" s="121"/>
      <c r="B437" s="121"/>
      <c r="C437" s="121"/>
      <c r="D437" s="121"/>
      <c r="E437" s="121"/>
      <c r="F437" s="121"/>
      <c r="G437" s="121"/>
      <c r="H437" s="121"/>
      <c r="I437" s="121"/>
      <c r="J437" s="121"/>
      <c r="K437" s="121"/>
      <c r="L437" s="121"/>
      <c r="M437" s="121"/>
      <c r="N437" s="121"/>
      <c r="O437" s="121"/>
      <c r="P437" s="121"/>
      <c r="Q437" s="121"/>
      <c r="R437" s="121"/>
      <c r="S437" s="121"/>
      <c r="T437" s="121"/>
      <c r="U437" s="121"/>
      <c r="V437" s="121"/>
      <c r="W437" s="121"/>
      <c r="X437" s="121"/>
      <c r="Y437" s="121"/>
      <c r="Z437" s="121"/>
    </row>
    <row r="438" customFormat="false" ht="15.75" hidden="false" customHeight="false" outlineLevel="0" collapsed="false">
      <c r="A438" s="121"/>
      <c r="B438" s="121"/>
      <c r="C438" s="121"/>
      <c r="D438" s="121"/>
      <c r="E438" s="121"/>
      <c r="F438" s="121"/>
      <c r="G438" s="121"/>
      <c r="H438" s="121"/>
      <c r="I438" s="121"/>
      <c r="J438" s="121"/>
      <c r="K438" s="121"/>
      <c r="L438" s="121"/>
      <c r="M438" s="121"/>
      <c r="N438" s="121"/>
      <c r="O438" s="121"/>
      <c r="P438" s="121"/>
      <c r="Q438" s="121"/>
      <c r="R438" s="121"/>
      <c r="S438" s="121"/>
      <c r="T438" s="121"/>
      <c r="U438" s="121"/>
      <c r="V438" s="121"/>
      <c r="W438" s="121"/>
      <c r="X438" s="121"/>
      <c r="Y438" s="121"/>
      <c r="Z438" s="121"/>
    </row>
    <row r="439" customFormat="false" ht="15.75" hidden="false" customHeight="false" outlineLevel="0" collapsed="false">
      <c r="A439" s="121"/>
      <c r="B439" s="121"/>
      <c r="C439" s="121"/>
      <c r="D439" s="121"/>
      <c r="E439" s="121"/>
      <c r="F439" s="121"/>
      <c r="G439" s="121"/>
      <c r="H439" s="121"/>
      <c r="I439" s="121"/>
      <c r="J439" s="121"/>
      <c r="K439" s="121"/>
      <c r="L439" s="121"/>
      <c r="M439" s="121"/>
      <c r="N439" s="121"/>
      <c r="O439" s="121"/>
      <c r="P439" s="121"/>
      <c r="Q439" s="121"/>
      <c r="R439" s="121"/>
      <c r="S439" s="121"/>
      <c r="T439" s="121"/>
      <c r="U439" s="121"/>
      <c r="V439" s="121"/>
      <c r="W439" s="121"/>
      <c r="X439" s="121"/>
      <c r="Y439" s="121"/>
      <c r="Z439" s="121"/>
    </row>
    <row r="440" customFormat="false" ht="15.75" hidden="false" customHeight="false" outlineLevel="0" collapsed="false">
      <c r="A440" s="121"/>
      <c r="B440" s="121"/>
      <c r="C440" s="121"/>
      <c r="D440" s="121"/>
      <c r="E440" s="121"/>
      <c r="F440" s="121"/>
      <c r="G440" s="121"/>
      <c r="H440" s="121"/>
      <c r="I440" s="121"/>
      <c r="J440" s="121"/>
      <c r="K440" s="121"/>
      <c r="L440" s="121"/>
      <c r="M440" s="121"/>
      <c r="N440" s="121"/>
      <c r="O440" s="121"/>
      <c r="P440" s="121"/>
      <c r="Q440" s="121"/>
      <c r="R440" s="121"/>
      <c r="S440" s="121"/>
      <c r="T440" s="121"/>
      <c r="U440" s="121"/>
      <c r="V440" s="121"/>
      <c r="W440" s="121"/>
      <c r="X440" s="121"/>
      <c r="Y440" s="121"/>
      <c r="Z440" s="121"/>
    </row>
    <row r="441" customFormat="false" ht="15.75" hidden="false" customHeight="false" outlineLevel="0" collapsed="false">
      <c r="A441" s="121"/>
      <c r="B441" s="121"/>
      <c r="C441" s="121"/>
      <c r="D441" s="121"/>
      <c r="E441" s="121"/>
      <c r="F441" s="121"/>
      <c r="G441" s="121"/>
      <c r="H441" s="121"/>
      <c r="I441" s="121"/>
      <c r="J441" s="121"/>
      <c r="K441" s="121"/>
      <c r="L441" s="121"/>
      <c r="M441" s="121"/>
      <c r="N441" s="121"/>
      <c r="O441" s="121"/>
      <c r="P441" s="121"/>
      <c r="Q441" s="121"/>
      <c r="R441" s="121"/>
      <c r="S441" s="121"/>
      <c r="T441" s="121"/>
      <c r="U441" s="121"/>
      <c r="V441" s="121"/>
      <c r="W441" s="121"/>
      <c r="X441" s="121"/>
      <c r="Y441" s="121"/>
      <c r="Z441" s="121"/>
    </row>
    <row r="442" customFormat="false" ht="15.75" hidden="false" customHeight="false" outlineLevel="0" collapsed="false">
      <c r="A442" s="121"/>
      <c r="B442" s="121"/>
      <c r="C442" s="121"/>
      <c r="D442" s="121"/>
      <c r="E442" s="121"/>
      <c r="F442" s="121"/>
      <c r="G442" s="121"/>
      <c r="H442" s="121"/>
      <c r="I442" s="121"/>
      <c r="J442" s="121"/>
      <c r="K442" s="121"/>
      <c r="L442" s="121"/>
      <c r="M442" s="121"/>
      <c r="N442" s="121"/>
      <c r="O442" s="121"/>
      <c r="P442" s="121"/>
      <c r="Q442" s="121"/>
      <c r="R442" s="121"/>
      <c r="S442" s="121"/>
      <c r="T442" s="121"/>
      <c r="U442" s="121"/>
      <c r="V442" s="121"/>
      <c r="W442" s="121"/>
      <c r="X442" s="121"/>
      <c r="Y442" s="121"/>
      <c r="Z442" s="121"/>
    </row>
    <row r="443" customFormat="false" ht="15.75" hidden="false" customHeight="false" outlineLevel="0" collapsed="false">
      <c r="A443" s="121"/>
      <c r="B443" s="121"/>
      <c r="C443" s="121"/>
      <c r="D443" s="121"/>
      <c r="E443" s="121"/>
      <c r="F443" s="121"/>
      <c r="G443" s="121"/>
      <c r="H443" s="121"/>
      <c r="I443" s="121"/>
      <c r="J443" s="121"/>
      <c r="K443" s="121"/>
      <c r="L443" s="121"/>
      <c r="M443" s="121"/>
      <c r="N443" s="121"/>
      <c r="O443" s="121"/>
      <c r="P443" s="121"/>
      <c r="Q443" s="121"/>
      <c r="R443" s="121"/>
      <c r="S443" s="121"/>
      <c r="T443" s="121"/>
      <c r="U443" s="121"/>
      <c r="V443" s="121"/>
      <c r="W443" s="121"/>
      <c r="X443" s="121"/>
      <c r="Y443" s="121"/>
      <c r="Z443" s="121"/>
    </row>
    <row r="444" customFormat="false" ht="15.75" hidden="false" customHeight="false" outlineLevel="0" collapsed="false">
      <c r="A444" s="121"/>
      <c r="B444" s="121"/>
      <c r="C444" s="121"/>
      <c r="D444" s="121"/>
      <c r="E444" s="121"/>
      <c r="F444" s="121"/>
      <c r="G444" s="121"/>
      <c r="H444" s="121"/>
      <c r="I444" s="121"/>
      <c r="J444" s="121"/>
      <c r="K444" s="121"/>
      <c r="L444" s="121"/>
      <c r="M444" s="121"/>
      <c r="N444" s="121"/>
      <c r="O444" s="121"/>
      <c r="P444" s="121"/>
      <c r="Q444" s="121"/>
      <c r="R444" s="121"/>
      <c r="S444" s="121"/>
      <c r="T444" s="121"/>
      <c r="U444" s="121"/>
      <c r="V444" s="121"/>
      <c r="W444" s="121"/>
      <c r="X444" s="121"/>
      <c r="Y444" s="121"/>
      <c r="Z444" s="121"/>
    </row>
    <row r="445" customFormat="false" ht="15.75" hidden="false" customHeight="false" outlineLevel="0" collapsed="false">
      <c r="A445" s="121"/>
      <c r="B445" s="121"/>
      <c r="C445" s="121"/>
      <c r="D445" s="121"/>
      <c r="E445" s="121"/>
      <c r="F445" s="121"/>
      <c r="G445" s="121"/>
      <c r="H445" s="121"/>
      <c r="I445" s="121"/>
      <c r="J445" s="121"/>
      <c r="K445" s="121"/>
      <c r="L445" s="121"/>
      <c r="M445" s="121"/>
      <c r="N445" s="121"/>
      <c r="O445" s="121"/>
      <c r="P445" s="121"/>
      <c r="Q445" s="121"/>
      <c r="R445" s="121"/>
      <c r="S445" s="121"/>
      <c r="T445" s="121"/>
      <c r="U445" s="121"/>
      <c r="V445" s="121"/>
      <c r="W445" s="121"/>
      <c r="X445" s="121"/>
      <c r="Y445" s="121"/>
      <c r="Z445" s="121"/>
    </row>
    <row r="446" customFormat="false" ht="15.75" hidden="false" customHeight="false" outlineLevel="0" collapsed="false">
      <c r="A446" s="121"/>
      <c r="B446" s="121"/>
      <c r="C446" s="121"/>
      <c r="D446" s="121"/>
      <c r="E446" s="121"/>
      <c r="F446" s="121"/>
      <c r="G446" s="121"/>
      <c r="H446" s="121"/>
      <c r="I446" s="121"/>
      <c r="J446" s="121"/>
      <c r="K446" s="121"/>
      <c r="L446" s="121"/>
      <c r="M446" s="121"/>
      <c r="N446" s="121"/>
      <c r="O446" s="121"/>
      <c r="P446" s="121"/>
      <c r="Q446" s="121"/>
      <c r="R446" s="121"/>
      <c r="S446" s="121"/>
      <c r="T446" s="121"/>
      <c r="U446" s="121"/>
      <c r="V446" s="121"/>
      <c r="W446" s="121"/>
      <c r="X446" s="121"/>
      <c r="Y446" s="121"/>
      <c r="Z446" s="121"/>
    </row>
    <row r="447" customFormat="false" ht="15.75" hidden="false" customHeight="false" outlineLevel="0" collapsed="false">
      <c r="A447" s="121"/>
      <c r="B447" s="121"/>
      <c r="C447" s="121"/>
      <c r="D447" s="121"/>
      <c r="E447" s="121"/>
      <c r="F447" s="121"/>
      <c r="G447" s="121"/>
      <c r="H447" s="121"/>
      <c r="I447" s="121"/>
      <c r="J447" s="121"/>
      <c r="K447" s="121"/>
      <c r="L447" s="121"/>
      <c r="M447" s="121"/>
      <c r="N447" s="121"/>
      <c r="O447" s="121"/>
      <c r="P447" s="121"/>
      <c r="Q447" s="121"/>
      <c r="R447" s="121"/>
      <c r="S447" s="121"/>
      <c r="T447" s="121"/>
      <c r="U447" s="121"/>
      <c r="V447" s="121"/>
      <c r="W447" s="121"/>
      <c r="X447" s="121"/>
      <c r="Y447" s="121"/>
      <c r="Z447" s="121"/>
    </row>
    <row r="448" customFormat="false" ht="15.75" hidden="false" customHeight="false" outlineLevel="0" collapsed="false">
      <c r="A448" s="121"/>
      <c r="B448" s="121"/>
      <c r="C448" s="121"/>
      <c r="D448" s="121"/>
      <c r="E448" s="121"/>
      <c r="F448" s="121"/>
      <c r="G448" s="121"/>
      <c r="H448" s="121"/>
      <c r="I448" s="121"/>
      <c r="J448" s="121"/>
      <c r="K448" s="121"/>
      <c r="L448" s="121"/>
      <c r="M448" s="121"/>
      <c r="N448" s="121"/>
      <c r="O448" s="121"/>
      <c r="P448" s="121"/>
      <c r="Q448" s="121"/>
      <c r="R448" s="121"/>
      <c r="S448" s="121"/>
      <c r="T448" s="121"/>
      <c r="U448" s="121"/>
      <c r="V448" s="121"/>
      <c r="W448" s="121"/>
      <c r="X448" s="121"/>
      <c r="Y448" s="121"/>
      <c r="Z448" s="121"/>
    </row>
    <row r="449" customFormat="false" ht="15.75" hidden="false" customHeight="false" outlineLevel="0" collapsed="false">
      <c r="A449" s="121"/>
      <c r="B449" s="121"/>
      <c r="C449" s="121"/>
      <c r="D449" s="121"/>
      <c r="E449" s="121"/>
      <c r="F449" s="121"/>
      <c r="G449" s="121"/>
      <c r="H449" s="121"/>
      <c r="I449" s="121"/>
      <c r="J449" s="121"/>
      <c r="K449" s="121"/>
      <c r="L449" s="121"/>
      <c r="M449" s="121"/>
      <c r="N449" s="121"/>
      <c r="O449" s="121"/>
      <c r="P449" s="121"/>
      <c r="Q449" s="121"/>
      <c r="R449" s="121"/>
      <c r="S449" s="121"/>
      <c r="T449" s="121"/>
      <c r="U449" s="121"/>
      <c r="V449" s="121"/>
      <c r="W449" s="121"/>
      <c r="X449" s="121"/>
      <c r="Y449" s="121"/>
      <c r="Z449" s="121"/>
    </row>
    <row r="450" customFormat="false" ht="15.75" hidden="false" customHeight="false" outlineLevel="0" collapsed="false">
      <c r="A450" s="121"/>
      <c r="B450" s="121"/>
      <c r="C450" s="121"/>
      <c r="D450" s="121"/>
      <c r="E450" s="121"/>
      <c r="F450" s="121"/>
      <c r="G450" s="121"/>
      <c r="H450" s="121"/>
      <c r="I450" s="121"/>
      <c r="J450" s="121"/>
      <c r="K450" s="121"/>
      <c r="L450" s="121"/>
      <c r="M450" s="121"/>
      <c r="N450" s="121"/>
      <c r="O450" s="121"/>
      <c r="P450" s="121"/>
      <c r="Q450" s="121"/>
      <c r="R450" s="121"/>
      <c r="S450" s="121"/>
      <c r="T450" s="121"/>
      <c r="U450" s="121"/>
      <c r="V450" s="121"/>
      <c r="W450" s="121"/>
      <c r="X450" s="121"/>
      <c r="Y450" s="121"/>
      <c r="Z450" s="121"/>
    </row>
    <row r="451" customFormat="false" ht="15.75" hidden="false" customHeight="false" outlineLevel="0" collapsed="false">
      <c r="A451" s="121"/>
      <c r="B451" s="121"/>
      <c r="C451" s="121"/>
      <c r="D451" s="121"/>
      <c r="E451" s="121"/>
      <c r="F451" s="121"/>
      <c r="G451" s="121"/>
      <c r="H451" s="121"/>
      <c r="I451" s="121"/>
      <c r="J451" s="121"/>
      <c r="K451" s="121"/>
      <c r="L451" s="121"/>
      <c r="M451" s="121"/>
      <c r="N451" s="121"/>
      <c r="O451" s="121"/>
      <c r="P451" s="121"/>
      <c r="Q451" s="121"/>
      <c r="R451" s="121"/>
      <c r="S451" s="121"/>
      <c r="T451" s="121"/>
      <c r="U451" s="121"/>
      <c r="V451" s="121"/>
      <c r="W451" s="121"/>
      <c r="X451" s="121"/>
      <c r="Y451" s="121"/>
      <c r="Z451" s="121"/>
    </row>
    <row r="452" customFormat="false" ht="15.75" hidden="false" customHeight="false" outlineLevel="0" collapsed="false">
      <c r="A452" s="121"/>
      <c r="B452" s="121"/>
      <c r="C452" s="121"/>
      <c r="D452" s="121"/>
      <c r="E452" s="121"/>
      <c r="F452" s="121"/>
      <c r="G452" s="121"/>
      <c r="H452" s="121"/>
      <c r="I452" s="121"/>
      <c r="J452" s="121"/>
      <c r="K452" s="121"/>
      <c r="L452" s="121"/>
      <c r="M452" s="121"/>
      <c r="N452" s="121"/>
      <c r="O452" s="121"/>
      <c r="P452" s="121"/>
      <c r="Q452" s="121"/>
      <c r="R452" s="121"/>
      <c r="S452" s="121"/>
      <c r="T452" s="121"/>
      <c r="U452" s="121"/>
      <c r="V452" s="121"/>
      <c r="W452" s="121"/>
      <c r="X452" s="121"/>
      <c r="Y452" s="121"/>
      <c r="Z452" s="121"/>
    </row>
    <row r="453" customFormat="false" ht="15.75" hidden="false" customHeight="false" outlineLevel="0" collapsed="false">
      <c r="A453" s="121"/>
      <c r="B453" s="121"/>
      <c r="C453" s="121"/>
      <c r="D453" s="121"/>
      <c r="E453" s="121"/>
      <c r="F453" s="121"/>
      <c r="G453" s="121"/>
      <c r="H453" s="121"/>
      <c r="I453" s="121"/>
      <c r="J453" s="121"/>
      <c r="K453" s="121"/>
      <c r="L453" s="121"/>
      <c r="M453" s="121"/>
      <c r="N453" s="121"/>
      <c r="O453" s="121"/>
      <c r="P453" s="121"/>
      <c r="Q453" s="121"/>
      <c r="R453" s="121"/>
      <c r="S453" s="121"/>
      <c r="T453" s="121"/>
      <c r="U453" s="121"/>
      <c r="V453" s="121"/>
      <c r="W453" s="121"/>
      <c r="X453" s="121"/>
      <c r="Y453" s="121"/>
      <c r="Z453" s="121"/>
    </row>
    <row r="454" customFormat="false" ht="15.75" hidden="false" customHeight="false" outlineLevel="0" collapsed="false">
      <c r="A454" s="121"/>
      <c r="B454" s="121"/>
      <c r="C454" s="121"/>
      <c r="D454" s="121"/>
      <c r="E454" s="121"/>
      <c r="F454" s="121"/>
      <c r="G454" s="121"/>
      <c r="H454" s="121"/>
      <c r="I454" s="121"/>
      <c r="J454" s="121"/>
      <c r="K454" s="121"/>
      <c r="L454" s="121"/>
      <c r="M454" s="121"/>
      <c r="N454" s="121"/>
      <c r="O454" s="121"/>
      <c r="P454" s="121"/>
      <c r="Q454" s="121"/>
      <c r="R454" s="121"/>
      <c r="S454" s="121"/>
      <c r="T454" s="121"/>
      <c r="U454" s="121"/>
      <c r="V454" s="121"/>
      <c r="W454" s="121"/>
      <c r="X454" s="121"/>
      <c r="Y454" s="121"/>
      <c r="Z454" s="121"/>
    </row>
    <row r="455" customFormat="false" ht="15.75" hidden="false" customHeight="false" outlineLevel="0" collapsed="false">
      <c r="A455" s="121"/>
      <c r="B455" s="121"/>
      <c r="C455" s="121"/>
      <c r="D455" s="121"/>
      <c r="E455" s="121"/>
      <c r="F455" s="121"/>
      <c r="G455" s="121"/>
      <c r="H455" s="121"/>
      <c r="I455" s="121"/>
      <c r="J455" s="121"/>
      <c r="K455" s="121"/>
      <c r="L455" s="121"/>
      <c r="M455" s="121"/>
      <c r="N455" s="121"/>
      <c r="O455" s="121"/>
      <c r="P455" s="121"/>
      <c r="Q455" s="121"/>
      <c r="R455" s="121"/>
      <c r="S455" s="121"/>
      <c r="T455" s="121"/>
      <c r="U455" s="121"/>
      <c r="V455" s="121"/>
      <c r="W455" s="121"/>
      <c r="X455" s="121"/>
      <c r="Y455" s="121"/>
      <c r="Z455" s="121"/>
    </row>
    <row r="456" customFormat="false" ht="15.75" hidden="false" customHeight="false" outlineLevel="0" collapsed="false">
      <c r="A456" s="121"/>
      <c r="B456" s="121"/>
      <c r="C456" s="121"/>
      <c r="D456" s="121"/>
      <c r="E456" s="121"/>
      <c r="F456" s="121"/>
      <c r="G456" s="121"/>
      <c r="H456" s="121"/>
      <c r="I456" s="121"/>
      <c r="J456" s="121"/>
      <c r="K456" s="121"/>
      <c r="L456" s="121"/>
      <c r="M456" s="121"/>
      <c r="N456" s="121"/>
      <c r="O456" s="121"/>
      <c r="P456" s="121"/>
      <c r="Q456" s="121"/>
      <c r="R456" s="121"/>
      <c r="S456" s="121"/>
      <c r="T456" s="121"/>
      <c r="U456" s="121"/>
      <c r="V456" s="121"/>
      <c r="W456" s="121"/>
      <c r="X456" s="121"/>
      <c r="Y456" s="121"/>
      <c r="Z456" s="121"/>
    </row>
    <row r="457" customFormat="false" ht="15.75" hidden="false" customHeight="false" outlineLevel="0" collapsed="false">
      <c r="A457" s="121"/>
      <c r="B457" s="121"/>
      <c r="C457" s="121"/>
      <c r="D457" s="121"/>
      <c r="E457" s="121"/>
      <c r="F457" s="121"/>
      <c r="G457" s="121"/>
      <c r="H457" s="121"/>
      <c r="I457" s="121"/>
      <c r="J457" s="121"/>
      <c r="K457" s="121"/>
      <c r="L457" s="121"/>
      <c r="M457" s="121"/>
      <c r="N457" s="121"/>
      <c r="O457" s="121"/>
      <c r="P457" s="121"/>
      <c r="Q457" s="121"/>
      <c r="R457" s="121"/>
      <c r="S457" s="121"/>
      <c r="T457" s="121"/>
      <c r="U457" s="121"/>
      <c r="V457" s="121"/>
      <c r="W457" s="121"/>
      <c r="X457" s="121"/>
      <c r="Y457" s="121"/>
      <c r="Z457" s="121"/>
    </row>
    <row r="458" customFormat="false" ht="15.75" hidden="false" customHeight="false" outlineLevel="0" collapsed="false">
      <c r="A458" s="121"/>
      <c r="B458" s="121"/>
      <c r="C458" s="121"/>
      <c r="D458" s="121"/>
      <c r="E458" s="121"/>
      <c r="F458" s="121"/>
      <c r="G458" s="121"/>
      <c r="H458" s="121"/>
      <c r="I458" s="121"/>
      <c r="J458" s="121"/>
      <c r="K458" s="121"/>
      <c r="L458" s="121"/>
      <c r="M458" s="121"/>
      <c r="N458" s="121"/>
      <c r="O458" s="121"/>
      <c r="P458" s="121"/>
      <c r="Q458" s="121"/>
      <c r="R458" s="121"/>
      <c r="S458" s="121"/>
      <c r="T458" s="121"/>
      <c r="U458" s="121"/>
      <c r="V458" s="121"/>
      <c r="W458" s="121"/>
      <c r="X458" s="121"/>
      <c r="Y458" s="121"/>
      <c r="Z458" s="121"/>
    </row>
    <row r="459" customFormat="false" ht="15.75" hidden="false" customHeight="false" outlineLevel="0" collapsed="false">
      <c r="A459" s="121"/>
      <c r="B459" s="121"/>
      <c r="C459" s="121"/>
      <c r="D459" s="121"/>
      <c r="E459" s="121"/>
      <c r="F459" s="121"/>
      <c r="G459" s="121"/>
      <c r="H459" s="121"/>
      <c r="I459" s="121"/>
      <c r="J459" s="121"/>
      <c r="K459" s="121"/>
      <c r="L459" s="121"/>
      <c r="M459" s="121"/>
      <c r="N459" s="121"/>
      <c r="O459" s="121"/>
      <c r="P459" s="121"/>
      <c r="Q459" s="121"/>
      <c r="R459" s="121"/>
      <c r="S459" s="121"/>
      <c r="T459" s="121"/>
      <c r="U459" s="121"/>
      <c r="V459" s="121"/>
      <c r="W459" s="121"/>
      <c r="X459" s="121"/>
      <c r="Y459" s="121"/>
      <c r="Z459" s="121"/>
    </row>
    <row r="460" customFormat="false" ht="15.75" hidden="false" customHeight="false" outlineLevel="0" collapsed="false">
      <c r="A460" s="121"/>
      <c r="B460" s="121"/>
      <c r="C460" s="121"/>
      <c r="D460" s="121"/>
      <c r="E460" s="121"/>
      <c r="F460" s="121"/>
      <c r="G460" s="121"/>
      <c r="H460" s="121"/>
      <c r="I460" s="121"/>
      <c r="J460" s="121"/>
      <c r="K460" s="121"/>
      <c r="L460" s="121"/>
      <c r="M460" s="121"/>
      <c r="N460" s="121"/>
      <c r="O460" s="121"/>
      <c r="P460" s="121"/>
      <c r="Q460" s="121"/>
      <c r="R460" s="121"/>
      <c r="S460" s="121"/>
      <c r="T460" s="121"/>
      <c r="U460" s="121"/>
      <c r="V460" s="121"/>
      <c r="W460" s="121"/>
      <c r="X460" s="121"/>
      <c r="Y460" s="121"/>
      <c r="Z460" s="121"/>
    </row>
    <row r="461" customFormat="false" ht="15.75" hidden="false" customHeight="false" outlineLevel="0" collapsed="false">
      <c r="A461" s="121"/>
      <c r="B461" s="121"/>
      <c r="C461" s="121"/>
      <c r="D461" s="121"/>
      <c r="E461" s="121"/>
      <c r="F461" s="121"/>
      <c r="G461" s="121"/>
      <c r="H461" s="121"/>
      <c r="I461" s="121"/>
      <c r="J461" s="121"/>
      <c r="K461" s="121"/>
      <c r="L461" s="121"/>
      <c r="M461" s="121"/>
      <c r="N461" s="121"/>
      <c r="O461" s="121"/>
      <c r="P461" s="121"/>
      <c r="Q461" s="121"/>
      <c r="R461" s="121"/>
      <c r="S461" s="121"/>
      <c r="T461" s="121"/>
      <c r="U461" s="121"/>
      <c r="V461" s="121"/>
      <c r="W461" s="121"/>
      <c r="X461" s="121"/>
      <c r="Y461" s="121"/>
      <c r="Z461" s="121"/>
    </row>
    <row r="462" customFormat="false" ht="15.75" hidden="false" customHeight="false" outlineLevel="0" collapsed="false">
      <c r="A462" s="121"/>
      <c r="B462" s="121"/>
      <c r="C462" s="121"/>
      <c r="D462" s="121"/>
      <c r="E462" s="121"/>
      <c r="F462" s="121"/>
      <c r="G462" s="121"/>
      <c r="H462" s="121"/>
      <c r="I462" s="121"/>
      <c r="J462" s="121"/>
      <c r="K462" s="121"/>
      <c r="L462" s="121"/>
      <c r="M462" s="121"/>
      <c r="N462" s="121"/>
      <c r="O462" s="121"/>
      <c r="P462" s="121"/>
      <c r="Q462" s="121"/>
      <c r="R462" s="121"/>
      <c r="S462" s="121"/>
      <c r="T462" s="121"/>
      <c r="U462" s="121"/>
      <c r="V462" s="121"/>
      <c r="W462" s="121"/>
      <c r="X462" s="121"/>
      <c r="Y462" s="121"/>
      <c r="Z462" s="121"/>
    </row>
    <row r="463" customFormat="false" ht="15.75" hidden="false" customHeight="false" outlineLevel="0" collapsed="false">
      <c r="A463" s="121"/>
      <c r="B463" s="121"/>
      <c r="C463" s="121"/>
      <c r="D463" s="121"/>
      <c r="E463" s="121"/>
      <c r="F463" s="121"/>
      <c r="G463" s="121"/>
      <c r="H463" s="121"/>
      <c r="I463" s="121"/>
      <c r="J463" s="121"/>
      <c r="K463" s="121"/>
      <c r="L463" s="121"/>
      <c r="M463" s="121"/>
      <c r="N463" s="121"/>
      <c r="O463" s="121"/>
      <c r="P463" s="121"/>
      <c r="Q463" s="121"/>
      <c r="R463" s="121"/>
      <c r="S463" s="121"/>
      <c r="T463" s="121"/>
      <c r="U463" s="121"/>
      <c r="V463" s="121"/>
      <c r="W463" s="121"/>
      <c r="X463" s="121"/>
      <c r="Y463" s="121"/>
      <c r="Z463" s="121"/>
    </row>
    <row r="464" customFormat="false" ht="15.75" hidden="false" customHeight="false" outlineLevel="0" collapsed="false">
      <c r="A464" s="121"/>
      <c r="B464" s="121"/>
      <c r="C464" s="121"/>
      <c r="D464" s="121"/>
      <c r="E464" s="121"/>
      <c r="F464" s="121"/>
      <c r="G464" s="121"/>
      <c r="H464" s="121"/>
      <c r="I464" s="121"/>
      <c r="J464" s="121"/>
      <c r="K464" s="121"/>
      <c r="L464" s="121"/>
      <c r="M464" s="121"/>
      <c r="N464" s="121"/>
      <c r="O464" s="121"/>
      <c r="P464" s="121"/>
      <c r="Q464" s="121"/>
      <c r="R464" s="121"/>
      <c r="S464" s="121"/>
      <c r="T464" s="121"/>
      <c r="U464" s="121"/>
      <c r="V464" s="121"/>
      <c r="W464" s="121"/>
      <c r="X464" s="121"/>
      <c r="Y464" s="121"/>
      <c r="Z464" s="121"/>
    </row>
    <row r="465" customFormat="false" ht="15.75" hidden="false" customHeight="false" outlineLevel="0" collapsed="false">
      <c r="A465" s="121"/>
      <c r="B465" s="121"/>
      <c r="C465" s="121"/>
      <c r="D465" s="121"/>
      <c r="E465" s="121"/>
      <c r="F465" s="121"/>
      <c r="G465" s="121"/>
      <c r="H465" s="121"/>
      <c r="I465" s="121"/>
      <c r="J465" s="121"/>
      <c r="K465" s="121"/>
      <c r="L465" s="121"/>
      <c r="M465" s="121"/>
      <c r="N465" s="121"/>
      <c r="O465" s="121"/>
      <c r="P465" s="121"/>
      <c r="Q465" s="121"/>
      <c r="R465" s="121"/>
      <c r="S465" s="121"/>
      <c r="T465" s="121"/>
      <c r="U465" s="121"/>
      <c r="V465" s="121"/>
      <c r="W465" s="121"/>
      <c r="X465" s="121"/>
      <c r="Y465" s="121"/>
      <c r="Z465" s="121"/>
    </row>
    <row r="466" customFormat="false" ht="15.75" hidden="false" customHeight="false" outlineLevel="0" collapsed="false">
      <c r="A466" s="121"/>
      <c r="B466" s="121"/>
      <c r="C466" s="121"/>
      <c r="D466" s="121"/>
      <c r="E466" s="121"/>
      <c r="F466" s="121"/>
      <c r="G466" s="121"/>
      <c r="H466" s="121"/>
      <c r="I466" s="121"/>
      <c r="J466" s="121"/>
      <c r="K466" s="121"/>
      <c r="L466" s="121"/>
      <c r="M466" s="121"/>
      <c r="N466" s="121"/>
      <c r="O466" s="121"/>
      <c r="P466" s="121"/>
      <c r="Q466" s="121"/>
      <c r="R466" s="121"/>
      <c r="S466" s="121"/>
      <c r="T466" s="121"/>
      <c r="U466" s="121"/>
      <c r="V466" s="121"/>
      <c r="W466" s="121"/>
      <c r="X466" s="121"/>
      <c r="Y466" s="121"/>
      <c r="Z466" s="121"/>
    </row>
    <row r="467" customFormat="false" ht="15.75" hidden="false" customHeight="false" outlineLevel="0" collapsed="false">
      <c r="A467" s="121"/>
      <c r="B467" s="121"/>
      <c r="C467" s="121"/>
      <c r="D467" s="121"/>
      <c r="E467" s="121"/>
      <c r="F467" s="121"/>
      <c r="G467" s="121"/>
      <c r="H467" s="121"/>
      <c r="I467" s="121"/>
      <c r="J467" s="121"/>
      <c r="K467" s="121"/>
      <c r="L467" s="121"/>
      <c r="M467" s="121"/>
      <c r="N467" s="121"/>
      <c r="O467" s="121"/>
      <c r="P467" s="121"/>
      <c r="Q467" s="121"/>
      <c r="R467" s="121"/>
      <c r="S467" s="121"/>
      <c r="T467" s="121"/>
      <c r="U467" s="121"/>
      <c r="V467" s="121"/>
      <c r="W467" s="121"/>
      <c r="X467" s="121"/>
      <c r="Y467" s="121"/>
      <c r="Z467" s="121"/>
    </row>
    <row r="468" customFormat="false" ht="15.75" hidden="false" customHeight="false" outlineLevel="0" collapsed="false">
      <c r="A468" s="121"/>
      <c r="B468" s="121"/>
      <c r="C468" s="121"/>
      <c r="D468" s="121"/>
      <c r="E468" s="121"/>
      <c r="F468" s="121"/>
      <c r="G468" s="121"/>
      <c r="H468" s="121"/>
      <c r="I468" s="121"/>
      <c r="J468" s="121"/>
      <c r="K468" s="121"/>
      <c r="L468" s="121"/>
      <c r="M468" s="121"/>
      <c r="N468" s="121"/>
      <c r="O468" s="121"/>
      <c r="P468" s="121"/>
      <c r="Q468" s="121"/>
      <c r="R468" s="121"/>
      <c r="S468" s="121"/>
      <c r="T468" s="121"/>
      <c r="U468" s="121"/>
      <c r="V468" s="121"/>
      <c r="W468" s="121"/>
      <c r="X468" s="121"/>
      <c r="Y468" s="121"/>
      <c r="Z468" s="121"/>
    </row>
    <row r="469" customFormat="false" ht="15.75" hidden="false" customHeight="false" outlineLevel="0" collapsed="false">
      <c r="A469" s="121"/>
      <c r="B469" s="121"/>
      <c r="C469" s="121"/>
      <c r="D469" s="121"/>
      <c r="E469" s="121"/>
      <c r="F469" s="121"/>
      <c r="G469" s="121"/>
      <c r="H469" s="121"/>
      <c r="I469" s="121"/>
      <c r="J469" s="121"/>
      <c r="K469" s="121"/>
      <c r="L469" s="121"/>
      <c r="M469" s="121"/>
      <c r="N469" s="121"/>
      <c r="O469" s="121"/>
      <c r="P469" s="121"/>
      <c r="Q469" s="121"/>
      <c r="R469" s="121"/>
      <c r="S469" s="121"/>
      <c r="T469" s="121"/>
      <c r="U469" s="121"/>
      <c r="V469" s="121"/>
      <c r="W469" s="121"/>
      <c r="X469" s="121"/>
      <c r="Y469" s="121"/>
      <c r="Z469" s="121"/>
    </row>
    <row r="470" customFormat="false" ht="15.75" hidden="false" customHeight="false" outlineLevel="0" collapsed="false">
      <c r="A470" s="121"/>
      <c r="B470" s="121"/>
      <c r="C470" s="121"/>
      <c r="D470" s="121"/>
      <c r="E470" s="121"/>
      <c r="F470" s="121"/>
      <c r="G470" s="121"/>
      <c r="H470" s="121"/>
      <c r="I470" s="121"/>
      <c r="J470" s="121"/>
      <c r="K470" s="121"/>
      <c r="L470" s="121"/>
      <c r="M470" s="121"/>
      <c r="N470" s="121"/>
      <c r="O470" s="121"/>
      <c r="P470" s="121"/>
      <c r="Q470" s="121"/>
      <c r="R470" s="121"/>
      <c r="S470" s="121"/>
      <c r="T470" s="121"/>
      <c r="U470" s="121"/>
      <c r="V470" s="121"/>
      <c r="W470" s="121"/>
      <c r="X470" s="121"/>
      <c r="Y470" s="121"/>
      <c r="Z470" s="121"/>
    </row>
    <row r="471" customFormat="false" ht="15.75" hidden="false" customHeight="false" outlineLevel="0" collapsed="false">
      <c r="A471" s="121"/>
      <c r="B471" s="121"/>
      <c r="C471" s="121"/>
      <c r="D471" s="121"/>
      <c r="E471" s="121"/>
      <c r="F471" s="121"/>
      <c r="G471" s="121"/>
      <c r="H471" s="121"/>
      <c r="I471" s="121"/>
      <c r="J471" s="121"/>
      <c r="K471" s="121"/>
      <c r="L471" s="121"/>
      <c r="M471" s="121"/>
      <c r="N471" s="121"/>
      <c r="O471" s="121"/>
      <c r="P471" s="121"/>
      <c r="Q471" s="121"/>
      <c r="R471" s="121"/>
      <c r="S471" s="121"/>
      <c r="T471" s="121"/>
      <c r="U471" s="121"/>
      <c r="V471" s="121"/>
      <c r="W471" s="121"/>
      <c r="X471" s="121"/>
      <c r="Y471" s="121"/>
      <c r="Z471" s="121"/>
    </row>
    <row r="472" customFormat="false" ht="15.75" hidden="false" customHeight="false" outlineLevel="0" collapsed="false">
      <c r="A472" s="121"/>
      <c r="B472" s="121"/>
      <c r="C472" s="121"/>
      <c r="D472" s="121"/>
      <c r="E472" s="121"/>
      <c r="F472" s="121"/>
      <c r="G472" s="121"/>
      <c r="H472" s="121"/>
      <c r="I472" s="121"/>
      <c r="J472" s="121"/>
      <c r="K472" s="121"/>
      <c r="L472" s="121"/>
      <c r="M472" s="121"/>
      <c r="N472" s="121"/>
      <c r="O472" s="121"/>
      <c r="P472" s="121"/>
      <c r="Q472" s="121"/>
      <c r="R472" s="121"/>
      <c r="S472" s="121"/>
      <c r="T472" s="121"/>
      <c r="U472" s="121"/>
      <c r="V472" s="121"/>
      <c r="W472" s="121"/>
      <c r="X472" s="121"/>
      <c r="Y472" s="121"/>
      <c r="Z472" s="121"/>
    </row>
    <row r="473" customFormat="false" ht="15.75" hidden="false" customHeight="false" outlineLevel="0" collapsed="false">
      <c r="A473" s="121"/>
      <c r="B473" s="121"/>
      <c r="C473" s="121"/>
      <c r="D473" s="121"/>
      <c r="E473" s="121"/>
      <c r="F473" s="121"/>
      <c r="G473" s="121"/>
      <c r="H473" s="121"/>
      <c r="I473" s="121"/>
      <c r="J473" s="121"/>
      <c r="K473" s="121"/>
      <c r="L473" s="121"/>
      <c r="M473" s="121"/>
      <c r="N473" s="121"/>
      <c r="O473" s="121"/>
      <c r="P473" s="121"/>
      <c r="Q473" s="121"/>
      <c r="R473" s="121"/>
      <c r="S473" s="121"/>
      <c r="T473" s="121"/>
      <c r="U473" s="121"/>
      <c r="V473" s="121"/>
      <c r="W473" s="121"/>
      <c r="X473" s="121"/>
      <c r="Y473" s="121"/>
      <c r="Z473" s="121"/>
    </row>
    <row r="474" customFormat="false" ht="15.75" hidden="false" customHeight="false" outlineLevel="0" collapsed="false">
      <c r="A474" s="121"/>
      <c r="B474" s="121"/>
      <c r="C474" s="121"/>
      <c r="D474" s="121"/>
      <c r="E474" s="121"/>
      <c r="F474" s="121"/>
      <c r="G474" s="121"/>
      <c r="H474" s="121"/>
      <c r="I474" s="121"/>
      <c r="J474" s="121"/>
      <c r="K474" s="121"/>
      <c r="L474" s="121"/>
      <c r="M474" s="121"/>
      <c r="N474" s="121"/>
      <c r="O474" s="121"/>
      <c r="P474" s="121"/>
      <c r="Q474" s="121"/>
      <c r="R474" s="121"/>
      <c r="S474" s="121"/>
      <c r="T474" s="121"/>
      <c r="U474" s="121"/>
      <c r="V474" s="121"/>
      <c r="W474" s="121"/>
      <c r="X474" s="121"/>
      <c r="Y474" s="121"/>
      <c r="Z474" s="121"/>
    </row>
    <row r="475" customFormat="false" ht="15.75" hidden="false" customHeight="false" outlineLevel="0" collapsed="false">
      <c r="A475" s="121"/>
      <c r="B475" s="121"/>
      <c r="C475" s="121"/>
      <c r="D475" s="121"/>
      <c r="E475" s="121"/>
      <c r="F475" s="121"/>
      <c r="G475" s="121"/>
      <c r="H475" s="121"/>
      <c r="I475" s="121"/>
      <c r="J475" s="121"/>
      <c r="K475" s="121"/>
      <c r="L475" s="121"/>
      <c r="M475" s="121"/>
      <c r="N475" s="121"/>
      <c r="O475" s="121"/>
      <c r="P475" s="121"/>
      <c r="Q475" s="121"/>
      <c r="R475" s="121"/>
      <c r="S475" s="121"/>
      <c r="T475" s="121"/>
      <c r="U475" s="121"/>
      <c r="V475" s="121"/>
      <c r="W475" s="121"/>
      <c r="X475" s="121"/>
      <c r="Y475" s="121"/>
      <c r="Z475" s="121"/>
    </row>
    <row r="476" customFormat="false" ht="15.75" hidden="false" customHeight="false" outlineLevel="0" collapsed="false">
      <c r="A476" s="121"/>
      <c r="B476" s="121"/>
      <c r="C476" s="121"/>
      <c r="D476" s="121"/>
      <c r="E476" s="121"/>
      <c r="F476" s="121"/>
      <c r="G476" s="121"/>
      <c r="H476" s="121"/>
      <c r="I476" s="121"/>
      <c r="J476" s="121"/>
      <c r="K476" s="121"/>
      <c r="L476" s="121"/>
      <c r="M476" s="121"/>
      <c r="N476" s="121"/>
      <c r="O476" s="121"/>
      <c r="P476" s="121"/>
      <c r="Q476" s="121"/>
      <c r="R476" s="121"/>
      <c r="S476" s="121"/>
      <c r="T476" s="121"/>
      <c r="U476" s="121"/>
      <c r="V476" s="121"/>
      <c r="W476" s="121"/>
      <c r="X476" s="121"/>
      <c r="Y476" s="121"/>
      <c r="Z476" s="121"/>
    </row>
    <row r="477" customFormat="false" ht="15.75" hidden="false" customHeight="false" outlineLevel="0" collapsed="false">
      <c r="A477" s="121"/>
      <c r="B477" s="121"/>
      <c r="C477" s="121"/>
      <c r="D477" s="121"/>
      <c r="E477" s="121"/>
      <c r="F477" s="121"/>
      <c r="G477" s="121"/>
      <c r="H477" s="121"/>
      <c r="I477" s="121"/>
      <c r="J477" s="121"/>
      <c r="K477" s="121"/>
      <c r="L477" s="121"/>
      <c r="M477" s="121"/>
      <c r="N477" s="121"/>
      <c r="O477" s="121"/>
      <c r="P477" s="121"/>
      <c r="Q477" s="121"/>
      <c r="R477" s="121"/>
      <c r="S477" s="121"/>
      <c r="T477" s="121"/>
      <c r="U477" s="121"/>
      <c r="V477" s="121"/>
      <c r="W477" s="121"/>
      <c r="X477" s="121"/>
      <c r="Y477" s="121"/>
      <c r="Z477" s="121"/>
    </row>
    <row r="478" customFormat="false" ht="15.75" hidden="false" customHeight="false" outlineLevel="0" collapsed="false">
      <c r="A478" s="121"/>
      <c r="B478" s="121"/>
      <c r="C478" s="121"/>
      <c r="D478" s="121"/>
      <c r="E478" s="121"/>
      <c r="F478" s="121"/>
      <c r="G478" s="121"/>
      <c r="H478" s="121"/>
      <c r="I478" s="121"/>
      <c r="J478" s="121"/>
      <c r="K478" s="121"/>
      <c r="L478" s="121"/>
      <c r="M478" s="121"/>
      <c r="N478" s="121"/>
      <c r="O478" s="121"/>
      <c r="P478" s="121"/>
      <c r="Q478" s="121"/>
      <c r="R478" s="121"/>
      <c r="S478" s="121"/>
      <c r="T478" s="121"/>
      <c r="U478" s="121"/>
      <c r="V478" s="121"/>
      <c r="W478" s="121"/>
      <c r="X478" s="121"/>
      <c r="Y478" s="121"/>
      <c r="Z478" s="121"/>
    </row>
    <row r="479" customFormat="false" ht="15.75" hidden="false" customHeight="false" outlineLevel="0" collapsed="false">
      <c r="A479" s="121"/>
      <c r="B479" s="121"/>
      <c r="C479" s="121"/>
      <c r="D479" s="121"/>
      <c r="E479" s="121"/>
      <c r="F479" s="121"/>
      <c r="G479" s="121"/>
      <c r="H479" s="121"/>
      <c r="I479" s="121"/>
      <c r="J479" s="121"/>
      <c r="K479" s="121"/>
      <c r="L479" s="121"/>
      <c r="M479" s="121"/>
      <c r="N479" s="121"/>
      <c r="O479" s="121"/>
      <c r="P479" s="121"/>
      <c r="Q479" s="121"/>
      <c r="R479" s="121"/>
      <c r="S479" s="121"/>
      <c r="T479" s="121"/>
      <c r="U479" s="121"/>
      <c r="V479" s="121"/>
      <c r="W479" s="121"/>
      <c r="X479" s="121"/>
      <c r="Y479" s="121"/>
      <c r="Z479" s="121"/>
    </row>
    <row r="480" customFormat="false" ht="15.75" hidden="false" customHeight="false" outlineLevel="0" collapsed="false">
      <c r="A480" s="121"/>
      <c r="B480" s="121"/>
      <c r="C480" s="121"/>
      <c r="D480" s="121"/>
      <c r="E480" s="121"/>
      <c r="F480" s="121"/>
      <c r="G480" s="121"/>
      <c r="H480" s="121"/>
      <c r="I480" s="121"/>
      <c r="J480" s="121"/>
      <c r="K480" s="121"/>
      <c r="L480" s="121"/>
      <c r="M480" s="121"/>
      <c r="N480" s="121"/>
      <c r="O480" s="121"/>
      <c r="P480" s="121"/>
      <c r="Q480" s="121"/>
      <c r="R480" s="121"/>
      <c r="S480" s="121"/>
      <c r="T480" s="121"/>
      <c r="U480" s="121"/>
      <c r="V480" s="121"/>
      <c r="W480" s="121"/>
      <c r="X480" s="121"/>
      <c r="Y480" s="121"/>
      <c r="Z480" s="121"/>
    </row>
    <row r="481" customFormat="false" ht="15.75" hidden="false" customHeight="false" outlineLevel="0" collapsed="false">
      <c r="A481" s="121"/>
      <c r="B481" s="121"/>
      <c r="C481" s="121"/>
      <c r="D481" s="121"/>
      <c r="E481" s="121"/>
      <c r="F481" s="121"/>
      <c r="G481" s="121"/>
      <c r="H481" s="121"/>
      <c r="I481" s="121"/>
      <c r="J481" s="121"/>
      <c r="K481" s="121"/>
      <c r="L481" s="121"/>
      <c r="M481" s="121"/>
      <c r="N481" s="121"/>
      <c r="O481" s="121"/>
      <c r="P481" s="121"/>
      <c r="Q481" s="121"/>
      <c r="R481" s="121"/>
      <c r="S481" s="121"/>
      <c r="T481" s="121"/>
      <c r="U481" s="121"/>
      <c r="V481" s="121"/>
      <c r="W481" s="121"/>
      <c r="X481" s="121"/>
      <c r="Y481" s="121"/>
      <c r="Z481" s="121"/>
    </row>
    <row r="482" customFormat="false" ht="15.75" hidden="false" customHeight="false" outlineLevel="0" collapsed="false">
      <c r="A482" s="121"/>
      <c r="B482" s="121"/>
      <c r="C482" s="121"/>
      <c r="D482" s="121"/>
      <c r="E482" s="121"/>
      <c r="F482" s="121"/>
      <c r="G482" s="121"/>
      <c r="H482" s="121"/>
      <c r="I482" s="121"/>
      <c r="J482" s="121"/>
      <c r="K482" s="121"/>
      <c r="L482" s="121"/>
      <c r="M482" s="121"/>
      <c r="N482" s="121"/>
      <c r="O482" s="121"/>
      <c r="P482" s="121"/>
      <c r="Q482" s="121"/>
      <c r="R482" s="121"/>
      <c r="S482" s="121"/>
      <c r="T482" s="121"/>
      <c r="U482" s="121"/>
      <c r="V482" s="121"/>
      <c r="W482" s="121"/>
      <c r="X482" s="121"/>
      <c r="Y482" s="121"/>
      <c r="Z482" s="121"/>
    </row>
    <row r="483" customFormat="false" ht="15.75" hidden="false" customHeight="false" outlineLevel="0" collapsed="false">
      <c r="A483" s="121"/>
      <c r="B483" s="121"/>
      <c r="C483" s="121"/>
      <c r="D483" s="121"/>
      <c r="E483" s="121"/>
      <c r="F483" s="121"/>
      <c r="G483" s="121"/>
      <c r="H483" s="121"/>
      <c r="I483" s="121"/>
      <c r="J483" s="121"/>
      <c r="K483" s="121"/>
      <c r="L483" s="121"/>
      <c r="M483" s="121"/>
      <c r="N483" s="121"/>
      <c r="O483" s="121"/>
      <c r="P483" s="121"/>
      <c r="Q483" s="121"/>
      <c r="R483" s="121"/>
      <c r="S483" s="121"/>
      <c r="T483" s="121"/>
      <c r="U483" s="121"/>
      <c r="V483" s="121"/>
      <c r="W483" s="121"/>
      <c r="X483" s="121"/>
      <c r="Y483" s="121"/>
      <c r="Z483" s="121"/>
    </row>
    <row r="484" customFormat="false" ht="15.75" hidden="false" customHeight="false" outlineLevel="0" collapsed="false">
      <c r="A484" s="121"/>
      <c r="B484" s="121"/>
      <c r="C484" s="121"/>
      <c r="D484" s="121"/>
      <c r="E484" s="121"/>
      <c r="F484" s="121"/>
      <c r="G484" s="121"/>
      <c r="H484" s="121"/>
      <c r="I484" s="121"/>
      <c r="J484" s="121"/>
      <c r="K484" s="121"/>
      <c r="L484" s="121"/>
      <c r="M484" s="121"/>
      <c r="N484" s="121"/>
      <c r="O484" s="121"/>
      <c r="P484" s="121"/>
      <c r="Q484" s="121"/>
      <c r="R484" s="121"/>
      <c r="S484" s="121"/>
      <c r="T484" s="121"/>
      <c r="U484" s="121"/>
      <c r="V484" s="121"/>
      <c r="W484" s="121"/>
      <c r="X484" s="121"/>
      <c r="Y484" s="121"/>
      <c r="Z484" s="121"/>
    </row>
    <row r="485" customFormat="false" ht="15.75" hidden="false" customHeight="false" outlineLevel="0" collapsed="false">
      <c r="A485" s="121"/>
      <c r="B485" s="121"/>
      <c r="C485" s="121"/>
      <c r="D485" s="121"/>
      <c r="E485" s="121"/>
      <c r="F485" s="121"/>
      <c r="G485" s="121"/>
      <c r="H485" s="121"/>
      <c r="I485" s="121"/>
      <c r="J485" s="121"/>
      <c r="K485" s="121"/>
      <c r="L485" s="121"/>
      <c r="M485" s="121"/>
      <c r="N485" s="121"/>
      <c r="O485" s="121"/>
      <c r="P485" s="121"/>
      <c r="Q485" s="121"/>
      <c r="R485" s="121"/>
      <c r="S485" s="121"/>
      <c r="T485" s="121"/>
      <c r="U485" s="121"/>
      <c r="V485" s="121"/>
      <c r="W485" s="121"/>
      <c r="X485" s="121"/>
      <c r="Y485" s="121"/>
      <c r="Z485" s="121"/>
    </row>
    <row r="486" customFormat="false" ht="15.75" hidden="false" customHeight="false" outlineLevel="0" collapsed="false">
      <c r="A486" s="121"/>
      <c r="B486" s="121"/>
      <c r="C486" s="121"/>
      <c r="D486" s="121"/>
      <c r="E486" s="121"/>
      <c r="F486" s="121"/>
      <c r="G486" s="121"/>
      <c r="H486" s="121"/>
      <c r="I486" s="121"/>
      <c r="J486" s="121"/>
      <c r="K486" s="121"/>
      <c r="L486" s="121"/>
      <c r="M486" s="121"/>
      <c r="N486" s="121"/>
      <c r="O486" s="121"/>
      <c r="P486" s="121"/>
      <c r="Q486" s="121"/>
      <c r="R486" s="121"/>
      <c r="S486" s="121"/>
      <c r="T486" s="121"/>
      <c r="U486" s="121"/>
      <c r="V486" s="121"/>
      <c r="W486" s="121"/>
      <c r="X486" s="121"/>
      <c r="Y486" s="121"/>
      <c r="Z486" s="121"/>
    </row>
    <row r="487" customFormat="false" ht="15.75" hidden="false" customHeight="false" outlineLevel="0" collapsed="false">
      <c r="A487" s="121"/>
      <c r="B487" s="121"/>
      <c r="C487" s="121"/>
      <c r="D487" s="121"/>
      <c r="E487" s="121"/>
      <c r="F487" s="121"/>
      <c r="G487" s="121"/>
      <c r="H487" s="121"/>
      <c r="I487" s="121"/>
      <c r="J487" s="121"/>
      <c r="K487" s="121"/>
      <c r="L487" s="121"/>
      <c r="M487" s="121"/>
      <c r="N487" s="121"/>
      <c r="O487" s="121"/>
      <c r="P487" s="121"/>
      <c r="Q487" s="121"/>
      <c r="R487" s="121"/>
      <c r="S487" s="121"/>
      <c r="T487" s="121"/>
      <c r="U487" s="121"/>
      <c r="V487" s="121"/>
      <c r="W487" s="121"/>
      <c r="X487" s="121"/>
      <c r="Y487" s="121"/>
      <c r="Z487" s="121"/>
    </row>
    <row r="488" customFormat="false" ht="15.75" hidden="false" customHeight="false" outlineLevel="0" collapsed="false">
      <c r="A488" s="121"/>
      <c r="B488" s="121"/>
      <c r="C488" s="121"/>
      <c r="D488" s="121"/>
      <c r="E488" s="121"/>
      <c r="F488" s="121"/>
      <c r="G488" s="121"/>
      <c r="H488" s="121"/>
      <c r="I488" s="121"/>
      <c r="J488" s="121"/>
      <c r="K488" s="121"/>
      <c r="L488" s="121"/>
      <c r="M488" s="121"/>
      <c r="N488" s="121"/>
      <c r="O488" s="121"/>
      <c r="P488" s="121"/>
      <c r="Q488" s="121"/>
      <c r="R488" s="121"/>
      <c r="S488" s="121"/>
      <c r="T488" s="121"/>
      <c r="U488" s="121"/>
      <c r="V488" s="121"/>
      <c r="W488" s="121"/>
      <c r="X488" s="121"/>
      <c r="Y488" s="121"/>
      <c r="Z488" s="121"/>
    </row>
    <row r="489" customFormat="false" ht="15.75" hidden="false" customHeight="false" outlineLevel="0" collapsed="false">
      <c r="A489" s="121"/>
      <c r="B489" s="121"/>
      <c r="C489" s="121"/>
      <c r="D489" s="121"/>
      <c r="E489" s="121"/>
      <c r="F489" s="121"/>
      <c r="G489" s="121"/>
      <c r="H489" s="121"/>
      <c r="I489" s="121"/>
      <c r="J489" s="121"/>
      <c r="K489" s="121"/>
      <c r="L489" s="121"/>
      <c r="M489" s="121"/>
      <c r="N489" s="121"/>
      <c r="O489" s="121"/>
      <c r="P489" s="121"/>
      <c r="Q489" s="121"/>
      <c r="R489" s="121"/>
      <c r="S489" s="121"/>
      <c r="T489" s="121"/>
      <c r="U489" s="121"/>
      <c r="V489" s="121"/>
      <c r="W489" s="121"/>
      <c r="X489" s="121"/>
      <c r="Y489" s="121"/>
      <c r="Z489" s="121"/>
    </row>
    <row r="490" customFormat="false" ht="15.75" hidden="false" customHeight="false" outlineLevel="0" collapsed="false">
      <c r="A490" s="121"/>
      <c r="B490" s="121"/>
      <c r="C490" s="121"/>
      <c r="D490" s="121"/>
      <c r="E490" s="121"/>
      <c r="F490" s="121"/>
      <c r="G490" s="121"/>
      <c r="H490" s="121"/>
      <c r="I490" s="121"/>
      <c r="J490" s="121"/>
      <c r="K490" s="121"/>
      <c r="L490" s="121"/>
      <c r="M490" s="121"/>
      <c r="N490" s="121"/>
      <c r="O490" s="121"/>
      <c r="P490" s="121"/>
      <c r="Q490" s="121"/>
      <c r="R490" s="121"/>
      <c r="S490" s="121"/>
      <c r="T490" s="121"/>
      <c r="U490" s="121"/>
      <c r="V490" s="121"/>
      <c r="W490" s="121"/>
      <c r="X490" s="121"/>
      <c r="Y490" s="121"/>
      <c r="Z490" s="121"/>
    </row>
    <row r="491" customFormat="false" ht="15.75" hidden="false" customHeight="false" outlineLevel="0" collapsed="false">
      <c r="A491" s="121"/>
      <c r="B491" s="121"/>
      <c r="C491" s="121"/>
      <c r="D491" s="121"/>
      <c r="E491" s="121"/>
      <c r="F491" s="121"/>
      <c r="G491" s="121"/>
      <c r="H491" s="121"/>
      <c r="I491" s="121"/>
      <c r="J491" s="121"/>
      <c r="K491" s="121"/>
      <c r="L491" s="121"/>
      <c r="M491" s="121"/>
      <c r="N491" s="121"/>
      <c r="O491" s="121"/>
      <c r="P491" s="121"/>
      <c r="Q491" s="121"/>
      <c r="R491" s="121"/>
      <c r="S491" s="121"/>
      <c r="T491" s="121"/>
      <c r="U491" s="121"/>
      <c r="V491" s="121"/>
      <c r="W491" s="121"/>
      <c r="X491" s="121"/>
      <c r="Y491" s="121"/>
      <c r="Z491" s="121"/>
    </row>
    <row r="492" customFormat="false" ht="15.75" hidden="false" customHeight="false" outlineLevel="0" collapsed="false">
      <c r="A492" s="121"/>
      <c r="B492" s="121"/>
      <c r="C492" s="121"/>
      <c r="D492" s="121"/>
      <c r="E492" s="121"/>
      <c r="F492" s="121"/>
      <c r="G492" s="121"/>
      <c r="H492" s="121"/>
      <c r="I492" s="121"/>
      <c r="J492" s="121"/>
      <c r="K492" s="121"/>
      <c r="L492" s="121"/>
      <c r="M492" s="121"/>
      <c r="N492" s="121"/>
      <c r="O492" s="121"/>
      <c r="P492" s="121"/>
      <c r="Q492" s="121"/>
      <c r="R492" s="121"/>
      <c r="S492" s="121"/>
      <c r="T492" s="121"/>
      <c r="U492" s="121"/>
      <c r="V492" s="121"/>
      <c r="W492" s="121"/>
      <c r="X492" s="121"/>
      <c r="Y492" s="121"/>
      <c r="Z492" s="121"/>
    </row>
    <row r="493" customFormat="false" ht="15.75" hidden="false" customHeight="false" outlineLevel="0" collapsed="false">
      <c r="A493" s="121"/>
      <c r="B493" s="121"/>
      <c r="C493" s="121"/>
      <c r="D493" s="121"/>
      <c r="E493" s="121"/>
      <c r="F493" s="121"/>
      <c r="G493" s="121"/>
      <c r="H493" s="121"/>
      <c r="I493" s="121"/>
      <c r="J493" s="121"/>
      <c r="K493" s="121"/>
      <c r="L493" s="121"/>
      <c r="M493" s="121"/>
      <c r="N493" s="121"/>
      <c r="O493" s="121"/>
      <c r="P493" s="121"/>
      <c r="Q493" s="121"/>
      <c r="R493" s="121"/>
      <c r="S493" s="121"/>
      <c r="T493" s="121"/>
      <c r="U493" s="121"/>
      <c r="V493" s="121"/>
      <c r="W493" s="121"/>
      <c r="X493" s="121"/>
      <c r="Y493" s="121"/>
      <c r="Z493" s="121"/>
    </row>
    <row r="494" customFormat="false" ht="15.75" hidden="false" customHeight="false" outlineLevel="0" collapsed="false">
      <c r="A494" s="121"/>
      <c r="B494" s="121"/>
      <c r="C494" s="121"/>
      <c r="D494" s="121"/>
      <c r="E494" s="121"/>
      <c r="F494" s="121"/>
      <c r="G494" s="121"/>
      <c r="H494" s="121"/>
      <c r="I494" s="121"/>
      <c r="J494" s="121"/>
      <c r="K494" s="121"/>
      <c r="L494" s="121"/>
      <c r="M494" s="121"/>
      <c r="N494" s="121"/>
      <c r="O494" s="121"/>
      <c r="P494" s="121"/>
      <c r="Q494" s="121"/>
      <c r="R494" s="121"/>
      <c r="S494" s="121"/>
      <c r="T494" s="121"/>
      <c r="U494" s="121"/>
      <c r="V494" s="121"/>
      <c r="W494" s="121"/>
      <c r="X494" s="121"/>
      <c r="Y494" s="121"/>
      <c r="Z494" s="121"/>
    </row>
    <row r="495" customFormat="false" ht="15.75" hidden="false" customHeight="false" outlineLevel="0" collapsed="false">
      <c r="A495" s="121"/>
      <c r="B495" s="121"/>
      <c r="C495" s="121"/>
      <c r="D495" s="121"/>
      <c r="E495" s="121"/>
      <c r="F495" s="121"/>
      <c r="G495" s="121"/>
      <c r="H495" s="121"/>
      <c r="I495" s="121"/>
      <c r="J495" s="121"/>
      <c r="K495" s="121"/>
      <c r="L495" s="121"/>
      <c r="M495" s="121"/>
      <c r="N495" s="121"/>
      <c r="O495" s="121"/>
      <c r="P495" s="121"/>
      <c r="Q495" s="121"/>
      <c r="R495" s="121"/>
      <c r="S495" s="121"/>
      <c r="T495" s="121"/>
      <c r="U495" s="121"/>
      <c r="V495" s="121"/>
      <c r="W495" s="121"/>
      <c r="X495" s="121"/>
      <c r="Y495" s="121"/>
      <c r="Z495" s="121"/>
    </row>
    <row r="496" customFormat="false" ht="15.75" hidden="false" customHeight="false" outlineLevel="0" collapsed="false">
      <c r="A496" s="121"/>
      <c r="B496" s="121"/>
      <c r="C496" s="121"/>
      <c r="D496" s="121"/>
      <c r="E496" s="121"/>
      <c r="F496" s="121"/>
      <c r="G496" s="121"/>
      <c r="H496" s="121"/>
      <c r="I496" s="121"/>
      <c r="J496" s="121"/>
      <c r="K496" s="121"/>
      <c r="L496" s="121"/>
      <c r="M496" s="121"/>
      <c r="N496" s="121"/>
      <c r="O496" s="121"/>
      <c r="P496" s="121"/>
      <c r="Q496" s="121"/>
      <c r="R496" s="121"/>
      <c r="S496" s="121"/>
      <c r="T496" s="121"/>
      <c r="U496" s="121"/>
      <c r="V496" s="121"/>
      <c r="W496" s="121"/>
      <c r="X496" s="121"/>
      <c r="Y496" s="121"/>
      <c r="Z496" s="121"/>
    </row>
    <row r="497" customFormat="false" ht="15.75" hidden="false" customHeight="false" outlineLevel="0" collapsed="false">
      <c r="A497" s="121"/>
      <c r="B497" s="121"/>
      <c r="C497" s="121"/>
      <c r="D497" s="121"/>
      <c r="E497" s="121"/>
      <c r="F497" s="121"/>
      <c r="G497" s="121"/>
      <c r="H497" s="121"/>
      <c r="I497" s="121"/>
      <c r="J497" s="121"/>
      <c r="K497" s="121"/>
      <c r="L497" s="121"/>
      <c r="M497" s="121"/>
      <c r="N497" s="121"/>
      <c r="O497" s="121"/>
      <c r="P497" s="121"/>
      <c r="Q497" s="121"/>
      <c r="R497" s="121"/>
      <c r="S497" s="121"/>
      <c r="T497" s="121"/>
      <c r="U497" s="121"/>
      <c r="V497" s="121"/>
      <c r="W497" s="121"/>
      <c r="X497" s="121"/>
      <c r="Y497" s="121"/>
      <c r="Z497" s="121"/>
    </row>
    <row r="498" customFormat="false" ht="15.75" hidden="false" customHeight="false" outlineLevel="0" collapsed="false">
      <c r="A498" s="121"/>
      <c r="B498" s="121"/>
      <c r="C498" s="121"/>
      <c r="D498" s="121"/>
      <c r="E498" s="121"/>
      <c r="F498" s="121"/>
      <c r="G498" s="121"/>
      <c r="H498" s="121"/>
      <c r="I498" s="121"/>
      <c r="J498" s="121"/>
      <c r="K498" s="121"/>
      <c r="L498" s="121"/>
      <c r="M498" s="121"/>
      <c r="N498" s="121"/>
      <c r="O498" s="121"/>
      <c r="P498" s="121"/>
      <c r="Q498" s="121"/>
      <c r="R498" s="121"/>
      <c r="S498" s="121"/>
      <c r="T498" s="121"/>
      <c r="U498" s="121"/>
      <c r="V498" s="121"/>
      <c r="W498" s="121"/>
      <c r="X498" s="121"/>
      <c r="Y498" s="121"/>
      <c r="Z498" s="121"/>
    </row>
    <row r="499" customFormat="false" ht="15.75" hidden="false" customHeight="false" outlineLevel="0" collapsed="false">
      <c r="A499" s="121"/>
      <c r="B499" s="121"/>
      <c r="C499" s="121"/>
      <c r="D499" s="121"/>
      <c r="E499" s="121"/>
      <c r="F499" s="121"/>
      <c r="G499" s="121"/>
      <c r="H499" s="121"/>
      <c r="I499" s="121"/>
      <c r="J499" s="121"/>
      <c r="K499" s="121"/>
      <c r="L499" s="121"/>
      <c r="M499" s="121"/>
      <c r="N499" s="121"/>
      <c r="O499" s="121"/>
      <c r="P499" s="121"/>
      <c r="Q499" s="121"/>
      <c r="R499" s="121"/>
      <c r="S499" s="121"/>
      <c r="T499" s="121"/>
      <c r="U499" s="121"/>
      <c r="V499" s="121"/>
      <c r="W499" s="121"/>
      <c r="X499" s="121"/>
      <c r="Y499" s="121"/>
      <c r="Z499" s="121"/>
    </row>
    <row r="500" customFormat="false" ht="15.75" hidden="false" customHeight="false" outlineLevel="0" collapsed="false">
      <c r="A500" s="121"/>
      <c r="B500" s="121"/>
      <c r="C500" s="121"/>
      <c r="D500" s="121"/>
      <c r="E500" s="121"/>
      <c r="F500" s="121"/>
      <c r="G500" s="121"/>
      <c r="H500" s="121"/>
      <c r="I500" s="121"/>
      <c r="J500" s="121"/>
      <c r="K500" s="121"/>
      <c r="L500" s="121"/>
      <c r="M500" s="121"/>
      <c r="N500" s="121"/>
      <c r="O500" s="121"/>
      <c r="P500" s="121"/>
      <c r="Q500" s="121"/>
      <c r="R500" s="121"/>
      <c r="S500" s="121"/>
      <c r="T500" s="121"/>
      <c r="U500" s="121"/>
      <c r="V500" s="121"/>
      <c r="W500" s="121"/>
      <c r="X500" s="121"/>
      <c r="Y500" s="121"/>
      <c r="Z500" s="121"/>
    </row>
    <row r="501" customFormat="false" ht="15.75" hidden="false" customHeight="false" outlineLevel="0" collapsed="false">
      <c r="A501" s="121"/>
      <c r="B501" s="121"/>
      <c r="C501" s="121"/>
      <c r="D501" s="121"/>
      <c r="E501" s="121"/>
      <c r="F501" s="121"/>
      <c r="G501" s="121"/>
      <c r="H501" s="121"/>
      <c r="I501" s="121"/>
      <c r="J501" s="121"/>
      <c r="K501" s="121"/>
      <c r="L501" s="121"/>
      <c r="M501" s="121"/>
      <c r="N501" s="121"/>
      <c r="O501" s="121"/>
      <c r="P501" s="121"/>
      <c r="Q501" s="121"/>
      <c r="R501" s="121"/>
      <c r="S501" s="121"/>
      <c r="T501" s="121"/>
      <c r="U501" s="121"/>
      <c r="V501" s="121"/>
      <c r="W501" s="121"/>
      <c r="X501" s="121"/>
      <c r="Y501" s="121"/>
      <c r="Z501" s="121"/>
    </row>
    <row r="502" customFormat="false" ht="15.75" hidden="false" customHeight="false" outlineLevel="0" collapsed="false">
      <c r="A502" s="121"/>
      <c r="B502" s="121"/>
      <c r="C502" s="121"/>
      <c r="D502" s="121"/>
      <c r="E502" s="121"/>
      <c r="F502" s="121"/>
      <c r="G502" s="121"/>
      <c r="H502" s="121"/>
      <c r="I502" s="121"/>
      <c r="J502" s="121"/>
      <c r="K502" s="121"/>
      <c r="L502" s="121"/>
      <c r="M502" s="121"/>
      <c r="N502" s="121"/>
      <c r="O502" s="121"/>
      <c r="P502" s="121"/>
      <c r="Q502" s="121"/>
      <c r="R502" s="121"/>
      <c r="S502" s="121"/>
      <c r="T502" s="121"/>
      <c r="U502" s="121"/>
      <c r="V502" s="121"/>
      <c r="W502" s="121"/>
      <c r="X502" s="121"/>
      <c r="Y502" s="121"/>
      <c r="Z502" s="121"/>
    </row>
    <row r="503" customFormat="false" ht="15.75" hidden="false" customHeight="false" outlineLevel="0" collapsed="false">
      <c r="A503" s="121"/>
      <c r="B503" s="121"/>
      <c r="C503" s="121"/>
      <c r="D503" s="121"/>
      <c r="E503" s="121"/>
      <c r="F503" s="121"/>
      <c r="G503" s="121"/>
      <c r="H503" s="121"/>
      <c r="I503" s="121"/>
      <c r="J503" s="121"/>
      <c r="K503" s="121"/>
      <c r="L503" s="121"/>
      <c r="M503" s="121"/>
      <c r="N503" s="121"/>
      <c r="O503" s="121"/>
      <c r="P503" s="121"/>
      <c r="Q503" s="121"/>
      <c r="R503" s="121"/>
      <c r="S503" s="121"/>
      <c r="T503" s="121"/>
      <c r="U503" s="121"/>
      <c r="V503" s="121"/>
      <c r="W503" s="121"/>
      <c r="X503" s="121"/>
      <c r="Y503" s="121"/>
      <c r="Z503" s="121"/>
    </row>
    <row r="504" customFormat="false" ht="15.75" hidden="false" customHeight="false" outlineLevel="0" collapsed="false">
      <c r="A504" s="121"/>
      <c r="B504" s="121"/>
      <c r="C504" s="121"/>
      <c r="D504" s="121"/>
      <c r="E504" s="121"/>
      <c r="F504" s="121"/>
      <c r="G504" s="121"/>
      <c r="H504" s="121"/>
      <c r="I504" s="121"/>
      <c r="J504" s="121"/>
      <c r="K504" s="121"/>
      <c r="L504" s="121"/>
      <c r="M504" s="121"/>
      <c r="N504" s="121"/>
      <c r="O504" s="121"/>
      <c r="P504" s="121"/>
      <c r="Q504" s="121"/>
      <c r="R504" s="121"/>
      <c r="S504" s="121"/>
      <c r="T504" s="121"/>
      <c r="U504" s="121"/>
      <c r="V504" s="121"/>
      <c r="W504" s="121"/>
      <c r="X504" s="121"/>
      <c r="Y504" s="121"/>
      <c r="Z504" s="121"/>
    </row>
    <row r="505" customFormat="false" ht="15.75" hidden="false" customHeight="false" outlineLevel="0" collapsed="false">
      <c r="A505" s="121"/>
      <c r="B505" s="121"/>
      <c r="C505" s="121"/>
      <c r="D505" s="121"/>
      <c r="E505" s="121"/>
      <c r="F505" s="121"/>
      <c r="G505" s="121"/>
      <c r="H505" s="121"/>
      <c r="I505" s="121"/>
      <c r="J505" s="121"/>
      <c r="K505" s="121"/>
      <c r="L505" s="121"/>
      <c r="M505" s="121"/>
      <c r="N505" s="121"/>
      <c r="O505" s="121"/>
      <c r="P505" s="121"/>
      <c r="Q505" s="121"/>
      <c r="R505" s="121"/>
      <c r="S505" s="121"/>
      <c r="T505" s="121"/>
      <c r="U505" s="121"/>
      <c r="V505" s="121"/>
      <c r="W505" s="121"/>
      <c r="X505" s="121"/>
      <c r="Y505" s="121"/>
      <c r="Z505" s="121"/>
    </row>
    <row r="506" customFormat="false" ht="15.75" hidden="false" customHeight="false" outlineLevel="0" collapsed="false">
      <c r="A506" s="121"/>
      <c r="B506" s="121"/>
      <c r="C506" s="121"/>
      <c r="D506" s="121"/>
      <c r="E506" s="121"/>
      <c r="F506" s="121"/>
      <c r="G506" s="121"/>
      <c r="H506" s="121"/>
      <c r="I506" s="121"/>
      <c r="J506" s="121"/>
      <c r="K506" s="121"/>
      <c r="L506" s="121"/>
      <c r="M506" s="121"/>
      <c r="N506" s="121"/>
      <c r="O506" s="121"/>
      <c r="P506" s="121"/>
      <c r="Q506" s="121"/>
      <c r="R506" s="121"/>
      <c r="S506" s="121"/>
      <c r="T506" s="121"/>
      <c r="U506" s="121"/>
      <c r="V506" s="121"/>
      <c r="W506" s="121"/>
      <c r="X506" s="121"/>
      <c r="Y506" s="121"/>
      <c r="Z506" s="121"/>
    </row>
    <row r="507" customFormat="false" ht="15.75" hidden="false" customHeight="false" outlineLevel="0" collapsed="false">
      <c r="A507" s="121"/>
      <c r="B507" s="121"/>
      <c r="C507" s="121"/>
      <c r="D507" s="121"/>
      <c r="E507" s="121"/>
      <c r="F507" s="121"/>
      <c r="G507" s="121"/>
      <c r="H507" s="121"/>
      <c r="I507" s="121"/>
      <c r="J507" s="121"/>
      <c r="K507" s="121"/>
      <c r="L507" s="121"/>
      <c r="M507" s="121"/>
      <c r="N507" s="121"/>
      <c r="O507" s="121"/>
      <c r="P507" s="121"/>
      <c r="Q507" s="121"/>
      <c r="R507" s="121"/>
      <c r="S507" s="121"/>
      <c r="T507" s="121"/>
      <c r="U507" s="121"/>
      <c r="V507" s="121"/>
      <c r="W507" s="121"/>
      <c r="X507" s="121"/>
      <c r="Y507" s="121"/>
      <c r="Z507" s="121"/>
    </row>
    <row r="508" customFormat="false" ht="15.75" hidden="false" customHeight="false" outlineLevel="0" collapsed="false">
      <c r="A508" s="121"/>
      <c r="B508" s="121"/>
      <c r="C508" s="121"/>
      <c r="D508" s="121"/>
      <c r="E508" s="121"/>
      <c r="F508" s="121"/>
      <c r="G508" s="121"/>
      <c r="H508" s="121"/>
      <c r="I508" s="121"/>
      <c r="J508" s="121"/>
      <c r="K508" s="121"/>
      <c r="L508" s="121"/>
      <c r="M508" s="121"/>
      <c r="N508" s="121"/>
      <c r="O508" s="121"/>
      <c r="P508" s="121"/>
      <c r="Q508" s="121"/>
      <c r="R508" s="121"/>
      <c r="S508" s="121"/>
      <c r="T508" s="121"/>
      <c r="U508" s="121"/>
      <c r="V508" s="121"/>
      <c r="W508" s="121"/>
      <c r="X508" s="121"/>
      <c r="Y508" s="121"/>
      <c r="Z508" s="121"/>
    </row>
    <row r="509" customFormat="false" ht="15.75" hidden="false" customHeight="false" outlineLevel="0" collapsed="false">
      <c r="A509" s="121"/>
      <c r="B509" s="121"/>
      <c r="C509" s="121"/>
      <c r="D509" s="121"/>
      <c r="E509" s="121"/>
      <c r="F509" s="121"/>
      <c r="G509" s="121"/>
      <c r="H509" s="121"/>
      <c r="I509" s="121"/>
      <c r="J509" s="121"/>
      <c r="K509" s="121"/>
      <c r="L509" s="121"/>
      <c r="M509" s="121"/>
      <c r="N509" s="121"/>
      <c r="O509" s="121"/>
      <c r="P509" s="121"/>
      <c r="Q509" s="121"/>
      <c r="R509" s="121"/>
      <c r="S509" s="121"/>
      <c r="T509" s="121"/>
      <c r="U509" s="121"/>
      <c r="V509" s="121"/>
      <c r="W509" s="121"/>
      <c r="X509" s="121"/>
      <c r="Y509" s="121"/>
      <c r="Z509" s="121"/>
    </row>
    <row r="510" customFormat="false" ht="15.75" hidden="false" customHeight="false" outlineLevel="0" collapsed="false">
      <c r="A510" s="121"/>
      <c r="B510" s="121"/>
      <c r="C510" s="121"/>
      <c r="D510" s="121"/>
      <c r="E510" s="121"/>
      <c r="F510" s="121"/>
      <c r="G510" s="121"/>
      <c r="H510" s="121"/>
      <c r="I510" s="121"/>
      <c r="J510" s="121"/>
      <c r="K510" s="121"/>
      <c r="L510" s="121"/>
      <c r="M510" s="121"/>
      <c r="N510" s="121"/>
      <c r="O510" s="121"/>
      <c r="P510" s="121"/>
      <c r="Q510" s="121"/>
      <c r="R510" s="121"/>
      <c r="S510" s="121"/>
      <c r="T510" s="121"/>
      <c r="U510" s="121"/>
      <c r="V510" s="121"/>
      <c r="W510" s="121"/>
      <c r="X510" s="121"/>
      <c r="Y510" s="121"/>
      <c r="Z510" s="121"/>
    </row>
    <row r="511" customFormat="false" ht="15.75" hidden="false" customHeight="false" outlineLevel="0" collapsed="false">
      <c r="A511" s="121"/>
      <c r="B511" s="121"/>
      <c r="C511" s="121"/>
      <c r="D511" s="121"/>
      <c r="E511" s="121"/>
      <c r="F511" s="121"/>
      <c r="G511" s="121"/>
      <c r="H511" s="121"/>
      <c r="I511" s="121"/>
      <c r="J511" s="121"/>
      <c r="K511" s="121"/>
      <c r="L511" s="121"/>
      <c r="M511" s="121"/>
      <c r="N511" s="121"/>
      <c r="O511" s="121"/>
      <c r="P511" s="121"/>
      <c r="Q511" s="121"/>
      <c r="R511" s="121"/>
      <c r="S511" s="121"/>
      <c r="T511" s="121"/>
      <c r="U511" s="121"/>
      <c r="V511" s="121"/>
      <c r="W511" s="121"/>
      <c r="X511" s="121"/>
      <c r="Y511" s="121"/>
      <c r="Z511" s="121"/>
    </row>
    <row r="512" customFormat="false" ht="15.75" hidden="false" customHeight="false" outlineLevel="0" collapsed="false">
      <c r="A512" s="121"/>
      <c r="B512" s="121"/>
      <c r="C512" s="121"/>
      <c r="D512" s="121"/>
      <c r="E512" s="121"/>
      <c r="F512" s="121"/>
      <c r="G512" s="121"/>
      <c r="H512" s="121"/>
      <c r="I512" s="121"/>
      <c r="J512" s="121"/>
      <c r="K512" s="121"/>
      <c r="L512" s="121"/>
      <c r="M512" s="121"/>
      <c r="N512" s="121"/>
      <c r="O512" s="121"/>
      <c r="P512" s="121"/>
      <c r="Q512" s="121"/>
      <c r="R512" s="121"/>
      <c r="S512" s="121"/>
      <c r="T512" s="121"/>
      <c r="U512" s="121"/>
      <c r="V512" s="121"/>
      <c r="W512" s="121"/>
      <c r="X512" s="121"/>
      <c r="Y512" s="121"/>
      <c r="Z512" s="121"/>
    </row>
    <row r="513" customFormat="false" ht="15.75" hidden="false" customHeight="false" outlineLevel="0" collapsed="false">
      <c r="A513" s="121"/>
      <c r="B513" s="121"/>
      <c r="C513" s="121"/>
      <c r="D513" s="121"/>
      <c r="E513" s="121"/>
      <c r="F513" s="121"/>
      <c r="G513" s="121"/>
      <c r="H513" s="121"/>
      <c r="I513" s="121"/>
      <c r="J513" s="121"/>
      <c r="K513" s="121"/>
      <c r="L513" s="121"/>
      <c r="M513" s="121"/>
      <c r="N513" s="121"/>
      <c r="O513" s="121"/>
      <c r="P513" s="121"/>
      <c r="Q513" s="121"/>
      <c r="R513" s="121"/>
      <c r="S513" s="121"/>
      <c r="T513" s="121"/>
      <c r="U513" s="121"/>
      <c r="V513" s="121"/>
      <c r="W513" s="121"/>
      <c r="X513" s="121"/>
      <c r="Y513" s="121"/>
      <c r="Z513" s="121"/>
    </row>
    <row r="514" customFormat="false" ht="15.75" hidden="false" customHeight="false" outlineLevel="0" collapsed="false">
      <c r="A514" s="121"/>
      <c r="B514" s="121"/>
      <c r="C514" s="121"/>
      <c r="D514" s="121"/>
      <c r="E514" s="121"/>
      <c r="F514" s="121"/>
      <c r="G514" s="121"/>
      <c r="H514" s="121"/>
      <c r="I514" s="121"/>
      <c r="J514" s="121"/>
      <c r="K514" s="121"/>
      <c r="L514" s="121"/>
      <c r="M514" s="121"/>
      <c r="N514" s="121"/>
      <c r="O514" s="121"/>
      <c r="P514" s="121"/>
      <c r="Q514" s="121"/>
      <c r="R514" s="121"/>
      <c r="S514" s="121"/>
      <c r="T514" s="121"/>
      <c r="U514" s="121"/>
      <c r="V514" s="121"/>
      <c r="W514" s="121"/>
      <c r="X514" s="121"/>
      <c r="Y514" s="121"/>
      <c r="Z514" s="121"/>
    </row>
    <row r="515" customFormat="false" ht="15.75" hidden="false" customHeight="false" outlineLevel="0" collapsed="false">
      <c r="A515" s="121"/>
      <c r="B515" s="121"/>
      <c r="C515" s="121"/>
      <c r="D515" s="121"/>
      <c r="E515" s="121"/>
      <c r="F515" s="121"/>
      <c r="G515" s="121"/>
      <c r="H515" s="121"/>
      <c r="I515" s="121"/>
      <c r="J515" s="121"/>
      <c r="K515" s="121"/>
      <c r="L515" s="121"/>
      <c r="M515" s="121"/>
      <c r="N515" s="121"/>
      <c r="O515" s="121"/>
      <c r="P515" s="121"/>
      <c r="Q515" s="121"/>
      <c r="R515" s="121"/>
      <c r="S515" s="121"/>
      <c r="T515" s="121"/>
      <c r="U515" s="121"/>
      <c r="V515" s="121"/>
      <c r="W515" s="121"/>
      <c r="X515" s="121"/>
      <c r="Y515" s="121"/>
      <c r="Z515" s="121"/>
    </row>
    <row r="516" customFormat="false" ht="15.75" hidden="false" customHeight="false" outlineLevel="0" collapsed="false">
      <c r="A516" s="121"/>
      <c r="B516" s="121"/>
      <c r="C516" s="121"/>
      <c r="D516" s="121"/>
      <c r="E516" s="121"/>
      <c r="F516" s="121"/>
      <c r="G516" s="121"/>
      <c r="H516" s="121"/>
      <c r="I516" s="121"/>
      <c r="J516" s="121"/>
      <c r="K516" s="121"/>
      <c r="L516" s="121"/>
      <c r="M516" s="121"/>
      <c r="N516" s="121"/>
      <c r="O516" s="121"/>
      <c r="P516" s="121"/>
      <c r="Q516" s="121"/>
      <c r="R516" s="121"/>
      <c r="S516" s="121"/>
      <c r="T516" s="121"/>
      <c r="U516" s="121"/>
      <c r="V516" s="121"/>
      <c r="W516" s="121"/>
      <c r="X516" s="121"/>
      <c r="Y516" s="121"/>
      <c r="Z516" s="121"/>
    </row>
    <row r="517" customFormat="false" ht="15.75" hidden="false" customHeight="false" outlineLevel="0" collapsed="false">
      <c r="A517" s="121"/>
      <c r="B517" s="121"/>
      <c r="C517" s="121"/>
      <c r="D517" s="121"/>
      <c r="E517" s="121"/>
      <c r="F517" s="121"/>
      <c r="G517" s="121"/>
      <c r="H517" s="121"/>
      <c r="I517" s="121"/>
      <c r="J517" s="121"/>
      <c r="K517" s="121"/>
      <c r="L517" s="121"/>
      <c r="M517" s="121"/>
      <c r="N517" s="121"/>
      <c r="O517" s="121"/>
      <c r="P517" s="121"/>
      <c r="Q517" s="121"/>
      <c r="R517" s="121"/>
      <c r="S517" s="121"/>
      <c r="T517" s="121"/>
      <c r="U517" s="121"/>
      <c r="V517" s="121"/>
      <c r="W517" s="121"/>
      <c r="X517" s="121"/>
      <c r="Y517" s="121"/>
      <c r="Z517" s="121"/>
    </row>
    <row r="518" customFormat="false" ht="15.75" hidden="false" customHeight="false" outlineLevel="0" collapsed="false">
      <c r="A518" s="121"/>
      <c r="B518" s="121"/>
      <c r="C518" s="121"/>
      <c r="D518" s="121"/>
      <c r="E518" s="121"/>
      <c r="F518" s="121"/>
      <c r="G518" s="121"/>
      <c r="H518" s="121"/>
      <c r="I518" s="121"/>
      <c r="J518" s="121"/>
      <c r="K518" s="121"/>
      <c r="L518" s="121"/>
      <c r="M518" s="121"/>
      <c r="N518" s="121"/>
      <c r="O518" s="121"/>
      <c r="P518" s="121"/>
      <c r="Q518" s="121"/>
      <c r="R518" s="121"/>
      <c r="S518" s="121"/>
      <c r="T518" s="121"/>
      <c r="U518" s="121"/>
      <c r="V518" s="121"/>
      <c r="W518" s="121"/>
      <c r="X518" s="121"/>
      <c r="Y518" s="121"/>
      <c r="Z518" s="121"/>
    </row>
    <row r="519" customFormat="false" ht="15.75" hidden="false" customHeight="false" outlineLevel="0" collapsed="false">
      <c r="A519" s="121"/>
      <c r="B519" s="121"/>
      <c r="C519" s="121"/>
      <c r="D519" s="121"/>
      <c r="E519" s="121"/>
      <c r="F519" s="121"/>
      <c r="G519" s="121"/>
      <c r="H519" s="121"/>
      <c r="I519" s="121"/>
      <c r="J519" s="121"/>
      <c r="K519" s="121"/>
      <c r="L519" s="121"/>
      <c r="M519" s="121"/>
      <c r="N519" s="121"/>
      <c r="O519" s="121"/>
      <c r="P519" s="121"/>
      <c r="Q519" s="121"/>
      <c r="R519" s="121"/>
      <c r="S519" s="121"/>
      <c r="T519" s="121"/>
      <c r="U519" s="121"/>
      <c r="V519" s="121"/>
      <c r="W519" s="121"/>
      <c r="X519" s="121"/>
      <c r="Y519" s="121"/>
      <c r="Z519" s="121"/>
    </row>
    <row r="520" customFormat="false" ht="15.75" hidden="false" customHeight="false" outlineLevel="0" collapsed="false">
      <c r="A520" s="121"/>
      <c r="B520" s="121"/>
      <c r="C520" s="121"/>
      <c r="D520" s="121"/>
      <c r="E520" s="121"/>
      <c r="F520" s="121"/>
      <c r="G520" s="121"/>
      <c r="H520" s="121"/>
      <c r="I520" s="121"/>
      <c r="J520" s="121"/>
      <c r="K520" s="121"/>
      <c r="L520" s="121"/>
      <c r="M520" s="121"/>
      <c r="N520" s="121"/>
      <c r="O520" s="121"/>
      <c r="P520" s="121"/>
      <c r="Q520" s="121"/>
      <c r="R520" s="121"/>
      <c r="S520" s="121"/>
      <c r="T520" s="121"/>
      <c r="U520" s="121"/>
      <c r="V520" s="121"/>
      <c r="W520" s="121"/>
      <c r="X520" s="121"/>
      <c r="Y520" s="121"/>
      <c r="Z520" s="121"/>
    </row>
    <row r="521" customFormat="false" ht="15.75" hidden="false" customHeight="false" outlineLevel="0" collapsed="false">
      <c r="A521" s="121"/>
      <c r="B521" s="121"/>
      <c r="C521" s="121"/>
      <c r="D521" s="121"/>
      <c r="E521" s="121"/>
      <c r="F521" s="121"/>
      <c r="G521" s="121"/>
      <c r="H521" s="121"/>
      <c r="I521" s="121"/>
      <c r="J521" s="121"/>
      <c r="K521" s="121"/>
      <c r="L521" s="121"/>
      <c r="M521" s="121"/>
      <c r="N521" s="121"/>
      <c r="O521" s="121"/>
      <c r="P521" s="121"/>
      <c r="Q521" s="121"/>
      <c r="R521" s="121"/>
      <c r="S521" s="121"/>
      <c r="T521" s="121"/>
      <c r="U521" s="121"/>
      <c r="V521" s="121"/>
      <c r="W521" s="121"/>
      <c r="X521" s="121"/>
      <c r="Y521" s="121"/>
      <c r="Z521" s="121"/>
    </row>
    <row r="522" customFormat="false" ht="15.75" hidden="false" customHeight="false" outlineLevel="0" collapsed="false">
      <c r="A522" s="121"/>
      <c r="B522" s="121"/>
      <c r="C522" s="121"/>
      <c r="D522" s="121"/>
      <c r="E522" s="121"/>
      <c r="F522" s="121"/>
      <c r="G522" s="121"/>
      <c r="H522" s="121"/>
      <c r="I522" s="121"/>
      <c r="J522" s="121"/>
      <c r="K522" s="121"/>
      <c r="L522" s="121"/>
      <c r="M522" s="121"/>
      <c r="N522" s="121"/>
      <c r="O522" s="121"/>
      <c r="P522" s="121"/>
      <c r="Q522" s="121"/>
      <c r="R522" s="121"/>
      <c r="S522" s="121"/>
      <c r="T522" s="121"/>
      <c r="U522" s="121"/>
      <c r="V522" s="121"/>
      <c r="W522" s="121"/>
      <c r="X522" s="121"/>
      <c r="Y522" s="121"/>
      <c r="Z522" s="121"/>
    </row>
    <row r="523" customFormat="false" ht="15.75" hidden="false" customHeight="false" outlineLevel="0" collapsed="false">
      <c r="A523" s="121"/>
      <c r="B523" s="121"/>
      <c r="C523" s="121"/>
      <c r="D523" s="121"/>
      <c r="E523" s="121"/>
      <c r="F523" s="121"/>
      <c r="G523" s="121"/>
      <c r="H523" s="121"/>
      <c r="I523" s="121"/>
      <c r="J523" s="121"/>
      <c r="K523" s="121"/>
      <c r="L523" s="121"/>
      <c r="M523" s="121"/>
      <c r="N523" s="121"/>
      <c r="O523" s="121"/>
      <c r="P523" s="121"/>
      <c r="Q523" s="121"/>
      <c r="R523" s="121"/>
      <c r="S523" s="121"/>
      <c r="T523" s="121"/>
      <c r="U523" s="121"/>
      <c r="V523" s="121"/>
      <c r="W523" s="121"/>
      <c r="X523" s="121"/>
      <c r="Y523" s="121"/>
      <c r="Z523" s="121"/>
    </row>
    <row r="524" customFormat="false" ht="15.75" hidden="false" customHeight="false" outlineLevel="0" collapsed="false">
      <c r="A524" s="121"/>
      <c r="B524" s="121"/>
      <c r="C524" s="121"/>
      <c r="D524" s="121"/>
      <c r="E524" s="121"/>
      <c r="F524" s="121"/>
      <c r="G524" s="121"/>
      <c r="H524" s="121"/>
      <c r="I524" s="121"/>
      <c r="J524" s="121"/>
      <c r="K524" s="121"/>
      <c r="L524" s="121"/>
      <c r="M524" s="121"/>
      <c r="N524" s="121"/>
      <c r="O524" s="121"/>
      <c r="P524" s="121"/>
      <c r="Q524" s="121"/>
      <c r="R524" s="121"/>
      <c r="S524" s="121"/>
      <c r="T524" s="121"/>
      <c r="U524" s="121"/>
      <c r="V524" s="121"/>
      <c r="W524" s="121"/>
      <c r="X524" s="121"/>
      <c r="Y524" s="121"/>
      <c r="Z524" s="121"/>
    </row>
    <row r="525" customFormat="false" ht="15.75" hidden="false" customHeight="false" outlineLevel="0" collapsed="false">
      <c r="A525" s="121"/>
      <c r="B525" s="121"/>
      <c r="C525" s="121"/>
      <c r="D525" s="121"/>
      <c r="E525" s="121"/>
      <c r="F525" s="121"/>
      <c r="G525" s="121"/>
      <c r="H525" s="121"/>
      <c r="I525" s="121"/>
      <c r="J525" s="121"/>
      <c r="K525" s="121"/>
      <c r="L525" s="121"/>
      <c r="M525" s="121"/>
      <c r="N525" s="121"/>
      <c r="O525" s="121"/>
      <c r="P525" s="121"/>
      <c r="Q525" s="121"/>
      <c r="R525" s="121"/>
      <c r="S525" s="121"/>
      <c r="T525" s="121"/>
      <c r="U525" s="121"/>
      <c r="V525" s="121"/>
      <c r="W525" s="121"/>
      <c r="X525" s="121"/>
      <c r="Y525" s="121"/>
      <c r="Z525" s="121"/>
    </row>
    <row r="526" customFormat="false" ht="15.75" hidden="false" customHeight="false" outlineLevel="0" collapsed="false">
      <c r="A526" s="121"/>
      <c r="B526" s="121"/>
      <c r="C526" s="121"/>
      <c r="D526" s="121"/>
      <c r="E526" s="121"/>
      <c r="F526" s="121"/>
      <c r="G526" s="121"/>
      <c r="H526" s="121"/>
      <c r="I526" s="121"/>
      <c r="J526" s="121"/>
      <c r="K526" s="121"/>
      <c r="L526" s="121"/>
      <c r="M526" s="121"/>
      <c r="N526" s="121"/>
      <c r="O526" s="121"/>
      <c r="P526" s="121"/>
      <c r="Q526" s="121"/>
      <c r="R526" s="121"/>
      <c r="S526" s="121"/>
      <c r="T526" s="121"/>
      <c r="U526" s="121"/>
      <c r="V526" s="121"/>
      <c r="W526" s="121"/>
      <c r="X526" s="121"/>
      <c r="Y526" s="121"/>
      <c r="Z526" s="121"/>
    </row>
    <row r="527" customFormat="false" ht="15.75" hidden="false" customHeight="false" outlineLevel="0" collapsed="false">
      <c r="A527" s="121"/>
      <c r="B527" s="121"/>
      <c r="C527" s="121"/>
      <c r="D527" s="121"/>
      <c r="E527" s="121"/>
      <c r="F527" s="121"/>
      <c r="G527" s="121"/>
      <c r="H527" s="121"/>
      <c r="I527" s="121"/>
      <c r="J527" s="121"/>
      <c r="K527" s="121"/>
      <c r="L527" s="121"/>
      <c r="M527" s="121"/>
      <c r="N527" s="121"/>
      <c r="O527" s="121"/>
      <c r="P527" s="121"/>
      <c r="Q527" s="121"/>
      <c r="R527" s="121"/>
      <c r="S527" s="121"/>
      <c r="T527" s="121"/>
      <c r="U527" s="121"/>
      <c r="V527" s="121"/>
      <c r="W527" s="121"/>
      <c r="X527" s="121"/>
      <c r="Y527" s="121"/>
      <c r="Z527" s="121"/>
    </row>
    <row r="528" customFormat="false" ht="15.75" hidden="false" customHeight="false" outlineLevel="0" collapsed="false">
      <c r="A528" s="121"/>
      <c r="B528" s="121"/>
      <c r="C528" s="121"/>
      <c r="D528" s="121"/>
      <c r="E528" s="121"/>
      <c r="F528" s="121"/>
      <c r="G528" s="121"/>
      <c r="H528" s="121"/>
      <c r="I528" s="121"/>
      <c r="J528" s="121"/>
      <c r="K528" s="121"/>
      <c r="L528" s="121"/>
      <c r="M528" s="121"/>
      <c r="N528" s="121"/>
      <c r="O528" s="121"/>
      <c r="P528" s="121"/>
      <c r="Q528" s="121"/>
      <c r="R528" s="121"/>
      <c r="S528" s="121"/>
      <c r="T528" s="121"/>
      <c r="U528" s="121"/>
      <c r="V528" s="121"/>
      <c r="W528" s="121"/>
      <c r="X528" s="121"/>
      <c r="Y528" s="121"/>
      <c r="Z528" s="121"/>
    </row>
    <row r="529" customFormat="false" ht="15.75" hidden="false" customHeight="false" outlineLevel="0" collapsed="false">
      <c r="A529" s="121"/>
      <c r="B529" s="121"/>
      <c r="C529" s="121"/>
      <c r="D529" s="121"/>
      <c r="E529" s="121"/>
      <c r="F529" s="121"/>
      <c r="G529" s="121"/>
      <c r="H529" s="121"/>
      <c r="I529" s="121"/>
      <c r="J529" s="121"/>
      <c r="K529" s="121"/>
      <c r="L529" s="121"/>
      <c r="M529" s="121"/>
      <c r="N529" s="121"/>
      <c r="O529" s="121"/>
      <c r="P529" s="121"/>
      <c r="Q529" s="121"/>
      <c r="R529" s="121"/>
      <c r="S529" s="121"/>
      <c r="T529" s="121"/>
      <c r="U529" s="121"/>
      <c r="V529" s="121"/>
      <c r="W529" s="121"/>
      <c r="X529" s="121"/>
      <c r="Y529" s="121"/>
      <c r="Z529" s="121"/>
    </row>
    <row r="530" customFormat="false" ht="15.75" hidden="false" customHeight="false" outlineLevel="0" collapsed="false">
      <c r="A530" s="121"/>
      <c r="B530" s="121"/>
      <c r="C530" s="121"/>
      <c r="D530" s="121"/>
      <c r="E530" s="121"/>
      <c r="F530" s="121"/>
      <c r="G530" s="121"/>
      <c r="H530" s="121"/>
      <c r="I530" s="121"/>
      <c r="J530" s="121"/>
      <c r="K530" s="121"/>
      <c r="L530" s="121"/>
      <c r="M530" s="121"/>
      <c r="N530" s="121"/>
      <c r="O530" s="121"/>
      <c r="P530" s="121"/>
      <c r="Q530" s="121"/>
      <c r="R530" s="121"/>
      <c r="S530" s="121"/>
      <c r="T530" s="121"/>
      <c r="U530" s="121"/>
      <c r="V530" s="121"/>
      <c r="W530" s="121"/>
      <c r="X530" s="121"/>
      <c r="Y530" s="121"/>
      <c r="Z530" s="121"/>
    </row>
    <row r="531" customFormat="false" ht="15.75" hidden="false" customHeight="false" outlineLevel="0" collapsed="false">
      <c r="A531" s="121"/>
      <c r="B531" s="121"/>
      <c r="C531" s="121"/>
      <c r="D531" s="121"/>
      <c r="E531" s="121"/>
      <c r="F531" s="121"/>
      <c r="G531" s="121"/>
      <c r="H531" s="121"/>
      <c r="I531" s="121"/>
      <c r="J531" s="121"/>
      <c r="K531" s="121"/>
      <c r="L531" s="121"/>
      <c r="M531" s="121"/>
      <c r="N531" s="121"/>
      <c r="O531" s="121"/>
      <c r="P531" s="121"/>
      <c r="Q531" s="121"/>
      <c r="R531" s="121"/>
      <c r="S531" s="121"/>
      <c r="T531" s="121"/>
      <c r="U531" s="121"/>
      <c r="V531" s="121"/>
      <c r="W531" s="121"/>
      <c r="X531" s="121"/>
      <c r="Y531" s="121"/>
      <c r="Z531" s="121"/>
    </row>
    <row r="532" customFormat="false" ht="15.75" hidden="false" customHeight="false" outlineLevel="0" collapsed="false">
      <c r="A532" s="121"/>
      <c r="B532" s="121"/>
      <c r="C532" s="121"/>
      <c r="D532" s="121"/>
      <c r="E532" s="121"/>
      <c r="F532" s="121"/>
      <c r="G532" s="121"/>
      <c r="H532" s="121"/>
      <c r="I532" s="121"/>
      <c r="J532" s="121"/>
      <c r="K532" s="121"/>
      <c r="L532" s="121"/>
      <c r="M532" s="121"/>
      <c r="N532" s="121"/>
      <c r="O532" s="121"/>
      <c r="P532" s="121"/>
      <c r="Q532" s="121"/>
      <c r="R532" s="121"/>
      <c r="S532" s="121"/>
      <c r="T532" s="121"/>
      <c r="U532" s="121"/>
      <c r="V532" s="121"/>
      <c r="W532" s="121"/>
      <c r="X532" s="121"/>
      <c r="Y532" s="121"/>
      <c r="Z532" s="121"/>
    </row>
    <row r="533" customFormat="false" ht="15.75" hidden="false" customHeight="false" outlineLevel="0" collapsed="false">
      <c r="A533" s="121"/>
      <c r="B533" s="121"/>
      <c r="C533" s="121"/>
      <c r="D533" s="121"/>
      <c r="E533" s="121"/>
      <c r="F533" s="121"/>
      <c r="G533" s="121"/>
      <c r="H533" s="121"/>
      <c r="I533" s="121"/>
      <c r="J533" s="121"/>
      <c r="K533" s="121"/>
      <c r="L533" s="121"/>
      <c r="M533" s="121"/>
      <c r="N533" s="121"/>
      <c r="O533" s="121"/>
      <c r="P533" s="121"/>
      <c r="Q533" s="121"/>
      <c r="R533" s="121"/>
      <c r="S533" s="121"/>
      <c r="T533" s="121"/>
      <c r="U533" s="121"/>
      <c r="V533" s="121"/>
      <c r="W533" s="121"/>
      <c r="X533" s="121"/>
      <c r="Y533" s="121"/>
      <c r="Z533" s="121"/>
    </row>
    <row r="534" customFormat="false" ht="15.75" hidden="false" customHeight="false" outlineLevel="0" collapsed="false">
      <c r="A534" s="121"/>
      <c r="B534" s="121"/>
      <c r="C534" s="121"/>
      <c r="D534" s="121"/>
      <c r="E534" s="121"/>
      <c r="F534" s="121"/>
      <c r="G534" s="121"/>
      <c r="H534" s="121"/>
      <c r="I534" s="121"/>
      <c r="J534" s="121"/>
      <c r="K534" s="121"/>
      <c r="L534" s="121"/>
      <c r="M534" s="121"/>
      <c r="N534" s="121"/>
      <c r="O534" s="121"/>
      <c r="P534" s="121"/>
      <c r="Q534" s="121"/>
      <c r="R534" s="121"/>
      <c r="S534" s="121"/>
      <c r="T534" s="121"/>
      <c r="U534" s="121"/>
      <c r="V534" s="121"/>
      <c r="W534" s="121"/>
      <c r="X534" s="121"/>
      <c r="Y534" s="121"/>
      <c r="Z534" s="121"/>
    </row>
    <row r="535" customFormat="false" ht="15.75" hidden="false" customHeight="false" outlineLevel="0" collapsed="false">
      <c r="A535" s="121"/>
      <c r="B535" s="121"/>
      <c r="C535" s="121"/>
      <c r="D535" s="121"/>
      <c r="E535" s="121"/>
      <c r="F535" s="121"/>
      <c r="G535" s="121"/>
      <c r="H535" s="121"/>
      <c r="I535" s="121"/>
      <c r="J535" s="121"/>
      <c r="K535" s="121"/>
      <c r="L535" s="121"/>
      <c r="M535" s="121"/>
      <c r="N535" s="121"/>
      <c r="O535" s="121"/>
      <c r="P535" s="121"/>
      <c r="Q535" s="121"/>
      <c r="R535" s="121"/>
      <c r="S535" s="121"/>
      <c r="T535" s="121"/>
      <c r="U535" s="121"/>
      <c r="V535" s="121"/>
      <c r="W535" s="121"/>
      <c r="X535" s="121"/>
      <c r="Y535" s="121"/>
      <c r="Z535" s="121"/>
    </row>
    <row r="536" customFormat="false" ht="15.75" hidden="false" customHeight="false" outlineLevel="0" collapsed="false">
      <c r="A536" s="121"/>
      <c r="B536" s="121"/>
      <c r="C536" s="121"/>
      <c r="D536" s="121"/>
      <c r="E536" s="121"/>
      <c r="F536" s="121"/>
      <c r="G536" s="121"/>
      <c r="H536" s="121"/>
      <c r="I536" s="121"/>
      <c r="J536" s="121"/>
      <c r="K536" s="121"/>
      <c r="L536" s="121"/>
      <c r="M536" s="121"/>
      <c r="N536" s="121"/>
      <c r="O536" s="121"/>
      <c r="P536" s="121"/>
      <c r="Q536" s="121"/>
      <c r="R536" s="121"/>
      <c r="S536" s="121"/>
      <c r="T536" s="121"/>
      <c r="U536" s="121"/>
      <c r="V536" s="121"/>
      <c r="W536" s="121"/>
      <c r="X536" s="121"/>
      <c r="Y536" s="121"/>
      <c r="Z536" s="121"/>
    </row>
    <row r="537" customFormat="false" ht="15.75" hidden="false" customHeight="false" outlineLevel="0" collapsed="false">
      <c r="A537" s="121"/>
      <c r="B537" s="121"/>
      <c r="C537" s="121"/>
      <c r="D537" s="121"/>
      <c r="E537" s="121"/>
      <c r="F537" s="121"/>
      <c r="G537" s="121"/>
      <c r="H537" s="121"/>
      <c r="I537" s="121"/>
      <c r="J537" s="121"/>
      <c r="K537" s="121"/>
      <c r="L537" s="121"/>
      <c r="M537" s="121"/>
      <c r="N537" s="121"/>
      <c r="O537" s="121"/>
      <c r="P537" s="121"/>
      <c r="Q537" s="121"/>
      <c r="R537" s="121"/>
      <c r="S537" s="121"/>
      <c r="T537" s="121"/>
      <c r="U537" s="121"/>
      <c r="V537" s="121"/>
      <c r="W537" s="121"/>
      <c r="X537" s="121"/>
      <c r="Y537" s="121"/>
      <c r="Z537" s="121"/>
    </row>
    <row r="538" customFormat="false" ht="15.75" hidden="false" customHeight="false" outlineLevel="0" collapsed="false">
      <c r="A538" s="121"/>
      <c r="B538" s="121"/>
      <c r="C538" s="121"/>
      <c r="D538" s="121"/>
      <c r="E538" s="121"/>
      <c r="F538" s="121"/>
      <c r="G538" s="121"/>
      <c r="H538" s="121"/>
      <c r="I538" s="121"/>
      <c r="J538" s="121"/>
      <c r="K538" s="121"/>
      <c r="L538" s="121"/>
      <c r="M538" s="121"/>
      <c r="N538" s="121"/>
      <c r="O538" s="121"/>
      <c r="P538" s="121"/>
      <c r="Q538" s="121"/>
      <c r="R538" s="121"/>
      <c r="S538" s="121"/>
      <c r="T538" s="121"/>
      <c r="U538" s="121"/>
      <c r="V538" s="121"/>
      <c r="W538" s="121"/>
      <c r="X538" s="121"/>
      <c r="Y538" s="121"/>
      <c r="Z538" s="121"/>
    </row>
    <row r="539" customFormat="false" ht="15.75" hidden="false" customHeight="false" outlineLevel="0" collapsed="false">
      <c r="A539" s="121"/>
      <c r="B539" s="121"/>
      <c r="C539" s="121"/>
      <c r="D539" s="121"/>
      <c r="E539" s="121"/>
      <c r="F539" s="121"/>
      <c r="G539" s="121"/>
      <c r="H539" s="121"/>
      <c r="I539" s="121"/>
      <c r="J539" s="121"/>
      <c r="K539" s="121"/>
      <c r="L539" s="121"/>
      <c r="M539" s="121"/>
      <c r="N539" s="121"/>
      <c r="O539" s="121"/>
      <c r="P539" s="121"/>
      <c r="Q539" s="121"/>
      <c r="R539" s="121"/>
      <c r="S539" s="121"/>
      <c r="T539" s="121"/>
      <c r="U539" s="121"/>
      <c r="V539" s="121"/>
      <c r="W539" s="121"/>
      <c r="X539" s="121"/>
      <c r="Y539" s="121"/>
      <c r="Z539" s="121"/>
    </row>
    <row r="540" customFormat="false" ht="15.75" hidden="false" customHeight="false" outlineLevel="0" collapsed="false">
      <c r="A540" s="121"/>
      <c r="B540" s="121"/>
      <c r="C540" s="121"/>
      <c r="D540" s="121"/>
      <c r="E540" s="121"/>
      <c r="F540" s="121"/>
      <c r="G540" s="121"/>
      <c r="H540" s="121"/>
      <c r="I540" s="121"/>
      <c r="J540" s="121"/>
      <c r="K540" s="121"/>
      <c r="L540" s="121"/>
      <c r="M540" s="121"/>
      <c r="N540" s="121"/>
      <c r="O540" s="121"/>
      <c r="P540" s="121"/>
      <c r="Q540" s="121"/>
      <c r="R540" s="121"/>
      <c r="S540" s="121"/>
      <c r="T540" s="121"/>
      <c r="U540" s="121"/>
      <c r="V540" s="121"/>
      <c r="W540" s="121"/>
      <c r="X540" s="121"/>
      <c r="Y540" s="121"/>
      <c r="Z540" s="121"/>
    </row>
    <row r="541" customFormat="false" ht="15.75" hidden="false" customHeight="false" outlineLevel="0" collapsed="false">
      <c r="A541" s="121"/>
      <c r="B541" s="121"/>
      <c r="C541" s="121"/>
      <c r="D541" s="121"/>
      <c r="E541" s="121"/>
      <c r="F541" s="121"/>
      <c r="G541" s="121"/>
      <c r="H541" s="121"/>
      <c r="I541" s="121"/>
      <c r="J541" s="121"/>
      <c r="K541" s="121"/>
      <c r="L541" s="121"/>
      <c r="M541" s="121"/>
      <c r="N541" s="121"/>
      <c r="O541" s="121"/>
      <c r="P541" s="121"/>
      <c r="Q541" s="121"/>
      <c r="R541" s="121"/>
      <c r="S541" s="121"/>
      <c r="T541" s="121"/>
      <c r="U541" s="121"/>
      <c r="V541" s="121"/>
      <c r="W541" s="121"/>
      <c r="X541" s="121"/>
      <c r="Y541" s="121"/>
      <c r="Z541" s="121"/>
    </row>
    <row r="542" customFormat="false" ht="15.75" hidden="false" customHeight="false" outlineLevel="0" collapsed="false">
      <c r="A542" s="121"/>
      <c r="B542" s="121"/>
      <c r="C542" s="121"/>
      <c r="D542" s="121"/>
      <c r="E542" s="121"/>
      <c r="F542" s="121"/>
      <c r="G542" s="121"/>
      <c r="H542" s="121"/>
      <c r="I542" s="121"/>
      <c r="J542" s="121"/>
      <c r="K542" s="121"/>
      <c r="L542" s="121"/>
      <c r="M542" s="121"/>
      <c r="N542" s="121"/>
      <c r="O542" s="121"/>
      <c r="P542" s="121"/>
      <c r="Q542" s="121"/>
      <c r="R542" s="121"/>
      <c r="S542" s="121"/>
      <c r="T542" s="121"/>
      <c r="U542" s="121"/>
      <c r="V542" s="121"/>
      <c r="W542" s="121"/>
      <c r="X542" s="121"/>
      <c r="Y542" s="121"/>
      <c r="Z542" s="121"/>
    </row>
    <row r="543" customFormat="false" ht="15.75" hidden="false" customHeight="false" outlineLevel="0" collapsed="false">
      <c r="A543" s="121"/>
      <c r="B543" s="121"/>
      <c r="C543" s="121"/>
      <c r="D543" s="121"/>
      <c r="E543" s="121"/>
      <c r="F543" s="121"/>
      <c r="G543" s="121"/>
      <c r="H543" s="121"/>
      <c r="I543" s="121"/>
      <c r="J543" s="121"/>
      <c r="K543" s="121"/>
      <c r="L543" s="121"/>
      <c r="M543" s="121"/>
      <c r="N543" s="121"/>
      <c r="O543" s="121"/>
      <c r="P543" s="121"/>
      <c r="Q543" s="121"/>
      <c r="R543" s="121"/>
      <c r="S543" s="121"/>
      <c r="T543" s="121"/>
      <c r="U543" s="121"/>
      <c r="V543" s="121"/>
      <c r="W543" s="121"/>
      <c r="X543" s="121"/>
      <c r="Y543" s="121"/>
      <c r="Z543" s="121"/>
    </row>
    <row r="544" customFormat="false" ht="15.75" hidden="false" customHeight="false" outlineLevel="0" collapsed="false">
      <c r="A544" s="121"/>
      <c r="B544" s="121"/>
      <c r="C544" s="121"/>
      <c r="D544" s="121"/>
      <c r="E544" s="121"/>
      <c r="F544" s="121"/>
      <c r="G544" s="121"/>
      <c r="H544" s="121"/>
      <c r="I544" s="121"/>
      <c r="J544" s="121"/>
      <c r="K544" s="121"/>
      <c r="L544" s="121"/>
      <c r="M544" s="121"/>
      <c r="N544" s="121"/>
      <c r="O544" s="121"/>
      <c r="P544" s="121"/>
      <c r="Q544" s="121"/>
      <c r="R544" s="121"/>
      <c r="S544" s="121"/>
      <c r="T544" s="121"/>
      <c r="U544" s="121"/>
      <c r="V544" s="121"/>
      <c r="W544" s="121"/>
      <c r="X544" s="121"/>
      <c r="Y544" s="121"/>
      <c r="Z544" s="121"/>
    </row>
    <row r="545" customFormat="false" ht="15.75" hidden="false" customHeight="false" outlineLevel="0" collapsed="false">
      <c r="A545" s="121"/>
      <c r="B545" s="121"/>
      <c r="C545" s="121"/>
      <c r="D545" s="121"/>
      <c r="E545" s="121"/>
      <c r="F545" s="121"/>
      <c r="G545" s="121"/>
      <c r="H545" s="121"/>
      <c r="I545" s="121"/>
      <c r="J545" s="121"/>
      <c r="K545" s="121"/>
      <c r="L545" s="121"/>
      <c r="M545" s="121"/>
      <c r="N545" s="121"/>
      <c r="O545" s="121"/>
      <c r="P545" s="121"/>
      <c r="Q545" s="121"/>
      <c r="R545" s="121"/>
      <c r="S545" s="121"/>
      <c r="T545" s="121"/>
      <c r="U545" s="121"/>
      <c r="V545" s="121"/>
      <c r="W545" s="121"/>
      <c r="X545" s="121"/>
      <c r="Y545" s="121"/>
      <c r="Z545" s="121"/>
    </row>
    <row r="546" customFormat="false" ht="15.75" hidden="false" customHeight="false" outlineLevel="0" collapsed="false">
      <c r="A546" s="121"/>
      <c r="B546" s="121"/>
      <c r="C546" s="121"/>
      <c r="D546" s="121"/>
      <c r="E546" s="121"/>
      <c r="F546" s="121"/>
      <c r="G546" s="121"/>
      <c r="H546" s="121"/>
      <c r="I546" s="121"/>
      <c r="J546" s="121"/>
      <c r="K546" s="121"/>
      <c r="L546" s="121"/>
      <c r="M546" s="121"/>
      <c r="N546" s="121"/>
      <c r="O546" s="121"/>
      <c r="P546" s="121"/>
      <c r="Q546" s="121"/>
      <c r="R546" s="121"/>
      <c r="S546" s="121"/>
      <c r="T546" s="121"/>
      <c r="U546" s="121"/>
      <c r="V546" s="121"/>
      <c r="W546" s="121"/>
      <c r="X546" s="121"/>
      <c r="Y546" s="121"/>
      <c r="Z546" s="121"/>
    </row>
    <row r="547" customFormat="false" ht="15.75" hidden="false" customHeight="false" outlineLevel="0" collapsed="false">
      <c r="A547" s="121"/>
      <c r="B547" s="121"/>
      <c r="C547" s="121"/>
      <c r="D547" s="121"/>
      <c r="E547" s="121"/>
      <c r="F547" s="121"/>
      <c r="G547" s="121"/>
      <c r="H547" s="121"/>
      <c r="I547" s="121"/>
      <c r="J547" s="121"/>
      <c r="K547" s="121"/>
      <c r="L547" s="121"/>
      <c r="M547" s="121"/>
      <c r="N547" s="121"/>
      <c r="O547" s="121"/>
      <c r="P547" s="121"/>
      <c r="Q547" s="121"/>
      <c r="R547" s="121"/>
      <c r="S547" s="121"/>
      <c r="T547" s="121"/>
      <c r="U547" s="121"/>
      <c r="V547" s="121"/>
      <c r="W547" s="121"/>
      <c r="X547" s="121"/>
      <c r="Y547" s="121"/>
      <c r="Z547" s="121"/>
    </row>
    <row r="548" customFormat="false" ht="15.75" hidden="false" customHeight="false" outlineLevel="0" collapsed="false">
      <c r="A548" s="121"/>
      <c r="B548" s="121"/>
      <c r="C548" s="121"/>
      <c r="D548" s="121"/>
      <c r="E548" s="121"/>
      <c r="F548" s="121"/>
      <c r="G548" s="121"/>
      <c r="H548" s="121"/>
      <c r="I548" s="121"/>
      <c r="J548" s="121"/>
      <c r="K548" s="121"/>
      <c r="L548" s="121"/>
      <c r="M548" s="121"/>
      <c r="N548" s="121"/>
      <c r="O548" s="121"/>
      <c r="P548" s="121"/>
      <c r="Q548" s="121"/>
      <c r="R548" s="121"/>
      <c r="S548" s="121"/>
      <c r="T548" s="121"/>
      <c r="U548" s="121"/>
      <c r="V548" s="121"/>
      <c r="W548" s="121"/>
      <c r="X548" s="121"/>
      <c r="Y548" s="121"/>
      <c r="Z548" s="121"/>
    </row>
    <row r="549" customFormat="false" ht="15.75" hidden="false" customHeight="false" outlineLevel="0" collapsed="false">
      <c r="A549" s="121"/>
      <c r="B549" s="121"/>
      <c r="C549" s="121"/>
      <c r="D549" s="121"/>
      <c r="E549" s="121"/>
      <c r="F549" s="121"/>
      <c r="G549" s="121"/>
      <c r="H549" s="121"/>
      <c r="I549" s="121"/>
      <c r="J549" s="121"/>
      <c r="K549" s="121"/>
      <c r="L549" s="121"/>
      <c r="M549" s="121"/>
      <c r="N549" s="121"/>
      <c r="O549" s="121"/>
      <c r="P549" s="121"/>
      <c r="Q549" s="121"/>
      <c r="R549" s="121"/>
      <c r="S549" s="121"/>
      <c r="T549" s="121"/>
      <c r="U549" s="121"/>
      <c r="V549" s="121"/>
      <c r="W549" s="121"/>
      <c r="X549" s="121"/>
      <c r="Y549" s="121"/>
      <c r="Z549" s="121"/>
    </row>
    <row r="550" customFormat="false" ht="15.75" hidden="false" customHeight="false" outlineLevel="0" collapsed="false">
      <c r="A550" s="121"/>
      <c r="B550" s="121"/>
      <c r="C550" s="121"/>
      <c r="D550" s="121"/>
      <c r="E550" s="121"/>
      <c r="F550" s="121"/>
      <c r="G550" s="121"/>
      <c r="H550" s="121"/>
      <c r="I550" s="121"/>
      <c r="J550" s="121"/>
      <c r="K550" s="121"/>
      <c r="L550" s="121"/>
      <c r="M550" s="121"/>
      <c r="N550" s="121"/>
      <c r="O550" s="121"/>
      <c r="P550" s="121"/>
      <c r="Q550" s="121"/>
      <c r="R550" s="121"/>
      <c r="S550" s="121"/>
      <c r="T550" s="121"/>
      <c r="U550" s="121"/>
      <c r="V550" s="121"/>
      <c r="W550" s="121"/>
      <c r="X550" s="121"/>
      <c r="Y550" s="121"/>
      <c r="Z550" s="121"/>
    </row>
    <row r="551" customFormat="false" ht="15.75" hidden="false" customHeight="false" outlineLevel="0" collapsed="false">
      <c r="A551" s="121"/>
      <c r="B551" s="121"/>
      <c r="C551" s="121"/>
      <c r="D551" s="121"/>
      <c r="E551" s="121"/>
      <c r="F551" s="121"/>
      <c r="G551" s="121"/>
      <c r="H551" s="121"/>
      <c r="I551" s="121"/>
      <c r="J551" s="121"/>
      <c r="K551" s="121"/>
      <c r="L551" s="121"/>
      <c r="M551" s="121"/>
      <c r="N551" s="121"/>
      <c r="O551" s="121"/>
      <c r="P551" s="121"/>
      <c r="Q551" s="121"/>
      <c r="R551" s="121"/>
      <c r="S551" s="121"/>
      <c r="T551" s="121"/>
      <c r="U551" s="121"/>
      <c r="V551" s="121"/>
      <c r="W551" s="121"/>
      <c r="X551" s="121"/>
      <c r="Y551" s="121"/>
      <c r="Z551" s="121"/>
    </row>
    <row r="552" customFormat="false" ht="15.75" hidden="false" customHeight="false" outlineLevel="0" collapsed="false">
      <c r="A552" s="121"/>
      <c r="B552" s="121"/>
      <c r="C552" s="121"/>
      <c r="D552" s="121"/>
      <c r="E552" s="121"/>
      <c r="F552" s="121"/>
      <c r="G552" s="121"/>
      <c r="H552" s="121"/>
      <c r="I552" s="121"/>
      <c r="J552" s="121"/>
      <c r="K552" s="121"/>
      <c r="L552" s="121"/>
      <c r="M552" s="121"/>
      <c r="N552" s="121"/>
      <c r="O552" s="121"/>
      <c r="P552" s="121"/>
      <c r="Q552" s="121"/>
      <c r="R552" s="121"/>
      <c r="S552" s="121"/>
      <c r="T552" s="121"/>
      <c r="U552" s="121"/>
      <c r="V552" s="121"/>
      <c r="W552" s="121"/>
      <c r="X552" s="121"/>
      <c r="Y552" s="121"/>
      <c r="Z552" s="121"/>
    </row>
    <row r="553" customFormat="false" ht="15.75" hidden="false" customHeight="false" outlineLevel="0" collapsed="false">
      <c r="A553" s="121"/>
      <c r="B553" s="121"/>
      <c r="C553" s="121"/>
      <c r="D553" s="121"/>
      <c r="E553" s="121"/>
      <c r="F553" s="121"/>
      <c r="G553" s="121"/>
      <c r="H553" s="121"/>
      <c r="I553" s="121"/>
      <c r="J553" s="121"/>
      <c r="K553" s="121"/>
      <c r="L553" s="121"/>
      <c r="M553" s="121"/>
      <c r="N553" s="121"/>
      <c r="O553" s="121"/>
      <c r="P553" s="121"/>
      <c r="Q553" s="121"/>
      <c r="R553" s="121"/>
      <c r="S553" s="121"/>
      <c r="T553" s="121"/>
      <c r="U553" s="121"/>
      <c r="V553" s="121"/>
      <c r="W553" s="121"/>
      <c r="X553" s="121"/>
      <c r="Y553" s="121"/>
      <c r="Z553" s="121"/>
    </row>
    <row r="554" customFormat="false" ht="15.75" hidden="false" customHeight="false" outlineLevel="0" collapsed="false">
      <c r="A554" s="121"/>
      <c r="B554" s="121"/>
      <c r="C554" s="121"/>
      <c r="D554" s="121"/>
      <c r="E554" s="121"/>
      <c r="F554" s="121"/>
      <c r="G554" s="121"/>
      <c r="H554" s="121"/>
      <c r="I554" s="121"/>
      <c r="J554" s="121"/>
      <c r="K554" s="121"/>
      <c r="L554" s="121"/>
      <c r="M554" s="121"/>
      <c r="N554" s="121"/>
      <c r="O554" s="121"/>
      <c r="P554" s="121"/>
      <c r="Q554" s="121"/>
      <c r="R554" s="121"/>
      <c r="S554" s="121"/>
      <c r="T554" s="121"/>
      <c r="U554" s="121"/>
      <c r="V554" s="121"/>
      <c r="W554" s="121"/>
      <c r="X554" s="121"/>
      <c r="Y554" s="121"/>
      <c r="Z554" s="121"/>
    </row>
    <row r="555" customFormat="false" ht="15.75" hidden="false" customHeight="false" outlineLevel="0" collapsed="false">
      <c r="A555" s="121"/>
      <c r="B555" s="121"/>
      <c r="C555" s="121"/>
      <c r="D555" s="121"/>
      <c r="E555" s="121"/>
      <c r="F555" s="121"/>
      <c r="G555" s="121"/>
      <c r="H555" s="121"/>
      <c r="I555" s="121"/>
      <c r="J555" s="121"/>
      <c r="K555" s="121"/>
      <c r="L555" s="121"/>
      <c r="M555" s="121"/>
      <c r="N555" s="121"/>
      <c r="O555" s="121"/>
      <c r="P555" s="121"/>
      <c r="Q555" s="121"/>
      <c r="R555" s="121"/>
      <c r="S555" s="121"/>
      <c r="T555" s="121"/>
      <c r="U555" s="121"/>
      <c r="V555" s="121"/>
      <c r="W555" s="121"/>
      <c r="X555" s="121"/>
      <c r="Y555" s="121"/>
      <c r="Z555" s="121"/>
    </row>
    <row r="556" customFormat="false" ht="15.75" hidden="false" customHeight="false" outlineLevel="0" collapsed="false">
      <c r="A556" s="121"/>
      <c r="B556" s="121"/>
      <c r="C556" s="121"/>
      <c r="D556" s="121"/>
      <c r="E556" s="121"/>
      <c r="F556" s="121"/>
      <c r="G556" s="121"/>
      <c r="H556" s="121"/>
      <c r="I556" s="121"/>
      <c r="J556" s="121"/>
      <c r="K556" s="121"/>
      <c r="L556" s="121"/>
      <c r="M556" s="121"/>
      <c r="N556" s="121"/>
      <c r="O556" s="121"/>
      <c r="P556" s="121"/>
      <c r="Q556" s="121"/>
      <c r="R556" s="121"/>
      <c r="S556" s="121"/>
      <c r="T556" s="121"/>
      <c r="U556" s="121"/>
      <c r="V556" s="121"/>
      <c r="W556" s="121"/>
      <c r="X556" s="121"/>
      <c r="Y556" s="121"/>
      <c r="Z556" s="121"/>
    </row>
    <row r="557" customFormat="false" ht="15.75" hidden="false" customHeight="false" outlineLevel="0" collapsed="false">
      <c r="A557" s="121"/>
      <c r="B557" s="121"/>
      <c r="C557" s="121"/>
      <c r="D557" s="121"/>
      <c r="E557" s="121"/>
      <c r="F557" s="121"/>
      <c r="G557" s="121"/>
      <c r="H557" s="121"/>
      <c r="I557" s="121"/>
      <c r="J557" s="121"/>
      <c r="K557" s="121"/>
      <c r="L557" s="121"/>
      <c r="M557" s="121"/>
      <c r="N557" s="121"/>
      <c r="O557" s="121"/>
      <c r="P557" s="121"/>
      <c r="Q557" s="121"/>
      <c r="R557" s="121"/>
      <c r="S557" s="121"/>
      <c r="T557" s="121"/>
      <c r="U557" s="121"/>
      <c r="V557" s="121"/>
      <c r="W557" s="121"/>
      <c r="X557" s="121"/>
      <c r="Y557" s="121"/>
      <c r="Z557" s="121"/>
    </row>
    <row r="558" customFormat="false" ht="15.75" hidden="false" customHeight="false" outlineLevel="0" collapsed="false">
      <c r="A558" s="121"/>
      <c r="B558" s="121"/>
      <c r="C558" s="121"/>
      <c r="D558" s="121"/>
      <c r="E558" s="121"/>
      <c r="F558" s="121"/>
      <c r="G558" s="121"/>
      <c r="H558" s="121"/>
      <c r="I558" s="121"/>
      <c r="J558" s="121"/>
      <c r="K558" s="121"/>
      <c r="L558" s="121"/>
      <c r="M558" s="121"/>
      <c r="N558" s="121"/>
      <c r="O558" s="121"/>
      <c r="P558" s="121"/>
      <c r="Q558" s="121"/>
      <c r="R558" s="121"/>
      <c r="S558" s="121"/>
      <c r="T558" s="121"/>
      <c r="U558" s="121"/>
      <c r="V558" s="121"/>
      <c r="W558" s="121"/>
      <c r="X558" s="121"/>
      <c r="Y558" s="121"/>
      <c r="Z558" s="121"/>
    </row>
    <row r="559" customFormat="false" ht="15.75" hidden="false" customHeight="false" outlineLevel="0" collapsed="false">
      <c r="A559" s="121"/>
      <c r="B559" s="121"/>
      <c r="C559" s="121"/>
      <c r="D559" s="121"/>
      <c r="E559" s="121"/>
      <c r="F559" s="121"/>
      <c r="G559" s="121"/>
      <c r="H559" s="121"/>
      <c r="I559" s="121"/>
      <c r="J559" s="121"/>
      <c r="K559" s="121"/>
      <c r="L559" s="121"/>
      <c r="M559" s="121"/>
      <c r="N559" s="121"/>
      <c r="O559" s="121"/>
      <c r="P559" s="121"/>
      <c r="Q559" s="121"/>
      <c r="R559" s="121"/>
      <c r="S559" s="121"/>
      <c r="T559" s="121"/>
      <c r="U559" s="121"/>
      <c r="V559" s="121"/>
      <c r="W559" s="121"/>
      <c r="X559" s="121"/>
      <c r="Y559" s="121"/>
      <c r="Z559" s="121"/>
    </row>
    <row r="560" customFormat="false" ht="15.75" hidden="false" customHeight="false" outlineLevel="0" collapsed="false">
      <c r="A560" s="121"/>
      <c r="B560" s="121"/>
      <c r="C560" s="121"/>
      <c r="D560" s="121"/>
      <c r="E560" s="121"/>
      <c r="F560" s="121"/>
      <c r="G560" s="121"/>
      <c r="H560" s="121"/>
      <c r="I560" s="121"/>
      <c r="J560" s="121"/>
      <c r="K560" s="121"/>
      <c r="L560" s="121"/>
      <c r="M560" s="121"/>
      <c r="N560" s="121"/>
      <c r="O560" s="121"/>
      <c r="P560" s="121"/>
      <c r="Q560" s="121"/>
      <c r="R560" s="121"/>
      <c r="S560" s="121"/>
      <c r="T560" s="121"/>
      <c r="U560" s="121"/>
      <c r="V560" s="121"/>
      <c r="W560" s="121"/>
      <c r="X560" s="121"/>
      <c r="Y560" s="121"/>
      <c r="Z560" s="121"/>
    </row>
    <row r="561" customFormat="false" ht="15.75" hidden="false" customHeight="false" outlineLevel="0" collapsed="false">
      <c r="A561" s="121"/>
      <c r="B561" s="121"/>
      <c r="C561" s="121"/>
      <c r="D561" s="121"/>
      <c r="E561" s="121"/>
      <c r="F561" s="121"/>
      <c r="G561" s="121"/>
      <c r="H561" s="121"/>
      <c r="I561" s="121"/>
      <c r="J561" s="121"/>
      <c r="K561" s="121"/>
      <c r="L561" s="121"/>
      <c r="M561" s="121"/>
      <c r="N561" s="121"/>
      <c r="O561" s="121"/>
      <c r="P561" s="121"/>
      <c r="Q561" s="121"/>
      <c r="R561" s="121"/>
      <c r="S561" s="121"/>
      <c r="T561" s="121"/>
      <c r="U561" s="121"/>
      <c r="V561" s="121"/>
      <c r="W561" s="121"/>
      <c r="X561" s="121"/>
      <c r="Y561" s="121"/>
      <c r="Z561" s="121"/>
    </row>
    <row r="562" customFormat="false" ht="15.75" hidden="false" customHeight="false" outlineLevel="0" collapsed="false">
      <c r="A562" s="121"/>
      <c r="B562" s="121"/>
      <c r="C562" s="121"/>
      <c r="D562" s="121"/>
      <c r="E562" s="121"/>
      <c r="F562" s="121"/>
      <c r="G562" s="121"/>
      <c r="H562" s="121"/>
      <c r="I562" s="121"/>
      <c r="J562" s="121"/>
      <c r="K562" s="121"/>
      <c r="L562" s="121"/>
      <c r="M562" s="121"/>
      <c r="N562" s="121"/>
      <c r="O562" s="121"/>
      <c r="P562" s="121"/>
      <c r="Q562" s="121"/>
      <c r="R562" s="121"/>
      <c r="S562" s="121"/>
      <c r="T562" s="121"/>
      <c r="U562" s="121"/>
      <c r="V562" s="121"/>
      <c r="W562" s="121"/>
      <c r="X562" s="121"/>
      <c r="Y562" s="121"/>
      <c r="Z562" s="121"/>
    </row>
    <row r="563" customFormat="false" ht="15.75" hidden="false" customHeight="false" outlineLevel="0" collapsed="false">
      <c r="A563" s="121"/>
      <c r="B563" s="121"/>
      <c r="C563" s="121"/>
      <c r="D563" s="121"/>
      <c r="E563" s="121"/>
      <c r="F563" s="121"/>
      <c r="G563" s="121"/>
      <c r="H563" s="121"/>
      <c r="I563" s="121"/>
      <c r="J563" s="121"/>
      <c r="K563" s="121"/>
      <c r="L563" s="121"/>
      <c r="M563" s="121"/>
      <c r="N563" s="121"/>
      <c r="O563" s="121"/>
      <c r="P563" s="121"/>
      <c r="Q563" s="121"/>
      <c r="R563" s="121"/>
      <c r="S563" s="121"/>
      <c r="T563" s="121"/>
      <c r="U563" s="121"/>
      <c r="V563" s="121"/>
      <c r="W563" s="121"/>
      <c r="X563" s="121"/>
      <c r="Y563" s="121"/>
      <c r="Z563" s="121"/>
    </row>
    <row r="564" customFormat="false" ht="15.75" hidden="false" customHeight="false" outlineLevel="0" collapsed="false">
      <c r="A564" s="121"/>
      <c r="B564" s="121"/>
      <c r="C564" s="121"/>
      <c r="D564" s="121"/>
      <c r="E564" s="121"/>
      <c r="F564" s="121"/>
      <c r="G564" s="121"/>
      <c r="H564" s="121"/>
      <c r="I564" s="121"/>
      <c r="J564" s="121"/>
      <c r="K564" s="121"/>
      <c r="L564" s="121"/>
      <c r="M564" s="121"/>
      <c r="N564" s="121"/>
      <c r="O564" s="121"/>
      <c r="P564" s="121"/>
      <c r="Q564" s="121"/>
      <c r="R564" s="121"/>
      <c r="S564" s="121"/>
      <c r="T564" s="121"/>
      <c r="U564" s="121"/>
      <c r="V564" s="121"/>
      <c r="W564" s="121"/>
      <c r="X564" s="121"/>
      <c r="Y564" s="121"/>
      <c r="Z564" s="121"/>
    </row>
    <row r="565" customFormat="false" ht="15.75" hidden="false" customHeight="false" outlineLevel="0" collapsed="false">
      <c r="A565" s="121"/>
      <c r="B565" s="121"/>
      <c r="C565" s="121"/>
      <c r="D565" s="121"/>
      <c r="E565" s="121"/>
      <c r="F565" s="121"/>
      <c r="G565" s="121"/>
      <c r="H565" s="121"/>
      <c r="I565" s="121"/>
      <c r="J565" s="121"/>
      <c r="K565" s="121"/>
      <c r="L565" s="121"/>
      <c r="M565" s="121"/>
      <c r="N565" s="121"/>
      <c r="O565" s="121"/>
      <c r="P565" s="121"/>
      <c r="Q565" s="121"/>
      <c r="R565" s="121"/>
      <c r="S565" s="121"/>
      <c r="T565" s="121"/>
      <c r="U565" s="121"/>
      <c r="V565" s="121"/>
      <c r="W565" s="121"/>
      <c r="X565" s="121"/>
      <c r="Y565" s="121"/>
      <c r="Z565" s="121"/>
    </row>
    <row r="566" customFormat="false" ht="15.75" hidden="false" customHeight="false" outlineLevel="0" collapsed="false">
      <c r="A566" s="121"/>
      <c r="B566" s="121"/>
      <c r="C566" s="121"/>
      <c r="D566" s="121"/>
      <c r="E566" s="121"/>
      <c r="F566" s="121"/>
      <c r="G566" s="121"/>
      <c r="H566" s="121"/>
      <c r="I566" s="121"/>
      <c r="J566" s="121"/>
      <c r="K566" s="121"/>
      <c r="L566" s="121"/>
      <c r="M566" s="121"/>
      <c r="N566" s="121"/>
      <c r="O566" s="121"/>
      <c r="P566" s="121"/>
      <c r="Q566" s="121"/>
      <c r="R566" s="121"/>
      <c r="S566" s="121"/>
      <c r="T566" s="121"/>
      <c r="U566" s="121"/>
      <c r="V566" s="121"/>
      <c r="W566" s="121"/>
      <c r="X566" s="121"/>
      <c r="Y566" s="121"/>
      <c r="Z566" s="121"/>
    </row>
    <row r="567" customFormat="false" ht="15.75" hidden="false" customHeight="false" outlineLevel="0" collapsed="false">
      <c r="A567" s="121"/>
      <c r="B567" s="121"/>
      <c r="C567" s="121"/>
      <c r="D567" s="121"/>
      <c r="E567" s="121"/>
      <c r="F567" s="121"/>
      <c r="G567" s="121"/>
      <c r="H567" s="121"/>
      <c r="I567" s="121"/>
      <c r="J567" s="121"/>
      <c r="K567" s="121"/>
      <c r="L567" s="121"/>
      <c r="M567" s="121"/>
      <c r="N567" s="121"/>
      <c r="O567" s="121"/>
      <c r="P567" s="121"/>
      <c r="Q567" s="121"/>
      <c r="R567" s="121"/>
      <c r="S567" s="121"/>
      <c r="T567" s="121"/>
      <c r="U567" s="121"/>
      <c r="V567" s="121"/>
      <c r="W567" s="121"/>
      <c r="X567" s="121"/>
      <c r="Y567" s="121"/>
      <c r="Z567" s="121"/>
    </row>
    <row r="568" customFormat="false" ht="15.75" hidden="false" customHeight="false" outlineLevel="0" collapsed="false">
      <c r="A568" s="121"/>
      <c r="B568" s="121"/>
      <c r="C568" s="121"/>
      <c r="D568" s="121"/>
      <c r="E568" s="121"/>
      <c r="F568" s="121"/>
      <c r="G568" s="121"/>
      <c r="H568" s="121"/>
      <c r="I568" s="121"/>
      <c r="J568" s="121"/>
      <c r="K568" s="121"/>
      <c r="L568" s="121"/>
      <c r="M568" s="121"/>
      <c r="N568" s="121"/>
      <c r="O568" s="121"/>
      <c r="P568" s="121"/>
      <c r="Q568" s="121"/>
      <c r="R568" s="121"/>
      <c r="S568" s="121"/>
      <c r="T568" s="121"/>
      <c r="U568" s="121"/>
      <c r="V568" s="121"/>
      <c r="W568" s="121"/>
      <c r="X568" s="121"/>
      <c r="Y568" s="121"/>
      <c r="Z568" s="121"/>
    </row>
    <row r="569" customFormat="false" ht="15.75" hidden="false" customHeight="false" outlineLevel="0" collapsed="false">
      <c r="A569" s="121"/>
      <c r="B569" s="121"/>
      <c r="C569" s="121"/>
      <c r="D569" s="121"/>
      <c r="E569" s="121"/>
      <c r="F569" s="121"/>
      <c r="G569" s="121"/>
      <c r="H569" s="121"/>
      <c r="I569" s="121"/>
      <c r="J569" s="121"/>
      <c r="K569" s="121"/>
      <c r="L569" s="121"/>
      <c r="M569" s="121"/>
      <c r="N569" s="121"/>
      <c r="O569" s="121"/>
      <c r="P569" s="121"/>
      <c r="Q569" s="121"/>
      <c r="R569" s="121"/>
      <c r="S569" s="121"/>
      <c r="T569" s="121"/>
      <c r="U569" s="121"/>
      <c r="V569" s="121"/>
      <c r="W569" s="121"/>
      <c r="X569" s="121"/>
      <c r="Y569" s="121"/>
      <c r="Z569" s="121"/>
    </row>
    <row r="570" customFormat="false" ht="15.75" hidden="false" customHeight="false" outlineLevel="0" collapsed="false">
      <c r="A570" s="121"/>
      <c r="B570" s="121"/>
      <c r="C570" s="121"/>
      <c r="D570" s="121"/>
      <c r="E570" s="121"/>
      <c r="F570" s="121"/>
      <c r="G570" s="121"/>
      <c r="H570" s="121"/>
      <c r="I570" s="121"/>
      <c r="J570" s="121"/>
      <c r="K570" s="121"/>
      <c r="L570" s="121"/>
      <c r="M570" s="121"/>
      <c r="N570" s="121"/>
      <c r="O570" s="121"/>
      <c r="P570" s="121"/>
      <c r="Q570" s="121"/>
      <c r="R570" s="121"/>
      <c r="S570" s="121"/>
      <c r="T570" s="121"/>
      <c r="U570" s="121"/>
      <c r="V570" s="121"/>
      <c r="W570" s="121"/>
      <c r="X570" s="121"/>
      <c r="Y570" s="121"/>
      <c r="Z570" s="121"/>
    </row>
    <row r="571" customFormat="false" ht="15.75" hidden="false" customHeight="false" outlineLevel="0" collapsed="false">
      <c r="A571" s="121"/>
      <c r="B571" s="121"/>
      <c r="C571" s="121"/>
      <c r="D571" s="121"/>
      <c r="E571" s="121"/>
      <c r="F571" s="121"/>
      <c r="G571" s="121"/>
      <c r="H571" s="121"/>
      <c r="I571" s="121"/>
      <c r="J571" s="121"/>
      <c r="K571" s="121"/>
      <c r="L571" s="121"/>
      <c r="M571" s="121"/>
      <c r="N571" s="121"/>
      <c r="O571" s="121"/>
      <c r="P571" s="121"/>
      <c r="Q571" s="121"/>
      <c r="R571" s="121"/>
      <c r="S571" s="121"/>
      <c r="T571" s="121"/>
      <c r="U571" s="121"/>
      <c r="V571" s="121"/>
      <c r="W571" s="121"/>
      <c r="X571" s="121"/>
      <c r="Y571" s="121"/>
      <c r="Z571" s="121"/>
    </row>
    <row r="572" customFormat="false" ht="15.75" hidden="false" customHeight="false" outlineLevel="0" collapsed="false">
      <c r="A572" s="121"/>
      <c r="B572" s="121"/>
      <c r="C572" s="121"/>
      <c r="D572" s="121"/>
      <c r="E572" s="121"/>
      <c r="F572" s="121"/>
      <c r="G572" s="121"/>
      <c r="H572" s="121"/>
      <c r="I572" s="121"/>
      <c r="J572" s="121"/>
      <c r="K572" s="121"/>
      <c r="L572" s="121"/>
      <c r="M572" s="121"/>
      <c r="N572" s="121"/>
      <c r="O572" s="121"/>
      <c r="P572" s="121"/>
      <c r="Q572" s="121"/>
      <c r="R572" s="121"/>
      <c r="S572" s="121"/>
      <c r="T572" s="121"/>
      <c r="U572" s="121"/>
      <c r="V572" s="121"/>
      <c r="W572" s="121"/>
      <c r="X572" s="121"/>
      <c r="Y572" s="121"/>
      <c r="Z572" s="121"/>
    </row>
    <row r="573" customFormat="false" ht="15.75" hidden="false" customHeight="false" outlineLevel="0" collapsed="false">
      <c r="A573" s="121"/>
      <c r="B573" s="121"/>
      <c r="C573" s="121"/>
      <c r="D573" s="121"/>
      <c r="E573" s="121"/>
      <c r="F573" s="121"/>
      <c r="G573" s="121"/>
      <c r="H573" s="121"/>
      <c r="I573" s="121"/>
      <c r="J573" s="121"/>
      <c r="K573" s="121"/>
      <c r="L573" s="121"/>
      <c r="M573" s="121"/>
      <c r="N573" s="121"/>
      <c r="O573" s="121"/>
      <c r="P573" s="121"/>
      <c r="Q573" s="121"/>
      <c r="R573" s="121"/>
      <c r="S573" s="121"/>
      <c r="T573" s="121"/>
      <c r="U573" s="121"/>
      <c r="V573" s="121"/>
      <c r="W573" s="121"/>
      <c r="X573" s="121"/>
      <c r="Y573" s="121"/>
      <c r="Z573" s="121"/>
    </row>
    <row r="574" customFormat="false" ht="15.75" hidden="false" customHeight="false" outlineLevel="0" collapsed="false">
      <c r="A574" s="121"/>
      <c r="B574" s="121"/>
      <c r="C574" s="121"/>
      <c r="D574" s="121"/>
      <c r="E574" s="121"/>
      <c r="F574" s="121"/>
      <c r="G574" s="121"/>
      <c r="H574" s="121"/>
      <c r="I574" s="121"/>
      <c r="J574" s="121"/>
      <c r="K574" s="121"/>
      <c r="L574" s="121"/>
      <c r="M574" s="121"/>
      <c r="N574" s="121"/>
      <c r="O574" s="121"/>
      <c r="P574" s="121"/>
      <c r="Q574" s="121"/>
      <c r="R574" s="121"/>
      <c r="S574" s="121"/>
      <c r="T574" s="121"/>
      <c r="U574" s="121"/>
      <c r="V574" s="121"/>
      <c r="W574" s="121"/>
      <c r="X574" s="121"/>
      <c r="Y574" s="121"/>
      <c r="Z574" s="121"/>
    </row>
    <row r="575" customFormat="false" ht="15.75" hidden="false" customHeight="false" outlineLevel="0" collapsed="false">
      <c r="A575" s="121"/>
      <c r="B575" s="121"/>
      <c r="C575" s="121"/>
      <c r="D575" s="121"/>
      <c r="E575" s="121"/>
      <c r="F575" s="121"/>
      <c r="G575" s="121"/>
      <c r="H575" s="121"/>
      <c r="I575" s="121"/>
      <c r="J575" s="121"/>
      <c r="K575" s="121"/>
      <c r="L575" s="121"/>
      <c r="M575" s="121"/>
      <c r="N575" s="121"/>
      <c r="O575" s="121"/>
      <c r="P575" s="121"/>
      <c r="Q575" s="121"/>
      <c r="R575" s="121"/>
      <c r="S575" s="121"/>
      <c r="T575" s="121"/>
      <c r="U575" s="121"/>
      <c r="V575" s="121"/>
      <c r="W575" s="121"/>
      <c r="X575" s="121"/>
      <c r="Y575" s="121"/>
      <c r="Z575" s="121"/>
    </row>
    <row r="576" customFormat="false" ht="15.75" hidden="false" customHeight="false" outlineLevel="0" collapsed="false">
      <c r="A576" s="121"/>
      <c r="B576" s="121"/>
      <c r="C576" s="121"/>
      <c r="D576" s="121"/>
      <c r="E576" s="121"/>
      <c r="F576" s="121"/>
      <c r="G576" s="121"/>
      <c r="H576" s="121"/>
      <c r="I576" s="121"/>
      <c r="J576" s="121"/>
      <c r="K576" s="121"/>
      <c r="L576" s="121"/>
      <c r="M576" s="121"/>
      <c r="N576" s="121"/>
      <c r="O576" s="121"/>
      <c r="P576" s="121"/>
      <c r="Q576" s="121"/>
      <c r="R576" s="121"/>
      <c r="S576" s="121"/>
      <c r="T576" s="121"/>
      <c r="U576" s="121"/>
      <c r="V576" s="121"/>
      <c r="W576" s="121"/>
      <c r="X576" s="121"/>
      <c r="Y576" s="121"/>
      <c r="Z576" s="121"/>
    </row>
    <row r="577" customFormat="false" ht="15.75" hidden="false" customHeight="false" outlineLevel="0" collapsed="false">
      <c r="A577" s="121"/>
      <c r="B577" s="121"/>
      <c r="C577" s="121"/>
      <c r="D577" s="121"/>
      <c r="E577" s="121"/>
      <c r="F577" s="121"/>
      <c r="G577" s="121"/>
      <c r="H577" s="121"/>
      <c r="I577" s="121"/>
      <c r="J577" s="121"/>
      <c r="K577" s="121"/>
      <c r="L577" s="121"/>
      <c r="M577" s="121"/>
      <c r="N577" s="121"/>
      <c r="O577" s="121"/>
      <c r="P577" s="121"/>
      <c r="Q577" s="121"/>
      <c r="R577" s="121"/>
      <c r="S577" s="121"/>
      <c r="T577" s="121"/>
      <c r="U577" s="121"/>
      <c r="V577" s="121"/>
      <c r="W577" s="121"/>
      <c r="X577" s="121"/>
      <c r="Y577" s="121"/>
      <c r="Z577" s="121"/>
    </row>
    <row r="578" customFormat="false" ht="15.75" hidden="false" customHeight="false" outlineLevel="0" collapsed="false">
      <c r="A578" s="121"/>
      <c r="B578" s="121"/>
      <c r="C578" s="121"/>
      <c r="D578" s="121"/>
      <c r="E578" s="121"/>
      <c r="F578" s="121"/>
      <c r="G578" s="121"/>
      <c r="H578" s="121"/>
      <c r="I578" s="121"/>
      <c r="J578" s="121"/>
      <c r="K578" s="121"/>
      <c r="L578" s="121"/>
      <c r="M578" s="121"/>
      <c r="N578" s="121"/>
      <c r="O578" s="121"/>
      <c r="P578" s="121"/>
      <c r="Q578" s="121"/>
      <c r="R578" s="121"/>
      <c r="S578" s="121"/>
      <c r="T578" s="121"/>
      <c r="U578" s="121"/>
      <c r="V578" s="121"/>
      <c r="W578" s="121"/>
      <c r="X578" s="121"/>
      <c r="Y578" s="121"/>
      <c r="Z578" s="121"/>
    </row>
    <row r="579" customFormat="false" ht="15.75" hidden="false" customHeight="false" outlineLevel="0" collapsed="false">
      <c r="A579" s="121"/>
      <c r="B579" s="121"/>
      <c r="C579" s="121"/>
      <c r="D579" s="121"/>
      <c r="E579" s="121"/>
      <c r="F579" s="121"/>
      <c r="G579" s="121"/>
      <c r="H579" s="121"/>
      <c r="I579" s="121"/>
      <c r="J579" s="121"/>
      <c r="K579" s="121"/>
      <c r="L579" s="121"/>
      <c r="M579" s="121"/>
      <c r="N579" s="121"/>
      <c r="O579" s="121"/>
      <c r="P579" s="121"/>
      <c r="Q579" s="121"/>
      <c r="R579" s="121"/>
      <c r="S579" s="121"/>
      <c r="T579" s="121"/>
      <c r="U579" s="121"/>
      <c r="V579" s="121"/>
      <c r="W579" s="121"/>
      <c r="X579" s="121"/>
      <c r="Y579" s="121"/>
      <c r="Z579" s="121"/>
    </row>
    <row r="580" customFormat="false" ht="15.75" hidden="false" customHeight="false" outlineLevel="0" collapsed="false">
      <c r="A580" s="121"/>
      <c r="B580" s="121"/>
      <c r="C580" s="121"/>
      <c r="D580" s="121"/>
      <c r="E580" s="121"/>
      <c r="F580" s="121"/>
      <c r="G580" s="121"/>
      <c r="H580" s="121"/>
      <c r="I580" s="121"/>
      <c r="J580" s="121"/>
      <c r="K580" s="121"/>
      <c r="L580" s="121"/>
      <c r="M580" s="121"/>
      <c r="N580" s="121"/>
      <c r="O580" s="121"/>
      <c r="P580" s="121"/>
      <c r="Q580" s="121"/>
      <c r="R580" s="121"/>
      <c r="S580" s="121"/>
      <c r="T580" s="121"/>
      <c r="U580" s="121"/>
      <c r="V580" s="121"/>
      <c r="W580" s="121"/>
      <c r="X580" s="121"/>
      <c r="Y580" s="121"/>
      <c r="Z580" s="121"/>
    </row>
    <row r="581" customFormat="false" ht="15.75" hidden="false" customHeight="false" outlineLevel="0" collapsed="false">
      <c r="A581" s="121"/>
      <c r="B581" s="121"/>
      <c r="C581" s="121"/>
      <c r="D581" s="121"/>
      <c r="E581" s="121"/>
      <c r="F581" s="121"/>
      <c r="G581" s="121"/>
      <c r="H581" s="121"/>
      <c r="I581" s="121"/>
      <c r="J581" s="121"/>
      <c r="K581" s="121"/>
      <c r="L581" s="121"/>
      <c r="M581" s="121"/>
      <c r="N581" s="121"/>
      <c r="O581" s="121"/>
      <c r="P581" s="121"/>
      <c r="Q581" s="121"/>
      <c r="R581" s="121"/>
      <c r="S581" s="121"/>
      <c r="T581" s="121"/>
      <c r="U581" s="121"/>
      <c r="V581" s="121"/>
      <c r="W581" s="121"/>
      <c r="X581" s="121"/>
      <c r="Y581" s="121"/>
      <c r="Z581" s="121"/>
    </row>
    <row r="582" customFormat="false" ht="15.75" hidden="false" customHeight="false" outlineLevel="0" collapsed="false">
      <c r="A582" s="121"/>
      <c r="B582" s="121"/>
      <c r="C582" s="121"/>
      <c r="D582" s="121"/>
      <c r="E582" s="121"/>
      <c r="F582" s="121"/>
      <c r="G582" s="121"/>
      <c r="H582" s="121"/>
      <c r="I582" s="121"/>
      <c r="J582" s="121"/>
      <c r="K582" s="121"/>
      <c r="L582" s="121"/>
      <c r="M582" s="121"/>
      <c r="N582" s="121"/>
      <c r="O582" s="121"/>
      <c r="P582" s="121"/>
      <c r="Q582" s="121"/>
      <c r="R582" s="121"/>
      <c r="S582" s="121"/>
      <c r="T582" s="121"/>
      <c r="U582" s="121"/>
      <c r="V582" s="121"/>
      <c r="W582" s="121"/>
      <c r="X582" s="121"/>
      <c r="Y582" s="121"/>
      <c r="Z582" s="121"/>
    </row>
    <row r="583" customFormat="false" ht="15.75" hidden="false" customHeight="false" outlineLevel="0" collapsed="false">
      <c r="A583" s="121"/>
      <c r="B583" s="121"/>
      <c r="C583" s="121"/>
      <c r="D583" s="121"/>
      <c r="E583" s="121"/>
      <c r="F583" s="121"/>
      <c r="G583" s="121"/>
      <c r="H583" s="121"/>
      <c r="I583" s="121"/>
      <c r="J583" s="121"/>
      <c r="K583" s="121"/>
      <c r="L583" s="121"/>
      <c r="M583" s="121"/>
      <c r="N583" s="121"/>
      <c r="O583" s="121"/>
      <c r="P583" s="121"/>
      <c r="Q583" s="121"/>
      <c r="R583" s="121"/>
      <c r="S583" s="121"/>
      <c r="T583" s="121"/>
      <c r="U583" s="121"/>
      <c r="V583" s="121"/>
      <c r="W583" s="121"/>
      <c r="X583" s="121"/>
      <c r="Y583" s="121"/>
      <c r="Z583" s="121"/>
    </row>
    <row r="584" customFormat="false" ht="15.75" hidden="false" customHeight="false" outlineLevel="0" collapsed="false">
      <c r="A584" s="121"/>
      <c r="B584" s="121"/>
      <c r="C584" s="121"/>
      <c r="D584" s="121"/>
      <c r="E584" s="121"/>
      <c r="F584" s="121"/>
      <c r="G584" s="121"/>
      <c r="H584" s="121"/>
      <c r="I584" s="121"/>
      <c r="J584" s="121"/>
      <c r="K584" s="121"/>
      <c r="L584" s="121"/>
      <c r="M584" s="121"/>
      <c r="N584" s="121"/>
      <c r="O584" s="121"/>
      <c r="P584" s="121"/>
      <c r="Q584" s="121"/>
      <c r="R584" s="121"/>
      <c r="S584" s="121"/>
      <c r="T584" s="121"/>
      <c r="U584" s="121"/>
      <c r="V584" s="121"/>
      <c r="W584" s="121"/>
      <c r="X584" s="121"/>
      <c r="Y584" s="121"/>
      <c r="Z584" s="121"/>
    </row>
    <row r="585" customFormat="false" ht="15.75" hidden="false" customHeight="false" outlineLevel="0" collapsed="false">
      <c r="A585" s="121"/>
      <c r="B585" s="121"/>
      <c r="C585" s="121"/>
      <c r="D585" s="121"/>
      <c r="E585" s="121"/>
      <c r="F585" s="121"/>
      <c r="G585" s="121"/>
      <c r="H585" s="121"/>
      <c r="I585" s="121"/>
      <c r="J585" s="121"/>
      <c r="K585" s="121"/>
      <c r="L585" s="121"/>
      <c r="M585" s="121"/>
      <c r="N585" s="121"/>
      <c r="O585" s="121"/>
      <c r="P585" s="121"/>
      <c r="Q585" s="121"/>
      <c r="R585" s="121"/>
      <c r="S585" s="121"/>
      <c r="T585" s="121"/>
      <c r="U585" s="121"/>
      <c r="V585" s="121"/>
      <c r="W585" s="121"/>
      <c r="X585" s="121"/>
      <c r="Y585" s="121"/>
      <c r="Z585" s="121"/>
    </row>
    <row r="586" customFormat="false" ht="15.75" hidden="false" customHeight="false" outlineLevel="0" collapsed="false">
      <c r="A586" s="121"/>
      <c r="B586" s="121"/>
      <c r="C586" s="121"/>
      <c r="D586" s="121"/>
      <c r="E586" s="121"/>
      <c r="F586" s="121"/>
      <c r="G586" s="121"/>
      <c r="H586" s="121"/>
      <c r="I586" s="121"/>
      <c r="J586" s="121"/>
      <c r="K586" s="121"/>
      <c r="L586" s="121"/>
      <c r="M586" s="121"/>
      <c r="N586" s="121"/>
      <c r="O586" s="121"/>
      <c r="P586" s="121"/>
      <c r="Q586" s="121"/>
      <c r="R586" s="121"/>
      <c r="S586" s="121"/>
      <c r="T586" s="121"/>
      <c r="U586" s="121"/>
      <c r="V586" s="121"/>
      <c r="W586" s="121"/>
      <c r="X586" s="121"/>
      <c r="Y586" s="121"/>
      <c r="Z586" s="121"/>
    </row>
    <row r="587" customFormat="false" ht="15.75" hidden="false" customHeight="false" outlineLevel="0" collapsed="false">
      <c r="A587" s="121"/>
      <c r="B587" s="121"/>
      <c r="C587" s="121"/>
      <c r="D587" s="121"/>
      <c r="E587" s="121"/>
      <c r="F587" s="121"/>
      <c r="G587" s="121"/>
      <c r="H587" s="121"/>
      <c r="I587" s="121"/>
      <c r="J587" s="121"/>
      <c r="K587" s="121"/>
      <c r="L587" s="121"/>
      <c r="M587" s="121"/>
      <c r="N587" s="121"/>
      <c r="O587" s="121"/>
      <c r="P587" s="121"/>
      <c r="Q587" s="121"/>
      <c r="R587" s="121"/>
      <c r="S587" s="121"/>
      <c r="T587" s="121"/>
      <c r="U587" s="121"/>
      <c r="V587" s="121"/>
      <c r="W587" s="121"/>
      <c r="X587" s="121"/>
      <c r="Y587" s="121"/>
      <c r="Z587" s="121"/>
    </row>
    <row r="588" customFormat="false" ht="15.75" hidden="false" customHeight="false" outlineLevel="0" collapsed="false">
      <c r="A588" s="121"/>
      <c r="B588" s="121"/>
      <c r="C588" s="121"/>
      <c r="D588" s="121"/>
      <c r="E588" s="121"/>
      <c r="F588" s="121"/>
      <c r="G588" s="121"/>
      <c r="H588" s="121"/>
      <c r="I588" s="121"/>
      <c r="J588" s="121"/>
      <c r="K588" s="121"/>
      <c r="L588" s="121"/>
      <c r="M588" s="121"/>
      <c r="N588" s="121"/>
      <c r="O588" s="121"/>
      <c r="P588" s="121"/>
      <c r="Q588" s="121"/>
      <c r="R588" s="121"/>
      <c r="S588" s="121"/>
      <c r="T588" s="121"/>
      <c r="U588" s="121"/>
      <c r="V588" s="121"/>
      <c r="W588" s="121"/>
      <c r="X588" s="121"/>
      <c r="Y588" s="121"/>
      <c r="Z588" s="121"/>
    </row>
    <row r="589" customFormat="false" ht="15.75" hidden="false" customHeight="false" outlineLevel="0" collapsed="false">
      <c r="A589" s="121"/>
      <c r="B589" s="121"/>
      <c r="C589" s="121"/>
      <c r="D589" s="121"/>
      <c r="E589" s="121"/>
      <c r="F589" s="121"/>
      <c r="G589" s="121"/>
      <c r="H589" s="121"/>
      <c r="I589" s="121"/>
      <c r="J589" s="121"/>
      <c r="K589" s="121"/>
      <c r="L589" s="121"/>
      <c r="M589" s="121"/>
      <c r="N589" s="121"/>
      <c r="O589" s="121"/>
      <c r="P589" s="121"/>
      <c r="Q589" s="121"/>
      <c r="R589" s="121"/>
      <c r="S589" s="121"/>
      <c r="T589" s="121"/>
      <c r="U589" s="121"/>
      <c r="V589" s="121"/>
      <c r="W589" s="121"/>
      <c r="X589" s="121"/>
      <c r="Y589" s="121"/>
      <c r="Z589" s="121"/>
    </row>
    <row r="590" customFormat="false" ht="15.75" hidden="false" customHeight="false" outlineLevel="0" collapsed="false">
      <c r="A590" s="121"/>
      <c r="B590" s="121"/>
      <c r="C590" s="121"/>
      <c r="D590" s="121"/>
      <c r="E590" s="121"/>
      <c r="F590" s="121"/>
      <c r="G590" s="121"/>
      <c r="H590" s="121"/>
      <c r="I590" s="121"/>
      <c r="J590" s="121"/>
      <c r="K590" s="121"/>
      <c r="L590" s="121"/>
      <c r="M590" s="121"/>
      <c r="N590" s="121"/>
      <c r="O590" s="121"/>
      <c r="P590" s="121"/>
      <c r="Q590" s="121"/>
      <c r="R590" s="121"/>
      <c r="S590" s="121"/>
      <c r="T590" s="121"/>
      <c r="U590" s="121"/>
      <c r="V590" s="121"/>
      <c r="W590" s="121"/>
      <c r="X590" s="121"/>
      <c r="Y590" s="121"/>
      <c r="Z590" s="121"/>
    </row>
    <row r="591" customFormat="false" ht="15.75" hidden="false" customHeight="false" outlineLevel="0" collapsed="false">
      <c r="A591" s="121"/>
      <c r="B591" s="121"/>
      <c r="C591" s="121"/>
      <c r="D591" s="121"/>
      <c r="E591" s="121"/>
      <c r="F591" s="121"/>
      <c r="G591" s="121"/>
      <c r="H591" s="121"/>
      <c r="I591" s="121"/>
      <c r="J591" s="121"/>
      <c r="K591" s="121"/>
      <c r="L591" s="121"/>
      <c r="M591" s="121"/>
      <c r="N591" s="121"/>
      <c r="O591" s="121"/>
      <c r="P591" s="121"/>
      <c r="Q591" s="121"/>
      <c r="R591" s="121"/>
      <c r="S591" s="121"/>
      <c r="T591" s="121"/>
      <c r="U591" s="121"/>
      <c r="V591" s="121"/>
      <c r="W591" s="121"/>
      <c r="X591" s="121"/>
      <c r="Y591" s="121"/>
      <c r="Z591" s="121"/>
    </row>
    <row r="592" customFormat="false" ht="15.75" hidden="false" customHeight="false" outlineLevel="0" collapsed="false">
      <c r="A592" s="121"/>
      <c r="B592" s="121"/>
      <c r="C592" s="121"/>
      <c r="D592" s="121"/>
      <c r="E592" s="121"/>
      <c r="F592" s="121"/>
      <c r="G592" s="121"/>
      <c r="H592" s="121"/>
      <c r="I592" s="121"/>
      <c r="J592" s="121"/>
      <c r="K592" s="121"/>
      <c r="L592" s="121"/>
      <c r="M592" s="121"/>
      <c r="N592" s="121"/>
      <c r="O592" s="121"/>
      <c r="P592" s="121"/>
      <c r="Q592" s="121"/>
      <c r="R592" s="121"/>
      <c r="S592" s="121"/>
      <c r="T592" s="121"/>
      <c r="U592" s="121"/>
      <c r="V592" s="121"/>
      <c r="W592" s="121"/>
      <c r="X592" s="121"/>
      <c r="Y592" s="121"/>
      <c r="Z592" s="121"/>
    </row>
    <row r="593" customFormat="false" ht="15.75" hidden="false" customHeight="false" outlineLevel="0" collapsed="false">
      <c r="A593" s="121"/>
      <c r="B593" s="121"/>
      <c r="C593" s="121"/>
      <c r="D593" s="121"/>
      <c r="E593" s="121"/>
      <c r="F593" s="121"/>
      <c r="G593" s="121"/>
      <c r="H593" s="121"/>
      <c r="I593" s="121"/>
      <c r="J593" s="121"/>
      <c r="K593" s="121"/>
      <c r="L593" s="121"/>
      <c r="M593" s="121"/>
      <c r="N593" s="121"/>
      <c r="O593" s="121"/>
      <c r="P593" s="121"/>
      <c r="Q593" s="121"/>
      <c r="R593" s="121"/>
      <c r="S593" s="121"/>
      <c r="T593" s="121"/>
      <c r="U593" s="121"/>
      <c r="V593" s="121"/>
      <c r="W593" s="121"/>
      <c r="X593" s="121"/>
      <c r="Y593" s="121"/>
      <c r="Z593" s="121"/>
    </row>
    <row r="594" customFormat="false" ht="15.75" hidden="false" customHeight="false" outlineLevel="0" collapsed="false">
      <c r="A594" s="121"/>
      <c r="B594" s="121"/>
      <c r="C594" s="121"/>
      <c r="D594" s="121"/>
      <c r="E594" s="121"/>
      <c r="F594" s="121"/>
      <c r="G594" s="121"/>
      <c r="H594" s="121"/>
      <c r="I594" s="121"/>
      <c r="J594" s="121"/>
      <c r="K594" s="121"/>
      <c r="L594" s="121"/>
      <c r="M594" s="121"/>
      <c r="N594" s="121"/>
      <c r="O594" s="121"/>
      <c r="P594" s="121"/>
      <c r="Q594" s="121"/>
      <c r="R594" s="121"/>
      <c r="S594" s="121"/>
      <c r="T594" s="121"/>
      <c r="U594" s="121"/>
      <c r="V594" s="121"/>
      <c r="W594" s="121"/>
      <c r="X594" s="121"/>
      <c r="Y594" s="121"/>
      <c r="Z594" s="121"/>
    </row>
    <row r="595" customFormat="false" ht="15.75" hidden="false" customHeight="false" outlineLevel="0" collapsed="false">
      <c r="A595" s="121"/>
      <c r="B595" s="121"/>
      <c r="C595" s="121"/>
      <c r="D595" s="121"/>
      <c r="E595" s="121"/>
      <c r="F595" s="121"/>
      <c r="G595" s="121"/>
      <c r="H595" s="121"/>
      <c r="I595" s="121"/>
      <c r="J595" s="121"/>
      <c r="K595" s="121"/>
      <c r="L595" s="121"/>
      <c r="M595" s="121"/>
      <c r="N595" s="121"/>
      <c r="O595" s="121"/>
      <c r="P595" s="121"/>
      <c r="Q595" s="121"/>
      <c r="R595" s="121"/>
      <c r="S595" s="121"/>
      <c r="T595" s="121"/>
      <c r="U595" s="121"/>
      <c r="V595" s="121"/>
      <c r="W595" s="121"/>
      <c r="X595" s="121"/>
      <c r="Y595" s="121"/>
      <c r="Z595" s="121"/>
    </row>
    <row r="596" customFormat="false" ht="15.75" hidden="false" customHeight="false" outlineLevel="0" collapsed="false">
      <c r="A596" s="121"/>
      <c r="B596" s="121"/>
      <c r="C596" s="121"/>
      <c r="D596" s="121"/>
      <c r="E596" s="121"/>
      <c r="F596" s="121"/>
      <c r="G596" s="121"/>
      <c r="H596" s="121"/>
      <c r="I596" s="121"/>
      <c r="J596" s="121"/>
      <c r="K596" s="121"/>
      <c r="L596" s="121"/>
      <c r="M596" s="121"/>
      <c r="N596" s="121"/>
      <c r="O596" s="121"/>
      <c r="P596" s="121"/>
      <c r="Q596" s="121"/>
      <c r="R596" s="121"/>
      <c r="S596" s="121"/>
      <c r="T596" s="121"/>
      <c r="U596" s="121"/>
      <c r="V596" s="121"/>
      <c r="W596" s="121"/>
      <c r="X596" s="121"/>
      <c r="Y596" s="121"/>
      <c r="Z596" s="121"/>
    </row>
    <row r="597" customFormat="false" ht="15.75" hidden="false" customHeight="false" outlineLevel="0" collapsed="false">
      <c r="A597" s="121"/>
      <c r="B597" s="121"/>
      <c r="C597" s="121"/>
      <c r="D597" s="121"/>
      <c r="E597" s="121"/>
      <c r="F597" s="121"/>
      <c r="G597" s="121"/>
      <c r="H597" s="121"/>
      <c r="I597" s="121"/>
      <c r="J597" s="121"/>
      <c r="K597" s="121"/>
      <c r="L597" s="121"/>
      <c r="M597" s="121"/>
      <c r="N597" s="121"/>
      <c r="O597" s="121"/>
      <c r="P597" s="121"/>
      <c r="Q597" s="121"/>
      <c r="R597" s="121"/>
      <c r="S597" s="121"/>
      <c r="T597" s="121"/>
      <c r="U597" s="121"/>
      <c r="V597" s="121"/>
      <c r="W597" s="121"/>
      <c r="X597" s="121"/>
      <c r="Y597" s="121"/>
      <c r="Z597" s="121"/>
    </row>
    <row r="598" customFormat="false" ht="15.75" hidden="false" customHeight="false" outlineLevel="0" collapsed="false">
      <c r="A598" s="121"/>
      <c r="B598" s="121"/>
      <c r="C598" s="121"/>
      <c r="D598" s="121"/>
      <c r="E598" s="121"/>
      <c r="F598" s="121"/>
      <c r="G598" s="121"/>
      <c r="H598" s="121"/>
      <c r="I598" s="121"/>
      <c r="J598" s="121"/>
      <c r="K598" s="121"/>
      <c r="L598" s="121"/>
      <c r="M598" s="121"/>
      <c r="N598" s="121"/>
      <c r="O598" s="121"/>
      <c r="P598" s="121"/>
      <c r="Q598" s="121"/>
      <c r="R598" s="121"/>
      <c r="S598" s="121"/>
      <c r="T598" s="121"/>
      <c r="U598" s="121"/>
      <c r="V598" s="121"/>
      <c r="W598" s="121"/>
      <c r="X598" s="121"/>
      <c r="Y598" s="121"/>
      <c r="Z598" s="121"/>
    </row>
    <row r="599" customFormat="false" ht="15.75" hidden="false" customHeight="false" outlineLevel="0" collapsed="false">
      <c r="A599" s="121"/>
      <c r="B599" s="121"/>
      <c r="C599" s="121"/>
      <c r="D599" s="121"/>
      <c r="E599" s="121"/>
      <c r="F599" s="121"/>
      <c r="G599" s="121"/>
      <c r="H599" s="121"/>
      <c r="I599" s="121"/>
      <c r="J599" s="121"/>
      <c r="K599" s="121"/>
      <c r="L599" s="121"/>
      <c r="M599" s="121"/>
      <c r="N599" s="121"/>
      <c r="O599" s="121"/>
      <c r="P599" s="121"/>
      <c r="Q599" s="121"/>
      <c r="R599" s="121"/>
      <c r="S599" s="121"/>
      <c r="T599" s="121"/>
      <c r="U599" s="121"/>
      <c r="V599" s="121"/>
      <c r="W599" s="121"/>
      <c r="X599" s="121"/>
      <c r="Y599" s="121"/>
      <c r="Z599" s="121"/>
    </row>
    <row r="600" customFormat="false" ht="15.75" hidden="false" customHeight="false" outlineLevel="0" collapsed="false">
      <c r="A600" s="121"/>
      <c r="B600" s="121"/>
      <c r="C600" s="121"/>
      <c r="D600" s="121"/>
      <c r="E600" s="121"/>
      <c r="F600" s="121"/>
      <c r="G600" s="121"/>
      <c r="H600" s="121"/>
      <c r="I600" s="121"/>
      <c r="J600" s="121"/>
      <c r="K600" s="121"/>
      <c r="L600" s="121"/>
      <c r="M600" s="121"/>
      <c r="N600" s="121"/>
      <c r="O600" s="121"/>
      <c r="P600" s="121"/>
      <c r="Q600" s="121"/>
      <c r="R600" s="121"/>
      <c r="S600" s="121"/>
      <c r="T600" s="121"/>
      <c r="U600" s="121"/>
      <c r="V600" s="121"/>
      <c r="W600" s="121"/>
      <c r="X600" s="121"/>
      <c r="Y600" s="121"/>
      <c r="Z600" s="121"/>
    </row>
    <row r="601" customFormat="false" ht="15.75" hidden="false" customHeight="false" outlineLevel="0" collapsed="false">
      <c r="A601" s="121"/>
      <c r="B601" s="121"/>
      <c r="C601" s="121"/>
      <c r="D601" s="121"/>
      <c r="E601" s="121"/>
      <c r="F601" s="121"/>
      <c r="G601" s="121"/>
      <c r="H601" s="121"/>
      <c r="I601" s="121"/>
      <c r="J601" s="121"/>
      <c r="K601" s="121"/>
      <c r="L601" s="121"/>
      <c r="M601" s="121"/>
      <c r="N601" s="121"/>
      <c r="O601" s="121"/>
      <c r="P601" s="121"/>
      <c r="Q601" s="121"/>
      <c r="R601" s="121"/>
      <c r="S601" s="121"/>
      <c r="T601" s="121"/>
      <c r="U601" s="121"/>
      <c r="V601" s="121"/>
      <c r="W601" s="121"/>
      <c r="X601" s="121"/>
      <c r="Y601" s="121"/>
      <c r="Z601" s="121"/>
    </row>
    <row r="602" customFormat="false" ht="15.75" hidden="false" customHeight="false" outlineLevel="0" collapsed="false">
      <c r="A602" s="121"/>
      <c r="B602" s="121"/>
      <c r="C602" s="121"/>
      <c r="D602" s="121"/>
      <c r="E602" s="121"/>
      <c r="F602" s="121"/>
      <c r="G602" s="121"/>
      <c r="H602" s="121"/>
      <c r="I602" s="121"/>
      <c r="J602" s="121"/>
      <c r="K602" s="121"/>
      <c r="L602" s="121"/>
      <c r="M602" s="121"/>
      <c r="N602" s="121"/>
      <c r="O602" s="121"/>
      <c r="P602" s="121"/>
      <c r="Q602" s="121"/>
      <c r="R602" s="121"/>
      <c r="S602" s="121"/>
      <c r="T602" s="121"/>
      <c r="U602" s="121"/>
      <c r="V602" s="121"/>
      <c r="W602" s="121"/>
      <c r="X602" s="121"/>
      <c r="Y602" s="121"/>
      <c r="Z602" s="121"/>
    </row>
    <row r="603" customFormat="false" ht="15.75" hidden="false" customHeight="false" outlineLevel="0" collapsed="false">
      <c r="A603" s="121"/>
      <c r="B603" s="121"/>
      <c r="C603" s="121"/>
      <c r="D603" s="121"/>
      <c r="E603" s="121"/>
      <c r="F603" s="121"/>
      <c r="G603" s="121"/>
      <c r="H603" s="121"/>
      <c r="I603" s="121"/>
      <c r="J603" s="121"/>
      <c r="K603" s="121"/>
      <c r="L603" s="121"/>
      <c r="M603" s="121"/>
      <c r="N603" s="121"/>
      <c r="O603" s="121"/>
      <c r="P603" s="121"/>
      <c r="Q603" s="121"/>
      <c r="R603" s="121"/>
      <c r="S603" s="121"/>
      <c r="T603" s="121"/>
      <c r="U603" s="121"/>
      <c r="V603" s="121"/>
      <c r="W603" s="121"/>
      <c r="X603" s="121"/>
      <c r="Y603" s="121"/>
      <c r="Z603" s="121"/>
    </row>
    <row r="604" customFormat="false" ht="15.75" hidden="false" customHeight="false" outlineLevel="0" collapsed="false">
      <c r="A604" s="121"/>
      <c r="B604" s="121"/>
      <c r="C604" s="121"/>
      <c r="D604" s="121"/>
      <c r="E604" s="121"/>
      <c r="F604" s="121"/>
      <c r="G604" s="121"/>
      <c r="H604" s="121"/>
      <c r="I604" s="121"/>
      <c r="J604" s="121"/>
      <c r="K604" s="121"/>
      <c r="L604" s="121"/>
      <c r="M604" s="121"/>
      <c r="N604" s="121"/>
      <c r="O604" s="121"/>
      <c r="P604" s="121"/>
      <c r="Q604" s="121"/>
      <c r="R604" s="121"/>
      <c r="S604" s="121"/>
      <c r="T604" s="121"/>
      <c r="U604" s="121"/>
      <c r="V604" s="121"/>
      <c r="W604" s="121"/>
      <c r="X604" s="121"/>
      <c r="Y604" s="121"/>
      <c r="Z604" s="121"/>
    </row>
    <row r="605" customFormat="false" ht="15.75" hidden="false" customHeight="false" outlineLevel="0" collapsed="false">
      <c r="A605" s="121"/>
      <c r="B605" s="121"/>
      <c r="C605" s="121"/>
      <c r="D605" s="121"/>
      <c r="E605" s="121"/>
      <c r="F605" s="121"/>
      <c r="G605" s="121"/>
      <c r="H605" s="121"/>
      <c r="I605" s="121"/>
      <c r="J605" s="121"/>
      <c r="K605" s="121"/>
      <c r="L605" s="121"/>
      <c r="M605" s="121"/>
      <c r="N605" s="121"/>
      <c r="O605" s="121"/>
      <c r="P605" s="121"/>
      <c r="Q605" s="121"/>
      <c r="R605" s="121"/>
      <c r="S605" s="121"/>
      <c r="T605" s="121"/>
      <c r="U605" s="121"/>
      <c r="V605" s="121"/>
      <c r="W605" s="121"/>
      <c r="X605" s="121"/>
      <c r="Y605" s="121"/>
      <c r="Z605" s="121"/>
    </row>
    <row r="606" customFormat="false" ht="15.75" hidden="false" customHeight="false" outlineLevel="0" collapsed="false">
      <c r="A606" s="121"/>
      <c r="B606" s="121"/>
      <c r="C606" s="121"/>
      <c r="D606" s="121"/>
      <c r="E606" s="121"/>
      <c r="F606" s="121"/>
      <c r="G606" s="121"/>
      <c r="H606" s="121"/>
      <c r="I606" s="121"/>
      <c r="J606" s="121"/>
      <c r="K606" s="121"/>
      <c r="L606" s="121"/>
      <c r="M606" s="121"/>
      <c r="N606" s="121"/>
      <c r="O606" s="121"/>
      <c r="P606" s="121"/>
      <c r="Q606" s="121"/>
      <c r="R606" s="121"/>
      <c r="S606" s="121"/>
      <c r="T606" s="121"/>
      <c r="U606" s="121"/>
      <c r="V606" s="121"/>
      <c r="W606" s="121"/>
      <c r="X606" s="121"/>
      <c r="Y606" s="121"/>
      <c r="Z606" s="121"/>
    </row>
    <row r="607" customFormat="false" ht="15.75" hidden="false" customHeight="false" outlineLevel="0" collapsed="false">
      <c r="A607" s="121"/>
      <c r="B607" s="121"/>
      <c r="C607" s="121"/>
      <c r="D607" s="121"/>
      <c r="E607" s="121"/>
      <c r="F607" s="121"/>
      <c r="G607" s="121"/>
      <c r="H607" s="121"/>
      <c r="I607" s="121"/>
      <c r="J607" s="121"/>
      <c r="K607" s="121"/>
      <c r="L607" s="121"/>
      <c r="M607" s="121"/>
      <c r="N607" s="121"/>
      <c r="O607" s="121"/>
      <c r="P607" s="121"/>
      <c r="Q607" s="121"/>
      <c r="R607" s="121"/>
      <c r="S607" s="121"/>
      <c r="T607" s="121"/>
      <c r="U607" s="121"/>
      <c r="V607" s="121"/>
      <c r="W607" s="121"/>
      <c r="X607" s="121"/>
      <c r="Y607" s="121"/>
      <c r="Z607" s="121"/>
    </row>
    <row r="608" customFormat="false" ht="15.75" hidden="false" customHeight="false" outlineLevel="0" collapsed="false">
      <c r="A608" s="121"/>
      <c r="B608" s="121"/>
      <c r="C608" s="121"/>
      <c r="D608" s="121"/>
      <c r="E608" s="121"/>
      <c r="F608" s="121"/>
      <c r="G608" s="121"/>
      <c r="H608" s="121"/>
      <c r="I608" s="121"/>
      <c r="J608" s="121"/>
      <c r="K608" s="121"/>
      <c r="L608" s="121"/>
      <c r="M608" s="121"/>
      <c r="N608" s="121"/>
      <c r="O608" s="121"/>
      <c r="P608" s="121"/>
      <c r="Q608" s="121"/>
      <c r="R608" s="121"/>
      <c r="S608" s="121"/>
      <c r="T608" s="121"/>
      <c r="U608" s="121"/>
      <c r="V608" s="121"/>
      <c r="W608" s="121"/>
      <c r="X608" s="121"/>
      <c r="Y608" s="121"/>
      <c r="Z608" s="121"/>
    </row>
    <row r="609" customFormat="false" ht="15.75" hidden="false" customHeight="false" outlineLevel="0" collapsed="false">
      <c r="A609" s="121"/>
      <c r="B609" s="121"/>
      <c r="C609" s="121"/>
      <c r="D609" s="121"/>
      <c r="E609" s="121"/>
      <c r="F609" s="121"/>
      <c r="G609" s="121"/>
      <c r="H609" s="121"/>
      <c r="I609" s="121"/>
      <c r="J609" s="121"/>
      <c r="K609" s="121"/>
      <c r="L609" s="121"/>
      <c r="M609" s="121"/>
      <c r="N609" s="121"/>
      <c r="O609" s="121"/>
      <c r="P609" s="121"/>
      <c r="Q609" s="121"/>
      <c r="R609" s="121"/>
      <c r="S609" s="121"/>
      <c r="T609" s="121"/>
      <c r="U609" s="121"/>
      <c r="V609" s="121"/>
      <c r="W609" s="121"/>
      <c r="X609" s="121"/>
      <c r="Y609" s="121"/>
      <c r="Z609" s="121"/>
    </row>
    <row r="610" customFormat="false" ht="15.75" hidden="false" customHeight="false" outlineLevel="0" collapsed="false">
      <c r="A610" s="121"/>
      <c r="B610" s="121"/>
      <c r="C610" s="121"/>
      <c r="D610" s="121"/>
      <c r="E610" s="121"/>
      <c r="F610" s="121"/>
      <c r="G610" s="121"/>
      <c r="H610" s="121"/>
      <c r="I610" s="121"/>
      <c r="J610" s="121"/>
      <c r="K610" s="121"/>
      <c r="L610" s="121"/>
      <c r="M610" s="121"/>
      <c r="N610" s="121"/>
      <c r="O610" s="121"/>
      <c r="P610" s="121"/>
      <c r="Q610" s="121"/>
      <c r="R610" s="121"/>
      <c r="S610" s="121"/>
      <c r="T610" s="121"/>
      <c r="U610" s="121"/>
      <c r="V610" s="121"/>
      <c r="W610" s="121"/>
      <c r="X610" s="121"/>
      <c r="Y610" s="121"/>
      <c r="Z610" s="121"/>
    </row>
    <row r="611" customFormat="false" ht="15.75" hidden="false" customHeight="false" outlineLevel="0" collapsed="false">
      <c r="A611" s="121"/>
      <c r="B611" s="121"/>
      <c r="C611" s="121"/>
      <c r="D611" s="121"/>
      <c r="E611" s="121"/>
      <c r="F611" s="121"/>
      <c r="G611" s="121"/>
      <c r="H611" s="121"/>
      <c r="I611" s="121"/>
      <c r="J611" s="121"/>
      <c r="K611" s="121"/>
      <c r="L611" s="121"/>
      <c r="M611" s="121"/>
      <c r="N611" s="121"/>
      <c r="O611" s="121"/>
      <c r="P611" s="121"/>
      <c r="Q611" s="121"/>
      <c r="R611" s="121"/>
      <c r="S611" s="121"/>
      <c r="T611" s="121"/>
      <c r="U611" s="121"/>
      <c r="V611" s="121"/>
      <c r="W611" s="121"/>
      <c r="X611" s="121"/>
      <c r="Y611" s="121"/>
      <c r="Z611" s="121"/>
    </row>
    <row r="612" customFormat="false" ht="15.75" hidden="false" customHeight="false" outlineLevel="0" collapsed="false">
      <c r="A612" s="121"/>
      <c r="B612" s="121"/>
      <c r="C612" s="121"/>
      <c r="D612" s="121"/>
      <c r="E612" s="121"/>
      <c r="F612" s="121"/>
      <c r="G612" s="121"/>
      <c r="H612" s="121"/>
      <c r="I612" s="121"/>
      <c r="J612" s="121"/>
      <c r="K612" s="121"/>
      <c r="L612" s="121"/>
      <c r="M612" s="121"/>
      <c r="N612" s="121"/>
      <c r="O612" s="121"/>
      <c r="P612" s="121"/>
      <c r="Q612" s="121"/>
      <c r="R612" s="121"/>
      <c r="S612" s="121"/>
      <c r="T612" s="121"/>
      <c r="U612" s="121"/>
      <c r="V612" s="121"/>
      <c r="W612" s="121"/>
      <c r="X612" s="121"/>
      <c r="Y612" s="121"/>
      <c r="Z612" s="121"/>
    </row>
    <row r="613" customFormat="false" ht="15.75" hidden="false" customHeight="false" outlineLevel="0" collapsed="false">
      <c r="A613" s="121"/>
      <c r="B613" s="121"/>
      <c r="C613" s="121"/>
      <c r="D613" s="121"/>
      <c r="E613" s="121"/>
      <c r="F613" s="121"/>
      <c r="G613" s="121"/>
      <c r="H613" s="121"/>
      <c r="I613" s="121"/>
      <c r="J613" s="121"/>
      <c r="K613" s="121"/>
      <c r="L613" s="121"/>
      <c r="M613" s="121"/>
      <c r="N613" s="121"/>
      <c r="O613" s="121"/>
      <c r="P613" s="121"/>
      <c r="Q613" s="121"/>
      <c r="R613" s="121"/>
      <c r="S613" s="121"/>
      <c r="T613" s="121"/>
      <c r="U613" s="121"/>
      <c r="V613" s="121"/>
      <c r="W613" s="121"/>
      <c r="X613" s="121"/>
      <c r="Y613" s="121"/>
      <c r="Z613" s="121"/>
    </row>
    <row r="614" customFormat="false" ht="15.75" hidden="false" customHeight="false" outlineLevel="0" collapsed="false">
      <c r="A614" s="121"/>
      <c r="B614" s="121"/>
      <c r="C614" s="121"/>
      <c r="D614" s="121"/>
      <c r="E614" s="121"/>
      <c r="F614" s="121"/>
      <c r="G614" s="121"/>
      <c r="H614" s="121"/>
      <c r="I614" s="121"/>
      <c r="J614" s="121"/>
      <c r="K614" s="121"/>
      <c r="L614" s="121"/>
      <c r="M614" s="121"/>
      <c r="N614" s="121"/>
      <c r="O614" s="121"/>
      <c r="P614" s="121"/>
      <c r="Q614" s="121"/>
      <c r="R614" s="121"/>
      <c r="S614" s="121"/>
      <c r="T614" s="121"/>
      <c r="U614" s="121"/>
      <c r="V614" s="121"/>
      <c r="W614" s="121"/>
      <c r="X614" s="121"/>
      <c r="Y614" s="121"/>
      <c r="Z614" s="121"/>
    </row>
    <row r="615" customFormat="false" ht="15.75" hidden="false" customHeight="false" outlineLevel="0" collapsed="false">
      <c r="A615" s="121"/>
      <c r="B615" s="121"/>
      <c r="C615" s="121"/>
      <c r="D615" s="121"/>
      <c r="E615" s="121"/>
      <c r="F615" s="121"/>
      <c r="G615" s="121"/>
      <c r="H615" s="121"/>
      <c r="I615" s="121"/>
      <c r="J615" s="121"/>
      <c r="K615" s="121"/>
      <c r="L615" s="121"/>
      <c r="M615" s="121"/>
      <c r="N615" s="121"/>
      <c r="O615" s="121"/>
      <c r="P615" s="121"/>
      <c r="Q615" s="121"/>
      <c r="R615" s="121"/>
      <c r="S615" s="121"/>
      <c r="T615" s="121"/>
      <c r="U615" s="121"/>
      <c r="V615" s="121"/>
      <c r="W615" s="121"/>
      <c r="X615" s="121"/>
      <c r="Y615" s="121"/>
      <c r="Z615" s="121"/>
    </row>
    <row r="616" customFormat="false" ht="15.75" hidden="false" customHeight="false" outlineLevel="0" collapsed="false">
      <c r="A616" s="121"/>
      <c r="B616" s="121"/>
      <c r="C616" s="121"/>
      <c r="D616" s="121"/>
      <c r="E616" s="121"/>
      <c r="F616" s="121"/>
      <c r="G616" s="121"/>
      <c r="H616" s="121"/>
      <c r="I616" s="121"/>
      <c r="J616" s="121"/>
      <c r="K616" s="121"/>
      <c r="L616" s="121"/>
      <c r="M616" s="121"/>
      <c r="N616" s="121"/>
      <c r="O616" s="121"/>
      <c r="P616" s="121"/>
      <c r="Q616" s="121"/>
      <c r="R616" s="121"/>
      <c r="S616" s="121"/>
      <c r="T616" s="121"/>
      <c r="U616" s="121"/>
      <c r="V616" s="121"/>
      <c r="W616" s="121"/>
      <c r="X616" s="121"/>
      <c r="Y616" s="121"/>
      <c r="Z616" s="121"/>
    </row>
    <row r="617" customFormat="false" ht="15.75" hidden="false" customHeight="false" outlineLevel="0" collapsed="false">
      <c r="A617" s="121"/>
      <c r="B617" s="121"/>
      <c r="C617" s="121"/>
      <c r="D617" s="121"/>
      <c r="E617" s="121"/>
      <c r="F617" s="121"/>
      <c r="G617" s="121"/>
      <c r="H617" s="121"/>
      <c r="I617" s="121"/>
      <c r="J617" s="121"/>
      <c r="K617" s="121"/>
      <c r="L617" s="121"/>
      <c r="M617" s="121"/>
      <c r="N617" s="121"/>
      <c r="O617" s="121"/>
      <c r="P617" s="121"/>
      <c r="Q617" s="121"/>
      <c r="R617" s="121"/>
      <c r="S617" s="121"/>
      <c r="T617" s="121"/>
      <c r="U617" s="121"/>
      <c r="V617" s="121"/>
      <c r="W617" s="121"/>
      <c r="X617" s="121"/>
      <c r="Y617" s="121"/>
      <c r="Z617" s="121"/>
    </row>
    <row r="618" customFormat="false" ht="15.75" hidden="false" customHeight="false" outlineLevel="0" collapsed="false">
      <c r="A618" s="121"/>
      <c r="B618" s="121"/>
      <c r="C618" s="121"/>
      <c r="D618" s="121"/>
      <c r="E618" s="121"/>
      <c r="F618" s="121"/>
      <c r="G618" s="121"/>
      <c r="H618" s="121"/>
      <c r="I618" s="121"/>
      <c r="J618" s="121"/>
      <c r="K618" s="121"/>
      <c r="L618" s="121"/>
      <c r="M618" s="121"/>
      <c r="N618" s="121"/>
      <c r="O618" s="121"/>
      <c r="P618" s="121"/>
      <c r="Q618" s="121"/>
      <c r="R618" s="121"/>
      <c r="S618" s="121"/>
      <c r="T618" s="121"/>
      <c r="U618" s="121"/>
      <c r="V618" s="121"/>
      <c r="W618" s="121"/>
      <c r="X618" s="121"/>
      <c r="Y618" s="121"/>
      <c r="Z618" s="121"/>
    </row>
    <row r="619" customFormat="false" ht="15.75" hidden="false" customHeight="false" outlineLevel="0" collapsed="false">
      <c r="A619" s="121"/>
      <c r="B619" s="121"/>
      <c r="C619" s="121"/>
      <c r="D619" s="121"/>
      <c r="E619" s="121"/>
      <c r="F619" s="121"/>
      <c r="G619" s="121"/>
      <c r="H619" s="121"/>
      <c r="I619" s="121"/>
      <c r="J619" s="121"/>
      <c r="K619" s="121"/>
      <c r="L619" s="121"/>
      <c r="M619" s="121"/>
      <c r="N619" s="121"/>
      <c r="O619" s="121"/>
      <c r="P619" s="121"/>
      <c r="Q619" s="121"/>
      <c r="R619" s="121"/>
      <c r="S619" s="121"/>
      <c r="T619" s="121"/>
      <c r="U619" s="121"/>
      <c r="V619" s="121"/>
      <c r="W619" s="121"/>
      <c r="X619" s="121"/>
      <c r="Y619" s="121"/>
      <c r="Z619" s="121"/>
    </row>
    <row r="620" customFormat="false" ht="15.75" hidden="false" customHeight="false" outlineLevel="0" collapsed="false">
      <c r="A620" s="121"/>
      <c r="B620" s="121"/>
      <c r="C620" s="121"/>
      <c r="D620" s="121"/>
      <c r="E620" s="121"/>
      <c r="F620" s="121"/>
      <c r="G620" s="121"/>
      <c r="H620" s="121"/>
      <c r="I620" s="121"/>
      <c r="J620" s="121"/>
      <c r="K620" s="121"/>
      <c r="L620" s="121"/>
      <c r="M620" s="121"/>
      <c r="N620" s="121"/>
      <c r="O620" s="121"/>
      <c r="P620" s="121"/>
      <c r="Q620" s="121"/>
      <c r="R620" s="121"/>
      <c r="S620" s="121"/>
      <c r="T620" s="121"/>
      <c r="U620" s="121"/>
      <c r="V620" s="121"/>
      <c r="W620" s="121"/>
      <c r="X620" s="121"/>
      <c r="Y620" s="121"/>
      <c r="Z620" s="121"/>
    </row>
    <row r="621" customFormat="false" ht="15.75" hidden="false" customHeight="false" outlineLevel="0" collapsed="false">
      <c r="A621" s="121"/>
      <c r="B621" s="121"/>
      <c r="C621" s="121"/>
      <c r="D621" s="121"/>
      <c r="E621" s="121"/>
      <c r="F621" s="121"/>
      <c r="G621" s="121"/>
      <c r="H621" s="121"/>
      <c r="I621" s="121"/>
      <c r="J621" s="121"/>
      <c r="K621" s="121"/>
      <c r="L621" s="121"/>
      <c r="M621" s="121"/>
      <c r="N621" s="121"/>
      <c r="O621" s="121"/>
      <c r="P621" s="121"/>
      <c r="Q621" s="121"/>
      <c r="R621" s="121"/>
      <c r="S621" s="121"/>
      <c r="T621" s="121"/>
      <c r="U621" s="121"/>
      <c r="V621" s="121"/>
      <c r="W621" s="121"/>
      <c r="X621" s="121"/>
      <c r="Y621" s="121"/>
      <c r="Z621" s="121"/>
    </row>
    <row r="622" customFormat="false" ht="15.75" hidden="false" customHeight="false" outlineLevel="0" collapsed="false">
      <c r="A622" s="121"/>
      <c r="B622" s="121"/>
      <c r="C622" s="121"/>
      <c r="D622" s="121"/>
      <c r="E622" s="121"/>
      <c r="F622" s="121"/>
      <c r="G622" s="121"/>
      <c r="H622" s="121"/>
      <c r="I622" s="121"/>
      <c r="J622" s="121"/>
      <c r="K622" s="121"/>
      <c r="L622" s="121"/>
      <c r="M622" s="121"/>
      <c r="N622" s="121"/>
      <c r="O622" s="121"/>
      <c r="P622" s="121"/>
      <c r="Q622" s="121"/>
      <c r="R622" s="121"/>
      <c r="S622" s="121"/>
      <c r="T622" s="121"/>
      <c r="U622" s="121"/>
      <c r="V622" s="121"/>
      <c r="W622" s="121"/>
      <c r="X622" s="121"/>
      <c r="Y622" s="121"/>
      <c r="Z622" s="121"/>
    </row>
    <row r="623" customFormat="false" ht="15.75" hidden="false" customHeight="false" outlineLevel="0" collapsed="false">
      <c r="A623" s="121"/>
      <c r="B623" s="121"/>
      <c r="C623" s="121"/>
      <c r="D623" s="121"/>
      <c r="E623" s="121"/>
      <c r="F623" s="121"/>
      <c r="G623" s="121"/>
      <c r="H623" s="121"/>
      <c r="I623" s="121"/>
      <c r="J623" s="121"/>
      <c r="K623" s="121"/>
      <c r="L623" s="121"/>
      <c r="M623" s="121"/>
      <c r="N623" s="121"/>
      <c r="O623" s="121"/>
      <c r="P623" s="121"/>
      <c r="Q623" s="121"/>
      <c r="R623" s="121"/>
      <c r="S623" s="121"/>
      <c r="T623" s="121"/>
      <c r="U623" s="121"/>
      <c r="V623" s="121"/>
      <c r="W623" s="121"/>
      <c r="X623" s="121"/>
      <c r="Y623" s="121"/>
      <c r="Z623" s="121"/>
    </row>
    <row r="624" customFormat="false" ht="15.75" hidden="false" customHeight="false" outlineLevel="0" collapsed="false">
      <c r="A624" s="121"/>
      <c r="B624" s="121"/>
      <c r="C624" s="121"/>
      <c r="D624" s="121"/>
      <c r="E624" s="121"/>
      <c r="F624" s="121"/>
      <c r="G624" s="121"/>
      <c r="H624" s="121"/>
      <c r="I624" s="121"/>
      <c r="J624" s="121"/>
      <c r="K624" s="121"/>
      <c r="L624" s="121"/>
      <c r="M624" s="121"/>
      <c r="N624" s="121"/>
      <c r="O624" s="121"/>
      <c r="P624" s="121"/>
      <c r="Q624" s="121"/>
      <c r="R624" s="121"/>
      <c r="S624" s="121"/>
      <c r="T624" s="121"/>
      <c r="U624" s="121"/>
      <c r="V624" s="121"/>
      <c r="W624" s="121"/>
      <c r="X624" s="121"/>
      <c r="Y624" s="121"/>
      <c r="Z624" s="121"/>
    </row>
    <row r="625" customFormat="false" ht="15.75" hidden="false" customHeight="false" outlineLevel="0" collapsed="false">
      <c r="A625" s="121"/>
      <c r="B625" s="121"/>
      <c r="C625" s="121"/>
      <c r="D625" s="121"/>
      <c r="E625" s="121"/>
      <c r="F625" s="121"/>
      <c r="G625" s="121"/>
      <c r="H625" s="121"/>
      <c r="I625" s="121"/>
      <c r="J625" s="121"/>
      <c r="K625" s="121"/>
      <c r="L625" s="121"/>
      <c r="M625" s="121"/>
      <c r="N625" s="121"/>
      <c r="O625" s="121"/>
      <c r="P625" s="121"/>
      <c r="Q625" s="121"/>
      <c r="R625" s="121"/>
      <c r="S625" s="121"/>
      <c r="T625" s="121"/>
      <c r="U625" s="121"/>
      <c r="V625" s="121"/>
      <c r="W625" s="121"/>
      <c r="X625" s="121"/>
      <c r="Y625" s="121"/>
      <c r="Z625" s="121"/>
    </row>
    <row r="626" customFormat="false" ht="15.75" hidden="false" customHeight="false" outlineLevel="0" collapsed="false">
      <c r="A626" s="121"/>
      <c r="B626" s="121"/>
      <c r="C626" s="121"/>
      <c r="D626" s="121"/>
      <c r="E626" s="121"/>
      <c r="F626" s="121"/>
      <c r="G626" s="121"/>
      <c r="H626" s="121"/>
      <c r="I626" s="121"/>
      <c r="J626" s="121"/>
      <c r="K626" s="121"/>
      <c r="L626" s="121"/>
      <c r="M626" s="121"/>
      <c r="N626" s="121"/>
      <c r="O626" s="121"/>
      <c r="P626" s="121"/>
      <c r="Q626" s="121"/>
      <c r="R626" s="121"/>
      <c r="S626" s="121"/>
      <c r="T626" s="121"/>
      <c r="U626" s="121"/>
      <c r="V626" s="121"/>
      <c r="W626" s="121"/>
      <c r="X626" s="121"/>
      <c r="Y626" s="121"/>
      <c r="Z626" s="121"/>
    </row>
    <row r="627" customFormat="false" ht="15.75" hidden="false" customHeight="false" outlineLevel="0" collapsed="false">
      <c r="A627" s="121"/>
      <c r="B627" s="121"/>
      <c r="C627" s="121"/>
      <c r="D627" s="121"/>
      <c r="E627" s="121"/>
      <c r="F627" s="121"/>
      <c r="G627" s="121"/>
      <c r="H627" s="121"/>
      <c r="I627" s="121"/>
      <c r="J627" s="121"/>
      <c r="K627" s="121"/>
      <c r="L627" s="121"/>
      <c r="M627" s="121"/>
      <c r="N627" s="121"/>
      <c r="O627" s="121"/>
      <c r="P627" s="121"/>
      <c r="Q627" s="121"/>
      <c r="R627" s="121"/>
      <c r="S627" s="121"/>
      <c r="T627" s="121"/>
      <c r="U627" s="121"/>
      <c r="V627" s="121"/>
      <c r="W627" s="121"/>
      <c r="X627" s="121"/>
      <c r="Y627" s="121"/>
      <c r="Z627" s="121"/>
    </row>
    <row r="628" customFormat="false" ht="15.75" hidden="false" customHeight="false" outlineLevel="0" collapsed="false">
      <c r="A628" s="121"/>
      <c r="B628" s="121"/>
      <c r="C628" s="121"/>
      <c r="D628" s="121"/>
      <c r="E628" s="121"/>
      <c r="F628" s="121"/>
      <c r="G628" s="121"/>
      <c r="H628" s="121"/>
      <c r="I628" s="121"/>
      <c r="J628" s="121"/>
      <c r="K628" s="121"/>
      <c r="L628" s="121"/>
      <c r="M628" s="121"/>
      <c r="N628" s="121"/>
      <c r="O628" s="121"/>
      <c r="P628" s="121"/>
      <c r="Q628" s="121"/>
      <c r="R628" s="121"/>
      <c r="S628" s="121"/>
      <c r="T628" s="121"/>
      <c r="U628" s="121"/>
      <c r="V628" s="121"/>
      <c r="W628" s="121"/>
      <c r="X628" s="121"/>
      <c r="Y628" s="121"/>
      <c r="Z628" s="121"/>
    </row>
    <row r="629" customFormat="false" ht="15.75" hidden="false" customHeight="false" outlineLevel="0" collapsed="false">
      <c r="A629" s="121"/>
      <c r="B629" s="121"/>
      <c r="C629" s="121"/>
      <c r="D629" s="121"/>
      <c r="E629" s="121"/>
      <c r="F629" s="121"/>
      <c r="G629" s="121"/>
      <c r="H629" s="121"/>
      <c r="I629" s="121"/>
      <c r="J629" s="121"/>
      <c r="K629" s="121"/>
      <c r="L629" s="121"/>
      <c r="M629" s="121"/>
      <c r="N629" s="121"/>
      <c r="O629" s="121"/>
      <c r="P629" s="121"/>
      <c r="Q629" s="121"/>
      <c r="R629" s="121"/>
      <c r="S629" s="121"/>
      <c r="T629" s="121"/>
      <c r="U629" s="121"/>
      <c r="V629" s="121"/>
      <c r="W629" s="121"/>
      <c r="X629" s="121"/>
      <c r="Y629" s="121"/>
      <c r="Z629" s="121"/>
    </row>
    <row r="630" customFormat="false" ht="15.75" hidden="false" customHeight="false" outlineLevel="0" collapsed="false">
      <c r="A630" s="121"/>
      <c r="B630" s="121"/>
      <c r="C630" s="121"/>
      <c r="D630" s="121"/>
      <c r="E630" s="121"/>
      <c r="F630" s="121"/>
      <c r="G630" s="121"/>
      <c r="H630" s="121"/>
      <c r="I630" s="121"/>
      <c r="J630" s="121"/>
      <c r="K630" s="121"/>
      <c r="L630" s="121"/>
      <c r="M630" s="121"/>
      <c r="N630" s="121"/>
      <c r="O630" s="121"/>
      <c r="P630" s="121"/>
      <c r="Q630" s="121"/>
      <c r="R630" s="121"/>
      <c r="S630" s="121"/>
      <c r="T630" s="121"/>
      <c r="U630" s="121"/>
      <c r="V630" s="121"/>
      <c r="W630" s="121"/>
      <c r="X630" s="121"/>
      <c r="Y630" s="121"/>
      <c r="Z630" s="121"/>
    </row>
    <row r="631" customFormat="false" ht="15.75" hidden="false" customHeight="false" outlineLevel="0" collapsed="false">
      <c r="A631" s="121"/>
      <c r="B631" s="121"/>
      <c r="C631" s="121"/>
      <c r="D631" s="121"/>
      <c r="E631" s="121"/>
      <c r="F631" s="121"/>
      <c r="G631" s="121"/>
      <c r="H631" s="121"/>
      <c r="I631" s="121"/>
      <c r="J631" s="121"/>
      <c r="K631" s="121"/>
      <c r="L631" s="121"/>
      <c r="M631" s="121"/>
      <c r="N631" s="121"/>
      <c r="O631" s="121"/>
      <c r="P631" s="121"/>
      <c r="Q631" s="121"/>
      <c r="R631" s="121"/>
      <c r="S631" s="121"/>
      <c r="T631" s="121"/>
      <c r="U631" s="121"/>
      <c r="V631" s="121"/>
      <c r="W631" s="121"/>
      <c r="X631" s="121"/>
      <c r="Y631" s="121"/>
      <c r="Z631" s="121"/>
    </row>
    <row r="632" customFormat="false" ht="15.75" hidden="false" customHeight="false" outlineLevel="0" collapsed="false">
      <c r="A632" s="121"/>
      <c r="B632" s="121"/>
      <c r="C632" s="121"/>
      <c r="D632" s="121"/>
      <c r="E632" s="121"/>
      <c r="F632" s="121"/>
      <c r="G632" s="121"/>
      <c r="H632" s="121"/>
      <c r="I632" s="121"/>
      <c r="J632" s="121"/>
      <c r="K632" s="121"/>
      <c r="L632" s="121"/>
      <c r="M632" s="121"/>
      <c r="N632" s="121"/>
      <c r="O632" s="121"/>
      <c r="P632" s="121"/>
      <c r="Q632" s="121"/>
      <c r="R632" s="121"/>
      <c r="S632" s="121"/>
      <c r="T632" s="121"/>
      <c r="U632" s="121"/>
      <c r="V632" s="121"/>
      <c r="W632" s="121"/>
      <c r="X632" s="121"/>
      <c r="Y632" s="121"/>
      <c r="Z632" s="121"/>
    </row>
    <row r="633" customFormat="false" ht="15.75" hidden="false" customHeight="false" outlineLevel="0" collapsed="false">
      <c r="A633" s="121"/>
      <c r="B633" s="121"/>
      <c r="C633" s="121"/>
      <c r="D633" s="121"/>
      <c r="E633" s="121"/>
      <c r="F633" s="121"/>
      <c r="G633" s="121"/>
      <c r="H633" s="121"/>
      <c r="I633" s="121"/>
      <c r="J633" s="121"/>
      <c r="K633" s="121"/>
      <c r="L633" s="121"/>
      <c r="M633" s="121"/>
      <c r="N633" s="121"/>
      <c r="O633" s="121"/>
      <c r="P633" s="121"/>
      <c r="Q633" s="121"/>
      <c r="R633" s="121"/>
      <c r="S633" s="121"/>
      <c r="T633" s="121"/>
      <c r="U633" s="121"/>
      <c r="V633" s="121"/>
      <c r="W633" s="121"/>
      <c r="X633" s="121"/>
      <c r="Y633" s="121"/>
      <c r="Z633" s="121"/>
    </row>
    <row r="634" customFormat="false" ht="15.75" hidden="false" customHeight="false" outlineLevel="0" collapsed="false">
      <c r="A634" s="121"/>
      <c r="B634" s="121"/>
      <c r="C634" s="121"/>
      <c r="D634" s="121"/>
      <c r="E634" s="121"/>
      <c r="F634" s="121"/>
      <c r="G634" s="121"/>
      <c r="H634" s="121"/>
      <c r="I634" s="121"/>
      <c r="J634" s="121"/>
      <c r="K634" s="121"/>
      <c r="L634" s="121"/>
      <c r="M634" s="121"/>
      <c r="N634" s="121"/>
      <c r="O634" s="121"/>
      <c r="P634" s="121"/>
      <c r="Q634" s="121"/>
      <c r="R634" s="121"/>
      <c r="S634" s="121"/>
      <c r="T634" s="121"/>
      <c r="U634" s="121"/>
      <c r="V634" s="121"/>
      <c r="W634" s="121"/>
      <c r="X634" s="121"/>
      <c r="Y634" s="121"/>
      <c r="Z634" s="121"/>
    </row>
    <row r="635" customFormat="false" ht="15.75" hidden="false" customHeight="false" outlineLevel="0" collapsed="false">
      <c r="A635" s="121"/>
      <c r="B635" s="121"/>
      <c r="C635" s="121"/>
      <c r="D635" s="121"/>
      <c r="E635" s="121"/>
      <c r="F635" s="121"/>
      <c r="G635" s="121"/>
      <c r="H635" s="121"/>
      <c r="I635" s="121"/>
      <c r="J635" s="121"/>
      <c r="K635" s="121"/>
      <c r="L635" s="121"/>
      <c r="M635" s="121"/>
      <c r="N635" s="121"/>
      <c r="O635" s="121"/>
      <c r="P635" s="121"/>
      <c r="Q635" s="121"/>
      <c r="R635" s="121"/>
      <c r="S635" s="121"/>
      <c r="T635" s="121"/>
      <c r="U635" s="121"/>
      <c r="V635" s="121"/>
      <c r="W635" s="121"/>
      <c r="X635" s="121"/>
      <c r="Y635" s="121"/>
      <c r="Z635" s="121"/>
    </row>
    <row r="636" customFormat="false" ht="15.75" hidden="false" customHeight="false" outlineLevel="0" collapsed="false">
      <c r="A636" s="121"/>
      <c r="B636" s="121"/>
      <c r="C636" s="121"/>
      <c r="D636" s="121"/>
      <c r="E636" s="121"/>
      <c r="F636" s="121"/>
      <c r="G636" s="121"/>
      <c r="H636" s="121"/>
      <c r="I636" s="121"/>
      <c r="J636" s="121"/>
      <c r="K636" s="121"/>
      <c r="L636" s="121"/>
      <c r="M636" s="121"/>
      <c r="N636" s="121"/>
      <c r="O636" s="121"/>
      <c r="P636" s="121"/>
      <c r="Q636" s="121"/>
      <c r="R636" s="121"/>
      <c r="S636" s="121"/>
      <c r="T636" s="121"/>
      <c r="U636" s="121"/>
      <c r="V636" s="121"/>
      <c r="W636" s="121"/>
      <c r="X636" s="121"/>
      <c r="Y636" s="121"/>
      <c r="Z636" s="121"/>
    </row>
    <row r="637" customFormat="false" ht="15.75" hidden="false" customHeight="false" outlineLevel="0" collapsed="false">
      <c r="A637" s="121"/>
      <c r="B637" s="121"/>
      <c r="C637" s="121"/>
      <c r="D637" s="121"/>
      <c r="E637" s="121"/>
      <c r="F637" s="121"/>
      <c r="G637" s="121"/>
      <c r="H637" s="121"/>
      <c r="I637" s="121"/>
      <c r="J637" s="121"/>
      <c r="K637" s="121"/>
      <c r="L637" s="121"/>
      <c r="M637" s="121"/>
      <c r="N637" s="121"/>
      <c r="O637" s="121"/>
      <c r="P637" s="121"/>
      <c r="Q637" s="121"/>
      <c r="R637" s="121"/>
      <c r="S637" s="121"/>
      <c r="T637" s="121"/>
      <c r="U637" s="121"/>
      <c r="V637" s="121"/>
      <c r="W637" s="121"/>
      <c r="X637" s="121"/>
      <c r="Y637" s="121"/>
      <c r="Z637" s="121"/>
    </row>
    <row r="638" customFormat="false" ht="15.75" hidden="false" customHeight="false" outlineLevel="0" collapsed="false">
      <c r="A638" s="121"/>
      <c r="B638" s="121"/>
      <c r="C638" s="121"/>
      <c r="D638" s="121"/>
      <c r="E638" s="121"/>
      <c r="F638" s="121"/>
      <c r="G638" s="121"/>
      <c r="H638" s="121"/>
      <c r="I638" s="121"/>
      <c r="J638" s="121"/>
      <c r="K638" s="121"/>
      <c r="L638" s="121"/>
      <c r="M638" s="121"/>
      <c r="N638" s="121"/>
      <c r="O638" s="121"/>
      <c r="P638" s="121"/>
      <c r="Q638" s="121"/>
      <c r="R638" s="121"/>
      <c r="S638" s="121"/>
      <c r="T638" s="121"/>
      <c r="U638" s="121"/>
      <c r="V638" s="121"/>
      <c r="W638" s="121"/>
      <c r="X638" s="121"/>
      <c r="Y638" s="121"/>
      <c r="Z638" s="121"/>
    </row>
    <row r="639" customFormat="false" ht="15.75" hidden="false" customHeight="false" outlineLevel="0" collapsed="false">
      <c r="A639" s="121"/>
      <c r="B639" s="121"/>
      <c r="C639" s="121"/>
      <c r="D639" s="121"/>
      <c r="E639" s="121"/>
      <c r="F639" s="121"/>
      <c r="G639" s="121"/>
      <c r="H639" s="121"/>
      <c r="I639" s="121"/>
      <c r="J639" s="121"/>
      <c r="K639" s="121"/>
      <c r="L639" s="121"/>
      <c r="M639" s="121"/>
      <c r="N639" s="121"/>
      <c r="O639" s="121"/>
      <c r="P639" s="121"/>
      <c r="Q639" s="121"/>
      <c r="R639" s="121"/>
      <c r="S639" s="121"/>
      <c r="T639" s="121"/>
      <c r="U639" s="121"/>
      <c r="V639" s="121"/>
      <c r="W639" s="121"/>
      <c r="X639" s="121"/>
      <c r="Y639" s="121"/>
      <c r="Z639" s="121"/>
    </row>
    <row r="640" customFormat="false" ht="15.75" hidden="false" customHeight="false" outlineLevel="0" collapsed="false">
      <c r="A640" s="121"/>
      <c r="B640" s="121"/>
      <c r="C640" s="121"/>
      <c r="D640" s="121"/>
      <c r="E640" s="121"/>
      <c r="F640" s="121"/>
      <c r="G640" s="121"/>
      <c r="H640" s="121"/>
      <c r="I640" s="121"/>
      <c r="J640" s="121"/>
      <c r="K640" s="121"/>
      <c r="L640" s="121"/>
      <c r="M640" s="121"/>
      <c r="N640" s="121"/>
      <c r="O640" s="121"/>
      <c r="P640" s="121"/>
      <c r="Q640" s="121"/>
      <c r="R640" s="121"/>
      <c r="S640" s="121"/>
      <c r="T640" s="121"/>
      <c r="U640" s="121"/>
      <c r="V640" s="121"/>
      <c r="W640" s="121"/>
      <c r="X640" s="121"/>
      <c r="Y640" s="121"/>
      <c r="Z640" s="121"/>
    </row>
    <row r="641" customFormat="false" ht="15.75" hidden="false" customHeight="false" outlineLevel="0" collapsed="false">
      <c r="A641" s="121"/>
      <c r="B641" s="121"/>
      <c r="C641" s="121"/>
      <c r="D641" s="121"/>
      <c r="E641" s="121"/>
      <c r="F641" s="121"/>
      <c r="G641" s="121"/>
      <c r="H641" s="121"/>
      <c r="I641" s="121"/>
      <c r="J641" s="121"/>
      <c r="K641" s="121"/>
      <c r="L641" s="121"/>
      <c r="M641" s="121"/>
      <c r="N641" s="121"/>
      <c r="O641" s="121"/>
      <c r="P641" s="121"/>
      <c r="Q641" s="121"/>
      <c r="R641" s="121"/>
      <c r="S641" s="121"/>
      <c r="T641" s="121"/>
      <c r="U641" s="121"/>
      <c r="V641" s="121"/>
      <c r="W641" s="121"/>
      <c r="X641" s="121"/>
      <c r="Y641" s="121"/>
      <c r="Z641" s="121"/>
    </row>
    <row r="642" customFormat="false" ht="15.75" hidden="false" customHeight="false" outlineLevel="0" collapsed="false">
      <c r="A642" s="121"/>
      <c r="B642" s="121"/>
      <c r="C642" s="121"/>
      <c r="D642" s="121"/>
      <c r="E642" s="121"/>
      <c r="F642" s="121"/>
      <c r="G642" s="121"/>
      <c r="H642" s="121"/>
      <c r="I642" s="121"/>
      <c r="J642" s="121"/>
      <c r="K642" s="121"/>
      <c r="L642" s="121"/>
      <c r="M642" s="121"/>
      <c r="N642" s="121"/>
      <c r="O642" s="121"/>
      <c r="P642" s="121"/>
      <c r="Q642" s="121"/>
      <c r="R642" s="121"/>
      <c r="S642" s="121"/>
      <c r="T642" s="121"/>
      <c r="U642" s="121"/>
      <c r="V642" s="121"/>
      <c r="W642" s="121"/>
      <c r="X642" s="121"/>
      <c r="Y642" s="121"/>
      <c r="Z642" s="121"/>
    </row>
    <row r="643" customFormat="false" ht="15.75" hidden="false" customHeight="false" outlineLevel="0" collapsed="false">
      <c r="A643" s="121"/>
      <c r="B643" s="121"/>
      <c r="C643" s="121"/>
      <c r="D643" s="121"/>
      <c r="E643" s="121"/>
      <c r="F643" s="121"/>
      <c r="G643" s="121"/>
      <c r="H643" s="121"/>
      <c r="I643" s="121"/>
      <c r="J643" s="121"/>
      <c r="K643" s="121"/>
      <c r="L643" s="121"/>
      <c r="M643" s="121"/>
      <c r="N643" s="121"/>
      <c r="O643" s="121"/>
      <c r="P643" s="121"/>
      <c r="Q643" s="121"/>
      <c r="R643" s="121"/>
      <c r="S643" s="121"/>
      <c r="T643" s="121"/>
      <c r="U643" s="121"/>
      <c r="V643" s="121"/>
      <c r="W643" s="121"/>
      <c r="X643" s="121"/>
      <c r="Y643" s="121"/>
      <c r="Z643" s="121"/>
    </row>
    <row r="644" customFormat="false" ht="15.75" hidden="false" customHeight="false" outlineLevel="0" collapsed="false">
      <c r="A644" s="121"/>
      <c r="B644" s="121"/>
      <c r="C644" s="121"/>
      <c r="D644" s="121"/>
      <c r="E644" s="121"/>
      <c r="F644" s="121"/>
      <c r="G644" s="121"/>
      <c r="H644" s="121"/>
      <c r="I644" s="121"/>
      <c r="J644" s="121"/>
      <c r="K644" s="121"/>
      <c r="L644" s="121"/>
      <c r="M644" s="121"/>
      <c r="N644" s="121"/>
      <c r="O644" s="121"/>
      <c r="P644" s="121"/>
      <c r="Q644" s="121"/>
      <c r="R644" s="121"/>
      <c r="S644" s="121"/>
      <c r="T644" s="121"/>
      <c r="U644" s="121"/>
      <c r="V644" s="121"/>
      <c r="W644" s="121"/>
      <c r="X644" s="121"/>
      <c r="Y644" s="121"/>
      <c r="Z644" s="121"/>
    </row>
    <row r="645" customFormat="false" ht="15.75" hidden="false" customHeight="false" outlineLevel="0" collapsed="false">
      <c r="A645" s="121"/>
      <c r="B645" s="121"/>
      <c r="C645" s="121"/>
      <c r="D645" s="121"/>
      <c r="E645" s="121"/>
      <c r="F645" s="121"/>
      <c r="G645" s="121"/>
      <c r="H645" s="121"/>
      <c r="I645" s="121"/>
      <c r="J645" s="121"/>
      <c r="K645" s="121"/>
      <c r="L645" s="121"/>
      <c r="M645" s="121"/>
      <c r="N645" s="121"/>
      <c r="O645" s="121"/>
      <c r="P645" s="121"/>
      <c r="Q645" s="121"/>
      <c r="R645" s="121"/>
      <c r="S645" s="121"/>
      <c r="T645" s="121"/>
      <c r="U645" s="121"/>
      <c r="V645" s="121"/>
      <c r="W645" s="121"/>
      <c r="X645" s="121"/>
      <c r="Y645" s="121"/>
      <c r="Z645" s="121"/>
    </row>
    <row r="646" customFormat="false" ht="15.75" hidden="false" customHeight="false" outlineLevel="0" collapsed="false">
      <c r="A646" s="121"/>
      <c r="B646" s="121"/>
      <c r="C646" s="121"/>
      <c r="D646" s="121"/>
      <c r="E646" s="121"/>
      <c r="F646" s="121"/>
      <c r="G646" s="121"/>
      <c r="H646" s="121"/>
      <c r="I646" s="121"/>
      <c r="J646" s="121"/>
      <c r="K646" s="121"/>
      <c r="L646" s="121"/>
      <c r="M646" s="121"/>
      <c r="N646" s="121"/>
      <c r="O646" s="121"/>
      <c r="P646" s="121"/>
      <c r="Q646" s="121"/>
      <c r="R646" s="121"/>
      <c r="S646" s="121"/>
      <c r="T646" s="121"/>
      <c r="U646" s="121"/>
      <c r="V646" s="121"/>
      <c r="W646" s="121"/>
      <c r="X646" s="121"/>
      <c r="Y646" s="121"/>
      <c r="Z646" s="121"/>
    </row>
    <row r="647" customFormat="false" ht="15.75" hidden="false" customHeight="false" outlineLevel="0" collapsed="false">
      <c r="A647" s="121"/>
      <c r="B647" s="121"/>
      <c r="C647" s="121"/>
      <c r="D647" s="121"/>
      <c r="E647" s="121"/>
      <c r="F647" s="121"/>
      <c r="G647" s="121"/>
      <c r="H647" s="121"/>
      <c r="I647" s="121"/>
      <c r="J647" s="121"/>
      <c r="K647" s="121"/>
      <c r="L647" s="121"/>
      <c r="M647" s="121"/>
      <c r="N647" s="121"/>
      <c r="O647" s="121"/>
      <c r="P647" s="121"/>
      <c r="Q647" s="121"/>
      <c r="R647" s="121"/>
      <c r="S647" s="121"/>
      <c r="T647" s="121"/>
      <c r="U647" s="121"/>
      <c r="V647" s="121"/>
      <c r="W647" s="121"/>
      <c r="X647" s="121"/>
      <c r="Y647" s="121"/>
      <c r="Z647" s="121"/>
    </row>
    <row r="648" customFormat="false" ht="15.75" hidden="false" customHeight="false" outlineLevel="0" collapsed="false">
      <c r="A648" s="121"/>
      <c r="B648" s="121"/>
      <c r="C648" s="121"/>
      <c r="D648" s="121"/>
      <c r="E648" s="121"/>
      <c r="F648" s="121"/>
      <c r="G648" s="121"/>
      <c r="H648" s="121"/>
      <c r="I648" s="121"/>
      <c r="J648" s="121"/>
      <c r="K648" s="121"/>
      <c r="L648" s="121"/>
      <c r="M648" s="121"/>
      <c r="N648" s="121"/>
      <c r="O648" s="121"/>
      <c r="P648" s="121"/>
      <c r="Q648" s="121"/>
      <c r="R648" s="121"/>
      <c r="S648" s="121"/>
      <c r="T648" s="121"/>
      <c r="U648" s="121"/>
      <c r="V648" s="121"/>
      <c r="W648" s="121"/>
      <c r="X648" s="121"/>
      <c r="Y648" s="121"/>
      <c r="Z648" s="121"/>
    </row>
    <row r="649" customFormat="false" ht="15.75" hidden="false" customHeight="false" outlineLevel="0" collapsed="false">
      <c r="A649" s="121"/>
      <c r="B649" s="121"/>
      <c r="C649" s="121"/>
      <c r="D649" s="121"/>
      <c r="E649" s="121"/>
      <c r="F649" s="121"/>
      <c r="G649" s="121"/>
      <c r="H649" s="121"/>
      <c r="I649" s="121"/>
      <c r="J649" s="121"/>
      <c r="K649" s="121"/>
      <c r="L649" s="121"/>
      <c r="M649" s="121"/>
      <c r="N649" s="121"/>
      <c r="O649" s="121"/>
      <c r="P649" s="121"/>
      <c r="Q649" s="121"/>
      <c r="R649" s="121"/>
      <c r="S649" s="121"/>
      <c r="T649" s="121"/>
      <c r="U649" s="121"/>
      <c r="V649" s="121"/>
      <c r="W649" s="121"/>
      <c r="X649" s="121"/>
      <c r="Y649" s="121"/>
      <c r="Z649" s="121"/>
    </row>
    <row r="650" customFormat="false" ht="15.75" hidden="false" customHeight="false" outlineLevel="0" collapsed="false">
      <c r="A650" s="121"/>
      <c r="B650" s="121"/>
      <c r="C650" s="121"/>
      <c r="D650" s="121"/>
      <c r="E650" s="121"/>
      <c r="F650" s="121"/>
      <c r="G650" s="121"/>
      <c r="H650" s="121"/>
      <c r="I650" s="121"/>
      <c r="J650" s="121"/>
      <c r="K650" s="121"/>
      <c r="L650" s="121"/>
      <c r="M650" s="121"/>
      <c r="N650" s="121"/>
      <c r="O650" s="121"/>
      <c r="P650" s="121"/>
      <c r="Q650" s="121"/>
      <c r="R650" s="121"/>
      <c r="S650" s="121"/>
      <c r="T650" s="121"/>
      <c r="U650" s="121"/>
      <c r="V650" s="121"/>
      <c r="W650" s="121"/>
      <c r="X650" s="121"/>
      <c r="Y650" s="121"/>
      <c r="Z650" s="121"/>
    </row>
    <row r="651" customFormat="false" ht="15.75" hidden="false" customHeight="false" outlineLevel="0" collapsed="false">
      <c r="A651" s="121"/>
      <c r="B651" s="121"/>
      <c r="C651" s="121"/>
      <c r="D651" s="121"/>
      <c r="E651" s="121"/>
      <c r="F651" s="121"/>
      <c r="G651" s="121"/>
      <c r="H651" s="121"/>
      <c r="I651" s="121"/>
      <c r="J651" s="121"/>
      <c r="K651" s="121"/>
      <c r="L651" s="121"/>
      <c r="M651" s="121"/>
      <c r="N651" s="121"/>
      <c r="O651" s="121"/>
      <c r="P651" s="121"/>
      <c r="Q651" s="121"/>
      <c r="R651" s="121"/>
      <c r="S651" s="121"/>
      <c r="T651" s="121"/>
      <c r="U651" s="121"/>
      <c r="V651" s="121"/>
      <c r="W651" s="121"/>
      <c r="X651" s="121"/>
      <c r="Y651" s="121"/>
      <c r="Z651" s="121"/>
    </row>
    <row r="652" customFormat="false" ht="15.75" hidden="false" customHeight="false" outlineLevel="0" collapsed="false">
      <c r="A652" s="121"/>
      <c r="B652" s="121"/>
      <c r="C652" s="121"/>
      <c r="D652" s="121"/>
      <c r="E652" s="121"/>
      <c r="F652" s="121"/>
      <c r="G652" s="121"/>
      <c r="H652" s="121"/>
      <c r="I652" s="121"/>
      <c r="J652" s="121"/>
      <c r="K652" s="121"/>
      <c r="L652" s="121"/>
      <c r="M652" s="121"/>
      <c r="N652" s="121"/>
      <c r="O652" s="121"/>
      <c r="P652" s="121"/>
      <c r="Q652" s="121"/>
      <c r="R652" s="121"/>
      <c r="S652" s="121"/>
      <c r="T652" s="121"/>
      <c r="U652" s="121"/>
      <c r="V652" s="121"/>
      <c r="W652" s="121"/>
      <c r="X652" s="121"/>
      <c r="Y652" s="121"/>
      <c r="Z652" s="121"/>
    </row>
    <row r="653" customFormat="false" ht="15.75" hidden="false" customHeight="false" outlineLevel="0" collapsed="false">
      <c r="A653" s="121"/>
      <c r="B653" s="121"/>
      <c r="C653" s="121"/>
      <c r="D653" s="121"/>
      <c r="E653" s="121"/>
      <c r="F653" s="121"/>
      <c r="G653" s="121"/>
      <c r="H653" s="121"/>
      <c r="I653" s="121"/>
      <c r="J653" s="121"/>
      <c r="K653" s="121"/>
      <c r="L653" s="121"/>
      <c r="M653" s="121"/>
      <c r="N653" s="121"/>
      <c r="O653" s="121"/>
      <c r="P653" s="121"/>
      <c r="Q653" s="121"/>
      <c r="R653" s="121"/>
      <c r="S653" s="121"/>
      <c r="T653" s="121"/>
      <c r="U653" s="121"/>
      <c r="V653" s="121"/>
      <c r="W653" s="121"/>
      <c r="X653" s="121"/>
      <c r="Y653" s="121"/>
      <c r="Z653" s="121"/>
    </row>
    <row r="654" customFormat="false" ht="15.75" hidden="false" customHeight="false" outlineLevel="0" collapsed="false">
      <c r="A654" s="121"/>
      <c r="B654" s="121"/>
      <c r="C654" s="121"/>
      <c r="D654" s="121"/>
      <c r="E654" s="121"/>
      <c r="F654" s="121"/>
      <c r="G654" s="121"/>
      <c r="H654" s="121"/>
      <c r="I654" s="121"/>
      <c r="J654" s="121"/>
      <c r="K654" s="121"/>
      <c r="L654" s="121"/>
      <c r="M654" s="121"/>
      <c r="N654" s="121"/>
      <c r="O654" s="121"/>
      <c r="P654" s="121"/>
      <c r="Q654" s="121"/>
      <c r="R654" s="121"/>
      <c r="S654" s="121"/>
      <c r="T654" s="121"/>
      <c r="U654" s="121"/>
      <c r="V654" s="121"/>
      <c r="W654" s="121"/>
      <c r="X654" s="121"/>
      <c r="Y654" s="121"/>
      <c r="Z654" s="121"/>
    </row>
    <row r="655" customFormat="false" ht="15.75" hidden="false" customHeight="false" outlineLevel="0" collapsed="false">
      <c r="A655" s="121"/>
      <c r="B655" s="121"/>
      <c r="C655" s="121"/>
      <c r="D655" s="121"/>
      <c r="E655" s="121"/>
      <c r="F655" s="121"/>
      <c r="G655" s="121"/>
      <c r="H655" s="121"/>
      <c r="I655" s="121"/>
      <c r="J655" s="121"/>
      <c r="K655" s="121"/>
      <c r="L655" s="121"/>
      <c r="M655" s="121"/>
      <c r="N655" s="121"/>
      <c r="O655" s="121"/>
      <c r="P655" s="121"/>
      <c r="Q655" s="121"/>
      <c r="R655" s="121"/>
      <c r="S655" s="121"/>
      <c r="T655" s="121"/>
      <c r="U655" s="121"/>
      <c r="V655" s="121"/>
      <c r="W655" s="121"/>
      <c r="X655" s="121"/>
      <c r="Y655" s="121"/>
      <c r="Z655" s="121"/>
    </row>
    <row r="656" customFormat="false" ht="15.75" hidden="false" customHeight="false" outlineLevel="0" collapsed="false">
      <c r="A656" s="121"/>
      <c r="B656" s="121"/>
      <c r="C656" s="121"/>
      <c r="D656" s="121"/>
      <c r="E656" s="121"/>
      <c r="F656" s="121"/>
      <c r="G656" s="121"/>
      <c r="H656" s="121"/>
      <c r="I656" s="121"/>
      <c r="J656" s="121"/>
      <c r="K656" s="121"/>
      <c r="L656" s="121"/>
      <c r="M656" s="121"/>
      <c r="N656" s="121"/>
      <c r="O656" s="121"/>
      <c r="P656" s="121"/>
      <c r="Q656" s="121"/>
      <c r="R656" s="121"/>
      <c r="S656" s="121"/>
      <c r="T656" s="121"/>
      <c r="U656" s="121"/>
      <c r="V656" s="121"/>
      <c r="W656" s="121"/>
      <c r="X656" s="121"/>
      <c r="Y656" s="121"/>
      <c r="Z656" s="121"/>
    </row>
    <row r="657" customFormat="false" ht="15.75" hidden="false" customHeight="false" outlineLevel="0" collapsed="false">
      <c r="A657" s="121"/>
      <c r="B657" s="121"/>
      <c r="C657" s="121"/>
      <c r="D657" s="121"/>
      <c r="E657" s="121"/>
      <c r="F657" s="121"/>
      <c r="G657" s="121"/>
      <c r="H657" s="121"/>
      <c r="I657" s="121"/>
      <c r="J657" s="121"/>
      <c r="K657" s="121"/>
      <c r="L657" s="121"/>
      <c r="M657" s="121"/>
      <c r="N657" s="121"/>
      <c r="O657" s="121"/>
      <c r="P657" s="121"/>
      <c r="Q657" s="121"/>
      <c r="R657" s="121"/>
      <c r="S657" s="121"/>
      <c r="T657" s="121"/>
      <c r="U657" s="121"/>
      <c r="V657" s="121"/>
      <c r="W657" s="121"/>
      <c r="X657" s="121"/>
      <c r="Y657" s="121"/>
      <c r="Z657" s="121"/>
    </row>
    <row r="658" customFormat="false" ht="15.75" hidden="false" customHeight="false" outlineLevel="0" collapsed="false">
      <c r="A658" s="121"/>
      <c r="B658" s="121"/>
      <c r="C658" s="121"/>
      <c r="D658" s="121"/>
      <c r="E658" s="121"/>
      <c r="F658" s="121"/>
      <c r="G658" s="121"/>
      <c r="H658" s="121"/>
      <c r="I658" s="121"/>
      <c r="J658" s="121"/>
      <c r="K658" s="121"/>
      <c r="L658" s="121"/>
      <c r="M658" s="121"/>
      <c r="N658" s="121"/>
      <c r="O658" s="121"/>
      <c r="P658" s="121"/>
      <c r="Q658" s="121"/>
      <c r="R658" s="121"/>
      <c r="S658" s="121"/>
      <c r="T658" s="121"/>
      <c r="U658" s="121"/>
      <c r="V658" s="121"/>
      <c r="W658" s="121"/>
      <c r="X658" s="121"/>
      <c r="Y658" s="121"/>
      <c r="Z658" s="121"/>
    </row>
    <row r="659" customFormat="false" ht="15.75" hidden="false" customHeight="false" outlineLevel="0" collapsed="false">
      <c r="A659" s="121"/>
      <c r="B659" s="121"/>
      <c r="C659" s="121"/>
      <c r="D659" s="121"/>
      <c r="E659" s="121"/>
      <c r="F659" s="121"/>
      <c r="G659" s="121"/>
      <c r="H659" s="121"/>
      <c r="I659" s="121"/>
      <c r="J659" s="121"/>
      <c r="K659" s="121"/>
      <c r="L659" s="121"/>
      <c r="M659" s="121"/>
      <c r="N659" s="121"/>
      <c r="O659" s="121"/>
      <c r="P659" s="121"/>
      <c r="Q659" s="121"/>
      <c r="R659" s="121"/>
      <c r="S659" s="121"/>
      <c r="T659" s="121"/>
      <c r="U659" s="121"/>
      <c r="V659" s="121"/>
      <c r="W659" s="121"/>
      <c r="X659" s="121"/>
      <c r="Y659" s="121"/>
      <c r="Z659" s="121"/>
    </row>
    <row r="660" customFormat="false" ht="15.75" hidden="false" customHeight="false" outlineLevel="0" collapsed="false">
      <c r="A660" s="121"/>
      <c r="B660" s="121"/>
      <c r="C660" s="121"/>
      <c r="D660" s="121"/>
      <c r="E660" s="121"/>
      <c r="F660" s="121"/>
      <c r="G660" s="121"/>
      <c r="H660" s="121"/>
      <c r="I660" s="121"/>
      <c r="J660" s="121"/>
      <c r="K660" s="121"/>
      <c r="L660" s="121"/>
      <c r="M660" s="121"/>
      <c r="N660" s="121"/>
      <c r="O660" s="121"/>
      <c r="P660" s="121"/>
      <c r="Q660" s="121"/>
      <c r="R660" s="121"/>
      <c r="S660" s="121"/>
      <c r="T660" s="121"/>
      <c r="U660" s="121"/>
      <c r="V660" s="121"/>
      <c r="W660" s="121"/>
      <c r="X660" s="121"/>
      <c r="Y660" s="121"/>
      <c r="Z660" s="121"/>
    </row>
    <row r="661" customFormat="false" ht="15.75" hidden="false" customHeight="false" outlineLevel="0" collapsed="false">
      <c r="A661" s="121"/>
      <c r="B661" s="121"/>
      <c r="C661" s="121"/>
      <c r="D661" s="121"/>
      <c r="E661" s="121"/>
      <c r="F661" s="121"/>
      <c r="G661" s="121"/>
      <c r="H661" s="121"/>
      <c r="I661" s="121"/>
      <c r="J661" s="121"/>
      <c r="K661" s="121"/>
      <c r="L661" s="121"/>
      <c r="M661" s="121"/>
      <c r="N661" s="121"/>
      <c r="O661" s="121"/>
      <c r="P661" s="121"/>
      <c r="Q661" s="121"/>
      <c r="R661" s="121"/>
      <c r="S661" s="121"/>
      <c r="T661" s="121"/>
      <c r="U661" s="121"/>
      <c r="V661" s="121"/>
      <c r="W661" s="121"/>
      <c r="X661" s="121"/>
      <c r="Y661" s="121"/>
      <c r="Z661" s="121"/>
    </row>
    <row r="662" customFormat="false" ht="15.75" hidden="false" customHeight="false" outlineLevel="0" collapsed="false">
      <c r="A662" s="121"/>
      <c r="B662" s="121"/>
      <c r="C662" s="121"/>
      <c r="D662" s="121"/>
      <c r="E662" s="121"/>
      <c r="F662" s="121"/>
      <c r="G662" s="121"/>
      <c r="H662" s="121"/>
      <c r="I662" s="121"/>
      <c r="J662" s="121"/>
      <c r="K662" s="121"/>
      <c r="L662" s="121"/>
      <c r="M662" s="121"/>
      <c r="N662" s="121"/>
      <c r="O662" s="121"/>
      <c r="P662" s="121"/>
      <c r="Q662" s="121"/>
      <c r="R662" s="121"/>
      <c r="S662" s="121"/>
      <c r="T662" s="121"/>
      <c r="U662" s="121"/>
      <c r="V662" s="121"/>
      <c r="W662" s="121"/>
      <c r="X662" s="121"/>
      <c r="Y662" s="121"/>
      <c r="Z662" s="121"/>
    </row>
    <row r="663" customFormat="false" ht="15.75" hidden="false" customHeight="false" outlineLevel="0" collapsed="false">
      <c r="A663" s="121"/>
      <c r="B663" s="121"/>
      <c r="C663" s="121"/>
      <c r="D663" s="121"/>
      <c r="E663" s="121"/>
      <c r="F663" s="121"/>
      <c r="G663" s="121"/>
      <c r="H663" s="121"/>
      <c r="I663" s="121"/>
      <c r="J663" s="121"/>
      <c r="K663" s="121"/>
      <c r="L663" s="121"/>
      <c r="M663" s="121"/>
      <c r="N663" s="121"/>
      <c r="O663" s="121"/>
      <c r="P663" s="121"/>
      <c r="Q663" s="121"/>
      <c r="R663" s="121"/>
      <c r="S663" s="121"/>
      <c r="T663" s="121"/>
      <c r="U663" s="121"/>
      <c r="V663" s="121"/>
      <c r="W663" s="121"/>
      <c r="X663" s="121"/>
      <c r="Y663" s="121"/>
      <c r="Z663" s="121"/>
    </row>
    <row r="664" customFormat="false" ht="15.75" hidden="false" customHeight="false" outlineLevel="0" collapsed="false">
      <c r="A664" s="121"/>
      <c r="B664" s="121"/>
      <c r="C664" s="121"/>
      <c r="D664" s="121"/>
      <c r="E664" s="121"/>
      <c r="F664" s="121"/>
      <c r="G664" s="121"/>
      <c r="H664" s="121"/>
      <c r="I664" s="121"/>
      <c r="J664" s="121"/>
      <c r="K664" s="121"/>
      <c r="L664" s="121"/>
      <c r="M664" s="121"/>
      <c r="N664" s="121"/>
      <c r="O664" s="121"/>
      <c r="P664" s="121"/>
      <c r="Q664" s="121"/>
      <c r="R664" s="121"/>
      <c r="S664" s="121"/>
      <c r="T664" s="121"/>
      <c r="U664" s="121"/>
      <c r="V664" s="121"/>
      <c r="W664" s="121"/>
      <c r="X664" s="121"/>
      <c r="Y664" s="121"/>
      <c r="Z664" s="121"/>
    </row>
    <row r="665" customFormat="false" ht="15.75" hidden="false" customHeight="false" outlineLevel="0" collapsed="false">
      <c r="A665" s="121"/>
      <c r="B665" s="121"/>
      <c r="C665" s="121"/>
      <c r="D665" s="121"/>
      <c r="E665" s="121"/>
      <c r="F665" s="121"/>
      <c r="G665" s="121"/>
      <c r="H665" s="121"/>
      <c r="I665" s="121"/>
      <c r="J665" s="121"/>
      <c r="K665" s="121"/>
      <c r="L665" s="121"/>
      <c r="M665" s="121"/>
      <c r="N665" s="121"/>
      <c r="O665" s="121"/>
      <c r="P665" s="121"/>
      <c r="Q665" s="121"/>
      <c r="R665" s="121"/>
      <c r="S665" s="121"/>
      <c r="T665" s="121"/>
      <c r="U665" s="121"/>
      <c r="V665" s="121"/>
      <c r="W665" s="121"/>
      <c r="X665" s="121"/>
      <c r="Y665" s="121"/>
      <c r="Z665" s="121"/>
    </row>
    <row r="666" customFormat="false" ht="15.75" hidden="false" customHeight="false" outlineLevel="0" collapsed="false">
      <c r="A666" s="121"/>
      <c r="B666" s="121"/>
      <c r="C666" s="121"/>
      <c r="D666" s="121"/>
      <c r="E666" s="121"/>
      <c r="F666" s="121"/>
      <c r="G666" s="121"/>
      <c r="H666" s="121"/>
      <c r="I666" s="121"/>
      <c r="J666" s="121"/>
      <c r="K666" s="121"/>
      <c r="L666" s="121"/>
      <c r="M666" s="121"/>
      <c r="N666" s="121"/>
      <c r="O666" s="121"/>
      <c r="P666" s="121"/>
      <c r="Q666" s="121"/>
      <c r="R666" s="121"/>
      <c r="S666" s="121"/>
      <c r="T666" s="121"/>
      <c r="U666" s="121"/>
      <c r="V666" s="121"/>
      <c r="W666" s="121"/>
      <c r="X666" s="121"/>
      <c r="Y666" s="121"/>
      <c r="Z666" s="121"/>
    </row>
    <row r="667" customFormat="false" ht="15.75" hidden="false" customHeight="false" outlineLevel="0" collapsed="false">
      <c r="A667" s="121"/>
      <c r="B667" s="121"/>
      <c r="C667" s="121"/>
      <c r="D667" s="121"/>
      <c r="E667" s="121"/>
      <c r="F667" s="121"/>
      <c r="G667" s="121"/>
      <c r="H667" s="121"/>
      <c r="I667" s="121"/>
      <c r="J667" s="121"/>
      <c r="K667" s="121"/>
      <c r="L667" s="121"/>
      <c r="M667" s="121"/>
      <c r="N667" s="121"/>
      <c r="O667" s="121"/>
      <c r="P667" s="121"/>
      <c r="Q667" s="121"/>
      <c r="R667" s="121"/>
      <c r="S667" s="121"/>
      <c r="T667" s="121"/>
      <c r="U667" s="121"/>
      <c r="V667" s="121"/>
      <c r="W667" s="121"/>
      <c r="X667" s="121"/>
      <c r="Y667" s="121"/>
      <c r="Z667" s="121"/>
    </row>
    <row r="668" customFormat="false" ht="15.75" hidden="false" customHeight="false" outlineLevel="0" collapsed="false">
      <c r="A668" s="121"/>
      <c r="B668" s="121"/>
      <c r="C668" s="121"/>
      <c r="D668" s="121"/>
      <c r="E668" s="121"/>
      <c r="F668" s="121"/>
      <c r="G668" s="121"/>
      <c r="H668" s="121"/>
      <c r="I668" s="121"/>
      <c r="J668" s="121"/>
      <c r="K668" s="121"/>
      <c r="L668" s="121"/>
      <c r="M668" s="121"/>
      <c r="N668" s="121"/>
      <c r="O668" s="121"/>
      <c r="P668" s="121"/>
      <c r="Q668" s="121"/>
      <c r="R668" s="121"/>
      <c r="S668" s="121"/>
      <c r="T668" s="121"/>
      <c r="U668" s="121"/>
      <c r="V668" s="121"/>
      <c r="W668" s="121"/>
      <c r="X668" s="121"/>
      <c r="Y668" s="121"/>
      <c r="Z668" s="121"/>
    </row>
    <row r="669" customFormat="false" ht="15.75" hidden="false" customHeight="false" outlineLevel="0" collapsed="false">
      <c r="A669" s="121"/>
      <c r="B669" s="121"/>
      <c r="C669" s="121"/>
      <c r="D669" s="121"/>
      <c r="E669" s="121"/>
      <c r="F669" s="121"/>
      <c r="G669" s="121"/>
      <c r="H669" s="121"/>
      <c r="I669" s="121"/>
      <c r="J669" s="121"/>
      <c r="K669" s="121"/>
      <c r="L669" s="121"/>
      <c r="M669" s="121"/>
      <c r="N669" s="121"/>
      <c r="O669" s="121"/>
      <c r="P669" s="121"/>
      <c r="Q669" s="121"/>
      <c r="R669" s="121"/>
      <c r="S669" s="121"/>
      <c r="T669" s="121"/>
      <c r="U669" s="121"/>
      <c r="V669" s="121"/>
      <c r="W669" s="121"/>
      <c r="X669" s="121"/>
      <c r="Y669" s="121"/>
      <c r="Z669" s="121"/>
    </row>
    <row r="670" customFormat="false" ht="15.75" hidden="false" customHeight="false" outlineLevel="0" collapsed="false">
      <c r="A670" s="121"/>
      <c r="B670" s="121"/>
      <c r="C670" s="121"/>
      <c r="D670" s="121"/>
      <c r="E670" s="121"/>
      <c r="F670" s="121"/>
      <c r="G670" s="121"/>
      <c r="H670" s="121"/>
      <c r="I670" s="121"/>
      <c r="J670" s="121"/>
      <c r="K670" s="121"/>
      <c r="L670" s="121"/>
      <c r="M670" s="121"/>
      <c r="N670" s="121"/>
      <c r="O670" s="121"/>
      <c r="P670" s="121"/>
      <c r="Q670" s="121"/>
      <c r="R670" s="121"/>
      <c r="S670" s="121"/>
      <c r="T670" s="121"/>
      <c r="U670" s="121"/>
      <c r="V670" s="121"/>
      <c r="W670" s="121"/>
      <c r="X670" s="121"/>
      <c r="Y670" s="121"/>
      <c r="Z670" s="121"/>
    </row>
    <row r="671" customFormat="false" ht="15.75" hidden="false" customHeight="false" outlineLevel="0" collapsed="false">
      <c r="A671" s="121"/>
      <c r="B671" s="121"/>
      <c r="C671" s="121"/>
      <c r="D671" s="121"/>
      <c r="E671" s="121"/>
      <c r="F671" s="121"/>
      <c r="G671" s="121"/>
      <c r="H671" s="121"/>
      <c r="I671" s="121"/>
      <c r="J671" s="121"/>
      <c r="K671" s="121"/>
      <c r="L671" s="121"/>
      <c r="M671" s="121"/>
      <c r="N671" s="121"/>
      <c r="O671" s="121"/>
      <c r="P671" s="121"/>
      <c r="Q671" s="121"/>
      <c r="R671" s="121"/>
      <c r="S671" s="121"/>
      <c r="T671" s="121"/>
      <c r="U671" s="121"/>
      <c r="V671" s="121"/>
      <c r="W671" s="121"/>
      <c r="X671" s="121"/>
      <c r="Y671" s="121"/>
      <c r="Z671" s="121"/>
    </row>
    <row r="672" customFormat="false" ht="15.75" hidden="false" customHeight="false" outlineLevel="0" collapsed="false">
      <c r="A672" s="121"/>
      <c r="B672" s="121"/>
      <c r="C672" s="121"/>
      <c r="D672" s="121"/>
      <c r="E672" s="121"/>
      <c r="F672" s="121"/>
      <c r="G672" s="121"/>
      <c r="H672" s="121"/>
      <c r="I672" s="121"/>
      <c r="J672" s="121"/>
      <c r="K672" s="121"/>
      <c r="L672" s="121"/>
      <c r="M672" s="121"/>
      <c r="N672" s="121"/>
      <c r="O672" s="121"/>
      <c r="P672" s="121"/>
      <c r="Q672" s="121"/>
      <c r="R672" s="121"/>
      <c r="S672" s="121"/>
      <c r="T672" s="121"/>
      <c r="U672" s="121"/>
      <c r="V672" s="121"/>
      <c r="W672" s="121"/>
      <c r="X672" s="121"/>
      <c r="Y672" s="121"/>
      <c r="Z672" s="121"/>
    </row>
    <row r="673" customFormat="false" ht="15.75" hidden="false" customHeight="false" outlineLevel="0" collapsed="false">
      <c r="A673" s="121"/>
      <c r="B673" s="121"/>
      <c r="C673" s="121"/>
      <c r="D673" s="121"/>
      <c r="E673" s="121"/>
      <c r="F673" s="121"/>
      <c r="G673" s="121"/>
      <c r="H673" s="121"/>
      <c r="I673" s="121"/>
      <c r="J673" s="121"/>
      <c r="K673" s="121"/>
      <c r="L673" s="121"/>
      <c r="M673" s="121"/>
      <c r="N673" s="121"/>
      <c r="O673" s="121"/>
      <c r="P673" s="121"/>
      <c r="Q673" s="121"/>
      <c r="R673" s="121"/>
      <c r="S673" s="121"/>
      <c r="T673" s="121"/>
      <c r="U673" s="121"/>
      <c r="V673" s="121"/>
      <c r="W673" s="121"/>
      <c r="X673" s="121"/>
      <c r="Y673" s="121"/>
      <c r="Z673" s="121"/>
    </row>
    <row r="674" customFormat="false" ht="15.75" hidden="false" customHeight="false" outlineLevel="0" collapsed="false">
      <c r="A674" s="121"/>
      <c r="B674" s="121"/>
      <c r="C674" s="121"/>
      <c r="D674" s="121"/>
      <c r="E674" s="121"/>
      <c r="F674" s="121"/>
      <c r="G674" s="121"/>
      <c r="H674" s="121"/>
      <c r="I674" s="121"/>
      <c r="J674" s="121"/>
      <c r="K674" s="121"/>
      <c r="L674" s="121"/>
      <c r="M674" s="121"/>
      <c r="N674" s="121"/>
      <c r="O674" s="121"/>
      <c r="P674" s="121"/>
      <c r="Q674" s="121"/>
      <c r="R674" s="121"/>
      <c r="S674" s="121"/>
      <c r="T674" s="121"/>
      <c r="U674" s="121"/>
      <c r="V674" s="121"/>
      <c r="W674" s="121"/>
      <c r="X674" s="121"/>
      <c r="Y674" s="121"/>
      <c r="Z674" s="121"/>
    </row>
    <row r="675" customFormat="false" ht="15.75" hidden="false" customHeight="false" outlineLevel="0" collapsed="false">
      <c r="A675" s="121"/>
      <c r="B675" s="121"/>
      <c r="C675" s="121"/>
      <c r="D675" s="121"/>
      <c r="E675" s="121"/>
      <c r="F675" s="121"/>
      <c r="G675" s="121"/>
      <c r="H675" s="121"/>
      <c r="I675" s="121"/>
      <c r="J675" s="121"/>
      <c r="K675" s="121"/>
      <c r="L675" s="121"/>
      <c r="M675" s="121"/>
      <c r="N675" s="121"/>
      <c r="O675" s="121"/>
      <c r="P675" s="121"/>
      <c r="Q675" s="121"/>
      <c r="R675" s="121"/>
      <c r="S675" s="121"/>
      <c r="T675" s="121"/>
      <c r="U675" s="121"/>
      <c r="V675" s="121"/>
      <c r="W675" s="121"/>
      <c r="X675" s="121"/>
      <c r="Y675" s="121"/>
      <c r="Z675" s="121"/>
    </row>
    <row r="676" customFormat="false" ht="15.75" hidden="false" customHeight="false" outlineLevel="0" collapsed="false">
      <c r="A676" s="121"/>
      <c r="B676" s="121"/>
      <c r="C676" s="121"/>
      <c r="D676" s="121"/>
      <c r="E676" s="121"/>
      <c r="F676" s="121"/>
      <c r="G676" s="121"/>
      <c r="H676" s="121"/>
      <c r="I676" s="121"/>
      <c r="J676" s="121"/>
      <c r="K676" s="121"/>
      <c r="L676" s="121"/>
      <c r="M676" s="121"/>
      <c r="N676" s="121"/>
      <c r="O676" s="121"/>
      <c r="P676" s="121"/>
      <c r="Q676" s="121"/>
      <c r="R676" s="121"/>
      <c r="S676" s="121"/>
      <c r="T676" s="121"/>
      <c r="U676" s="121"/>
      <c r="V676" s="121"/>
      <c r="W676" s="121"/>
      <c r="X676" s="121"/>
      <c r="Y676" s="121"/>
      <c r="Z676" s="121"/>
    </row>
    <row r="677" customFormat="false" ht="15.75" hidden="false" customHeight="false" outlineLevel="0" collapsed="false">
      <c r="A677" s="121"/>
      <c r="B677" s="121"/>
      <c r="C677" s="121"/>
      <c r="D677" s="121"/>
      <c r="E677" s="121"/>
      <c r="F677" s="121"/>
      <c r="G677" s="121"/>
      <c r="H677" s="121"/>
      <c r="I677" s="121"/>
      <c r="J677" s="121"/>
      <c r="K677" s="121"/>
      <c r="L677" s="121"/>
      <c r="M677" s="121"/>
      <c r="N677" s="121"/>
      <c r="O677" s="121"/>
      <c r="P677" s="121"/>
      <c r="Q677" s="121"/>
      <c r="R677" s="121"/>
      <c r="S677" s="121"/>
      <c r="T677" s="121"/>
      <c r="U677" s="121"/>
      <c r="V677" s="121"/>
      <c r="W677" s="121"/>
      <c r="X677" s="121"/>
      <c r="Y677" s="121"/>
      <c r="Z677" s="121"/>
    </row>
    <row r="678" customFormat="false" ht="15.75" hidden="false" customHeight="false" outlineLevel="0" collapsed="false">
      <c r="A678" s="121"/>
      <c r="B678" s="121"/>
      <c r="C678" s="121"/>
      <c r="D678" s="121"/>
      <c r="E678" s="121"/>
      <c r="F678" s="121"/>
      <c r="G678" s="121"/>
      <c r="H678" s="121"/>
      <c r="I678" s="121"/>
      <c r="J678" s="121"/>
      <c r="K678" s="121"/>
      <c r="L678" s="121"/>
      <c r="M678" s="121"/>
      <c r="N678" s="121"/>
      <c r="O678" s="121"/>
      <c r="P678" s="121"/>
      <c r="Q678" s="121"/>
      <c r="R678" s="121"/>
      <c r="S678" s="121"/>
      <c r="T678" s="121"/>
      <c r="U678" s="121"/>
      <c r="V678" s="121"/>
      <c r="W678" s="121"/>
      <c r="X678" s="121"/>
      <c r="Y678" s="121"/>
      <c r="Z678" s="121"/>
    </row>
    <row r="679" customFormat="false" ht="15.75" hidden="false" customHeight="false" outlineLevel="0" collapsed="false">
      <c r="A679" s="121"/>
      <c r="B679" s="121"/>
      <c r="C679" s="121"/>
      <c r="D679" s="121"/>
      <c r="E679" s="121"/>
      <c r="F679" s="121"/>
      <c r="G679" s="121"/>
      <c r="H679" s="121"/>
      <c r="I679" s="121"/>
      <c r="J679" s="121"/>
      <c r="K679" s="121"/>
      <c r="L679" s="121"/>
      <c r="M679" s="121"/>
      <c r="N679" s="121"/>
      <c r="O679" s="121"/>
      <c r="P679" s="121"/>
      <c r="Q679" s="121"/>
      <c r="R679" s="121"/>
      <c r="S679" s="121"/>
      <c r="T679" s="121"/>
      <c r="U679" s="121"/>
      <c r="V679" s="121"/>
      <c r="W679" s="121"/>
      <c r="X679" s="121"/>
      <c r="Y679" s="121"/>
      <c r="Z679" s="121"/>
    </row>
    <row r="680" customFormat="false" ht="15.75" hidden="false" customHeight="false" outlineLevel="0" collapsed="false">
      <c r="A680" s="121"/>
      <c r="B680" s="121"/>
      <c r="C680" s="121"/>
      <c r="D680" s="121"/>
      <c r="E680" s="121"/>
      <c r="F680" s="121"/>
      <c r="G680" s="121"/>
      <c r="H680" s="121"/>
      <c r="I680" s="121"/>
      <c r="J680" s="121"/>
      <c r="K680" s="121"/>
      <c r="L680" s="121"/>
      <c r="M680" s="121"/>
      <c r="N680" s="121"/>
      <c r="O680" s="121"/>
      <c r="P680" s="121"/>
      <c r="Q680" s="121"/>
      <c r="R680" s="121"/>
      <c r="S680" s="121"/>
      <c r="T680" s="121"/>
      <c r="U680" s="121"/>
      <c r="V680" s="121"/>
      <c r="W680" s="121"/>
      <c r="X680" s="121"/>
      <c r="Y680" s="121"/>
      <c r="Z680" s="121"/>
    </row>
    <row r="681" customFormat="false" ht="15.75" hidden="false" customHeight="false" outlineLevel="0" collapsed="false">
      <c r="A681" s="121"/>
      <c r="B681" s="121"/>
      <c r="C681" s="121"/>
      <c r="D681" s="121"/>
      <c r="E681" s="121"/>
      <c r="F681" s="121"/>
      <c r="G681" s="121"/>
      <c r="H681" s="121"/>
      <c r="I681" s="121"/>
      <c r="J681" s="121"/>
      <c r="K681" s="121"/>
      <c r="L681" s="121"/>
      <c r="M681" s="121"/>
      <c r="N681" s="121"/>
      <c r="O681" s="121"/>
      <c r="P681" s="121"/>
      <c r="Q681" s="121"/>
      <c r="R681" s="121"/>
      <c r="S681" s="121"/>
      <c r="T681" s="121"/>
      <c r="U681" s="121"/>
      <c r="V681" s="121"/>
      <c r="W681" s="121"/>
      <c r="X681" s="121"/>
      <c r="Y681" s="121"/>
      <c r="Z681" s="121"/>
    </row>
    <row r="682" customFormat="false" ht="15.75" hidden="false" customHeight="false" outlineLevel="0" collapsed="false">
      <c r="A682" s="121"/>
      <c r="B682" s="121"/>
      <c r="C682" s="121"/>
      <c r="D682" s="121"/>
      <c r="E682" s="121"/>
      <c r="F682" s="121"/>
      <c r="G682" s="121"/>
      <c r="H682" s="121"/>
      <c r="I682" s="121"/>
      <c r="J682" s="121"/>
      <c r="K682" s="121"/>
      <c r="L682" s="121"/>
      <c r="M682" s="121"/>
      <c r="N682" s="121"/>
      <c r="O682" s="121"/>
      <c r="P682" s="121"/>
      <c r="Q682" s="121"/>
      <c r="R682" s="121"/>
      <c r="S682" s="121"/>
      <c r="T682" s="121"/>
      <c r="U682" s="121"/>
      <c r="V682" s="121"/>
      <c r="W682" s="121"/>
      <c r="X682" s="121"/>
      <c r="Y682" s="121"/>
      <c r="Z682" s="121"/>
    </row>
    <row r="683" customFormat="false" ht="15.75" hidden="false" customHeight="false" outlineLevel="0" collapsed="false">
      <c r="A683" s="121"/>
      <c r="B683" s="121"/>
      <c r="C683" s="121"/>
      <c r="D683" s="121"/>
      <c r="E683" s="121"/>
      <c r="F683" s="121"/>
      <c r="G683" s="121"/>
      <c r="H683" s="121"/>
      <c r="I683" s="121"/>
      <c r="J683" s="121"/>
      <c r="K683" s="121"/>
      <c r="L683" s="121"/>
      <c r="M683" s="121"/>
      <c r="N683" s="121"/>
      <c r="O683" s="121"/>
      <c r="P683" s="121"/>
      <c r="Q683" s="121"/>
      <c r="R683" s="121"/>
      <c r="S683" s="121"/>
      <c r="T683" s="121"/>
      <c r="U683" s="121"/>
      <c r="V683" s="121"/>
      <c r="W683" s="121"/>
      <c r="X683" s="121"/>
      <c r="Y683" s="121"/>
      <c r="Z683" s="121"/>
    </row>
    <row r="684" customFormat="false" ht="15.75" hidden="false" customHeight="false" outlineLevel="0" collapsed="false">
      <c r="A684" s="121"/>
      <c r="B684" s="121"/>
      <c r="C684" s="121"/>
      <c r="D684" s="121"/>
      <c r="E684" s="121"/>
      <c r="F684" s="121"/>
      <c r="G684" s="121"/>
      <c r="H684" s="121"/>
      <c r="I684" s="121"/>
      <c r="J684" s="121"/>
      <c r="K684" s="121"/>
      <c r="L684" s="121"/>
      <c r="M684" s="121"/>
      <c r="N684" s="121"/>
      <c r="O684" s="121"/>
      <c r="P684" s="121"/>
      <c r="Q684" s="121"/>
      <c r="R684" s="121"/>
      <c r="S684" s="121"/>
      <c r="T684" s="121"/>
      <c r="U684" s="121"/>
      <c r="V684" s="121"/>
      <c r="W684" s="121"/>
      <c r="X684" s="121"/>
      <c r="Y684" s="121"/>
      <c r="Z684" s="121"/>
    </row>
    <row r="685" customFormat="false" ht="15.75" hidden="false" customHeight="false" outlineLevel="0" collapsed="false">
      <c r="A685" s="121"/>
      <c r="B685" s="121"/>
      <c r="C685" s="121"/>
      <c r="D685" s="121"/>
      <c r="E685" s="121"/>
      <c r="F685" s="121"/>
      <c r="G685" s="121"/>
      <c r="H685" s="121"/>
      <c r="I685" s="121"/>
      <c r="J685" s="121"/>
      <c r="K685" s="121"/>
      <c r="L685" s="121"/>
      <c r="M685" s="121"/>
      <c r="N685" s="121"/>
      <c r="O685" s="121"/>
      <c r="P685" s="121"/>
      <c r="Q685" s="121"/>
      <c r="R685" s="121"/>
      <c r="S685" s="121"/>
      <c r="T685" s="121"/>
      <c r="U685" s="121"/>
      <c r="V685" s="121"/>
      <c r="W685" s="121"/>
      <c r="X685" s="121"/>
      <c r="Y685" s="121"/>
      <c r="Z685" s="121"/>
    </row>
    <row r="686" customFormat="false" ht="15.75" hidden="false" customHeight="false" outlineLevel="0" collapsed="false">
      <c r="A686" s="121"/>
      <c r="B686" s="121"/>
      <c r="C686" s="121"/>
      <c r="D686" s="121"/>
      <c r="E686" s="121"/>
      <c r="F686" s="121"/>
      <c r="G686" s="121"/>
      <c r="H686" s="121"/>
      <c r="I686" s="121"/>
      <c r="J686" s="121"/>
      <c r="K686" s="121"/>
      <c r="L686" s="121"/>
      <c r="M686" s="121"/>
      <c r="N686" s="121"/>
      <c r="O686" s="121"/>
      <c r="P686" s="121"/>
      <c r="Q686" s="121"/>
      <c r="R686" s="121"/>
      <c r="S686" s="121"/>
      <c r="T686" s="121"/>
      <c r="U686" s="121"/>
      <c r="V686" s="121"/>
      <c r="W686" s="121"/>
      <c r="X686" s="121"/>
      <c r="Y686" s="121"/>
      <c r="Z686" s="121"/>
    </row>
    <row r="687" customFormat="false" ht="15.75" hidden="false" customHeight="false" outlineLevel="0" collapsed="false">
      <c r="A687" s="121"/>
      <c r="B687" s="121"/>
      <c r="C687" s="121"/>
      <c r="D687" s="121"/>
      <c r="E687" s="121"/>
      <c r="F687" s="121"/>
      <c r="G687" s="121"/>
      <c r="H687" s="121"/>
      <c r="I687" s="121"/>
      <c r="J687" s="121"/>
      <c r="K687" s="121"/>
      <c r="L687" s="121"/>
      <c r="M687" s="121"/>
      <c r="N687" s="121"/>
      <c r="O687" s="121"/>
      <c r="P687" s="121"/>
      <c r="Q687" s="121"/>
      <c r="R687" s="121"/>
      <c r="S687" s="121"/>
      <c r="T687" s="121"/>
      <c r="U687" s="121"/>
      <c r="V687" s="121"/>
      <c r="W687" s="121"/>
      <c r="X687" s="121"/>
      <c r="Y687" s="121"/>
      <c r="Z687" s="121"/>
    </row>
    <row r="688" customFormat="false" ht="15.75" hidden="false" customHeight="false" outlineLevel="0" collapsed="false">
      <c r="A688" s="121"/>
      <c r="B688" s="121"/>
      <c r="C688" s="121"/>
      <c r="D688" s="121"/>
      <c r="E688" s="121"/>
      <c r="F688" s="121"/>
      <c r="G688" s="121"/>
      <c r="H688" s="121"/>
      <c r="I688" s="121"/>
      <c r="J688" s="121"/>
      <c r="K688" s="121"/>
      <c r="L688" s="121"/>
      <c r="M688" s="121"/>
      <c r="N688" s="121"/>
      <c r="O688" s="121"/>
      <c r="P688" s="121"/>
      <c r="Q688" s="121"/>
      <c r="R688" s="121"/>
      <c r="S688" s="121"/>
      <c r="T688" s="121"/>
      <c r="U688" s="121"/>
      <c r="V688" s="121"/>
      <c r="W688" s="121"/>
      <c r="X688" s="121"/>
      <c r="Y688" s="121"/>
      <c r="Z688" s="121"/>
    </row>
    <row r="689" customFormat="false" ht="15.75" hidden="false" customHeight="false" outlineLevel="0" collapsed="false">
      <c r="A689" s="121"/>
      <c r="B689" s="121"/>
      <c r="C689" s="121"/>
      <c r="D689" s="121"/>
      <c r="E689" s="121"/>
      <c r="F689" s="121"/>
      <c r="G689" s="121"/>
      <c r="H689" s="121"/>
      <c r="I689" s="121"/>
      <c r="J689" s="121"/>
      <c r="K689" s="121"/>
      <c r="L689" s="121"/>
      <c r="M689" s="121"/>
      <c r="N689" s="121"/>
      <c r="O689" s="121"/>
      <c r="P689" s="121"/>
      <c r="Q689" s="121"/>
      <c r="R689" s="121"/>
      <c r="S689" s="121"/>
      <c r="T689" s="121"/>
      <c r="U689" s="121"/>
      <c r="V689" s="121"/>
      <c r="W689" s="121"/>
      <c r="X689" s="121"/>
      <c r="Y689" s="121"/>
      <c r="Z689" s="121"/>
    </row>
    <row r="690" customFormat="false" ht="15.75" hidden="false" customHeight="false" outlineLevel="0" collapsed="false">
      <c r="A690" s="121"/>
      <c r="B690" s="121"/>
      <c r="C690" s="121"/>
      <c r="D690" s="121"/>
      <c r="E690" s="121"/>
      <c r="F690" s="121"/>
      <c r="G690" s="121"/>
      <c r="H690" s="121"/>
      <c r="I690" s="121"/>
      <c r="J690" s="121"/>
      <c r="K690" s="121"/>
      <c r="L690" s="121"/>
      <c r="M690" s="121"/>
      <c r="N690" s="121"/>
      <c r="O690" s="121"/>
      <c r="P690" s="121"/>
      <c r="Q690" s="121"/>
      <c r="R690" s="121"/>
      <c r="S690" s="121"/>
      <c r="T690" s="121"/>
      <c r="U690" s="121"/>
      <c r="V690" s="121"/>
      <c r="W690" s="121"/>
      <c r="X690" s="121"/>
      <c r="Y690" s="121"/>
      <c r="Z690" s="121"/>
    </row>
    <row r="691" customFormat="false" ht="15.75" hidden="false" customHeight="false" outlineLevel="0" collapsed="false">
      <c r="A691" s="121"/>
      <c r="B691" s="121"/>
      <c r="C691" s="121"/>
      <c r="D691" s="121"/>
      <c r="E691" s="121"/>
      <c r="F691" s="121"/>
      <c r="G691" s="121"/>
      <c r="H691" s="121"/>
      <c r="I691" s="121"/>
      <c r="J691" s="121"/>
      <c r="K691" s="121"/>
      <c r="L691" s="121"/>
      <c r="M691" s="121"/>
      <c r="N691" s="121"/>
      <c r="O691" s="121"/>
      <c r="P691" s="121"/>
      <c r="Q691" s="121"/>
      <c r="R691" s="121"/>
      <c r="S691" s="121"/>
      <c r="T691" s="121"/>
      <c r="U691" s="121"/>
      <c r="V691" s="121"/>
      <c r="W691" s="121"/>
      <c r="X691" s="121"/>
      <c r="Y691" s="121"/>
      <c r="Z691" s="121"/>
    </row>
    <row r="692" customFormat="false" ht="15.75" hidden="false" customHeight="false" outlineLevel="0" collapsed="false">
      <c r="A692" s="121"/>
      <c r="B692" s="121"/>
      <c r="C692" s="121"/>
      <c r="D692" s="121"/>
      <c r="E692" s="121"/>
      <c r="F692" s="121"/>
      <c r="G692" s="121"/>
      <c r="H692" s="121"/>
      <c r="I692" s="121"/>
      <c r="J692" s="121"/>
      <c r="K692" s="121"/>
      <c r="L692" s="121"/>
      <c r="M692" s="121"/>
      <c r="N692" s="121"/>
      <c r="O692" s="121"/>
      <c r="P692" s="121"/>
      <c r="Q692" s="121"/>
      <c r="R692" s="121"/>
      <c r="S692" s="121"/>
      <c r="T692" s="121"/>
      <c r="U692" s="121"/>
      <c r="V692" s="121"/>
      <c r="W692" s="121"/>
      <c r="X692" s="121"/>
      <c r="Y692" s="121"/>
      <c r="Z692" s="121"/>
    </row>
    <row r="693" customFormat="false" ht="15.75" hidden="false" customHeight="false" outlineLevel="0" collapsed="false">
      <c r="A693" s="121"/>
      <c r="B693" s="121"/>
      <c r="C693" s="121"/>
      <c r="D693" s="121"/>
      <c r="E693" s="121"/>
      <c r="F693" s="121"/>
      <c r="G693" s="121"/>
      <c r="H693" s="121"/>
      <c r="I693" s="121"/>
      <c r="J693" s="121"/>
      <c r="K693" s="121"/>
      <c r="L693" s="121"/>
      <c r="M693" s="121"/>
      <c r="N693" s="121"/>
      <c r="O693" s="121"/>
      <c r="P693" s="121"/>
      <c r="Q693" s="121"/>
      <c r="R693" s="121"/>
      <c r="S693" s="121"/>
      <c r="T693" s="121"/>
      <c r="U693" s="121"/>
      <c r="V693" s="121"/>
      <c r="W693" s="121"/>
      <c r="X693" s="121"/>
      <c r="Y693" s="121"/>
      <c r="Z693" s="121"/>
    </row>
    <row r="694" customFormat="false" ht="15.75" hidden="false" customHeight="false" outlineLevel="0" collapsed="false">
      <c r="A694" s="121"/>
      <c r="B694" s="121"/>
      <c r="C694" s="121"/>
      <c r="D694" s="121"/>
      <c r="E694" s="121"/>
      <c r="F694" s="121"/>
      <c r="G694" s="121"/>
      <c r="H694" s="121"/>
      <c r="I694" s="121"/>
      <c r="J694" s="121"/>
      <c r="K694" s="121"/>
      <c r="L694" s="121"/>
      <c r="M694" s="121"/>
      <c r="N694" s="121"/>
      <c r="O694" s="121"/>
      <c r="P694" s="121"/>
      <c r="Q694" s="121"/>
      <c r="R694" s="121"/>
      <c r="S694" s="121"/>
      <c r="T694" s="121"/>
      <c r="U694" s="121"/>
      <c r="V694" s="121"/>
      <c r="W694" s="121"/>
      <c r="X694" s="121"/>
      <c r="Y694" s="121"/>
      <c r="Z694" s="121"/>
    </row>
    <row r="695" customFormat="false" ht="15.75" hidden="false" customHeight="false" outlineLevel="0" collapsed="false">
      <c r="A695" s="121"/>
      <c r="B695" s="121"/>
      <c r="C695" s="121"/>
      <c r="D695" s="121"/>
      <c r="E695" s="121"/>
      <c r="F695" s="121"/>
      <c r="G695" s="121"/>
      <c r="H695" s="121"/>
      <c r="I695" s="121"/>
      <c r="J695" s="121"/>
      <c r="K695" s="121"/>
      <c r="L695" s="121"/>
      <c r="M695" s="121"/>
      <c r="N695" s="121"/>
      <c r="O695" s="121"/>
      <c r="P695" s="121"/>
      <c r="Q695" s="121"/>
      <c r="R695" s="121"/>
      <c r="S695" s="121"/>
      <c r="T695" s="121"/>
      <c r="U695" s="121"/>
      <c r="V695" s="121"/>
      <c r="W695" s="121"/>
      <c r="X695" s="121"/>
      <c r="Y695" s="121"/>
      <c r="Z695" s="121"/>
    </row>
    <row r="696" customFormat="false" ht="15.75" hidden="false" customHeight="false" outlineLevel="0" collapsed="false">
      <c r="A696" s="121"/>
      <c r="B696" s="121"/>
      <c r="C696" s="121"/>
      <c r="D696" s="121"/>
      <c r="E696" s="121"/>
      <c r="F696" s="121"/>
      <c r="G696" s="121"/>
      <c r="H696" s="121"/>
      <c r="I696" s="121"/>
      <c r="J696" s="121"/>
      <c r="K696" s="121"/>
      <c r="L696" s="121"/>
      <c r="M696" s="121"/>
      <c r="N696" s="121"/>
      <c r="O696" s="121"/>
      <c r="P696" s="121"/>
      <c r="Q696" s="121"/>
      <c r="R696" s="121"/>
      <c r="S696" s="121"/>
      <c r="T696" s="121"/>
      <c r="U696" s="121"/>
      <c r="V696" s="121"/>
      <c r="W696" s="121"/>
      <c r="X696" s="121"/>
      <c r="Y696" s="121"/>
      <c r="Z696" s="121"/>
    </row>
    <row r="697" customFormat="false" ht="15.75" hidden="false" customHeight="false" outlineLevel="0" collapsed="false">
      <c r="A697" s="121"/>
      <c r="B697" s="121"/>
      <c r="C697" s="121"/>
      <c r="D697" s="121"/>
      <c r="E697" s="121"/>
      <c r="F697" s="121"/>
      <c r="G697" s="121"/>
      <c r="H697" s="121"/>
      <c r="I697" s="121"/>
      <c r="J697" s="121"/>
      <c r="K697" s="121"/>
      <c r="L697" s="121"/>
      <c r="M697" s="121"/>
      <c r="N697" s="121"/>
      <c r="O697" s="121"/>
      <c r="P697" s="121"/>
      <c r="Q697" s="121"/>
      <c r="R697" s="121"/>
      <c r="S697" s="121"/>
      <c r="T697" s="121"/>
      <c r="U697" s="121"/>
      <c r="V697" s="121"/>
      <c r="W697" s="121"/>
      <c r="X697" s="121"/>
      <c r="Y697" s="121"/>
      <c r="Z697" s="121"/>
    </row>
    <row r="698" customFormat="false" ht="15.75" hidden="false" customHeight="false" outlineLevel="0" collapsed="false">
      <c r="A698" s="121"/>
      <c r="B698" s="121"/>
      <c r="C698" s="121"/>
      <c r="D698" s="121"/>
      <c r="E698" s="121"/>
      <c r="F698" s="121"/>
      <c r="G698" s="121"/>
      <c r="H698" s="121"/>
      <c r="I698" s="121"/>
      <c r="J698" s="121"/>
      <c r="K698" s="121"/>
      <c r="L698" s="121"/>
      <c r="M698" s="121"/>
      <c r="N698" s="121"/>
      <c r="O698" s="121"/>
      <c r="P698" s="121"/>
      <c r="Q698" s="121"/>
      <c r="R698" s="121"/>
      <c r="S698" s="121"/>
      <c r="T698" s="121"/>
      <c r="U698" s="121"/>
      <c r="V698" s="121"/>
      <c r="W698" s="121"/>
      <c r="X698" s="121"/>
      <c r="Y698" s="121"/>
      <c r="Z698" s="121"/>
    </row>
    <row r="699" customFormat="false" ht="15.75" hidden="false" customHeight="false" outlineLevel="0" collapsed="false">
      <c r="A699" s="121"/>
      <c r="B699" s="121"/>
      <c r="C699" s="121"/>
      <c r="D699" s="121"/>
      <c r="E699" s="121"/>
      <c r="F699" s="121"/>
      <c r="G699" s="121"/>
      <c r="H699" s="121"/>
      <c r="I699" s="121"/>
      <c r="J699" s="121"/>
      <c r="K699" s="121"/>
      <c r="L699" s="121"/>
      <c r="M699" s="121"/>
      <c r="N699" s="121"/>
      <c r="O699" s="121"/>
      <c r="P699" s="121"/>
      <c r="Q699" s="121"/>
      <c r="R699" s="121"/>
      <c r="S699" s="121"/>
      <c r="T699" s="121"/>
      <c r="U699" s="121"/>
      <c r="V699" s="121"/>
      <c r="W699" s="121"/>
      <c r="X699" s="121"/>
      <c r="Y699" s="121"/>
      <c r="Z699" s="121"/>
    </row>
    <row r="700" customFormat="false" ht="15.75" hidden="false" customHeight="false" outlineLevel="0" collapsed="false">
      <c r="A700" s="121"/>
      <c r="B700" s="121"/>
      <c r="C700" s="121"/>
      <c r="D700" s="121"/>
      <c r="E700" s="121"/>
      <c r="F700" s="121"/>
      <c r="G700" s="121"/>
      <c r="H700" s="121"/>
      <c r="I700" s="121"/>
      <c r="J700" s="121"/>
      <c r="K700" s="121"/>
      <c r="L700" s="121"/>
      <c r="M700" s="121"/>
      <c r="N700" s="121"/>
      <c r="O700" s="121"/>
      <c r="P700" s="121"/>
      <c r="Q700" s="121"/>
      <c r="R700" s="121"/>
      <c r="S700" s="121"/>
      <c r="T700" s="121"/>
      <c r="U700" s="121"/>
      <c r="V700" s="121"/>
      <c r="W700" s="121"/>
      <c r="X700" s="121"/>
      <c r="Y700" s="121"/>
      <c r="Z700" s="121"/>
    </row>
    <row r="701" customFormat="false" ht="15.75" hidden="false" customHeight="false" outlineLevel="0" collapsed="false">
      <c r="A701" s="121"/>
      <c r="B701" s="121"/>
      <c r="C701" s="121"/>
      <c r="D701" s="121"/>
      <c r="E701" s="121"/>
      <c r="F701" s="121"/>
      <c r="G701" s="121"/>
      <c r="H701" s="121"/>
      <c r="I701" s="121"/>
      <c r="J701" s="121"/>
      <c r="K701" s="121"/>
      <c r="L701" s="121"/>
      <c r="M701" s="121"/>
      <c r="N701" s="121"/>
      <c r="O701" s="121"/>
      <c r="P701" s="121"/>
      <c r="Q701" s="121"/>
      <c r="R701" s="121"/>
      <c r="S701" s="121"/>
      <c r="T701" s="121"/>
      <c r="U701" s="121"/>
      <c r="V701" s="121"/>
      <c r="W701" s="121"/>
      <c r="X701" s="121"/>
      <c r="Y701" s="121"/>
      <c r="Z701" s="121"/>
    </row>
    <row r="702" customFormat="false" ht="15.75" hidden="false" customHeight="false" outlineLevel="0" collapsed="false">
      <c r="A702" s="121"/>
      <c r="B702" s="121"/>
      <c r="C702" s="121"/>
      <c r="D702" s="121"/>
      <c r="E702" s="121"/>
      <c r="F702" s="121"/>
      <c r="G702" s="121"/>
      <c r="H702" s="121"/>
      <c r="I702" s="121"/>
      <c r="J702" s="121"/>
      <c r="K702" s="121"/>
      <c r="L702" s="121"/>
      <c r="M702" s="121"/>
      <c r="N702" s="121"/>
      <c r="O702" s="121"/>
      <c r="P702" s="121"/>
      <c r="Q702" s="121"/>
      <c r="R702" s="121"/>
      <c r="S702" s="121"/>
      <c r="T702" s="121"/>
      <c r="U702" s="121"/>
      <c r="V702" s="121"/>
      <c r="W702" s="121"/>
      <c r="X702" s="121"/>
      <c r="Y702" s="121"/>
      <c r="Z702" s="121"/>
    </row>
    <row r="703" customFormat="false" ht="15.75" hidden="false" customHeight="false" outlineLevel="0" collapsed="false">
      <c r="A703" s="121"/>
      <c r="B703" s="121"/>
      <c r="C703" s="121"/>
      <c r="D703" s="121"/>
      <c r="E703" s="121"/>
      <c r="F703" s="121"/>
      <c r="G703" s="121"/>
      <c r="H703" s="121"/>
      <c r="I703" s="121"/>
      <c r="J703" s="121"/>
      <c r="K703" s="121"/>
      <c r="L703" s="121"/>
      <c r="M703" s="121"/>
      <c r="N703" s="121"/>
      <c r="O703" s="121"/>
      <c r="P703" s="121"/>
      <c r="Q703" s="121"/>
      <c r="R703" s="121"/>
      <c r="S703" s="121"/>
      <c r="T703" s="121"/>
      <c r="U703" s="121"/>
      <c r="V703" s="121"/>
      <c r="W703" s="121"/>
      <c r="X703" s="121"/>
      <c r="Y703" s="121"/>
      <c r="Z703" s="121"/>
    </row>
    <row r="704" customFormat="false" ht="15.75" hidden="false" customHeight="false" outlineLevel="0" collapsed="false">
      <c r="A704" s="121"/>
      <c r="B704" s="121"/>
      <c r="C704" s="121"/>
      <c r="D704" s="121"/>
      <c r="E704" s="121"/>
      <c r="F704" s="121"/>
      <c r="G704" s="121"/>
      <c r="H704" s="121"/>
      <c r="I704" s="121"/>
      <c r="J704" s="121"/>
      <c r="K704" s="121"/>
      <c r="L704" s="121"/>
      <c r="M704" s="121"/>
      <c r="N704" s="121"/>
      <c r="O704" s="121"/>
      <c r="P704" s="121"/>
      <c r="Q704" s="121"/>
      <c r="R704" s="121"/>
      <c r="S704" s="121"/>
      <c r="T704" s="121"/>
      <c r="U704" s="121"/>
      <c r="V704" s="121"/>
      <c r="W704" s="121"/>
      <c r="X704" s="121"/>
      <c r="Y704" s="121"/>
      <c r="Z704" s="121"/>
    </row>
    <row r="705" customFormat="false" ht="15.75" hidden="false" customHeight="false" outlineLevel="0" collapsed="false">
      <c r="A705" s="121"/>
      <c r="B705" s="121"/>
      <c r="C705" s="121"/>
      <c r="D705" s="121"/>
      <c r="E705" s="121"/>
      <c r="F705" s="121"/>
      <c r="G705" s="121"/>
      <c r="H705" s="121"/>
      <c r="I705" s="121"/>
      <c r="J705" s="121"/>
      <c r="K705" s="121"/>
      <c r="L705" s="121"/>
      <c r="M705" s="121"/>
      <c r="N705" s="121"/>
      <c r="O705" s="121"/>
      <c r="P705" s="121"/>
      <c r="Q705" s="121"/>
      <c r="R705" s="121"/>
      <c r="S705" s="121"/>
      <c r="T705" s="121"/>
      <c r="U705" s="121"/>
      <c r="V705" s="121"/>
      <c r="W705" s="121"/>
      <c r="X705" s="121"/>
      <c r="Y705" s="121"/>
      <c r="Z705" s="121"/>
    </row>
    <row r="706" customFormat="false" ht="15.75" hidden="false" customHeight="false" outlineLevel="0" collapsed="false">
      <c r="A706" s="121"/>
      <c r="B706" s="121"/>
      <c r="C706" s="121"/>
      <c r="D706" s="121"/>
      <c r="E706" s="121"/>
      <c r="F706" s="121"/>
      <c r="G706" s="121"/>
      <c r="H706" s="121"/>
      <c r="I706" s="121"/>
      <c r="J706" s="121"/>
      <c r="K706" s="121"/>
      <c r="L706" s="121"/>
      <c r="M706" s="121"/>
      <c r="N706" s="121"/>
      <c r="O706" s="121"/>
      <c r="P706" s="121"/>
      <c r="Q706" s="121"/>
      <c r="R706" s="121"/>
      <c r="S706" s="121"/>
      <c r="T706" s="121"/>
      <c r="U706" s="121"/>
      <c r="V706" s="121"/>
      <c r="W706" s="121"/>
      <c r="X706" s="121"/>
      <c r="Y706" s="121"/>
      <c r="Z706" s="121"/>
    </row>
    <row r="707" customFormat="false" ht="15.75" hidden="false" customHeight="false" outlineLevel="0" collapsed="false">
      <c r="A707" s="121"/>
      <c r="B707" s="121"/>
      <c r="C707" s="121"/>
      <c r="D707" s="121"/>
      <c r="E707" s="121"/>
      <c r="F707" s="121"/>
      <c r="G707" s="121"/>
      <c r="H707" s="121"/>
      <c r="I707" s="121"/>
      <c r="J707" s="121"/>
      <c r="K707" s="121"/>
      <c r="L707" s="121"/>
      <c r="M707" s="121"/>
      <c r="N707" s="121"/>
      <c r="O707" s="121"/>
      <c r="P707" s="121"/>
      <c r="Q707" s="121"/>
      <c r="R707" s="121"/>
      <c r="S707" s="121"/>
      <c r="T707" s="121"/>
      <c r="U707" s="121"/>
      <c r="V707" s="121"/>
      <c r="W707" s="121"/>
      <c r="X707" s="121"/>
      <c r="Y707" s="121"/>
      <c r="Z707" s="121"/>
    </row>
    <row r="708" customFormat="false" ht="15.75" hidden="false" customHeight="false" outlineLevel="0" collapsed="false">
      <c r="A708" s="121"/>
      <c r="B708" s="121"/>
      <c r="C708" s="121"/>
      <c r="D708" s="121"/>
      <c r="E708" s="121"/>
      <c r="F708" s="121"/>
      <c r="G708" s="121"/>
      <c r="H708" s="121"/>
      <c r="I708" s="121"/>
      <c r="J708" s="121"/>
      <c r="K708" s="121"/>
      <c r="L708" s="121"/>
      <c r="M708" s="121"/>
      <c r="N708" s="121"/>
      <c r="O708" s="121"/>
      <c r="P708" s="121"/>
      <c r="Q708" s="121"/>
      <c r="R708" s="121"/>
      <c r="S708" s="121"/>
      <c r="T708" s="121"/>
      <c r="U708" s="121"/>
      <c r="V708" s="121"/>
      <c r="W708" s="121"/>
      <c r="X708" s="121"/>
      <c r="Y708" s="121"/>
      <c r="Z708" s="121"/>
    </row>
    <row r="709" customFormat="false" ht="15.75" hidden="false" customHeight="false" outlineLevel="0" collapsed="false">
      <c r="A709" s="121"/>
      <c r="B709" s="121"/>
      <c r="C709" s="121"/>
      <c r="D709" s="121"/>
      <c r="E709" s="121"/>
      <c r="F709" s="121"/>
      <c r="G709" s="121"/>
      <c r="H709" s="121"/>
      <c r="I709" s="121"/>
      <c r="J709" s="121"/>
      <c r="K709" s="121"/>
      <c r="L709" s="121"/>
      <c r="M709" s="121"/>
      <c r="N709" s="121"/>
      <c r="O709" s="121"/>
      <c r="P709" s="121"/>
      <c r="Q709" s="121"/>
      <c r="R709" s="121"/>
      <c r="S709" s="121"/>
      <c r="T709" s="121"/>
      <c r="U709" s="121"/>
      <c r="V709" s="121"/>
      <c r="W709" s="121"/>
      <c r="X709" s="121"/>
      <c r="Y709" s="121"/>
      <c r="Z709" s="121"/>
    </row>
    <row r="710" customFormat="false" ht="15.75" hidden="false" customHeight="false" outlineLevel="0" collapsed="false">
      <c r="A710" s="121"/>
      <c r="B710" s="121"/>
      <c r="C710" s="121"/>
      <c r="D710" s="121"/>
      <c r="E710" s="121"/>
      <c r="F710" s="121"/>
      <c r="G710" s="121"/>
      <c r="H710" s="121"/>
      <c r="I710" s="121"/>
      <c r="J710" s="121"/>
      <c r="K710" s="121"/>
      <c r="L710" s="121"/>
      <c r="M710" s="121"/>
      <c r="N710" s="121"/>
      <c r="O710" s="121"/>
      <c r="P710" s="121"/>
      <c r="Q710" s="121"/>
      <c r="R710" s="121"/>
      <c r="S710" s="121"/>
      <c r="T710" s="121"/>
      <c r="U710" s="121"/>
      <c r="V710" s="121"/>
      <c r="W710" s="121"/>
      <c r="X710" s="121"/>
      <c r="Y710" s="121"/>
      <c r="Z710" s="121"/>
    </row>
    <row r="711" customFormat="false" ht="15.75" hidden="false" customHeight="false" outlineLevel="0" collapsed="false">
      <c r="A711" s="121"/>
      <c r="B711" s="121"/>
      <c r="C711" s="121"/>
      <c r="D711" s="121"/>
      <c r="E711" s="121"/>
      <c r="F711" s="121"/>
      <c r="G711" s="121"/>
      <c r="H711" s="121"/>
      <c r="I711" s="121"/>
      <c r="J711" s="121"/>
      <c r="K711" s="121"/>
      <c r="L711" s="121"/>
      <c r="M711" s="121"/>
      <c r="N711" s="121"/>
      <c r="O711" s="121"/>
      <c r="P711" s="121"/>
      <c r="Q711" s="121"/>
      <c r="R711" s="121"/>
      <c r="S711" s="121"/>
      <c r="T711" s="121"/>
      <c r="U711" s="121"/>
      <c r="V711" s="121"/>
      <c r="W711" s="121"/>
      <c r="X711" s="121"/>
      <c r="Y711" s="121"/>
      <c r="Z711" s="121"/>
    </row>
    <row r="712" customFormat="false" ht="15.75" hidden="false" customHeight="false" outlineLevel="0" collapsed="false">
      <c r="A712" s="121"/>
      <c r="B712" s="121"/>
      <c r="C712" s="121"/>
      <c r="D712" s="121"/>
      <c r="E712" s="121"/>
      <c r="F712" s="121"/>
      <c r="G712" s="121"/>
      <c r="H712" s="121"/>
      <c r="I712" s="121"/>
      <c r="J712" s="121"/>
      <c r="K712" s="121"/>
      <c r="L712" s="121"/>
      <c r="M712" s="121"/>
      <c r="N712" s="121"/>
      <c r="O712" s="121"/>
      <c r="P712" s="121"/>
      <c r="Q712" s="121"/>
      <c r="R712" s="121"/>
      <c r="S712" s="121"/>
      <c r="T712" s="121"/>
      <c r="U712" s="121"/>
      <c r="V712" s="121"/>
      <c r="W712" s="121"/>
      <c r="X712" s="121"/>
      <c r="Y712" s="121"/>
      <c r="Z712" s="121"/>
    </row>
    <row r="713" customFormat="false" ht="15.75" hidden="false" customHeight="false" outlineLevel="0" collapsed="false">
      <c r="A713" s="121"/>
      <c r="B713" s="121"/>
      <c r="C713" s="121"/>
      <c r="D713" s="121"/>
      <c r="E713" s="121"/>
      <c r="F713" s="121"/>
      <c r="G713" s="121"/>
      <c r="H713" s="121"/>
      <c r="I713" s="121"/>
      <c r="J713" s="121"/>
      <c r="K713" s="121"/>
      <c r="L713" s="121"/>
      <c r="M713" s="121"/>
      <c r="N713" s="121"/>
      <c r="O713" s="121"/>
      <c r="P713" s="121"/>
      <c r="Q713" s="121"/>
      <c r="R713" s="121"/>
      <c r="S713" s="121"/>
      <c r="T713" s="121"/>
      <c r="U713" s="121"/>
      <c r="V713" s="121"/>
      <c r="W713" s="121"/>
      <c r="X713" s="121"/>
      <c r="Y713" s="121"/>
      <c r="Z713" s="121"/>
    </row>
    <row r="714" customFormat="false" ht="15.75" hidden="false" customHeight="false" outlineLevel="0" collapsed="false">
      <c r="A714" s="121"/>
      <c r="B714" s="121"/>
      <c r="C714" s="121"/>
      <c r="D714" s="121"/>
      <c r="E714" s="121"/>
      <c r="F714" s="121"/>
      <c r="G714" s="121"/>
      <c r="H714" s="121"/>
      <c r="I714" s="121"/>
      <c r="J714" s="121"/>
      <c r="K714" s="121"/>
      <c r="L714" s="121"/>
      <c r="M714" s="121"/>
      <c r="N714" s="121"/>
      <c r="O714" s="121"/>
      <c r="P714" s="121"/>
      <c r="Q714" s="121"/>
      <c r="R714" s="121"/>
      <c r="S714" s="121"/>
      <c r="T714" s="121"/>
      <c r="U714" s="121"/>
      <c r="V714" s="121"/>
      <c r="W714" s="121"/>
      <c r="X714" s="121"/>
      <c r="Y714" s="121"/>
      <c r="Z714" s="121"/>
    </row>
    <row r="715" customFormat="false" ht="15.75" hidden="false" customHeight="false" outlineLevel="0" collapsed="false">
      <c r="A715" s="121"/>
      <c r="B715" s="121"/>
      <c r="C715" s="121"/>
      <c r="D715" s="121"/>
      <c r="E715" s="121"/>
      <c r="F715" s="121"/>
      <c r="G715" s="121"/>
      <c r="H715" s="121"/>
      <c r="I715" s="121"/>
      <c r="J715" s="121"/>
      <c r="K715" s="121"/>
      <c r="L715" s="121"/>
      <c r="M715" s="121"/>
      <c r="N715" s="121"/>
      <c r="O715" s="121"/>
      <c r="P715" s="121"/>
      <c r="Q715" s="121"/>
      <c r="R715" s="121"/>
      <c r="S715" s="121"/>
      <c r="T715" s="121"/>
      <c r="U715" s="121"/>
      <c r="V715" s="121"/>
      <c r="W715" s="121"/>
      <c r="X715" s="121"/>
      <c r="Y715" s="121"/>
      <c r="Z715" s="121"/>
    </row>
    <row r="716" customFormat="false" ht="15.75" hidden="false" customHeight="false" outlineLevel="0" collapsed="false">
      <c r="A716" s="121"/>
      <c r="B716" s="121"/>
      <c r="C716" s="121"/>
      <c r="D716" s="121"/>
      <c r="E716" s="121"/>
      <c r="F716" s="121"/>
      <c r="G716" s="121"/>
      <c r="H716" s="121"/>
      <c r="I716" s="121"/>
      <c r="J716" s="121"/>
      <c r="K716" s="121"/>
      <c r="L716" s="121"/>
      <c r="M716" s="121"/>
      <c r="N716" s="121"/>
      <c r="O716" s="121"/>
      <c r="P716" s="121"/>
      <c r="Q716" s="121"/>
      <c r="R716" s="121"/>
      <c r="S716" s="121"/>
      <c r="T716" s="121"/>
      <c r="U716" s="121"/>
      <c r="V716" s="121"/>
      <c r="W716" s="121"/>
      <c r="X716" s="121"/>
      <c r="Y716" s="121"/>
      <c r="Z716" s="121"/>
    </row>
    <row r="717" customFormat="false" ht="15.75" hidden="false" customHeight="false" outlineLevel="0" collapsed="false">
      <c r="A717" s="121"/>
      <c r="B717" s="121"/>
      <c r="C717" s="121"/>
      <c r="D717" s="121"/>
      <c r="E717" s="121"/>
      <c r="F717" s="121"/>
      <c r="G717" s="121"/>
      <c r="H717" s="121"/>
      <c r="I717" s="121"/>
      <c r="J717" s="121"/>
      <c r="K717" s="121"/>
      <c r="L717" s="121"/>
      <c r="M717" s="121"/>
      <c r="N717" s="121"/>
      <c r="O717" s="121"/>
      <c r="P717" s="121"/>
      <c r="Q717" s="121"/>
      <c r="R717" s="121"/>
      <c r="S717" s="121"/>
      <c r="T717" s="121"/>
      <c r="U717" s="121"/>
      <c r="V717" s="121"/>
      <c r="W717" s="121"/>
      <c r="X717" s="121"/>
      <c r="Y717" s="121"/>
      <c r="Z717" s="121"/>
    </row>
    <row r="718" customFormat="false" ht="15.75" hidden="false" customHeight="false" outlineLevel="0" collapsed="false">
      <c r="A718" s="121"/>
      <c r="B718" s="121"/>
      <c r="C718" s="121"/>
      <c r="D718" s="121"/>
      <c r="E718" s="121"/>
      <c r="F718" s="121"/>
      <c r="G718" s="121"/>
      <c r="H718" s="121"/>
      <c r="I718" s="121"/>
      <c r="J718" s="121"/>
      <c r="K718" s="121"/>
      <c r="L718" s="121"/>
      <c r="M718" s="121"/>
      <c r="N718" s="121"/>
      <c r="O718" s="121"/>
      <c r="P718" s="121"/>
      <c r="Q718" s="121"/>
      <c r="R718" s="121"/>
      <c r="S718" s="121"/>
      <c r="T718" s="121"/>
      <c r="U718" s="121"/>
      <c r="V718" s="121"/>
      <c r="W718" s="121"/>
      <c r="X718" s="121"/>
      <c r="Y718" s="121"/>
      <c r="Z718" s="121"/>
    </row>
    <row r="719" customFormat="false" ht="15.75" hidden="false" customHeight="false" outlineLevel="0" collapsed="false">
      <c r="A719" s="121"/>
      <c r="B719" s="121"/>
      <c r="C719" s="121"/>
      <c r="D719" s="121"/>
      <c r="E719" s="121"/>
      <c r="F719" s="121"/>
      <c r="G719" s="121"/>
      <c r="H719" s="121"/>
      <c r="I719" s="121"/>
      <c r="J719" s="121"/>
      <c r="K719" s="121"/>
      <c r="L719" s="121"/>
      <c r="M719" s="121"/>
      <c r="N719" s="121"/>
      <c r="O719" s="121"/>
      <c r="P719" s="121"/>
      <c r="Q719" s="121"/>
      <c r="R719" s="121"/>
      <c r="S719" s="121"/>
      <c r="T719" s="121"/>
      <c r="U719" s="121"/>
      <c r="V719" s="121"/>
      <c r="W719" s="121"/>
      <c r="X719" s="121"/>
      <c r="Y719" s="121"/>
      <c r="Z719" s="121"/>
    </row>
    <row r="720" customFormat="false" ht="15.75" hidden="false" customHeight="false" outlineLevel="0" collapsed="false">
      <c r="A720" s="121"/>
      <c r="B720" s="121"/>
      <c r="C720" s="121"/>
      <c r="D720" s="121"/>
      <c r="E720" s="121"/>
      <c r="F720" s="121"/>
      <c r="G720" s="121"/>
      <c r="H720" s="121"/>
      <c r="I720" s="121"/>
      <c r="J720" s="121"/>
      <c r="K720" s="121"/>
      <c r="L720" s="121"/>
      <c r="M720" s="121"/>
      <c r="N720" s="121"/>
      <c r="O720" s="121"/>
      <c r="P720" s="121"/>
      <c r="Q720" s="121"/>
      <c r="R720" s="121"/>
      <c r="S720" s="121"/>
      <c r="T720" s="121"/>
      <c r="U720" s="121"/>
      <c r="V720" s="121"/>
      <c r="W720" s="121"/>
      <c r="X720" s="121"/>
      <c r="Y720" s="121"/>
      <c r="Z720" s="121"/>
    </row>
    <row r="721" customFormat="false" ht="15.75" hidden="false" customHeight="false" outlineLevel="0" collapsed="false">
      <c r="A721" s="121"/>
      <c r="B721" s="121"/>
      <c r="C721" s="121"/>
      <c r="D721" s="121"/>
      <c r="E721" s="121"/>
      <c r="F721" s="121"/>
      <c r="G721" s="121"/>
      <c r="H721" s="121"/>
      <c r="I721" s="121"/>
      <c r="J721" s="121"/>
      <c r="K721" s="121"/>
      <c r="L721" s="121"/>
      <c r="M721" s="121"/>
      <c r="N721" s="121"/>
      <c r="O721" s="121"/>
      <c r="P721" s="121"/>
      <c r="Q721" s="121"/>
      <c r="R721" s="121"/>
      <c r="S721" s="121"/>
      <c r="T721" s="121"/>
      <c r="U721" s="121"/>
      <c r="V721" s="121"/>
      <c r="W721" s="121"/>
      <c r="X721" s="121"/>
      <c r="Y721" s="121"/>
      <c r="Z721" s="121"/>
    </row>
    <row r="722" customFormat="false" ht="15.75" hidden="false" customHeight="false" outlineLevel="0" collapsed="false">
      <c r="A722" s="121"/>
      <c r="B722" s="121"/>
      <c r="C722" s="121"/>
      <c r="D722" s="121"/>
      <c r="E722" s="121"/>
      <c r="F722" s="121"/>
      <c r="G722" s="121"/>
      <c r="H722" s="121"/>
      <c r="I722" s="121"/>
      <c r="J722" s="121"/>
      <c r="K722" s="121"/>
      <c r="L722" s="121"/>
      <c r="M722" s="121"/>
      <c r="N722" s="121"/>
      <c r="O722" s="121"/>
      <c r="P722" s="121"/>
      <c r="Q722" s="121"/>
      <c r="R722" s="121"/>
      <c r="S722" s="121"/>
      <c r="T722" s="121"/>
      <c r="U722" s="121"/>
      <c r="V722" s="121"/>
      <c r="W722" s="121"/>
      <c r="X722" s="121"/>
      <c r="Y722" s="121"/>
      <c r="Z722" s="121"/>
    </row>
    <row r="723" customFormat="false" ht="15.75" hidden="false" customHeight="false" outlineLevel="0" collapsed="false">
      <c r="A723" s="121"/>
      <c r="B723" s="121"/>
      <c r="C723" s="121"/>
      <c r="D723" s="121"/>
      <c r="E723" s="121"/>
      <c r="F723" s="121"/>
      <c r="G723" s="121"/>
      <c r="H723" s="121"/>
      <c r="I723" s="121"/>
      <c r="J723" s="121"/>
      <c r="K723" s="121"/>
      <c r="L723" s="121"/>
      <c r="M723" s="121"/>
      <c r="N723" s="121"/>
      <c r="O723" s="121"/>
      <c r="P723" s="121"/>
      <c r="Q723" s="121"/>
      <c r="R723" s="121"/>
      <c r="S723" s="121"/>
      <c r="T723" s="121"/>
      <c r="U723" s="121"/>
      <c r="V723" s="121"/>
      <c r="W723" s="121"/>
      <c r="X723" s="121"/>
      <c r="Y723" s="121"/>
      <c r="Z723" s="121"/>
    </row>
    <row r="724" customFormat="false" ht="15.75" hidden="false" customHeight="false" outlineLevel="0" collapsed="false">
      <c r="A724" s="121"/>
      <c r="B724" s="121"/>
      <c r="C724" s="121"/>
      <c r="D724" s="121"/>
      <c r="E724" s="121"/>
      <c r="F724" s="121"/>
      <c r="G724" s="121"/>
      <c r="H724" s="121"/>
      <c r="I724" s="121"/>
      <c r="J724" s="121"/>
      <c r="K724" s="121"/>
      <c r="L724" s="121"/>
      <c r="M724" s="121"/>
      <c r="N724" s="121"/>
      <c r="O724" s="121"/>
      <c r="P724" s="121"/>
      <c r="Q724" s="121"/>
      <c r="R724" s="121"/>
      <c r="S724" s="121"/>
      <c r="T724" s="121"/>
      <c r="U724" s="121"/>
      <c r="V724" s="121"/>
      <c r="W724" s="121"/>
      <c r="X724" s="121"/>
      <c r="Y724" s="121"/>
      <c r="Z724" s="121"/>
    </row>
    <row r="725" customFormat="false" ht="15.75" hidden="false" customHeight="false" outlineLevel="0" collapsed="false">
      <c r="A725" s="121"/>
      <c r="B725" s="121"/>
      <c r="C725" s="121"/>
      <c r="D725" s="121"/>
      <c r="E725" s="121"/>
      <c r="F725" s="121"/>
      <c r="G725" s="121"/>
      <c r="H725" s="121"/>
      <c r="I725" s="121"/>
      <c r="J725" s="121"/>
      <c r="K725" s="121"/>
      <c r="L725" s="121"/>
      <c r="M725" s="121"/>
      <c r="N725" s="121"/>
      <c r="O725" s="121"/>
      <c r="P725" s="121"/>
      <c r="Q725" s="121"/>
      <c r="R725" s="121"/>
      <c r="S725" s="121"/>
      <c r="T725" s="121"/>
      <c r="U725" s="121"/>
      <c r="V725" s="121"/>
      <c r="W725" s="121"/>
      <c r="X725" s="121"/>
      <c r="Y725" s="121"/>
      <c r="Z725" s="121"/>
    </row>
    <row r="726" customFormat="false" ht="15.75" hidden="false" customHeight="false" outlineLevel="0" collapsed="false">
      <c r="A726" s="121"/>
      <c r="B726" s="121"/>
      <c r="C726" s="121"/>
      <c r="D726" s="121"/>
      <c r="E726" s="121"/>
      <c r="F726" s="121"/>
      <c r="G726" s="121"/>
      <c r="H726" s="121"/>
      <c r="I726" s="121"/>
      <c r="J726" s="121"/>
      <c r="K726" s="121"/>
      <c r="L726" s="121"/>
      <c r="M726" s="121"/>
      <c r="N726" s="121"/>
      <c r="O726" s="121"/>
      <c r="P726" s="121"/>
      <c r="Q726" s="121"/>
      <c r="R726" s="121"/>
      <c r="S726" s="121"/>
      <c r="T726" s="121"/>
      <c r="U726" s="121"/>
      <c r="V726" s="121"/>
      <c r="W726" s="121"/>
      <c r="X726" s="121"/>
      <c r="Y726" s="121"/>
      <c r="Z726" s="121"/>
    </row>
    <row r="727" customFormat="false" ht="15.75" hidden="false" customHeight="false" outlineLevel="0" collapsed="false">
      <c r="A727" s="121"/>
      <c r="B727" s="121"/>
      <c r="C727" s="121"/>
      <c r="D727" s="121"/>
      <c r="E727" s="121"/>
      <c r="F727" s="121"/>
      <c r="G727" s="121"/>
      <c r="H727" s="121"/>
      <c r="I727" s="121"/>
      <c r="J727" s="121"/>
      <c r="K727" s="121"/>
      <c r="L727" s="121"/>
      <c r="M727" s="121"/>
      <c r="N727" s="121"/>
      <c r="O727" s="121"/>
      <c r="P727" s="121"/>
      <c r="Q727" s="121"/>
      <c r="R727" s="121"/>
      <c r="S727" s="121"/>
      <c r="T727" s="121"/>
      <c r="U727" s="121"/>
      <c r="V727" s="121"/>
      <c r="W727" s="121"/>
      <c r="X727" s="121"/>
      <c r="Y727" s="121"/>
      <c r="Z727" s="121"/>
    </row>
    <row r="728" customFormat="false" ht="15.75" hidden="false" customHeight="false" outlineLevel="0" collapsed="false">
      <c r="A728" s="121"/>
      <c r="B728" s="121"/>
      <c r="C728" s="121"/>
      <c r="D728" s="121"/>
      <c r="E728" s="121"/>
      <c r="F728" s="121"/>
      <c r="G728" s="121"/>
      <c r="H728" s="121"/>
      <c r="I728" s="121"/>
      <c r="J728" s="121"/>
      <c r="K728" s="121"/>
      <c r="L728" s="121"/>
      <c r="M728" s="121"/>
      <c r="N728" s="121"/>
      <c r="O728" s="121"/>
      <c r="P728" s="121"/>
      <c r="Q728" s="121"/>
      <c r="R728" s="121"/>
      <c r="S728" s="121"/>
      <c r="T728" s="121"/>
      <c r="U728" s="121"/>
      <c r="V728" s="121"/>
      <c r="W728" s="121"/>
      <c r="X728" s="121"/>
      <c r="Y728" s="121"/>
      <c r="Z728" s="121"/>
    </row>
    <row r="729" customFormat="false" ht="15.75" hidden="false" customHeight="false" outlineLevel="0" collapsed="false">
      <c r="A729" s="121"/>
      <c r="B729" s="121"/>
      <c r="C729" s="121"/>
      <c r="D729" s="121"/>
      <c r="E729" s="121"/>
      <c r="F729" s="121"/>
      <c r="G729" s="121"/>
      <c r="H729" s="121"/>
      <c r="I729" s="121"/>
      <c r="J729" s="121"/>
      <c r="K729" s="121"/>
      <c r="L729" s="121"/>
      <c r="M729" s="121"/>
      <c r="N729" s="121"/>
      <c r="O729" s="121"/>
      <c r="P729" s="121"/>
      <c r="Q729" s="121"/>
      <c r="R729" s="121"/>
      <c r="S729" s="121"/>
      <c r="T729" s="121"/>
      <c r="U729" s="121"/>
      <c r="V729" s="121"/>
      <c r="W729" s="121"/>
      <c r="X729" s="121"/>
      <c r="Y729" s="121"/>
      <c r="Z729" s="121"/>
    </row>
    <row r="730" customFormat="false" ht="15.75" hidden="false" customHeight="false" outlineLevel="0" collapsed="false">
      <c r="A730" s="121"/>
      <c r="B730" s="121"/>
      <c r="C730" s="121"/>
      <c r="D730" s="121"/>
      <c r="E730" s="121"/>
      <c r="F730" s="121"/>
      <c r="G730" s="121"/>
      <c r="H730" s="121"/>
      <c r="I730" s="121"/>
      <c r="J730" s="121"/>
      <c r="K730" s="121"/>
      <c r="L730" s="121"/>
      <c r="M730" s="121"/>
      <c r="N730" s="121"/>
      <c r="O730" s="121"/>
      <c r="P730" s="121"/>
      <c r="Q730" s="121"/>
      <c r="R730" s="121"/>
      <c r="S730" s="121"/>
      <c r="T730" s="121"/>
      <c r="U730" s="121"/>
      <c r="V730" s="121"/>
      <c r="W730" s="121"/>
      <c r="X730" s="121"/>
      <c r="Y730" s="121"/>
      <c r="Z730" s="121"/>
    </row>
    <row r="731" customFormat="false" ht="15.75" hidden="false" customHeight="false" outlineLevel="0" collapsed="false">
      <c r="A731" s="121"/>
      <c r="B731" s="121"/>
      <c r="C731" s="121"/>
      <c r="D731" s="121"/>
      <c r="E731" s="121"/>
      <c r="F731" s="121"/>
      <c r="G731" s="121"/>
      <c r="H731" s="121"/>
      <c r="I731" s="121"/>
      <c r="J731" s="121"/>
      <c r="K731" s="121"/>
      <c r="L731" s="121"/>
      <c r="M731" s="121"/>
      <c r="N731" s="121"/>
      <c r="O731" s="121"/>
      <c r="P731" s="121"/>
      <c r="Q731" s="121"/>
      <c r="R731" s="121"/>
      <c r="S731" s="121"/>
      <c r="T731" s="121"/>
      <c r="U731" s="121"/>
      <c r="V731" s="121"/>
      <c r="W731" s="121"/>
      <c r="X731" s="121"/>
      <c r="Y731" s="121"/>
      <c r="Z731" s="121"/>
    </row>
    <row r="732" customFormat="false" ht="15.75" hidden="false" customHeight="false" outlineLevel="0" collapsed="false">
      <c r="A732" s="121"/>
      <c r="B732" s="121"/>
      <c r="C732" s="121"/>
      <c r="D732" s="121"/>
      <c r="E732" s="121"/>
      <c r="F732" s="121"/>
      <c r="G732" s="121"/>
      <c r="H732" s="121"/>
      <c r="I732" s="121"/>
      <c r="J732" s="121"/>
      <c r="K732" s="121"/>
      <c r="L732" s="121"/>
      <c r="M732" s="121"/>
      <c r="N732" s="121"/>
      <c r="O732" s="121"/>
      <c r="P732" s="121"/>
      <c r="Q732" s="121"/>
      <c r="R732" s="121"/>
      <c r="S732" s="121"/>
      <c r="T732" s="121"/>
      <c r="U732" s="121"/>
      <c r="V732" s="121"/>
      <c r="W732" s="121"/>
      <c r="X732" s="121"/>
      <c r="Y732" s="121"/>
      <c r="Z732" s="121"/>
    </row>
    <row r="733" customFormat="false" ht="15.75" hidden="false" customHeight="false" outlineLevel="0" collapsed="false">
      <c r="A733" s="121"/>
      <c r="B733" s="121"/>
      <c r="C733" s="121"/>
      <c r="D733" s="121"/>
      <c r="E733" s="121"/>
      <c r="F733" s="121"/>
      <c r="G733" s="121"/>
      <c r="H733" s="121"/>
      <c r="I733" s="121"/>
      <c r="J733" s="121"/>
      <c r="K733" s="121"/>
      <c r="L733" s="121"/>
      <c r="M733" s="121"/>
      <c r="N733" s="121"/>
      <c r="O733" s="121"/>
      <c r="P733" s="121"/>
      <c r="Q733" s="121"/>
      <c r="R733" s="121"/>
      <c r="S733" s="121"/>
      <c r="T733" s="121"/>
      <c r="U733" s="121"/>
      <c r="V733" s="121"/>
      <c r="W733" s="121"/>
      <c r="X733" s="121"/>
      <c r="Y733" s="121"/>
      <c r="Z733" s="121"/>
    </row>
    <row r="734" customFormat="false" ht="15.75" hidden="false" customHeight="false" outlineLevel="0" collapsed="false">
      <c r="A734" s="121"/>
      <c r="B734" s="121"/>
      <c r="C734" s="121"/>
      <c r="D734" s="121"/>
      <c r="E734" s="121"/>
      <c r="F734" s="121"/>
      <c r="G734" s="121"/>
      <c r="H734" s="121"/>
      <c r="I734" s="121"/>
      <c r="J734" s="121"/>
      <c r="K734" s="121"/>
      <c r="L734" s="121"/>
      <c r="M734" s="121"/>
      <c r="N734" s="121"/>
      <c r="O734" s="121"/>
      <c r="P734" s="121"/>
      <c r="Q734" s="121"/>
      <c r="R734" s="121"/>
      <c r="S734" s="121"/>
      <c r="T734" s="121"/>
      <c r="U734" s="121"/>
      <c r="V734" s="121"/>
      <c r="W734" s="121"/>
      <c r="X734" s="121"/>
      <c r="Y734" s="121"/>
      <c r="Z734" s="121"/>
    </row>
    <row r="735" customFormat="false" ht="15.75" hidden="false" customHeight="false" outlineLevel="0" collapsed="false">
      <c r="A735" s="121"/>
      <c r="B735" s="121"/>
      <c r="C735" s="121"/>
      <c r="D735" s="121"/>
      <c r="E735" s="121"/>
      <c r="F735" s="121"/>
      <c r="G735" s="121"/>
      <c r="H735" s="121"/>
      <c r="I735" s="121"/>
      <c r="J735" s="121"/>
      <c r="K735" s="121"/>
      <c r="L735" s="121"/>
      <c r="M735" s="121"/>
      <c r="N735" s="121"/>
      <c r="O735" s="121"/>
      <c r="P735" s="121"/>
      <c r="Q735" s="121"/>
      <c r="R735" s="121"/>
      <c r="S735" s="121"/>
      <c r="T735" s="121"/>
      <c r="U735" s="121"/>
      <c r="V735" s="121"/>
      <c r="W735" s="121"/>
      <c r="X735" s="121"/>
      <c r="Y735" s="121"/>
      <c r="Z735" s="121"/>
    </row>
    <row r="736" customFormat="false" ht="15.75" hidden="false" customHeight="false" outlineLevel="0" collapsed="false">
      <c r="A736" s="121"/>
      <c r="B736" s="121"/>
      <c r="C736" s="121"/>
      <c r="D736" s="121"/>
      <c r="E736" s="121"/>
      <c r="F736" s="121"/>
      <c r="G736" s="121"/>
      <c r="H736" s="121"/>
      <c r="I736" s="121"/>
      <c r="J736" s="121"/>
      <c r="K736" s="121"/>
      <c r="L736" s="121"/>
      <c r="M736" s="121"/>
      <c r="N736" s="121"/>
      <c r="O736" s="121"/>
      <c r="P736" s="121"/>
      <c r="Q736" s="121"/>
      <c r="R736" s="121"/>
      <c r="S736" s="121"/>
      <c r="T736" s="121"/>
      <c r="U736" s="121"/>
      <c r="V736" s="121"/>
      <c r="W736" s="121"/>
      <c r="X736" s="121"/>
      <c r="Y736" s="121"/>
      <c r="Z736" s="121"/>
    </row>
    <row r="737" customFormat="false" ht="15.75" hidden="false" customHeight="false" outlineLevel="0" collapsed="false">
      <c r="A737" s="121"/>
      <c r="B737" s="121"/>
      <c r="C737" s="121"/>
      <c r="D737" s="121"/>
      <c r="E737" s="121"/>
      <c r="F737" s="121"/>
      <c r="G737" s="121"/>
      <c r="H737" s="121"/>
      <c r="I737" s="121"/>
      <c r="J737" s="121"/>
      <c r="K737" s="121"/>
      <c r="L737" s="121"/>
      <c r="M737" s="121"/>
      <c r="N737" s="121"/>
      <c r="O737" s="121"/>
      <c r="P737" s="121"/>
      <c r="Q737" s="121"/>
      <c r="R737" s="121"/>
      <c r="S737" s="121"/>
      <c r="T737" s="121"/>
      <c r="U737" s="121"/>
      <c r="V737" s="121"/>
      <c r="W737" s="121"/>
      <c r="X737" s="121"/>
      <c r="Y737" s="121"/>
      <c r="Z737" s="121"/>
    </row>
    <row r="738" customFormat="false" ht="15.75" hidden="false" customHeight="false" outlineLevel="0" collapsed="false">
      <c r="A738" s="121"/>
      <c r="B738" s="121"/>
      <c r="C738" s="121"/>
      <c r="D738" s="121"/>
      <c r="E738" s="121"/>
      <c r="F738" s="121"/>
      <c r="G738" s="121"/>
      <c r="H738" s="121"/>
      <c r="I738" s="121"/>
      <c r="J738" s="121"/>
      <c r="K738" s="121"/>
      <c r="L738" s="121"/>
      <c r="M738" s="121"/>
      <c r="N738" s="121"/>
      <c r="O738" s="121"/>
      <c r="P738" s="121"/>
      <c r="Q738" s="121"/>
      <c r="R738" s="121"/>
      <c r="S738" s="121"/>
      <c r="T738" s="121"/>
      <c r="U738" s="121"/>
      <c r="V738" s="121"/>
      <c r="W738" s="121"/>
      <c r="X738" s="121"/>
      <c r="Y738" s="121"/>
      <c r="Z738" s="121"/>
    </row>
    <row r="739" customFormat="false" ht="15.75" hidden="false" customHeight="false" outlineLevel="0" collapsed="false">
      <c r="A739" s="121"/>
      <c r="B739" s="121"/>
      <c r="C739" s="121"/>
      <c r="D739" s="121"/>
      <c r="E739" s="121"/>
      <c r="F739" s="121"/>
      <c r="G739" s="121"/>
      <c r="H739" s="121"/>
      <c r="I739" s="121"/>
      <c r="J739" s="121"/>
      <c r="K739" s="121"/>
      <c r="L739" s="121"/>
      <c r="M739" s="121"/>
      <c r="N739" s="121"/>
      <c r="O739" s="121"/>
      <c r="P739" s="121"/>
      <c r="Q739" s="121"/>
      <c r="R739" s="121"/>
      <c r="S739" s="121"/>
      <c r="T739" s="121"/>
      <c r="U739" s="121"/>
      <c r="V739" s="121"/>
      <c r="W739" s="121"/>
      <c r="X739" s="121"/>
      <c r="Y739" s="121"/>
      <c r="Z739" s="121"/>
    </row>
    <row r="740" customFormat="false" ht="15.75" hidden="false" customHeight="false" outlineLevel="0" collapsed="false">
      <c r="A740" s="121"/>
      <c r="B740" s="121"/>
      <c r="C740" s="121"/>
      <c r="D740" s="121"/>
      <c r="E740" s="121"/>
      <c r="F740" s="121"/>
      <c r="G740" s="121"/>
      <c r="H740" s="121"/>
      <c r="I740" s="121"/>
      <c r="J740" s="121"/>
      <c r="K740" s="121"/>
      <c r="L740" s="121"/>
      <c r="M740" s="121"/>
      <c r="N740" s="121"/>
      <c r="O740" s="121"/>
      <c r="P740" s="121"/>
      <c r="Q740" s="121"/>
      <c r="R740" s="121"/>
      <c r="S740" s="121"/>
      <c r="T740" s="121"/>
      <c r="U740" s="121"/>
      <c r="V740" s="121"/>
      <c r="W740" s="121"/>
      <c r="X740" s="121"/>
      <c r="Y740" s="121"/>
      <c r="Z740" s="121"/>
    </row>
    <row r="741" customFormat="false" ht="15.75" hidden="false" customHeight="false" outlineLevel="0" collapsed="false">
      <c r="A741" s="121"/>
      <c r="B741" s="121"/>
      <c r="C741" s="121"/>
      <c r="D741" s="121"/>
      <c r="E741" s="121"/>
      <c r="F741" s="121"/>
      <c r="G741" s="121"/>
      <c r="H741" s="121"/>
      <c r="I741" s="121"/>
      <c r="J741" s="121"/>
      <c r="K741" s="121"/>
      <c r="L741" s="121"/>
      <c r="M741" s="121"/>
      <c r="N741" s="121"/>
      <c r="O741" s="121"/>
      <c r="P741" s="121"/>
      <c r="Q741" s="121"/>
      <c r="R741" s="121"/>
      <c r="S741" s="121"/>
      <c r="T741" s="121"/>
      <c r="U741" s="121"/>
      <c r="V741" s="121"/>
      <c r="W741" s="121"/>
      <c r="X741" s="121"/>
      <c r="Y741" s="121"/>
      <c r="Z741" s="121"/>
    </row>
    <row r="742" customFormat="false" ht="15.75" hidden="false" customHeight="false" outlineLevel="0" collapsed="false">
      <c r="A742" s="121"/>
      <c r="B742" s="121"/>
      <c r="C742" s="121"/>
      <c r="D742" s="121"/>
      <c r="E742" s="121"/>
      <c r="F742" s="121"/>
      <c r="G742" s="121"/>
      <c r="H742" s="121"/>
      <c r="I742" s="121"/>
      <c r="J742" s="121"/>
      <c r="K742" s="121"/>
      <c r="L742" s="121"/>
      <c r="M742" s="121"/>
      <c r="N742" s="121"/>
      <c r="O742" s="121"/>
      <c r="P742" s="121"/>
      <c r="Q742" s="121"/>
      <c r="R742" s="121"/>
      <c r="S742" s="121"/>
      <c r="T742" s="121"/>
      <c r="U742" s="121"/>
      <c r="V742" s="121"/>
      <c r="W742" s="121"/>
      <c r="X742" s="121"/>
      <c r="Y742" s="121"/>
      <c r="Z742" s="121"/>
    </row>
    <row r="743" customFormat="false" ht="15.75" hidden="false" customHeight="false" outlineLevel="0" collapsed="false">
      <c r="A743" s="121"/>
      <c r="B743" s="121"/>
      <c r="C743" s="121"/>
      <c r="D743" s="121"/>
      <c r="E743" s="121"/>
      <c r="F743" s="121"/>
      <c r="G743" s="121"/>
      <c r="H743" s="121"/>
      <c r="I743" s="121"/>
      <c r="J743" s="121"/>
      <c r="K743" s="121"/>
      <c r="L743" s="121"/>
      <c r="M743" s="121"/>
      <c r="N743" s="121"/>
      <c r="O743" s="121"/>
      <c r="P743" s="121"/>
      <c r="Q743" s="121"/>
      <c r="R743" s="121"/>
      <c r="S743" s="121"/>
      <c r="T743" s="121"/>
      <c r="U743" s="121"/>
      <c r="V743" s="121"/>
      <c r="W743" s="121"/>
      <c r="X743" s="121"/>
      <c r="Y743" s="121"/>
      <c r="Z743" s="121"/>
    </row>
    <row r="744" customFormat="false" ht="15.75" hidden="false" customHeight="false" outlineLevel="0" collapsed="false">
      <c r="A744" s="121"/>
      <c r="B744" s="121"/>
      <c r="C744" s="121"/>
      <c r="D744" s="121"/>
      <c r="E744" s="121"/>
      <c r="F744" s="121"/>
      <c r="G744" s="121"/>
      <c r="H744" s="121"/>
      <c r="I744" s="121"/>
      <c r="J744" s="121"/>
      <c r="K744" s="121"/>
      <c r="L744" s="121"/>
      <c r="M744" s="121"/>
      <c r="N744" s="121"/>
      <c r="O744" s="121"/>
      <c r="P744" s="121"/>
      <c r="Q744" s="121"/>
      <c r="R744" s="121"/>
      <c r="S744" s="121"/>
      <c r="T744" s="121"/>
      <c r="U744" s="121"/>
      <c r="V744" s="121"/>
      <c r="W744" s="121"/>
      <c r="X744" s="121"/>
      <c r="Y744" s="121"/>
      <c r="Z744" s="121"/>
    </row>
    <row r="745" customFormat="false" ht="15.75" hidden="false" customHeight="false" outlineLevel="0" collapsed="false">
      <c r="A745" s="121"/>
      <c r="B745" s="121"/>
      <c r="C745" s="121"/>
      <c r="D745" s="121"/>
      <c r="E745" s="121"/>
      <c r="F745" s="121"/>
      <c r="G745" s="121"/>
      <c r="H745" s="121"/>
      <c r="I745" s="121"/>
      <c r="J745" s="121"/>
      <c r="K745" s="121"/>
      <c r="L745" s="121"/>
      <c r="M745" s="121"/>
      <c r="N745" s="121"/>
      <c r="O745" s="121"/>
      <c r="P745" s="121"/>
      <c r="Q745" s="121"/>
      <c r="R745" s="121"/>
      <c r="S745" s="121"/>
      <c r="T745" s="121"/>
      <c r="U745" s="121"/>
      <c r="V745" s="121"/>
      <c r="W745" s="121"/>
      <c r="X745" s="121"/>
      <c r="Y745" s="121"/>
      <c r="Z745" s="121"/>
    </row>
    <row r="746" customFormat="false" ht="15.75" hidden="false" customHeight="false" outlineLevel="0" collapsed="false">
      <c r="A746" s="121"/>
      <c r="B746" s="121"/>
      <c r="C746" s="121"/>
      <c r="D746" s="121"/>
      <c r="E746" s="121"/>
      <c r="F746" s="121"/>
      <c r="G746" s="121"/>
      <c r="H746" s="121"/>
      <c r="I746" s="121"/>
      <c r="J746" s="121"/>
      <c r="K746" s="121"/>
      <c r="L746" s="121"/>
      <c r="M746" s="121"/>
      <c r="N746" s="121"/>
      <c r="O746" s="121"/>
      <c r="P746" s="121"/>
      <c r="Q746" s="121"/>
      <c r="R746" s="121"/>
      <c r="S746" s="121"/>
      <c r="T746" s="121"/>
      <c r="U746" s="121"/>
      <c r="V746" s="121"/>
      <c r="W746" s="121"/>
      <c r="X746" s="121"/>
      <c r="Y746" s="121"/>
      <c r="Z746" s="121"/>
    </row>
    <row r="747" customFormat="false" ht="15.75" hidden="false" customHeight="false" outlineLevel="0" collapsed="false">
      <c r="A747" s="121"/>
      <c r="B747" s="121"/>
      <c r="C747" s="121"/>
      <c r="D747" s="121"/>
      <c r="E747" s="121"/>
      <c r="F747" s="121"/>
      <c r="G747" s="121"/>
      <c r="H747" s="121"/>
      <c r="I747" s="121"/>
      <c r="J747" s="121"/>
      <c r="K747" s="121"/>
      <c r="L747" s="121"/>
      <c r="M747" s="121"/>
      <c r="N747" s="121"/>
      <c r="O747" s="121"/>
      <c r="P747" s="121"/>
      <c r="Q747" s="121"/>
      <c r="R747" s="121"/>
      <c r="S747" s="121"/>
      <c r="T747" s="121"/>
      <c r="U747" s="121"/>
      <c r="V747" s="121"/>
      <c r="W747" s="121"/>
      <c r="X747" s="121"/>
      <c r="Y747" s="121"/>
      <c r="Z747" s="121"/>
    </row>
    <row r="748" customFormat="false" ht="15.75" hidden="false" customHeight="false" outlineLevel="0" collapsed="false">
      <c r="A748" s="121"/>
      <c r="B748" s="121"/>
      <c r="C748" s="121"/>
      <c r="D748" s="121"/>
      <c r="E748" s="121"/>
      <c r="F748" s="121"/>
      <c r="G748" s="121"/>
      <c r="H748" s="121"/>
      <c r="I748" s="121"/>
      <c r="J748" s="121"/>
      <c r="K748" s="121"/>
      <c r="L748" s="121"/>
      <c r="M748" s="121"/>
      <c r="N748" s="121"/>
      <c r="O748" s="121"/>
      <c r="P748" s="121"/>
      <c r="Q748" s="121"/>
      <c r="R748" s="121"/>
      <c r="S748" s="121"/>
      <c r="T748" s="121"/>
      <c r="U748" s="121"/>
      <c r="V748" s="121"/>
      <c r="W748" s="121"/>
      <c r="X748" s="121"/>
      <c r="Y748" s="121"/>
      <c r="Z748" s="121"/>
    </row>
    <row r="749" customFormat="false" ht="15.75" hidden="false" customHeight="false" outlineLevel="0" collapsed="false">
      <c r="A749" s="121"/>
      <c r="B749" s="121"/>
      <c r="C749" s="121"/>
      <c r="D749" s="121"/>
      <c r="E749" s="121"/>
      <c r="F749" s="121"/>
      <c r="G749" s="121"/>
      <c r="H749" s="121"/>
      <c r="I749" s="121"/>
      <c r="J749" s="121"/>
      <c r="K749" s="121"/>
      <c r="L749" s="121"/>
      <c r="M749" s="121"/>
      <c r="N749" s="121"/>
      <c r="O749" s="121"/>
      <c r="P749" s="121"/>
      <c r="Q749" s="121"/>
      <c r="R749" s="121"/>
      <c r="S749" s="121"/>
      <c r="T749" s="121"/>
      <c r="U749" s="121"/>
      <c r="V749" s="121"/>
      <c r="W749" s="121"/>
      <c r="X749" s="121"/>
      <c r="Y749" s="121"/>
      <c r="Z749" s="121"/>
    </row>
    <row r="750" customFormat="false" ht="15.75" hidden="false" customHeight="false" outlineLevel="0" collapsed="false">
      <c r="A750" s="121"/>
      <c r="B750" s="121"/>
      <c r="C750" s="121"/>
      <c r="D750" s="121"/>
      <c r="E750" s="121"/>
      <c r="F750" s="121"/>
      <c r="G750" s="121"/>
      <c r="H750" s="121"/>
      <c r="I750" s="121"/>
      <c r="J750" s="121"/>
      <c r="K750" s="121"/>
      <c r="L750" s="121"/>
      <c r="M750" s="121"/>
      <c r="N750" s="121"/>
      <c r="O750" s="121"/>
      <c r="P750" s="121"/>
      <c r="Q750" s="121"/>
      <c r="R750" s="121"/>
      <c r="S750" s="121"/>
      <c r="T750" s="121"/>
      <c r="U750" s="121"/>
      <c r="V750" s="121"/>
      <c r="W750" s="121"/>
      <c r="X750" s="121"/>
      <c r="Y750" s="121"/>
      <c r="Z750" s="121"/>
    </row>
    <row r="751" customFormat="false" ht="15.75" hidden="false" customHeight="false" outlineLevel="0" collapsed="false">
      <c r="A751" s="121"/>
      <c r="B751" s="121"/>
      <c r="C751" s="121"/>
      <c r="D751" s="121"/>
      <c r="E751" s="121"/>
      <c r="F751" s="121"/>
      <c r="G751" s="121"/>
      <c r="H751" s="121"/>
      <c r="I751" s="121"/>
      <c r="J751" s="121"/>
      <c r="K751" s="121"/>
      <c r="L751" s="121"/>
      <c r="M751" s="121"/>
      <c r="N751" s="121"/>
      <c r="O751" s="121"/>
      <c r="P751" s="121"/>
      <c r="Q751" s="121"/>
      <c r="R751" s="121"/>
      <c r="S751" s="121"/>
      <c r="T751" s="121"/>
      <c r="U751" s="121"/>
      <c r="V751" s="121"/>
      <c r="W751" s="121"/>
      <c r="X751" s="121"/>
      <c r="Y751" s="121"/>
      <c r="Z751" s="121"/>
    </row>
    <row r="752" customFormat="false" ht="15.75" hidden="false" customHeight="false" outlineLevel="0" collapsed="false">
      <c r="A752" s="121"/>
      <c r="B752" s="121"/>
      <c r="C752" s="121"/>
      <c r="D752" s="121"/>
      <c r="E752" s="121"/>
      <c r="F752" s="121"/>
      <c r="G752" s="121"/>
      <c r="H752" s="121"/>
      <c r="I752" s="121"/>
      <c r="J752" s="121"/>
      <c r="K752" s="121"/>
      <c r="L752" s="121"/>
      <c r="M752" s="121"/>
      <c r="N752" s="121"/>
      <c r="O752" s="121"/>
      <c r="P752" s="121"/>
      <c r="Q752" s="121"/>
      <c r="R752" s="121"/>
      <c r="S752" s="121"/>
      <c r="T752" s="121"/>
      <c r="U752" s="121"/>
      <c r="V752" s="121"/>
      <c r="W752" s="121"/>
      <c r="X752" s="121"/>
      <c r="Y752" s="121"/>
      <c r="Z752" s="121"/>
    </row>
    <row r="753" customFormat="false" ht="15.75" hidden="false" customHeight="false" outlineLevel="0" collapsed="false">
      <c r="A753" s="121"/>
      <c r="B753" s="121"/>
      <c r="C753" s="121"/>
      <c r="D753" s="121"/>
      <c r="E753" s="121"/>
      <c r="F753" s="121"/>
      <c r="G753" s="121"/>
      <c r="H753" s="121"/>
      <c r="I753" s="121"/>
      <c r="J753" s="121"/>
      <c r="K753" s="121"/>
      <c r="L753" s="121"/>
      <c r="M753" s="121"/>
      <c r="N753" s="121"/>
      <c r="O753" s="121"/>
      <c r="P753" s="121"/>
      <c r="Q753" s="121"/>
      <c r="R753" s="121"/>
      <c r="S753" s="121"/>
      <c r="T753" s="121"/>
      <c r="U753" s="121"/>
      <c r="V753" s="121"/>
      <c r="W753" s="121"/>
      <c r="X753" s="121"/>
      <c r="Y753" s="121"/>
      <c r="Z753" s="121"/>
    </row>
    <row r="754" customFormat="false" ht="15.75" hidden="false" customHeight="false" outlineLevel="0" collapsed="false">
      <c r="A754" s="121"/>
      <c r="B754" s="121"/>
      <c r="C754" s="121"/>
      <c r="D754" s="121"/>
      <c r="E754" s="121"/>
      <c r="F754" s="121"/>
      <c r="G754" s="121"/>
      <c r="H754" s="121"/>
      <c r="I754" s="121"/>
      <c r="J754" s="121"/>
      <c r="K754" s="121"/>
      <c r="L754" s="121"/>
      <c r="M754" s="121"/>
      <c r="N754" s="121"/>
      <c r="O754" s="121"/>
      <c r="P754" s="121"/>
      <c r="Q754" s="121"/>
      <c r="R754" s="121"/>
      <c r="S754" s="121"/>
      <c r="T754" s="121"/>
      <c r="U754" s="121"/>
      <c r="V754" s="121"/>
      <c r="W754" s="121"/>
      <c r="X754" s="121"/>
      <c r="Y754" s="121"/>
      <c r="Z754" s="121"/>
    </row>
    <row r="755" customFormat="false" ht="15.75" hidden="false" customHeight="false" outlineLevel="0" collapsed="false">
      <c r="A755" s="121"/>
      <c r="B755" s="121"/>
      <c r="C755" s="121"/>
      <c r="D755" s="121"/>
      <c r="E755" s="121"/>
      <c r="F755" s="121"/>
      <c r="G755" s="121"/>
      <c r="H755" s="121"/>
      <c r="I755" s="121"/>
      <c r="J755" s="121"/>
      <c r="K755" s="121"/>
      <c r="L755" s="121"/>
      <c r="M755" s="121"/>
      <c r="N755" s="121"/>
      <c r="O755" s="121"/>
      <c r="P755" s="121"/>
      <c r="Q755" s="121"/>
      <c r="R755" s="121"/>
      <c r="S755" s="121"/>
      <c r="T755" s="121"/>
      <c r="U755" s="121"/>
      <c r="V755" s="121"/>
      <c r="W755" s="121"/>
      <c r="X755" s="121"/>
      <c r="Y755" s="121"/>
      <c r="Z755" s="121"/>
    </row>
    <row r="756" customFormat="false" ht="15.75" hidden="false" customHeight="false" outlineLevel="0" collapsed="false">
      <c r="A756" s="121"/>
      <c r="B756" s="121"/>
      <c r="C756" s="121"/>
      <c r="D756" s="121"/>
      <c r="E756" s="121"/>
      <c r="F756" s="121"/>
      <c r="G756" s="121"/>
      <c r="H756" s="121"/>
      <c r="I756" s="121"/>
      <c r="J756" s="121"/>
      <c r="K756" s="121"/>
      <c r="L756" s="121"/>
      <c r="M756" s="121"/>
      <c r="N756" s="121"/>
      <c r="O756" s="121"/>
      <c r="P756" s="121"/>
      <c r="Q756" s="121"/>
      <c r="R756" s="121"/>
      <c r="S756" s="121"/>
      <c r="T756" s="121"/>
      <c r="U756" s="121"/>
      <c r="V756" s="121"/>
      <c r="W756" s="121"/>
      <c r="X756" s="121"/>
      <c r="Y756" s="121"/>
      <c r="Z756" s="121"/>
    </row>
    <row r="757" customFormat="false" ht="15.75" hidden="false" customHeight="false" outlineLevel="0" collapsed="false">
      <c r="A757" s="121"/>
      <c r="B757" s="121"/>
      <c r="C757" s="121"/>
      <c r="D757" s="121"/>
      <c r="E757" s="121"/>
      <c r="F757" s="121"/>
      <c r="G757" s="121"/>
      <c r="H757" s="121"/>
      <c r="I757" s="121"/>
      <c r="J757" s="121"/>
      <c r="K757" s="121"/>
      <c r="L757" s="121"/>
      <c r="M757" s="121"/>
      <c r="N757" s="121"/>
      <c r="O757" s="121"/>
      <c r="P757" s="121"/>
      <c r="Q757" s="121"/>
      <c r="R757" s="121"/>
      <c r="S757" s="121"/>
      <c r="T757" s="121"/>
      <c r="U757" s="121"/>
      <c r="V757" s="121"/>
      <c r="W757" s="121"/>
      <c r="X757" s="121"/>
      <c r="Y757" s="121"/>
      <c r="Z757" s="121"/>
    </row>
    <row r="758" customFormat="false" ht="15.75" hidden="false" customHeight="false" outlineLevel="0" collapsed="false">
      <c r="A758" s="121"/>
      <c r="B758" s="121"/>
      <c r="C758" s="121"/>
      <c r="D758" s="121"/>
      <c r="E758" s="121"/>
      <c r="F758" s="121"/>
      <c r="G758" s="121"/>
      <c r="H758" s="121"/>
      <c r="I758" s="121"/>
      <c r="J758" s="121"/>
      <c r="K758" s="121"/>
      <c r="L758" s="121"/>
      <c r="M758" s="121"/>
      <c r="N758" s="121"/>
      <c r="O758" s="121"/>
      <c r="P758" s="121"/>
      <c r="Q758" s="121"/>
      <c r="R758" s="121"/>
      <c r="S758" s="121"/>
      <c r="T758" s="121"/>
      <c r="U758" s="121"/>
      <c r="V758" s="121"/>
      <c r="W758" s="121"/>
      <c r="X758" s="121"/>
      <c r="Y758" s="121"/>
      <c r="Z758" s="121"/>
    </row>
    <row r="759" customFormat="false" ht="15.75" hidden="false" customHeight="false" outlineLevel="0" collapsed="false">
      <c r="A759" s="121"/>
      <c r="B759" s="121"/>
      <c r="C759" s="121"/>
      <c r="D759" s="121"/>
      <c r="E759" s="121"/>
      <c r="F759" s="121"/>
      <c r="G759" s="121"/>
      <c r="H759" s="121"/>
      <c r="I759" s="121"/>
      <c r="J759" s="121"/>
      <c r="K759" s="121"/>
      <c r="L759" s="121"/>
      <c r="M759" s="121"/>
      <c r="N759" s="121"/>
      <c r="O759" s="121"/>
      <c r="P759" s="121"/>
      <c r="Q759" s="121"/>
      <c r="R759" s="121"/>
      <c r="S759" s="121"/>
      <c r="T759" s="121"/>
      <c r="U759" s="121"/>
      <c r="V759" s="121"/>
      <c r="W759" s="121"/>
      <c r="X759" s="121"/>
      <c r="Y759" s="121"/>
      <c r="Z759" s="121"/>
    </row>
    <row r="760" customFormat="false" ht="15.75" hidden="false" customHeight="false" outlineLevel="0" collapsed="false">
      <c r="A760" s="121"/>
      <c r="B760" s="121"/>
      <c r="C760" s="121"/>
      <c r="D760" s="121"/>
      <c r="E760" s="121"/>
      <c r="F760" s="121"/>
      <c r="G760" s="121"/>
      <c r="H760" s="121"/>
      <c r="I760" s="121"/>
      <c r="J760" s="121"/>
      <c r="K760" s="121"/>
      <c r="L760" s="121"/>
      <c r="M760" s="121"/>
      <c r="N760" s="121"/>
      <c r="O760" s="121"/>
      <c r="P760" s="121"/>
      <c r="Q760" s="121"/>
      <c r="R760" s="121"/>
      <c r="S760" s="121"/>
      <c r="T760" s="121"/>
      <c r="U760" s="121"/>
      <c r="V760" s="121"/>
      <c r="W760" s="121"/>
      <c r="X760" s="121"/>
      <c r="Y760" s="121"/>
      <c r="Z760" s="121"/>
    </row>
    <row r="761" customFormat="false" ht="15.75" hidden="false" customHeight="false" outlineLevel="0" collapsed="false">
      <c r="A761" s="121"/>
      <c r="B761" s="121"/>
      <c r="C761" s="121"/>
      <c r="D761" s="121"/>
      <c r="E761" s="121"/>
      <c r="F761" s="121"/>
      <c r="G761" s="121"/>
      <c r="H761" s="121"/>
      <c r="I761" s="121"/>
      <c r="J761" s="121"/>
      <c r="K761" s="121"/>
      <c r="L761" s="121"/>
      <c r="M761" s="121"/>
      <c r="N761" s="121"/>
      <c r="O761" s="121"/>
      <c r="P761" s="121"/>
      <c r="Q761" s="121"/>
      <c r="R761" s="121"/>
      <c r="S761" s="121"/>
      <c r="T761" s="121"/>
      <c r="U761" s="121"/>
      <c r="V761" s="121"/>
      <c r="W761" s="121"/>
      <c r="X761" s="121"/>
      <c r="Y761" s="121"/>
      <c r="Z761" s="121"/>
    </row>
    <row r="762" customFormat="false" ht="15.75" hidden="false" customHeight="false" outlineLevel="0" collapsed="false">
      <c r="A762" s="121"/>
      <c r="B762" s="121"/>
      <c r="C762" s="121"/>
      <c r="D762" s="121"/>
      <c r="E762" s="121"/>
      <c r="F762" s="121"/>
      <c r="G762" s="121"/>
      <c r="H762" s="121"/>
      <c r="I762" s="121"/>
      <c r="J762" s="121"/>
      <c r="K762" s="121"/>
      <c r="L762" s="121"/>
      <c r="M762" s="121"/>
      <c r="N762" s="121"/>
      <c r="O762" s="121"/>
      <c r="P762" s="121"/>
      <c r="Q762" s="121"/>
      <c r="R762" s="121"/>
      <c r="S762" s="121"/>
      <c r="T762" s="121"/>
      <c r="U762" s="121"/>
      <c r="V762" s="121"/>
      <c r="W762" s="121"/>
      <c r="X762" s="121"/>
      <c r="Y762" s="121"/>
      <c r="Z762" s="121"/>
    </row>
    <row r="763" customFormat="false" ht="15.75" hidden="false" customHeight="false" outlineLevel="0" collapsed="false">
      <c r="A763" s="121"/>
      <c r="B763" s="121"/>
      <c r="C763" s="121"/>
      <c r="D763" s="121"/>
      <c r="E763" s="121"/>
      <c r="F763" s="121"/>
      <c r="G763" s="121"/>
      <c r="H763" s="121"/>
      <c r="I763" s="121"/>
      <c r="J763" s="121"/>
      <c r="K763" s="121"/>
      <c r="L763" s="121"/>
      <c r="M763" s="121"/>
      <c r="N763" s="121"/>
      <c r="O763" s="121"/>
      <c r="P763" s="121"/>
      <c r="Q763" s="121"/>
      <c r="R763" s="121"/>
      <c r="S763" s="121"/>
      <c r="T763" s="121"/>
      <c r="U763" s="121"/>
      <c r="V763" s="121"/>
      <c r="W763" s="121"/>
      <c r="X763" s="121"/>
      <c r="Y763" s="121"/>
      <c r="Z763" s="121"/>
    </row>
    <row r="764" customFormat="false" ht="15.75" hidden="false" customHeight="false" outlineLevel="0" collapsed="false">
      <c r="A764" s="121"/>
      <c r="B764" s="121"/>
      <c r="C764" s="121"/>
      <c r="D764" s="121"/>
      <c r="E764" s="121"/>
      <c r="F764" s="121"/>
      <c r="G764" s="121"/>
      <c r="H764" s="121"/>
      <c r="I764" s="121"/>
      <c r="J764" s="121"/>
      <c r="K764" s="121"/>
      <c r="L764" s="121"/>
      <c r="M764" s="121"/>
      <c r="N764" s="121"/>
      <c r="O764" s="121"/>
      <c r="P764" s="121"/>
      <c r="Q764" s="121"/>
      <c r="R764" s="121"/>
      <c r="S764" s="121"/>
      <c r="T764" s="121"/>
      <c r="U764" s="121"/>
      <c r="V764" s="121"/>
      <c r="W764" s="121"/>
      <c r="X764" s="121"/>
      <c r="Y764" s="121"/>
      <c r="Z764" s="121"/>
    </row>
    <row r="765" customFormat="false" ht="15.75" hidden="false" customHeight="false" outlineLevel="0" collapsed="false">
      <c r="A765" s="121"/>
      <c r="B765" s="121"/>
      <c r="C765" s="121"/>
      <c r="D765" s="121"/>
      <c r="E765" s="121"/>
      <c r="F765" s="121"/>
      <c r="G765" s="121"/>
      <c r="H765" s="121"/>
      <c r="I765" s="121"/>
      <c r="J765" s="121"/>
      <c r="K765" s="121"/>
      <c r="L765" s="121"/>
      <c r="M765" s="121"/>
      <c r="N765" s="121"/>
      <c r="O765" s="121"/>
      <c r="P765" s="121"/>
      <c r="Q765" s="121"/>
      <c r="R765" s="121"/>
      <c r="S765" s="121"/>
      <c r="T765" s="121"/>
      <c r="U765" s="121"/>
      <c r="V765" s="121"/>
      <c r="W765" s="121"/>
      <c r="X765" s="121"/>
      <c r="Y765" s="121"/>
      <c r="Z765" s="121"/>
    </row>
    <row r="766" customFormat="false" ht="15.75" hidden="false" customHeight="false" outlineLevel="0" collapsed="false">
      <c r="A766" s="121"/>
      <c r="B766" s="121"/>
      <c r="C766" s="121"/>
      <c r="D766" s="121"/>
      <c r="E766" s="121"/>
      <c r="F766" s="121"/>
      <c r="G766" s="121"/>
      <c r="H766" s="121"/>
      <c r="I766" s="121"/>
      <c r="J766" s="121"/>
      <c r="K766" s="121"/>
      <c r="L766" s="121"/>
      <c r="M766" s="121"/>
      <c r="N766" s="121"/>
      <c r="O766" s="121"/>
      <c r="P766" s="121"/>
      <c r="Q766" s="121"/>
      <c r="R766" s="121"/>
      <c r="S766" s="121"/>
      <c r="T766" s="121"/>
      <c r="U766" s="121"/>
      <c r="V766" s="121"/>
      <c r="W766" s="121"/>
      <c r="X766" s="121"/>
      <c r="Y766" s="121"/>
      <c r="Z766" s="121"/>
    </row>
    <row r="767" customFormat="false" ht="15.75" hidden="false" customHeight="false" outlineLevel="0" collapsed="false">
      <c r="A767" s="121"/>
      <c r="B767" s="121"/>
      <c r="C767" s="121"/>
      <c r="D767" s="121"/>
      <c r="E767" s="121"/>
      <c r="F767" s="121"/>
      <c r="G767" s="121"/>
      <c r="H767" s="121"/>
      <c r="I767" s="121"/>
      <c r="J767" s="121"/>
      <c r="K767" s="121"/>
      <c r="L767" s="121"/>
      <c r="M767" s="121"/>
      <c r="N767" s="121"/>
      <c r="O767" s="121"/>
      <c r="P767" s="121"/>
      <c r="Q767" s="121"/>
      <c r="R767" s="121"/>
      <c r="S767" s="121"/>
      <c r="T767" s="121"/>
      <c r="U767" s="121"/>
      <c r="V767" s="121"/>
      <c r="W767" s="121"/>
      <c r="X767" s="121"/>
      <c r="Y767" s="121"/>
      <c r="Z767" s="121"/>
    </row>
    <row r="768" customFormat="false" ht="15.75" hidden="false" customHeight="false" outlineLevel="0" collapsed="false">
      <c r="A768" s="121"/>
      <c r="B768" s="121"/>
      <c r="C768" s="121"/>
      <c r="D768" s="121"/>
      <c r="E768" s="121"/>
      <c r="F768" s="121"/>
      <c r="G768" s="121"/>
      <c r="H768" s="121"/>
      <c r="I768" s="121"/>
      <c r="J768" s="121"/>
      <c r="K768" s="121"/>
      <c r="L768" s="121"/>
      <c r="M768" s="121"/>
      <c r="N768" s="121"/>
      <c r="O768" s="121"/>
      <c r="P768" s="121"/>
      <c r="Q768" s="121"/>
      <c r="R768" s="121"/>
      <c r="S768" s="121"/>
      <c r="T768" s="121"/>
      <c r="U768" s="121"/>
      <c r="V768" s="121"/>
      <c r="W768" s="121"/>
      <c r="X768" s="121"/>
      <c r="Y768" s="121"/>
      <c r="Z768" s="121"/>
    </row>
    <row r="769" customFormat="false" ht="15.75" hidden="false" customHeight="false" outlineLevel="0" collapsed="false">
      <c r="A769" s="121"/>
      <c r="B769" s="121"/>
      <c r="C769" s="121"/>
      <c r="D769" s="121"/>
      <c r="E769" s="121"/>
      <c r="F769" s="121"/>
      <c r="G769" s="121"/>
      <c r="H769" s="121"/>
      <c r="I769" s="121"/>
      <c r="J769" s="121"/>
      <c r="K769" s="121"/>
      <c r="L769" s="121"/>
      <c r="M769" s="121"/>
      <c r="N769" s="121"/>
      <c r="O769" s="121"/>
      <c r="P769" s="121"/>
      <c r="Q769" s="121"/>
      <c r="R769" s="121"/>
      <c r="S769" s="121"/>
      <c r="T769" s="121"/>
      <c r="U769" s="121"/>
      <c r="V769" s="121"/>
      <c r="W769" s="121"/>
      <c r="X769" s="121"/>
      <c r="Y769" s="121"/>
      <c r="Z769" s="121"/>
    </row>
    <row r="770" customFormat="false" ht="15.75" hidden="false" customHeight="false" outlineLevel="0" collapsed="false">
      <c r="A770" s="121"/>
      <c r="B770" s="121"/>
      <c r="C770" s="121"/>
      <c r="D770" s="121"/>
      <c r="E770" s="121"/>
      <c r="F770" s="121"/>
      <c r="G770" s="121"/>
      <c r="H770" s="121"/>
      <c r="I770" s="121"/>
      <c r="J770" s="121"/>
      <c r="K770" s="121"/>
      <c r="L770" s="121"/>
      <c r="M770" s="121"/>
      <c r="N770" s="121"/>
      <c r="O770" s="121"/>
      <c r="P770" s="121"/>
      <c r="Q770" s="121"/>
      <c r="R770" s="121"/>
      <c r="S770" s="121"/>
      <c r="T770" s="121"/>
      <c r="U770" s="121"/>
      <c r="V770" s="121"/>
      <c r="W770" s="121"/>
      <c r="X770" s="121"/>
      <c r="Y770" s="121"/>
      <c r="Z770" s="121"/>
    </row>
    <row r="771" customFormat="false" ht="15.75" hidden="false" customHeight="false" outlineLevel="0" collapsed="false">
      <c r="A771" s="121"/>
      <c r="B771" s="121"/>
      <c r="C771" s="121"/>
      <c r="D771" s="121"/>
      <c r="E771" s="121"/>
      <c r="F771" s="121"/>
      <c r="G771" s="121"/>
      <c r="H771" s="121"/>
      <c r="I771" s="121"/>
      <c r="J771" s="121"/>
      <c r="K771" s="121"/>
      <c r="L771" s="121"/>
      <c r="M771" s="121"/>
      <c r="N771" s="121"/>
      <c r="O771" s="121"/>
      <c r="P771" s="121"/>
      <c r="Q771" s="121"/>
      <c r="R771" s="121"/>
      <c r="S771" s="121"/>
      <c r="T771" s="121"/>
      <c r="U771" s="121"/>
      <c r="V771" s="121"/>
      <c r="W771" s="121"/>
      <c r="X771" s="121"/>
      <c r="Y771" s="121"/>
      <c r="Z771" s="121"/>
    </row>
    <row r="772" customFormat="false" ht="15.75" hidden="false" customHeight="false" outlineLevel="0" collapsed="false">
      <c r="A772" s="121"/>
      <c r="B772" s="121"/>
      <c r="C772" s="121"/>
      <c r="D772" s="121"/>
      <c r="E772" s="121"/>
      <c r="F772" s="121"/>
      <c r="G772" s="121"/>
      <c r="H772" s="121"/>
      <c r="I772" s="121"/>
      <c r="J772" s="121"/>
      <c r="K772" s="121"/>
      <c r="L772" s="121"/>
      <c r="M772" s="121"/>
      <c r="N772" s="121"/>
      <c r="O772" s="121"/>
      <c r="P772" s="121"/>
      <c r="Q772" s="121"/>
      <c r="R772" s="121"/>
      <c r="S772" s="121"/>
      <c r="T772" s="121"/>
      <c r="U772" s="121"/>
      <c r="V772" s="121"/>
      <c r="W772" s="121"/>
      <c r="X772" s="121"/>
      <c r="Y772" s="121"/>
      <c r="Z772" s="121"/>
    </row>
    <row r="773" customFormat="false" ht="15.75" hidden="false" customHeight="false" outlineLevel="0" collapsed="false">
      <c r="A773" s="121"/>
      <c r="B773" s="121"/>
      <c r="C773" s="121"/>
      <c r="D773" s="121"/>
      <c r="E773" s="121"/>
      <c r="F773" s="121"/>
      <c r="G773" s="121"/>
      <c r="H773" s="121"/>
      <c r="I773" s="121"/>
      <c r="J773" s="121"/>
      <c r="K773" s="121"/>
      <c r="L773" s="121"/>
      <c r="M773" s="121"/>
      <c r="N773" s="121"/>
      <c r="O773" s="121"/>
      <c r="P773" s="121"/>
      <c r="Q773" s="121"/>
      <c r="R773" s="121"/>
      <c r="S773" s="121"/>
      <c r="T773" s="121"/>
      <c r="U773" s="121"/>
      <c r="V773" s="121"/>
      <c r="W773" s="121"/>
      <c r="X773" s="121"/>
      <c r="Y773" s="121"/>
      <c r="Z773" s="121"/>
    </row>
    <row r="774" customFormat="false" ht="15.75" hidden="false" customHeight="false" outlineLevel="0" collapsed="false">
      <c r="A774" s="121"/>
      <c r="B774" s="121"/>
      <c r="C774" s="121"/>
      <c r="D774" s="121"/>
      <c r="E774" s="121"/>
      <c r="F774" s="121"/>
      <c r="G774" s="121"/>
      <c r="H774" s="121"/>
      <c r="I774" s="121"/>
      <c r="J774" s="121"/>
      <c r="K774" s="121"/>
      <c r="L774" s="121"/>
      <c r="M774" s="121"/>
      <c r="N774" s="121"/>
      <c r="O774" s="121"/>
      <c r="P774" s="121"/>
      <c r="Q774" s="121"/>
      <c r="R774" s="121"/>
      <c r="S774" s="121"/>
      <c r="T774" s="121"/>
      <c r="U774" s="121"/>
      <c r="V774" s="121"/>
      <c r="W774" s="121"/>
      <c r="X774" s="121"/>
      <c r="Y774" s="121"/>
      <c r="Z774" s="121"/>
    </row>
    <row r="775" customFormat="false" ht="15.75" hidden="false" customHeight="false" outlineLevel="0" collapsed="false">
      <c r="A775" s="121"/>
      <c r="B775" s="121"/>
      <c r="C775" s="121"/>
      <c r="D775" s="121"/>
      <c r="E775" s="121"/>
      <c r="F775" s="121"/>
      <c r="G775" s="121"/>
      <c r="H775" s="121"/>
      <c r="I775" s="121"/>
      <c r="J775" s="121"/>
      <c r="K775" s="121"/>
      <c r="L775" s="121"/>
      <c r="M775" s="121"/>
      <c r="N775" s="121"/>
      <c r="O775" s="121"/>
      <c r="P775" s="121"/>
      <c r="Q775" s="121"/>
      <c r="R775" s="121"/>
      <c r="S775" s="121"/>
      <c r="T775" s="121"/>
      <c r="U775" s="121"/>
      <c r="V775" s="121"/>
      <c r="W775" s="121"/>
      <c r="X775" s="121"/>
      <c r="Y775" s="121"/>
      <c r="Z775" s="121"/>
    </row>
    <row r="776" customFormat="false" ht="15.75" hidden="false" customHeight="false" outlineLevel="0" collapsed="false">
      <c r="A776" s="121"/>
      <c r="B776" s="121"/>
      <c r="C776" s="121"/>
      <c r="D776" s="121"/>
      <c r="E776" s="121"/>
      <c r="F776" s="121"/>
      <c r="G776" s="121"/>
      <c r="H776" s="121"/>
      <c r="I776" s="121"/>
      <c r="J776" s="121"/>
      <c r="K776" s="121"/>
      <c r="L776" s="121"/>
      <c r="M776" s="121"/>
      <c r="N776" s="121"/>
      <c r="O776" s="121"/>
      <c r="P776" s="121"/>
      <c r="Q776" s="121"/>
      <c r="R776" s="121"/>
      <c r="S776" s="121"/>
      <c r="T776" s="121"/>
      <c r="U776" s="121"/>
      <c r="V776" s="121"/>
      <c r="W776" s="121"/>
      <c r="X776" s="121"/>
      <c r="Y776" s="121"/>
      <c r="Z776" s="121"/>
    </row>
    <row r="777" customFormat="false" ht="15.75" hidden="false" customHeight="false" outlineLevel="0" collapsed="false">
      <c r="A777" s="121"/>
      <c r="B777" s="121"/>
      <c r="C777" s="121"/>
      <c r="D777" s="121"/>
      <c r="E777" s="121"/>
      <c r="F777" s="121"/>
      <c r="G777" s="121"/>
      <c r="H777" s="121"/>
      <c r="I777" s="121"/>
      <c r="J777" s="121"/>
      <c r="K777" s="121"/>
      <c r="L777" s="121"/>
      <c r="M777" s="121"/>
      <c r="N777" s="121"/>
      <c r="O777" s="121"/>
      <c r="P777" s="121"/>
      <c r="Q777" s="121"/>
      <c r="R777" s="121"/>
      <c r="S777" s="121"/>
      <c r="T777" s="121"/>
      <c r="U777" s="121"/>
      <c r="V777" s="121"/>
      <c r="W777" s="121"/>
      <c r="X777" s="121"/>
      <c r="Y777" s="121"/>
      <c r="Z777" s="121"/>
    </row>
    <row r="778" customFormat="false" ht="15.75" hidden="false" customHeight="false" outlineLevel="0" collapsed="false">
      <c r="A778" s="121"/>
      <c r="B778" s="121"/>
      <c r="C778" s="121"/>
      <c r="D778" s="121"/>
      <c r="E778" s="121"/>
      <c r="F778" s="121"/>
      <c r="G778" s="121"/>
      <c r="H778" s="121"/>
      <c r="I778" s="121"/>
      <c r="J778" s="121"/>
      <c r="K778" s="121"/>
      <c r="L778" s="121"/>
      <c r="M778" s="121"/>
      <c r="N778" s="121"/>
      <c r="O778" s="121"/>
      <c r="P778" s="121"/>
      <c r="Q778" s="121"/>
      <c r="R778" s="121"/>
      <c r="S778" s="121"/>
      <c r="T778" s="121"/>
      <c r="U778" s="121"/>
      <c r="V778" s="121"/>
      <c r="W778" s="121"/>
      <c r="X778" s="121"/>
      <c r="Y778" s="121"/>
      <c r="Z778" s="121"/>
    </row>
    <row r="779" customFormat="false" ht="15.75" hidden="false" customHeight="false" outlineLevel="0" collapsed="false">
      <c r="A779" s="121"/>
      <c r="B779" s="121"/>
      <c r="C779" s="121"/>
      <c r="D779" s="121"/>
      <c r="E779" s="121"/>
      <c r="F779" s="121"/>
      <c r="G779" s="121"/>
      <c r="H779" s="121"/>
      <c r="I779" s="121"/>
      <c r="J779" s="121"/>
      <c r="K779" s="121"/>
      <c r="L779" s="121"/>
      <c r="M779" s="121"/>
      <c r="N779" s="121"/>
      <c r="O779" s="121"/>
      <c r="P779" s="121"/>
      <c r="Q779" s="121"/>
      <c r="R779" s="121"/>
      <c r="S779" s="121"/>
      <c r="T779" s="121"/>
      <c r="U779" s="121"/>
      <c r="V779" s="121"/>
      <c r="W779" s="121"/>
      <c r="X779" s="121"/>
      <c r="Y779" s="121"/>
      <c r="Z779" s="121"/>
    </row>
    <row r="780" customFormat="false" ht="15.75" hidden="false" customHeight="false" outlineLevel="0" collapsed="false">
      <c r="A780" s="121"/>
      <c r="B780" s="121"/>
      <c r="C780" s="121"/>
      <c r="D780" s="121"/>
      <c r="E780" s="121"/>
      <c r="F780" s="121"/>
      <c r="G780" s="121"/>
      <c r="H780" s="121"/>
      <c r="I780" s="121"/>
      <c r="J780" s="121"/>
      <c r="K780" s="121"/>
      <c r="L780" s="121"/>
      <c r="M780" s="121"/>
      <c r="N780" s="121"/>
      <c r="O780" s="121"/>
      <c r="P780" s="121"/>
      <c r="Q780" s="121"/>
      <c r="R780" s="121"/>
      <c r="S780" s="121"/>
      <c r="T780" s="121"/>
      <c r="U780" s="121"/>
      <c r="V780" s="121"/>
      <c r="W780" s="121"/>
      <c r="X780" s="121"/>
      <c r="Y780" s="121"/>
      <c r="Z780" s="121"/>
    </row>
    <row r="781" customFormat="false" ht="15.75" hidden="false" customHeight="false" outlineLevel="0" collapsed="false">
      <c r="A781" s="121"/>
      <c r="B781" s="121"/>
      <c r="C781" s="121"/>
      <c r="D781" s="121"/>
      <c r="E781" s="121"/>
      <c r="F781" s="121"/>
      <c r="G781" s="121"/>
      <c r="H781" s="121"/>
      <c r="I781" s="121"/>
      <c r="J781" s="121"/>
      <c r="K781" s="121"/>
      <c r="L781" s="121"/>
      <c r="M781" s="121"/>
      <c r="N781" s="121"/>
      <c r="O781" s="121"/>
      <c r="P781" s="121"/>
      <c r="Q781" s="121"/>
      <c r="R781" s="121"/>
      <c r="S781" s="121"/>
      <c r="T781" s="121"/>
      <c r="U781" s="121"/>
      <c r="V781" s="121"/>
      <c r="W781" s="121"/>
      <c r="X781" s="121"/>
      <c r="Y781" s="121"/>
      <c r="Z781" s="121"/>
    </row>
    <row r="782" customFormat="false" ht="15.75" hidden="false" customHeight="false" outlineLevel="0" collapsed="false">
      <c r="A782" s="121"/>
      <c r="B782" s="121"/>
      <c r="C782" s="121"/>
      <c r="D782" s="121"/>
      <c r="E782" s="121"/>
      <c r="F782" s="121"/>
      <c r="G782" s="121"/>
      <c r="H782" s="121"/>
      <c r="I782" s="121"/>
      <c r="J782" s="121"/>
      <c r="K782" s="121"/>
      <c r="L782" s="121"/>
      <c r="M782" s="121"/>
      <c r="N782" s="121"/>
      <c r="O782" s="121"/>
      <c r="P782" s="121"/>
      <c r="Q782" s="121"/>
      <c r="R782" s="121"/>
      <c r="S782" s="121"/>
      <c r="T782" s="121"/>
      <c r="U782" s="121"/>
      <c r="V782" s="121"/>
      <c r="W782" s="121"/>
      <c r="X782" s="121"/>
      <c r="Y782" s="121"/>
      <c r="Z782" s="121"/>
    </row>
    <row r="783" customFormat="false" ht="15.75" hidden="false" customHeight="false" outlineLevel="0" collapsed="false">
      <c r="A783" s="121"/>
      <c r="B783" s="121"/>
      <c r="C783" s="121"/>
      <c r="D783" s="121"/>
      <c r="E783" s="121"/>
      <c r="F783" s="121"/>
      <c r="G783" s="121"/>
      <c r="H783" s="121"/>
      <c r="I783" s="121"/>
      <c r="J783" s="121"/>
      <c r="K783" s="121"/>
      <c r="L783" s="121"/>
      <c r="M783" s="121"/>
      <c r="N783" s="121"/>
      <c r="O783" s="121"/>
      <c r="P783" s="121"/>
      <c r="Q783" s="121"/>
      <c r="R783" s="121"/>
      <c r="S783" s="121"/>
      <c r="T783" s="121"/>
      <c r="U783" s="121"/>
      <c r="V783" s="121"/>
      <c r="W783" s="121"/>
      <c r="X783" s="121"/>
      <c r="Y783" s="121"/>
      <c r="Z783" s="121"/>
    </row>
    <row r="784" customFormat="false" ht="15.75" hidden="false" customHeight="false" outlineLevel="0" collapsed="false">
      <c r="A784" s="121"/>
      <c r="B784" s="121"/>
      <c r="C784" s="121"/>
      <c r="D784" s="121"/>
      <c r="E784" s="121"/>
      <c r="F784" s="121"/>
      <c r="G784" s="121"/>
      <c r="H784" s="121"/>
      <c r="I784" s="121"/>
      <c r="J784" s="121"/>
      <c r="K784" s="121"/>
      <c r="L784" s="121"/>
      <c r="M784" s="121"/>
      <c r="N784" s="121"/>
      <c r="O784" s="121"/>
      <c r="P784" s="121"/>
      <c r="Q784" s="121"/>
      <c r="R784" s="121"/>
      <c r="S784" s="121"/>
      <c r="T784" s="121"/>
      <c r="U784" s="121"/>
      <c r="V784" s="121"/>
      <c r="W784" s="121"/>
      <c r="X784" s="121"/>
      <c r="Y784" s="121"/>
      <c r="Z784" s="121"/>
    </row>
    <row r="785" customFormat="false" ht="15.75" hidden="false" customHeight="false" outlineLevel="0" collapsed="false">
      <c r="A785" s="121"/>
      <c r="B785" s="121"/>
      <c r="C785" s="121"/>
      <c r="D785" s="121"/>
      <c r="E785" s="121"/>
      <c r="F785" s="121"/>
      <c r="G785" s="121"/>
      <c r="H785" s="121"/>
      <c r="I785" s="121"/>
      <c r="J785" s="121"/>
      <c r="K785" s="121"/>
      <c r="L785" s="121"/>
      <c r="M785" s="121"/>
      <c r="N785" s="121"/>
      <c r="O785" s="121"/>
      <c r="P785" s="121"/>
      <c r="Q785" s="121"/>
      <c r="R785" s="121"/>
      <c r="S785" s="121"/>
      <c r="T785" s="121"/>
      <c r="U785" s="121"/>
      <c r="V785" s="121"/>
      <c r="W785" s="121"/>
      <c r="X785" s="121"/>
      <c r="Y785" s="121"/>
      <c r="Z785" s="121"/>
    </row>
    <row r="786" customFormat="false" ht="15.75" hidden="false" customHeight="false" outlineLevel="0" collapsed="false">
      <c r="A786" s="121"/>
      <c r="B786" s="121"/>
      <c r="C786" s="121"/>
      <c r="D786" s="121"/>
      <c r="E786" s="121"/>
      <c r="F786" s="121"/>
      <c r="G786" s="121"/>
      <c r="H786" s="121"/>
      <c r="I786" s="121"/>
      <c r="J786" s="121"/>
      <c r="K786" s="121"/>
      <c r="L786" s="121"/>
      <c r="M786" s="121"/>
      <c r="N786" s="121"/>
      <c r="O786" s="121"/>
      <c r="P786" s="121"/>
      <c r="Q786" s="121"/>
      <c r="R786" s="121"/>
      <c r="S786" s="121"/>
      <c r="T786" s="121"/>
      <c r="U786" s="121"/>
      <c r="V786" s="121"/>
      <c r="W786" s="121"/>
      <c r="X786" s="121"/>
      <c r="Y786" s="121"/>
      <c r="Z786" s="121"/>
    </row>
    <row r="787" customFormat="false" ht="15.75" hidden="false" customHeight="false" outlineLevel="0" collapsed="false">
      <c r="A787" s="121"/>
      <c r="B787" s="121"/>
      <c r="C787" s="121"/>
      <c r="D787" s="121"/>
      <c r="E787" s="121"/>
      <c r="F787" s="121"/>
      <c r="G787" s="121"/>
      <c r="H787" s="121"/>
      <c r="I787" s="121"/>
      <c r="J787" s="121"/>
      <c r="K787" s="121"/>
      <c r="L787" s="121"/>
      <c r="M787" s="121"/>
      <c r="N787" s="121"/>
      <c r="O787" s="121"/>
      <c r="P787" s="121"/>
      <c r="Q787" s="121"/>
      <c r="R787" s="121"/>
      <c r="S787" s="121"/>
      <c r="T787" s="121"/>
      <c r="U787" s="121"/>
      <c r="V787" s="121"/>
      <c r="W787" s="121"/>
      <c r="X787" s="121"/>
      <c r="Y787" s="121"/>
      <c r="Z787" s="121"/>
    </row>
    <row r="788" customFormat="false" ht="15.75" hidden="false" customHeight="false" outlineLevel="0" collapsed="false">
      <c r="A788" s="121"/>
      <c r="B788" s="121"/>
      <c r="C788" s="121"/>
      <c r="D788" s="121"/>
      <c r="E788" s="121"/>
      <c r="F788" s="121"/>
      <c r="G788" s="121"/>
      <c r="H788" s="121"/>
      <c r="I788" s="121"/>
      <c r="J788" s="121"/>
      <c r="K788" s="121"/>
      <c r="L788" s="121"/>
      <c r="M788" s="121"/>
      <c r="N788" s="121"/>
      <c r="O788" s="121"/>
      <c r="P788" s="121"/>
      <c r="Q788" s="121"/>
      <c r="R788" s="121"/>
      <c r="S788" s="121"/>
      <c r="T788" s="121"/>
      <c r="U788" s="121"/>
      <c r="V788" s="121"/>
      <c r="W788" s="121"/>
      <c r="X788" s="121"/>
      <c r="Y788" s="121"/>
      <c r="Z788" s="121"/>
    </row>
    <row r="789" customFormat="false" ht="15.75" hidden="false" customHeight="false" outlineLevel="0" collapsed="false">
      <c r="A789" s="121"/>
      <c r="B789" s="121"/>
      <c r="C789" s="121"/>
      <c r="D789" s="121"/>
      <c r="E789" s="121"/>
      <c r="F789" s="121"/>
      <c r="G789" s="121"/>
      <c r="H789" s="121"/>
      <c r="I789" s="121"/>
      <c r="J789" s="121"/>
      <c r="K789" s="121"/>
      <c r="L789" s="121"/>
      <c r="M789" s="121"/>
      <c r="N789" s="121"/>
      <c r="O789" s="121"/>
      <c r="P789" s="121"/>
      <c r="Q789" s="121"/>
      <c r="R789" s="121"/>
      <c r="S789" s="121"/>
      <c r="T789" s="121"/>
      <c r="U789" s="121"/>
      <c r="V789" s="121"/>
      <c r="W789" s="121"/>
      <c r="X789" s="121"/>
      <c r="Y789" s="121"/>
      <c r="Z789" s="121"/>
    </row>
    <row r="790" customFormat="false" ht="15.75" hidden="false" customHeight="false" outlineLevel="0" collapsed="false">
      <c r="A790" s="121"/>
      <c r="B790" s="121"/>
      <c r="C790" s="121"/>
      <c r="D790" s="121"/>
      <c r="E790" s="121"/>
      <c r="F790" s="121"/>
      <c r="G790" s="121"/>
      <c r="H790" s="121"/>
      <c r="I790" s="121"/>
      <c r="J790" s="121"/>
      <c r="K790" s="121"/>
      <c r="L790" s="121"/>
      <c r="M790" s="121"/>
      <c r="N790" s="121"/>
      <c r="O790" s="121"/>
      <c r="P790" s="121"/>
      <c r="Q790" s="121"/>
      <c r="R790" s="121"/>
      <c r="S790" s="121"/>
      <c r="T790" s="121"/>
      <c r="U790" s="121"/>
      <c r="V790" s="121"/>
      <c r="W790" s="121"/>
      <c r="X790" s="121"/>
      <c r="Y790" s="121"/>
      <c r="Z790" s="121"/>
    </row>
    <row r="791" customFormat="false" ht="15.75" hidden="false" customHeight="false" outlineLevel="0" collapsed="false">
      <c r="A791" s="121"/>
      <c r="B791" s="121"/>
      <c r="C791" s="121"/>
      <c r="D791" s="121"/>
      <c r="E791" s="121"/>
      <c r="F791" s="121"/>
      <c r="G791" s="121"/>
      <c r="H791" s="121"/>
      <c r="I791" s="121"/>
      <c r="J791" s="121"/>
      <c r="K791" s="121"/>
      <c r="L791" s="121"/>
      <c r="M791" s="121"/>
      <c r="N791" s="121"/>
      <c r="O791" s="121"/>
      <c r="P791" s="121"/>
      <c r="Q791" s="121"/>
      <c r="R791" s="121"/>
      <c r="S791" s="121"/>
      <c r="T791" s="121"/>
      <c r="U791" s="121"/>
      <c r="V791" s="121"/>
      <c r="W791" s="121"/>
      <c r="X791" s="121"/>
      <c r="Y791" s="121"/>
      <c r="Z791" s="121"/>
    </row>
    <row r="792" customFormat="false" ht="15.75" hidden="false" customHeight="false" outlineLevel="0" collapsed="false">
      <c r="A792" s="121"/>
      <c r="B792" s="121"/>
      <c r="C792" s="121"/>
      <c r="D792" s="121"/>
      <c r="E792" s="121"/>
      <c r="F792" s="121"/>
      <c r="G792" s="121"/>
      <c r="H792" s="121"/>
      <c r="I792" s="121"/>
      <c r="J792" s="121"/>
      <c r="K792" s="121"/>
      <c r="L792" s="121"/>
      <c r="M792" s="121"/>
      <c r="N792" s="121"/>
      <c r="O792" s="121"/>
      <c r="P792" s="121"/>
      <c r="Q792" s="121"/>
      <c r="R792" s="121"/>
      <c r="S792" s="121"/>
      <c r="T792" s="121"/>
      <c r="U792" s="121"/>
      <c r="V792" s="121"/>
      <c r="W792" s="121"/>
      <c r="X792" s="121"/>
      <c r="Y792" s="121"/>
      <c r="Z792" s="121"/>
    </row>
    <row r="793" customFormat="false" ht="15.75" hidden="false" customHeight="false" outlineLevel="0" collapsed="false">
      <c r="A793" s="121"/>
      <c r="B793" s="121"/>
      <c r="C793" s="121"/>
      <c r="D793" s="121"/>
      <c r="E793" s="121"/>
      <c r="F793" s="121"/>
      <c r="G793" s="121"/>
      <c r="H793" s="121"/>
      <c r="I793" s="121"/>
      <c r="J793" s="121"/>
      <c r="K793" s="121"/>
      <c r="L793" s="121"/>
      <c r="M793" s="121"/>
      <c r="N793" s="121"/>
      <c r="O793" s="121"/>
      <c r="P793" s="121"/>
      <c r="Q793" s="121"/>
      <c r="R793" s="121"/>
      <c r="S793" s="121"/>
      <c r="T793" s="121"/>
      <c r="U793" s="121"/>
      <c r="V793" s="121"/>
      <c r="W793" s="121"/>
      <c r="X793" s="121"/>
      <c r="Y793" s="121"/>
      <c r="Z793" s="121"/>
    </row>
    <row r="794" customFormat="false" ht="15.75" hidden="false" customHeight="false" outlineLevel="0" collapsed="false">
      <c r="A794" s="121"/>
      <c r="B794" s="121"/>
      <c r="C794" s="121"/>
      <c r="D794" s="121"/>
      <c r="E794" s="121"/>
      <c r="F794" s="121"/>
      <c r="G794" s="121"/>
      <c r="H794" s="121"/>
      <c r="I794" s="121"/>
      <c r="J794" s="121"/>
      <c r="K794" s="121"/>
      <c r="L794" s="121"/>
      <c r="M794" s="121"/>
      <c r="N794" s="121"/>
      <c r="O794" s="121"/>
      <c r="P794" s="121"/>
      <c r="Q794" s="121"/>
      <c r="R794" s="121"/>
      <c r="S794" s="121"/>
      <c r="T794" s="121"/>
      <c r="U794" s="121"/>
      <c r="V794" s="121"/>
      <c r="W794" s="121"/>
      <c r="X794" s="121"/>
      <c r="Y794" s="121"/>
      <c r="Z794" s="121"/>
    </row>
    <row r="795" customFormat="false" ht="15.75" hidden="false" customHeight="false" outlineLevel="0" collapsed="false">
      <c r="A795" s="121"/>
      <c r="B795" s="121"/>
      <c r="C795" s="121"/>
      <c r="D795" s="121"/>
      <c r="E795" s="121"/>
      <c r="F795" s="121"/>
      <c r="G795" s="121"/>
      <c r="H795" s="121"/>
      <c r="I795" s="121"/>
      <c r="J795" s="121"/>
      <c r="K795" s="121"/>
      <c r="L795" s="121"/>
      <c r="M795" s="121"/>
      <c r="N795" s="121"/>
      <c r="O795" s="121"/>
      <c r="P795" s="121"/>
      <c r="Q795" s="121"/>
      <c r="R795" s="121"/>
      <c r="S795" s="121"/>
      <c r="T795" s="121"/>
      <c r="U795" s="121"/>
      <c r="V795" s="121"/>
      <c r="W795" s="121"/>
      <c r="X795" s="121"/>
      <c r="Y795" s="121"/>
      <c r="Z795" s="121"/>
    </row>
    <row r="796" customFormat="false" ht="15.75" hidden="false" customHeight="false" outlineLevel="0" collapsed="false">
      <c r="A796" s="121"/>
      <c r="B796" s="121"/>
      <c r="C796" s="121"/>
      <c r="D796" s="121"/>
      <c r="E796" s="121"/>
      <c r="F796" s="121"/>
      <c r="G796" s="121"/>
      <c r="H796" s="121"/>
      <c r="I796" s="121"/>
      <c r="J796" s="121"/>
      <c r="K796" s="121"/>
      <c r="L796" s="121"/>
      <c r="M796" s="121"/>
      <c r="N796" s="121"/>
      <c r="O796" s="121"/>
      <c r="P796" s="121"/>
      <c r="Q796" s="121"/>
      <c r="R796" s="121"/>
      <c r="S796" s="121"/>
      <c r="T796" s="121"/>
      <c r="U796" s="121"/>
      <c r="V796" s="121"/>
      <c r="W796" s="121"/>
      <c r="X796" s="121"/>
      <c r="Y796" s="121"/>
      <c r="Z796" s="121"/>
    </row>
    <row r="797" customFormat="false" ht="15.75" hidden="false" customHeight="false" outlineLevel="0" collapsed="false">
      <c r="A797" s="121"/>
      <c r="B797" s="121"/>
      <c r="C797" s="121"/>
      <c r="D797" s="121"/>
      <c r="E797" s="121"/>
      <c r="F797" s="121"/>
      <c r="G797" s="121"/>
      <c r="H797" s="121"/>
      <c r="I797" s="121"/>
      <c r="J797" s="121"/>
      <c r="K797" s="121"/>
      <c r="L797" s="121"/>
      <c r="M797" s="121"/>
      <c r="N797" s="121"/>
      <c r="O797" s="121"/>
      <c r="P797" s="121"/>
      <c r="Q797" s="121"/>
      <c r="R797" s="121"/>
      <c r="S797" s="121"/>
      <c r="T797" s="121"/>
      <c r="U797" s="121"/>
      <c r="V797" s="121"/>
      <c r="W797" s="121"/>
      <c r="X797" s="121"/>
      <c r="Y797" s="121"/>
      <c r="Z797" s="121"/>
    </row>
    <row r="798" customFormat="false" ht="15.75" hidden="false" customHeight="false" outlineLevel="0" collapsed="false">
      <c r="A798" s="121"/>
      <c r="B798" s="121"/>
      <c r="C798" s="121"/>
      <c r="D798" s="121"/>
      <c r="E798" s="121"/>
      <c r="F798" s="121"/>
      <c r="G798" s="121"/>
      <c r="H798" s="121"/>
      <c r="I798" s="121"/>
      <c r="J798" s="121"/>
      <c r="K798" s="121"/>
      <c r="L798" s="121"/>
      <c r="M798" s="121"/>
      <c r="N798" s="121"/>
      <c r="O798" s="121"/>
      <c r="P798" s="121"/>
      <c r="Q798" s="121"/>
      <c r="R798" s="121"/>
      <c r="S798" s="121"/>
      <c r="T798" s="121"/>
      <c r="U798" s="121"/>
      <c r="V798" s="121"/>
      <c r="W798" s="121"/>
      <c r="X798" s="121"/>
      <c r="Y798" s="121"/>
      <c r="Z798" s="121"/>
    </row>
    <row r="799" customFormat="false" ht="15.75" hidden="false" customHeight="false" outlineLevel="0" collapsed="false">
      <c r="A799" s="121"/>
      <c r="B799" s="121"/>
      <c r="C799" s="121"/>
      <c r="D799" s="121"/>
      <c r="E799" s="121"/>
      <c r="F799" s="121"/>
      <c r="G799" s="121"/>
      <c r="H799" s="121"/>
      <c r="I799" s="121"/>
      <c r="J799" s="121"/>
      <c r="K799" s="121"/>
      <c r="L799" s="121"/>
      <c r="M799" s="121"/>
      <c r="N799" s="121"/>
      <c r="O799" s="121"/>
      <c r="P799" s="121"/>
      <c r="Q799" s="121"/>
      <c r="R799" s="121"/>
      <c r="S799" s="121"/>
      <c r="T799" s="121"/>
      <c r="U799" s="121"/>
      <c r="V799" s="121"/>
      <c r="W799" s="121"/>
      <c r="X799" s="121"/>
      <c r="Y799" s="121"/>
      <c r="Z799" s="121"/>
    </row>
    <row r="800" customFormat="false" ht="15.75" hidden="false" customHeight="false" outlineLevel="0" collapsed="false">
      <c r="A800" s="121"/>
      <c r="B800" s="121"/>
      <c r="C800" s="121"/>
      <c r="D800" s="121"/>
      <c r="E800" s="121"/>
      <c r="F800" s="121"/>
      <c r="G800" s="121"/>
      <c r="H800" s="121"/>
      <c r="I800" s="121"/>
      <c r="J800" s="121"/>
      <c r="K800" s="121"/>
      <c r="L800" s="121"/>
      <c r="M800" s="121"/>
      <c r="N800" s="121"/>
      <c r="O800" s="121"/>
      <c r="P800" s="121"/>
      <c r="Q800" s="121"/>
      <c r="R800" s="121"/>
      <c r="S800" s="121"/>
      <c r="T800" s="121"/>
      <c r="U800" s="121"/>
      <c r="V800" s="121"/>
      <c r="W800" s="121"/>
      <c r="X800" s="121"/>
      <c r="Y800" s="121"/>
      <c r="Z800" s="121"/>
    </row>
    <row r="801" customFormat="false" ht="15.75" hidden="false" customHeight="false" outlineLevel="0" collapsed="false">
      <c r="A801" s="121"/>
      <c r="B801" s="121"/>
      <c r="C801" s="121"/>
      <c r="D801" s="121"/>
      <c r="E801" s="121"/>
      <c r="F801" s="121"/>
      <c r="G801" s="121"/>
      <c r="H801" s="121"/>
      <c r="I801" s="121"/>
      <c r="J801" s="121"/>
      <c r="K801" s="121"/>
      <c r="L801" s="121"/>
      <c r="M801" s="121"/>
      <c r="N801" s="121"/>
      <c r="O801" s="121"/>
      <c r="P801" s="121"/>
      <c r="Q801" s="121"/>
      <c r="R801" s="121"/>
      <c r="S801" s="121"/>
      <c r="T801" s="121"/>
      <c r="U801" s="121"/>
      <c r="V801" s="121"/>
      <c r="W801" s="121"/>
      <c r="X801" s="121"/>
      <c r="Y801" s="121"/>
      <c r="Z801" s="121"/>
    </row>
    <row r="802" customFormat="false" ht="15.75" hidden="false" customHeight="false" outlineLevel="0" collapsed="false">
      <c r="A802" s="121"/>
      <c r="B802" s="121"/>
      <c r="C802" s="121"/>
      <c r="D802" s="121"/>
      <c r="E802" s="121"/>
      <c r="F802" s="121"/>
      <c r="G802" s="121"/>
      <c r="H802" s="121"/>
      <c r="I802" s="121"/>
      <c r="J802" s="121"/>
      <c r="K802" s="121"/>
      <c r="L802" s="121"/>
      <c r="M802" s="121"/>
      <c r="N802" s="121"/>
      <c r="O802" s="121"/>
      <c r="P802" s="121"/>
      <c r="Q802" s="121"/>
      <c r="R802" s="121"/>
      <c r="S802" s="121"/>
      <c r="T802" s="121"/>
      <c r="U802" s="121"/>
      <c r="V802" s="121"/>
      <c r="W802" s="121"/>
      <c r="X802" s="121"/>
      <c r="Y802" s="121"/>
      <c r="Z802" s="121"/>
    </row>
    <row r="803" customFormat="false" ht="15.75" hidden="false" customHeight="false" outlineLevel="0" collapsed="false">
      <c r="A803" s="121"/>
      <c r="B803" s="121"/>
      <c r="C803" s="121"/>
      <c r="D803" s="121"/>
      <c r="E803" s="121"/>
      <c r="F803" s="121"/>
      <c r="G803" s="121"/>
      <c r="H803" s="121"/>
      <c r="I803" s="121"/>
      <c r="J803" s="121"/>
      <c r="K803" s="121"/>
      <c r="L803" s="121"/>
      <c r="M803" s="121"/>
      <c r="N803" s="121"/>
      <c r="O803" s="121"/>
      <c r="P803" s="121"/>
      <c r="Q803" s="121"/>
      <c r="R803" s="121"/>
      <c r="S803" s="121"/>
      <c r="T803" s="121"/>
      <c r="U803" s="121"/>
      <c r="V803" s="121"/>
      <c r="W803" s="121"/>
      <c r="X803" s="121"/>
      <c r="Y803" s="121"/>
      <c r="Z803" s="121"/>
    </row>
    <row r="804" customFormat="false" ht="15.75" hidden="false" customHeight="false" outlineLevel="0" collapsed="false">
      <c r="A804" s="121"/>
      <c r="B804" s="121"/>
      <c r="C804" s="121"/>
      <c r="D804" s="121"/>
      <c r="E804" s="121"/>
      <c r="F804" s="121"/>
      <c r="G804" s="121"/>
      <c r="H804" s="121"/>
      <c r="I804" s="121"/>
      <c r="J804" s="121"/>
      <c r="K804" s="121"/>
      <c r="L804" s="121"/>
      <c r="M804" s="121"/>
      <c r="N804" s="121"/>
      <c r="O804" s="121"/>
      <c r="P804" s="121"/>
      <c r="Q804" s="121"/>
      <c r="R804" s="121"/>
      <c r="S804" s="121"/>
      <c r="T804" s="121"/>
      <c r="U804" s="121"/>
      <c r="V804" s="121"/>
      <c r="W804" s="121"/>
      <c r="X804" s="121"/>
      <c r="Y804" s="121"/>
      <c r="Z804" s="121"/>
    </row>
    <row r="805" customFormat="false" ht="15.75" hidden="false" customHeight="false" outlineLevel="0" collapsed="false">
      <c r="A805" s="121"/>
      <c r="B805" s="121"/>
      <c r="C805" s="121"/>
      <c r="D805" s="121"/>
      <c r="E805" s="121"/>
      <c r="F805" s="121"/>
      <c r="G805" s="121"/>
      <c r="H805" s="121"/>
      <c r="I805" s="121"/>
      <c r="J805" s="121"/>
      <c r="K805" s="121"/>
      <c r="L805" s="121"/>
      <c r="M805" s="121"/>
      <c r="N805" s="121"/>
      <c r="O805" s="121"/>
      <c r="P805" s="121"/>
      <c r="Q805" s="121"/>
      <c r="R805" s="121"/>
      <c r="S805" s="121"/>
      <c r="T805" s="121"/>
      <c r="U805" s="121"/>
      <c r="V805" s="121"/>
      <c r="W805" s="121"/>
      <c r="X805" s="121"/>
      <c r="Y805" s="121"/>
      <c r="Z805" s="121"/>
    </row>
    <row r="806" customFormat="false" ht="15.75" hidden="false" customHeight="false" outlineLevel="0" collapsed="false">
      <c r="A806" s="121"/>
      <c r="B806" s="121"/>
      <c r="C806" s="121"/>
      <c r="D806" s="121"/>
      <c r="E806" s="121"/>
      <c r="F806" s="121"/>
      <c r="G806" s="121"/>
      <c r="H806" s="121"/>
      <c r="I806" s="121"/>
      <c r="J806" s="121"/>
      <c r="K806" s="121"/>
      <c r="L806" s="121"/>
      <c r="M806" s="121"/>
      <c r="N806" s="121"/>
      <c r="O806" s="121"/>
      <c r="P806" s="121"/>
      <c r="Q806" s="121"/>
      <c r="R806" s="121"/>
      <c r="S806" s="121"/>
      <c r="T806" s="121"/>
      <c r="U806" s="121"/>
      <c r="V806" s="121"/>
      <c r="W806" s="121"/>
      <c r="X806" s="121"/>
      <c r="Y806" s="121"/>
      <c r="Z806" s="121"/>
    </row>
    <row r="807" customFormat="false" ht="15.75" hidden="false" customHeight="false" outlineLevel="0" collapsed="false">
      <c r="A807" s="121"/>
      <c r="B807" s="121"/>
      <c r="C807" s="121"/>
      <c r="D807" s="121"/>
      <c r="E807" s="121"/>
      <c r="F807" s="121"/>
      <c r="G807" s="121"/>
      <c r="H807" s="121"/>
      <c r="I807" s="121"/>
      <c r="J807" s="121"/>
      <c r="K807" s="121"/>
      <c r="L807" s="121"/>
      <c r="M807" s="121"/>
      <c r="N807" s="121"/>
      <c r="O807" s="121"/>
      <c r="P807" s="121"/>
      <c r="Q807" s="121"/>
      <c r="R807" s="121"/>
      <c r="S807" s="121"/>
      <c r="T807" s="121"/>
      <c r="U807" s="121"/>
      <c r="V807" s="121"/>
      <c r="W807" s="121"/>
      <c r="X807" s="121"/>
      <c r="Y807" s="121"/>
      <c r="Z807" s="121"/>
    </row>
    <row r="808" customFormat="false" ht="15.75" hidden="false" customHeight="false" outlineLevel="0" collapsed="false">
      <c r="A808" s="121"/>
      <c r="B808" s="121"/>
      <c r="C808" s="121"/>
      <c r="D808" s="121"/>
      <c r="E808" s="121"/>
      <c r="F808" s="121"/>
      <c r="G808" s="121"/>
      <c r="H808" s="121"/>
      <c r="I808" s="121"/>
      <c r="J808" s="121"/>
      <c r="K808" s="121"/>
      <c r="L808" s="121"/>
      <c r="M808" s="121"/>
      <c r="N808" s="121"/>
      <c r="O808" s="121"/>
      <c r="P808" s="121"/>
      <c r="Q808" s="121"/>
      <c r="R808" s="121"/>
      <c r="S808" s="121"/>
      <c r="T808" s="121"/>
      <c r="U808" s="121"/>
      <c r="V808" s="121"/>
      <c r="W808" s="121"/>
      <c r="X808" s="121"/>
      <c r="Y808" s="121"/>
      <c r="Z808" s="121"/>
    </row>
    <row r="809" customFormat="false" ht="15.75" hidden="false" customHeight="false" outlineLevel="0" collapsed="false">
      <c r="A809" s="121"/>
      <c r="B809" s="121"/>
      <c r="C809" s="121"/>
      <c r="D809" s="121"/>
      <c r="E809" s="121"/>
      <c r="F809" s="121"/>
      <c r="G809" s="121"/>
      <c r="H809" s="121"/>
      <c r="I809" s="121"/>
      <c r="J809" s="121"/>
      <c r="K809" s="121"/>
      <c r="L809" s="121"/>
      <c r="M809" s="121"/>
      <c r="N809" s="121"/>
      <c r="O809" s="121"/>
      <c r="P809" s="121"/>
      <c r="Q809" s="121"/>
      <c r="R809" s="121"/>
      <c r="S809" s="121"/>
      <c r="T809" s="121"/>
      <c r="U809" s="121"/>
      <c r="V809" s="121"/>
      <c r="W809" s="121"/>
      <c r="X809" s="121"/>
      <c r="Y809" s="121"/>
      <c r="Z809" s="121"/>
    </row>
    <row r="810" customFormat="false" ht="15.75" hidden="false" customHeight="false" outlineLevel="0" collapsed="false">
      <c r="A810" s="121"/>
      <c r="B810" s="121"/>
      <c r="C810" s="121"/>
      <c r="D810" s="121"/>
      <c r="E810" s="121"/>
      <c r="F810" s="121"/>
      <c r="G810" s="121"/>
      <c r="H810" s="121"/>
      <c r="I810" s="121"/>
      <c r="J810" s="121"/>
      <c r="K810" s="121"/>
      <c r="L810" s="121"/>
      <c r="M810" s="121"/>
      <c r="N810" s="121"/>
      <c r="O810" s="121"/>
      <c r="P810" s="121"/>
      <c r="Q810" s="121"/>
      <c r="R810" s="121"/>
      <c r="S810" s="121"/>
      <c r="T810" s="121"/>
      <c r="U810" s="121"/>
      <c r="V810" s="121"/>
      <c r="W810" s="121"/>
      <c r="X810" s="121"/>
      <c r="Y810" s="121"/>
      <c r="Z810" s="121"/>
    </row>
    <row r="811" customFormat="false" ht="15.75" hidden="false" customHeight="false" outlineLevel="0" collapsed="false">
      <c r="A811" s="121"/>
      <c r="B811" s="121"/>
      <c r="C811" s="121"/>
      <c r="D811" s="121"/>
      <c r="E811" s="121"/>
      <c r="F811" s="121"/>
      <c r="G811" s="121"/>
      <c r="H811" s="121"/>
      <c r="I811" s="121"/>
      <c r="J811" s="121"/>
      <c r="K811" s="121"/>
      <c r="L811" s="121"/>
      <c r="M811" s="121"/>
      <c r="N811" s="121"/>
      <c r="O811" s="121"/>
      <c r="P811" s="121"/>
      <c r="Q811" s="121"/>
      <c r="R811" s="121"/>
      <c r="S811" s="121"/>
      <c r="T811" s="121"/>
      <c r="U811" s="121"/>
      <c r="V811" s="121"/>
      <c r="W811" s="121"/>
      <c r="X811" s="121"/>
      <c r="Y811" s="121"/>
      <c r="Z811" s="121"/>
    </row>
    <row r="812" customFormat="false" ht="15.75" hidden="false" customHeight="false" outlineLevel="0" collapsed="false">
      <c r="A812" s="121"/>
      <c r="B812" s="121"/>
      <c r="C812" s="121"/>
      <c r="D812" s="121"/>
      <c r="E812" s="121"/>
      <c r="F812" s="121"/>
      <c r="G812" s="121"/>
      <c r="H812" s="121"/>
      <c r="I812" s="121"/>
      <c r="J812" s="121"/>
      <c r="K812" s="121"/>
      <c r="L812" s="121"/>
      <c r="M812" s="121"/>
      <c r="N812" s="121"/>
      <c r="O812" s="121"/>
      <c r="P812" s="121"/>
      <c r="Q812" s="121"/>
      <c r="R812" s="121"/>
      <c r="S812" s="121"/>
      <c r="T812" s="121"/>
      <c r="U812" s="121"/>
      <c r="V812" s="121"/>
      <c r="W812" s="121"/>
      <c r="X812" s="121"/>
      <c r="Y812" s="121"/>
      <c r="Z812" s="121"/>
    </row>
    <row r="813" customFormat="false" ht="15.75" hidden="false" customHeight="false" outlineLevel="0" collapsed="false">
      <c r="A813" s="121"/>
      <c r="B813" s="121"/>
      <c r="C813" s="121"/>
      <c r="D813" s="121"/>
      <c r="E813" s="121"/>
      <c r="F813" s="121"/>
      <c r="G813" s="121"/>
      <c r="H813" s="121"/>
      <c r="I813" s="121"/>
      <c r="J813" s="121"/>
      <c r="K813" s="121"/>
      <c r="L813" s="121"/>
      <c r="M813" s="121"/>
      <c r="N813" s="121"/>
      <c r="O813" s="121"/>
      <c r="P813" s="121"/>
      <c r="Q813" s="121"/>
      <c r="R813" s="121"/>
      <c r="S813" s="121"/>
      <c r="T813" s="121"/>
      <c r="U813" s="121"/>
      <c r="V813" s="121"/>
      <c r="W813" s="121"/>
      <c r="X813" s="121"/>
      <c r="Y813" s="121"/>
      <c r="Z813" s="121"/>
    </row>
    <row r="814" customFormat="false" ht="15.75" hidden="false" customHeight="false" outlineLevel="0" collapsed="false">
      <c r="A814" s="121"/>
      <c r="B814" s="121"/>
      <c r="C814" s="121"/>
      <c r="D814" s="121"/>
      <c r="E814" s="121"/>
      <c r="F814" s="121"/>
      <c r="G814" s="121"/>
      <c r="H814" s="121"/>
      <c r="I814" s="121"/>
      <c r="J814" s="121"/>
      <c r="K814" s="121"/>
      <c r="L814" s="121"/>
      <c r="M814" s="121"/>
      <c r="N814" s="121"/>
      <c r="O814" s="121"/>
      <c r="P814" s="121"/>
      <c r="Q814" s="121"/>
      <c r="R814" s="121"/>
      <c r="S814" s="121"/>
      <c r="T814" s="121"/>
      <c r="U814" s="121"/>
      <c r="V814" s="121"/>
      <c r="W814" s="121"/>
      <c r="X814" s="121"/>
      <c r="Y814" s="121"/>
      <c r="Z814" s="121"/>
    </row>
    <row r="815" customFormat="false" ht="15.75" hidden="false" customHeight="false" outlineLevel="0" collapsed="false">
      <c r="A815" s="121"/>
      <c r="B815" s="121"/>
      <c r="C815" s="121"/>
      <c r="D815" s="121"/>
      <c r="E815" s="121"/>
      <c r="F815" s="121"/>
      <c r="G815" s="121"/>
      <c r="H815" s="121"/>
      <c r="I815" s="121"/>
      <c r="J815" s="121"/>
      <c r="K815" s="121"/>
      <c r="L815" s="121"/>
      <c r="M815" s="121"/>
      <c r="N815" s="121"/>
      <c r="O815" s="121"/>
      <c r="P815" s="121"/>
      <c r="Q815" s="121"/>
      <c r="R815" s="121"/>
      <c r="S815" s="121"/>
      <c r="T815" s="121"/>
      <c r="U815" s="121"/>
      <c r="V815" s="121"/>
      <c r="W815" s="121"/>
      <c r="X815" s="121"/>
      <c r="Y815" s="121"/>
      <c r="Z815" s="121"/>
    </row>
    <row r="816" customFormat="false" ht="15.75" hidden="false" customHeight="false" outlineLevel="0" collapsed="false">
      <c r="A816" s="121"/>
      <c r="B816" s="121"/>
      <c r="C816" s="121"/>
      <c r="D816" s="121"/>
      <c r="E816" s="121"/>
      <c r="F816" s="121"/>
      <c r="G816" s="121"/>
      <c r="H816" s="121"/>
      <c r="I816" s="121"/>
      <c r="J816" s="121"/>
      <c r="K816" s="121"/>
      <c r="L816" s="121"/>
      <c r="M816" s="121"/>
      <c r="N816" s="121"/>
      <c r="O816" s="121"/>
      <c r="P816" s="121"/>
      <c r="Q816" s="121"/>
      <c r="R816" s="121"/>
      <c r="S816" s="121"/>
      <c r="T816" s="121"/>
      <c r="U816" s="121"/>
      <c r="V816" s="121"/>
      <c r="W816" s="121"/>
      <c r="X816" s="121"/>
      <c r="Y816" s="121"/>
      <c r="Z816" s="121"/>
    </row>
    <row r="817" customFormat="false" ht="15.75" hidden="false" customHeight="false" outlineLevel="0" collapsed="false">
      <c r="A817" s="121"/>
      <c r="B817" s="121"/>
      <c r="C817" s="121"/>
      <c r="D817" s="121"/>
      <c r="E817" s="121"/>
      <c r="F817" s="121"/>
      <c r="G817" s="121"/>
      <c r="H817" s="121"/>
      <c r="I817" s="121"/>
      <c r="J817" s="121"/>
      <c r="K817" s="121"/>
      <c r="L817" s="121"/>
      <c r="M817" s="121"/>
      <c r="N817" s="121"/>
      <c r="O817" s="121"/>
      <c r="P817" s="121"/>
      <c r="Q817" s="121"/>
      <c r="R817" s="121"/>
      <c r="S817" s="121"/>
      <c r="T817" s="121"/>
      <c r="U817" s="121"/>
      <c r="V817" s="121"/>
      <c r="W817" s="121"/>
      <c r="X817" s="121"/>
      <c r="Y817" s="121"/>
      <c r="Z817" s="121"/>
    </row>
    <row r="818" customFormat="false" ht="15.75" hidden="false" customHeight="false" outlineLevel="0" collapsed="false">
      <c r="A818" s="121"/>
      <c r="B818" s="121"/>
      <c r="C818" s="121"/>
      <c r="D818" s="121"/>
      <c r="E818" s="121"/>
      <c r="F818" s="121"/>
      <c r="G818" s="121"/>
      <c r="H818" s="121"/>
      <c r="I818" s="121"/>
      <c r="J818" s="121"/>
      <c r="K818" s="121"/>
      <c r="L818" s="121"/>
      <c r="M818" s="121"/>
      <c r="N818" s="121"/>
      <c r="O818" s="121"/>
      <c r="P818" s="121"/>
      <c r="Q818" s="121"/>
      <c r="R818" s="121"/>
      <c r="S818" s="121"/>
      <c r="T818" s="121"/>
      <c r="U818" s="121"/>
      <c r="V818" s="121"/>
      <c r="W818" s="121"/>
      <c r="X818" s="121"/>
      <c r="Y818" s="121"/>
      <c r="Z818" s="121"/>
    </row>
    <row r="819" customFormat="false" ht="15.75" hidden="false" customHeight="false" outlineLevel="0" collapsed="false">
      <c r="A819" s="121"/>
      <c r="B819" s="121"/>
      <c r="C819" s="121"/>
      <c r="D819" s="121"/>
      <c r="E819" s="121"/>
      <c r="F819" s="121"/>
      <c r="G819" s="121"/>
      <c r="H819" s="121"/>
      <c r="I819" s="121"/>
      <c r="J819" s="121"/>
      <c r="K819" s="121"/>
      <c r="L819" s="121"/>
      <c r="M819" s="121"/>
      <c r="N819" s="121"/>
      <c r="O819" s="121"/>
      <c r="P819" s="121"/>
      <c r="Q819" s="121"/>
      <c r="R819" s="121"/>
      <c r="S819" s="121"/>
      <c r="T819" s="121"/>
      <c r="U819" s="121"/>
      <c r="V819" s="121"/>
      <c r="W819" s="121"/>
      <c r="X819" s="121"/>
      <c r="Y819" s="121"/>
      <c r="Z819" s="121"/>
    </row>
    <row r="820" customFormat="false" ht="15.75" hidden="false" customHeight="false" outlineLevel="0" collapsed="false">
      <c r="A820" s="121"/>
      <c r="B820" s="121"/>
      <c r="C820" s="121"/>
      <c r="D820" s="121"/>
      <c r="E820" s="121"/>
      <c r="F820" s="121"/>
      <c r="G820" s="121"/>
      <c r="H820" s="121"/>
      <c r="I820" s="121"/>
      <c r="J820" s="121"/>
      <c r="K820" s="121"/>
      <c r="L820" s="121"/>
      <c r="M820" s="121"/>
      <c r="N820" s="121"/>
      <c r="O820" s="121"/>
      <c r="P820" s="121"/>
      <c r="Q820" s="121"/>
      <c r="R820" s="121"/>
      <c r="S820" s="121"/>
      <c r="T820" s="121"/>
      <c r="U820" s="121"/>
      <c r="V820" s="121"/>
      <c r="W820" s="121"/>
      <c r="X820" s="121"/>
      <c r="Y820" s="121"/>
      <c r="Z820" s="121"/>
    </row>
    <row r="821" customFormat="false" ht="15.75" hidden="false" customHeight="false" outlineLevel="0" collapsed="false">
      <c r="A821" s="121"/>
      <c r="B821" s="121"/>
      <c r="C821" s="121"/>
      <c r="D821" s="121"/>
      <c r="E821" s="121"/>
      <c r="F821" s="121"/>
      <c r="G821" s="121"/>
      <c r="H821" s="121"/>
      <c r="I821" s="121"/>
      <c r="J821" s="121"/>
      <c r="K821" s="121"/>
      <c r="L821" s="121"/>
      <c r="M821" s="121"/>
      <c r="N821" s="121"/>
      <c r="O821" s="121"/>
      <c r="P821" s="121"/>
      <c r="Q821" s="121"/>
      <c r="R821" s="121"/>
      <c r="S821" s="121"/>
      <c r="T821" s="121"/>
      <c r="U821" s="121"/>
      <c r="V821" s="121"/>
      <c r="W821" s="121"/>
      <c r="X821" s="121"/>
      <c r="Y821" s="121"/>
      <c r="Z821" s="121"/>
    </row>
    <row r="822" customFormat="false" ht="15.75" hidden="false" customHeight="false" outlineLevel="0" collapsed="false">
      <c r="A822" s="121"/>
      <c r="B822" s="121"/>
      <c r="C822" s="121"/>
      <c r="D822" s="121"/>
      <c r="E822" s="121"/>
      <c r="F822" s="121"/>
      <c r="G822" s="121"/>
      <c r="H822" s="121"/>
      <c r="I822" s="121"/>
      <c r="J822" s="121"/>
      <c r="K822" s="121"/>
      <c r="L822" s="121"/>
      <c r="M822" s="121"/>
      <c r="N822" s="121"/>
      <c r="O822" s="121"/>
      <c r="P822" s="121"/>
      <c r="Q822" s="121"/>
      <c r="R822" s="121"/>
      <c r="S822" s="121"/>
      <c r="T822" s="121"/>
      <c r="U822" s="121"/>
      <c r="V822" s="121"/>
      <c r="W822" s="121"/>
      <c r="X822" s="121"/>
      <c r="Y822" s="121"/>
      <c r="Z822" s="121"/>
    </row>
    <row r="823" customFormat="false" ht="15.75" hidden="false" customHeight="false" outlineLevel="0" collapsed="false">
      <c r="A823" s="121"/>
      <c r="B823" s="121"/>
      <c r="C823" s="121"/>
      <c r="D823" s="121"/>
      <c r="E823" s="121"/>
      <c r="F823" s="121"/>
      <c r="G823" s="121"/>
      <c r="H823" s="121"/>
      <c r="I823" s="121"/>
      <c r="J823" s="121"/>
      <c r="K823" s="121"/>
      <c r="L823" s="121"/>
      <c r="M823" s="121"/>
      <c r="N823" s="121"/>
      <c r="O823" s="121"/>
      <c r="P823" s="121"/>
      <c r="Q823" s="121"/>
      <c r="R823" s="121"/>
      <c r="S823" s="121"/>
      <c r="T823" s="121"/>
      <c r="U823" s="121"/>
      <c r="V823" s="121"/>
      <c r="W823" s="121"/>
      <c r="X823" s="121"/>
      <c r="Y823" s="121"/>
      <c r="Z823" s="121"/>
    </row>
    <row r="824" customFormat="false" ht="15.75" hidden="false" customHeight="false" outlineLevel="0" collapsed="false">
      <c r="A824" s="121"/>
      <c r="B824" s="121"/>
      <c r="C824" s="121"/>
      <c r="D824" s="121"/>
      <c r="E824" s="121"/>
      <c r="F824" s="121"/>
      <c r="G824" s="121"/>
      <c r="H824" s="121"/>
      <c r="I824" s="121"/>
      <c r="J824" s="121"/>
      <c r="K824" s="121"/>
      <c r="L824" s="121"/>
      <c r="M824" s="121"/>
      <c r="N824" s="121"/>
      <c r="O824" s="121"/>
      <c r="P824" s="121"/>
      <c r="Q824" s="121"/>
      <c r="R824" s="121"/>
      <c r="S824" s="121"/>
      <c r="T824" s="121"/>
      <c r="U824" s="121"/>
      <c r="V824" s="121"/>
      <c r="W824" s="121"/>
      <c r="X824" s="121"/>
      <c r="Y824" s="121"/>
      <c r="Z824" s="121"/>
    </row>
    <row r="825" customFormat="false" ht="15.75" hidden="false" customHeight="false" outlineLevel="0" collapsed="false">
      <c r="A825" s="121"/>
      <c r="B825" s="121"/>
      <c r="C825" s="121"/>
      <c r="D825" s="121"/>
      <c r="E825" s="121"/>
      <c r="F825" s="121"/>
      <c r="G825" s="121"/>
      <c r="H825" s="121"/>
      <c r="I825" s="121"/>
      <c r="J825" s="121"/>
      <c r="K825" s="121"/>
      <c r="L825" s="121"/>
      <c r="M825" s="121"/>
      <c r="N825" s="121"/>
      <c r="O825" s="121"/>
      <c r="P825" s="121"/>
      <c r="Q825" s="121"/>
      <c r="R825" s="121"/>
      <c r="S825" s="121"/>
      <c r="T825" s="121"/>
      <c r="U825" s="121"/>
      <c r="V825" s="121"/>
      <c r="W825" s="121"/>
      <c r="X825" s="121"/>
      <c r="Y825" s="121"/>
      <c r="Z825" s="121"/>
    </row>
    <row r="826" customFormat="false" ht="15.75" hidden="false" customHeight="false" outlineLevel="0" collapsed="false">
      <c r="A826" s="121"/>
      <c r="B826" s="121"/>
      <c r="C826" s="121"/>
      <c r="D826" s="121"/>
      <c r="E826" s="121"/>
      <c r="F826" s="121"/>
      <c r="G826" s="121"/>
      <c r="H826" s="121"/>
      <c r="I826" s="121"/>
      <c r="J826" s="121"/>
      <c r="K826" s="121"/>
      <c r="L826" s="121"/>
      <c r="M826" s="121"/>
      <c r="N826" s="121"/>
      <c r="O826" s="121"/>
      <c r="P826" s="121"/>
      <c r="Q826" s="121"/>
      <c r="R826" s="121"/>
      <c r="S826" s="121"/>
      <c r="T826" s="121"/>
      <c r="U826" s="121"/>
      <c r="V826" s="121"/>
      <c r="W826" s="121"/>
      <c r="X826" s="121"/>
      <c r="Y826" s="121"/>
      <c r="Z826" s="121"/>
    </row>
    <row r="827" customFormat="false" ht="15.75" hidden="false" customHeight="false" outlineLevel="0" collapsed="false">
      <c r="A827" s="121"/>
      <c r="B827" s="121"/>
      <c r="C827" s="121"/>
      <c r="D827" s="121"/>
      <c r="E827" s="121"/>
      <c r="F827" s="121"/>
      <c r="G827" s="121"/>
      <c r="H827" s="121"/>
      <c r="I827" s="121"/>
      <c r="J827" s="121"/>
      <c r="K827" s="121"/>
      <c r="L827" s="121"/>
      <c r="M827" s="121"/>
      <c r="N827" s="121"/>
      <c r="O827" s="121"/>
      <c r="P827" s="121"/>
      <c r="Q827" s="121"/>
      <c r="R827" s="121"/>
      <c r="S827" s="121"/>
      <c r="T827" s="121"/>
      <c r="U827" s="121"/>
      <c r="V827" s="121"/>
      <c r="W827" s="121"/>
      <c r="X827" s="121"/>
      <c r="Y827" s="121"/>
      <c r="Z827" s="121"/>
    </row>
    <row r="828" customFormat="false" ht="15.75" hidden="false" customHeight="false" outlineLevel="0" collapsed="false">
      <c r="A828" s="121"/>
      <c r="B828" s="121"/>
      <c r="C828" s="121"/>
      <c r="D828" s="121"/>
      <c r="E828" s="121"/>
      <c r="F828" s="121"/>
      <c r="G828" s="121"/>
      <c r="H828" s="121"/>
      <c r="I828" s="121"/>
      <c r="J828" s="121"/>
      <c r="K828" s="121"/>
      <c r="L828" s="121"/>
      <c r="M828" s="121"/>
      <c r="N828" s="121"/>
      <c r="O828" s="121"/>
      <c r="P828" s="121"/>
      <c r="Q828" s="121"/>
      <c r="R828" s="121"/>
      <c r="S828" s="121"/>
      <c r="T828" s="121"/>
      <c r="U828" s="121"/>
      <c r="V828" s="121"/>
      <c r="W828" s="121"/>
      <c r="X828" s="121"/>
      <c r="Y828" s="121"/>
      <c r="Z828" s="121"/>
    </row>
    <row r="829" customFormat="false" ht="15.75" hidden="false" customHeight="false" outlineLevel="0" collapsed="false">
      <c r="A829" s="121"/>
      <c r="B829" s="121"/>
      <c r="C829" s="121"/>
      <c r="D829" s="121"/>
      <c r="E829" s="121"/>
      <c r="F829" s="121"/>
      <c r="G829" s="121"/>
      <c r="H829" s="121"/>
      <c r="I829" s="121"/>
      <c r="J829" s="121"/>
      <c r="K829" s="121"/>
      <c r="L829" s="121"/>
      <c r="M829" s="121"/>
      <c r="N829" s="121"/>
      <c r="O829" s="121"/>
      <c r="P829" s="121"/>
      <c r="Q829" s="121"/>
      <c r="R829" s="121"/>
      <c r="S829" s="121"/>
      <c r="T829" s="121"/>
      <c r="U829" s="121"/>
      <c r="V829" s="121"/>
      <c r="W829" s="121"/>
      <c r="X829" s="121"/>
      <c r="Y829" s="121"/>
      <c r="Z829" s="121"/>
    </row>
    <row r="830" customFormat="false" ht="15.75" hidden="false" customHeight="false" outlineLevel="0" collapsed="false">
      <c r="A830" s="121"/>
      <c r="B830" s="121"/>
      <c r="C830" s="121"/>
      <c r="D830" s="121"/>
      <c r="E830" s="121"/>
      <c r="F830" s="121"/>
      <c r="G830" s="121"/>
      <c r="H830" s="121"/>
      <c r="I830" s="121"/>
      <c r="J830" s="121"/>
      <c r="K830" s="121"/>
      <c r="L830" s="121"/>
      <c r="M830" s="121"/>
      <c r="N830" s="121"/>
      <c r="O830" s="121"/>
      <c r="P830" s="121"/>
      <c r="Q830" s="121"/>
      <c r="R830" s="121"/>
      <c r="S830" s="121"/>
      <c r="T830" s="121"/>
      <c r="U830" s="121"/>
      <c r="V830" s="121"/>
      <c r="W830" s="121"/>
      <c r="X830" s="121"/>
      <c r="Y830" s="121"/>
      <c r="Z830" s="121"/>
    </row>
    <row r="831" customFormat="false" ht="15.75" hidden="false" customHeight="false" outlineLevel="0" collapsed="false">
      <c r="A831" s="121"/>
      <c r="B831" s="121"/>
      <c r="C831" s="121"/>
      <c r="D831" s="121"/>
      <c r="E831" s="121"/>
      <c r="F831" s="121"/>
      <c r="G831" s="121"/>
      <c r="H831" s="121"/>
      <c r="I831" s="121"/>
      <c r="J831" s="121"/>
      <c r="K831" s="121"/>
      <c r="L831" s="121"/>
      <c r="M831" s="121"/>
      <c r="N831" s="121"/>
      <c r="O831" s="121"/>
      <c r="P831" s="121"/>
      <c r="Q831" s="121"/>
      <c r="R831" s="121"/>
      <c r="S831" s="121"/>
      <c r="T831" s="121"/>
      <c r="U831" s="121"/>
      <c r="V831" s="121"/>
      <c r="W831" s="121"/>
      <c r="X831" s="121"/>
      <c r="Y831" s="121"/>
      <c r="Z831" s="121"/>
    </row>
    <row r="832" customFormat="false" ht="15.75" hidden="false" customHeight="false" outlineLevel="0" collapsed="false">
      <c r="A832" s="121"/>
      <c r="B832" s="121"/>
      <c r="C832" s="121"/>
      <c r="D832" s="121"/>
      <c r="E832" s="121"/>
      <c r="F832" s="121"/>
      <c r="G832" s="121"/>
      <c r="H832" s="121"/>
      <c r="I832" s="121"/>
      <c r="J832" s="121"/>
      <c r="K832" s="121"/>
      <c r="L832" s="121"/>
      <c r="M832" s="121"/>
      <c r="N832" s="121"/>
      <c r="O832" s="121"/>
      <c r="P832" s="121"/>
      <c r="Q832" s="121"/>
      <c r="R832" s="121"/>
      <c r="S832" s="121"/>
      <c r="T832" s="121"/>
      <c r="U832" s="121"/>
      <c r="V832" s="121"/>
      <c r="W832" s="121"/>
      <c r="X832" s="121"/>
      <c r="Y832" s="121"/>
      <c r="Z832" s="121"/>
    </row>
    <row r="833" customFormat="false" ht="15.75" hidden="false" customHeight="false" outlineLevel="0" collapsed="false">
      <c r="A833" s="121"/>
      <c r="B833" s="121"/>
      <c r="C833" s="121"/>
      <c r="D833" s="121"/>
      <c r="E833" s="121"/>
      <c r="F833" s="121"/>
      <c r="G833" s="121"/>
      <c r="H833" s="121"/>
      <c r="I833" s="121"/>
      <c r="J833" s="121"/>
      <c r="K833" s="121"/>
      <c r="L833" s="121"/>
      <c r="M833" s="121"/>
      <c r="N833" s="121"/>
      <c r="O833" s="121"/>
      <c r="P833" s="121"/>
      <c r="Q833" s="121"/>
      <c r="R833" s="121"/>
      <c r="S833" s="121"/>
      <c r="T833" s="121"/>
      <c r="U833" s="121"/>
      <c r="V833" s="121"/>
      <c r="W833" s="121"/>
      <c r="X833" s="121"/>
      <c r="Y833" s="121"/>
      <c r="Z833" s="121"/>
    </row>
    <row r="834" customFormat="false" ht="15.75" hidden="false" customHeight="false" outlineLevel="0" collapsed="false">
      <c r="A834" s="121"/>
      <c r="B834" s="121"/>
      <c r="C834" s="121"/>
      <c r="D834" s="121"/>
      <c r="E834" s="121"/>
      <c r="F834" s="121"/>
      <c r="G834" s="121"/>
      <c r="H834" s="121"/>
      <c r="I834" s="121"/>
      <c r="J834" s="121"/>
      <c r="K834" s="121"/>
      <c r="L834" s="121"/>
      <c r="M834" s="121"/>
      <c r="N834" s="121"/>
      <c r="O834" s="121"/>
      <c r="P834" s="121"/>
      <c r="Q834" s="121"/>
      <c r="R834" s="121"/>
      <c r="S834" s="121"/>
      <c r="T834" s="121"/>
      <c r="U834" s="121"/>
      <c r="V834" s="121"/>
      <c r="W834" s="121"/>
      <c r="X834" s="121"/>
      <c r="Y834" s="121"/>
      <c r="Z834" s="121"/>
    </row>
    <row r="835" customFormat="false" ht="15.75" hidden="false" customHeight="false" outlineLevel="0" collapsed="false">
      <c r="A835" s="121"/>
      <c r="B835" s="121"/>
      <c r="C835" s="121"/>
      <c r="D835" s="121"/>
      <c r="E835" s="121"/>
      <c r="F835" s="121"/>
      <c r="G835" s="121"/>
      <c r="H835" s="121"/>
      <c r="I835" s="121"/>
      <c r="J835" s="121"/>
      <c r="K835" s="121"/>
      <c r="L835" s="121"/>
      <c r="M835" s="121"/>
      <c r="N835" s="121"/>
      <c r="O835" s="121"/>
      <c r="P835" s="121"/>
      <c r="Q835" s="121"/>
      <c r="R835" s="121"/>
      <c r="S835" s="121"/>
      <c r="T835" s="121"/>
      <c r="U835" s="121"/>
      <c r="V835" s="121"/>
      <c r="W835" s="121"/>
      <c r="X835" s="121"/>
      <c r="Y835" s="121"/>
      <c r="Z835" s="121"/>
    </row>
    <row r="836" customFormat="false" ht="15.75" hidden="false" customHeight="false" outlineLevel="0" collapsed="false">
      <c r="A836" s="121"/>
      <c r="B836" s="121"/>
      <c r="C836" s="121"/>
      <c r="D836" s="121"/>
      <c r="E836" s="121"/>
      <c r="F836" s="121"/>
      <c r="G836" s="121"/>
      <c r="H836" s="121"/>
      <c r="I836" s="121"/>
      <c r="J836" s="121"/>
      <c r="K836" s="121"/>
      <c r="L836" s="121"/>
      <c r="M836" s="121"/>
      <c r="N836" s="121"/>
      <c r="O836" s="121"/>
      <c r="P836" s="121"/>
      <c r="Q836" s="121"/>
      <c r="R836" s="121"/>
      <c r="S836" s="121"/>
      <c r="T836" s="121"/>
      <c r="U836" s="121"/>
      <c r="V836" s="121"/>
      <c r="W836" s="121"/>
      <c r="X836" s="121"/>
      <c r="Y836" s="121"/>
      <c r="Z836" s="121"/>
    </row>
    <row r="837" customFormat="false" ht="15.75" hidden="false" customHeight="false" outlineLevel="0" collapsed="false">
      <c r="A837" s="121"/>
      <c r="B837" s="121"/>
      <c r="C837" s="121"/>
      <c r="D837" s="121"/>
      <c r="E837" s="121"/>
      <c r="F837" s="121"/>
      <c r="G837" s="121"/>
      <c r="H837" s="121"/>
      <c r="I837" s="121"/>
      <c r="J837" s="121"/>
      <c r="K837" s="121"/>
      <c r="L837" s="121"/>
      <c r="M837" s="121"/>
      <c r="N837" s="121"/>
      <c r="O837" s="121"/>
      <c r="P837" s="121"/>
      <c r="Q837" s="121"/>
      <c r="R837" s="121"/>
      <c r="S837" s="121"/>
      <c r="T837" s="121"/>
      <c r="U837" s="121"/>
      <c r="V837" s="121"/>
      <c r="W837" s="121"/>
      <c r="X837" s="121"/>
      <c r="Y837" s="121"/>
      <c r="Z837" s="121"/>
    </row>
    <row r="838" customFormat="false" ht="15.75" hidden="false" customHeight="false" outlineLevel="0" collapsed="false">
      <c r="A838" s="121"/>
      <c r="B838" s="121"/>
      <c r="C838" s="121"/>
      <c r="D838" s="121"/>
      <c r="E838" s="121"/>
      <c r="F838" s="121"/>
      <c r="G838" s="121"/>
      <c r="H838" s="121"/>
      <c r="I838" s="121"/>
      <c r="J838" s="121"/>
      <c r="K838" s="121"/>
      <c r="L838" s="121"/>
      <c r="M838" s="121"/>
      <c r="N838" s="121"/>
      <c r="O838" s="121"/>
      <c r="P838" s="121"/>
      <c r="Q838" s="121"/>
      <c r="R838" s="121"/>
      <c r="S838" s="121"/>
      <c r="T838" s="121"/>
      <c r="U838" s="121"/>
      <c r="V838" s="121"/>
      <c r="W838" s="121"/>
      <c r="X838" s="121"/>
      <c r="Y838" s="121"/>
      <c r="Z838" s="121"/>
    </row>
    <row r="839" customFormat="false" ht="15.75" hidden="false" customHeight="false" outlineLevel="0" collapsed="false">
      <c r="A839" s="121"/>
      <c r="B839" s="121"/>
      <c r="C839" s="121"/>
      <c r="D839" s="121"/>
      <c r="E839" s="121"/>
      <c r="F839" s="121"/>
      <c r="G839" s="121"/>
      <c r="H839" s="121"/>
      <c r="I839" s="121"/>
      <c r="J839" s="121"/>
      <c r="K839" s="121"/>
      <c r="L839" s="121"/>
      <c r="M839" s="121"/>
      <c r="N839" s="121"/>
      <c r="O839" s="121"/>
      <c r="P839" s="121"/>
      <c r="Q839" s="121"/>
      <c r="R839" s="121"/>
      <c r="S839" s="121"/>
      <c r="T839" s="121"/>
      <c r="U839" s="121"/>
      <c r="V839" s="121"/>
      <c r="W839" s="121"/>
      <c r="X839" s="121"/>
      <c r="Y839" s="121"/>
      <c r="Z839" s="121"/>
    </row>
    <row r="840" customFormat="false" ht="15.75" hidden="false" customHeight="false" outlineLevel="0" collapsed="false">
      <c r="A840" s="121"/>
      <c r="B840" s="121"/>
      <c r="C840" s="121"/>
      <c r="D840" s="121"/>
      <c r="E840" s="121"/>
      <c r="F840" s="121"/>
      <c r="G840" s="121"/>
      <c r="H840" s="121"/>
      <c r="I840" s="121"/>
      <c r="J840" s="121"/>
      <c r="K840" s="121"/>
      <c r="L840" s="121"/>
      <c r="M840" s="121"/>
      <c r="N840" s="121"/>
      <c r="O840" s="121"/>
      <c r="P840" s="121"/>
      <c r="Q840" s="121"/>
      <c r="R840" s="121"/>
      <c r="S840" s="121"/>
      <c r="T840" s="121"/>
      <c r="U840" s="121"/>
      <c r="V840" s="121"/>
      <c r="W840" s="121"/>
      <c r="X840" s="121"/>
      <c r="Y840" s="121"/>
      <c r="Z840" s="121"/>
    </row>
    <row r="841" customFormat="false" ht="15.75" hidden="false" customHeight="false" outlineLevel="0" collapsed="false">
      <c r="A841" s="121"/>
      <c r="B841" s="121"/>
      <c r="C841" s="121"/>
      <c r="D841" s="121"/>
      <c r="E841" s="121"/>
      <c r="F841" s="121"/>
      <c r="G841" s="121"/>
      <c r="H841" s="121"/>
      <c r="I841" s="121"/>
      <c r="J841" s="121"/>
      <c r="K841" s="121"/>
      <c r="L841" s="121"/>
      <c r="M841" s="121"/>
      <c r="N841" s="121"/>
      <c r="O841" s="121"/>
      <c r="P841" s="121"/>
      <c r="Q841" s="121"/>
      <c r="R841" s="121"/>
      <c r="S841" s="121"/>
      <c r="T841" s="121"/>
      <c r="U841" s="121"/>
      <c r="V841" s="121"/>
      <c r="W841" s="121"/>
      <c r="X841" s="121"/>
      <c r="Y841" s="121"/>
      <c r="Z841" s="121"/>
    </row>
    <row r="842" customFormat="false" ht="15.75" hidden="false" customHeight="false" outlineLevel="0" collapsed="false">
      <c r="A842" s="121"/>
      <c r="B842" s="121"/>
      <c r="C842" s="121"/>
      <c r="D842" s="121"/>
      <c r="E842" s="121"/>
      <c r="F842" s="121"/>
      <c r="G842" s="121"/>
      <c r="H842" s="121"/>
      <c r="I842" s="121"/>
      <c r="J842" s="121"/>
      <c r="K842" s="121"/>
      <c r="L842" s="121"/>
      <c r="M842" s="121"/>
      <c r="N842" s="121"/>
      <c r="O842" s="121"/>
      <c r="P842" s="121"/>
      <c r="Q842" s="121"/>
      <c r="R842" s="121"/>
      <c r="S842" s="121"/>
      <c r="T842" s="121"/>
      <c r="U842" s="121"/>
      <c r="V842" s="121"/>
      <c r="W842" s="121"/>
      <c r="X842" s="121"/>
      <c r="Y842" s="121"/>
      <c r="Z842" s="121"/>
    </row>
    <row r="843" customFormat="false" ht="15.75" hidden="false" customHeight="false" outlineLevel="0" collapsed="false">
      <c r="A843" s="121"/>
      <c r="B843" s="121"/>
      <c r="C843" s="121"/>
      <c r="D843" s="121"/>
      <c r="E843" s="121"/>
      <c r="F843" s="121"/>
      <c r="G843" s="121"/>
      <c r="H843" s="121"/>
      <c r="I843" s="121"/>
      <c r="J843" s="121"/>
      <c r="K843" s="121"/>
      <c r="L843" s="121"/>
      <c r="M843" s="121"/>
      <c r="N843" s="121"/>
      <c r="O843" s="121"/>
      <c r="P843" s="121"/>
      <c r="Q843" s="121"/>
      <c r="R843" s="121"/>
      <c r="S843" s="121"/>
      <c r="T843" s="121"/>
      <c r="U843" s="121"/>
      <c r="V843" s="121"/>
      <c r="W843" s="121"/>
      <c r="X843" s="121"/>
      <c r="Y843" s="121"/>
      <c r="Z843" s="121"/>
    </row>
    <row r="844" customFormat="false" ht="15.75" hidden="false" customHeight="false" outlineLevel="0" collapsed="false">
      <c r="A844" s="121"/>
      <c r="B844" s="121"/>
      <c r="C844" s="121"/>
      <c r="D844" s="121"/>
      <c r="E844" s="121"/>
      <c r="F844" s="121"/>
      <c r="G844" s="121"/>
      <c r="H844" s="121"/>
      <c r="I844" s="121"/>
      <c r="J844" s="121"/>
      <c r="K844" s="121"/>
      <c r="L844" s="121"/>
      <c r="M844" s="121"/>
      <c r="N844" s="121"/>
      <c r="O844" s="121"/>
      <c r="P844" s="121"/>
      <c r="Q844" s="121"/>
      <c r="R844" s="121"/>
      <c r="S844" s="121"/>
      <c r="T844" s="121"/>
      <c r="U844" s="121"/>
      <c r="V844" s="121"/>
      <c r="W844" s="121"/>
      <c r="X844" s="121"/>
      <c r="Y844" s="121"/>
      <c r="Z844" s="121"/>
    </row>
    <row r="845" customFormat="false" ht="15.75" hidden="false" customHeight="false" outlineLevel="0" collapsed="false">
      <c r="A845" s="121"/>
      <c r="B845" s="121"/>
      <c r="C845" s="121"/>
      <c r="D845" s="121"/>
      <c r="E845" s="121"/>
      <c r="F845" s="121"/>
      <c r="G845" s="121"/>
      <c r="H845" s="121"/>
      <c r="I845" s="121"/>
      <c r="J845" s="121"/>
      <c r="K845" s="121"/>
      <c r="L845" s="121"/>
      <c r="M845" s="121"/>
      <c r="N845" s="121"/>
      <c r="O845" s="121"/>
      <c r="P845" s="121"/>
      <c r="Q845" s="121"/>
      <c r="R845" s="121"/>
      <c r="S845" s="121"/>
      <c r="T845" s="121"/>
      <c r="U845" s="121"/>
      <c r="V845" s="121"/>
      <c r="W845" s="121"/>
      <c r="X845" s="121"/>
      <c r="Y845" s="121"/>
      <c r="Z845" s="121"/>
    </row>
    <row r="846" customFormat="false" ht="15.75" hidden="false" customHeight="false" outlineLevel="0" collapsed="false">
      <c r="A846" s="121"/>
      <c r="B846" s="121"/>
      <c r="C846" s="121"/>
      <c r="D846" s="121"/>
      <c r="E846" s="121"/>
      <c r="F846" s="121"/>
      <c r="G846" s="121"/>
      <c r="H846" s="121"/>
      <c r="I846" s="121"/>
      <c r="J846" s="121"/>
      <c r="K846" s="121"/>
      <c r="L846" s="121"/>
      <c r="M846" s="121"/>
      <c r="N846" s="121"/>
      <c r="O846" s="121"/>
      <c r="P846" s="121"/>
      <c r="Q846" s="121"/>
      <c r="R846" s="121"/>
      <c r="S846" s="121"/>
      <c r="T846" s="121"/>
      <c r="U846" s="121"/>
      <c r="V846" s="121"/>
      <c r="W846" s="121"/>
      <c r="X846" s="121"/>
      <c r="Y846" s="121"/>
      <c r="Z846" s="121"/>
    </row>
    <row r="847" customFormat="false" ht="15.75" hidden="false" customHeight="false" outlineLevel="0" collapsed="false">
      <c r="A847" s="121"/>
      <c r="B847" s="121"/>
      <c r="C847" s="121"/>
      <c r="D847" s="121"/>
      <c r="E847" s="121"/>
      <c r="F847" s="121"/>
      <c r="G847" s="121"/>
      <c r="H847" s="121"/>
      <c r="I847" s="121"/>
      <c r="J847" s="121"/>
      <c r="K847" s="121"/>
      <c r="L847" s="121"/>
      <c r="M847" s="121"/>
      <c r="N847" s="121"/>
      <c r="O847" s="121"/>
      <c r="P847" s="121"/>
      <c r="Q847" s="121"/>
      <c r="R847" s="121"/>
      <c r="S847" s="121"/>
      <c r="T847" s="121"/>
      <c r="U847" s="121"/>
      <c r="V847" s="121"/>
      <c r="W847" s="121"/>
      <c r="X847" s="121"/>
      <c r="Y847" s="121"/>
      <c r="Z847" s="121"/>
    </row>
    <row r="848" customFormat="false" ht="15.75" hidden="false" customHeight="false" outlineLevel="0" collapsed="false">
      <c r="A848" s="121"/>
      <c r="B848" s="121"/>
      <c r="C848" s="121"/>
      <c r="D848" s="121"/>
      <c r="E848" s="121"/>
      <c r="F848" s="121"/>
      <c r="G848" s="121"/>
      <c r="H848" s="121"/>
      <c r="I848" s="121"/>
      <c r="J848" s="121"/>
      <c r="K848" s="121"/>
      <c r="L848" s="121"/>
      <c r="M848" s="121"/>
      <c r="N848" s="121"/>
      <c r="O848" s="121"/>
      <c r="P848" s="121"/>
      <c r="Q848" s="121"/>
      <c r="R848" s="121"/>
      <c r="S848" s="121"/>
      <c r="T848" s="121"/>
      <c r="U848" s="121"/>
      <c r="V848" s="121"/>
      <c r="W848" s="121"/>
      <c r="X848" s="121"/>
      <c r="Y848" s="121"/>
      <c r="Z848" s="121"/>
    </row>
    <row r="849" customFormat="false" ht="15.75" hidden="false" customHeight="false" outlineLevel="0" collapsed="false">
      <c r="A849" s="121"/>
      <c r="B849" s="121"/>
      <c r="C849" s="121"/>
      <c r="D849" s="121"/>
      <c r="E849" s="121"/>
      <c r="F849" s="121"/>
      <c r="G849" s="121"/>
      <c r="H849" s="121"/>
      <c r="I849" s="121"/>
      <c r="J849" s="121"/>
      <c r="K849" s="121"/>
      <c r="L849" s="121"/>
      <c r="M849" s="121"/>
      <c r="N849" s="121"/>
      <c r="O849" s="121"/>
      <c r="P849" s="121"/>
      <c r="Q849" s="121"/>
      <c r="R849" s="121"/>
      <c r="S849" s="121"/>
      <c r="T849" s="121"/>
      <c r="U849" s="121"/>
      <c r="V849" s="121"/>
      <c r="W849" s="121"/>
      <c r="X849" s="121"/>
      <c r="Y849" s="121"/>
      <c r="Z849" s="121"/>
    </row>
    <row r="850" customFormat="false" ht="15.75" hidden="false" customHeight="false" outlineLevel="0" collapsed="false">
      <c r="A850" s="121"/>
      <c r="B850" s="121"/>
      <c r="C850" s="121"/>
      <c r="D850" s="121"/>
      <c r="E850" s="121"/>
      <c r="F850" s="121"/>
      <c r="G850" s="121"/>
      <c r="H850" s="121"/>
      <c r="I850" s="121"/>
      <c r="J850" s="121"/>
      <c r="K850" s="121"/>
      <c r="L850" s="121"/>
      <c r="M850" s="121"/>
      <c r="N850" s="121"/>
      <c r="O850" s="121"/>
      <c r="P850" s="121"/>
      <c r="Q850" s="121"/>
      <c r="R850" s="121"/>
      <c r="S850" s="121"/>
      <c r="T850" s="121"/>
      <c r="U850" s="121"/>
      <c r="V850" s="121"/>
      <c r="W850" s="121"/>
      <c r="X850" s="121"/>
      <c r="Y850" s="121"/>
      <c r="Z850" s="121"/>
    </row>
    <row r="851" customFormat="false" ht="15.75" hidden="false" customHeight="false" outlineLevel="0" collapsed="false">
      <c r="A851" s="121"/>
      <c r="B851" s="121"/>
      <c r="C851" s="121"/>
      <c r="D851" s="121"/>
      <c r="E851" s="121"/>
      <c r="F851" s="121"/>
      <c r="G851" s="121"/>
      <c r="H851" s="121"/>
      <c r="I851" s="121"/>
      <c r="J851" s="121"/>
      <c r="K851" s="121"/>
      <c r="L851" s="121"/>
      <c r="M851" s="121"/>
      <c r="N851" s="121"/>
      <c r="O851" s="121"/>
      <c r="P851" s="121"/>
      <c r="Q851" s="121"/>
      <c r="R851" s="121"/>
      <c r="S851" s="121"/>
      <c r="T851" s="121"/>
      <c r="U851" s="121"/>
      <c r="V851" s="121"/>
      <c r="W851" s="121"/>
      <c r="X851" s="121"/>
      <c r="Y851" s="121"/>
      <c r="Z851" s="121"/>
    </row>
    <row r="852" customFormat="false" ht="15.75" hidden="false" customHeight="false" outlineLevel="0" collapsed="false">
      <c r="A852" s="121"/>
      <c r="B852" s="121"/>
      <c r="C852" s="121"/>
      <c r="D852" s="121"/>
      <c r="E852" s="121"/>
      <c r="F852" s="121"/>
      <c r="G852" s="121"/>
      <c r="H852" s="121"/>
      <c r="I852" s="121"/>
      <c r="J852" s="121"/>
      <c r="K852" s="121"/>
      <c r="L852" s="121"/>
      <c r="M852" s="121"/>
      <c r="N852" s="121"/>
      <c r="O852" s="121"/>
      <c r="P852" s="121"/>
      <c r="Q852" s="121"/>
      <c r="R852" s="121"/>
      <c r="S852" s="121"/>
      <c r="T852" s="121"/>
      <c r="U852" s="121"/>
      <c r="V852" s="121"/>
      <c r="W852" s="121"/>
      <c r="X852" s="121"/>
      <c r="Y852" s="121"/>
      <c r="Z852" s="121"/>
    </row>
    <row r="853" customFormat="false" ht="15.75" hidden="false" customHeight="false" outlineLevel="0" collapsed="false">
      <c r="A853" s="121"/>
      <c r="B853" s="121"/>
      <c r="C853" s="121"/>
      <c r="D853" s="121"/>
      <c r="E853" s="121"/>
      <c r="F853" s="121"/>
      <c r="G853" s="121"/>
      <c r="H853" s="121"/>
      <c r="I853" s="121"/>
      <c r="J853" s="121"/>
      <c r="K853" s="121"/>
      <c r="L853" s="121"/>
      <c r="M853" s="121"/>
      <c r="N853" s="121"/>
      <c r="O853" s="121"/>
      <c r="P853" s="121"/>
      <c r="Q853" s="121"/>
      <c r="R853" s="121"/>
      <c r="S853" s="121"/>
      <c r="T853" s="121"/>
      <c r="U853" s="121"/>
      <c r="V853" s="121"/>
      <c r="W853" s="121"/>
      <c r="X853" s="121"/>
      <c r="Y853" s="121"/>
      <c r="Z853" s="121"/>
    </row>
    <row r="854" customFormat="false" ht="15.75" hidden="false" customHeight="false" outlineLevel="0" collapsed="false">
      <c r="A854" s="121"/>
      <c r="B854" s="121"/>
      <c r="C854" s="121"/>
      <c r="D854" s="121"/>
      <c r="E854" s="121"/>
      <c r="F854" s="121"/>
      <c r="G854" s="121"/>
      <c r="H854" s="121"/>
      <c r="I854" s="121"/>
      <c r="J854" s="121"/>
      <c r="K854" s="121"/>
      <c r="L854" s="121"/>
      <c r="M854" s="121"/>
      <c r="N854" s="121"/>
      <c r="O854" s="121"/>
      <c r="P854" s="121"/>
      <c r="Q854" s="121"/>
      <c r="R854" s="121"/>
      <c r="S854" s="121"/>
      <c r="T854" s="121"/>
      <c r="U854" s="121"/>
      <c r="V854" s="121"/>
      <c r="W854" s="121"/>
      <c r="X854" s="121"/>
      <c r="Y854" s="121"/>
      <c r="Z854" s="121"/>
    </row>
    <row r="855" customFormat="false" ht="15.75" hidden="false" customHeight="false" outlineLevel="0" collapsed="false">
      <c r="A855" s="121"/>
      <c r="B855" s="121"/>
      <c r="C855" s="121"/>
      <c r="D855" s="121"/>
      <c r="E855" s="121"/>
      <c r="F855" s="121"/>
      <c r="G855" s="121"/>
      <c r="H855" s="121"/>
      <c r="I855" s="121"/>
      <c r="J855" s="121"/>
      <c r="K855" s="121"/>
      <c r="L855" s="121"/>
      <c r="M855" s="121"/>
      <c r="N855" s="121"/>
      <c r="O855" s="121"/>
      <c r="P855" s="121"/>
      <c r="Q855" s="121"/>
      <c r="R855" s="121"/>
      <c r="S855" s="121"/>
      <c r="T855" s="121"/>
      <c r="U855" s="121"/>
      <c r="V855" s="121"/>
      <c r="W855" s="121"/>
      <c r="X855" s="121"/>
      <c r="Y855" s="121"/>
      <c r="Z855" s="121"/>
    </row>
    <row r="856" customFormat="false" ht="15.75" hidden="false" customHeight="false" outlineLevel="0" collapsed="false">
      <c r="A856" s="121"/>
      <c r="B856" s="121"/>
      <c r="C856" s="121"/>
      <c r="D856" s="121"/>
      <c r="E856" s="121"/>
      <c r="F856" s="121"/>
      <c r="G856" s="121"/>
      <c r="H856" s="121"/>
      <c r="I856" s="121"/>
      <c r="J856" s="121"/>
      <c r="K856" s="121"/>
      <c r="L856" s="121"/>
      <c r="M856" s="121"/>
      <c r="N856" s="121"/>
      <c r="O856" s="121"/>
      <c r="P856" s="121"/>
      <c r="Q856" s="121"/>
      <c r="R856" s="121"/>
      <c r="S856" s="121"/>
      <c r="T856" s="121"/>
      <c r="U856" s="121"/>
      <c r="V856" s="121"/>
      <c r="W856" s="121"/>
      <c r="X856" s="121"/>
      <c r="Y856" s="121"/>
      <c r="Z856" s="121"/>
    </row>
    <row r="857" customFormat="false" ht="15.75" hidden="false" customHeight="false" outlineLevel="0" collapsed="false">
      <c r="A857" s="121"/>
      <c r="B857" s="121"/>
      <c r="C857" s="121"/>
      <c r="D857" s="121"/>
      <c r="E857" s="121"/>
      <c r="F857" s="121"/>
      <c r="G857" s="121"/>
      <c r="H857" s="121"/>
      <c r="I857" s="121"/>
      <c r="J857" s="121"/>
      <c r="K857" s="121"/>
      <c r="L857" s="121"/>
      <c r="M857" s="121"/>
      <c r="N857" s="121"/>
      <c r="O857" s="121"/>
      <c r="P857" s="121"/>
      <c r="Q857" s="121"/>
      <c r="R857" s="121"/>
      <c r="S857" s="121"/>
      <c r="T857" s="121"/>
      <c r="U857" s="121"/>
      <c r="V857" s="121"/>
      <c r="W857" s="121"/>
      <c r="X857" s="121"/>
      <c r="Y857" s="121"/>
      <c r="Z857" s="121"/>
    </row>
    <row r="858" customFormat="false" ht="15.75" hidden="false" customHeight="false" outlineLevel="0" collapsed="false">
      <c r="A858" s="121"/>
      <c r="B858" s="121"/>
      <c r="C858" s="121"/>
      <c r="D858" s="121"/>
      <c r="E858" s="121"/>
      <c r="F858" s="121"/>
      <c r="G858" s="121"/>
      <c r="H858" s="121"/>
      <c r="I858" s="121"/>
      <c r="J858" s="121"/>
      <c r="K858" s="121"/>
      <c r="L858" s="121"/>
      <c r="M858" s="121"/>
      <c r="N858" s="121"/>
      <c r="O858" s="121"/>
      <c r="P858" s="121"/>
      <c r="Q858" s="121"/>
      <c r="R858" s="121"/>
      <c r="S858" s="121"/>
      <c r="T858" s="121"/>
      <c r="U858" s="121"/>
      <c r="V858" s="121"/>
      <c r="W858" s="121"/>
      <c r="X858" s="121"/>
      <c r="Y858" s="121"/>
      <c r="Z858" s="121"/>
    </row>
    <row r="859" customFormat="false" ht="15.75" hidden="false" customHeight="false" outlineLevel="0" collapsed="false">
      <c r="A859" s="121"/>
      <c r="B859" s="121"/>
      <c r="C859" s="121"/>
      <c r="D859" s="121"/>
      <c r="E859" s="121"/>
      <c r="F859" s="121"/>
      <c r="G859" s="121"/>
      <c r="H859" s="121"/>
      <c r="I859" s="121"/>
      <c r="J859" s="121"/>
      <c r="K859" s="121"/>
      <c r="L859" s="121"/>
      <c r="M859" s="121"/>
      <c r="N859" s="121"/>
      <c r="O859" s="121"/>
      <c r="P859" s="121"/>
      <c r="Q859" s="121"/>
      <c r="R859" s="121"/>
      <c r="S859" s="121"/>
      <c r="T859" s="121"/>
      <c r="U859" s="121"/>
      <c r="V859" s="121"/>
      <c r="W859" s="121"/>
      <c r="X859" s="121"/>
      <c r="Y859" s="121"/>
      <c r="Z859" s="121"/>
    </row>
    <row r="860" customFormat="false" ht="15.75" hidden="false" customHeight="false" outlineLevel="0" collapsed="false">
      <c r="A860" s="121"/>
      <c r="B860" s="121"/>
      <c r="C860" s="121"/>
      <c r="D860" s="121"/>
      <c r="E860" s="121"/>
      <c r="F860" s="121"/>
      <c r="G860" s="121"/>
      <c r="H860" s="121"/>
      <c r="I860" s="121"/>
      <c r="J860" s="121"/>
      <c r="K860" s="121"/>
      <c r="L860" s="121"/>
      <c r="M860" s="121"/>
      <c r="N860" s="121"/>
      <c r="O860" s="121"/>
      <c r="P860" s="121"/>
      <c r="Q860" s="121"/>
      <c r="R860" s="121"/>
      <c r="S860" s="121"/>
      <c r="T860" s="121"/>
      <c r="U860" s="121"/>
      <c r="V860" s="121"/>
      <c r="W860" s="121"/>
      <c r="X860" s="121"/>
      <c r="Y860" s="121"/>
      <c r="Z860" s="121"/>
    </row>
    <row r="861" customFormat="false" ht="15.75" hidden="false" customHeight="false" outlineLevel="0" collapsed="false">
      <c r="A861" s="121"/>
      <c r="B861" s="121"/>
      <c r="C861" s="121"/>
      <c r="D861" s="121"/>
      <c r="E861" s="121"/>
      <c r="F861" s="121"/>
      <c r="G861" s="121"/>
      <c r="H861" s="121"/>
      <c r="I861" s="121"/>
      <c r="J861" s="121"/>
      <c r="K861" s="121"/>
      <c r="L861" s="121"/>
      <c r="M861" s="121"/>
      <c r="N861" s="121"/>
      <c r="O861" s="121"/>
      <c r="P861" s="121"/>
      <c r="Q861" s="121"/>
      <c r="R861" s="121"/>
      <c r="S861" s="121"/>
      <c r="T861" s="121"/>
      <c r="U861" s="121"/>
      <c r="V861" s="121"/>
      <c r="W861" s="121"/>
      <c r="X861" s="121"/>
      <c r="Y861" s="121"/>
      <c r="Z861" s="121"/>
    </row>
    <row r="862" customFormat="false" ht="15.75" hidden="false" customHeight="false" outlineLevel="0" collapsed="false">
      <c r="A862" s="121"/>
      <c r="B862" s="121"/>
      <c r="C862" s="121"/>
      <c r="D862" s="121"/>
      <c r="E862" s="121"/>
      <c r="F862" s="121"/>
      <c r="G862" s="121"/>
      <c r="H862" s="121"/>
      <c r="I862" s="121"/>
      <c r="J862" s="121"/>
      <c r="K862" s="121"/>
      <c r="L862" s="121"/>
      <c r="M862" s="121"/>
      <c r="N862" s="121"/>
      <c r="O862" s="121"/>
      <c r="P862" s="121"/>
      <c r="Q862" s="121"/>
      <c r="R862" s="121"/>
      <c r="S862" s="121"/>
      <c r="T862" s="121"/>
      <c r="U862" s="121"/>
      <c r="V862" s="121"/>
      <c r="W862" s="121"/>
      <c r="X862" s="121"/>
      <c r="Y862" s="121"/>
      <c r="Z862" s="121"/>
    </row>
    <row r="863" customFormat="false" ht="15.75" hidden="false" customHeight="false" outlineLevel="0" collapsed="false">
      <c r="A863" s="121"/>
      <c r="B863" s="121"/>
      <c r="C863" s="121"/>
      <c r="D863" s="121"/>
      <c r="E863" s="121"/>
      <c r="F863" s="121"/>
      <c r="G863" s="121"/>
      <c r="H863" s="121"/>
      <c r="I863" s="121"/>
      <c r="J863" s="121"/>
      <c r="K863" s="121"/>
      <c r="L863" s="121"/>
      <c r="M863" s="121"/>
      <c r="N863" s="121"/>
      <c r="O863" s="121"/>
      <c r="P863" s="121"/>
      <c r="Q863" s="121"/>
      <c r="R863" s="121"/>
      <c r="S863" s="121"/>
      <c r="T863" s="121"/>
      <c r="U863" s="121"/>
      <c r="V863" s="121"/>
      <c r="W863" s="121"/>
      <c r="X863" s="121"/>
      <c r="Y863" s="121"/>
      <c r="Z863" s="121"/>
    </row>
    <row r="864" customFormat="false" ht="15.75" hidden="false" customHeight="false" outlineLevel="0" collapsed="false">
      <c r="A864" s="121"/>
      <c r="B864" s="121"/>
      <c r="C864" s="121"/>
      <c r="D864" s="121"/>
      <c r="E864" s="121"/>
      <c r="F864" s="121"/>
      <c r="G864" s="121"/>
      <c r="H864" s="121"/>
      <c r="I864" s="121"/>
      <c r="J864" s="121"/>
      <c r="K864" s="121"/>
      <c r="L864" s="121"/>
      <c r="M864" s="121"/>
      <c r="N864" s="121"/>
      <c r="O864" s="121"/>
      <c r="P864" s="121"/>
      <c r="Q864" s="121"/>
      <c r="R864" s="121"/>
      <c r="S864" s="121"/>
      <c r="T864" s="121"/>
      <c r="U864" s="121"/>
      <c r="V864" s="121"/>
      <c r="W864" s="121"/>
      <c r="X864" s="121"/>
      <c r="Y864" s="121"/>
      <c r="Z864" s="121"/>
    </row>
    <row r="865" customFormat="false" ht="15.75" hidden="false" customHeight="false" outlineLevel="0" collapsed="false">
      <c r="A865" s="121"/>
      <c r="B865" s="121"/>
      <c r="C865" s="121"/>
      <c r="D865" s="121"/>
      <c r="E865" s="121"/>
      <c r="F865" s="121"/>
      <c r="G865" s="121"/>
      <c r="H865" s="121"/>
      <c r="I865" s="121"/>
      <c r="J865" s="121"/>
      <c r="K865" s="121"/>
      <c r="L865" s="121"/>
      <c r="M865" s="121"/>
      <c r="N865" s="121"/>
      <c r="O865" s="121"/>
      <c r="P865" s="121"/>
      <c r="Q865" s="121"/>
      <c r="R865" s="121"/>
      <c r="S865" s="121"/>
      <c r="T865" s="121"/>
      <c r="U865" s="121"/>
      <c r="V865" s="121"/>
      <c r="W865" s="121"/>
      <c r="X865" s="121"/>
      <c r="Y865" s="121"/>
      <c r="Z865" s="121"/>
    </row>
    <row r="866" customFormat="false" ht="15.75" hidden="false" customHeight="false" outlineLevel="0" collapsed="false">
      <c r="A866" s="121"/>
      <c r="B866" s="121"/>
      <c r="C866" s="121"/>
      <c r="D866" s="121"/>
      <c r="E866" s="121"/>
      <c r="F866" s="121"/>
      <c r="G866" s="121"/>
      <c r="H866" s="121"/>
      <c r="I866" s="121"/>
      <c r="J866" s="121"/>
      <c r="K866" s="121"/>
      <c r="L866" s="121"/>
      <c r="M866" s="121"/>
      <c r="N866" s="121"/>
      <c r="O866" s="121"/>
      <c r="P866" s="121"/>
      <c r="Q866" s="121"/>
      <c r="R866" s="121"/>
      <c r="S866" s="121"/>
      <c r="T866" s="121"/>
      <c r="U866" s="121"/>
      <c r="V866" s="121"/>
      <c r="W866" s="121"/>
      <c r="X866" s="121"/>
      <c r="Y866" s="121"/>
      <c r="Z866" s="121"/>
    </row>
    <row r="867" customFormat="false" ht="15.75" hidden="false" customHeight="false" outlineLevel="0" collapsed="false">
      <c r="A867" s="121"/>
      <c r="B867" s="121"/>
      <c r="C867" s="121"/>
      <c r="D867" s="121"/>
      <c r="E867" s="121"/>
      <c r="F867" s="121"/>
      <c r="G867" s="121"/>
      <c r="H867" s="121"/>
      <c r="I867" s="121"/>
      <c r="J867" s="121"/>
      <c r="K867" s="121"/>
      <c r="L867" s="121"/>
      <c r="M867" s="121"/>
      <c r="N867" s="121"/>
      <c r="O867" s="121"/>
      <c r="P867" s="121"/>
      <c r="Q867" s="121"/>
      <c r="R867" s="121"/>
      <c r="S867" s="121"/>
      <c r="T867" s="121"/>
      <c r="U867" s="121"/>
      <c r="V867" s="121"/>
      <c r="W867" s="121"/>
      <c r="X867" s="121"/>
      <c r="Y867" s="121"/>
      <c r="Z867" s="121"/>
    </row>
    <row r="868" customFormat="false" ht="15.75" hidden="false" customHeight="false" outlineLevel="0" collapsed="false">
      <c r="A868" s="121"/>
      <c r="B868" s="121"/>
      <c r="C868" s="121"/>
      <c r="D868" s="121"/>
      <c r="E868" s="121"/>
      <c r="F868" s="121"/>
      <c r="G868" s="121"/>
      <c r="H868" s="121"/>
      <c r="I868" s="121"/>
      <c r="J868" s="121"/>
      <c r="K868" s="121"/>
      <c r="L868" s="121"/>
      <c r="M868" s="121"/>
      <c r="N868" s="121"/>
      <c r="O868" s="121"/>
      <c r="P868" s="121"/>
      <c r="Q868" s="121"/>
      <c r="R868" s="121"/>
      <c r="S868" s="121"/>
      <c r="T868" s="121"/>
      <c r="U868" s="121"/>
      <c r="V868" s="121"/>
      <c r="W868" s="121"/>
      <c r="X868" s="121"/>
      <c r="Y868" s="121"/>
      <c r="Z868" s="121"/>
    </row>
    <row r="869" customFormat="false" ht="15.75" hidden="false" customHeight="false" outlineLevel="0" collapsed="false">
      <c r="A869" s="121"/>
      <c r="B869" s="121"/>
      <c r="C869" s="121"/>
      <c r="D869" s="121"/>
      <c r="E869" s="121"/>
      <c r="F869" s="121"/>
      <c r="G869" s="121"/>
      <c r="H869" s="121"/>
      <c r="I869" s="121"/>
      <c r="J869" s="121"/>
      <c r="K869" s="121"/>
      <c r="L869" s="121"/>
      <c r="M869" s="121"/>
      <c r="N869" s="121"/>
      <c r="O869" s="121"/>
      <c r="P869" s="121"/>
      <c r="Q869" s="121"/>
      <c r="R869" s="121"/>
      <c r="S869" s="121"/>
      <c r="T869" s="121"/>
      <c r="U869" s="121"/>
      <c r="V869" s="121"/>
      <c r="W869" s="121"/>
      <c r="X869" s="121"/>
      <c r="Y869" s="121"/>
      <c r="Z869" s="121"/>
    </row>
    <row r="870" customFormat="false" ht="15.75" hidden="false" customHeight="false" outlineLevel="0" collapsed="false">
      <c r="A870" s="121"/>
      <c r="B870" s="121"/>
      <c r="C870" s="121"/>
      <c r="D870" s="121"/>
      <c r="E870" s="121"/>
      <c r="F870" s="121"/>
      <c r="G870" s="121"/>
      <c r="H870" s="121"/>
      <c r="I870" s="121"/>
      <c r="J870" s="121"/>
      <c r="K870" s="121"/>
      <c r="L870" s="121"/>
      <c r="M870" s="121"/>
      <c r="N870" s="121"/>
      <c r="O870" s="121"/>
      <c r="P870" s="121"/>
      <c r="Q870" s="121"/>
      <c r="R870" s="121"/>
      <c r="S870" s="121"/>
      <c r="T870" s="121"/>
      <c r="U870" s="121"/>
      <c r="V870" s="121"/>
      <c r="W870" s="121"/>
      <c r="X870" s="121"/>
      <c r="Y870" s="121"/>
      <c r="Z870" s="121"/>
    </row>
    <row r="871" customFormat="false" ht="15.75" hidden="false" customHeight="false" outlineLevel="0" collapsed="false">
      <c r="A871" s="121"/>
      <c r="B871" s="121"/>
      <c r="C871" s="121"/>
      <c r="D871" s="121"/>
      <c r="E871" s="121"/>
      <c r="F871" s="121"/>
      <c r="G871" s="121"/>
      <c r="H871" s="121"/>
      <c r="I871" s="121"/>
      <c r="J871" s="121"/>
      <c r="K871" s="121"/>
      <c r="L871" s="121"/>
      <c r="M871" s="121"/>
      <c r="N871" s="121"/>
      <c r="O871" s="121"/>
      <c r="P871" s="121"/>
      <c r="Q871" s="121"/>
      <c r="R871" s="121"/>
      <c r="S871" s="121"/>
      <c r="T871" s="121"/>
      <c r="U871" s="121"/>
      <c r="V871" s="121"/>
      <c r="W871" s="121"/>
      <c r="X871" s="121"/>
      <c r="Y871" s="121"/>
      <c r="Z871" s="121"/>
    </row>
    <row r="872" customFormat="false" ht="15.75" hidden="false" customHeight="false" outlineLevel="0" collapsed="false">
      <c r="A872" s="121"/>
      <c r="B872" s="121"/>
      <c r="C872" s="121"/>
      <c r="D872" s="121"/>
      <c r="E872" s="121"/>
      <c r="F872" s="121"/>
      <c r="G872" s="121"/>
      <c r="H872" s="121"/>
      <c r="I872" s="121"/>
      <c r="J872" s="121"/>
      <c r="K872" s="121"/>
      <c r="L872" s="121"/>
      <c r="M872" s="121"/>
      <c r="N872" s="121"/>
      <c r="O872" s="121"/>
      <c r="P872" s="121"/>
      <c r="Q872" s="121"/>
      <c r="R872" s="121"/>
      <c r="S872" s="121"/>
      <c r="T872" s="121"/>
      <c r="U872" s="121"/>
      <c r="V872" s="121"/>
      <c r="W872" s="121"/>
      <c r="X872" s="121"/>
      <c r="Y872" s="121"/>
      <c r="Z872" s="121"/>
    </row>
    <row r="873" customFormat="false" ht="15.75" hidden="false" customHeight="false" outlineLevel="0" collapsed="false">
      <c r="A873" s="121"/>
      <c r="B873" s="121"/>
      <c r="C873" s="121"/>
      <c r="D873" s="121"/>
      <c r="E873" s="121"/>
      <c r="F873" s="121"/>
      <c r="G873" s="121"/>
      <c r="H873" s="121"/>
      <c r="I873" s="121"/>
      <c r="J873" s="121"/>
      <c r="K873" s="121"/>
      <c r="L873" s="121"/>
      <c r="M873" s="121"/>
      <c r="N873" s="121"/>
      <c r="O873" s="121"/>
      <c r="P873" s="121"/>
      <c r="Q873" s="121"/>
      <c r="R873" s="121"/>
      <c r="S873" s="121"/>
      <c r="T873" s="121"/>
      <c r="U873" s="121"/>
      <c r="V873" s="121"/>
      <c r="W873" s="121"/>
      <c r="X873" s="121"/>
      <c r="Y873" s="121"/>
      <c r="Z873" s="121"/>
    </row>
    <row r="874" customFormat="false" ht="15.75" hidden="false" customHeight="false" outlineLevel="0" collapsed="false">
      <c r="A874" s="121"/>
      <c r="B874" s="121"/>
      <c r="C874" s="121"/>
      <c r="D874" s="121"/>
      <c r="E874" s="121"/>
      <c r="F874" s="121"/>
      <c r="G874" s="121"/>
      <c r="H874" s="121"/>
      <c r="I874" s="121"/>
      <c r="J874" s="121"/>
      <c r="K874" s="121"/>
      <c r="L874" s="121"/>
      <c r="M874" s="121"/>
      <c r="N874" s="121"/>
      <c r="O874" s="121"/>
      <c r="P874" s="121"/>
      <c r="Q874" s="121"/>
      <c r="R874" s="121"/>
      <c r="S874" s="121"/>
      <c r="T874" s="121"/>
      <c r="U874" s="121"/>
      <c r="V874" s="121"/>
      <c r="W874" s="121"/>
      <c r="X874" s="121"/>
      <c r="Y874" s="121"/>
      <c r="Z874" s="121"/>
    </row>
    <row r="875" customFormat="false" ht="15.75" hidden="false" customHeight="false" outlineLevel="0" collapsed="false">
      <c r="A875" s="121"/>
      <c r="B875" s="121"/>
      <c r="C875" s="121"/>
      <c r="D875" s="121"/>
      <c r="E875" s="121"/>
      <c r="F875" s="121"/>
      <c r="G875" s="121"/>
      <c r="H875" s="121"/>
      <c r="I875" s="121"/>
      <c r="J875" s="121"/>
      <c r="K875" s="121"/>
      <c r="L875" s="121"/>
      <c r="M875" s="121"/>
      <c r="N875" s="121"/>
      <c r="O875" s="121"/>
      <c r="P875" s="121"/>
      <c r="Q875" s="121"/>
      <c r="R875" s="121"/>
      <c r="S875" s="121"/>
      <c r="T875" s="121"/>
      <c r="U875" s="121"/>
      <c r="V875" s="121"/>
      <c r="W875" s="121"/>
      <c r="X875" s="121"/>
      <c r="Y875" s="121"/>
      <c r="Z875" s="121"/>
    </row>
    <row r="876" customFormat="false" ht="15.75" hidden="false" customHeight="false" outlineLevel="0" collapsed="false">
      <c r="A876" s="121"/>
      <c r="B876" s="121"/>
      <c r="C876" s="121"/>
      <c r="D876" s="121"/>
      <c r="E876" s="121"/>
      <c r="F876" s="121"/>
      <c r="G876" s="121"/>
      <c r="H876" s="121"/>
      <c r="I876" s="121"/>
      <c r="J876" s="121"/>
      <c r="K876" s="121"/>
      <c r="L876" s="121"/>
      <c r="M876" s="121"/>
      <c r="N876" s="121"/>
      <c r="O876" s="121"/>
      <c r="P876" s="121"/>
      <c r="Q876" s="121"/>
      <c r="R876" s="121"/>
      <c r="S876" s="121"/>
      <c r="T876" s="121"/>
      <c r="U876" s="121"/>
      <c r="V876" s="121"/>
      <c r="W876" s="121"/>
      <c r="X876" s="121"/>
      <c r="Y876" s="121"/>
      <c r="Z876" s="121"/>
    </row>
    <row r="877" customFormat="false" ht="15.75" hidden="false" customHeight="false" outlineLevel="0" collapsed="false">
      <c r="A877" s="121"/>
      <c r="B877" s="121"/>
      <c r="C877" s="121"/>
      <c r="D877" s="121"/>
      <c r="E877" s="121"/>
      <c r="F877" s="121"/>
      <c r="G877" s="121"/>
      <c r="H877" s="121"/>
      <c r="I877" s="121"/>
      <c r="J877" s="121"/>
      <c r="K877" s="121"/>
      <c r="L877" s="121"/>
      <c r="M877" s="121"/>
      <c r="N877" s="121"/>
      <c r="O877" s="121"/>
      <c r="P877" s="121"/>
      <c r="Q877" s="121"/>
      <c r="R877" s="121"/>
      <c r="S877" s="121"/>
      <c r="T877" s="121"/>
      <c r="U877" s="121"/>
      <c r="V877" s="121"/>
      <c r="W877" s="121"/>
      <c r="X877" s="121"/>
      <c r="Y877" s="121"/>
      <c r="Z877" s="121"/>
    </row>
    <row r="878" customFormat="false" ht="15.75" hidden="false" customHeight="false" outlineLevel="0" collapsed="false">
      <c r="A878" s="121"/>
      <c r="B878" s="121"/>
      <c r="C878" s="121"/>
      <c r="D878" s="121"/>
      <c r="E878" s="121"/>
      <c r="F878" s="121"/>
      <c r="G878" s="121"/>
      <c r="H878" s="121"/>
      <c r="I878" s="121"/>
      <c r="J878" s="121"/>
      <c r="K878" s="121"/>
      <c r="L878" s="121"/>
      <c r="M878" s="121"/>
      <c r="N878" s="121"/>
      <c r="O878" s="121"/>
      <c r="P878" s="121"/>
      <c r="Q878" s="121"/>
      <c r="R878" s="121"/>
      <c r="S878" s="121"/>
      <c r="T878" s="121"/>
      <c r="U878" s="121"/>
      <c r="V878" s="121"/>
      <c r="W878" s="121"/>
      <c r="X878" s="121"/>
      <c r="Y878" s="121"/>
      <c r="Z878" s="121"/>
    </row>
    <row r="879" customFormat="false" ht="15.75" hidden="false" customHeight="false" outlineLevel="0" collapsed="false">
      <c r="A879" s="121"/>
      <c r="B879" s="121"/>
      <c r="C879" s="121"/>
      <c r="D879" s="121"/>
      <c r="E879" s="121"/>
      <c r="F879" s="121"/>
      <c r="G879" s="121"/>
      <c r="H879" s="121"/>
      <c r="I879" s="121"/>
      <c r="J879" s="121"/>
      <c r="K879" s="121"/>
      <c r="L879" s="121"/>
      <c r="M879" s="121"/>
      <c r="N879" s="121"/>
      <c r="O879" s="121"/>
      <c r="P879" s="121"/>
      <c r="Q879" s="121"/>
      <c r="R879" s="121"/>
      <c r="S879" s="121"/>
      <c r="T879" s="121"/>
      <c r="U879" s="121"/>
      <c r="V879" s="121"/>
      <c r="W879" s="121"/>
      <c r="X879" s="121"/>
      <c r="Y879" s="121"/>
      <c r="Z879" s="121"/>
    </row>
    <row r="880" customFormat="false" ht="15.75" hidden="false" customHeight="false" outlineLevel="0" collapsed="false">
      <c r="A880" s="121"/>
      <c r="B880" s="121"/>
      <c r="C880" s="121"/>
      <c r="D880" s="121"/>
      <c r="E880" s="121"/>
      <c r="F880" s="121"/>
      <c r="G880" s="121"/>
      <c r="H880" s="121"/>
      <c r="I880" s="121"/>
      <c r="J880" s="121"/>
      <c r="K880" s="121"/>
      <c r="L880" s="121"/>
      <c r="M880" s="121"/>
      <c r="N880" s="121"/>
      <c r="O880" s="121"/>
      <c r="P880" s="121"/>
      <c r="Q880" s="121"/>
      <c r="R880" s="121"/>
      <c r="S880" s="121"/>
      <c r="T880" s="121"/>
      <c r="U880" s="121"/>
      <c r="V880" s="121"/>
      <c r="W880" s="121"/>
      <c r="X880" s="121"/>
      <c r="Y880" s="121"/>
      <c r="Z880" s="121"/>
    </row>
    <row r="881" customFormat="false" ht="15.75" hidden="false" customHeight="false" outlineLevel="0" collapsed="false">
      <c r="A881" s="121"/>
      <c r="B881" s="121"/>
      <c r="C881" s="121"/>
      <c r="D881" s="121"/>
      <c r="E881" s="121"/>
      <c r="F881" s="121"/>
      <c r="G881" s="121"/>
      <c r="H881" s="121"/>
      <c r="I881" s="121"/>
      <c r="J881" s="121"/>
      <c r="K881" s="121"/>
      <c r="L881" s="121"/>
      <c r="M881" s="121"/>
      <c r="N881" s="121"/>
      <c r="O881" s="121"/>
      <c r="P881" s="121"/>
      <c r="Q881" s="121"/>
      <c r="R881" s="121"/>
      <c r="S881" s="121"/>
      <c r="T881" s="121"/>
      <c r="U881" s="121"/>
      <c r="V881" s="121"/>
      <c r="W881" s="121"/>
      <c r="X881" s="121"/>
      <c r="Y881" s="121"/>
      <c r="Z881" s="121"/>
    </row>
    <row r="882" customFormat="false" ht="15.75" hidden="false" customHeight="false" outlineLevel="0" collapsed="false">
      <c r="A882" s="121"/>
      <c r="B882" s="121"/>
      <c r="C882" s="121"/>
      <c r="D882" s="121"/>
      <c r="E882" s="121"/>
      <c r="F882" s="121"/>
      <c r="G882" s="121"/>
      <c r="H882" s="121"/>
      <c r="I882" s="121"/>
      <c r="J882" s="121"/>
      <c r="K882" s="121"/>
      <c r="L882" s="121"/>
      <c r="M882" s="121"/>
      <c r="N882" s="121"/>
      <c r="O882" s="121"/>
      <c r="P882" s="121"/>
      <c r="Q882" s="121"/>
      <c r="R882" s="121"/>
      <c r="S882" s="121"/>
      <c r="T882" s="121"/>
      <c r="U882" s="121"/>
      <c r="V882" s="121"/>
      <c r="W882" s="121"/>
      <c r="X882" s="121"/>
      <c r="Y882" s="121"/>
      <c r="Z882" s="121"/>
    </row>
    <row r="883" customFormat="false" ht="15.75" hidden="false" customHeight="false" outlineLevel="0" collapsed="false">
      <c r="A883" s="121"/>
      <c r="B883" s="121"/>
      <c r="C883" s="121"/>
      <c r="D883" s="121"/>
      <c r="E883" s="121"/>
      <c r="F883" s="121"/>
      <c r="G883" s="121"/>
      <c r="H883" s="121"/>
      <c r="I883" s="121"/>
      <c r="J883" s="121"/>
      <c r="K883" s="121"/>
      <c r="L883" s="121"/>
      <c r="M883" s="121"/>
      <c r="N883" s="121"/>
      <c r="O883" s="121"/>
      <c r="P883" s="121"/>
      <c r="Q883" s="121"/>
      <c r="R883" s="121"/>
      <c r="S883" s="121"/>
      <c r="T883" s="121"/>
      <c r="U883" s="121"/>
      <c r="V883" s="121"/>
      <c r="W883" s="121"/>
      <c r="X883" s="121"/>
      <c r="Y883" s="121"/>
      <c r="Z883" s="121"/>
    </row>
    <row r="884" customFormat="false" ht="15.75" hidden="false" customHeight="false" outlineLevel="0" collapsed="false">
      <c r="A884" s="121"/>
      <c r="B884" s="121"/>
      <c r="C884" s="121"/>
      <c r="D884" s="121"/>
      <c r="E884" s="121"/>
      <c r="F884" s="121"/>
      <c r="G884" s="121"/>
      <c r="H884" s="121"/>
      <c r="I884" s="121"/>
      <c r="J884" s="121"/>
      <c r="K884" s="121"/>
      <c r="L884" s="121"/>
      <c r="M884" s="121"/>
      <c r="N884" s="121"/>
      <c r="O884" s="121"/>
      <c r="P884" s="121"/>
      <c r="Q884" s="121"/>
      <c r="R884" s="121"/>
      <c r="S884" s="121"/>
      <c r="T884" s="121"/>
      <c r="U884" s="121"/>
      <c r="V884" s="121"/>
      <c r="W884" s="121"/>
      <c r="X884" s="121"/>
      <c r="Y884" s="121"/>
      <c r="Z884" s="121"/>
    </row>
    <row r="885" customFormat="false" ht="15.75" hidden="false" customHeight="false" outlineLevel="0" collapsed="false">
      <c r="A885" s="121"/>
      <c r="B885" s="121"/>
      <c r="C885" s="121"/>
      <c r="D885" s="121"/>
      <c r="E885" s="121"/>
      <c r="F885" s="121"/>
      <c r="G885" s="121"/>
      <c r="H885" s="121"/>
      <c r="I885" s="121"/>
      <c r="J885" s="121"/>
      <c r="K885" s="121"/>
      <c r="L885" s="121"/>
      <c r="M885" s="121"/>
      <c r="N885" s="121"/>
      <c r="O885" s="121"/>
      <c r="P885" s="121"/>
      <c r="Q885" s="121"/>
      <c r="R885" s="121"/>
      <c r="S885" s="121"/>
      <c r="T885" s="121"/>
      <c r="U885" s="121"/>
      <c r="V885" s="121"/>
      <c r="W885" s="121"/>
      <c r="X885" s="121"/>
      <c r="Y885" s="121"/>
      <c r="Z885" s="121"/>
    </row>
    <row r="886" customFormat="false" ht="15.75" hidden="false" customHeight="false" outlineLevel="0" collapsed="false">
      <c r="A886" s="121"/>
      <c r="B886" s="121"/>
      <c r="C886" s="121"/>
      <c r="D886" s="121"/>
      <c r="E886" s="121"/>
      <c r="F886" s="121"/>
      <c r="G886" s="121"/>
      <c r="H886" s="121"/>
      <c r="I886" s="121"/>
      <c r="J886" s="121"/>
      <c r="K886" s="121"/>
      <c r="L886" s="121"/>
      <c r="M886" s="121"/>
      <c r="N886" s="121"/>
      <c r="O886" s="121"/>
      <c r="P886" s="121"/>
      <c r="Q886" s="121"/>
      <c r="R886" s="121"/>
      <c r="S886" s="121"/>
      <c r="T886" s="121"/>
      <c r="U886" s="121"/>
      <c r="V886" s="121"/>
      <c r="W886" s="121"/>
      <c r="X886" s="121"/>
      <c r="Y886" s="121"/>
      <c r="Z886" s="121"/>
    </row>
    <row r="887" customFormat="false" ht="15.75" hidden="false" customHeight="false" outlineLevel="0" collapsed="false">
      <c r="A887" s="121"/>
      <c r="B887" s="121"/>
      <c r="C887" s="121"/>
      <c r="D887" s="121"/>
      <c r="E887" s="121"/>
      <c r="F887" s="121"/>
      <c r="G887" s="121"/>
      <c r="H887" s="121"/>
      <c r="I887" s="121"/>
      <c r="J887" s="121"/>
      <c r="K887" s="121"/>
      <c r="L887" s="121"/>
      <c r="M887" s="121"/>
      <c r="N887" s="121"/>
      <c r="O887" s="121"/>
      <c r="P887" s="121"/>
      <c r="Q887" s="121"/>
      <c r="R887" s="121"/>
      <c r="S887" s="121"/>
      <c r="T887" s="121"/>
      <c r="U887" s="121"/>
      <c r="V887" s="121"/>
      <c r="W887" s="121"/>
      <c r="X887" s="121"/>
      <c r="Y887" s="121"/>
      <c r="Z887" s="121"/>
    </row>
    <row r="888" customFormat="false" ht="15.75" hidden="false" customHeight="false" outlineLevel="0" collapsed="false">
      <c r="A888" s="121"/>
      <c r="B888" s="121"/>
      <c r="C888" s="121"/>
      <c r="D888" s="121"/>
      <c r="E888" s="121"/>
      <c r="F888" s="121"/>
      <c r="G888" s="121"/>
      <c r="H888" s="121"/>
      <c r="I888" s="121"/>
      <c r="J888" s="121"/>
      <c r="K888" s="121"/>
      <c r="L888" s="121"/>
      <c r="M888" s="121"/>
      <c r="N888" s="121"/>
      <c r="O888" s="121"/>
      <c r="P888" s="121"/>
      <c r="Q888" s="121"/>
      <c r="R888" s="121"/>
      <c r="S888" s="121"/>
      <c r="T888" s="121"/>
      <c r="U888" s="121"/>
      <c r="V888" s="121"/>
      <c r="W888" s="121"/>
      <c r="X888" s="121"/>
      <c r="Y888" s="121"/>
      <c r="Z888" s="121"/>
    </row>
    <row r="889" customFormat="false" ht="15.75" hidden="false" customHeight="false" outlineLevel="0" collapsed="false">
      <c r="A889" s="121"/>
      <c r="B889" s="121"/>
      <c r="C889" s="121"/>
      <c r="D889" s="121"/>
      <c r="E889" s="121"/>
      <c r="F889" s="121"/>
      <c r="G889" s="121"/>
      <c r="H889" s="121"/>
      <c r="I889" s="121"/>
      <c r="J889" s="121"/>
      <c r="K889" s="121"/>
      <c r="L889" s="121"/>
      <c r="M889" s="121"/>
      <c r="N889" s="121"/>
      <c r="O889" s="121"/>
      <c r="P889" s="121"/>
      <c r="Q889" s="121"/>
      <c r="R889" s="121"/>
      <c r="S889" s="121"/>
      <c r="T889" s="121"/>
      <c r="U889" s="121"/>
      <c r="V889" s="121"/>
      <c r="W889" s="121"/>
      <c r="X889" s="121"/>
      <c r="Y889" s="121"/>
      <c r="Z889" s="121"/>
    </row>
    <row r="890" customFormat="false" ht="15.75" hidden="false" customHeight="false" outlineLevel="0" collapsed="false">
      <c r="A890" s="121"/>
      <c r="B890" s="121"/>
      <c r="C890" s="121"/>
      <c r="D890" s="121"/>
      <c r="E890" s="121"/>
      <c r="F890" s="121"/>
      <c r="G890" s="121"/>
      <c r="H890" s="121"/>
      <c r="I890" s="121"/>
      <c r="J890" s="121"/>
      <c r="K890" s="121"/>
      <c r="L890" s="121"/>
      <c r="M890" s="121"/>
      <c r="N890" s="121"/>
      <c r="O890" s="121"/>
      <c r="P890" s="121"/>
      <c r="Q890" s="121"/>
      <c r="R890" s="121"/>
      <c r="S890" s="121"/>
      <c r="T890" s="121"/>
      <c r="U890" s="121"/>
      <c r="V890" s="121"/>
      <c r="W890" s="121"/>
      <c r="X890" s="121"/>
      <c r="Y890" s="121"/>
      <c r="Z890" s="121"/>
    </row>
    <row r="891" customFormat="false" ht="15.75" hidden="false" customHeight="false" outlineLevel="0" collapsed="false">
      <c r="A891" s="121"/>
      <c r="B891" s="121"/>
      <c r="C891" s="121"/>
      <c r="D891" s="121"/>
      <c r="E891" s="121"/>
      <c r="F891" s="121"/>
      <c r="G891" s="121"/>
      <c r="H891" s="121"/>
      <c r="I891" s="121"/>
      <c r="J891" s="121"/>
      <c r="K891" s="121"/>
      <c r="L891" s="121"/>
      <c r="M891" s="121"/>
      <c r="N891" s="121"/>
      <c r="O891" s="121"/>
      <c r="P891" s="121"/>
      <c r="Q891" s="121"/>
      <c r="R891" s="121"/>
      <c r="S891" s="121"/>
      <c r="T891" s="121"/>
      <c r="U891" s="121"/>
      <c r="V891" s="121"/>
      <c r="W891" s="121"/>
      <c r="X891" s="121"/>
      <c r="Y891" s="121"/>
      <c r="Z891" s="121"/>
    </row>
    <row r="892" customFormat="false" ht="15.75" hidden="false" customHeight="false" outlineLevel="0" collapsed="false">
      <c r="A892" s="121"/>
      <c r="B892" s="121"/>
      <c r="C892" s="121"/>
      <c r="D892" s="121"/>
      <c r="E892" s="121"/>
      <c r="F892" s="121"/>
      <c r="G892" s="121"/>
      <c r="H892" s="121"/>
      <c r="I892" s="121"/>
      <c r="J892" s="121"/>
      <c r="K892" s="121"/>
      <c r="L892" s="121"/>
      <c r="M892" s="121"/>
      <c r="N892" s="121"/>
      <c r="O892" s="121"/>
      <c r="P892" s="121"/>
      <c r="Q892" s="121"/>
      <c r="R892" s="121"/>
      <c r="S892" s="121"/>
      <c r="T892" s="121"/>
      <c r="U892" s="121"/>
      <c r="V892" s="121"/>
      <c r="W892" s="121"/>
      <c r="X892" s="121"/>
      <c r="Y892" s="121"/>
      <c r="Z892" s="121"/>
    </row>
    <row r="893" customFormat="false" ht="15.75" hidden="false" customHeight="false" outlineLevel="0" collapsed="false">
      <c r="A893" s="121"/>
      <c r="B893" s="121"/>
      <c r="C893" s="121"/>
      <c r="D893" s="121"/>
      <c r="E893" s="121"/>
      <c r="F893" s="121"/>
      <c r="G893" s="121"/>
      <c r="H893" s="121"/>
      <c r="I893" s="121"/>
      <c r="J893" s="121"/>
      <c r="K893" s="121"/>
      <c r="L893" s="121"/>
      <c r="M893" s="121"/>
      <c r="N893" s="121"/>
      <c r="O893" s="121"/>
      <c r="P893" s="121"/>
      <c r="Q893" s="121"/>
      <c r="R893" s="121"/>
      <c r="S893" s="121"/>
      <c r="T893" s="121"/>
      <c r="U893" s="121"/>
      <c r="V893" s="121"/>
      <c r="W893" s="121"/>
      <c r="X893" s="121"/>
      <c r="Y893" s="121"/>
      <c r="Z893" s="121"/>
    </row>
    <row r="894" customFormat="false" ht="15.75" hidden="false" customHeight="false" outlineLevel="0" collapsed="false">
      <c r="A894" s="121"/>
      <c r="B894" s="121"/>
      <c r="C894" s="121"/>
      <c r="D894" s="121"/>
      <c r="E894" s="121"/>
      <c r="F894" s="121"/>
      <c r="G894" s="121"/>
      <c r="H894" s="121"/>
      <c r="I894" s="121"/>
      <c r="J894" s="121"/>
      <c r="K894" s="121"/>
      <c r="L894" s="121"/>
      <c r="M894" s="121"/>
      <c r="N894" s="121"/>
      <c r="O894" s="121"/>
      <c r="P894" s="121"/>
      <c r="Q894" s="121"/>
      <c r="R894" s="121"/>
      <c r="S894" s="121"/>
      <c r="T894" s="121"/>
      <c r="U894" s="121"/>
      <c r="V894" s="121"/>
      <c r="W894" s="121"/>
      <c r="X894" s="121"/>
      <c r="Y894" s="121"/>
      <c r="Z894" s="121"/>
    </row>
    <row r="895" customFormat="false" ht="15.75" hidden="false" customHeight="false" outlineLevel="0" collapsed="false">
      <c r="A895" s="121"/>
      <c r="B895" s="121"/>
      <c r="C895" s="121"/>
      <c r="D895" s="121"/>
      <c r="E895" s="121"/>
      <c r="F895" s="121"/>
      <c r="G895" s="121"/>
      <c r="H895" s="121"/>
      <c r="I895" s="121"/>
      <c r="J895" s="121"/>
      <c r="K895" s="121"/>
      <c r="L895" s="121"/>
      <c r="M895" s="121"/>
      <c r="N895" s="121"/>
      <c r="O895" s="121"/>
      <c r="P895" s="121"/>
      <c r="Q895" s="121"/>
      <c r="R895" s="121"/>
      <c r="S895" s="121"/>
      <c r="T895" s="121"/>
      <c r="U895" s="121"/>
      <c r="V895" s="121"/>
      <c r="W895" s="121"/>
      <c r="X895" s="121"/>
      <c r="Y895" s="121"/>
      <c r="Z895" s="121"/>
    </row>
    <row r="896" customFormat="false" ht="15.75" hidden="false" customHeight="false" outlineLevel="0" collapsed="false">
      <c r="A896" s="121"/>
      <c r="B896" s="121"/>
      <c r="C896" s="121"/>
      <c r="D896" s="121"/>
      <c r="E896" s="121"/>
      <c r="F896" s="121"/>
      <c r="G896" s="121"/>
      <c r="H896" s="121"/>
      <c r="I896" s="121"/>
      <c r="J896" s="121"/>
      <c r="K896" s="121"/>
      <c r="L896" s="121"/>
      <c r="M896" s="121"/>
      <c r="N896" s="121"/>
      <c r="O896" s="121"/>
      <c r="P896" s="121"/>
      <c r="Q896" s="121"/>
      <c r="R896" s="121"/>
      <c r="S896" s="121"/>
      <c r="T896" s="121"/>
      <c r="U896" s="121"/>
      <c r="V896" s="121"/>
      <c r="W896" s="121"/>
      <c r="X896" s="121"/>
      <c r="Y896" s="121"/>
      <c r="Z896" s="121"/>
    </row>
    <row r="897" customFormat="false" ht="15.75" hidden="false" customHeight="false" outlineLevel="0" collapsed="false">
      <c r="A897" s="121"/>
      <c r="B897" s="121"/>
      <c r="C897" s="121"/>
      <c r="D897" s="121"/>
      <c r="E897" s="121"/>
      <c r="F897" s="121"/>
      <c r="G897" s="121"/>
      <c r="H897" s="121"/>
      <c r="I897" s="121"/>
      <c r="J897" s="121"/>
      <c r="K897" s="121"/>
      <c r="L897" s="121"/>
      <c r="M897" s="121"/>
      <c r="N897" s="121"/>
      <c r="O897" s="121"/>
      <c r="P897" s="121"/>
      <c r="Q897" s="121"/>
      <c r="R897" s="121"/>
      <c r="S897" s="121"/>
      <c r="T897" s="121"/>
      <c r="U897" s="121"/>
      <c r="V897" s="121"/>
      <c r="W897" s="121"/>
      <c r="X897" s="121"/>
      <c r="Y897" s="121"/>
      <c r="Z897" s="121"/>
    </row>
    <row r="898" customFormat="false" ht="15.75" hidden="false" customHeight="false" outlineLevel="0" collapsed="false">
      <c r="A898" s="121"/>
      <c r="B898" s="121"/>
      <c r="C898" s="121"/>
      <c r="D898" s="121"/>
      <c r="E898" s="121"/>
      <c r="F898" s="121"/>
      <c r="G898" s="121"/>
      <c r="H898" s="121"/>
      <c r="I898" s="121"/>
      <c r="J898" s="121"/>
      <c r="K898" s="121"/>
      <c r="L898" s="121"/>
      <c r="M898" s="121"/>
      <c r="N898" s="121"/>
      <c r="O898" s="121"/>
      <c r="P898" s="121"/>
      <c r="Q898" s="121"/>
      <c r="R898" s="121"/>
      <c r="S898" s="121"/>
      <c r="T898" s="121"/>
      <c r="U898" s="121"/>
      <c r="V898" s="121"/>
      <c r="W898" s="121"/>
      <c r="X898" s="121"/>
      <c r="Y898" s="121"/>
      <c r="Z898" s="121"/>
    </row>
    <row r="899" customFormat="false" ht="15.75" hidden="false" customHeight="false" outlineLevel="0" collapsed="false">
      <c r="A899" s="121"/>
      <c r="B899" s="121"/>
      <c r="C899" s="121"/>
      <c r="D899" s="121"/>
      <c r="E899" s="121"/>
      <c r="F899" s="121"/>
      <c r="G899" s="121"/>
      <c r="H899" s="121"/>
      <c r="I899" s="121"/>
      <c r="J899" s="121"/>
      <c r="K899" s="121"/>
      <c r="L899" s="121"/>
      <c r="M899" s="121"/>
      <c r="N899" s="121"/>
      <c r="O899" s="121"/>
      <c r="P899" s="121"/>
      <c r="Q899" s="121"/>
      <c r="R899" s="121"/>
      <c r="S899" s="121"/>
      <c r="T899" s="121"/>
      <c r="U899" s="121"/>
      <c r="V899" s="121"/>
      <c r="W899" s="121"/>
      <c r="X899" s="121"/>
      <c r="Y899" s="121"/>
      <c r="Z899" s="121"/>
    </row>
    <row r="900" customFormat="false" ht="15.75" hidden="false" customHeight="false" outlineLevel="0" collapsed="false">
      <c r="A900" s="121"/>
      <c r="B900" s="121"/>
      <c r="C900" s="121"/>
      <c r="D900" s="121"/>
      <c r="E900" s="121"/>
      <c r="F900" s="121"/>
      <c r="G900" s="121"/>
      <c r="H900" s="121"/>
      <c r="I900" s="121"/>
      <c r="J900" s="121"/>
      <c r="K900" s="121"/>
      <c r="L900" s="121"/>
      <c r="M900" s="121"/>
      <c r="N900" s="121"/>
      <c r="O900" s="121"/>
      <c r="P900" s="121"/>
      <c r="Q900" s="121"/>
      <c r="R900" s="121"/>
      <c r="S900" s="121"/>
      <c r="T900" s="121"/>
      <c r="U900" s="121"/>
      <c r="V900" s="121"/>
      <c r="W900" s="121"/>
      <c r="X900" s="121"/>
      <c r="Y900" s="121"/>
      <c r="Z900" s="121"/>
    </row>
    <row r="901" customFormat="false" ht="15.75" hidden="false" customHeight="false" outlineLevel="0" collapsed="false">
      <c r="A901" s="121"/>
      <c r="B901" s="121"/>
      <c r="C901" s="121"/>
      <c r="D901" s="121"/>
      <c r="E901" s="121"/>
      <c r="F901" s="121"/>
      <c r="G901" s="121"/>
      <c r="H901" s="121"/>
      <c r="I901" s="121"/>
      <c r="J901" s="121"/>
      <c r="K901" s="121"/>
      <c r="L901" s="121"/>
      <c r="M901" s="121"/>
      <c r="N901" s="121"/>
      <c r="O901" s="121"/>
      <c r="P901" s="121"/>
      <c r="Q901" s="121"/>
      <c r="R901" s="121"/>
      <c r="S901" s="121"/>
      <c r="T901" s="121"/>
      <c r="U901" s="121"/>
      <c r="V901" s="121"/>
      <c r="W901" s="121"/>
      <c r="X901" s="121"/>
      <c r="Y901" s="121"/>
      <c r="Z901" s="121"/>
    </row>
    <row r="902" customFormat="false" ht="15.75" hidden="false" customHeight="false" outlineLevel="0" collapsed="false">
      <c r="A902" s="121"/>
      <c r="B902" s="121"/>
      <c r="C902" s="121"/>
      <c r="D902" s="121"/>
      <c r="E902" s="121"/>
      <c r="F902" s="121"/>
      <c r="G902" s="121"/>
      <c r="H902" s="121"/>
      <c r="I902" s="121"/>
      <c r="J902" s="121"/>
      <c r="K902" s="121"/>
      <c r="L902" s="121"/>
      <c r="M902" s="121"/>
      <c r="N902" s="121"/>
      <c r="O902" s="121"/>
      <c r="P902" s="121"/>
      <c r="Q902" s="121"/>
      <c r="R902" s="121"/>
      <c r="S902" s="121"/>
      <c r="T902" s="121"/>
      <c r="U902" s="121"/>
      <c r="V902" s="121"/>
      <c r="W902" s="121"/>
      <c r="X902" s="121"/>
      <c r="Y902" s="121"/>
      <c r="Z902" s="121"/>
    </row>
    <row r="903" customFormat="false" ht="15.75" hidden="false" customHeight="false" outlineLevel="0" collapsed="false">
      <c r="A903" s="121"/>
      <c r="B903" s="121"/>
      <c r="C903" s="121"/>
      <c r="D903" s="121"/>
      <c r="E903" s="121"/>
      <c r="F903" s="121"/>
      <c r="G903" s="121"/>
      <c r="H903" s="121"/>
      <c r="I903" s="121"/>
      <c r="J903" s="121"/>
      <c r="K903" s="121"/>
      <c r="L903" s="121"/>
      <c r="M903" s="121"/>
      <c r="N903" s="121"/>
      <c r="O903" s="121"/>
      <c r="P903" s="121"/>
      <c r="Q903" s="121"/>
      <c r="R903" s="121"/>
      <c r="S903" s="121"/>
      <c r="T903" s="121"/>
      <c r="U903" s="121"/>
      <c r="V903" s="121"/>
      <c r="W903" s="121"/>
      <c r="X903" s="121"/>
      <c r="Y903" s="121"/>
      <c r="Z903" s="121"/>
    </row>
    <row r="904" customFormat="false" ht="15.75" hidden="false" customHeight="false" outlineLevel="0" collapsed="false">
      <c r="A904" s="121"/>
      <c r="B904" s="121"/>
      <c r="C904" s="121"/>
      <c r="D904" s="121"/>
      <c r="E904" s="121"/>
      <c r="F904" s="121"/>
      <c r="G904" s="121"/>
      <c r="H904" s="121"/>
      <c r="I904" s="121"/>
      <c r="J904" s="121"/>
      <c r="K904" s="121"/>
      <c r="L904" s="121"/>
      <c r="M904" s="121"/>
      <c r="N904" s="121"/>
      <c r="O904" s="121"/>
      <c r="P904" s="121"/>
      <c r="Q904" s="121"/>
      <c r="R904" s="121"/>
      <c r="S904" s="121"/>
      <c r="T904" s="121"/>
      <c r="U904" s="121"/>
      <c r="V904" s="121"/>
      <c r="W904" s="121"/>
      <c r="X904" s="121"/>
      <c r="Y904" s="121"/>
      <c r="Z904" s="121"/>
    </row>
    <row r="905" customFormat="false" ht="15.75" hidden="false" customHeight="false" outlineLevel="0" collapsed="false">
      <c r="A905" s="121"/>
      <c r="B905" s="121"/>
      <c r="C905" s="121"/>
      <c r="D905" s="121"/>
      <c r="E905" s="121"/>
      <c r="F905" s="121"/>
      <c r="G905" s="121"/>
      <c r="H905" s="121"/>
      <c r="I905" s="121"/>
      <c r="J905" s="121"/>
      <c r="K905" s="121"/>
      <c r="L905" s="121"/>
      <c r="M905" s="121"/>
      <c r="N905" s="121"/>
      <c r="O905" s="121"/>
      <c r="P905" s="121"/>
      <c r="Q905" s="121"/>
      <c r="R905" s="121"/>
      <c r="S905" s="121"/>
      <c r="T905" s="121"/>
      <c r="U905" s="121"/>
      <c r="V905" s="121"/>
      <c r="W905" s="121"/>
      <c r="X905" s="121"/>
      <c r="Y905" s="121"/>
      <c r="Z905" s="121"/>
    </row>
    <row r="906" customFormat="false" ht="15.75" hidden="false" customHeight="false" outlineLevel="0" collapsed="false">
      <c r="A906" s="121"/>
      <c r="B906" s="121"/>
      <c r="C906" s="121"/>
      <c r="D906" s="121"/>
      <c r="E906" s="121"/>
      <c r="F906" s="121"/>
      <c r="G906" s="121"/>
      <c r="H906" s="121"/>
      <c r="I906" s="121"/>
      <c r="J906" s="121"/>
      <c r="K906" s="121"/>
      <c r="L906" s="121"/>
      <c r="M906" s="121"/>
      <c r="N906" s="121"/>
      <c r="O906" s="121"/>
      <c r="P906" s="121"/>
      <c r="Q906" s="121"/>
      <c r="R906" s="121"/>
      <c r="S906" s="121"/>
      <c r="T906" s="121"/>
      <c r="U906" s="121"/>
      <c r="V906" s="121"/>
      <c r="W906" s="121"/>
      <c r="X906" s="121"/>
      <c r="Y906" s="121"/>
      <c r="Z906" s="121"/>
    </row>
    <row r="907" customFormat="false" ht="15.75" hidden="false" customHeight="false" outlineLevel="0" collapsed="false">
      <c r="A907" s="121"/>
      <c r="B907" s="121"/>
      <c r="C907" s="121"/>
      <c r="D907" s="121"/>
      <c r="E907" s="121"/>
      <c r="F907" s="121"/>
      <c r="G907" s="121"/>
      <c r="H907" s="121"/>
      <c r="I907" s="121"/>
      <c r="J907" s="121"/>
      <c r="K907" s="121"/>
      <c r="L907" s="121"/>
      <c r="M907" s="121"/>
      <c r="N907" s="121"/>
      <c r="O907" s="121"/>
      <c r="P907" s="121"/>
      <c r="Q907" s="121"/>
      <c r="R907" s="121"/>
      <c r="S907" s="121"/>
      <c r="T907" s="121"/>
      <c r="U907" s="121"/>
      <c r="V907" s="121"/>
      <c r="W907" s="121"/>
      <c r="X907" s="121"/>
      <c r="Y907" s="121"/>
      <c r="Z907" s="121"/>
    </row>
    <row r="908" customFormat="false" ht="15.75" hidden="false" customHeight="false" outlineLevel="0" collapsed="false">
      <c r="A908" s="121"/>
      <c r="B908" s="121"/>
      <c r="C908" s="121"/>
      <c r="D908" s="121"/>
      <c r="E908" s="121"/>
      <c r="F908" s="121"/>
      <c r="G908" s="121"/>
      <c r="H908" s="121"/>
      <c r="I908" s="121"/>
      <c r="J908" s="121"/>
      <c r="K908" s="121"/>
      <c r="L908" s="121"/>
      <c r="M908" s="121"/>
      <c r="N908" s="121"/>
      <c r="O908" s="121"/>
      <c r="P908" s="121"/>
      <c r="Q908" s="121"/>
      <c r="R908" s="121"/>
      <c r="S908" s="121"/>
      <c r="T908" s="121"/>
      <c r="U908" s="121"/>
      <c r="V908" s="121"/>
      <c r="W908" s="121"/>
      <c r="X908" s="121"/>
      <c r="Y908" s="121"/>
      <c r="Z908" s="121"/>
    </row>
    <row r="909" customFormat="false" ht="15.75" hidden="false" customHeight="false" outlineLevel="0" collapsed="false">
      <c r="A909" s="121"/>
      <c r="B909" s="121"/>
      <c r="C909" s="121"/>
      <c r="D909" s="121"/>
      <c r="E909" s="121"/>
      <c r="F909" s="121"/>
      <c r="G909" s="121"/>
      <c r="H909" s="121"/>
      <c r="I909" s="121"/>
      <c r="J909" s="121"/>
      <c r="K909" s="121"/>
      <c r="L909" s="121"/>
      <c r="M909" s="121"/>
      <c r="N909" s="121"/>
      <c r="O909" s="121"/>
      <c r="P909" s="121"/>
      <c r="Q909" s="121"/>
      <c r="R909" s="121"/>
      <c r="S909" s="121"/>
      <c r="T909" s="121"/>
      <c r="U909" s="121"/>
      <c r="V909" s="121"/>
      <c r="W909" s="121"/>
      <c r="X909" s="121"/>
      <c r="Y909" s="121"/>
      <c r="Z909" s="121"/>
    </row>
    <row r="910" customFormat="false" ht="15.75" hidden="false" customHeight="false" outlineLevel="0" collapsed="false">
      <c r="A910" s="121"/>
      <c r="B910" s="121"/>
      <c r="C910" s="121"/>
      <c r="D910" s="121"/>
      <c r="E910" s="121"/>
      <c r="F910" s="121"/>
      <c r="G910" s="121"/>
      <c r="H910" s="121"/>
      <c r="I910" s="121"/>
      <c r="J910" s="121"/>
      <c r="K910" s="121"/>
      <c r="L910" s="121"/>
      <c r="M910" s="121"/>
      <c r="N910" s="121"/>
      <c r="O910" s="121"/>
      <c r="P910" s="121"/>
      <c r="Q910" s="121"/>
      <c r="R910" s="121"/>
      <c r="S910" s="121"/>
      <c r="T910" s="121"/>
      <c r="U910" s="121"/>
      <c r="V910" s="121"/>
      <c r="W910" s="121"/>
      <c r="X910" s="121"/>
      <c r="Y910" s="121"/>
      <c r="Z910" s="121"/>
    </row>
    <row r="911" customFormat="false" ht="15.75" hidden="false" customHeight="false" outlineLevel="0" collapsed="false">
      <c r="A911" s="121"/>
      <c r="B911" s="121"/>
      <c r="C911" s="121"/>
      <c r="D911" s="121"/>
      <c r="E911" s="121"/>
      <c r="F911" s="121"/>
      <c r="G911" s="121"/>
      <c r="H911" s="121"/>
      <c r="I911" s="121"/>
      <c r="J911" s="121"/>
      <c r="K911" s="121"/>
      <c r="L911" s="121"/>
      <c r="M911" s="121"/>
      <c r="N911" s="121"/>
      <c r="O911" s="121"/>
      <c r="P911" s="121"/>
      <c r="Q911" s="121"/>
      <c r="R911" s="121"/>
      <c r="S911" s="121"/>
      <c r="T911" s="121"/>
      <c r="U911" s="121"/>
      <c r="V911" s="121"/>
      <c r="W911" s="121"/>
      <c r="X911" s="121"/>
      <c r="Y911" s="121"/>
      <c r="Z911" s="121"/>
    </row>
    <row r="912" customFormat="false" ht="15.75" hidden="false" customHeight="false" outlineLevel="0" collapsed="false">
      <c r="A912" s="121"/>
      <c r="B912" s="121"/>
      <c r="C912" s="121"/>
      <c r="D912" s="121"/>
      <c r="E912" s="121"/>
      <c r="F912" s="121"/>
      <c r="G912" s="121"/>
      <c r="H912" s="121"/>
      <c r="I912" s="121"/>
      <c r="J912" s="121"/>
      <c r="K912" s="121"/>
      <c r="L912" s="121"/>
      <c r="M912" s="121"/>
      <c r="N912" s="121"/>
      <c r="O912" s="121"/>
      <c r="P912" s="121"/>
      <c r="Q912" s="121"/>
      <c r="R912" s="121"/>
      <c r="S912" s="121"/>
      <c r="T912" s="121"/>
      <c r="U912" s="121"/>
      <c r="V912" s="121"/>
      <c r="W912" s="121"/>
      <c r="X912" s="121"/>
      <c r="Y912" s="121"/>
      <c r="Z912" s="121"/>
    </row>
    <row r="913" customFormat="false" ht="15.75" hidden="false" customHeight="false" outlineLevel="0" collapsed="false">
      <c r="A913" s="121"/>
      <c r="B913" s="121"/>
      <c r="C913" s="121"/>
      <c r="D913" s="121"/>
      <c r="E913" s="121"/>
      <c r="F913" s="121"/>
      <c r="G913" s="121"/>
      <c r="H913" s="121"/>
      <c r="I913" s="121"/>
      <c r="J913" s="121"/>
      <c r="K913" s="121"/>
      <c r="L913" s="121"/>
      <c r="M913" s="121"/>
      <c r="N913" s="121"/>
      <c r="O913" s="121"/>
      <c r="P913" s="121"/>
      <c r="Q913" s="121"/>
      <c r="R913" s="121"/>
      <c r="S913" s="121"/>
      <c r="T913" s="121"/>
      <c r="U913" s="121"/>
      <c r="V913" s="121"/>
      <c r="W913" s="121"/>
      <c r="X913" s="121"/>
      <c r="Y913" s="121"/>
      <c r="Z913" s="121"/>
    </row>
    <row r="914" customFormat="false" ht="15.75" hidden="false" customHeight="false" outlineLevel="0" collapsed="false">
      <c r="A914" s="121"/>
      <c r="B914" s="121"/>
      <c r="C914" s="121"/>
      <c r="D914" s="121"/>
      <c r="E914" s="121"/>
      <c r="F914" s="121"/>
      <c r="G914" s="121"/>
      <c r="H914" s="121"/>
      <c r="I914" s="121"/>
      <c r="J914" s="121"/>
      <c r="K914" s="121"/>
      <c r="L914" s="121"/>
      <c r="M914" s="121"/>
      <c r="N914" s="121"/>
      <c r="O914" s="121"/>
      <c r="P914" s="121"/>
      <c r="Q914" s="121"/>
      <c r="R914" s="121"/>
      <c r="S914" s="121"/>
      <c r="T914" s="121"/>
      <c r="U914" s="121"/>
      <c r="V914" s="121"/>
      <c r="W914" s="121"/>
      <c r="X914" s="121"/>
      <c r="Y914" s="121"/>
      <c r="Z914" s="121"/>
    </row>
    <row r="915" customFormat="false" ht="15.75" hidden="false" customHeight="false" outlineLevel="0" collapsed="false">
      <c r="A915" s="121"/>
      <c r="B915" s="121"/>
      <c r="C915" s="121"/>
      <c r="D915" s="121"/>
      <c r="E915" s="121"/>
      <c r="F915" s="121"/>
      <c r="G915" s="121"/>
      <c r="H915" s="121"/>
      <c r="I915" s="121"/>
      <c r="J915" s="121"/>
      <c r="K915" s="121"/>
      <c r="L915" s="121"/>
      <c r="M915" s="121"/>
      <c r="N915" s="121"/>
      <c r="O915" s="121"/>
      <c r="P915" s="121"/>
      <c r="Q915" s="121"/>
      <c r="R915" s="121"/>
      <c r="S915" s="121"/>
      <c r="T915" s="121"/>
      <c r="U915" s="121"/>
      <c r="V915" s="121"/>
      <c r="W915" s="121"/>
      <c r="X915" s="121"/>
      <c r="Y915" s="121"/>
      <c r="Z915" s="121"/>
    </row>
    <row r="916" customFormat="false" ht="15.75" hidden="false" customHeight="false" outlineLevel="0" collapsed="false">
      <c r="A916" s="121"/>
      <c r="B916" s="121"/>
      <c r="C916" s="121"/>
      <c r="D916" s="121"/>
      <c r="E916" s="121"/>
      <c r="F916" s="121"/>
      <c r="G916" s="121"/>
      <c r="H916" s="121"/>
      <c r="I916" s="121"/>
      <c r="J916" s="121"/>
      <c r="K916" s="121"/>
      <c r="L916" s="121"/>
      <c r="M916" s="121"/>
      <c r="N916" s="121"/>
      <c r="O916" s="121"/>
      <c r="P916" s="121"/>
      <c r="Q916" s="121"/>
      <c r="R916" s="121"/>
      <c r="S916" s="121"/>
      <c r="T916" s="121"/>
      <c r="U916" s="121"/>
      <c r="V916" s="121"/>
      <c r="W916" s="121"/>
      <c r="X916" s="121"/>
      <c r="Y916" s="121"/>
      <c r="Z916" s="121"/>
    </row>
    <row r="917" customFormat="false" ht="15.75" hidden="false" customHeight="false" outlineLevel="0" collapsed="false">
      <c r="A917" s="121"/>
      <c r="B917" s="121"/>
      <c r="C917" s="121"/>
      <c r="D917" s="121"/>
      <c r="E917" s="121"/>
      <c r="F917" s="121"/>
      <c r="G917" s="121"/>
      <c r="H917" s="121"/>
      <c r="I917" s="121"/>
      <c r="J917" s="121"/>
      <c r="K917" s="121"/>
      <c r="L917" s="121"/>
      <c r="M917" s="121"/>
      <c r="N917" s="121"/>
      <c r="O917" s="121"/>
      <c r="P917" s="121"/>
      <c r="Q917" s="121"/>
      <c r="R917" s="121"/>
      <c r="S917" s="121"/>
      <c r="T917" s="121"/>
      <c r="U917" s="121"/>
      <c r="V917" s="121"/>
      <c r="W917" s="121"/>
      <c r="X917" s="121"/>
      <c r="Y917" s="121"/>
      <c r="Z917" s="121"/>
    </row>
    <row r="918" customFormat="false" ht="15.75" hidden="false" customHeight="false" outlineLevel="0" collapsed="false">
      <c r="A918" s="121"/>
      <c r="B918" s="121"/>
      <c r="C918" s="121"/>
      <c r="D918" s="121"/>
      <c r="E918" s="121"/>
      <c r="F918" s="121"/>
      <c r="G918" s="121"/>
      <c r="H918" s="121"/>
      <c r="I918" s="121"/>
      <c r="J918" s="121"/>
      <c r="K918" s="121"/>
      <c r="L918" s="121"/>
      <c r="M918" s="121"/>
      <c r="N918" s="121"/>
      <c r="O918" s="121"/>
      <c r="P918" s="121"/>
      <c r="Q918" s="121"/>
      <c r="R918" s="121"/>
      <c r="S918" s="121"/>
      <c r="T918" s="121"/>
      <c r="U918" s="121"/>
      <c r="V918" s="121"/>
      <c r="W918" s="121"/>
      <c r="X918" s="121"/>
      <c r="Y918" s="121"/>
      <c r="Z918" s="121"/>
    </row>
    <row r="919" customFormat="false" ht="15.75" hidden="false" customHeight="false" outlineLevel="0" collapsed="false">
      <c r="A919" s="121"/>
      <c r="B919" s="121"/>
      <c r="C919" s="121"/>
      <c r="D919" s="121"/>
      <c r="E919" s="121"/>
      <c r="F919" s="121"/>
      <c r="G919" s="121"/>
      <c r="H919" s="121"/>
      <c r="I919" s="121"/>
      <c r="J919" s="121"/>
      <c r="K919" s="121"/>
      <c r="L919" s="121"/>
      <c r="M919" s="121"/>
      <c r="N919" s="121"/>
      <c r="O919" s="121"/>
      <c r="P919" s="121"/>
      <c r="Q919" s="121"/>
      <c r="R919" s="121"/>
      <c r="S919" s="121"/>
      <c r="T919" s="121"/>
      <c r="U919" s="121"/>
      <c r="V919" s="121"/>
      <c r="W919" s="121"/>
      <c r="X919" s="121"/>
      <c r="Y919" s="121"/>
      <c r="Z919" s="121"/>
    </row>
    <row r="920" customFormat="false" ht="15.75" hidden="false" customHeight="false" outlineLevel="0" collapsed="false">
      <c r="A920" s="121"/>
      <c r="B920" s="121"/>
      <c r="C920" s="121"/>
      <c r="D920" s="121"/>
      <c r="E920" s="121"/>
      <c r="F920" s="121"/>
      <c r="G920" s="121"/>
      <c r="H920" s="121"/>
      <c r="I920" s="121"/>
      <c r="J920" s="121"/>
      <c r="K920" s="121"/>
      <c r="L920" s="121"/>
      <c r="M920" s="121"/>
      <c r="N920" s="121"/>
      <c r="O920" s="121"/>
      <c r="P920" s="121"/>
      <c r="Q920" s="121"/>
      <c r="R920" s="121"/>
      <c r="S920" s="121"/>
      <c r="T920" s="121"/>
      <c r="U920" s="121"/>
      <c r="V920" s="121"/>
      <c r="W920" s="121"/>
      <c r="X920" s="121"/>
      <c r="Y920" s="121"/>
      <c r="Z920" s="121"/>
    </row>
    <row r="921" customFormat="false" ht="15.75" hidden="false" customHeight="false" outlineLevel="0" collapsed="false">
      <c r="A921" s="121"/>
      <c r="B921" s="121"/>
      <c r="C921" s="121"/>
      <c r="D921" s="121"/>
      <c r="E921" s="121"/>
      <c r="F921" s="121"/>
      <c r="G921" s="121"/>
      <c r="H921" s="121"/>
      <c r="I921" s="121"/>
      <c r="J921" s="121"/>
      <c r="K921" s="121"/>
      <c r="L921" s="121"/>
      <c r="M921" s="121"/>
      <c r="N921" s="121"/>
      <c r="O921" s="121"/>
      <c r="P921" s="121"/>
      <c r="Q921" s="121"/>
      <c r="R921" s="121"/>
      <c r="S921" s="121"/>
      <c r="T921" s="121"/>
      <c r="U921" s="121"/>
      <c r="V921" s="121"/>
      <c r="W921" s="121"/>
      <c r="X921" s="121"/>
      <c r="Y921" s="121"/>
      <c r="Z921" s="121"/>
    </row>
    <row r="922" customFormat="false" ht="15.75" hidden="false" customHeight="false" outlineLevel="0" collapsed="false">
      <c r="A922" s="121"/>
      <c r="B922" s="121"/>
      <c r="C922" s="121"/>
      <c r="D922" s="121"/>
      <c r="E922" s="121"/>
      <c r="F922" s="121"/>
      <c r="G922" s="121"/>
      <c r="H922" s="121"/>
      <c r="I922" s="121"/>
      <c r="J922" s="121"/>
      <c r="K922" s="121"/>
      <c r="L922" s="121"/>
      <c r="M922" s="121"/>
      <c r="N922" s="121"/>
      <c r="O922" s="121"/>
      <c r="P922" s="121"/>
      <c r="Q922" s="121"/>
      <c r="R922" s="121"/>
      <c r="S922" s="121"/>
      <c r="T922" s="121"/>
      <c r="U922" s="121"/>
      <c r="V922" s="121"/>
      <c r="W922" s="121"/>
      <c r="X922" s="121"/>
      <c r="Y922" s="121"/>
      <c r="Z922" s="121"/>
    </row>
    <row r="923" customFormat="false" ht="15.75" hidden="false" customHeight="false" outlineLevel="0" collapsed="false">
      <c r="A923" s="121"/>
      <c r="B923" s="121"/>
      <c r="C923" s="121"/>
      <c r="D923" s="121"/>
      <c r="E923" s="121"/>
      <c r="F923" s="121"/>
      <c r="G923" s="121"/>
      <c r="H923" s="121"/>
      <c r="I923" s="121"/>
      <c r="J923" s="121"/>
      <c r="K923" s="121"/>
      <c r="L923" s="121"/>
      <c r="M923" s="121"/>
      <c r="N923" s="121"/>
      <c r="O923" s="121"/>
      <c r="P923" s="121"/>
      <c r="Q923" s="121"/>
      <c r="R923" s="121"/>
      <c r="S923" s="121"/>
      <c r="T923" s="121"/>
      <c r="U923" s="121"/>
      <c r="V923" s="121"/>
      <c r="W923" s="121"/>
      <c r="X923" s="121"/>
      <c r="Y923" s="121"/>
      <c r="Z923" s="121"/>
    </row>
    <row r="924" customFormat="false" ht="15.75" hidden="false" customHeight="false" outlineLevel="0" collapsed="false">
      <c r="A924" s="121"/>
      <c r="B924" s="121"/>
      <c r="C924" s="121"/>
      <c r="D924" s="121"/>
      <c r="E924" s="121"/>
      <c r="F924" s="121"/>
      <c r="G924" s="121"/>
      <c r="H924" s="121"/>
      <c r="I924" s="121"/>
      <c r="J924" s="121"/>
      <c r="K924" s="121"/>
      <c r="L924" s="121"/>
      <c r="M924" s="121"/>
      <c r="N924" s="121"/>
      <c r="O924" s="121"/>
      <c r="P924" s="121"/>
      <c r="Q924" s="121"/>
      <c r="R924" s="121"/>
      <c r="S924" s="121"/>
      <c r="T924" s="121"/>
      <c r="U924" s="121"/>
      <c r="V924" s="121"/>
      <c r="W924" s="121"/>
      <c r="X924" s="121"/>
      <c r="Y924" s="121"/>
      <c r="Z924" s="121"/>
    </row>
    <row r="925" customFormat="false" ht="15.75" hidden="false" customHeight="false" outlineLevel="0" collapsed="false">
      <c r="A925" s="121"/>
      <c r="B925" s="121"/>
      <c r="C925" s="121"/>
      <c r="D925" s="121"/>
      <c r="E925" s="121"/>
      <c r="F925" s="121"/>
      <c r="G925" s="121"/>
      <c r="H925" s="121"/>
      <c r="I925" s="121"/>
      <c r="J925" s="121"/>
      <c r="K925" s="121"/>
      <c r="L925" s="121"/>
      <c r="M925" s="121"/>
      <c r="N925" s="121"/>
      <c r="O925" s="121"/>
      <c r="P925" s="121"/>
      <c r="Q925" s="121"/>
      <c r="R925" s="121"/>
      <c r="S925" s="121"/>
      <c r="T925" s="121"/>
      <c r="U925" s="121"/>
      <c r="V925" s="121"/>
      <c r="W925" s="121"/>
      <c r="X925" s="121"/>
      <c r="Y925" s="121"/>
      <c r="Z925" s="121"/>
    </row>
    <row r="926" customFormat="false" ht="15.75" hidden="false" customHeight="false" outlineLevel="0" collapsed="false">
      <c r="A926" s="121"/>
      <c r="B926" s="121"/>
      <c r="C926" s="121"/>
      <c r="D926" s="121"/>
      <c r="E926" s="121"/>
      <c r="F926" s="121"/>
      <c r="G926" s="121"/>
      <c r="H926" s="121"/>
      <c r="I926" s="121"/>
      <c r="J926" s="121"/>
      <c r="K926" s="121"/>
      <c r="L926" s="121"/>
      <c r="M926" s="121"/>
      <c r="N926" s="121"/>
      <c r="O926" s="121"/>
      <c r="P926" s="121"/>
      <c r="Q926" s="121"/>
      <c r="R926" s="121"/>
      <c r="S926" s="121"/>
      <c r="T926" s="121"/>
      <c r="U926" s="121"/>
      <c r="V926" s="121"/>
      <c r="W926" s="121"/>
      <c r="X926" s="121"/>
      <c r="Y926" s="121"/>
      <c r="Z926" s="121"/>
    </row>
    <row r="927" customFormat="false" ht="15.75" hidden="false" customHeight="false" outlineLevel="0" collapsed="false">
      <c r="A927" s="121"/>
      <c r="B927" s="121"/>
      <c r="C927" s="121"/>
      <c r="D927" s="121"/>
      <c r="E927" s="121"/>
      <c r="F927" s="121"/>
      <c r="G927" s="121"/>
      <c r="H927" s="121"/>
      <c r="I927" s="121"/>
      <c r="J927" s="121"/>
      <c r="K927" s="121"/>
      <c r="L927" s="121"/>
      <c r="M927" s="121"/>
      <c r="N927" s="121"/>
      <c r="O927" s="121"/>
      <c r="P927" s="121"/>
      <c r="Q927" s="121"/>
      <c r="R927" s="121"/>
      <c r="S927" s="121"/>
      <c r="T927" s="121"/>
      <c r="U927" s="121"/>
      <c r="V927" s="121"/>
      <c r="W927" s="121"/>
      <c r="X927" s="121"/>
      <c r="Y927" s="121"/>
      <c r="Z927" s="121"/>
    </row>
    <row r="928" customFormat="false" ht="15.75" hidden="false" customHeight="false" outlineLevel="0" collapsed="false">
      <c r="A928" s="121"/>
      <c r="B928" s="121"/>
      <c r="C928" s="121"/>
      <c r="D928" s="121"/>
      <c r="E928" s="121"/>
      <c r="F928" s="121"/>
      <c r="G928" s="121"/>
      <c r="H928" s="121"/>
      <c r="I928" s="121"/>
      <c r="J928" s="121"/>
      <c r="K928" s="121"/>
      <c r="L928" s="121"/>
      <c r="M928" s="121"/>
      <c r="N928" s="121"/>
      <c r="O928" s="121"/>
      <c r="P928" s="121"/>
      <c r="Q928" s="121"/>
      <c r="R928" s="121"/>
      <c r="S928" s="121"/>
      <c r="T928" s="121"/>
      <c r="U928" s="121"/>
      <c r="V928" s="121"/>
      <c r="W928" s="121"/>
      <c r="X928" s="121"/>
      <c r="Y928" s="121"/>
      <c r="Z928" s="121"/>
    </row>
    <row r="929" customFormat="false" ht="15.75" hidden="false" customHeight="false" outlineLevel="0" collapsed="false">
      <c r="A929" s="121"/>
      <c r="B929" s="121"/>
      <c r="C929" s="121"/>
      <c r="D929" s="121"/>
      <c r="E929" s="121"/>
      <c r="F929" s="121"/>
      <c r="G929" s="121"/>
      <c r="H929" s="121"/>
      <c r="I929" s="121"/>
      <c r="J929" s="121"/>
      <c r="K929" s="121"/>
      <c r="L929" s="121"/>
      <c r="M929" s="121"/>
      <c r="N929" s="121"/>
      <c r="O929" s="121"/>
      <c r="P929" s="121"/>
      <c r="Q929" s="121"/>
      <c r="R929" s="121"/>
      <c r="S929" s="121"/>
      <c r="T929" s="121"/>
      <c r="U929" s="121"/>
      <c r="V929" s="121"/>
      <c r="W929" s="121"/>
      <c r="X929" s="121"/>
      <c r="Y929" s="121"/>
      <c r="Z929" s="121"/>
    </row>
    <row r="930" customFormat="false" ht="15.75" hidden="false" customHeight="false" outlineLevel="0" collapsed="false">
      <c r="A930" s="121"/>
      <c r="B930" s="121"/>
      <c r="C930" s="121"/>
      <c r="D930" s="121"/>
      <c r="E930" s="121"/>
      <c r="F930" s="121"/>
      <c r="G930" s="121"/>
      <c r="H930" s="121"/>
      <c r="I930" s="121"/>
      <c r="J930" s="121"/>
      <c r="K930" s="121"/>
      <c r="L930" s="121"/>
      <c r="M930" s="121"/>
      <c r="N930" s="121"/>
      <c r="O930" s="121"/>
      <c r="P930" s="121"/>
      <c r="Q930" s="121"/>
      <c r="R930" s="121"/>
      <c r="S930" s="121"/>
      <c r="T930" s="121"/>
      <c r="U930" s="121"/>
      <c r="V930" s="121"/>
      <c r="W930" s="121"/>
      <c r="X930" s="121"/>
      <c r="Y930" s="121"/>
      <c r="Z930" s="121"/>
    </row>
    <row r="931" customFormat="false" ht="15.75" hidden="false" customHeight="false" outlineLevel="0" collapsed="false">
      <c r="A931" s="121"/>
      <c r="B931" s="121"/>
      <c r="C931" s="121"/>
      <c r="D931" s="121"/>
      <c r="E931" s="121"/>
      <c r="F931" s="121"/>
      <c r="G931" s="121"/>
      <c r="H931" s="121"/>
      <c r="I931" s="121"/>
      <c r="J931" s="121"/>
      <c r="K931" s="121"/>
      <c r="L931" s="121"/>
      <c r="M931" s="121"/>
      <c r="N931" s="121"/>
      <c r="O931" s="121"/>
      <c r="P931" s="121"/>
      <c r="Q931" s="121"/>
      <c r="R931" s="121"/>
      <c r="S931" s="121"/>
      <c r="T931" s="121"/>
      <c r="U931" s="121"/>
      <c r="V931" s="121"/>
      <c r="W931" s="121"/>
      <c r="X931" s="121"/>
      <c r="Y931" s="121"/>
      <c r="Z931" s="121"/>
    </row>
    <row r="932" customFormat="false" ht="15.75" hidden="false" customHeight="false" outlineLevel="0" collapsed="false">
      <c r="A932" s="121"/>
      <c r="B932" s="121"/>
      <c r="C932" s="121"/>
      <c r="D932" s="121"/>
      <c r="E932" s="121"/>
      <c r="F932" s="121"/>
      <c r="G932" s="121"/>
      <c r="H932" s="121"/>
      <c r="I932" s="121"/>
      <c r="J932" s="121"/>
      <c r="K932" s="121"/>
      <c r="L932" s="121"/>
      <c r="M932" s="121"/>
      <c r="N932" s="121"/>
      <c r="O932" s="121"/>
      <c r="P932" s="121"/>
      <c r="Q932" s="121"/>
      <c r="R932" s="121"/>
      <c r="S932" s="121"/>
      <c r="T932" s="121"/>
      <c r="U932" s="121"/>
      <c r="V932" s="121"/>
      <c r="W932" s="121"/>
      <c r="X932" s="121"/>
      <c r="Y932" s="121"/>
      <c r="Z932" s="121"/>
    </row>
    <row r="933" customFormat="false" ht="15.75" hidden="false" customHeight="false" outlineLevel="0" collapsed="false">
      <c r="A933" s="121"/>
      <c r="B933" s="121"/>
      <c r="C933" s="121"/>
      <c r="D933" s="121"/>
      <c r="E933" s="121"/>
      <c r="F933" s="121"/>
      <c r="G933" s="121"/>
      <c r="H933" s="121"/>
      <c r="I933" s="121"/>
      <c r="J933" s="121"/>
      <c r="K933" s="121"/>
      <c r="L933" s="121"/>
      <c r="M933" s="121"/>
      <c r="N933" s="121"/>
      <c r="O933" s="121"/>
      <c r="P933" s="121"/>
      <c r="Q933" s="121"/>
      <c r="R933" s="121"/>
      <c r="S933" s="121"/>
      <c r="T933" s="121"/>
      <c r="U933" s="121"/>
      <c r="V933" s="121"/>
      <c r="W933" s="121"/>
      <c r="X933" s="121"/>
      <c r="Y933" s="121"/>
      <c r="Z933" s="121"/>
    </row>
    <row r="934" customFormat="false" ht="15.75" hidden="false" customHeight="false" outlineLevel="0" collapsed="false">
      <c r="A934" s="121"/>
      <c r="B934" s="121"/>
      <c r="C934" s="121"/>
      <c r="D934" s="121"/>
      <c r="E934" s="121"/>
      <c r="F934" s="121"/>
      <c r="G934" s="121"/>
      <c r="H934" s="121"/>
      <c r="I934" s="121"/>
      <c r="J934" s="121"/>
      <c r="K934" s="121"/>
      <c r="L934" s="121"/>
      <c r="M934" s="121"/>
      <c r="N934" s="121"/>
      <c r="O934" s="121"/>
      <c r="P934" s="121"/>
      <c r="Q934" s="121"/>
      <c r="R934" s="121"/>
      <c r="S934" s="121"/>
      <c r="T934" s="121"/>
      <c r="U934" s="121"/>
      <c r="V934" s="121"/>
      <c r="W934" s="121"/>
      <c r="X934" s="121"/>
      <c r="Y934" s="121"/>
      <c r="Z934" s="121"/>
    </row>
    <row r="935" customFormat="false" ht="15.75" hidden="false" customHeight="false" outlineLevel="0" collapsed="false">
      <c r="A935" s="121"/>
      <c r="B935" s="121"/>
      <c r="C935" s="121"/>
      <c r="D935" s="121"/>
      <c r="E935" s="121"/>
      <c r="F935" s="121"/>
      <c r="G935" s="121"/>
      <c r="H935" s="121"/>
      <c r="I935" s="121"/>
      <c r="J935" s="121"/>
      <c r="K935" s="121"/>
      <c r="L935" s="121"/>
      <c r="M935" s="121"/>
      <c r="N935" s="121"/>
      <c r="O935" s="121"/>
      <c r="P935" s="121"/>
      <c r="Q935" s="121"/>
      <c r="R935" s="121"/>
      <c r="S935" s="121"/>
      <c r="T935" s="121"/>
      <c r="U935" s="121"/>
      <c r="V935" s="121"/>
      <c r="W935" s="121"/>
      <c r="X935" s="121"/>
      <c r="Y935" s="121"/>
      <c r="Z935" s="121"/>
    </row>
    <row r="936" customFormat="false" ht="15.75" hidden="false" customHeight="false" outlineLevel="0" collapsed="false">
      <c r="A936" s="121"/>
      <c r="B936" s="121"/>
      <c r="C936" s="121"/>
      <c r="D936" s="121"/>
      <c r="E936" s="121"/>
      <c r="F936" s="121"/>
      <c r="G936" s="121"/>
      <c r="H936" s="121"/>
      <c r="I936" s="121"/>
      <c r="J936" s="121"/>
      <c r="K936" s="121"/>
      <c r="L936" s="121"/>
      <c r="M936" s="121"/>
      <c r="N936" s="121"/>
      <c r="O936" s="121"/>
      <c r="P936" s="121"/>
      <c r="Q936" s="121"/>
      <c r="R936" s="121"/>
      <c r="S936" s="121"/>
      <c r="T936" s="121"/>
      <c r="U936" s="121"/>
      <c r="V936" s="121"/>
      <c r="W936" s="121"/>
      <c r="X936" s="121"/>
      <c r="Y936" s="121"/>
      <c r="Z936" s="121"/>
    </row>
    <row r="937" customFormat="false" ht="15.75" hidden="false" customHeight="false" outlineLevel="0" collapsed="false">
      <c r="A937" s="121"/>
      <c r="B937" s="121"/>
      <c r="C937" s="121"/>
      <c r="D937" s="121"/>
      <c r="E937" s="121"/>
      <c r="F937" s="121"/>
      <c r="G937" s="121"/>
      <c r="H937" s="121"/>
      <c r="I937" s="121"/>
      <c r="J937" s="121"/>
      <c r="K937" s="121"/>
      <c r="L937" s="121"/>
      <c r="M937" s="121"/>
      <c r="N937" s="121"/>
      <c r="O937" s="121"/>
      <c r="P937" s="121"/>
      <c r="Q937" s="121"/>
      <c r="R937" s="121"/>
      <c r="S937" s="121"/>
      <c r="T937" s="121"/>
      <c r="U937" s="121"/>
      <c r="V937" s="121"/>
      <c r="W937" s="121"/>
      <c r="X937" s="121"/>
      <c r="Y937" s="121"/>
      <c r="Z937" s="121"/>
    </row>
    <row r="938" customFormat="false" ht="15.75" hidden="false" customHeight="false" outlineLevel="0" collapsed="false">
      <c r="A938" s="121"/>
      <c r="B938" s="121"/>
      <c r="C938" s="121"/>
      <c r="D938" s="121"/>
      <c r="E938" s="121"/>
      <c r="F938" s="121"/>
      <c r="G938" s="121"/>
      <c r="H938" s="121"/>
      <c r="I938" s="121"/>
      <c r="J938" s="121"/>
      <c r="K938" s="121"/>
      <c r="L938" s="121"/>
      <c r="M938" s="121"/>
      <c r="N938" s="121"/>
      <c r="O938" s="121"/>
      <c r="P938" s="121"/>
      <c r="Q938" s="121"/>
      <c r="R938" s="121"/>
      <c r="S938" s="121"/>
      <c r="T938" s="121"/>
      <c r="U938" s="121"/>
      <c r="V938" s="121"/>
      <c r="W938" s="121"/>
      <c r="X938" s="121"/>
      <c r="Y938" s="121"/>
      <c r="Z938" s="121"/>
    </row>
    <row r="939" customFormat="false" ht="15.75" hidden="false" customHeight="false" outlineLevel="0" collapsed="false">
      <c r="A939" s="121"/>
      <c r="B939" s="121"/>
      <c r="C939" s="121"/>
      <c r="D939" s="121"/>
      <c r="E939" s="121"/>
      <c r="F939" s="121"/>
      <c r="G939" s="121"/>
      <c r="H939" s="121"/>
      <c r="I939" s="121"/>
      <c r="J939" s="121"/>
      <c r="K939" s="121"/>
      <c r="L939" s="121"/>
      <c r="M939" s="121"/>
      <c r="N939" s="121"/>
      <c r="O939" s="121"/>
      <c r="P939" s="121"/>
      <c r="Q939" s="121"/>
      <c r="R939" s="121"/>
      <c r="S939" s="121"/>
      <c r="T939" s="121"/>
      <c r="U939" s="121"/>
      <c r="V939" s="121"/>
      <c r="W939" s="121"/>
      <c r="X939" s="121"/>
      <c r="Y939" s="121"/>
      <c r="Z939" s="121"/>
    </row>
    <row r="940" customFormat="false" ht="15.75" hidden="false" customHeight="false" outlineLevel="0" collapsed="false">
      <c r="A940" s="121"/>
      <c r="B940" s="121"/>
      <c r="C940" s="121"/>
      <c r="D940" s="121"/>
      <c r="E940" s="121"/>
      <c r="F940" s="121"/>
      <c r="G940" s="121"/>
      <c r="H940" s="121"/>
      <c r="I940" s="121"/>
      <c r="J940" s="121"/>
      <c r="K940" s="121"/>
      <c r="L940" s="121"/>
      <c r="M940" s="121"/>
      <c r="N940" s="121"/>
      <c r="O940" s="121"/>
      <c r="P940" s="121"/>
      <c r="Q940" s="121"/>
      <c r="R940" s="121"/>
      <c r="S940" s="121"/>
      <c r="T940" s="121"/>
      <c r="U940" s="121"/>
      <c r="V940" s="121"/>
      <c r="W940" s="121"/>
      <c r="X940" s="121"/>
      <c r="Y940" s="121"/>
      <c r="Z940" s="121"/>
    </row>
    <row r="941" customFormat="false" ht="15.75" hidden="false" customHeight="false" outlineLevel="0" collapsed="false">
      <c r="A941" s="121"/>
      <c r="B941" s="121"/>
      <c r="C941" s="121"/>
      <c r="D941" s="121"/>
      <c r="E941" s="121"/>
      <c r="F941" s="121"/>
      <c r="G941" s="121"/>
      <c r="H941" s="121"/>
      <c r="I941" s="121"/>
      <c r="J941" s="121"/>
      <c r="K941" s="121"/>
      <c r="L941" s="121"/>
      <c r="M941" s="121"/>
      <c r="N941" s="121"/>
      <c r="O941" s="121"/>
      <c r="P941" s="121"/>
      <c r="Q941" s="121"/>
      <c r="R941" s="121"/>
      <c r="S941" s="121"/>
      <c r="T941" s="121"/>
      <c r="U941" s="121"/>
      <c r="V941" s="121"/>
      <c r="W941" s="121"/>
      <c r="X941" s="121"/>
      <c r="Y941" s="121"/>
      <c r="Z941" s="121"/>
    </row>
    <row r="942" customFormat="false" ht="15.75" hidden="false" customHeight="false" outlineLevel="0" collapsed="false">
      <c r="A942" s="121"/>
      <c r="B942" s="121"/>
      <c r="C942" s="121"/>
      <c r="D942" s="121"/>
      <c r="E942" s="121"/>
      <c r="F942" s="121"/>
      <c r="G942" s="121"/>
      <c r="H942" s="121"/>
      <c r="I942" s="121"/>
      <c r="J942" s="121"/>
      <c r="K942" s="121"/>
      <c r="L942" s="121"/>
      <c r="M942" s="121"/>
      <c r="N942" s="121"/>
      <c r="O942" s="121"/>
      <c r="P942" s="121"/>
      <c r="Q942" s="121"/>
      <c r="R942" s="121"/>
      <c r="S942" s="121"/>
      <c r="T942" s="121"/>
      <c r="U942" s="121"/>
      <c r="V942" s="121"/>
      <c r="W942" s="121"/>
      <c r="X942" s="121"/>
      <c r="Y942" s="121"/>
      <c r="Z942" s="121"/>
    </row>
    <row r="943" customFormat="false" ht="15.75" hidden="false" customHeight="false" outlineLevel="0" collapsed="false">
      <c r="A943" s="121"/>
      <c r="B943" s="121"/>
      <c r="C943" s="121"/>
      <c r="D943" s="121"/>
      <c r="E943" s="121"/>
      <c r="F943" s="121"/>
      <c r="G943" s="121"/>
      <c r="H943" s="121"/>
      <c r="I943" s="121"/>
      <c r="J943" s="121"/>
      <c r="K943" s="121"/>
      <c r="L943" s="121"/>
      <c r="M943" s="121"/>
      <c r="N943" s="121"/>
      <c r="O943" s="121"/>
      <c r="P943" s="121"/>
      <c r="Q943" s="121"/>
      <c r="R943" s="121"/>
      <c r="S943" s="121"/>
      <c r="T943" s="121"/>
      <c r="U943" s="121"/>
      <c r="V943" s="121"/>
      <c r="W943" s="121"/>
      <c r="X943" s="121"/>
      <c r="Y943" s="121"/>
      <c r="Z943" s="121"/>
    </row>
    <row r="944" customFormat="false" ht="15.75" hidden="false" customHeight="false" outlineLevel="0" collapsed="false">
      <c r="A944" s="121"/>
      <c r="B944" s="121"/>
      <c r="C944" s="121"/>
      <c r="D944" s="121"/>
      <c r="E944" s="121"/>
      <c r="F944" s="121"/>
      <c r="G944" s="121"/>
      <c r="H944" s="121"/>
      <c r="I944" s="121"/>
      <c r="J944" s="121"/>
      <c r="K944" s="121"/>
      <c r="L944" s="121"/>
      <c r="M944" s="121"/>
      <c r="N944" s="121"/>
      <c r="O944" s="121"/>
      <c r="P944" s="121"/>
      <c r="Q944" s="121"/>
      <c r="R944" s="121"/>
      <c r="S944" s="121"/>
      <c r="T944" s="121"/>
      <c r="U944" s="121"/>
      <c r="V944" s="121"/>
      <c r="W944" s="121"/>
      <c r="X944" s="121"/>
      <c r="Y944" s="121"/>
      <c r="Z944" s="121"/>
    </row>
    <row r="945" customFormat="false" ht="15.75" hidden="false" customHeight="false" outlineLevel="0" collapsed="false">
      <c r="A945" s="121"/>
      <c r="B945" s="121"/>
      <c r="C945" s="121"/>
      <c r="D945" s="121"/>
      <c r="E945" s="121"/>
      <c r="F945" s="121"/>
      <c r="G945" s="121"/>
      <c r="H945" s="121"/>
      <c r="I945" s="121"/>
      <c r="J945" s="121"/>
      <c r="K945" s="121"/>
      <c r="L945" s="121"/>
      <c r="M945" s="121"/>
      <c r="N945" s="121"/>
      <c r="O945" s="121"/>
      <c r="P945" s="121"/>
      <c r="Q945" s="121"/>
      <c r="R945" s="121"/>
      <c r="S945" s="121"/>
      <c r="T945" s="121"/>
      <c r="U945" s="121"/>
      <c r="V945" s="121"/>
      <c r="W945" s="121"/>
      <c r="X945" s="121"/>
      <c r="Y945" s="121"/>
      <c r="Z945" s="121"/>
    </row>
    <row r="946" customFormat="false" ht="15.75" hidden="false" customHeight="false" outlineLevel="0" collapsed="false">
      <c r="A946" s="121"/>
      <c r="B946" s="121"/>
      <c r="C946" s="121"/>
      <c r="D946" s="121"/>
      <c r="E946" s="121"/>
      <c r="F946" s="121"/>
      <c r="G946" s="121"/>
      <c r="H946" s="121"/>
      <c r="I946" s="121"/>
      <c r="J946" s="121"/>
      <c r="K946" s="121"/>
      <c r="L946" s="121"/>
      <c r="M946" s="121"/>
      <c r="N946" s="121"/>
      <c r="O946" s="121"/>
      <c r="P946" s="121"/>
      <c r="Q946" s="121"/>
      <c r="R946" s="121"/>
      <c r="S946" s="121"/>
      <c r="T946" s="121"/>
      <c r="U946" s="121"/>
      <c r="V946" s="121"/>
      <c r="W946" s="121"/>
      <c r="X946" s="121"/>
      <c r="Y946" s="121"/>
      <c r="Z946" s="121"/>
    </row>
    <row r="947" customFormat="false" ht="15.75" hidden="false" customHeight="false" outlineLevel="0" collapsed="false">
      <c r="A947" s="121"/>
      <c r="B947" s="121"/>
      <c r="C947" s="121"/>
      <c r="D947" s="121"/>
      <c r="E947" s="121"/>
      <c r="F947" s="121"/>
      <c r="G947" s="121"/>
      <c r="H947" s="121"/>
      <c r="I947" s="121"/>
      <c r="J947" s="121"/>
      <c r="K947" s="121"/>
      <c r="L947" s="121"/>
      <c r="M947" s="121"/>
      <c r="N947" s="121"/>
      <c r="O947" s="121"/>
      <c r="P947" s="121"/>
      <c r="Q947" s="121"/>
      <c r="R947" s="121"/>
      <c r="S947" s="121"/>
      <c r="T947" s="121"/>
      <c r="U947" s="121"/>
      <c r="V947" s="121"/>
      <c r="W947" s="121"/>
      <c r="X947" s="121"/>
      <c r="Y947" s="121"/>
      <c r="Z947" s="121"/>
    </row>
    <row r="948" customFormat="false" ht="15.75" hidden="false" customHeight="false" outlineLevel="0" collapsed="false">
      <c r="A948" s="121"/>
      <c r="B948" s="121"/>
      <c r="C948" s="121"/>
      <c r="D948" s="121"/>
      <c r="E948" s="121"/>
      <c r="F948" s="121"/>
      <c r="G948" s="121"/>
      <c r="H948" s="121"/>
      <c r="I948" s="121"/>
      <c r="J948" s="121"/>
      <c r="K948" s="121"/>
      <c r="L948" s="121"/>
      <c r="M948" s="121"/>
      <c r="N948" s="121"/>
      <c r="O948" s="121"/>
      <c r="P948" s="121"/>
      <c r="Q948" s="121"/>
      <c r="R948" s="121"/>
      <c r="S948" s="121"/>
      <c r="T948" s="121"/>
      <c r="U948" s="121"/>
      <c r="V948" s="121"/>
      <c r="W948" s="121"/>
      <c r="X948" s="121"/>
      <c r="Y948" s="121"/>
      <c r="Z948" s="121"/>
    </row>
    <row r="949" customFormat="false" ht="15.75" hidden="false" customHeight="false" outlineLevel="0" collapsed="false">
      <c r="A949" s="121"/>
      <c r="B949" s="121"/>
      <c r="C949" s="121"/>
      <c r="D949" s="121"/>
      <c r="E949" s="121"/>
      <c r="F949" s="121"/>
      <c r="G949" s="121"/>
      <c r="H949" s="121"/>
      <c r="I949" s="121"/>
      <c r="J949" s="121"/>
      <c r="K949" s="121"/>
      <c r="L949" s="121"/>
      <c r="M949" s="121"/>
      <c r="N949" s="121"/>
      <c r="O949" s="121"/>
      <c r="P949" s="121"/>
      <c r="Q949" s="121"/>
      <c r="R949" s="121"/>
      <c r="S949" s="121"/>
      <c r="T949" s="121"/>
      <c r="U949" s="121"/>
      <c r="V949" s="121"/>
      <c r="W949" s="121"/>
      <c r="X949" s="121"/>
      <c r="Y949" s="121"/>
      <c r="Z949" s="121"/>
    </row>
    <row r="950" customFormat="false" ht="15.75" hidden="false" customHeight="false" outlineLevel="0" collapsed="false">
      <c r="A950" s="121"/>
      <c r="B950" s="121"/>
      <c r="C950" s="121"/>
      <c r="D950" s="121"/>
      <c r="E950" s="121"/>
      <c r="F950" s="121"/>
      <c r="G950" s="121"/>
      <c r="H950" s="121"/>
      <c r="I950" s="121"/>
      <c r="J950" s="121"/>
      <c r="K950" s="121"/>
      <c r="L950" s="121"/>
      <c r="M950" s="121"/>
      <c r="N950" s="121"/>
      <c r="O950" s="121"/>
      <c r="P950" s="121"/>
      <c r="Q950" s="121"/>
      <c r="R950" s="121"/>
      <c r="S950" s="121"/>
      <c r="T950" s="121"/>
      <c r="U950" s="121"/>
      <c r="V950" s="121"/>
      <c r="W950" s="121"/>
      <c r="X950" s="121"/>
      <c r="Y950" s="121"/>
      <c r="Z950" s="121"/>
    </row>
    <row r="951" customFormat="false" ht="15.75" hidden="false" customHeight="false" outlineLevel="0" collapsed="false">
      <c r="A951" s="121"/>
      <c r="B951" s="121"/>
      <c r="C951" s="121"/>
      <c r="D951" s="121"/>
      <c r="E951" s="121"/>
      <c r="F951" s="121"/>
      <c r="G951" s="121"/>
      <c r="H951" s="121"/>
      <c r="I951" s="121"/>
      <c r="J951" s="121"/>
      <c r="K951" s="121"/>
      <c r="L951" s="121"/>
      <c r="M951" s="121"/>
      <c r="N951" s="121"/>
      <c r="O951" s="121"/>
      <c r="P951" s="121"/>
      <c r="Q951" s="121"/>
      <c r="R951" s="121"/>
      <c r="S951" s="121"/>
      <c r="T951" s="121"/>
      <c r="U951" s="121"/>
      <c r="V951" s="121"/>
      <c r="W951" s="121"/>
      <c r="X951" s="121"/>
      <c r="Y951" s="121"/>
      <c r="Z951" s="121"/>
    </row>
    <row r="952" customFormat="false" ht="15.75" hidden="false" customHeight="false" outlineLevel="0" collapsed="false">
      <c r="A952" s="121"/>
      <c r="B952" s="121"/>
      <c r="C952" s="121"/>
      <c r="D952" s="121"/>
      <c r="E952" s="121"/>
      <c r="F952" s="121"/>
      <c r="G952" s="121"/>
      <c r="H952" s="121"/>
      <c r="I952" s="121"/>
      <c r="J952" s="121"/>
      <c r="K952" s="121"/>
      <c r="L952" s="121"/>
      <c r="M952" s="121"/>
      <c r="N952" s="121"/>
      <c r="O952" s="121"/>
      <c r="P952" s="121"/>
      <c r="Q952" s="121"/>
      <c r="R952" s="121"/>
      <c r="S952" s="121"/>
      <c r="T952" s="121"/>
      <c r="U952" s="121"/>
      <c r="V952" s="121"/>
      <c r="W952" s="121"/>
      <c r="X952" s="121"/>
      <c r="Y952" s="121"/>
      <c r="Z952" s="121"/>
    </row>
    <row r="953" customFormat="false" ht="15.75" hidden="false" customHeight="false" outlineLevel="0" collapsed="false">
      <c r="A953" s="121"/>
      <c r="B953" s="121"/>
      <c r="C953" s="121"/>
      <c r="D953" s="121"/>
      <c r="E953" s="121"/>
      <c r="F953" s="121"/>
      <c r="G953" s="121"/>
      <c r="H953" s="121"/>
      <c r="I953" s="121"/>
      <c r="J953" s="121"/>
      <c r="K953" s="121"/>
      <c r="L953" s="121"/>
      <c r="M953" s="121"/>
      <c r="N953" s="121"/>
      <c r="O953" s="121"/>
      <c r="P953" s="121"/>
      <c r="Q953" s="121"/>
      <c r="R953" s="121"/>
      <c r="S953" s="121"/>
      <c r="T953" s="121"/>
      <c r="U953" s="121"/>
      <c r="V953" s="121"/>
      <c r="W953" s="121"/>
      <c r="X953" s="121"/>
      <c r="Y953" s="121"/>
      <c r="Z953" s="121"/>
    </row>
    <row r="954" customFormat="false" ht="15.75" hidden="false" customHeight="false" outlineLevel="0" collapsed="false">
      <c r="A954" s="121"/>
      <c r="B954" s="121"/>
      <c r="C954" s="121"/>
      <c r="D954" s="121"/>
      <c r="E954" s="121"/>
      <c r="F954" s="121"/>
      <c r="G954" s="121"/>
      <c r="H954" s="121"/>
      <c r="I954" s="121"/>
      <c r="J954" s="121"/>
      <c r="K954" s="121"/>
      <c r="L954" s="121"/>
      <c r="M954" s="121"/>
      <c r="N954" s="121"/>
      <c r="O954" s="121"/>
      <c r="P954" s="121"/>
      <c r="Q954" s="121"/>
      <c r="R954" s="121"/>
      <c r="S954" s="121"/>
      <c r="T954" s="121"/>
      <c r="U954" s="121"/>
      <c r="V954" s="121"/>
      <c r="W954" s="121"/>
      <c r="X954" s="121"/>
      <c r="Y954" s="121"/>
      <c r="Z954" s="121"/>
    </row>
    <row r="955" customFormat="false" ht="15.75" hidden="false" customHeight="false" outlineLevel="0" collapsed="false">
      <c r="A955" s="121"/>
      <c r="B955" s="121"/>
      <c r="C955" s="121"/>
      <c r="D955" s="121"/>
      <c r="E955" s="121"/>
      <c r="F955" s="121"/>
      <c r="G955" s="121"/>
      <c r="H955" s="121"/>
      <c r="I955" s="121"/>
      <c r="J955" s="121"/>
      <c r="K955" s="121"/>
      <c r="L955" s="121"/>
      <c r="M955" s="121"/>
      <c r="N955" s="121"/>
      <c r="O955" s="121"/>
      <c r="P955" s="121"/>
      <c r="Q955" s="121"/>
      <c r="R955" s="121"/>
      <c r="S955" s="121"/>
      <c r="T955" s="121"/>
      <c r="U955" s="121"/>
      <c r="V955" s="121"/>
      <c r="W955" s="121"/>
      <c r="X955" s="121"/>
      <c r="Y955" s="121"/>
      <c r="Z955" s="121"/>
    </row>
    <row r="956" customFormat="false" ht="15.75" hidden="false" customHeight="false" outlineLevel="0" collapsed="false">
      <c r="A956" s="121"/>
      <c r="B956" s="121"/>
      <c r="C956" s="121"/>
      <c r="D956" s="121"/>
      <c r="E956" s="121"/>
      <c r="F956" s="121"/>
      <c r="G956" s="121"/>
      <c r="H956" s="121"/>
      <c r="I956" s="121"/>
      <c r="J956" s="121"/>
      <c r="K956" s="121"/>
      <c r="L956" s="121"/>
      <c r="M956" s="121"/>
      <c r="N956" s="121"/>
      <c r="O956" s="121"/>
      <c r="P956" s="121"/>
      <c r="Q956" s="121"/>
      <c r="R956" s="121"/>
      <c r="S956" s="121"/>
      <c r="T956" s="121"/>
      <c r="U956" s="121"/>
      <c r="V956" s="121"/>
      <c r="W956" s="121"/>
      <c r="X956" s="121"/>
      <c r="Y956" s="121"/>
      <c r="Z956" s="121"/>
    </row>
    <row r="957" customFormat="false" ht="15.75" hidden="false" customHeight="false" outlineLevel="0" collapsed="false">
      <c r="A957" s="121"/>
      <c r="B957" s="121"/>
      <c r="C957" s="121"/>
      <c r="D957" s="121"/>
      <c r="E957" s="121"/>
      <c r="F957" s="121"/>
      <c r="G957" s="121"/>
      <c r="H957" s="121"/>
      <c r="I957" s="121"/>
      <c r="J957" s="121"/>
      <c r="K957" s="121"/>
      <c r="L957" s="121"/>
      <c r="M957" s="121"/>
      <c r="N957" s="121"/>
      <c r="O957" s="121"/>
      <c r="P957" s="121"/>
      <c r="Q957" s="121"/>
      <c r="R957" s="121"/>
      <c r="S957" s="121"/>
      <c r="T957" s="121"/>
      <c r="U957" s="121"/>
      <c r="V957" s="121"/>
      <c r="W957" s="121"/>
      <c r="X957" s="121"/>
      <c r="Y957" s="121"/>
      <c r="Z957" s="121"/>
    </row>
    <row r="958" customFormat="false" ht="15.75" hidden="false" customHeight="false" outlineLevel="0" collapsed="false">
      <c r="A958" s="121"/>
      <c r="B958" s="121"/>
      <c r="C958" s="121"/>
      <c r="D958" s="121"/>
      <c r="E958" s="121"/>
      <c r="F958" s="121"/>
      <c r="G958" s="121"/>
      <c r="H958" s="121"/>
      <c r="I958" s="121"/>
      <c r="J958" s="121"/>
      <c r="K958" s="121"/>
      <c r="L958" s="121"/>
      <c r="M958" s="121"/>
      <c r="N958" s="121"/>
      <c r="O958" s="121"/>
      <c r="P958" s="121"/>
      <c r="Q958" s="121"/>
      <c r="R958" s="121"/>
      <c r="S958" s="121"/>
      <c r="T958" s="121"/>
      <c r="U958" s="121"/>
      <c r="V958" s="121"/>
      <c r="W958" s="121"/>
      <c r="X958" s="121"/>
      <c r="Y958" s="121"/>
      <c r="Z958" s="121"/>
    </row>
    <row r="959" customFormat="false" ht="15.75" hidden="false" customHeight="false" outlineLevel="0" collapsed="false">
      <c r="A959" s="121"/>
      <c r="B959" s="121"/>
      <c r="C959" s="121"/>
      <c r="D959" s="121"/>
      <c r="E959" s="121"/>
      <c r="F959" s="121"/>
      <c r="G959" s="121"/>
      <c r="H959" s="121"/>
      <c r="I959" s="121"/>
      <c r="J959" s="121"/>
      <c r="K959" s="121"/>
      <c r="L959" s="121"/>
      <c r="M959" s="121"/>
      <c r="N959" s="121"/>
      <c r="O959" s="121"/>
      <c r="P959" s="121"/>
      <c r="Q959" s="121"/>
      <c r="R959" s="121"/>
      <c r="S959" s="121"/>
      <c r="T959" s="121"/>
      <c r="U959" s="121"/>
      <c r="V959" s="121"/>
      <c r="W959" s="121"/>
      <c r="X959" s="121"/>
      <c r="Y959" s="121"/>
      <c r="Z959" s="121"/>
    </row>
    <row r="960" customFormat="false" ht="15.75" hidden="false" customHeight="false" outlineLevel="0" collapsed="false">
      <c r="A960" s="121"/>
      <c r="B960" s="121"/>
      <c r="C960" s="121"/>
      <c r="D960" s="121"/>
      <c r="E960" s="121"/>
      <c r="F960" s="121"/>
      <c r="G960" s="121"/>
      <c r="H960" s="121"/>
      <c r="I960" s="121"/>
      <c r="J960" s="121"/>
      <c r="K960" s="121"/>
      <c r="L960" s="121"/>
      <c r="M960" s="121"/>
      <c r="N960" s="121"/>
      <c r="O960" s="121"/>
      <c r="P960" s="121"/>
      <c r="Q960" s="121"/>
      <c r="R960" s="121"/>
      <c r="S960" s="121"/>
      <c r="T960" s="121"/>
      <c r="U960" s="121"/>
      <c r="V960" s="121"/>
      <c r="W960" s="121"/>
      <c r="X960" s="121"/>
      <c r="Y960" s="121"/>
      <c r="Z960" s="121"/>
    </row>
    <row r="961" customFormat="false" ht="15.75" hidden="false" customHeight="false" outlineLevel="0" collapsed="false">
      <c r="A961" s="121"/>
      <c r="B961" s="121"/>
      <c r="C961" s="121"/>
      <c r="D961" s="121"/>
      <c r="E961" s="121"/>
      <c r="F961" s="121"/>
      <c r="G961" s="121"/>
      <c r="H961" s="121"/>
      <c r="I961" s="121"/>
      <c r="J961" s="121"/>
      <c r="K961" s="121"/>
      <c r="L961" s="121"/>
      <c r="M961" s="121"/>
      <c r="N961" s="121"/>
      <c r="O961" s="121"/>
      <c r="P961" s="121"/>
      <c r="Q961" s="121"/>
      <c r="R961" s="121"/>
      <c r="S961" s="121"/>
      <c r="T961" s="121"/>
      <c r="U961" s="121"/>
      <c r="V961" s="121"/>
      <c r="W961" s="121"/>
      <c r="X961" s="121"/>
      <c r="Y961" s="121"/>
      <c r="Z961" s="121"/>
    </row>
    <row r="962" customFormat="false" ht="15.75" hidden="false" customHeight="false" outlineLevel="0" collapsed="false">
      <c r="A962" s="121"/>
      <c r="B962" s="121"/>
      <c r="C962" s="121"/>
      <c r="D962" s="121"/>
      <c r="E962" s="121"/>
      <c r="F962" s="121"/>
      <c r="G962" s="121"/>
      <c r="H962" s="121"/>
      <c r="I962" s="121"/>
      <c r="J962" s="121"/>
      <c r="K962" s="121"/>
      <c r="L962" s="121"/>
      <c r="M962" s="121"/>
      <c r="N962" s="121"/>
      <c r="O962" s="121"/>
      <c r="P962" s="121"/>
      <c r="Q962" s="121"/>
      <c r="R962" s="121"/>
      <c r="S962" s="121"/>
      <c r="T962" s="121"/>
      <c r="U962" s="121"/>
      <c r="V962" s="121"/>
      <c r="W962" s="121"/>
      <c r="X962" s="121"/>
      <c r="Y962" s="121"/>
      <c r="Z962" s="121"/>
    </row>
    <row r="963" customFormat="false" ht="15.75" hidden="false" customHeight="false" outlineLevel="0" collapsed="false">
      <c r="A963" s="121"/>
      <c r="B963" s="121"/>
      <c r="C963" s="121"/>
      <c r="D963" s="121"/>
      <c r="E963" s="121"/>
      <c r="F963" s="121"/>
      <c r="G963" s="121"/>
      <c r="H963" s="121"/>
      <c r="I963" s="121"/>
      <c r="J963" s="121"/>
      <c r="K963" s="121"/>
      <c r="L963" s="121"/>
      <c r="M963" s="121"/>
      <c r="N963" s="121"/>
      <c r="O963" s="121"/>
      <c r="P963" s="121"/>
      <c r="Q963" s="121"/>
      <c r="R963" s="121"/>
      <c r="S963" s="121"/>
      <c r="T963" s="121"/>
      <c r="U963" s="121"/>
      <c r="V963" s="121"/>
      <c r="W963" s="121"/>
      <c r="X963" s="121"/>
      <c r="Y963" s="121"/>
      <c r="Z963" s="121"/>
    </row>
    <row r="964" customFormat="false" ht="15.75" hidden="false" customHeight="false" outlineLevel="0" collapsed="false">
      <c r="A964" s="121"/>
      <c r="B964" s="121"/>
      <c r="C964" s="121"/>
      <c r="D964" s="121"/>
      <c r="E964" s="121"/>
      <c r="F964" s="121"/>
      <c r="G964" s="121"/>
      <c r="H964" s="121"/>
      <c r="I964" s="121"/>
      <c r="J964" s="121"/>
      <c r="K964" s="121"/>
      <c r="L964" s="121"/>
      <c r="M964" s="121"/>
      <c r="N964" s="121"/>
      <c r="O964" s="121"/>
      <c r="P964" s="121"/>
      <c r="Q964" s="121"/>
      <c r="R964" s="121"/>
      <c r="S964" s="121"/>
      <c r="T964" s="121"/>
      <c r="U964" s="121"/>
      <c r="V964" s="121"/>
      <c r="W964" s="121"/>
      <c r="X964" s="121"/>
      <c r="Y964" s="121"/>
      <c r="Z964" s="121"/>
    </row>
    <row r="965" customFormat="false" ht="15.75" hidden="false" customHeight="false" outlineLevel="0" collapsed="false">
      <c r="A965" s="121"/>
      <c r="B965" s="121"/>
      <c r="C965" s="121"/>
      <c r="D965" s="121"/>
      <c r="E965" s="121"/>
      <c r="F965" s="121"/>
      <c r="G965" s="121"/>
      <c r="H965" s="121"/>
      <c r="I965" s="121"/>
      <c r="J965" s="121"/>
      <c r="K965" s="121"/>
      <c r="L965" s="121"/>
      <c r="M965" s="121"/>
      <c r="N965" s="121"/>
      <c r="O965" s="121"/>
      <c r="P965" s="121"/>
      <c r="Q965" s="121"/>
      <c r="R965" s="121"/>
      <c r="S965" s="121"/>
      <c r="T965" s="121"/>
      <c r="U965" s="121"/>
      <c r="V965" s="121"/>
      <c r="W965" s="121"/>
      <c r="X965" s="121"/>
      <c r="Y965" s="121"/>
      <c r="Z965" s="121"/>
    </row>
    <row r="966" customFormat="false" ht="15.75" hidden="false" customHeight="false" outlineLevel="0" collapsed="false">
      <c r="A966" s="121"/>
      <c r="B966" s="121"/>
      <c r="C966" s="121"/>
      <c r="D966" s="121"/>
      <c r="E966" s="121"/>
      <c r="F966" s="121"/>
      <c r="G966" s="121"/>
      <c r="H966" s="121"/>
      <c r="I966" s="121"/>
      <c r="J966" s="121"/>
      <c r="K966" s="121"/>
      <c r="L966" s="121"/>
      <c r="M966" s="121"/>
      <c r="N966" s="121"/>
      <c r="O966" s="121"/>
      <c r="P966" s="121"/>
      <c r="Q966" s="121"/>
      <c r="R966" s="121"/>
      <c r="S966" s="121"/>
      <c r="T966" s="121"/>
      <c r="U966" s="121"/>
      <c r="V966" s="121"/>
      <c r="W966" s="121"/>
      <c r="X966" s="121"/>
      <c r="Y966" s="121"/>
      <c r="Z966" s="121"/>
    </row>
    <row r="967" customFormat="false" ht="15.75" hidden="false" customHeight="false" outlineLevel="0" collapsed="false">
      <c r="A967" s="121"/>
      <c r="B967" s="121"/>
      <c r="C967" s="121"/>
      <c r="D967" s="121"/>
      <c r="E967" s="121"/>
      <c r="F967" s="121"/>
      <c r="G967" s="121"/>
      <c r="H967" s="121"/>
      <c r="I967" s="121"/>
      <c r="J967" s="121"/>
      <c r="K967" s="121"/>
      <c r="L967" s="121"/>
      <c r="M967" s="121"/>
      <c r="N967" s="121"/>
      <c r="O967" s="121"/>
      <c r="P967" s="121"/>
      <c r="Q967" s="121"/>
      <c r="R967" s="121"/>
      <c r="S967" s="121"/>
      <c r="T967" s="121"/>
      <c r="U967" s="121"/>
      <c r="V967" s="121"/>
      <c r="W967" s="121"/>
      <c r="X967" s="121"/>
      <c r="Y967" s="121"/>
      <c r="Z967" s="121"/>
    </row>
    <row r="968" customFormat="false" ht="15.75" hidden="false" customHeight="false" outlineLevel="0" collapsed="false">
      <c r="A968" s="121"/>
      <c r="B968" s="121"/>
      <c r="C968" s="121"/>
      <c r="D968" s="121"/>
      <c r="E968" s="121"/>
      <c r="F968" s="121"/>
      <c r="G968" s="121"/>
      <c r="H968" s="121"/>
      <c r="I968" s="121"/>
      <c r="J968" s="121"/>
      <c r="K968" s="121"/>
      <c r="L968" s="121"/>
      <c r="M968" s="121"/>
      <c r="N968" s="121"/>
      <c r="O968" s="121"/>
      <c r="P968" s="121"/>
      <c r="Q968" s="121"/>
      <c r="R968" s="121"/>
      <c r="S968" s="121"/>
      <c r="T968" s="121"/>
      <c r="U968" s="121"/>
      <c r="V968" s="121"/>
      <c r="W968" s="121"/>
      <c r="X968" s="121"/>
      <c r="Y968" s="121"/>
      <c r="Z968" s="121"/>
    </row>
    <row r="969" customFormat="false" ht="15.75" hidden="false" customHeight="false" outlineLevel="0" collapsed="false">
      <c r="A969" s="121"/>
      <c r="B969" s="121"/>
      <c r="C969" s="121"/>
      <c r="D969" s="121"/>
      <c r="E969" s="121"/>
      <c r="F969" s="121"/>
      <c r="G969" s="121"/>
      <c r="H969" s="121"/>
      <c r="I969" s="121"/>
      <c r="J969" s="121"/>
      <c r="K969" s="121"/>
      <c r="L969" s="121"/>
      <c r="M969" s="121"/>
      <c r="N969" s="121"/>
      <c r="O969" s="121"/>
      <c r="P969" s="121"/>
      <c r="Q969" s="121"/>
      <c r="R969" s="121"/>
      <c r="S969" s="121"/>
      <c r="T969" s="121"/>
      <c r="U969" s="121"/>
      <c r="V969" s="121"/>
      <c r="W969" s="121"/>
      <c r="X969" s="121"/>
      <c r="Y969" s="121"/>
      <c r="Z969" s="121"/>
    </row>
    <row r="970" customFormat="false" ht="15.75" hidden="false" customHeight="false" outlineLevel="0" collapsed="false">
      <c r="A970" s="121"/>
      <c r="B970" s="121"/>
      <c r="C970" s="121"/>
      <c r="D970" s="121"/>
      <c r="E970" s="121"/>
      <c r="F970" s="121"/>
      <c r="G970" s="121"/>
      <c r="H970" s="121"/>
      <c r="I970" s="121"/>
      <c r="J970" s="121"/>
      <c r="K970" s="121"/>
      <c r="L970" s="121"/>
      <c r="M970" s="121"/>
      <c r="N970" s="121"/>
      <c r="O970" s="121"/>
      <c r="P970" s="121"/>
      <c r="Q970" s="121"/>
      <c r="R970" s="121"/>
      <c r="S970" s="121"/>
      <c r="T970" s="121"/>
      <c r="U970" s="121"/>
      <c r="V970" s="121"/>
      <c r="W970" s="121"/>
      <c r="X970" s="121"/>
      <c r="Y970" s="121"/>
      <c r="Z970" s="121"/>
    </row>
    <row r="971" customFormat="false" ht="15.75" hidden="false" customHeight="false" outlineLevel="0" collapsed="false">
      <c r="A971" s="121"/>
      <c r="B971" s="121"/>
      <c r="C971" s="121"/>
      <c r="D971" s="121"/>
      <c r="E971" s="121"/>
      <c r="F971" s="121"/>
      <c r="G971" s="121"/>
      <c r="H971" s="121"/>
      <c r="I971" s="121"/>
      <c r="J971" s="121"/>
      <c r="K971" s="121"/>
      <c r="L971" s="121"/>
      <c r="M971" s="121"/>
      <c r="N971" s="121"/>
      <c r="O971" s="121"/>
      <c r="P971" s="121"/>
      <c r="Q971" s="121"/>
      <c r="R971" s="121"/>
      <c r="S971" s="121"/>
      <c r="T971" s="121"/>
      <c r="U971" s="121"/>
      <c r="V971" s="121"/>
      <c r="W971" s="121"/>
      <c r="X971" s="121"/>
      <c r="Y971" s="121"/>
      <c r="Z971" s="121"/>
    </row>
    <row r="972" customFormat="false" ht="15.75" hidden="false" customHeight="false" outlineLevel="0" collapsed="false">
      <c r="A972" s="121"/>
      <c r="B972" s="121"/>
      <c r="C972" s="121"/>
      <c r="D972" s="121"/>
      <c r="E972" s="121"/>
      <c r="F972" s="121"/>
      <c r="G972" s="121"/>
      <c r="H972" s="121"/>
      <c r="I972" s="121"/>
      <c r="J972" s="121"/>
      <c r="K972" s="121"/>
      <c r="L972" s="121"/>
      <c r="M972" s="121"/>
      <c r="N972" s="121"/>
      <c r="O972" s="121"/>
      <c r="P972" s="121"/>
      <c r="Q972" s="121"/>
      <c r="R972" s="121"/>
      <c r="S972" s="121"/>
      <c r="T972" s="121"/>
      <c r="U972" s="121"/>
      <c r="V972" s="121"/>
      <c r="W972" s="121"/>
      <c r="X972" s="121"/>
      <c r="Y972" s="121"/>
      <c r="Z972" s="121"/>
    </row>
    <row r="973" customFormat="false" ht="15.75" hidden="false" customHeight="false" outlineLevel="0" collapsed="false">
      <c r="A973" s="121"/>
      <c r="B973" s="121"/>
      <c r="C973" s="121"/>
      <c r="D973" s="121"/>
      <c r="E973" s="121"/>
      <c r="F973" s="121"/>
      <c r="G973" s="121"/>
      <c r="H973" s="121"/>
      <c r="I973" s="121"/>
      <c r="J973" s="121"/>
      <c r="K973" s="121"/>
      <c r="L973" s="121"/>
      <c r="M973" s="121"/>
      <c r="N973" s="121"/>
      <c r="O973" s="121"/>
      <c r="P973" s="121"/>
      <c r="Q973" s="121"/>
      <c r="R973" s="121"/>
      <c r="S973" s="121"/>
      <c r="T973" s="121"/>
      <c r="U973" s="121"/>
      <c r="V973" s="121"/>
      <c r="W973" s="121"/>
      <c r="X973" s="121"/>
      <c r="Y973" s="121"/>
      <c r="Z973" s="121"/>
    </row>
    <row r="974" customFormat="false" ht="15.75" hidden="false" customHeight="false" outlineLevel="0" collapsed="false">
      <c r="A974" s="121"/>
      <c r="B974" s="121"/>
      <c r="C974" s="121"/>
      <c r="D974" s="121"/>
      <c r="E974" s="121"/>
      <c r="F974" s="121"/>
      <c r="G974" s="121"/>
      <c r="H974" s="121"/>
      <c r="I974" s="121"/>
      <c r="J974" s="121"/>
      <c r="K974" s="121"/>
      <c r="L974" s="121"/>
      <c r="M974" s="121"/>
      <c r="N974" s="121"/>
      <c r="O974" s="121"/>
      <c r="P974" s="121"/>
      <c r="Q974" s="121"/>
      <c r="R974" s="121"/>
      <c r="S974" s="121"/>
      <c r="T974" s="121"/>
      <c r="U974" s="121"/>
      <c r="V974" s="121"/>
      <c r="W974" s="121"/>
      <c r="X974" s="121"/>
      <c r="Y974" s="121"/>
      <c r="Z974" s="121"/>
    </row>
    <row r="975" customFormat="false" ht="15.75" hidden="false" customHeight="false" outlineLevel="0" collapsed="false">
      <c r="A975" s="121"/>
      <c r="B975" s="121"/>
      <c r="C975" s="121"/>
      <c r="D975" s="121"/>
      <c r="E975" s="121"/>
      <c r="F975" s="121"/>
      <c r="G975" s="121"/>
      <c r="H975" s="121"/>
      <c r="I975" s="121"/>
      <c r="J975" s="121"/>
      <c r="K975" s="121"/>
      <c r="L975" s="121"/>
      <c r="M975" s="121"/>
      <c r="N975" s="121"/>
      <c r="O975" s="121"/>
      <c r="P975" s="121"/>
      <c r="Q975" s="121"/>
      <c r="R975" s="121"/>
      <c r="S975" s="121"/>
      <c r="T975" s="121"/>
      <c r="U975" s="121"/>
      <c r="V975" s="121"/>
      <c r="W975" s="121"/>
      <c r="X975" s="121"/>
      <c r="Y975" s="121"/>
      <c r="Z975" s="121"/>
    </row>
    <row r="976" customFormat="false" ht="15.75" hidden="false" customHeight="false" outlineLevel="0" collapsed="false">
      <c r="A976" s="121"/>
      <c r="B976" s="121"/>
      <c r="C976" s="121"/>
      <c r="D976" s="121"/>
      <c r="E976" s="121"/>
      <c r="F976" s="121"/>
      <c r="G976" s="121"/>
      <c r="H976" s="121"/>
      <c r="I976" s="121"/>
      <c r="J976" s="121"/>
      <c r="K976" s="121"/>
      <c r="L976" s="121"/>
      <c r="M976" s="121"/>
      <c r="N976" s="121"/>
      <c r="O976" s="121"/>
      <c r="P976" s="121"/>
      <c r="Q976" s="121"/>
      <c r="R976" s="121"/>
      <c r="S976" s="121"/>
      <c r="T976" s="121"/>
      <c r="U976" s="121"/>
      <c r="V976" s="121"/>
      <c r="W976" s="121"/>
      <c r="X976" s="121"/>
      <c r="Y976" s="121"/>
      <c r="Z976" s="121"/>
    </row>
    <row r="977" customFormat="false" ht="15.75" hidden="false" customHeight="false" outlineLevel="0" collapsed="false">
      <c r="A977" s="121"/>
      <c r="B977" s="121"/>
      <c r="C977" s="121"/>
      <c r="D977" s="121"/>
      <c r="E977" s="121"/>
      <c r="F977" s="121"/>
      <c r="G977" s="121"/>
      <c r="H977" s="121"/>
      <c r="I977" s="121"/>
      <c r="J977" s="121"/>
      <c r="K977" s="121"/>
      <c r="L977" s="121"/>
      <c r="M977" s="121"/>
      <c r="N977" s="121"/>
      <c r="O977" s="121"/>
      <c r="P977" s="121"/>
      <c r="Q977" s="121"/>
      <c r="R977" s="121"/>
      <c r="S977" s="121"/>
      <c r="T977" s="121"/>
      <c r="U977" s="121"/>
      <c r="V977" s="121"/>
      <c r="W977" s="121"/>
      <c r="X977" s="121"/>
      <c r="Y977" s="121"/>
      <c r="Z977" s="121"/>
    </row>
    <row r="978" customFormat="false" ht="15.75" hidden="false" customHeight="false" outlineLevel="0" collapsed="false">
      <c r="A978" s="121"/>
      <c r="B978" s="121"/>
      <c r="C978" s="121"/>
      <c r="D978" s="121"/>
      <c r="E978" s="121"/>
      <c r="F978" s="121"/>
      <c r="G978" s="121"/>
      <c r="H978" s="121"/>
      <c r="I978" s="121"/>
      <c r="J978" s="121"/>
      <c r="K978" s="121"/>
      <c r="L978" s="121"/>
      <c r="M978" s="121"/>
      <c r="N978" s="121"/>
      <c r="O978" s="121"/>
      <c r="P978" s="121"/>
      <c r="Q978" s="121"/>
      <c r="R978" s="121"/>
      <c r="S978" s="121"/>
      <c r="T978" s="121"/>
      <c r="U978" s="121"/>
      <c r="V978" s="121"/>
      <c r="W978" s="121"/>
      <c r="X978" s="121"/>
      <c r="Y978" s="121"/>
      <c r="Z978" s="121"/>
    </row>
    <row r="979" customFormat="false" ht="15.75" hidden="false" customHeight="false" outlineLevel="0" collapsed="false">
      <c r="A979" s="121"/>
      <c r="B979" s="121"/>
      <c r="C979" s="121"/>
      <c r="D979" s="121"/>
      <c r="E979" s="121"/>
      <c r="F979" s="121"/>
      <c r="G979" s="121"/>
      <c r="H979" s="121"/>
      <c r="I979" s="121"/>
      <c r="J979" s="121"/>
      <c r="K979" s="121"/>
      <c r="L979" s="121"/>
      <c r="M979" s="121"/>
      <c r="N979" s="121"/>
      <c r="O979" s="121"/>
      <c r="P979" s="121"/>
      <c r="Q979" s="121"/>
      <c r="R979" s="121"/>
      <c r="S979" s="121"/>
      <c r="T979" s="121"/>
      <c r="U979" s="121"/>
      <c r="V979" s="121"/>
      <c r="W979" s="121"/>
      <c r="X979" s="121"/>
      <c r="Y979" s="121"/>
      <c r="Z979" s="121"/>
    </row>
    <row r="980" customFormat="false" ht="15.75" hidden="false" customHeight="false" outlineLevel="0" collapsed="false">
      <c r="A980" s="121"/>
      <c r="B980" s="121"/>
      <c r="C980" s="121"/>
      <c r="D980" s="121"/>
      <c r="E980" s="121"/>
      <c r="F980" s="121"/>
      <c r="G980" s="121"/>
      <c r="H980" s="121"/>
      <c r="I980" s="121"/>
      <c r="J980" s="121"/>
      <c r="K980" s="121"/>
      <c r="L980" s="121"/>
      <c r="M980" s="121"/>
      <c r="N980" s="121"/>
      <c r="O980" s="121"/>
      <c r="P980" s="121"/>
      <c r="Q980" s="121"/>
      <c r="R980" s="121"/>
      <c r="S980" s="121"/>
      <c r="T980" s="121"/>
      <c r="U980" s="121"/>
      <c r="V980" s="121"/>
      <c r="W980" s="121"/>
      <c r="X980" s="121"/>
      <c r="Y980" s="121"/>
      <c r="Z980" s="121"/>
    </row>
    <row r="981" customFormat="false" ht="15.75" hidden="false" customHeight="false" outlineLevel="0" collapsed="false">
      <c r="A981" s="121"/>
      <c r="B981" s="121"/>
      <c r="C981" s="121"/>
      <c r="D981" s="121"/>
      <c r="E981" s="121"/>
      <c r="F981" s="121"/>
      <c r="G981" s="121"/>
      <c r="H981" s="121"/>
      <c r="I981" s="121"/>
      <c r="J981" s="121"/>
      <c r="K981" s="121"/>
      <c r="L981" s="121"/>
      <c r="M981" s="121"/>
      <c r="N981" s="121"/>
      <c r="O981" s="121"/>
      <c r="P981" s="121"/>
      <c r="Q981" s="121"/>
      <c r="R981" s="121"/>
      <c r="S981" s="121"/>
      <c r="T981" s="121"/>
      <c r="U981" s="121"/>
      <c r="V981" s="121"/>
      <c r="W981" s="121"/>
      <c r="X981" s="121"/>
      <c r="Y981" s="121"/>
      <c r="Z981" s="121"/>
    </row>
    <row r="982" customFormat="false" ht="15.75" hidden="false" customHeight="false" outlineLevel="0" collapsed="false">
      <c r="A982" s="121"/>
      <c r="B982" s="121"/>
      <c r="C982" s="121"/>
      <c r="D982" s="121"/>
      <c r="E982" s="121"/>
      <c r="F982" s="121"/>
      <c r="G982" s="121"/>
      <c r="H982" s="121"/>
      <c r="I982" s="121"/>
      <c r="J982" s="121"/>
      <c r="K982" s="121"/>
      <c r="L982" s="121"/>
      <c r="M982" s="121"/>
      <c r="N982" s="121"/>
      <c r="O982" s="121"/>
      <c r="P982" s="121"/>
      <c r="Q982" s="121"/>
      <c r="R982" s="121"/>
      <c r="S982" s="121"/>
      <c r="T982" s="121"/>
      <c r="U982" s="121"/>
      <c r="V982" s="121"/>
      <c r="W982" s="121"/>
      <c r="X982" s="121"/>
      <c r="Y982" s="121"/>
      <c r="Z982" s="121"/>
    </row>
    <row r="983" customFormat="false" ht="15.75" hidden="false" customHeight="false" outlineLevel="0" collapsed="false">
      <c r="A983" s="121"/>
      <c r="B983" s="121"/>
      <c r="C983" s="121"/>
      <c r="D983" s="121"/>
      <c r="E983" s="121"/>
      <c r="F983" s="121"/>
      <c r="G983" s="121"/>
      <c r="H983" s="121"/>
      <c r="I983" s="121"/>
      <c r="J983" s="121"/>
      <c r="K983" s="121"/>
      <c r="L983" s="121"/>
      <c r="M983" s="121"/>
      <c r="N983" s="121"/>
      <c r="O983" s="121"/>
      <c r="P983" s="121"/>
      <c r="Q983" s="121"/>
      <c r="R983" s="121"/>
      <c r="S983" s="121"/>
      <c r="T983" s="121"/>
      <c r="U983" s="121"/>
      <c r="V983" s="121"/>
      <c r="W983" s="121"/>
      <c r="X983" s="121"/>
      <c r="Y983" s="121"/>
      <c r="Z983" s="121"/>
    </row>
    <row r="984" customFormat="false" ht="15.75" hidden="false" customHeight="false" outlineLevel="0" collapsed="false">
      <c r="A984" s="121"/>
      <c r="B984" s="121"/>
      <c r="C984" s="121"/>
      <c r="D984" s="121"/>
      <c r="E984" s="121"/>
      <c r="F984" s="121"/>
      <c r="G984" s="121"/>
      <c r="H984" s="121"/>
      <c r="I984" s="121"/>
      <c r="J984" s="121"/>
      <c r="K984" s="121"/>
      <c r="L984" s="121"/>
      <c r="M984" s="121"/>
      <c r="N984" s="121"/>
      <c r="O984" s="121"/>
      <c r="P984" s="121"/>
      <c r="Q984" s="121"/>
      <c r="R984" s="121"/>
      <c r="S984" s="121"/>
      <c r="T984" s="121"/>
      <c r="U984" s="121"/>
      <c r="V984" s="121"/>
      <c r="W984" s="121"/>
      <c r="X984" s="121"/>
      <c r="Y984" s="121"/>
      <c r="Z984" s="121"/>
    </row>
    <row r="985" customFormat="false" ht="15.75" hidden="false" customHeight="false" outlineLevel="0" collapsed="false">
      <c r="A985" s="121"/>
      <c r="B985" s="121"/>
      <c r="C985" s="121"/>
      <c r="D985" s="121"/>
      <c r="E985" s="121"/>
      <c r="F985" s="121"/>
      <c r="G985" s="121"/>
      <c r="H985" s="121"/>
      <c r="I985" s="121"/>
      <c r="J985" s="121"/>
      <c r="K985" s="121"/>
      <c r="L985" s="121"/>
      <c r="M985" s="121"/>
      <c r="N985" s="121"/>
      <c r="O985" s="121"/>
      <c r="P985" s="121"/>
      <c r="Q985" s="121"/>
      <c r="R985" s="121"/>
      <c r="S985" s="121"/>
      <c r="T985" s="121"/>
      <c r="U985" s="121"/>
      <c r="V985" s="121"/>
      <c r="W985" s="121"/>
      <c r="X985" s="121"/>
      <c r="Y985" s="121"/>
      <c r="Z985" s="121"/>
    </row>
    <row r="986" customFormat="false" ht="15.75" hidden="false" customHeight="false" outlineLevel="0" collapsed="false">
      <c r="A986" s="121"/>
      <c r="B986" s="121"/>
      <c r="C986" s="121"/>
      <c r="D986" s="121"/>
      <c r="E986" s="121"/>
      <c r="F986" s="121"/>
      <c r="G986" s="121"/>
      <c r="H986" s="121"/>
      <c r="I986" s="121"/>
      <c r="J986" s="121"/>
      <c r="K986" s="121"/>
      <c r="L986" s="121"/>
      <c r="M986" s="121"/>
      <c r="N986" s="121"/>
      <c r="O986" s="121"/>
      <c r="P986" s="121"/>
      <c r="Q986" s="121"/>
      <c r="R986" s="121"/>
      <c r="S986" s="121"/>
      <c r="T986" s="121"/>
      <c r="U986" s="121"/>
      <c r="V986" s="121"/>
      <c r="W986" s="121"/>
      <c r="X986" s="121"/>
      <c r="Y986" s="121"/>
      <c r="Z986" s="121"/>
    </row>
    <row r="987" customFormat="false" ht="15.75" hidden="false" customHeight="false" outlineLevel="0" collapsed="false">
      <c r="A987" s="121"/>
      <c r="B987" s="121"/>
      <c r="C987" s="121"/>
      <c r="D987" s="121"/>
      <c r="E987" s="121"/>
      <c r="F987" s="121"/>
      <c r="G987" s="121"/>
      <c r="H987" s="121"/>
      <c r="I987" s="121"/>
      <c r="J987" s="121"/>
      <c r="K987" s="121"/>
      <c r="L987" s="121"/>
      <c r="M987" s="121"/>
      <c r="N987" s="121"/>
      <c r="O987" s="121"/>
      <c r="P987" s="121"/>
      <c r="Q987" s="121"/>
      <c r="R987" s="121"/>
      <c r="S987" s="121"/>
      <c r="T987" s="121"/>
      <c r="U987" s="121"/>
      <c r="V987" s="121"/>
      <c r="W987" s="121"/>
      <c r="X987" s="121"/>
      <c r="Y987" s="121"/>
      <c r="Z987" s="121"/>
    </row>
    <row r="988" customFormat="false" ht="15.75" hidden="false" customHeight="false" outlineLevel="0" collapsed="false">
      <c r="A988" s="121"/>
      <c r="B988" s="121"/>
      <c r="C988" s="121"/>
      <c r="D988" s="121"/>
      <c r="E988" s="121"/>
      <c r="F988" s="121"/>
      <c r="G988" s="121"/>
      <c r="H988" s="121"/>
      <c r="I988" s="121"/>
      <c r="J988" s="121"/>
      <c r="K988" s="121"/>
      <c r="L988" s="121"/>
      <c r="M988" s="121"/>
      <c r="N988" s="121"/>
      <c r="O988" s="121"/>
      <c r="P988" s="121"/>
      <c r="Q988" s="121"/>
      <c r="R988" s="121"/>
      <c r="S988" s="121"/>
      <c r="T988" s="121"/>
      <c r="U988" s="121"/>
      <c r="V988" s="121"/>
      <c r="W988" s="121"/>
      <c r="X988" s="121"/>
      <c r="Y988" s="121"/>
      <c r="Z988" s="121"/>
    </row>
    <row r="989" customFormat="false" ht="15.75" hidden="false" customHeight="false" outlineLevel="0" collapsed="false">
      <c r="A989" s="121"/>
      <c r="B989" s="121"/>
      <c r="C989" s="121"/>
      <c r="D989" s="121"/>
      <c r="E989" s="121"/>
      <c r="F989" s="121"/>
      <c r="G989" s="121"/>
      <c r="H989" s="121"/>
      <c r="I989" s="121"/>
      <c r="J989" s="121"/>
      <c r="K989" s="121"/>
      <c r="L989" s="121"/>
      <c r="M989" s="121"/>
      <c r="N989" s="121"/>
      <c r="O989" s="121"/>
      <c r="P989" s="121"/>
      <c r="Q989" s="121"/>
      <c r="R989" s="121"/>
      <c r="S989" s="121"/>
      <c r="T989" s="121"/>
      <c r="U989" s="121"/>
      <c r="V989" s="121"/>
      <c r="W989" s="121"/>
      <c r="X989" s="121"/>
      <c r="Y989" s="121"/>
      <c r="Z989" s="121"/>
    </row>
    <row r="990" customFormat="false" ht="15.75" hidden="false" customHeight="false" outlineLevel="0" collapsed="false">
      <c r="A990" s="121"/>
      <c r="B990" s="121"/>
      <c r="C990" s="121"/>
      <c r="D990" s="121"/>
      <c r="E990" s="121"/>
      <c r="F990" s="121"/>
      <c r="G990" s="121"/>
      <c r="H990" s="121"/>
      <c r="I990" s="121"/>
      <c r="J990" s="121"/>
      <c r="K990" s="121"/>
      <c r="L990" s="121"/>
      <c r="M990" s="121"/>
      <c r="N990" s="121"/>
      <c r="O990" s="121"/>
      <c r="P990" s="121"/>
      <c r="Q990" s="121"/>
      <c r="R990" s="121"/>
      <c r="S990" s="121"/>
      <c r="T990" s="121"/>
      <c r="U990" s="121"/>
      <c r="V990" s="121"/>
      <c r="W990" s="121"/>
      <c r="X990" s="121"/>
      <c r="Y990" s="121"/>
      <c r="Z990" s="121"/>
    </row>
    <row r="991" customFormat="false" ht="15.75" hidden="false" customHeight="false" outlineLevel="0" collapsed="false">
      <c r="A991" s="121"/>
      <c r="B991" s="121"/>
      <c r="C991" s="121"/>
      <c r="D991" s="121"/>
      <c r="E991" s="121"/>
      <c r="F991" s="121"/>
      <c r="G991" s="121"/>
      <c r="H991" s="121"/>
      <c r="I991" s="121"/>
      <c r="J991" s="121"/>
      <c r="K991" s="121"/>
      <c r="L991" s="121"/>
      <c r="M991" s="121"/>
      <c r="N991" s="121"/>
      <c r="O991" s="121"/>
      <c r="P991" s="121"/>
      <c r="Q991" s="121"/>
      <c r="R991" s="121"/>
      <c r="S991" s="121"/>
      <c r="T991" s="121"/>
      <c r="U991" s="121"/>
      <c r="V991" s="121"/>
      <c r="W991" s="121"/>
      <c r="X991" s="121"/>
      <c r="Y991" s="121"/>
      <c r="Z991" s="121"/>
    </row>
    <row r="992" customFormat="false" ht="15.75" hidden="false" customHeight="false" outlineLevel="0" collapsed="false">
      <c r="A992" s="121"/>
      <c r="B992" s="121"/>
      <c r="C992" s="121"/>
      <c r="D992" s="121"/>
      <c r="E992" s="121"/>
      <c r="F992" s="121"/>
      <c r="G992" s="121"/>
      <c r="H992" s="121"/>
      <c r="I992" s="121"/>
      <c r="J992" s="121"/>
      <c r="K992" s="121"/>
      <c r="L992" s="121"/>
      <c r="M992" s="121"/>
      <c r="N992" s="121"/>
      <c r="O992" s="121"/>
      <c r="P992" s="121"/>
      <c r="Q992" s="121"/>
      <c r="R992" s="121"/>
      <c r="S992" s="121"/>
      <c r="T992" s="121"/>
      <c r="U992" s="121"/>
      <c r="V992" s="121"/>
      <c r="W992" s="121"/>
      <c r="X992" s="121"/>
      <c r="Y992" s="121"/>
      <c r="Z992" s="121"/>
    </row>
    <row r="993" customFormat="false" ht="15.75" hidden="false" customHeight="false" outlineLevel="0" collapsed="false">
      <c r="A993" s="121"/>
      <c r="B993" s="121"/>
      <c r="C993" s="121"/>
      <c r="D993" s="121"/>
      <c r="E993" s="121"/>
      <c r="F993" s="121"/>
      <c r="G993" s="121"/>
      <c r="H993" s="121"/>
      <c r="I993" s="121"/>
      <c r="J993" s="121"/>
      <c r="K993" s="121"/>
      <c r="L993" s="121"/>
      <c r="M993" s="121"/>
      <c r="N993" s="121"/>
      <c r="O993" s="121"/>
      <c r="P993" s="121"/>
      <c r="Q993" s="121"/>
      <c r="R993" s="121"/>
      <c r="S993" s="121"/>
      <c r="T993" s="121"/>
      <c r="U993" s="121"/>
      <c r="V993" s="121"/>
      <c r="W993" s="121"/>
      <c r="X993" s="121"/>
      <c r="Y993" s="121"/>
      <c r="Z993" s="121"/>
    </row>
    <row r="994" customFormat="false" ht="15.75" hidden="false" customHeight="false" outlineLevel="0" collapsed="false">
      <c r="A994" s="121"/>
      <c r="B994" s="121"/>
      <c r="C994" s="121"/>
      <c r="D994" s="121"/>
      <c r="E994" s="121"/>
      <c r="F994" s="121"/>
      <c r="G994" s="121"/>
      <c r="H994" s="121"/>
      <c r="I994" s="121"/>
      <c r="J994" s="121"/>
      <c r="K994" s="121"/>
      <c r="L994" s="121"/>
      <c r="M994" s="121"/>
      <c r="N994" s="121"/>
      <c r="O994" s="121"/>
      <c r="P994" s="121"/>
      <c r="Q994" s="121"/>
      <c r="R994" s="121"/>
      <c r="S994" s="121"/>
      <c r="T994" s="121"/>
      <c r="U994" s="121"/>
      <c r="V994" s="121"/>
      <c r="W994" s="121"/>
      <c r="X994" s="121"/>
      <c r="Y994" s="121"/>
      <c r="Z994" s="121"/>
    </row>
    <row r="995" customFormat="false" ht="15.75" hidden="false" customHeight="false" outlineLevel="0" collapsed="false">
      <c r="A995" s="121"/>
      <c r="B995" s="121"/>
      <c r="C995" s="121"/>
      <c r="D995" s="121"/>
      <c r="E995" s="121"/>
      <c r="F995" s="121"/>
      <c r="G995" s="121"/>
      <c r="H995" s="121"/>
      <c r="I995" s="121"/>
      <c r="J995" s="121"/>
      <c r="K995" s="121"/>
      <c r="L995" s="121"/>
      <c r="M995" s="121"/>
      <c r="N995" s="121"/>
      <c r="O995" s="121"/>
      <c r="P995" s="121"/>
      <c r="Q995" s="121"/>
      <c r="R995" s="121"/>
      <c r="S995" s="121"/>
      <c r="T995" s="121"/>
      <c r="U995" s="121"/>
      <c r="V995" s="121"/>
      <c r="W995" s="121"/>
      <c r="X995" s="121"/>
      <c r="Y995" s="121"/>
      <c r="Z995" s="121"/>
    </row>
    <row r="996" customFormat="false" ht="15.75" hidden="false" customHeight="false" outlineLevel="0" collapsed="false">
      <c r="A996" s="121"/>
      <c r="B996" s="121"/>
      <c r="C996" s="121"/>
      <c r="D996" s="121"/>
      <c r="E996" s="121"/>
      <c r="F996" s="121"/>
      <c r="G996" s="121"/>
      <c r="H996" s="121"/>
      <c r="I996" s="121"/>
      <c r="J996" s="121"/>
      <c r="K996" s="121"/>
      <c r="L996" s="121"/>
      <c r="M996" s="121"/>
      <c r="N996" s="121"/>
      <c r="O996" s="121"/>
      <c r="P996" s="121"/>
      <c r="Q996" s="121"/>
      <c r="R996" s="121"/>
      <c r="S996" s="121"/>
      <c r="T996" s="121"/>
      <c r="U996" s="121"/>
      <c r="V996" s="121"/>
      <c r="W996" s="121"/>
      <c r="X996" s="121"/>
      <c r="Y996" s="121"/>
      <c r="Z996" s="121"/>
    </row>
    <row r="997" customFormat="false" ht="15.75" hidden="false" customHeight="false" outlineLevel="0" collapsed="false">
      <c r="A997" s="121"/>
      <c r="B997" s="121"/>
      <c r="C997" s="121"/>
      <c r="D997" s="121"/>
      <c r="E997" s="121"/>
      <c r="F997" s="121"/>
      <c r="G997" s="121"/>
      <c r="H997" s="121"/>
      <c r="I997" s="121"/>
      <c r="J997" s="121"/>
      <c r="K997" s="121"/>
      <c r="L997" s="121"/>
      <c r="M997" s="121"/>
      <c r="N997" s="121"/>
      <c r="O997" s="121"/>
      <c r="P997" s="121"/>
      <c r="Q997" s="121"/>
      <c r="R997" s="121"/>
      <c r="S997" s="121"/>
      <c r="T997" s="121"/>
      <c r="U997" s="121"/>
      <c r="V997" s="121"/>
      <c r="W997" s="121"/>
      <c r="X997" s="121"/>
      <c r="Y997" s="121"/>
      <c r="Z997" s="121"/>
    </row>
    <row r="998" customFormat="false" ht="15.75" hidden="false" customHeight="false" outlineLevel="0" collapsed="false">
      <c r="A998" s="121"/>
      <c r="B998" s="121"/>
      <c r="C998" s="121"/>
      <c r="D998" s="121"/>
      <c r="E998" s="121"/>
      <c r="F998" s="121"/>
      <c r="G998" s="121"/>
      <c r="H998" s="121"/>
      <c r="I998" s="121"/>
      <c r="J998" s="121"/>
      <c r="K998" s="121"/>
      <c r="L998" s="121"/>
      <c r="M998" s="121"/>
      <c r="N998" s="121"/>
      <c r="O998" s="121"/>
      <c r="P998" s="121"/>
      <c r="Q998" s="121"/>
      <c r="R998" s="121"/>
      <c r="S998" s="121"/>
      <c r="T998" s="121"/>
      <c r="U998" s="121"/>
      <c r="V998" s="121"/>
      <c r="W998" s="121"/>
      <c r="X998" s="121"/>
      <c r="Y998" s="121"/>
      <c r="Z998" s="121"/>
    </row>
    <row r="999" customFormat="false" ht="15.75" hidden="false" customHeight="false" outlineLevel="0" collapsed="false">
      <c r="A999" s="121"/>
      <c r="B999" s="121"/>
      <c r="C999" s="121"/>
      <c r="D999" s="121"/>
      <c r="E999" s="121"/>
      <c r="F999" s="121"/>
      <c r="G999" s="121"/>
      <c r="H999" s="121"/>
      <c r="I999" s="121"/>
      <c r="J999" s="121"/>
      <c r="K999" s="121"/>
      <c r="L999" s="121"/>
      <c r="M999" s="121"/>
      <c r="N999" s="121"/>
      <c r="O999" s="121"/>
      <c r="P999" s="121"/>
      <c r="Q999" s="121"/>
      <c r="R999" s="121"/>
      <c r="S999" s="121"/>
      <c r="T999" s="121"/>
      <c r="U999" s="121"/>
      <c r="V999" s="121"/>
      <c r="W999" s="121"/>
      <c r="X999" s="121"/>
      <c r="Y999" s="121"/>
      <c r="Z999" s="121"/>
    </row>
    <row r="1000" customFormat="false" ht="15.75" hidden="false" customHeight="false" outlineLevel="0" collapsed="false">
      <c r="A1000" s="121"/>
      <c r="B1000" s="121"/>
      <c r="C1000" s="121"/>
      <c r="D1000" s="121"/>
      <c r="E1000" s="121"/>
      <c r="F1000" s="121"/>
      <c r="G1000" s="121"/>
      <c r="H1000" s="121"/>
      <c r="I1000" s="121"/>
      <c r="J1000" s="121"/>
      <c r="K1000" s="121"/>
      <c r="L1000" s="121"/>
      <c r="M1000" s="121"/>
      <c r="N1000" s="121"/>
      <c r="O1000" s="121"/>
      <c r="P1000" s="121"/>
      <c r="Q1000" s="121"/>
      <c r="R1000" s="121"/>
      <c r="S1000" s="121"/>
      <c r="T1000" s="121"/>
      <c r="U1000" s="121"/>
      <c r="V1000" s="121"/>
      <c r="W1000" s="121"/>
      <c r="X1000" s="121"/>
      <c r="Y1000" s="121"/>
      <c r="Z1000" s="121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2" activeCellId="0" sqref="I2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29" t="s">
        <v>24</v>
      </c>
      <c r="B1" s="129" t="s">
        <v>23</v>
      </c>
      <c r="C1" s="129" t="s">
        <v>26</v>
      </c>
      <c r="D1" s="129" t="s">
        <v>20</v>
      </c>
      <c r="E1" s="129" t="s">
        <v>37</v>
      </c>
      <c r="F1" s="129" t="s">
        <v>25</v>
      </c>
      <c r="G1" s="129" t="s">
        <v>27</v>
      </c>
      <c r="H1" s="129" t="s">
        <v>22</v>
      </c>
      <c r="I1" s="129" t="s">
        <v>21</v>
      </c>
    </row>
    <row r="2" customFormat="false" ht="15.75" hidden="false" customHeight="false" outlineLevel="0" collapsed="false">
      <c r="A2" s="129" t="str">
        <f aca="false">Scoring!AX8</f>
        <v/>
      </c>
      <c r="B2" s="129" t="str">
        <f aca="false">Scoring!AW8</f>
        <v/>
      </c>
      <c r="C2" s="129" t="n">
        <f aca="false">Scoring!C8</f>
        <v>0</v>
      </c>
      <c r="D2" s="130" t="str">
        <f aca="false">Scoring!AT8</f>
        <v/>
      </c>
      <c r="E2" s="129" t="str">
        <f aca="false">Scoring!Z8</f>
        <v/>
      </c>
      <c r="F2" s="129" t="n">
        <f aca="false">Scoring!B8</f>
        <v>0</v>
      </c>
      <c r="G2" s="129" t="n">
        <f aca="false">Scoring!D8</f>
        <v>0</v>
      </c>
      <c r="H2" s="129" t="str">
        <f aca="false">Scoring!AV8</f>
        <v/>
      </c>
      <c r="I2" s="131" t="str">
        <f aca="false">Scoring!AU8</f>
        <v/>
      </c>
    </row>
    <row r="3" customFormat="false" ht="15.75" hidden="false" customHeight="false" outlineLevel="0" collapsed="false">
      <c r="A3" s="129" t="str">
        <f aca="false">Scoring!AX9</f>
        <v/>
      </c>
      <c r="B3" s="129" t="str">
        <f aca="false">Scoring!AW9</f>
        <v/>
      </c>
      <c r="C3" s="129" t="n">
        <f aca="false">Scoring!C9</f>
        <v>0</v>
      </c>
      <c r="D3" s="130" t="str">
        <f aca="false">Scoring!AT9</f>
        <v/>
      </c>
      <c r="E3" s="129" t="str">
        <f aca="false">Scoring!Z9</f>
        <v/>
      </c>
      <c r="F3" s="129" t="n">
        <f aca="false">Scoring!B9</f>
        <v>0</v>
      </c>
      <c r="G3" s="129" t="n">
        <f aca="false">Scoring!D9</f>
        <v>0</v>
      </c>
      <c r="H3" s="129" t="str">
        <f aca="false">Scoring!AV9</f>
        <v/>
      </c>
      <c r="I3" s="131" t="str">
        <f aca="false">Scoring!AU9</f>
        <v/>
      </c>
    </row>
    <row r="4" customFormat="false" ht="15.75" hidden="false" customHeight="false" outlineLevel="0" collapsed="false">
      <c r="A4" s="129" t="str">
        <f aca="false">Scoring!AX10</f>
        <v/>
      </c>
      <c r="B4" s="129" t="str">
        <f aca="false">Scoring!AW10</f>
        <v/>
      </c>
      <c r="C4" s="129" t="n">
        <f aca="false">Scoring!C10</f>
        <v>0</v>
      </c>
      <c r="D4" s="130" t="str">
        <f aca="false">Scoring!AT10</f>
        <v/>
      </c>
      <c r="E4" s="129" t="str">
        <f aca="false">Scoring!Z10</f>
        <v/>
      </c>
      <c r="F4" s="129" t="n">
        <f aca="false">Scoring!B10</f>
        <v>0</v>
      </c>
      <c r="G4" s="129" t="n">
        <f aca="false">Scoring!D10</f>
        <v>0</v>
      </c>
      <c r="H4" s="129" t="str">
        <f aca="false">Scoring!AV10</f>
        <v/>
      </c>
      <c r="I4" s="131" t="str">
        <f aca="false">Scoring!AU10</f>
        <v/>
      </c>
    </row>
    <row r="5" customFormat="false" ht="15.75" hidden="false" customHeight="false" outlineLevel="0" collapsed="false">
      <c r="A5" s="129" t="str">
        <f aca="false">Scoring!AX11</f>
        <v/>
      </c>
      <c r="B5" s="129" t="str">
        <f aca="false">Scoring!AW11</f>
        <v/>
      </c>
      <c r="C5" s="129" t="n">
        <f aca="false">Scoring!C11</f>
        <v>0</v>
      </c>
      <c r="D5" s="130" t="str">
        <f aca="false">Scoring!AT11</f>
        <v/>
      </c>
      <c r="E5" s="129" t="str">
        <f aca="false">Scoring!Z11</f>
        <v/>
      </c>
      <c r="F5" s="129" t="n">
        <f aca="false">Scoring!B11</f>
        <v>0</v>
      </c>
      <c r="G5" s="129" t="n">
        <f aca="false">Scoring!D11</f>
        <v>0</v>
      </c>
      <c r="H5" s="129" t="str">
        <f aca="false">Scoring!AV11</f>
        <v/>
      </c>
      <c r="I5" s="131" t="str">
        <f aca="false">Scoring!AU11</f>
        <v/>
      </c>
    </row>
    <row r="6" customFormat="false" ht="15.75" hidden="false" customHeight="false" outlineLevel="0" collapsed="false">
      <c r="A6" s="129" t="str">
        <f aca="false">Scoring!AX12</f>
        <v/>
      </c>
      <c r="B6" s="129" t="str">
        <f aca="false">Scoring!AW12</f>
        <v/>
      </c>
      <c r="C6" s="129" t="n">
        <f aca="false">Scoring!C12</f>
        <v>0</v>
      </c>
      <c r="D6" s="130" t="str">
        <f aca="false">Scoring!AT12</f>
        <v/>
      </c>
      <c r="E6" s="129" t="str">
        <f aca="false">Scoring!Z12</f>
        <v/>
      </c>
      <c r="F6" s="129" t="n">
        <f aca="false">Scoring!B12</f>
        <v>0</v>
      </c>
      <c r="G6" s="129" t="n">
        <f aca="false">Scoring!D12</f>
        <v>0</v>
      </c>
      <c r="H6" s="129" t="str">
        <f aca="false">Scoring!AV12</f>
        <v/>
      </c>
      <c r="I6" s="131" t="str">
        <f aca="false">Scoring!AU12</f>
        <v/>
      </c>
    </row>
    <row r="7" customFormat="false" ht="15.75" hidden="false" customHeight="false" outlineLevel="0" collapsed="false">
      <c r="A7" s="129" t="str">
        <f aca="false">Scoring!AX13</f>
        <v/>
      </c>
      <c r="B7" s="129" t="str">
        <f aca="false">Scoring!AW13</f>
        <v/>
      </c>
      <c r="C7" s="129" t="n">
        <f aca="false">Scoring!C13</f>
        <v>0</v>
      </c>
      <c r="D7" s="130" t="str">
        <f aca="false">Scoring!AT13</f>
        <v/>
      </c>
      <c r="E7" s="129" t="str">
        <f aca="false">Scoring!Z13</f>
        <v/>
      </c>
      <c r="F7" s="129" t="n">
        <f aca="false">Scoring!B13</f>
        <v>0</v>
      </c>
      <c r="G7" s="129" t="n">
        <f aca="false">Scoring!D13</f>
        <v>0</v>
      </c>
      <c r="H7" s="129" t="str">
        <f aca="false">Scoring!AV13</f>
        <v/>
      </c>
      <c r="I7" s="131" t="str">
        <f aca="false">Scoring!AU13</f>
        <v/>
      </c>
    </row>
    <row r="8" customFormat="false" ht="15.75" hidden="false" customHeight="false" outlineLevel="0" collapsed="false">
      <c r="A8" s="129" t="str">
        <f aca="false">Scoring!AX14</f>
        <v/>
      </c>
      <c r="B8" s="129" t="str">
        <f aca="false">Scoring!AW14</f>
        <v/>
      </c>
      <c r="C8" s="129" t="n">
        <f aca="false">Scoring!C14</f>
        <v>0</v>
      </c>
      <c r="D8" s="130" t="str">
        <f aca="false">Scoring!AT14</f>
        <v/>
      </c>
      <c r="E8" s="129" t="str">
        <f aca="false">Scoring!Z14</f>
        <v/>
      </c>
      <c r="F8" s="129" t="n">
        <f aca="false">Scoring!B14</f>
        <v>0</v>
      </c>
      <c r="G8" s="129" t="n">
        <f aca="false">Scoring!D14</f>
        <v>0</v>
      </c>
      <c r="H8" s="129" t="str">
        <f aca="false">Scoring!AV14</f>
        <v/>
      </c>
      <c r="I8" s="131" t="str">
        <f aca="false">Scoring!AU14</f>
        <v/>
      </c>
    </row>
    <row r="9" customFormat="false" ht="15.75" hidden="false" customHeight="false" outlineLevel="0" collapsed="false">
      <c r="A9" s="129" t="str">
        <f aca="false">Scoring!AX15</f>
        <v/>
      </c>
      <c r="B9" s="129" t="str">
        <f aca="false">Scoring!AW15</f>
        <v/>
      </c>
      <c r="C9" s="129" t="n">
        <f aca="false">Scoring!C15</f>
        <v>0</v>
      </c>
      <c r="D9" s="130" t="str">
        <f aca="false">Scoring!AT15</f>
        <v/>
      </c>
      <c r="E9" s="129" t="str">
        <f aca="false">Scoring!Z15</f>
        <v/>
      </c>
      <c r="F9" s="129" t="n">
        <f aca="false">Scoring!B15</f>
        <v>0</v>
      </c>
      <c r="G9" s="129" t="n">
        <f aca="false">Scoring!D15</f>
        <v>0</v>
      </c>
      <c r="H9" s="129" t="str">
        <f aca="false">Scoring!AV15</f>
        <v/>
      </c>
      <c r="I9" s="131" t="str">
        <f aca="false">Scoring!AU15</f>
        <v/>
      </c>
    </row>
    <row r="10" customFormat="false" ht="15.75" hidden="false" customHeight="false" outlineLevel="0" collapsed="false">
      <c r="A10" s="129" t="str">
        <f aca="false">Scoring!AX16</f>
        <v/>
      </c>
      <c r="B10" s="129" t="str">
        <f aca="false">Scoring!AW16</f>
        <v/>
      </c>
      <c r="C10" s="129" t="n">
        <f aca="false">Scoring!C16</f>
        <v>0</v>
      </c>
      <c r="D10" s="130" t="str">
        <f aca="false">Scoring!AT16</f>
        <v/>
      </c>
      <c r="E10" s="129" t="str">
        <f aca="false">Scoring!Z16</f>
        <v/>
      </c>
      <c r="F10" s="129" t="n">
        <f aca="false">Scoring!B16</f>
        <v>0</v>
      </c>
      <c r="G10" s="129" t="n">
        <f aca="false">Scoring!D16</f>
        <v>0</v>
      </c>
      <c r="H10" s="129" t="str">
        <f aca="false">Scoring!AV16</f>
        <v/>
      </c>
      <c r="I10" s="131" t="str">
        <f aca="false">Scoring!AU16</f>
        <v/>
      </c>
    </row>
    <row r="11" customFormat="false" ht="15.75" hidden="false" customHeight="false" outlineLevel="0" collapsed="false">
      <c r="A11" s="129" t="str">
        <f aca="false">Scoring!AX17</f>
        <v/>
      </c>
      <c r="B11" s="129" t="str">
        <f aca="false">Scoring!AW17</f>
        <v/>
      </c>
      <c r="C11" s="129" t="n">
        <f aca="false">Scoring!C17</f>
        <v>0</v>
      </c>
      <c r="D11" s="130" t="str">
        <f aca="false">Scoring!AT17</f>
        <v/>
      </c>
      <c r="E11" s="129" t="str">
        <f aca="false">Scoring!Z17</f>
        <v/>
      </c>
      <c r="F11" s="129" t="n">
        <f aca="false">Scoring!B17</f>
        <v>0</v>
      </c>
      <c r="G11" s="129" t="n">
        <f aca="false">Scoring!D17</f>
        <v>0</v>
      </c>
      <c r="H11" s="129" t="str">
        <f aca="false">Scoring!AV17</f>
        <v/>
      </c>
      <c r="I11" s="131" t="str">
        <f aca="false">Scoring!AU17</f>
        <v/>
      </c>
    </row>
    <row r="12" customFormat="false" ht="15.75" hidden="false" customHeight="false" outlineLevel="0" collapsed="false">
      <c r="A12" s="129" t="str">
        <f aca="false">Scoring!AX18</f>
        <v/>
      </c>
      <c r="B12" s="129" t="str">
        <f aca="false">Scoring!AW18</f>
        <v/>
      </c>
      <c r="C12" s="129" t="n">
        <f aca="false">Scoring!C18</f>
        <v>0</v>
      </c>
      <c r="D12" s="130" t="str">
        <f aca="false">Scoring!AT18</f>
        <v/>
      </c>
      <c r="E12" s="129" t="str">
        <f aca="false">Scoring!Z18</f>
        <v/>
      </c>
      <c r="F12" s="129" t="n">
        <f aca="false">Scoring!B18</f>
        <v>0</v>
      </c>
      <c r="G12" s="129" t="n">
        <f aca="false">Scoring!D18</f>
        <v>0</v>
      </c>
      <c r="H12" s="129" t="str">
        <f aca="false">Scoring!AV18</f>
        <v/>
      </c>
      <c r="I12" s="131" t="str">
        <f aca="false">Scoring!AU18</f>
        <v/>
      </c>
    </row>
    <row r="13" customFormat="false" ht="15.75" hidden="false" customHeight="false" outlineLevel="0" collapsed="false">
      <c r="A13" s="129" t="str">
        <f aca="false">Scoring!AX19</f>
        <v/>
      </c>
      <c r="B13" s="129" t="str">
        <f aca="false">Scoring!AW19</f>
        <v/>
      </c>
      <c r="C13" s="129" t="n">
        <f aca="false">Scoring!C19</f>
        <v>0</v>
      </c>
      <c r="D13" s="130" t="str">
        <f aca="false">Scoring!AT19</f>
        <v/>
      </c>
      <c r="E13" s="129" t="str">
        <f aca="false">Scoring!Z19</f>
        <v/>
      </c>
      <c r="F13" s="129" t="n">
        <f aca="false">Scoring!B19</f>
        <v>0</v>
      </c>
      <c r="G13" s="129" t="n">
        <f aca="false">Scoring!D19</f>
        <v>0</v>
      </c>
      <c r="H13" s="129" t="str">
        <f aca="false">Scoring!AV19</f>
        <v/>
      </c>
      <c r="I13" s="131" t="str">
        <f aca="false">Scoring!AU19</f>
        <v/>
      </c>
    </row>
    <row r="14" customFormat="false" ht="15.75" hidden="false" customHeight="false" outlineLevel="0" collapsed="false">
      <c r="A14" s="129" t="str">
        <f aca="false">Scoring!AX20</f>
        <v/>
      </c>
      <c r="B14" s="129" t="str">
        <f aca="false">Scoring!AW20</f>
        <v/>
      </c>
      <c r="C14" s="129" t="n">
        <f aca="false">Scoring!C20</f>
        <v>0</v>
      </c>
      <c r="D14" s="130" t="str">
        <f aca="false">Scoring!AT20</f>
        <v/>
      </c>
      <c r="E14" s="129" t="str">
        <f aca="false">Scoring!Z20</f>
        <v/>
      </c>
      <c r="F14" s="129" t="n">
        <f aca="false">Scoring!B20</f>
        <v>0</v>
      </c>
      <c r="G14" s="129" t="n">
        <f aca="false">Scoring!D20</f>
        <v>0</v>
      </c>
      <c r="H14" s="129" t="str">
        <f aca="false">Scoring!AV20</f>
        <v/>
      </c>
      <c r="I14" s="131" t="str">
        <f aca="false">Scoring!AU20</f>
        <v/>
      </c>
    </row>
    <row r="15" customFormat="false" ht="15.75" hidden="false" customHeight="false" outlineLevel="0" collapsed="false">
      <c r="A15" s="129" t="str">
        <f aca="false">Scoring!AX21</f>
        <v/>
      </c>
      <c r="B15" s="129" t="str">
        <f aca="false">Scoring!AW21</f>
        <v/>
      </c>
      <c r="C15" s="129" t="n">
        <f aca="false">Scoring!C21</f>
        <v>0</v>
      </c>
      <c r="D15" s="130" t="str">
        <f aca="false">Scoring!AT21</f>
        <v/>
      </c>
      <c r="E15" s="129" t="str">
        <f aca="false">Scoring!Z21</f>
        <v/>
      </c>
      <c r="F15" s="129" t="n">
        <f aca="false">Scoring!B21</f>
        <v>0</v>
      </c>
      <c r="G15" s="129" t="n">
        <f aca="false">Scoring!D21</f>
        <v>0</v>
      </c>
      <c r="H15" s="129" t="str">
        <f aca="false">Scoring!AV21</f>
        <v/>
      </c>
      <c r="I15" s="131" t="str">
        <f aca="false">Scoring!AU21</f>
        <v/>
      </c>
    </row>
    <row r="16" customFormat="false" ht="15.75" hidden="false" customHeight="false" outlineLevel="0" collapsed="false">
      <c r="A16" s="129" t="str">
        <f aca="false">Scoring!AX22</f>
        <v/>
      </c>
      <c r="B16" s="129" t="str">
        <f aca="false">Scoring!AW22</f>
        <v/>
      </c>
      <c r="C16" s="129" t="n">
        <f aca="false">Scoring!C22</f>
        <v>0</v>
      </c>
      <c r="D16" s="130" t="str">
        <f aca="false">Scoring!AT22</f>
        <v/>
      </c>
      <c r="E16" s="129" t="str">
        <f aca="false">Scoring!Z22</f>
        <v/>
      </c>
      <c r="F16" s="129" t="n">
        <f aca="false">Scoring!B22</f>
        <v>0</v>
      </c>
      <c r="G16" s="129" t="n">
        <f aca="false">Scoring!D22</f>
        <v>0</v>
      </c>
      <c r="H16" s="129" t="str">
        <f aca="false">Scoring!AV22</f>
        <v/>
      </c>
      <c r="I16" s="131" t="str">
        <f aca="false">Scoring!AU22</f>
        <v/>
      </c>
    </row>
    <row r="17" customFormat="false" ht="15.75" hidden="false" customHeight="false" outlineLevel="0" collapsed="false">
      <c r="A17" s="129" t="str">
        <f aca="false">Scoring!AX23</f>
        <v/>
      </c>
      <c r="B17" s="129" t="str">
        <f aca="false">Scoring!AW23</f>
        <v/>
      </c>
      <c r="C17" s="129" t="n">
        <f aca="false">Scoring!C23</f>
        <v>0</v>
      </c>
      <c r="D17" s="130" t="str">
        <f aca="false">Scoring!AT23</f>
        <v/>
      </c>
      <c r="E17" s="129" t="str">
        <f aca="false">Scoring!Z23</f>
        <v/>
      </c>
      <c r="F17" s="129" t="n">
        <f aca="false">Scoring!B23</f>
        <v>0</v>
      </c>
      <c r="G17" s="129" t="n">
        <f aca="false">Scoring!D23</f>
        <v>0</v>
      </c>
      <c r="H17" s="129" t="str">
        <f aca="false">Scoring!AV23</f>
        <v/>
      </c>
      <c r="I17" s="131" t="str">
        <f aca="false">Scoring!AU23</f>
        <v/>
      </c>
    </row>
    <row r="18" customFormat="false" ht="15.75" hidden="false" customHeight="false" outlineLevel="0" collapsed="false">
      <c r="A18" s="129" t="str">
        <f aca="false">Scoring!AX24</f>
        <v/>
      </c>
      <c r="B18" s="129" t="str">
        <f aca="false">Scoring!AW24</f>
        <v/>
      </c>
      <c r="C18" s="129" t="n">
        <f aca="false">Scoring!C24</f>
        <v>0</v>
      </c>
      <c r="D18" s="130" t="str">
        <f aca="false">Scoring!AT24</f>
        <v/>
      </c>
      <c r="E18" s="129" t="str">
        <f aca="false">Scoring!Z24</f>
        <v/>
      </c>
      <c r="F18" s="129" t="n">
        <f aca="false">Scoring!B24</f>
        <v>0</v>
      </c>
      <c r="G18" s="129" t="n">
        <f aca="false">Scoring!D24</f>
        <v>0</v>
      </c>
      <c r="H18" s="129" t="str">
        <f aca="false">Scoring!AV24</f>
        <v/>
      </c>
      <c r="I18" s="131" t="str">
        <f aca="false">Scoring!AU24</f>
        <v/>
      </c>
    </row>
    <row r="19" customFormat="false" ht="15.75" hidden="false" customHeight="false" outlineLevel="0" collapsed="false">
      <c r="A19" s="129" t="str">
        <f aca="false">Scoring!AX25</f>
        <v/>
      </c>
      <c r="B19" s="129" t="str">
        <f aca="false">Scoring!AW25</f>
        <v/>
      </c>
      <c r="C19" s="129" t="n">
        <f aca="false">Scoring!C25</f>
        <v>0</v>
      </c>
      <c r="D19" s="130" t="str">
        <f aca="false">Scoring!AT25</f>
        <v/>
      </c>
      <c r="E19" s="129" t="str">
        <f aca="false">Scoring!Z25</f>
        <v/>
      </c>
      <c r="F19" s="129" t="n">
        <f aca="false">Scoring!B25</f>
        <v>0</v>
      </c>
      <c r="G19" s="129" t="n">
        <f aca="false">Scoring!D25</f>
        <v>0</v>
      </c>
      <c r="H19" s="129" t="str">
        <f aca="false">Scoring!AV25</f>
        <v/>
      </c>
      <c r="I19" s="131" t="str">
        <f aca="false">Scoring!AU25</f>
        <v/>
      </c>
    </row>
    <row r="20" customFormat="false" ht="15.75" hidden="false" customHeight="false" outlineLevel="0" collapsed="false">
      <c r="A20" s="129" t="str">
        <f aca="false">Scoring!AX26</f>
        <v/>
      </c>
      <c r="B20" s="129" t="str">
        <f aca="false">Scoring!AW26</f>
        <v/>
      </c>
      <c r="C20" s="129" t="n">
        <f aca="false">Scoring!C26</f>
        <v>0</v>
      </c>
      <c r="D20" s="130" t="str">
        <f aca="false">Scoring!AT26</f>
        <v/>
      </c>
      <c r="E20" s="129" t="str">
        <f aca="false">Scoring!Z26</f>
        <v/>
      </c>
      <c r="F20" s="129" t="n">
        <f aca="false">Scoring!B26</f>
        <v>0</v>
      </c>
      <c r="G20" s="129" t="n">
        <f aca="false">Scoring!D26</f>
        <v>0</v>
      </c>
      <c r="H20" s="129" t="str">
        <f aca="false">Scoring!AV26</f>
        <v/>
      </c>
      <c r="I20" s="131" t="str">
        <f aca="false">Scoring!AU26</f>
        <v/>
      </c>
    </row>
    <row r="21" customFormat="false" ht="15.75" hidden="false" customHeight="false" outlineLevel="0" collapsed="false">
      <c r="A21" s="129" t="str">
        <f aca="false">Scoring!AX27</f>
        <v/>
      </c>
      <c r="B21" s="129" t="str">
        <f aca="false">Scoring!AW27</f>
        <v/>
      </c>
      <c r="C21" s="129" t="n">
        <f aca="false">Scoring!C27</f>
        <v>0</v>
      </c>
      <c r="D21" s="130" t="str">
        <f aca="false">Scoring!AT27</f>
        <v/>
      </c>
      <c r="E21" s="129" t="str">
        <f aca="false">Scoring!Z27</f>
        <v/>
      </c>
      <c r="F21" s="129" t="n">
        <f aca="false">Scoring!B27</f>
        <v>0</v>
      </c>
      <c r="G21" s="129" t="n">
        <f aca="false">Scoring!D27</f>
        <v>0</v>
      </c>
      <c r="H21" s="129" t="str">
        <f aca="false">Scoring!AV27</f>
        <v/>
      </c>
      <c r="I21" s="131" t="str">
        <f aca="false">Scoring!AU27</f>
        <v/>
      </c>
    </row>
    <row r="22" customFormat="false" ht="15.75" hidden="false" customHeight="false" outlineLevel="0" collapsed="false">
      <c r="A22" s="129" t="str">
        <f aca="false">Scoring!AX28</f>
        <v/>
      </c>
      <c r="B22" s="129" t="str">
        <f aca="false">Scoring!AW28</f>
        <v/>
      </c>
      <c r="C22" s="129" t="n">
        <f aca="false">Scoring!C28</f>
        <v>0</v>
      </c>
      <c r="D22" s="130" t="str">
        <f aca="false">Scoring!AT28</f>
        <v/>
      </c>
      <c r="E22" s="129" t="str">
        <f aca="false">Scoring!Z28</f>
        <v/>
      </c>
      <c r="F22" s="129" t="n">
        <f aca="false">Scoring!B28</f>
        <v>0</v>
      </c>
      <c r="G22" s="129" t="n">
        <f aca="false">Scoring!D28</f>
        <v>0</v>
      </c>
      <c r="H22" s="129" t="str">
        <f aca="false">Scoring!AV28</f>
        <v/>
      </c>
      <c r="I22" s="131" t="str">
        <f aca="false">Scoring!AU28</f>
        <v/>
      </c>
    </row>
    <row r="23" customFormat="false" ht="15.75" hidden="false" customHeight="false" outlineLevel="0" collapsed="false">
      <c r="A23" s="129" t="str">
        <f aca="false">Scoring!AX29</f>
        <v/>
      </c>
      <c r="B23" s="129" t="str">
        <f aca="false">Scoring!AW29</f>
        <v/>
      </c>
      <c r="C23" s="129" t="n">
        <f aca="false">Scoring!C29</f>
        <v>0</v>
      </c>
      <c r="D23" s="130" t="str">
        <f aca="false">Scoring!AT29</f>
        <v/>
      </c>
      <c r="E23" s="129" t="str">
        <f aca="false">Scoring!Z29</f>
        <v/>
      </c>
      <c r="F23" s="129" t="n">
        <f aca="false">Scoring!B29</f>
        <v>0</v>
      </c>
      <c r="G23" s="129" t="n">
        <f aca="false">Scoring!D29</f>
        <v>0</v>
      </c>
      <c r="H23" s="129" t="str">
        <f aca="false">Scoring!AV29</f>
        <v/>
      </c>
      <c r="I23" s="131" t="str">
        <f aca="false">Scoring!AU29</f>
        <v/>
      </c>
    </row>
    <row r="24" customFormat="false" ht="15.75" hidden="false" customHeight="false" outlineLevel="0" collapsed="false">
      <c r="A24" s="129" t="str">
        <f aca="false">Scoring!AX30</f>
        <v/>
      </c>
      <c r="B24" s="129" t="str">
        <f aca="false">Scoring!AW30</f>
        <v/>
      </c>
      <c r="C24" s="129" t="n">
        <f aca="false">Scoring!C30</f>
        <v>0</v>
      </c>
      <c r="D24" s="130" t="str">
        <f aca="false">Scoring!AT30</f>
        <v/>
      </c>
      <c r="E24" s="129" t="str">
        <f aca="false">Scoring!Z30</f>
        <v/>
      </c>
      <c r="F24" s="129" t="n">
        <f aca="false">Scoring!B30</f>
        <v>0</v>
      </c>
      <c r="G24" s="129" t="n">
        <f aca="false">Scoring!D30</f>
        <v>0</v>
      </c>
      <c r="H24" s="129" t="str">
        <f aca="false">Scoring!AV30</f>
        <v/>
      </c>
      <c r="I24" s="131" t="str">
        <f aca="false">Scoring!AU30</f>
        <v/>
      </c>
    </row>
    <row r="25" customFormat="false" ht="15.75" hidden="false" customHeight="false" outlineLevel="0" collapsed="false">
      <c r="A25" s="129" t="str">
        <f aca="false">Scoring!AX31</f>
        <v/>
      </c>
      <c r="B25" s="129" t="str">
        <f aca="false">Scoring!AW31</f>
        <v/>
      </c>
      <c r="C25" s="129" t="n">
        <f aca="false">Scoring!C31</f>
        <v>0</v>
      </c>
      <c r="D25" s="130" t="str">
        <f aca="false">Scoring!AT31</f>
        <v/>
      </c>
      <c r="E25" s="129" t="str">
        <f aca="false">Scoring!Z31</f>
        <v/>
      </c>
      <c r="F25" s="129" t="n">
        <f aca="false">Scoring!B31</f>
        <v>0</v>
      </c>
      <c r="G25" s="129" t="n">
        <f aca="false">Scoring!D31</f>
        <v>0</v>
      </c>
      <c r="H25" s="129" t="str">
        <f aca="false">Scoring!AV31</f>
        <v/>
      </c>
      <c r="I25" s="131" t="str">
        <f aca="false">Scoring!AU31</f>
        <v/>
      </c>
    </row>
    <row r="26" customFormat="false" ht="15.75" hidden="false" customHeight="false" outlineLevel="0" collapsed="false">
      <c r="A26" s="129" t="str">
        <f aca="false">Scoring!AX32</f>
        <v/>
      </c>
      <c r="B26" s="129" t="str">
        <f aca="false">Scoring!AW32</f>
        <v/>
      </c>
      <c r="C26" s="129" t="n">
        <f aca="false">Scoring!C32</f>
        <v>0</v>
      </c>
      <c r="D26" s="130" t="str">
        <f aca="false">Scoring!AT32</f>
        <v/>
      </c>
      <c r="E26" s="129" t="str">
        <f aca="false">Scoring!Z32</f>
        <v/>
      </c>
      <c r="F26" s="129" t="n">
        <f aca="false">Scoring!B32</f>
        <v>0</v>
      </c>
      <c r="G26" s="129" t="n">
        <f aca="false">Scoring!D32</f>
        <v>0</v>
      </c>
      <c r="H26" s="129" t="str">
        <f aca="false">Scoring!AV32</f>
        <v/>
      </c>
      <c r="I26" s="131" t="str">
        <f aca="false">Scoring!AU32</f>
        <v/>
      </c>
    </row>
    <row r="27" customFormat="false" ht="15.75" hidden="false" customHeight="false" outlineLevel="0" collapsed="false">
      <c r="A27" s="129" t="str">
        <f aca="false">Scoring!AX33</f>
        <v/>
      </c>
      <c r="B27" s="129" t="str">
        <f aca="false">Scoring!AW33</f>
        <v/>
      </c>
      <c r="C27" s="129" t="n">
        <f aca="false">Scoring!C33</f>
        <v>0</v>
      </c>
      <c r="D27" s="130" t="str">
        <f aca="false">Scoring!AT33</f>
        <v/>
      </c>
      <c r="E27" s="129" t="str">
        <f aca="false">Scoring!Z33</f>
        <v/>
      </c>
      <c r="F27" s="129" t="n">
        <f aca="false">Scoring!B33</f>
        <v>0</v>
      </c>
      <c r="G27" s="129" t="n">
        <f aca="false">Scoring!D33</f>
        <v>0</v>
      </c>
      <c r="H27" s="129" t="str">
        <f aca="false">Scoring!AV33</f>
        <v/>
      </c>
      <c r="I27" s="131" t="str">
        <f aca="false">Scoring!AU33</f>
        <v/>
      </c>
    </row>
    <row r="28" customFormat="false" ht="15.75" hidden="false" customHeight="false" outlineLevel="0" collapsed="false">
      <c r="A28" s="129" t="str">
        <f aca="false">Scoring!AX34</f>
        <v/>
      </c>
      <c r="B28" s="129" t="str">
        <f aca="false">Scoring!AW34</f>
        <v/>
      </c>
      <c r="C28" s="129" t="n">
        <f aca="false">Scoring!C34</f>
        <v>0</v>
      </c>
      <c r="D28" s="130" t="str">
        <f aca="false">Scoring!AT34</f>
        <v/>
      </c>
      <c r="E28" s="129" t="str">
        <f aca="false">Scoring!Z34</f>
        <v/>
      </c>
      <c r="F28" s="129" t="n">
        <f aca="false">Scoring!B34</f>
        <v>0</v>
      </c>
      <c r="G28" s="129" t="n">
        <f aca="false">Scoring!D34</f>
        <v>0</v>
      </c>
      <c r="H28" s="129" t="str">
        <f aca="false">Scoring!AV34</f>
        <v/>
      </c>
      <c r="I28" s="131" t="str">
        <f aca="false">Scoring!AU34</f>
        <v/>
      </c>
    </row>
    <row r="29" customFormat="false" ht="15.75" hidden="false" customHeight="false" outlineLevel="0" collapsed="false">
      <c r="A29" s="129" t="str">
        <f aca="false">Scoring!AX35</f>
        <v/>
      </c>
      <c r="B29" s="129" t="str">
        <f aca="false">Scoring!AW35</f>
        <v/>
      </c>
      <c r="C29" s="129" t="n">
        <f aca="false">Scoring!C35</f>
        <v>0</v>
      </c>
      <c r="D29" s="130" t="str">
        <f aca="false">Scoring!AT35</f>
        <v/>
      </c>
      <c r="E29" s="129" t="str">
        <f aca="false">Scoring!Z35</f>
        <v/>
      </c>
      <c r="F29" s="129" t="n">
        <f aca="false">Scoring!B35</f>
        <v>0</v>
      </c>
      <c r="G29" s="129" t="n">
        <f aca="false">Scoring!D35</f>
        <v>0</v>
      </c>
      <c r="H29" s="129" t="str">
        <f aca="false">Scoring!AV35</f>
        <v/>
      </c>
      <c r="I29" s="131" t="str">
        <f aca="false">Scoring!AU35</f>
        <v/>
      </c>
    </row>
    <row r="30" customFormat="false" ht="15.75" hidden="false" customHeight="false" outlineLevel="0" collapsed="false">
      <c r="A30" s="129" t="str">
        <f aca="false">Scoring!AX36</f>
        <v/>
      </c>
      <c r="B30" s="129" t="str">
        <f aca="false">Scoring!AW36</f>
        <v/>
      </c>
      <c r="C30" s="129" t="n">
        <f aca="false">Scoring!C36</f>
        <v>0</v>
      </c>
      <c r="D30" s="130" t="str">
        <f aca="false">Scoring!AT36</f>
        <v/>
      </c>
      <c r="E30" s="129" t="str">
        <f aca="false">Scoring!Z36</f>
        <v/>
      </c>
      <c r="F30" s="129" t="n">
        <f aca="false">Scoring!B36</f>
        <v>0</v>
      </c>
      <c r="G30" s="129" t="n">
        <f aca="false">Scoring!D36</f>
        <v>0</v>
      </c>
      <c r="H30" s="129" t="str">
        <f aca="false">Scoring!AV36</f>
        <v/>
      </c>
      <c r="I30" s="131" t="str">
        <f aca="false">Scoring!AU36</f>
        <v/>
      </c>
    </row>
    <row r="31" customFormat="false" ht="15.75" hidden="false" customHeight="false" outlineLevel="0" collapsed="false">
      <c r="A31" s="129" t="str">
        <f aca="false">Scoring!AX37</f>
        <v/>
      </c>
      <c r="B31" s="129" t="str">
        <f aca="false">Scoring!AW37</f>
        <v/>
      </c>
      <c r="C31" s="129" t="n">
        <f aca="false">Scoring!C37</f>
        <v>0</v>
      </c>
      <c r="D31" s="130" t="str">
        <f aca="false">Scoring!AT37</f>
        <v/>
      </c>
      <c r="E31" s="129" t="str">
        <f aca="false">Scoring!Z37</f>
        <v/>
      </c>
      <c r="F31" s="129" t="n">
        <f aca="false">Scoring!B37</f>
        <v>0</v>
      </c>
      <c r="G31" s="129" t="n">
        <f aca="false">Scoring!D37</f>
        <v>0</v>
      </c>
      <c r="H31" s="129" t="str">
        <f aca="false">Scoring!AV37</f>
        <v/>
      </c>
      <c r="I31" s="131" t="str">
        <f aca="false">Scoring!AU37</f>
        <v/>
      </c>
    </row>
    <row r="32" customFormat="false" ht="15.75" hidden="false" customHeight="false" outlineLevel="0" collapsed="false">
      <c r="A32" s="129" t="str">
        <f aca="false">Scoring!AX38</f>
        <v/>
      </c>
      <c r="B32" s="129" t="str">
        <f aca="false">Scoring!AW38</f>
        <v/>
      </c>
      <c r="C32" s="129" t="n">
        <f aca="false">Scoring!C38</f>
        <v>0</v>
      </c>
      <c r="D32" s="130" t="str">
        <f aca="false">Scoring!AT38</f>
        <v/>
      </c>
      <c r="E32" s="129" t="str">
        <f aca="false">Scoring!Z38</f>
        <v/>
      </c>
      <c r="F32" s="129" t="n">
        <f aca="false">Scoring!B38</f>
        <v>0</v>
      </c>
      <c r="G32" s="129" t="n">
        <f aca="false">Scoring!D38</f>
        <v>0</v>
      </c>
      <c r="H32" s="129" t="str">
        <f aca="false">Scoring!AV38</f>
        <v/>
      </c>
      <c r="I32" s="131" t="str">
        <f aca="false">Scoring!AU38</f>
        <v/>
      </c>
    </row>
    <row r="33" customFormat="false" ht="15.75" hidden="false" customHeight="false" outlineLevel="0" collapsed="false">
      <c r="A33" s="129" t="str">
        <f aca="false">Scoring!AX39</f>
        <v/>
      </c>
      <c r="B33" s="129" t="str">
        <f aca="false">Scoring!AW39</f>
        <v/>
      </c>
      <c r="C33" s="129" t="n">
        <f aca="false">Scoring!C39</f>
        <v>0</v>
      </c>
      <c r="D33" s="130" t="str">
        <f aca="false">Scoring!AT39</f>
        <v/>
      </c>
      <c r="E33" s="129" t="str">
        <f aca="false">Scoring!Z39</f>
        <v/>
      </c>
      <c r="F33" s="129" t="n">
        <f aca="false">Scoring!B39</f>
        <v>0</v>
      </c>
      <c r="G33" s="129" t="n">
        <f aca="false">Scoring!D39</f>
        <v>0</v>
      </c>
      <c r="H33" s="129" t="str">
        <f aca="false">Scoring!AV39</f>
        <v/>
      </c>
      <c r="I33" s="131" t="str">
        <f aca="false">Scoring!AU39</f>
        <v/>
      </c>
    </row>
    <row r="34" customFormat="false" ht="15.75" hidden="false" customHeight="false" outlineLevel="0" collapsed="false">
      <c r="A34" s="129" t="str">
        <f aca="false">Scoring!AX40</f>
        <v/>
      </c>
      <c r="B34" s="129" t="str">
        <f aca="false">Scoring!AW40</f>
        <v/>
      </c>
      <c r="C34" s="129" t="n">
        <f aca="false">Scoring!C40</f>
        <v>0</v>
      </c>
      <c r="D34" s="130" t="str">
        <f aca="false">Scoring!AT40</f>
        <v/>
      </c>
      <c r="E34" s="129" t="str">
        <f aca="false">Scoring!Z40</f>
        <v/>
      </c>
      <c r="F34" s="129" t="n">
        <f aca="false">Scoring!B40</f>
        <v>0</v>
      </c>
      <c r="G34" s="129" t="n">
        <f aca="false">Scoring!D40</f>
        <v>0</v>
      </c>
      <c r="H34" s="129" t="str">
        <f aca="false">Scoring!AV40</f>
        <v/>
      </c>
      <c r="I34" s="131" t="str">
        <f aca="false">Scoring!AU40</f>
        <v/>
      </c>
    </row>
    <row r="35" customFormat="false" ht="15.75" hidden="false" customHeight="false" outlineLevel="0" collapsed="false">
      <c r="A35" s="129" t="str">
        <f aca="false">Scoring!AX41</f>
        <v/>
      </c>
      <c r="B35" s="129" t="str">
        <f aca="false">Scoring!AW41</f>
        <v/>
      </c>
      <c r="C35" s="129" t="n">
        <f aca="false">Scoring!C41</f>
        <v>0</v>
      </c>
      <c r="D35" s="130" t="str">
        <f aca="false">Scoring!AT41</f>
        <v/>
      </c>
      <c r="E35" s="129" t="str">
        <f aca="false">Scoring!Z41</f>
        <v/>
      </c>
      <c r="F35" s="129" t="n">
        <f aca="false">Scoring!B41</f>
        <v>0</v>
      </c>
      <c r="G35" s="129" t="n">
        <f aca="false">Scoring!D41</f>
        <v>0</v>
      </c>
      <c r="H35" s="129" t="str">
        <f aca="false">Scoring!AV41</f>
        <v/>
      </c>
      <c r="I35" s="131" t="str">
        <f aca="false">Scoring!AU41</f>
        <v/>
      </c>
    </row>
    <row r="36" customFormat="false" ht="15.75" hidden="false" customHeight="false" outlineLevel="0" collapsed="false">
      <c r="A36" s="129" t="str">
        <f aca="false">Scoring!AX42</f>
        <v/>
      </c>
      <c r="B36" s="129" t="str">
        <f aca="false">Scoring!AW42</f>
        <v/>
      </c>
      <c r="C36" s="129" t="n">
        <f aca="false">Scoring!C42</f>
        <v>0</v>
      </c>
      <c r="D36" s="130" t="str">
        <f aca="false">Scoring!AT42</f>
        <v/>
      </c>
      <c r="E36" s="129" t="str">
        <f aca="false">Scoring!Z42</f>
        <v/>
      </c>
      <c r="F36" s="129" t="n">
        <f aca="false">Scoring!B42</f>
        <v>0</v>
      </c>
      <c r="G36" s="129" t="n">
        <f aca="false">Scoring!D42</f>
        <v>0</v>
      </c>
      <c r="H36" s="129" t="str">
        <f aca="false">Scoring!AV42</f>
        <v/>
      </c>
      <c r="I36" s="131" t="str">
        <f aca="false">Scoring!AU42</f>
        <v/>
      </c>
    </row>
    <row r="37" customFormat="false" ht="15.75" hidden="false" customHeight="false" outlineLevel="0" collapsed="false">
      <c r="A37" s="129" t="str">
        <f aca="false">Scoring!AX43</f>
        <v/>
      </c>
      <c r="B37" s="129" t="str">
        <f aca="false">Scoring!AW43</f>
        <v/>
      </c>
      <c r="C37" s="129" t="n">
        <f aca="false">Scoring!C43</f>
        <v>0</v>
      </c>
      <c r="D37" s="130" t="str">
        <f aca="false">Scoring!AT43</f>
        <v/>
      </c>
      <c r="E37" s="129" t="str">
        <f aca="false">Scoring!Z43</f>
        <v/>
      </c>
      <c r="F37" s="129" t="n">
        <f aca="false">Scoring!B43</f>
        <v>0</v>
      </c>
      <c r="G37" s="129" t="n">
        <f aca="false">Scoring!D43</f>
        <v>0</v>
      </c>
      <c r="H37" s="129" t="str">
        <f aca="false">Scoring!AV43</f>
        <v/>
      </c>
      <c r="I37" s="131" t="str">
        <f aca="false">Scoring!AU43</f>
        <v/>
      </c>
    </row>
    <row r="38" customFormat="false" ht="15.75" hidden="false" customHeight="false" outlineLevel="0" collapsed="false">
      <c r="A38" s="129" t="str">
        <f aca="false">Scoring!AX44</f>
        <v/>
      </c>
      <c r="B38" s="129" t="str">
        <f aca="false">Scoring!AW44</f>
        <v/>
      </c>
      <c r="C38" s="129" t="n">
        <f aca="false">Scoring!C44</f>
        <v>0</v>
      </c>
      <c r="D38" s="130" t="str">
        <f aca="false">Scoring!AT44</f>
        <v/>
      </c>
      <c r="E38" s="129" t="str">
        <f aca="false">Scoring!Z44</f>
        <v/>
      </c>
      <c r="F38" s="129" t="n">
        <f aca="false">Scoring!B44</f>
        <v>0</v>
      </c>
      <c r="G38" s="129" t="n">
        <f aca="false">Scoring!D44</f>
        <v>0</v>
      </c>
      <c r="H38" s="129" t="str">
        <f aca="false">Scoring!AV44</f>
        <v/>
      </c>
      <c r="I38" s="131" t="str">
        <f aca="false">Scoring!AU44</f>
        <v/>
      </c>
    </row>
    <row r="39" customFormat="false" ht="15.75" hidden="false" customHeight="false" outlineLevel="0" collapsed="false">
      <c r="A39" s="129" t="str">
        <f aca="false">Scoring!AX45</f>
        <v/>
      </c>
      <c r="B39" s="129" t="str">
        <f aca="false">Scoring!AW45</f>
        <v/>
      </c>
      <c r="C39" s="129" t="n">
        <f aca="false">Scoring!C45</f>
        <v>0</v>
      </c>
      <c r="D39" s="130" t="str">
        <f aca="false">Scoring!AT45</f>
        <v/>
      </c>
      <c r="E39" s="129" t="str">
        <f aca="false">Scoring!Z45</f>
        <v/>
      </c>
      <c r="F39" s="129" t="n">
        <f aca="false">Scoring!B45</f>
        <v>0</v>
      </c>
      <c r="G39" s="129" t="n">
        <f aca="false">Scoring!D45</f>
        <v>0</v>
      </c>
      <c r="H39" s="129" t="str">
        <f aca="false">Scoring!AV45</f>
        <v/>
      </c>
      <c r="I39" s="131" t="str">
        <f aca="false">Scoring!AU45</f>
        <v/>
      </c>
    </row>
    <row r="40" customFormat="false" ht="15.75" hidden="false" customHeight="false" outlineLevel="0" collapsed="false">
      <c r="A40" s="129" t="str">
        <f aca="false">Scoring!AX46</f>
        <v/>
      </c>
      <c r="B40" s="129" t="str">
        <f aca="false">Scoring!AW46</f>
        <v/>
      </c>
      <c r="C40" s="129" t="n">
        <f aca="false">Scoring!C46</f>
        <v>0</v>
      </c>
      <c r="D40" s="130" t="str">
        <f aca="false">Scoring!AT46</f>
        <v/>
      </c>
      <c r="E40" s="129" t="str">
        <f aca="false">Scoring!Z46</f>
        <v/>
      </c>
      <c r="F40" s="129" t="n">
        <f aca="false">Scoring!B46</f>
        <v>0</v>
      </c>
      <c r="G40" s="129" t="n">
        <f aca="false">Scoring!D46</f>
        <v>0</v>
      </c>
      <c r="H40" s="129" t="str">
        <f aca="false">Scoring!AV46</f>
        <v/>
      </c>
      <c r="I40" s="131" t="str">
        <f aca="false">Scoring!AU46</f>
        <v/>
      </c>
    </row>
    <row r="41" customFormat="false" ht="15.75" hidden="false" customHeight="false" outlineLevel="0" collapsed="false">
      <c r="A41" s="129" t="str">
        <f aca="false">Scoring!AX47</f>
        <v/>
      </c>
      <c r="B41" s="129" t="str">
        <f aca="false">Scoring!AW47</f>
        <v/>
      </c>
      <c r="C41" s="129" t="n">
        <f aca="false">Scoring!C47</f>
        <v>0</v>
      </c>
      <c r="D41" s="130" t="str">
        <f aca="false">Scoring!AT47</f>
        <v/>
      </c>
      <c r="E41" s="129" t="str">
        <f aca="false">Scoring!Z47</f>
        <v/>
      </c>
      <c r="F41" s="129" t="n">
        <f aca="false">Scoring!B47</f>
        <v>0</v>
      </c>
      <c r="G41" s="129" t="n">
        <f aca="false">Scoring!D47</f>
        <v>0</v>
      </c>
      <c r="H41" s="129" t="str">
        <f aca="false">Scoring!AV47</f>
        <v/>
      </c>
      <c r="I41" s="131" t="str">
        <f aca="false">Scoring!AU47</f>
        <v/>
      </c>
    </row>
    <row r="42" customFormat="false" ht="15.75" hidden="false" customHeight="false" outlineLevel="0" collapsed="false">
      <c r="A42" s="129" t="str">
        <f aca="false">Scoring!AX48</f>
        <v/>
      </c>
      <c r="B42" s="129" t="str">
        <f aca="false">Scoring!AW48</f>
        <v/>
      </c>
      <c r="C42" s="129" t="n">
        <f aca="false">Scoring!C48</f>
        <v>0</v>
      </c>
      <c r="D42" s="130" t="str">
        <f aca="false">Scoring!AT48</f>
        <v/>
      </c>
      <c r="E42" s="129" t="str">
        <f aca="false">Scoring!Z48</f>
        <v/>
      </c>
      <c r="F42" s="129" t="n">
        <f aca="false">Scoring!B48</f>
        <v>0</v>
      </c>
      <c r="G42" s="129" t="n">
        <f aca="false">Scoring!D48</f>
        <v>0</v>
      </c>
      <c r="H42" s="129" t="str">
        <f aca="false">Scoring!AV48</f>
        <v/>
      </c>
      <c r="I42" s="131" t="str">
        <f aca="false">Scoring!AU48</f>
        <v/>
      </c>
    </row>
    <row r="43" customFormat="false" ht="15.75" hidden="false" customHeight="false" outlineLevel="0" collapsed="false">
      <c r="A43" s="129" t="str">
        <f aca="false">Scoring!AX49</f>
        <v/>
      </c>
      <c r="B43" s="129" t="str">
        <f aca="false">Scoring!AW49</f>
        <v/>
      </c>
      <c r="C43" s="129" t="n">
        <f aca="false">Scoring!C49</f>
        <v>0</v>
      </c>
      <c r="D43" s="130" t="str">
        <f aca="false">Scoring!AT49</f>
        <v/>
      </c>
      <c r="E43" s="129" t="str">
        <f aca="false">Scoring!Z49</f>
        <v/>
      </c>
      <c r="F43" s="129" t="n">
        <f aca="false">Scoring!B49</f>
        <v>0</v>
      </c>
      <c r="G43" s="129" t="n">
        <f aca="false">Scoring!D49</f>
        <v>0</v>
      </c>
      <c r="H43" s="129" t="str">
        <f aca="false">Scoring!AV49</f>
        <v/>
      </c>
      <c r="I43" s="131" t="str">
        <f aca="false">Scoring!AU49</f>
        <v/>
      </c>
    </row>
    <row r="44" customFormat="false" ht="15.75" hidden="false" customHeight="false" outlineLevel="0" collapsed="false">
      <c r="A44" s="129" t="str">
        <f aca="false">Scoring!AX50</f>
        <v/>
      </c>
      <c r="B44" s="129" t="str">
        <f aca="false">Scoring!AW50</f>
        <v/>
      </c>
      <c r="C44" s="129" t="n">
        <f aca="false">Scoring!C50</f>
        <v>0</v>
      </c>
      <c r="D44" s="130" t="str">
        <f aca="false">Scoring!AT50</f>
        <v/>
      </c>
      <c r="E44" s="129" t="str">
        <f aca="false">Scoring!Z50</f>
        <v/>
      </c>
      <c r="F44" s="129" t="n">
        <f aca="false">Scoring!B50</f>
        <v>0</v>
      </c>
      <c r="G44" s="129" t="n">
        <f aca="false">Scoring!D50</f>
        <v>0</v>
      </c>
      <c r="H44" s="129" t="str">
        <f aca="false">Scoring!AV50</f>
        <v/>
      </c>
      <c r="I44" s="131" t="str">
        <f aca="false">Scoring!AU50</f>
        <v/>
      </c>
    </row>
    <row r="45" customFormat="false" ht="15.75" hidden="false" customHeight="false" outlineLevel="0" collapsed="false">
      <c r="A45" s="129" t="str">
        <f aca="false">Scoring!AX51</f>
        <v/>
      </c>
      <c r="B45" s="129" t="str">
        <f aca="false">Scoring!AW51</f>
        <v/>
      </c>
      <c r="C45" s="129" t="n">
        <f aca="false">Scoring!C51</f>
        <v>0</v>
      </c>
      <c r="D45" s="130" t="str">
        <f aca="false">Scoring!AT51</f>
        <v/>
      </c>
      <c r="E45" s="129" t="str">
        <f aca="false">Scoring!Z51</f>
        <v/>
      </c>
      <c r="F45" s="129" t="n">
        <f aca="false">Scoring!B51</f>
        <v>0</v>
      </c>
      <c r="G45" s="129" t="n">
        <f aca="false">Scoring!D51</f>
        <v>0</v>
      </c>
      <c r="H45" s="129" t="str">
        <f aca="false">Scoring!AV51</f>
        <v/>
      </c>
      <c r="I45" s="131" t="str">
        <f aca="false">Scoring!AU51</f>
        <v/>
      </c>
    </row>
    <row r="46" customFormat="false" ht="15.75" hidden="false" customHeight="false" outlineLevel="0" collapsed="false">
      <c r="A46" s="129" t="str">
        <f aca="false">Scoring!AX52</f>
        <v/>
      </c>
      <c r="B46" s="129" t="str">
        <f aca="false">Scoring!AW52</f>
        <v/>
      </c>
      <c r="C46" s="129" t="n">
        <f aca="false">Scoring!C52</f>
        <v>0</v>
      </c>
      <c r="D46" s="130" t="str">
        <f aca="false">Scoring!AT52</f>
        <v/>
      </c>
      <c r="E46" s="129" t="str">
        <f aca="false">Scoring!Z52</f>
        <v/>
      </c>
      <c r="F46" s="129" t="n">
        <f aca="false">Scoring!B52</f>
        <v>0</v>
      </c>
      <c r="G46" s="129" t="n">
        <f aca="false">Scoring!D52</f>
        <v>0</v>
      </c>
      <c r="H46" s="129" t="str">
        <f aca="false">Scoring!AV52</f>
        <v/>
      </c>
      <c r="I46" s="131" t="str">
        <f aca="false">Scoring!AU52</f>
        <v/>
      </c>
    </row>
    <row r="47" customFormat="false" ht="15.75" hidden="false" customHeight="false" outlineLevel="0" collapsed="false">
      <c r="A47" s="129" t="str">
        <f aca="false">Scoring!AX53</f>
        <v/>
      </c>
      <c r="B47" s="129" t="str">
        <f aca="false">Scoring!AW53</f>
        <v/>
      </c>
      <c r="C47" s="129" t="n">
        <f aca="false">Scoring!C53</f>
        <v>0</v>
      </c>
      <c r="D47" s="130" t="str">
        <f aca="false">Scoring!AT53</f>
        <v/>
      </c>
      <c r="E47" s="129" t="str">
        <f aca="false">Scoring!Z53</f>
        <v/>
      </c>
      <c r="F47" s="129" t="n">
        <f aca="false">Scoring!B53</f>
        <v>0</v>
      </c>
      <c r="G47" s="129" t="n">
        <f aca="false">Scoring!D53</f>
        <v>0</v>
      </c>
      <c r="H47" s="129" t="str">
        <f aca="false">Scoring!AV53</f>
        <v/>
      </c>
      <c r="I47" s="131" t="str">
        <f aca="false">Scoring!AU53</f>
        <v/>
      </c>
    </row>
    <row r="48" customFormat="false" ht="15.75" hidden="false" customHeight="false" outlineLevel="0" collapsed="false">
      <c r="A48" s="129" t="str">
        <f aca="false">Scoring!AX54</f>
        <v/>
      </c>
      <c r="B48" s="129" t="str">
        <f aca="false">Scoring!AW54</f>
        <v/>
      </c>
      <c r="C48" s="129" t="n">
        <f aca="false">Scoring!C54</f>
        <v>0</v>
      </c>
      <c r="D48" s="130" t="str">
        <f aca="false">Scoring!AT54</f>
        <v/>
      </c>
      <c r="E48" s="129" t="str">
        <f aca="false">Scoring!Z54</f>
        <v/>
      </c>
      <c r="F48" s="129" t="n">
        <f aca="false">Scoring!B54</f>
        <v>0</v>
      </c>
      <c r="G48" s="129" t="n">
        <f aca="false">Scoring!D54</f>
        <v>0</v>
      </c>
      <c r="H48" s="129" t="str">
        <f aca="false">Scoring!AV54</f>
        <v/>
      </c>
      <c r="I48" s="131" t="str">
        <f aca="false">Scoring!AU54</f>
        <v/>
      </c>
    </row>
    <row r="49" customFormat="false" ht="15.75" hidden="false" customHeight="false" outlineLevel="0" collapsed="false">
      <c r="A49" s="129" t="str">
        <f aca="false">Scoring!AX55</f>
        <v/>
      </c>
      <c r="B49" s="129" t="str">
        <f aca="false">Scoring!AW55</f>
        <v/>
      </c>
      <c r="C49" s="129" t="n">
        <f aca="false">Scoring!C55</f>
        <v>0</v>
      </c>
      <c r="D49" s="130" t="str">
        <f aca="false">Scoring!AT55</f>
        <v/>
      </c>
      <c r="E49" s="129" t="str">
        <f aca="false">Scoring!Z55</f>
        <v/>
      </c>
      <c r="F49" s="129" t="n">
        <f aca="false">Scoring!B55</f>
        <v>0</v>
      </c>
      <c r="G49" s="129" t="n">
        <f aca="false">Scoring!D55</f>
        <v>0</v>
      </c>
      <c r="H49" s="129" t="str">
        <f aca="false">Scoring!AV55</f>
        <v/>
      </c>
      <c r="I49" s="131" t="str">
        <f aca="false">Scoring!AU55</f>
        <v/>
      </c>
    </row>
    <row r="50" customFormat="false" ht="15.75" hidden="false" customHeight="false" outlineLevel="0" collapsed="false">
      <c r="A50" s="129" t="str">
        <f aca="false">Scoring!AX56</f>
        <v/>
      </c>
      <c r="B50" s="129" t="str">
        <f aca="false">Scoring!AW56</f>
        <v/>
      </c>
      <c r="C50" s="129" t="n">
        <f aca="false">Scoring!C56</f>
        <v>0</v>
      </c>
      <c r="D50" s="130" t="str">
        <f aca="false">Scoring!AT56</f>
        <v/>
      </c>
      <c r="E50" s="129" t="str">
        <f aca="false">Scoring!Z56</f>
        <v/>
      </c>
      <c r="F50" s="129" t="n">
        <f aca="false">Scoring!B56</f>
        <v>0</v>
      </c>
      <c r="G50" s="129" t="n">
        <f aca="false">Scoring!D56</f>
        <v>0</v>
      </c>
      <c r="H50" s="129" t="str">
        <f aca="false">Scoring!AV56</f>
        <v/>
      </c>
      <c r="I50" s="131" t="str">
        <f aca="false">Scoring!AU56</f>
        <v/>
      </c>
    </row>
    <row r="51" customFormat="false" ht="15.75" hidden="false" customHeight="false" outlineLevel="0" collapsed="false">
      <c r="A51" s="129" t="str">
        <f aca="false">Scoring!AX57</f>
        <v/>
      </c>
      <c r="B51" s="129" t="str">
        <f aca="false">Scoring!AW57</f>
        <v/>
      </c>
      <c r="C51" s="129" t="n">
        <f aca="false">Scoring!C57</f>
        <v>0</v>
      </c>
      <c r="D51" s="130" t="str">
        <f aca="false">Scoring!AT57</f>
        <v/>
      </c>
      <c r="E51" s="129" t="str">
        <f aca="false">Scoring!Z57</f>
        <v/>
      </c>
      <c r="F51" s="129" t="n">
        <f aca="false">Scoring!B57</f>
        <v>0</v>
      </c>
      <c r="G51" s="129" t="n">
        <f aca="false">Scoring!D57</f>
        <v>0</v>
      </c>
      <c r="H51" s="129" t="str">
        <f aca="false">Scoring!AV57</f>
        <v/>
      </c>
      <c r="I51" s="131" t="str">
        <f aca="false">Scoring!AU57</f>
        <v/>
      </c>
    </row>
    <row r="52" customFormat="false" ht="15.75" hidden="false" customHeight="false" outlineLevel="0" collapsed="false">
      <c r="A52" s="129" t="str">
        <f aca="false">Scoring!AX58</f>
        <v/>
      </c>
      <c r="B52" s="129" t="str">
        <f aca="false">Scoring!AW58</f>
        <v/>
      </c>
      <c r="C52" s="129" t="n">
        <f aca="false">Scoring!C58</f>
        <v>0</v>
      </c>
      <c r="D52" s="130" t="str">
        <f aca="false">Scoring!AT58</f>
        <v/>
      </c>
      <c r="E52" s="129" t="str">
        <f aca="false">Scoring!Z58</f>
        <v/>
      </c>
      <c r="F52" s="129" t="n">
        <f aca="false">Scoring!B58</f>
        <v>0</v>
      </c>
      <c r="G52" s="129" t="n">
        <f aca="false">Scoring!D58</f>
        <v>0</v>
      </c>
      <c r="H52" s="129" t="str">
        <f aca="false">Scoring!AV58</f>
        <v/>
      </c>
      <c r="I52" s="131" t="str">
        <f aca="false">Scoring!AU58</f>
        <v/>
      </c>
    </row>
    <row r="53" customFormat="false" ht="15.75" hidden="false" customHeight="false" outlineLevel="0" collapsed="false">
      <c r="A53" s="129" t="str">
        <f aca="false">Scoring!AX59</f>
        <v/>
      </c>
      <c r="B53" s="129" t="str">
        <f aca="false">Scoring!AW59</f>
        <v/>
      </c>
      <c r="C53" s="129" t="n">
        <f aca="false">Scoring!C59</f>
        <v>0</v>
      </c>
      <c r="D53" s="130" t="str">
        <f aca="false">Scoring!AT59</f>
        <v/>
      </c>
      <c r="E53" s="129" t="str">
        <f aca="false">Scoring!Z59</f>
        <v/>
      </c>
      <c r="F53" s="129" t="n">
        <f aca="false">Scoring!B59</f>
        <v>0</v>
      </c>
      <c r="G53" s="129" t="n">
        <f aca="false">Scoring!D59</f>
        <v>0</v>
      </c>
      <c r="H53" s="129" t="str">
        <f aca="false">Scoring!AV59</f>
        <v/>
      </c>
      <c r="I53" s="131" t="str">
        <f aca="false">Scoring!AU59</f>
        <v/>
      </c>
    </row>
    <row r="54" customFormat="false" ht="15.75" hidden="false" customHeight="false" outlineLevel="0" collapsed="false">
      <c r="A54" s="129" t="str">
        <f aca="false">Scoring!AX60</f>
        <v/>
      </c>
      <c r="B54" s="129" t="str">
        <f aca="false">Scoring!AW60</f>
        <v/>
      </c>
      <c r="C54" s="129" t="n">
        <f aca="false">Scoring!C60</f>
        <v>0</v>
      </c>
      <c r="D54" s="130" t="str">
        <f aca="false">Scoring!AT60</f>
        <v/>
      </c>
      <c r="E54" s="129" t="str">
        <f aca="false">Scoring!Z60</f>
        <v/>
      </c>
      <c r="F54" s="129" t="n">
        <f aca="false">Scoring!B60</f>
        <v>0</v>
      </c>
      <c r="G54" s="129" t="n">
        <f aca="false">Scoring!D60</f>
        <v>0</v>
      </c>
      <c r="H54" s="129" t="str">
        <f aca="false">Scoring!AV60</f>
        <v/>
      </c>
      <c r="I54" s="131" t="str">
        <f aca="false">Scoring!AU60</f>
        <v/>
      </c>
    </row>
    <row r="55" customFormat="false" ht="15.75" hidden="false" customHeight="false" outlineLevel="0" collapsed="false">
      <c r="A55" s="129" t="str">
        <f aca="false">Scoring!AX61</f>
        <v/>
      </c>
      <c r="B55" s="129" t="str">
        <f aca="false">Scoring!AW61</f>
        <v/>
      </c>
      <c r="C55" s="129" t="n">
        <f aca="false">Scoring!C61</f>
        <v>0</v>
      </c>
      <c r="D55" s="130" t="str">
        <f aca="false">Scoring!AT61</f>
        <v/>
      </c>
      <c r="E55" s="129" t="str">
        <f aca="false">Scoring!Z61</f>
        <v/>
      </c>
      <c r="F55" s="129" t="n">
        <f aca="false">Scoring!B61</f>
        <v>0</v>
      </c>
      <c r="G55" s="129" t="n">
        <f aca="false">Scoring!D61</f>
        <v>0</v>
      </c>
      <c r="H55" s="129" t="str">
        <f aca="false">Scoring!AV61</f>
        <v/>
      </c>
      <c r="I55" s="131" t="str">
        <f aca="false">Scoring!AU61</f>
        <v/>
      </c>
    </row>
    <row r="56" customFormat="false" ht="15.75" hidden="false" customHeight="false" outlineLevel="0" collapsed="false">
      <c r="A56" s="129" t="str">
        <f aca="false">Scoring!AX62</f>
        <v/>
      </c>
      <c r="B56" s="129" t="str">
        <f aca="false">Scoring!AW62</f>
        <v/>
      </c>
      <c r="C56" s="129" t="n">
        <f aca="false">Scoring!C62</f>
        <v>0</v>
      </c>
      <c r="D56" s="130" t="str">
        <f aca="false">Scoring!AT62</f>
        <v/>
      </c>
      <c r="E56" s="129" t="str">
        <f aca="false">Scoring!Z62</f>
        <v/>
      </c>
      <c r="F56" s="129" t="n">
        <f aca="false">Scoring!B62</f>
        <v>0</v>
      </c>
      <c r="G56" s="129" t="n">
        <f aca="false">Scoring!D62</f>
        <v>0</v>
      </c>
      <c r="H56" s="129" t="str">
        <f aca="false">Scoring!AV62</f>
        <v/>
      </c>
      <c r="I56" s="131" t="str">
        <f aca="false">Scoring!AU62</f>
        <v/>
      </c>
    </row>
    <row r="57" customFormat="false" ht="15.75" hidden="false" customHeight="false" outlineLevel="0" collapsed="false">
      <c r="A57" s="129" t="str">
        <f aca="false">Scoring!AX63</f>
        <v/>
      </c>
      <c r="B57" s="129" t="str">
        <f aca="false">Scoring!AW63</f>
        <v/>
      </c>
      <c r="C57" s="129" t="n">
        <f aca="false">Scoring!C63</f>
        <v>0</v>
      </c>
      <c r="D57" s="130" t="str">
        <f aca="false">Scoring!AT63</f>
        <v/>
      </c>
      <c r="E57" s="129" t="str">
        <f aca="false">Scoring!Z63</f>
        <v/>
      </c>
      <c r="F57" s="129" t="n">
        <f aca="false">Scoring!B63</f>
        <v>0</v>
      </c>
      <c r="G57" s="129" t="n">
        <f aca="false">Scoring!D63</f>
        <v>0</v>
      </c>
      <c r="H57" s="129" t="str">
        <f aca="false">Scoring!AV63</f>
        <v/>
      </c>
      <c r="I57" s="131" t="str">
        <f aca="false">Scoring!AU63</f>
        <v/>
      </c>
    </row>
    <row r="58" customFormat="false" ht="15.75" hidden="false" customHeight="false" outlineLevel="0" collapsed="false">
      <c r="A58" s="129" t="str">
        <f aca="false">Scoring!AX64</f>
        <v/>
      </c>
      <c r="B58" s="129" t="str">
        <f aca="false">Scoring!AW64</f>
        <v/>
      </c>
      <c r="C58" s="129" t="n">
        <f aca="false">Scoring!C64</f>
        <v>0</v>
      </c>
      <c r="D58" s="130" t="str">
        <f aca="false">Scoring!AT64</f>
        <v/>
      </c>
      <c r="E58" s="129" t="str">
        <f aca="false">Scoring!Z64</f>
        <v/>
      </c>
      <c r="F58" s="129" t="n">
        <f aca="false">Scoring!B64</f>
        <v>0</v>
      </c>
      <c r="G58" s="129" t="n">
        <f aca="false">Scoring!D64</f>
        <v>0</v>
      </c>
      <c r="H58" s="129" t="str">
        <f aca="false">Scoring!AV64</f>
        <v/>
      </c>
      <c r="I58" s="131" t="str">
        <f aca="false">Scoring!AU64</f>
        <v/>
      </c>
    </row>
    <row r="59" customFormat="false" ht="15.75" hidden="false" customHeight="false" outlineLevel="0" collapsed="false">
      <c r="A59" s="129" t="str">
        <f aca="false">Scoring!AX65</f>
        <v/>
      </c>
      <c r="B59" s="129" t="str">
        <f aca="false">Scoring!AW65</f>
        <v/>
      </c>
      <c r="C59" s="129" t="n">
        <f aca="false">Scoring!C65</f>
        <v>0</v>
      </c>
      <c r="D59" s="130" t="str">
        <f aca="false">Scoring!AT65</f>
        <v/>
      </c>
      <c r="E59" s="129" t="str">
        <f aca="false">Scoring!Z65</f>
        <v/>
      </c>
      <c r="F59" s="129" t="n">
        <f aca="false">Scoring!B65</f>
        <v>0</v>
      </c>
      <c r="G59" s="129" t="n">
        <f aca="false">Scoring!D65</f>
        <v>0</v>
      </c>
      <c r="H59" s="129" t="str">
        <f aca="false">Scoring!AV65</f>
        <v/>
      </c>
      <c r="I59" s="131" t="str">
        <f aca="false">Scoring!AU65</f>
        <v/>
      </c>
    </row>
    <row r="60" customFormat="false" ht="15.75" hidden="false" customHeight="false" outlineLevel="0" collapsed="false">
      <c r="A60" s="129" t="str">
        <f aca="false">Scoring!AX66</f>
        <v/>
      </c>
      <c r="B60" s="129" t="str">
        <f aca="false">Scoring!AW66</f>
        <v/>
      </c>
      <c r="C60" s="129" t="n">
        <f aca="false">Scoring!C66</f>
        <v>0</v>
      </c>
      <c r="D60" s="130" t="str">
        <f aca="false">Scoring!AT66</f>
        <v/>
      </c>
      <c r="E60" s="129" t="str">
        <f aca="false">Scoring!Z66</f>
        <v/>
      </c>
      <c r="F60" s="129" t="n">
        <f aca="false">Scoring!B66</f>
        <v>0</v>
      </c>
      <c r="G60" s="129" t="n">
        <f aca="false">Scoring!D66</f>
        <v>0</v>
      </c>
      <c r="H60" s="129" t="str">
        <f aca="false">Scoring!AV66</f>
        <v/>
      </c>
      <c r="I60" s="131" t="str">
        <f aca="false">Scoring!AU66</f>
        <v/>
      </c>
    </row>
    <row r="61" customFormat="false" ht="15.75" hidden="false" customHeight="false" outlineLevel="0" collapsed="false">
      <c r="A61" s="129" t="str">
        <f aca="false">Scoring!AX67</f>
        <v/>
      </c>
      <c r="B61" s="129" t="str">
        <f aca="false">Scoring!AW67</f>
        <v/>
      </c>
      <c r="C61" s="129" t="n">
        <f aca="false">Scoring!C67</f>
        <v>0</v>
      </c>
      <c r="D61" s="130" t="str">
        <f aca="false">Scoring!AT67</f>
        <v/>
      </c>
      <c r="E61" s="129" t="str">
        <f aca="false">Scoring!Z67</f>
        <v/>
      </c>
      <c r="F61" s="129" t="n">
        <f aca="false">Scoring!B67</f>
        <v>0</v>
      </c>
      <c r="G61" s="129" t="n">
        <f aca="false">Scoring!D67</f>
        <v>0</v>
      </c>
      <c r="H61" s="129" t="str">
        <f aca="false">Scoring!AV67</f>
        <v/>
      </c>
      <c r="I61" s="131" t="str">
        <f aca="false">Scoring!AU67</f>
        <v/>
      </c>
    </row>
    <row r="62" customFormat="false" ht="15.75" hidden="false" customHeight="false" outlineLevel="0" collapsed="false">
      <c r="A62" s="129" t="str">
        <f aca="false">Scoring!AX68</f>
        <v/>
      </c>
      <c r="B62" s="129" t="str">
        <f aca="false">Scoring!AW68</f>
        <v/>
      </c>
      <c r="C62" s="129" t="n">
        <f aca="false">Scoring!C68</f>
        <v>0</v>
      </c>
      <c r="D62" s="130" t="str">
        <f aca="false">Scoring!AT68</f>
        <v/>
      </c>
      <c r="E62" s="129" t="str">
        <f aca="false">Scoring!Z68</f>
        <v/>
      </c>
      <c r="F62" s="129" t="n">
        <f aca="false">Scoring!B68</f>
        <v>0</v>
      </c>
      <c r="G62" s="129" t="n">
        <f aca="false">Scoring!D68</f>
        <v>0</v>
      </c>
      <c r="H62" s="129" t="str">
        <f aca="false">Scoring!AV68</f>
        <v/>
      </c>
      <c r="I62" s="131" t="str">
        <f aca="false">Scoring!AU68</f>
        <v/>
      </c>
    </row>
    <row r="63" customFormat="false" ht="15.75" hidden="false" customHeight="false" outlineLevel="0" collapsed="false">
      <c r="A63" s="129" t="str">
        <f aca="false">Scoring!AX69</f>
        <v/>
      </c>
      <c r="B63" s="129" t="str">
        <f aca="false">Scoring!AW69</f>
        <v/>
      </c>
      <c r="C63" s="129" t="n">
        <f aca="false">Scoring!C69</f>
        <v>0</v>
      </c>
      <c r="D63" s="130" t="str">
        <f aca="false">Scoring!AT69</f>
        <v/>
      </c>
      <c r="E63" s="129" t="str">
        <f aca="false">Scoring!Z69</f>
        <v/>
      </c>
      <c r="F63" s="129" t="n">
        <f aca="false">Scoring!B69</f>
        <v>0</v>
      </c>
      <c r="G63" s="129" t="n">
        <f aca="false">Scoring!D69</f>
        <v>0</v>
      </c>
      <c r="H63" s="129" t="str">
        <f aca="false">Scoring!AV69</f>
        <v/>
      </c>
      <c r="I63" s="131" t="str">
        <f aca="false">Scoring!AU69</f>
        <v/>
      </c>
    </row>
    <row r="64" customFormat="false" ht="15.75" hidden="false" customHeight="false" outlineLevel="0" collapsed="false">
      <c r="A64" s="129" t="str">
        <f aca="false">Scoring!AX70</f>
        <v/>
      </c>
      <c r="B64" s="129" t="str">
        <f aca="false">Scoring!AW70</f>
        <v/>
      </c>
      <c r="C64" s="129" t="n">
        <f aca="false">Scoring!C70</f>
        <v>0</v>
      </c>
      <c r="D64" s="130" t="str">
        <f aca="false">Scoring!AT70</f>
        <v/>
      </c>
      <c r="E64" s="129" t="str">
        <f aca="false">Scoring!Z70</f>
        <v/>
      </c>
      <c r="F64" s="129" t="n">
        <f aca="false">Scoring!B70</f>
        <v>0</v>
      </c>
      <c r="G64" s="129" t="n">
        <f aca="false">Scoring!D70</f>
        <v>0</v>
      </c>
      <c r="H64" s="129" t="str">
        <f aca="false">Scoring!AV70</f>
        <v/>
      </c>
      <c r="I64" s="131" t="str">
        <f aca="false">Scoring!AU70</f>
        <v/>
      </c>
    </row>
    <row r="65" customFormat="false" ht="15.75" hidden="false" customHeight="false" outlineLevel="0" collapsed="false">
      <c r="A65" s="129" t="str">
        <f aca="false">Scoring!AX71</f>
        <v/>
      </c>
      <c r="B65" s="129" t="str">
        <f aca="false">Scoring!AW71</f>
        <v/>
      </c>
      <c r="C65" s="129" t="n">
        <f aca="false">Scoring!C71</f>
        <v>0</v>
      </c>
      <c r="D65" s="130" t="str">
        <f aca="false">Scoring!AT71</f>
        <v/>
      </c>
      <c r="E65" s="129" t="str">
        <f aca="false">Scoring!Z71</f>
        <v/>
      </c>
      <c r="F65" s="129" t="n">
        <f aca="false">Scoring!B71</f>
        <v>0</v>
      </c>
      <c r="G65" s="129" t="n">
        <f aca="false">Scoring!D71</f>
        <v>0</v>
      </c>
      <c r="H65" s="129" t="str">
        <f aca="false">Scoring!AV71</f>
        <v/>
      </c>
      <c r="I65" s="131" t="str">
        <f aca="false">Scoring!AU71</f>
        <v/>
      </c>
    </row>
    <row r="66" customFormat="false" ht="15.75" hidden="false" customHeight="false" outlineLevel="0" collapsed="false">
      <c r="A66" s="129" t="str">
        <f aca="false">Scoring!AX72</f>
        <v/>
      </c>
      <c r="B66" s="129" t="str">
        <f aca="false">Scoring!AW72</f>
        <v/>
      </c>
      <c r="C66" s="129" t="n">
        <f aca="false">Scoring!C72</f>
        <v>0</v>
      </c>
      <c r="D66" s="130" t="str">
        <f aca="false">Scoring!AT72</f>
        <v/>
      </c>
      <c r="E66" s="129" t="str">
        <f aca="false">Scoring!Z72</f>
        <v/>
      </c>
      <c r="F66" s="129" t="n">
        <f aca="false">Scoring!B72</f>
        <v>0</v>
      </c>
      <c r="G66" s="129" t="n">
        <f aca="false">Scoring!D72</f>
        <v>0</v>
      </c>
      <c r="H66" s="129" t="str">
        <f aca="false">Scoring!AV72</f>
        <v/>
      </c>
      <c r="I66" s="131" t="str">
        <f aca="false">Scoring!AU72</f>
        <v/>
      </c>
    </row>
    <row r="67" customFormat="false" ht="15.75" hidden="false" customHeight="false" outlineLevel="0" collapsed="false">
      <c r="A67" s="129" t="str">
        <f aca="false">Scoring!AX73</f>
        <v/>
      </c>
      <c r="B67" s="129" t="str">
        <f aca="false">Scoring!AW73</f>
        <v/>
      </c>
      <c r="C67" s="129" t="n">
        <f aca="false">Scoring!C73</f>
        <v>0</v>
      </c>
      <c r="D67" s="130" t="str">
        <f aca="false">Scoring!AT73</f>
        <v/>
      </c>
      <c r="E67" s="129" t="str">
        <f aca="false">Scoring!Z73</f>
        <v/>
      </c>
      <c r="F67" s="129" t="n">
        <f aca="false">Scoring!B73</f>
        <v>0</v>
      </c>
      <c r="G67" s="129" t="n">
        <f aca="false">Scoring!D73</f>
        <v>0</v>
      </c>
      <c r="H67" s="129" t="str">
        <f aca="false">Scoring!AV73</f>
        <v/>
      </c>
      <c r="I67" s="131" t="str">
        <f aca="false">Scoring!AU73</f>
        <v/>
      </c>
    </row>
    <row r="68" customFormat="false" ht="15.75" hidden="false" customHeight="false" outlineLevel="0" collapsed="false">
      <c r="A68" s="129" t="str">
        <f aca="false">Scoring!AX74</f>
        <v/>
      </c>
      <c r="B68" s="129" t="str">
        <f aca="false">Scoring!AW74</f>
        <v/>
      </c>
      <c r="C68" s="129" t="n">
        <f aca="false">Scoring!C74</f>
        <v>0</v>
      </c>
      <c r="D68" s="130" t="str">
        <f aca="false">Scoring!AT74</f>
        <v/>
      </c>
      <c r="E68" s="129" t="str">
        <f aca="false">Scoring!Z74</f>
        <v/>
      </c>
      <c r="F68" s="129" t="n">
        <f aca="false">Scoring!B74</f>
        <v>0</v>
      </c>
      <c r="G68" s="129" t="n">
        <f aca="false">Scoring!D74</f>
        <v>0</v>
      </c>
      <c r="H68" s="129" t="str">
        <f aca="false">Scoring!AV74</f>
        <v/>
      </c>
      <c r="I68" s="131" t="str">
        <f aca="false">Scoring!AU74</f>
        <v/>
      </c>
    </row>
    <row r="69" customFormat="false" ht="15.75" hidden="false" customHeight="false" outlineLevel="0" collapsed="false">
      <c r="A69" s="129" t="str">
        <f aca="false">Scoring!AX75</f>
        <v/>
      </c>
      <c r="B69" s="129" t="str">
        <f aca="false">Scoring!AW75</f>
        <v/>
      </c>
      <c r="C69" s="129" t="n">
        <f aca="false">Scoring!C75</f>
        <v>0</v>
      </c>
      <c r="D69" s="130" t="str">
        <f aca="false">Scoring!AT75</f>
        <v/>
      </c>
      <c r="E69" s="129" t="str">
        <f aca="false">Scoring!Z75</f>
        <v/>
      </c>
      <c r="F69" s="129" t="n">
        <f aca="false">Scoring!B75</f>
        <v>0</v>
      </c>
      <c r="G69" s="129" t="n">
        <f aca="false">Scoring!D75</f>
        <v>0</v>
      </c>
      <c r="H69" s="129" t="str">
        <f aca="false">Scoring!AV75</f>
        <v/>
      </c>
      <c r="I69" s="131" t="str">
        <f aca="false">Scoring!AU75</f>
        <v/>
      </c>
    </row>
    <row r="70" customFormat="false" ht="15.75" hidden="false" customHeight="false" outlineLevel="0" collapsed="false">
      <c r="A70" s="129" t="str">
        <f aca="false">Scoring!AX76</f>
        <v/>
      </c>
      <c r="B70" s="129" t="str">
        <f aca="false">Scoring!AW76</f>
        <v/>
      </c>
      <c r="C70" s="129" t="n">
        <f aca="false">Scoring!C76</f>
        <v>0</v>
      </c>
      <c r="D70" s="130" t="str">
        <f aca="false">Scoring!AT76</f>
        <v/>
      </c>
      <c r="E70" s="129" t="str">
        <f aca="false">Scoring!Z76</f>
        <v/>
      </c>
      <c r="F70" s="129" t="n">
        <f aca="false">Scoring!B76</f>
        <v>0</v>
      </c>
      <c r="G70" s="129" t="n">
        <f aca="false">Scoring!D76</f>
        <v>0</v>
      </c>
      <c r="H70" s="129" t="str">
        <f aca="false">Scoring!AV76</f>
        <v/>
      </c>
      <c r="I70" s="131" t="str">
        <f aca="false">Scoring!AU76</f>
        <v/>
      </c>
    </row>
    <row r="71" customFormat="false" ht="15.75" hidden="false" customHeight="false" outlineLevel="0" collapsed="false">
      <c r="A71" s="129" t="str">
        <f aca="false">Scoring!AX77</f>
        <v/>
      </c>
      <c r="B71" s="129" t="str">
        <f aca="false">Scoring!AW77</f>
        <v/>
      </c>
      <c r="C71" s="129" t="n">
        <f aca="false">Scoring!C77</f>
        <v>0</v>
      </c>
      <c r="D71" s="130" t="str">
        <f aca="false">Scoring!AT77</f>
        <v/>
      </c>
      <c r="E71" s="129" t="str">
        <f aca="false">Scoring!Z77</f>
        <v/>
      </c>
      <c r="F71" s="129" t="n">
        <f aca="false">Scoring!B77</f>
        <v>0</v>
      </c>
      <c r="G71" s="129" t="n">
        <f aca="false">Scoring!D77</f>
        <v>0</v>
      </c>
      <c r="H71" s="129" t="str">
        <f aca="false">Scoring!AV77</f>
        <v/>
      </c>
      <c r="I71" s="131" t="str">
        <f aca="false">Scoring!AU77</f>
        <v/>
      </c>
    </row>
    <row r="72" customFormat="false" ht="15.75" hidden="false" customHeight="false" outlineLevel="0" collapsed="false">
      <c r="A72" s="129" t="str">
        <f aca="false">Scoring!AX78</f>
        <v/>
      </c>
      <c r="B72" s="129" t="str">
        <f aca="false">Scoring!AW78</f>
        <v/>
      </c>
      <c r="C72" s="129" t="n">
        <f aca="false">Scoring!C78</f>
        <v>0</v>
      </c>
      <c r="D72" s="130" t="str">
        <f aca="false">Scoring!AT78</f>
        <v/>
      </c>
      <c r="E72" s="129" t="str">
        <f aca="false">Scoring!Z78</f>
        <v/>
      </c>
      <c r="F72" s="129" t="n">
        <f aca="false">Scoring!B78</f>
        <v>0</v>
      </c>
      <c r="G72" s="129" t="n">
        <f aca="false">Scoring!D78</f>
        <v>0</v>
      </c>
      <c r="H72" s="129" t="str">
        <f aca="false">Scoring!AV78</f>
        <v/>
      </c>
      <c r="I72" s="131" t="str">
        <f aca="false">Scoring!AU78</f>
        <v/>
      </c>
    </row>
    <row r="73" customFormat="false" ht="15.75" hidden="false" customHeight="false" outlineLevel="0" collapsed="false">
      <c r="A73" s="129" t="str">
        <f aca="false">Scoring!AX79</f>
        <v/>
      </c>
      <c r="B73" s="129" t="str">
        <f aca="false">Scoring!AW79</f>
        <v/>
      </c>
      <c r="C73" s="129" t="n">
        <f aca="false">Scoring!C79</f>
        <v>0</v>
      </c>
      <c r="D73" s="130" t="str">
        <f aca="false">Scoring!AT79</f>
        <v/>
      </c>
      <c r="E73" s="129" t="str">
        <f aca="false">Scoring!Z79</f>
        <v/>
      </c>
      <c r="F73" s="129" t="n">
        <f aca="false">Scoring!B79</f>
        <v>0</v>
      </c>
      <c r="G73" s="129" t="n">
        <f aca="false">Scoring!D79</f>
        <v>0</v>
      </c>
      <c r="H73" s="129" t="str">
        <f aca="false">Scoring!AV79</f>
        <v/>
      </c>
      <c r="I73" s="131" t="str">
        <f aca="false">Scoring!AU79</f>
        <v/>
      </c>
    </row>
    <row r="74" customFormat="false" ht="15.75" hidden="false" customHeight="false" outlineLevel="0" collapsed="false">
      <c r="A74" s="129" t="str">
        <f aca="false">Scoring!AX80</f>
        <v/>
      </c>
      <c r="B74" s="129" t="str">
        <f aca="false">Scoring!AW80</f>
        <v/>
      </c>
      <c r="C74" s="129" t="n">
        <f aca="false">Scoring!C80</f>
        <v>0</v>
      </c>
      <c r="D74" s="130" t="str">
        <f aca="false">Scoring!AT80</f>
        <v/>
      </c>
      <c r="E74" s="129" t="str">
        <f aca="false">Scoring!Z80</f>
        <v/>
      </c>
      <c r="F74" s="129" t="n">
        <f aca="false">Scoring!B80</f>
        <v>0</v>
      </c>
      <c r="G74" s="129" t="n">
        <f aca="false">Scoring!D80</f>
        <v>0</v>
      </c>
      <c r="H74" s="129" t="str">
        <f aca="false">Scoring!AV80</f>
        <v/>
      </c>
      <c r="I74" s="131" t="str">
        <f aca="false">Scoring!AU80</f>
        <v/>
      </c>
    </row>
    <row r="75" customFormat="false" ht="15.75" hidden="false" customHeight="false" outlineLevel="0" collapsed="false">
      <c r="A75" s="129" t="str">
        <f aca="false">Scoring!AX81</f>
        <v/>
      </c>
      <c r="B75" s="129" t="str">
        <f aca="false">Scoring!AW81</f>
        <v/>
      </c>
      <c r="C75" s="129" t="n">
        <f aca="false">Scoring!C81</f>
        <v>0</v>
      </c>
      <c r="D75" s="130" t="str">
        <f aca="false">Scoring!AT81</f>
        <v/>
      </c>
      <c r="E75" s="129" t="str">
        <f aca="false">Scoring!Z81</f>
        <v/>
      </c>
      <c r="F75" s="129" t="n">
        <f aca="false">Scoring!B81</f>
        <v>0</v>
      </c>
      <c r="G75" s="129" t="n">
        <f aca="false">Scoring!D81</f>
        <v>0</v>
      </c>
      <c r="H75" s="129" t="str">
        <f aca="false">Scoring!AV81</f>
        <v/>
      </c>
      <c r="I75" s="131" t="str">
        <f aca="false">Scoring!AU81</f>
        <v/>
      </c>
    </row>
    <row r="76" customFormat="false" ht="15.75" hidden="false" customHeight="false" outlineLevel="0" collapsed="false">
      <c r="A76" s="129" t="str">
        <f aca="false">Scoring!AX82</f>
        <v/>
      </c>
      <c r="B76" s="129" t="str">
        <f aca="false">Scoring!AW82</f>
        <v/>
      </c>
      <c r="C76" s="129" t="n">
        <f aca="false">Scoring!C82</f>
        <v>0</v>
      </c>
      <c r="D76" s="130" t="str">
        <f aca="false">Scoring!AT82</f>
        <v/>
      </c>
      <c r="E76" s="129" t="str">
        <f aca="false">Scoring!Z82</f>
        <v/>
      </c>
      <c r="F76" s="129" t="n">
        <f aca="false">Scoring!B82</f>
        <v>0</v>
      </c>
      <c r="G76" s="129" t="n">
        <f aca="false">Scoring!D82</f>
        <v>0</v>
      </c>
      <c r="H76" s="129" t="str">
        <f aca="false">Scoring!AV82</f>
        <v/>
      </c>
      <c r="I76" s="131" t="str">
        <f aca="false">Scoring!AU82</f>
        <v/>
      </c>
    </row>
    <row r="77" customFormat="false" ht="15.75" hidden="false" customHeight="false" outlineLevel="0" collapsed="false">
      <c r="A77" s="129" t="str">
        <f aca="false">Scoring!AX83</f>
        <v/>
      </c>
      <c r="B77" s="129" t="str">
        <f aca="false">Scoring!AW83</f>
        <v/>
      </c>
      <c r="C77" s="129" t="n">
        <f aca="false">Scoring!C83</f>
        <v>0</v>
      </c>
      <c r="D77" s="130" t="str">
        <f aca="false">Scoring!AT83</f>
        <v/>
      </c>
      <c r="E77" s="129" t="str">
        <f aca="false">Scoring!Z83</f>
        <v/>
      </c>
      <c r="F77" s="129" t="n">
        <f aca="false">Scoring!B83</f>
        <v>0</v>
      </c>
      <c r="G77" s="129" t="n">
        <f aca="false">Scoring!D83</f>
        <v>0</v>
      </c>
      <c r="H77" s="129" t="str">
        <f aca="false">Scoring!AV83</f>
        <v/>
      </c>
      <c r="I77" s="131" t="str">
        <f aca="false">Scoring!AU83</f>
        <v/>
      </c>
    </row>
    <row r="78" customFormat="false" ht="15.75" hidden="false" customHeight="false" outlineLevel="0" collapsed="false">
      <c r="A78" s="129" t="str">
        <f aca="false">Scoring!AX84</f>
        <v/>
      </c>
      <c r="B78" s="129" t="str">
        <f aca="false">Scoring!AW84</f>
        <v/>
      </c>
      <c r="C78" s="129" t="n">
        <f aca="false">Scoring!C84</f>
        <v>0</v>
      </c>
      <c r="D78" s="130" t="str">
        <f aca="false">Scoring!AT84</f>
        <v/>
      </c>
      <c r="E78" s="129" t="str">
        <f aca="false">Scoring!Z84</f>
        <v/>
      </c>
      <c r="F78" s="129" t="n">
        <f aca="false">Scoring!B84</f>
        <v>0</v>
      </c>
      <c r="G78" s="129" t="n">
        <f aca="false">Scoring!D84</f>
        <v>0</v>
      </c>
      <c r="H78" s="129" t="str">
        <f aca="false">Scoring!AV84</f>
        <v/>
      </c>
      <c r="I78" s="131" t="str">
        <f aca="false">Scoring!AU84</f>
        <v/>
      </c>
    </row>
    <row r="79" customFormat="false" ht="15.75" hidden="false" customHeight="false" outlineLevel="0" collapsed="false">
      <c r="A79" s="129" t="str">
        <f aca="false">Scoring!AX85</f>
        <v/>
      </c>
      <c r="B79" s="129" t="str">
        <f aca="false">Scoring!AW85</f>
        <v/>
      </c>
      <c r="C79" s="129" t="n">
        <f aca="false">Scoring!C85</f>
        <v>0</v>
      </c>
      <c r="D79" s="130" t="str">
        <f aca="false">Scoring!AT85</f>
        <v/>
      </c>
      <c r="E79" s="129" t="str">
        <f aca="false">Scoring!Z85</f>
        <v/>
      </c>
      <c r="F79" s="129" t="n">
        <f aca="false">Scoring!B85</f>
        <v>0</v>
      </c>
      <c r="G79" s="129" t="n">
        <f aca="false">Scoring!D85</f>
        <v>0</v>
      </c>
      <c r="H79" s="129" t="str">
        <f aca="false">Scoring!AV85</f>
        <v/>
      </c>
      <c r="I79" s="131" t="str">
        <f aca="false">Scoring!AU85</f>
        <v/>
      </c>
    </row>
    <row r="80" customFormat="false" ht="15.75" hidden="false" customHeight="false" outlineLevel="0" collapsed="false">
      <c r="A80" s="129" t="str">
        <f aca="false">Scoring!AX86</f>
        <v/>
      </c>
      <c r="B80" s="129" t="str">
        <f aca="false">Scoring!AW86</f>
        <v/>
      </c>
      <c r="C80" s="129" t="n">
        <f aca="false">Scoring!C86</f>
        <v>0</v>
      </c>
      <c r="D80" s="130" t="str">
        <f aca="false">Scoring!AT86</f>
        <v/>
      </c>
      <c r="E80" s="129" t="str">
        <f aca="false">Scoring!Z86</f>
        <v/>
      </c>
      <c r="F80" s="129" t="n">
        <f aca="false">Scoring!B86</f>
        <v>0</v>
      </c>
      <c r="G80" s="129" t="n">
        <f aca="false">Scoring!D86</f>
        <v>0</v>
      </c>
      <c r="H80" s="129" t="str">
        <f aca="false">Scoring!AV86</f>
        <v/>
      </c>
      <c r="I80" s="131" t="str">
        <f aca="false">Scoring!AU86</f>
        <v/>
      </c>
    </row>
    <row r="81" customFormat="false" ht="15.75" hidden="false" customHeight="false" outlineLevel="0" collapsed="false">
      <c r="A81" s="129" t="str">
        <f aca="false">Scoring!AX87</f>
        <v/>
      </c>
      <c r="B81" s="129" t="str">
        <f aca="false">Scoring!AW87</f>
        <v/>
      </c>
      <c r="C81" s="129" t="n">
        <f aca="false">Scoring!C87</f>
        <v>0</v>
      </c>
      <c r="D81" s="130" t="str">
        <f aca="false">Scoring!AT87</f>
        <v/>
      </c>
      <c r="E81" s="129" t="str">
        <f aca="false">Scoring!Z87</f>
        <v/>
      </c>
      <c r="F81" s="129" t="n">
        <f aca="false">Scoring!B87</f>
        <v>0</v>
      </c>
      <c r="G81" s="129" t="n">
        <f aca="false">Scoring!D87</f>
        <v>0</v>
      </c>
      <c r="H81" s="129" t="str">
        <f aca="false">Scoring!AV87</f>
        <v/>
      </c>
      <c r="I81" s="131" t="str">
        <f aca="false">Scoring!AU87</f>
        <v/>
      </c>
    </row>
    <row r="82" customFormat="false" ht="15.75" hidden="false" customHeight="false" outlineLevel="0" collapsed="false">
      <c r="A82" s="129" t="str">
        <f aca="false">Scoring!AX88</f>
        <v/>
      </c>
      <c r="B82" s="129" t="str">
        <f aca="false">Scoring!AW88</f>
        <v/>
      </c>
      <c r="C82" s="129" t="n">
        <f aca="false">Scoring!C88</f>
        <v>0</v>
      </c>
      <c r="D82" s="130" t="str">
        <f aca="false">Scoring!AT88</f>
        <v/>
      </c>
      <c r="E82" s="129" t="str">
        <f aca="false">Scoring!Z88</f>
        <v/>
      </c>
      <c r="F82" s="129" t="n">
        <f aca="false">Scoring!B88</f>
        <v>0</v>
      </c>
      <c r="G82" s="129" t="n">
        <f aca="false">Scoring!D88</f>
        <v>0</v>
      </c>
      <c r="H82" s="129" t="str">
        <f aca="false">Scoring!AV88</f>
        <v/>
      </c>
      <c r="I82" s="131" t="str">
        <f aca="false">Scoring!AU88</f>
        <v/>
      </c>
    </row>
    <row r="83" customFormat="false" ht="15.75" hidden="false" customHeight="false" outlineLevel="0" collapsed="false">
      <c r="A83" s="129" t="str">
        <f aca="false">Scoring!AX89</f>
        <v/>
      </c>
      <c r="B83" s="129" t="str">
        <f aca="false">Scoring!AW89</f>
        <v/>
      </c>
      <c r="C83" s="129" t="n">
        <f aca="false">Scoring!C89</f>
        <v>0</v>
      </c>
      <c r="D83" s="130" t="str">
        <f aca="false">Scoring!AT89</f>
        <v/>
      </c>
      <c r="E83" s="129" t="str">
        <f aca="false">Scoring!Z89</f>
        <v/>
      </c>
      <c r="F83" s="129" t="n">
        <f aca="false">Scoring!B89</f>
        <v>0</v>
      </c>
      <c r="G83" s="129" t="n">
        <f aca="false">Scoring!D89</f>
        <v>0</v>
      </c>
      <c r="H83" s="129" t="str">
        <f aca="false">Scoring!AV89</f>
        <v/>
      </c>
      <c r="I83" s="131" t="str">
        <f aca="false">Scoring!AU89</f>
        <v/>
      </c>
    </row>
    <row r="84" customFormat="false" ht="15.75" hidden="false" customHeight="false" outlineLevel="0" collapsed="false">
      <c r="A84" s="129" t="str">
        <f aca="false">Scoring!AX90</f>
        <v/>
      </c>
      <c r="B84" s="129" t="str">
        <f aca="false">Scoring!AW90</f>
        <v/>
      </c>
      <c r="C84" s="129" t="n">
        <f aca="false">Scoring!C90</f>
        <v>0</v>
      </c>
      <c r="D84" s="130" t="str">
        <f aca="false">Scoring!AT90</f>
        <v/>
      </c>
      <c r="E84" s="129" t="str">
        <f aca="false">Scoring!Z90</f>
        <v/>
      </c>
      <c r="F84" s="129" t="n">
        <f aca="false">Scoring!B90</f>
        <v>0</v>
      </c>
      <c r="G84" s="129" t="n">
        <f aca="false">Scoring!D90</f>
        <v>0</v>
      </c>
      <c r="H84" s="129" t="str">
        <f aca="false">Scoring!AV90</f>
        <v/>
      </c>
      <c r="I84" s="131" t="str">
        <f aca="false">Scoring!AU90</f>
        <v/>
      </c>
    </row>
    <row r="85" customFormat="false" ht="15.75" hidden="false" customHeight="false" outlineLevel="0" collapsed="false">
      <c r="A85" s="129" t="str">
        <f aca="false">Scoring!AX91</f>
        <v/>
      </c>
      <c r="B85" s="129" t="str">
        <f aca="false">Scoring!AW91</f>
        <v/>
      </c>
      <c r="C85" s="129" t="n">
        <f aca="false">Scoring!C91</f>
        <v>0</v>
      </c>
      <c r="D85" s="130" t="str">
        <f aca="false">Scoring!AT91</f>
        <v/>
      </c>
      <c r="E85" s="129" t="str">
        <f aca="false">Scoring!Z91</f>
        <v/>
      </c>
      <c r="F85" s="129" t="n">
        <f aca="false">Scoring!B91</f>
        <v>0</v>
      </c>
      <c r="G85" s="129" t="n">
        <f aca="false">Scoring!D91</f>
        <v>0</v>
      </c>
      <c r="H85" s="129" t="str">
        <f aca="false">Scoring!AV91</f>
        <v/>
      </c>
      <c r="I85" s="131" t="str">
        <f aca="false">Scoring!AU91</f>
        <v/>
      </c>
    </row>
    <row r="86" customFormat="false" ht="15.75" hidden="false" customHeight="false" outlineLevel="0" collapsed="false">
      <c r="A86" s="129" t="str">
        <f aca="false">Scoring!AX92</f>
        <v/>
      </c>
      <c r="B86" s="129" t="str">
        <f aca="false">Scoring!AW92</f>
        <v/>
      </c>
      <c r="C86" s="129" t="n">
        <f aca="false">Scoring!C92</f>
        <v>0</v>
      </c>
      <c r="D86" s="130" t="str">
        <f aca="false">Scoring!AT92</f>
        <v/>
      </c>
      <c r="E86" s="129" t="str">
        <f aca="false">Scoring!Z92</f>
        <v/>
      </c>
      <c r="F86" s="129" t="n">
        <f aca="false">Scoring!B92</f>
        <v>0</v>
      </c>
      <c r="G86" s="129" t="n">
        <f aca="false">Scoring!D92</f>
        <v>0</v>
      </c>
      <c r="H86" s="129" t="str">
        <f aca="false">Scoring!AV92</f>
        <v/>
      </c>
      <c r="I86" s="131" t="str">
        <f aca="false">Scoring!AU92</f>
        <v/>
      </c>
    </row>
    <row r="87" customFormat="false" ht="15.75" hidden="false" customHeight="false" outlineLevel="0" collapsed="false">
      <c r="A87" s="129" t="str">
        <f aca="false">Scoring!AX93</f>
        <v/>
      </c>
      <c r="B87" s="129" t="str">
        <f aca="false">Scoring!AW93</f>
        <v/>
      </c>
      <c r="C87" s="129" t="n">
        <f aca="false">Scoring!C93</f>
        <v>0</v>
      </c>
      <c r="D87" s="130" t="str">
        <f aca="false">Scoring!AT93</f>
        <v/>
      </c>
      <c r="E87" s="129" t="str">
        <f aca="false">Scoring!Z93</f>
        <v/>
      </c>
      <c r="F87" s="129" t="n">
        <f aca="false">Scoring!B93</f>
        <v>0</v>
      </c>
      <c r="G87" s="129" t="n">
        <f aca="false">Scoring!D93</f>
        <v>0</v>
      </c>
      <c r="H87" s="129" t="str">
        <f aca="false">Scoring!AV93</f>
        <v/>
      </c>
      <c r="I87" s="131" t="str">
        <f aca="false">Scoring!AU93</f>
        <v/>
      </c>
    </row>
    <row r="88" customFormat="false" ht="15.75" hidden="false" customHeight="false" outlineLevel="0" collapsed="false">
      <c r="A88" s="129" t="str">
        <f aca="false">Scoring!AX94</f>
        <v/>
      </c>
      <c r="B88" s="129" t="str">
        <f aca="false">Scoring!AW94</f>
        <v/>
      </c>
      <c r="C88" s="129" t="n">
        <f aca="false">Scoring!C94</f>
        <v>0</v>
      </c>
      <c r="D88" s="130" t="str">
        <f aca="false">Scoring!AT94</f>
        <v/>
      </c>
      <c r="E88" s="129" t="str">
        <f aca="false">Scoring!Z94</f>
        <v/>
      </c>
      <c r="F88" s="129" t="n">
        <f aca="false">Scoring!B94</f>
        <v>0</v>
      </c>
      <c r="G88" s="129" t="n">
        <f aca="false">Scoring!D94</f>
        <v>0</v>
      </c>
      <c r="H88" s="129" t="str">
        <f aca="false">Scoring!AV94</f>
        <v/>
      </c>
      <c r="I88" s="131" t="str">
        <f aca="false">Scoring!AU94</f>
        <v/>
      </c>
    </row>
    <row r="89" customFormat="false" ht="15.75" hidden="false" customHeight="false" outlineLevel="0" collapsed="false">
      <c r="A89" s="129" t="str">
        <f aca="false">Scoring!AX95</f>
        <v/>
      </c>
      <c r="B89" s="129" t="str">
        <f aca="false">Scoring!AW95</f>
        <v/>
      </c>
      <c r="C89" s="129" t="n">
        <f aca="false">Scoring!C95</f>
        <v>0</v>
      </c>
      <c r="D89" s="130" t="str">
        <f aca="false">Scoring!AT95</f>
        <v/>
      </c>
      <c r="E89" s="129" t="str">
        <f aca="false">Scoring!Z95</f>
        <v/>
      </c>
      <c r="F89" s="129" t="n">
        <f aca="false">Scoring!B95</f>
        <v>0</v>
      </c>
      <c r="G89" s="129" t="n">
        <f aca="false">Scoring!D95</f>
        <v>0</v>
      </c>
      <c r="H89" s="129" t="str">
        <f aca="false">Scoring!AV95</f>
        <v/>
      </c>
      <c r="I89" s="131" t="str">
        <f aca="false">Scoring!AU95</f>
        <v/>
      </c>
    </row>
    <row r="90" customFormat="false" ht="15.75" hidden="false" customHeight="false" outlineLevel="0" collapsed="false">
      <c r="A90" s="129" t="str">
        <f aca="false">Scoring!AX96</f>
        <v/>
      </c>
      <c r="B90" s="129" t="str">
        <f aca="false">Scoring!AW96</f>
        <v/>
      </c>
      <c r="C90" s="129" t="n">
        <f aca="false">Scoring!C96</f>
        <v>0</v>
      </c>
      <c r="D90" s="130" t="str">
        <f aca="false">Scoring!AT96</f>
        <v/>
      </c>
      <c r="E90" s="129" t="str">
        <f aca="false">Scoring!Z96</f>
        <v/>
      </c>
      <c r="F90" s="129" t="n">
        <f aca="false">Scoring!B96</f>
        <v>0</v>
      </c>
      <c r="G90" s="129" t="n">
        <f aca="false">Scoring!D96</f>
        <v>0</v>
      </c>
      <c r="H90" s="129" t="str">
        <f aca="false">Scoring!AV96</f>
        <v/>
      </c>
      <c r="I90" s="131" t="str">
        <f aca="false">Scoring!AU96</f>
        <v/>
      </c>
    </row>
    <row r="91" customFormat="false" ht="15.75" hidden="false" customHeight="false" outlineLevel="0" collapsed="false">
      <c r="A91" s="129" t="str">
        <f aca="false">Scoring!AX97</f>
        <v/>
      </c>
      <c r="B91" s="129" t="str">
        <f aca="false">Scoring!AW97</f>
        <v/>
      </c>
      <c r="C91" s="129" t="n">
        <f aca="false">Scoring!C97</f>
        <v>0</v>
      </c>
      <c r="D91" s="130" t="str">
        <f aca="false">Scoring!AT97</f>
        <v/>
      </c>
      <c r="E91" s="129" t="str">
        <f aca="false">Scoring!Z97</f>
        <v/>
      </c>
      <c r="F91" s="129" t="n">
        <f aca="false">Scoring!B97</f>
        <v>0</v>
      </c>
      <c r="G91" s="129" t="n">
        <f aca="false">Scoring!D97</f>
        <v>0</v>
      </c>
      <c r="H91" s="129" t="str">
        <f aca="false">Scoring!AV97</f>
        <v/>
      </c>
      <c r="I91" s="131" t="str">
        <f aca="false">Scoring!AU97</f>
        <v/>
      </c>
    </row>
    <row r="92" customFormat="false" ht="15.75" hidden="false" customHeight="false" outlineLevel="0" collapsed="false">
      <c r="A92" s="129" t="str">
        <f aca="false">Scoring!AX98</f>
        <v/>
      </c>
      <c r="B92" s="129" t="str">
        <f aca="false">Scoring!AW98</f>
        <v/>
      </c>
      <c r="C92" s="129" t="n">
        <f aca="false">Scoring!C98</f>
        <v>0</v>
      </c>
      <c r="D92" s="130" t="str">
        <f aca="false">Scoring!AT98</f>
        <v/>
      </c>
      <c r="E92" s="129" t="str">
        <f aca="false">Scoring!Z98</f>
        <v/>
      </c>
      <c r="F92" s="129" t="n">
        <f aca="false">Scoring!B98</f>
        <v>0</v>
      </c>
      <c r="G92" s="129" t="n">
        <f aca="false">Scoring!D98</f>
        <v>0</v>
      </c>
      <c r="H92" s="129" t="str">
        <f aca="false">Scoring!AV98</f>
        <v/>
      </c>
      <c r="I92" s="131" t="str">
        <f aca="false">Scoring!AU98</f>
        <v/>
      </c>
    </row>
    <row r="93" customFormat="false" ht="15.75" hidden="false" customHeight="false" outlineLevel="0" collapsed="false">
      <c r="A93" s="129" t="str">
        <f aca="false">Scoring!AX99</f>
        <v/>
      </c>
      <c r="B93" s="129" t="str">
        <f aca="false">Scoring!AW99</f>
        <v/>
      </c>
      <c r="C93" s="129" t="n">
        <f aca="false">Scoring!C99</f>
        <v>0</v>
      </c>
      <c r="D93" s="130" t="str">
        <f aca="false">Scoring!AT99</f>
        <v/>
      </c>
      <c r="E93" s="129" t="str">
        <f aca="false">Scoring!Z99</f>
        <v/>
      </c>
      <c r="F93" s="129" t="n">
        <f aca="false">Scoring!B99</f>
        <v>0</v>
      </c>
      <c r="G93" s="129" t="n">
        <f aca="false">Scoring!D99</f>
        <v>0</v>
      </c>
      <c r="H93" s="129" t="str">
        <f aca="false">Scoring!AV99</f>
        <v/>
      </c>
      <c r="I93" s="131" t="str">
        <f aca="false">Scoring!AU99</f>
        <v/>
      </c>
    </row>
    <row r="94" customFormat="false" ht="15.75" hidden="false" customHeight="false" outlineLevel="0" collapsed="false">
      <c r="A94" s="129" t="str">
        <f aca="false">Scoring!AX100</f>
        <v/>
      </c>
      <c r="B94" s="129" t="str">
        <f aca="false">Scoring!AW100</f>
        <v/>
      </c>
      <c r="C94" s="129" t="n">
        <f aca="false">Scoring!C100</f>
        <v>0</v>
      </c>
      <c r="D94" s="130" t="str">
        <f aca="false">Scoring!AT100</f>
        <v/>
      </c>
      <c r="E94" s="129" t="str">
        <f aca="false">Scoring!Z100</f>
        <v/>
      </c>
      <c r="F94" s="129" t="n">
        <f aca="false">Scoring!B100</f>
        <v>0</v>
      </c>
      <c r="G94" s="129" t="n">
        <f aca="false">Scoring!D100</f>
        <v>0</v>
      </c>
      <c r="H94" s="129" t="str">
        <f aca="false">Scoring!AV100</f>
        <v/>
      </c>
      <c r="I94" s="131" t="str">
        <f aca="false">Scoring!AU100</f>
        <v/>
      </c>
    </row>
    <row r="95" customFormat="false" ht="15.75" hidden="false" customHeight="false" outlineLevel="0" collapsed="false">
      <c r="A95" s="129" t="str">
        <f aca="false">Scoring!AX101</f>
        <v/>
      </c>
      <c r="B95" s="129" t="str">
        <f aca="false">Scoring!AW101</f>
        <v/>
      </c>
      <c r="C95" s="129" t="n">
        <f aca="false">Scoring!C101</f>
        <v>0</v>
      </c>
      <c r="D95" s="130" t="str">
        <f aca="false">Scoring!AT101</f>
        <v/>
      </c>
      <c r="E95" s="129" t="str">
        <f aca="false">Scoring!Z101</f>
        <v/>
      </c>
      <c r="F95" s="129" t="n">
        <f aca="false">Scoring!B101</f>
        <v>0</v>
      </c>
      <c r="G95" s="129" t="n">
        <f aca="false">Scoring!D101</f>
        <v>0</v>
      </c>
      <c r="H95" s="129" t="str">
        <f aca="false">Scoring!AV101</f>
        <v/>
      </c>
      <c r="I95" s="131" t="str">
        <f aca="false">Scoring!AU101</f>
        <v/>
      </c>
    </row>
    <row r="96" customFormat="false" ht="15.75" hidden="false" customHeight="false" outlineLevel="0" collapsed="false">
      <c r="A96" s="129" t="str">
        <f aca="false">Scoring!AX102</f>
        <v/>
      </c>
      <c r="B96" s="129" t="str">
        <f aca="false">Scoring!AW102</f>
        <v/>
      </c>
      <c r="C96" s="129" t="n">
        <f aca="false">Scoring!C102</f>
        <v>0</v>
      </c>
      <c r="D96" s="130" t="str">
        <f aca="false">Scoring!AT102</f>
        <v/>
      </c>
      <c r="E96" s="129" t="str">
        <f aca="false">Scoring!Z102</f>
        <v/>
      </c>
      <c r="F96" s="129" t="n">
        <f aca="false">Scoring!B102</f>
        <v>0</v>
      </c>
      <c r="G96" s="129" t="n">
        <f aca="false">Scoring!D102</f>
        <v>0</v>
      </c>
      <c r="H96" s="129" t="str">
        <f aca="false">Scoring!AV102</f>
        <v/>
      </c>
      <c r="I96" s="131" t="str">
        <f aca="false">Scoring!AU102</f>
        <v/>
      </c>
    </row>
    <row r="97" customFormat="false" ht="15.75" hidden="false" customHeight="false" outlineLevel="0" collapsed="false">
      <c r="A97" s="129" t="str">
        <f aca="false">Scoring!AX103</f>
        <v/>
      </c>
      <c r="B97" s="129" t="str">
        <f aca="false">Scoring!AW103</f>
        <v/>
      </c>
      <c r="C97" s="129" t="n">
        <f aca="false">Scoring!C103</f>
        <v>0</v>
      </c>
      <c r="D97" s="130" t="str">
        <f aca="false">Scoring!AT103</f>
        <v/>
      </c>
      <c r="E97" s="129" t="str">
        <f aca="false">Scoring!Z103</f>
        <v/>
      </c>
      <c r="F97" s="129" t="n">
        <f aca="false">Scoring!B103</f>
        <v>0</v>
      </c>
      <c r="G97" s="129" t="n">
        <f aca="false">Scoring!D103</f>
        <v>0</v>
      </c>
      <c r="H97" s="129" t="str">
        <f aca="false">Scoring!AV103</f>
        <v/>
      </c>
      <c r="I97" s="131" t="str">
        <f aca="false">Scoring!AU103</f>
        <v/>
      </c>
    </row>
    <row r="98" customFormat="false" ht="15.75" hidden="false" customHeight="false" outlineLevel="0" collapsed="false">
      <c r="A98" s="129" t="str">
        <f aca="false">Scoring!AX104</f>
        <v/>
      </c>
      <c r="B98" s="129" t="str">
        <f aca="false">Scoring!AW104</f>
        <v/>
      </c>
      <c r="C98" s="129" t="n">
        <f aca="false">Scoring!C104</f>
        <v>0</v>
      </c>
      <c r="D98" s="130" t="str">
        <f aca="false">Scoring!AT104</f>
        <v/>
      </c>
      <c r="E98" s="129" t="str">
        <f aca="false">Scoring!Z104</f>
        <v/>
      </c>
      <c r="F98" s="129" t="n">
        <f aca="false">Scoring!B104</f>
        <v>0</v>
      </c>
      <c r="G98" s="129" t="n">
        <f aca="false">Scoring!D104</f>
        <v>0</v>
      </c>
      <c r="H98" s="129" t="str">
        <f aca="false">Scoring!AV104</f>
        <v/>
      </c>
      <c r="I98" s="131" t="str">
        <f aca="false">Scoring!AU104</f>
        <v/>
      </c>
    </row>
    <row r="99" customFormat="false" ht="15.75" hidden="false" customHeight="false" outlineLevel="0" collapsed="false">
      <c r="A99" s="129" t="str">
        <f aca="false">Scoring!AX105</f>
        <v/>
      </c>
      <c r="B99" s="129" t="str">
        <f aca="false">Scoring!AW105</f>
        <v/>
      </c>
      <c r="C99" s="129" t="n">
        <f aca="false">Scoring!C105</f>
        <v>0</v>
      </c>
      <c r="D99" s="130" t="str">
        <f aca="false">Scoring!AT105</f>
        <v/>
      </c>
      <c r="E99" s="129" t="str">
        <f aca="false">Scoring!Z105</f>
        <v/>
      </c>
      <c r="F99" s="129" t="n">
        <f aca="false">Scoring!B105</f>
        <v>0</v>
      </c>
      <c r="G99" s="129" t="n">
        <f aca="false">Scoring!D105</f>
        <v>0</v>
      </c>
      <c r="H99" s="129" t="str">
        <f aca="false">Scoring!AV105</f>
        <v/>
      </c>
      <c r="I99" s="131" t="str">
        <f aca="false">Scoring!AU105</f>
        <v/>
      </c>
    </row>
    <row r="100" customFormat="false" ht="15.75" hidden="false" customHeight="false" outlineLevel="0" collapsed="false">
      <c r="A100" s="129" t="str">
        <f aca="false">Scoring!AX106</f>
        <v/>
      </c>
      <c r="B100" s="129" t="str">
        <f aca="false">Scoring!AW106</f>
        <v/>
      </c>
      <c r="C100" s="129" t="n">
        <f aca="false">Scoring!C106</f>
        <v>0</v>
      </c>
      <c r="D100" s="130" t="str">
        <f aca="false">Scoring!AT106</f>
        <v/>
      </c>
      <c r="E100" s="129" t="str">
        <f aca="false">Scoring!Z106</f>
        <v/>
      </c>
      <c r="F100" s="129" t="n">
        <f aca="false">Scoring!B106</f>
        <v>0</v>
      </c>
      <c r="G100" s="129" t="n">
        <f aca="false">Scoring!D106</f>
        <v>0</v>
      </c>
      <c r="H100" s="129" t="str">
        <f aca="false">Scoring!AV106</f>
        <v/>
      </c>
      <c r="I100" s="131" t="str">
        <f aca="false">Scoring!AU106</f>
        <v/>
      </c>
    </row>
    <row r="101" customFormat="false" ht="15.75" hidden="false" customHeight="false" outlineLevel="0" collapsed="false">
      <c r="A101" s="129" t="str">
        <f aca="false">Scoring!AX107</f>
        <v/>
      </c>
      <c r="B101" s="129" t="str">
        <f aca="false">Scoring!AW107</f>
        <v/>
      </c>
      <c r="C101" s="129" t="n">
        <f aca="false">Scoring!C107</f>
        <v>0</v>
      </c>
      <c r="D101" s="130" t="str">
        <f aca="false">Scoring!AT107</f>
        <v/>
      </c>
      <c r="E101" s="129" t="str">
        <f aca="false">Scoring!Z107</f>
        <v/>
      </c>
      <c r="F101" s="129" t="n">
        <f aca="false">Scoring!B107</f>
        <v>0</v>
      </c>
      <c r="G101" s="129" t="n">
        <f aca="false">Scoring!D107</f>
        <v>0</v>
      </c>
      <c r="H101" s="129" t="str">
        <f aca="false">Scoring!AV107</f>
        <v/>
      </c>
      <c r="I101" s="131" t="str">
        <f aca="false">Scoring!AU107</f>
        <v/>
      </c>
    </row>
    <row r="102" customFormat="false" ht="15.75" hidden="false" customHeight="false" outlineLevel="0" collapsed="false">
      <c r="A102" s="129" t="str">
        <f aca="false">Scoring!AX108</f>
        <v/>
      </c>
      <c r="B102" s="129" t="str">
        <f aca="false">Scoring!AW108</f>
        <v/>
      </c>
      <c r="C102" s="129" t="n">
        <f aca="false">Scoring!C108</f>
        <v>0</v>
      </c>
      <c r="D102" s="130" t="str">
        <f aca="false">Scoring!AT108</f>
        <v/>
      </c>
      <c r="E102" s="129" t="str">
        <f aca="false">Scoring!Z108</f>
        <v/>
      </c>
      <c r="F102" s="129" t="n">
        <f aca="false">Scoring!B108</f>
        <v>0</v>
      </c>
      <c r="G102" s="129" t="n">
        <f aca="false">Scoring!D108</f>
        <v>0</v>
      </c>
      <c r="H102" s="129" t="str">
        <f aca="false">Scoring!AV108</f>
        <v/>
      </c>
      <c r="I102" s="131" t="str">
        <f aca="false">Scoring!AU108</f>
        <v/>
      </c>
    </row>
    <row r="103" customFormat="false" ht="15.75" hidden="false" customHeight="false" outlineLevel="0" collapsed="false">
      <c r="A103" s="129" t="str">
        <f aca="false">Scoring!AX109</f>
        <v/>
      </c>
      <c r="B103" s="129" t="str">
        <f aca="false">Scoring!AW109</f>
        <v/>
      </c>
      <c r="C103" s="129" t="n">
        <f aca="false">Scoring!C109</f>
        <v>0</v>
      </c>
      <c r="D103" s="130" t="str">
        <f aca="false">Scoring!AT109</f>
        <v/>
      </c>
      <c r="E103" s="129" t="str">
        <f aca="false">Scoring!Z109</f>
        <v/>
      </c>
      <c r="F103" s="129" t="n">
        <f aca="false">Scoring!B109</f>
        <v>0</v>
      </c>
      <c r="G103" s="129" t="n">
        <f aca="false">Scoring!D109</f>
        <v>0</v>
      </c>
      <c r="H103" s="129" t="str">
        <f aca="false">Scoring!AV109</f>
        <v/>
      </c>
      <c r="I103" s="131" t="str">
        <f aca="false">Scoring!AU109</f>
        <v/>
      </c>
    </row>
    <row r="104" customFormat="false" ht="15.75" hidden="false" customHeight="false" outlineLevel="0" collapsed="false">
      <c r="A104" s="129" t="str">
        <f aca="false">Scoring!AX110</f>
        <v/>
      </c>
      <c r="B104" s="129" t="str">
        <f aca="false">Scoring!AW110</f>
        <v/>
      </c>
      <c r="C104" s="129" t="n">
        <f aca="false">Scoring!C110</f>
        <v>0</v>
      </c>
      <c r="D104" s="130" t="str">
        <f aca="false">Scoring!AT110</f>
        <v/>
      </c>
      <c r="E104" s="129" t="str">
        <f aca="false">Scoring!Z110</f>
        <v/>
      </c>
      <c r="F104" s="129" t="n">
        <f aca="false">Scoring!B110</f>
        <v>0</v>
      </c>
      <c r="G104" s="129" t="n">
        <f aca="false">Scoring!D110</f>
        <v>0</v>
      </c>
      <c r="H104" s="129" t="str">
        <f aca="false">Scoring!AV110</f>
        <v/>
      </c>
      <c r="I104" s="131" t="str">
        <f aca="false">Scoring!AU110</f>
        <v/>
      </c>
    </row>
    <row r="105" customFormat="false" ht="15.75" hidden="false" customHeight="false" outlineLevel="0" collapsed="false">
      <c r="A105" s="129" t="str">
        <f aca="false">Scoring!AX111</f>
        <v/>
      </c>
      <c r="B105" s="129" t="str">
        <f aca="false">Scoring!AW111</f>
        <v/>
      </c>
      <c r="C105" s="129" t="n">
        <f aca="false">Scoring!C111</f>
        <v>0</v>
      </c>
      <c r="D105" s="130" t="str">
        <f aca="false">Scoring!AT111</f>
        <v/>
      </c>
      <c r="E105" s="129" t="str">
        <f aca="false">Scoring!Z111</f>
        <v/>
      </c>
      <c r="F105" s="129" t="n">
        <f aca="false">Scoring!B111</f>
        <v>0</v>
      </c>
      <c r="G105" s="129" t="n">
        <f aca="false">Scoring!D111</f>
        <v>0</v>
      </c>
      <c r="H105" s="129" t="str">
        <f aca="false">Scoring!AV111</f>
        <v/>
      </c>
      <c r="I105" s="131" t="str">
        <f aca="false">Scoring!AU111</f>
        <v/>
      </c>
    </row>
    <row r="106" customFormat="false" ht="15.75" hidden="false" customHeight="false" outlineLevel="0" collapsed="false">
      <c r="A106" s="129" t="str">
        <f aca="false">Scoring!AX112</f>
        <v/>
      </c>
      <c r="B106" s="129" t="str">
        <f aca="false">Scoring!AW112</f>
        <v/>
      </c>
      <c r="C106" s="129" t="n">
        <f aca="false">Scoring!C112</f>
        <v>0</v>
      </c>
      <c r="D106" s="130" t="str">
        <f aca="false">Scoring!AT112</f>
        <v/>
      </c>
      <c r="E106" s="129" t="str">
        <f aca="false">Scoring!Z112</f>
        <v/>
      </c>
      <c r="F106" s="129" t="n">
        <f aca="false">Scoring!B112</f>
        <v>0</v>
      </c>
      <c r="G106" s="129" t="n">
        <f aca="false">Scoring!D112</f>
        <v>0</v>
      </c>
      <c r="H106" s="129" t="str">
        <f aca="false">Scoring!AV112</f>
        <v/>
      </c>
      <c r="I106" s="131" t="str">
        <f aca="false">Scoring!AU112</f>
        <v/>
      </c>
    </row>
    <row r="107" customFormat="false" ht="15.75" hidden="false" customHeight="false" outlineLevel="0" collapsed="false">
      <c r="A107" s="129" t="str">
        <f aca="false">Scoring!AX113</f>
        <v/>
      </c>
      <c r="B107" s="129" t="str">
        <f aca="false">Scoring!AW113</f>
        <v/>
      </c>
      <c r="C107" s="129" t="n">
        <f aca="false">Scoring!C113</f>
        <v>0</v>
      </c>
      <c r="D107" s="130" t="str">
        <f aca="false">Scoring!AT113</f>
        <v/>
      </c>
      <c r="E107" s="129" t="str">
        <f aca="false">Scoring!Z113</f>
        <v/>
      </c>
      <c r="F107" s="129" t="n">
        <f aca="false">Scoring!B113</f>
        <v>0</v>
      </c>
      <c r="G107" s="129" t="n">
        <f aca="false">Scoring!D113</f>
        <v>0</v>
      </c>
      <c r="H107" s="129" t="str">
        <f aca="false">Scoring!AV113</f>
        <v/>
      </c>
      <c r="I107" s="131" t="str">
        <f aca="false">Scoring!AU113</f>
        <v/>
      </c>
    </row>
    <row r="108" customFormat="false" ht="15.75" hidden="false" customHeight="false" outlineLevel="0" collapsed="false">
      <c r="A108" s="129" t="str">
        <f aca="false">Scoring!AX114</f>
        <v/>
      </c>
      <c r="B108" s="129" t="str">
        <f aca="false">Scoring!AW114</f>
        <v/>
      </c>
      <c r="C108" s="129" t="n">
        <f aca="false">Scoring!C114</f>
        <v>0</v>
      </c>
      <c r="D108" s="130" t="str">
        <f aca="false">Scoring!AT114</f>
        <v/>
      </c>
      <c r="E108" s="129" t="str">
        <f aca="false">Scoring!Z114</f>
        <v/>
      </c>
      <c r="F108" s="129" t="n">
        <f aca="false">Scoring!B114</f>
        <v>0</v>
      </c>
      <c r="G108" s="129" t="n">
        <f aca="false">Scoring!D114</f>
        <v>0</v>
      </c>
      <c r="H108" s="129" t="str">
        <f aca="false">Scoring!AV114</f>
        <v/>
      </c>
      <c r="I108" s="131" t="str">
        <f aca="false">Scoring!AU114</f>
        <v/>
      </c>
    </row>
    <row r="109" customFormat="false" ht="15.75" hidden="false" customHeight="false" outlineLevel="0" collapsed="false">
      <c r="A109" s="129" t="str">
        <f aca="false">Scoring!AX115</f>
        <v/>
      </c>
      <c r="B109" s="129" t="str">
        <f aca="false">Scoring!AW115</f>
        <v/>
      </c>
      <c r="C109" s="129" t="n">
        <f aca="false">Scoring!C115</f>
        <v>0</v>
      </c>
      <c r="D109" s="130" t="str">
        <f aca="false">Scoring!AT115</f>
        <v/>
      </c>
      <c r="E109" s="129" t="str">
        <f aca="false">Scoring!Z115</f>
        <v/>
      </c>
      <c r="F109" s="129" t="n">
        <f aca="false">Scoring!B115</f>
        <v>0</v>
      </c>
      <c r="G109" s="129" t="n">
        <f aca="false">Scoring!D115</f>
        <v>0</v>
      </c>
      <c r="H109" s="129" t="str">
        <f aca="false">Scoring!AV115</f>
        <v/>
      </c>
      <c r="I109" s="131" t="str">
        <f aca="false">Scoring!AU115</f>
        <v/>
      </c>
    </row>
    <row r="110" customFormat="false" ht="15.75" hidden="false" customHeight="false" outlineLevel="0" collapsed="false">
      <c r="A110" s="129" t="str">
        <f aca="false">Scoring!AX116</f>
        <v/>
      </c>
      <c r="B110" s="129" t="str">
        <f aca="false">Scoring!AW116</f>
        <v/>
      </c>
      <c r="C110" s="129" t="n">
        <f aca="false">Scoring!C116</f>
        <v>0</v>
      </c>
      <c r="D110" s="130" t="str">
        <f aca="false">Scoring!AT116</f>
        <v/>
      </c>
      <c r="E110" s="129" t="str">
        <f aca="false">Scoring!Z116</f>
        <v/>
      </c>
      <c r="F110" s="129" t="n">
        <f aca="false">Scoring!B116</f>
        <v>0</v>
      </c>
      <c r="G110" s="129" t="n">
        <f aca="false">Scoring!D116</f>
        <v>0</v>
      </c>
      <c r="H110" s="129" t="str">
        <f aca="false">Scoring!AV116</f>
        <v/>
      </c>
      <c r="I110" s="131" t="str">
        <f aca="false">Scoring!AU116</f>
        <v/>
      </c>
    </row>
    <row r="111" customFormat="false" ht="15.75" hidden="false" customHeight="false" outlineLevel="0" collapsed="false">
      <c r="A111" s="129" t="str">
        <f aca="false">Scoring!AX117</f>
        <v/>
      </c>
      <c r="B111" s="129" t="str">
        <f aca="false">Scoring!AW117</f>
        <v/>
      </c>
      <c r="C111" s="129" t="n">
        <f aca="false">Scoring!C117</f>
        <v>0</v>
      </c>
      <c r="D111" s="130" t="str">
        <f aca="false">Scoring!AT117</f>
        <v/>
      </c>
      <c r="E111" s="129" t="str">
        <f aca="false">Scoring!Z117</f>
        <v/>
      </c>
      <c r="F111" s="129" t="n">
        <f aca="false">Scoring!B117</f>
        <v>0</v>
      </c>
      <c r="G111" s="129" t="n">
        <f aca="false">Scoring!D117</f>
        <v>0</v>
      </c>
      <c r="H111" s="129" t="str">
        <f aca="false">Scoring!AV117</f>
        <v/>
      </c>
      <c r="I111" s="131" t="str">
        <f aca="false">Scoring!AU117</f>
        <v/>
      </c>
    </row>
    <row r="112" customFormat="false" ht="15.75" hidden="false" customHeight="false" outlineLevel="0" collapsed="false">
      <c r="A112" s="129" t="str">
        <f aca="false">Scoring!AX118</f>
        <v/>
      </c>
      <c r="B112" s="129" t="str">
        <f aca="false">Scoring!AW118</f>
        <v/>
      </c>
      <c r="C112" s="129" t="n">
        <f aca="false">Scoring!C118</f>
        <v>0</v>
      </c>
      <c r="D112" s="130" t="str">
        <f aca="false">Scoring!AT118</f>
        <v/>
      </c>
      <c r="E112" s="129" t="str">
        <f aca="false">Scoring!Z118</f>
        <v/>
      </c>
      <c r="F112" s="129" t="n">
        <f aca="false">Scoring!B118</f>
        <v>0</v>
      </c>
      <c r="G112" s="129" t="n">
        <f aca="false">Scoring!D118</f>
        <v>0</v>
      </c>
      <c r="H112" s="129" t="str">
        <f aca="false">Scoring!AV118</f>
        <v/>
      </c>
      <c r="I112" s="131" t="str">
        <f aca="false">Scoring!AU118</f>
        <v/>
      </c>
    </row>
    <row r="113" customFormat="false" ht="15.75" hidden="false" customHeight="false" outlineLevel="0" collapsed="false">
      <c r="A113" s="129" t="str">
        <f aca="false">Scoring!AX119</f>
        <v/>
      </c>
      <c r="B113" s="129" t="str">
        <f aca="false">Scoring!AW119</f>
        <v/>
      </c>
      <c r="C113" s="129" t="n">
        <f aca="false">Scoring!C119</f>
        <v>0</v>
      </c>
      <c r="D113" s="130" t="str">
        <f aca="false">Scoring!AT119</f>
        <v/>
      </c>
      <c r="E113" s="129" t="str">
        <f aca="false">Scoring!Z119</f>
        <v/>
      </c>
      <c r="F113" s="129" t="n">
        <f aca="false">Scoring!B119</f>
        <v>0</v>
      </c>
      <c r="G113" s="129" t="n">
        <f aca="false">Scoring!D119</f>
        <v>0</v>
      </c>
      <c r="H113" s="129" t="str">
        <f aca="false">Scoring!AV119</f>
        <v/>
      </c>
      <c r="I113" s="131" t="str">
        <f aca="false">Scoring!AU119</f>
        <v/>
      </c>
    </row>
    <row r="114" customFormat="false" ht="15.75" hidden="false" customHeight="false" outlineLevel="0" collapsed="false">
      <c r="A114" s="129" t="str">
        <f aca="false">Scoring!AX120</f>
        <v/>
      </c>
      <c r="B114" s="129" t="str">
        <f aca="false">Scoring!AW120</f>
        <v/>
      </c>
      <c r="C114" s="129" t="n">
        <f aca="false">Scoring!C120</f>
        <v>0</v>
      </c>
      <c r="D114" s="130" t="str">
        <f aca="false">Scoring!AT120</f>
        <v/>
      </c>
      <c r="E114" s="129" t="str">
        <f aca="false">Scoring!Z120</f>
        <v/>
      </c>
      <c r="F114" s="129" t="n">
        <f aca="false">Scoring!B120</f>
        <v>0</v>
      </c>
      <c r="G114" s="129" t="n">
        <f aca="false">Scoring!D120</f>
        <v>0</v>
      </c>
      <c r="H114" s="129" t="str">
        <f aca="false">Scoring!AV120</f>
        <v/>
      </c>
      <c r="I114" s="131" t="str">
        <f aca="false">Scoring!AU120</f>
        <v/>
      </c>
    </row>
    <row r="115" customFormat="false" ht="15.75" hidden="false" customHeight="false" outlineLevel="0" collapsed="false">
      <c r="A115" s="129" t="str">
        <f aca="false">Scoring!AX121</f>
        <v/>
      </c>
      <c r="B115" s="129" t="str">
        <f aca="false">Scoring!AW121</f>
        <v/>
      </c>
      <c r="C115" s="129" t="n">
        <f aca="false">Scoring!C121</f>
        <v>0</v>
      </c>
      <c r="D115" s="130" t="str">
        <f aca="false">Scoring!AT121</f>
        <v/>
      </c>
      <c r="E115" s="129" t="str">
        <f aca="false">Scoring!Z121</f>
        <v/>
      </c>
      <c r="F115" s="129" t="n">
        <f aca="false">Scoring!B121</f>
        <v>0</v>
      </c>
      <c r="G115" s="129" t="n">
        <f aca="false">Scoring!D121</f>
        <v>0</v>
      </c>
      <c r="H115" s="129" t="str">
        <f aca="false">Scoring!AV121</f>
        <v/>
      </c>
      <c r="I115" s="131" t="str">
        <f aca="false">Scoring!AU121</f>
        <v/>
      </c>
    </row>
    <row r="116" customFormat="false" ht="15.75" hidden="false" customHeight="false" outlineLevel="0" collapsed="false">
      <c r="A116" s="129" t="str">
        <f aca="false">Scoring!AX122</f>
        <v/>
      </c>
      <c r="B116" s="129" t="str">
        <f aca="false">Scoring!AW122</f>
        <v/>
      </c>
      <c r="C116" s="129" t="n">
        <f aca="false">Scoring!C122</f>
        <v>0</v>
      </c>
      <c r="D116" s="130" t="str">
        <f aca="false">Scoring!AT122</f>
        <v/>
      </c>
      <c r="E116" s="129" t="str">
        <f aca="false">Scoring!Z122</f>
        <v/>
      </c>
      <c r="F116" s="129" t="n">
        <f aca="false">Scoring!B122</f>
        <v>0</v>
      </c>
      <c r="G116" s="129" t="n">
        <f aca="false">Scoring!D122</f>
        <v>0</v>
      </c>
      <c r="H116" s="129" t="str">
        <f aca="false">Scoring!AV122</f>
        <v/>
      </c>
      <c r="I116" s="131" t="str">
        <f aca="false">Scoring!AU122</f>
        <v/>
      </c>
    </row>
    <row r="117" customFormat="false" ht="15.75" hidden="false" customHeight="false" outlineLevel="0" collapsed="false">
      <c r="A117" s="129" t="str">
        <f aca="false">Scoring!AX123</f>
        <v/>
      </c>
      <c r="B117" s="129" t="str">
        <f aca="false">Scoring!AW123</f>
        <v/>
      </c>
      <c r="C117" s="129" t="n">
        <f aca="false">Scoring!C123</f>
        <v>0</v>
      </c>
      <c r="D117" s="130" t="str">
        <f aca="false">Scoring!AT123</f>
        <v/>
      </c>
      <c r="E117" s="129" t="str">
        <f aca="false">Scoring!Z123</f>
        <v/>
      </c>
      <c r="F117" s="129" t="n">
        <f aca="false">Scoring!B123</f>
        <v>0</v>
      </c>
      <c r="G117" s="129" t="n">
        <f aca="false">Scoring!D123</f>
        <v>0</v>
      </c>
      <c r="H117" s="129" t="str">
        <f aca="false">Scoring!AV123</f>
        <v/>
      </c>
      <c r="I117" s="131" t="str">
        <f aca="false">Scoring!AU123</f>
        <v/>
      </c>
    </row>
    <row r="118" customFormat="false" ht="15.75" hidden="false" customHeight="false" outlineLevel="0" collapsed="false">
      <c r="A118" s="129" t="str">
        <f aca="false">Scoring!AX124</f>
        <v/>
      </c>
      <c r="B118" s="129" t="str">
        <f aca="false">Scoring!AW124</f>
        <v/>
      </c>
      <c r="C118" s="129" t="n">
        <f aca="false">Scoring!C124</f>
        <v>0</v>
      </c>
      <c r="D118" s="130" t="str">
        <f aca="false">Scoring!AT124</f>
        <v/>
      </c>
      <c r="E118" s="129" t="str">
        <f aca="false">Scoring!Z124</f>
        <v/>
      </c>
      <c r="F118" s="129" t="n">
        <f aca="false">Scoring!B124</f>
        <v>0</v>
      </c>
      <c r="G118" s="129" t="n">
        <f aca="false">Scoring!D124</f>
        <v>0</v>
      </c>
      <c r="H118" s="129" t="str">
        <f aca="false">Scoring!AV124</f>
        <v/>
      </c>
      <c r="I118" s="131" t="str">
        <f aca="false">Scoring!AU124</f>
        <v/>
      </c>
    </row>
    <row r="119" customFormat="false" ht="15.75" hidden="false" customHeight="false" outlineLevel="0" collapsed="false">
      <c r="A119" s="129" t="str">
        <f aca="false">Scoring!AX125</f>
        <v/>
      </c>
      <c r="B119" s="129" t="str">
        <f aca="false">Scoring!AW125</f>
        <v/>
      </c>
      <c r="C119" s="129" t="n">
        <f aca="false">Scoring!C125</f>
        <v>0</v>
      </c>
      <c r="D119" s="130" t="str">
        <f aca="false">Scoring!AT125</f>
        <v/>
      </c>
      <c r="E119" s="129" t="str">
        <f aca="false">Scoring!Z125</f>
        <v/>
      </c>
      <c r="F119" s="129" t="n">
        <f aca="false">Scoring!B125</f>
        <v>0</v>
      </c>
      <c r="G119" s="129" t="n">
        <f aca="false">Scoring!D125</f>
        <v>0</v>
      </c>
      <c r="H119" s="129" t="str">
        <f aca="false">Scoring!AV125</f>
        <v/>
      </c>
      <c r="I119" s="131" t="str">
        <f aca="false">Scoring!AU125</f>
        <v/>
      </c>
    </row>
    <row r="120" customFormat="false" ht="15.75" hidden="false" customHeight="false" outlineLevel="0" collapsed="false">
      <c r="A120" s="129" t="str">
        <f aca="false">Scoring!AX126</f>
        <v/>
      </c>
      <c r="B120" s="129" t="str">
        <f aca="false">Scoring!AW126</f>
        <v/>
      </c>
      <c r="C120" s="129" t="n">
        <f aca="false">Scoring!C126</f>
        <v>0</v>
      </c>
      <c r="D120" s="130" t="str">
        <f aca="false">Scoring!AT126</f>
        <v/>
      </c>
      <c r="E120" s="129" t="str">
        <f aca="false">Scoring!Z126</f>
        <v/>
      </c>
      <c r="F120" s="129" t="n">
        <f aca="false">Scoring!B126</f>
        <v>0</v>
      </c>
      <c r="G120" s="129" t="n">
        <f aca="false">Scoring!D126</f>
        <v>0</v>
      </c>
      <c r="H120" s="129" t="str">
        <f aca="false">Scoring!AV126</f>
        <v/>
      </c>
      <c r="I120" s="131" t="str">
        <f aca="false">Scoring!AU126</f>
        <v/>
      </c>
    </row>
    <row r="121" customFormat="false" ht="15.75" hidden="false" customHeight="false" outlineLevel="0" collapsed="false">
      <c r="A121" s="129" t="str">
        <f aca="false">Scoring!AX127</f>
        <v/>
      </c>
      <c r="B121" s="129" t="str">
        <f aca="false">Scoring!AW127</f>
        <v/>
      </c>
      <c r="C121" s="129" t="n">
        <f aca="false">Scoring!C127</f>
        <v>0</v>
      </c>
      <c r="D121" s="130" t="str">
        <f aca="false">Scoring!AT127</f>
        <v/>
      </c>
      <c r="E121" s="129" t="str">
        <f aca="false">Scoring!Z127</f>
        <v/>
      </c>
      <c r="F121" s="129" t="n">
        <f aca="false">Scoring!B127</f>
        <v>0</v>
      </c>
      <c r="G121" s="129" t="n">
        <f aca="false">Scoring!D127</f>
        <v>0</v>
      </c>
      <c r="H121" s="129" t="str">
        <f aca="false">Scoring!AV127</f>
        <v/>
      </c>
      <c r="I121" s="131" t="str">
        <f aca="false">Scoring!AU127</f>
        <v/>
      </c>
    </row>
    <row r="122" customFormat="false" ht="15.75" hidden="false" customHeight="false" outlineLevel="0" collapsed="false">
      <c r="A122" s="129" t="str">
        <f aca="false">Scoring!AX128</f>
        <v/>
      </c>
      <c r="B122" s="129" t="str">
        <f aca="false">Scoring!AW128</f>
        <v/>
      </c>
      <c r="C122" s="129" t="n">
        <f aca="false">Scoring!C128</f>
        <v>0</v>
      </c>
      <c r="D122" s="130" t="str">
        <f aca="false">Scoring!AT128</f>
        <v/>
      </c>
      <c r="E122" s="129" t="str">
        <f aca="false">Scoring!Z128</f>
        <v/>
      </c>
      <c r="F122" s="129" t="n">
        <f aca="false">Scoring!B128</f>
        <v>0</v>
      </c>
      <c r="G122" s="129" t="n">
        <f aca="false">Scoring!D128</f>
        <v>0</v>
      </c>
      <c r="H122" s="129" t="str">
        <f aca="false">Scoring!AV128</f>
        <v/>
      </c>
      <c r="I122" s="131" t="str">
        <f aca="false">Scoring!AU128</f>
        <v/>
      </c>
    </row>
    <row r="123" customFormat="false" ht="15.75" hidden="false" customHeight="false" outlineLevel="0" collapsed="false">
      <c r="A123" s="129" t="str">
        <f aca="false">Scoring!AX129</f>
        <v/>
      </c>
      <c r="B123" s="129" t="str">
        <f aca="false">Scoring!AW129</f>
        <v/>
      </c>
      <c r="C123" s="129" t="n">
        <f aca="false">Scoring!C129</f>
        <v>0</v>
      </c>
      <c r="D123" s="130" t="str">
        <f aca="false">Scoring!AT129</f>
        <v/>
      </c>
      <c r="E123" s="129" t="str">
        <f aca="false">Scoring!Z129</f>
        <v/>
      </c>
      <c r="F123" s="129" t="n">
        <f aca="false">Scoring!B129</f>
        <v>0</v>
      </c>
      <c r="G123" s="129" t="n">
        <f aca="false">Scoring!D129</f>
        <v>0</v>
      </c>
      <c r="H123" s="129" t="str">
        <f aca="false">Scoring!AV129</f>
        <v/>
      </c>
      <c r="I123" s="131" t="str">
        <f aca="false">Scoring!AU129</f>
        <v/>
      </c>
    </row>
    <row r="124" customFormat="false" ht="15.75" hidden="false" customHeight="false" outlineLevel="0" collapsed="false">
      <c r="A124" s="129" t="str">
        <f aca="false">Scoring!AX130</f>
        <v/>
      </c>
      <c r="B124" s="129" t="str">
        <f aca="false">Scoring!AW130</f>
        <v/>
      </c>
      <c r="C124" s="129" t="n">
        <f aca="false">Scoring!C130</f>
        <v>0</v>
      </c>
      <c r="D124" s="130" t="str">
        <f aca="false">Scoring!AT130</f>
        <v/>
      </c>
      <c r="E124" s="129" t="str">
        <f aca="false">Scoring!Z130</f>
        <v/>
      </c>
      <c r="F124" s="129" t="n">
        <f aca="false">Scoring!B130</f>
        <v>0</v>
      </c>
      <c r="G124" s="129" t="n">
        <f aca="false">Scoring!D130</f>
        <v>0</v>
      </c>
      <c r="H124" s="129" t="str">
        <f aca="false">Scoring!AV130</f>
        <v/>
      </c>
      <c r="I124" s="131" t="str">
        <f aca="false">Scoring!AU130</f>
        <v/>
      </c>
    </row>
    <row r="125" customFormat="false" ht="15.75" hidden="false" customHeight="false" outlineLevel="0" collapsed="false">
      <c r="A125" s="129" t="str">
        <f aca="false">Scoring!AX131</f>
        <v/>
      </c>
      <c r="B125" s="129" t="str">
        <f aca="false">Scoring!AW131</f>
        <v/>
      </c>
      <c r="C125" s="129" t="n">
        <f aca="false">Scoring!C131</f>
        <v>0</v>
      </c>
      <c r="D125" s="130" t="str">
        <f aca="false">Scoring!AT131</f>
        <v/>
      </c>
      <c r="E125" s="129" t="str">
        <f aca="false">Scoring!Z131</f>
        <v/>
      </c>
      <c r="F125" s="129" t="n">
        <f aca="false">Scoring!B131</f>
        <v>0</v>
      </c>
      <c r="G125" s="129" t="n">
        <f aca="false">Scoring!D131</f>
        <v>0</v>
      </c>
      <c r="H125" s="129" t="str">
        <f aca="false">Scoring!AV131</f>
        <v/>
      </c>
      <c r="I125" s="131" t="str">
        <f aca="false">Scoring!AU131</f>
        <v/>
      </c>
    </row>
    <row r="126" customFormat="false" ht="15.75" hidden="false" customHeight="false" outlineLevel="0" collapsed="false">
      <c r="A126" s="129" t="str">
        <f aca="false">Scoring!AX132</f>
        <v/>
      </c>
      <c r="B126" s="129" t="str">
        <f aca="false">Scoring!AW132</f>
        <v/>
      </c>
      <c r="C126" s="129" t="n">
        <f aca="false">Scoring!C132</f>
        <v>0</v>
      </c>
      <c r="D126" s="130" t="str">
        <f aca="false">Scoring!AT132</f>
        <v/>
      </c>
      <c r="E126" s="129" t="str">
        <f aca="false">Scoring!Z132</f>
        <v/>
      </c>
      <c r="F126" s="129" t="n">
        <f aca="false">Scoring!B132</f>
        <v>0</v>
      </c>
      <c r="G126" s="129" t="n">
        <f aca="false">Scoring!D132</f>
        <v>0</v>
      </c>
      <c r="H126" s="129" t="str">
        <f aca="false">Scoring!AV132</f>
        <v/>
      </c>
      <c r="I126" s="131" t="str">
        <f aca="false">Scoring!AU132</f>
        <v/>
      </c>
    </row>
    <row r="127" customFormat="false" ht="15.75" hidden="false" customHeight="false" outlineLevel="0" collapsed="false">
      <c r="A127" s="129" t="str">
        <f aca="false">Scoring!AX133</f>
        <v/>
      </c>
      <c r="B127" s="129" t="str">
        <f aca="false">Scoring!AW133</f>
        <v/>
      </c>
      <c r="C127" s="129" t="n">
        <f aca="false">Scoring!C133</f>
        <v>0</v>
      </c>
      <c r="D127" s="130" t="str">
        <f aca="false">Scoring!AT133</f>
        <v/>
      </c>
      <c r="E127" s="129" t="str">
        <f aca="false">Scoring!Z133</f>
        <v/>
      </c>
      <c r="F127" s="129" t="n">
        <f aca="false">Scoring!B133</f>
        <v>0</v>
      </c>
      <c r="G127" s="129" t="n">
        <f aca="false">Scoring!D133</f>
        <v>0</v>
      </c>
      <c r="H127" s="129" t="str">
        <f aca="false">Scoring!AV133</f>
        <v/>
      </c>
      <c r="I127" s="131" t="str">
        <f aca="false">Scoring!AU133</f>
        <v/>
      </c>
    </row>
    <row r="128" customFormat="false" ht="15.75" hidden="false" customHeight="false" outlineLevel="0" collapsed="false">
      <c r="A128" s="129" t="str">
        <f aca="false">Scoring!AX134</f>
        <v/>
      </c>
      <c r="B128" s="129" t="str">
        <f aca="false">Scoring!AW134</f>
        <v/>
      </c>
      <c r="C128" s="129" t="n">
        <f aca="false">Scoring!C134</f>
        <v>0</v>
      </c>
      <c r="D128" s="130" t="str">
        <f aca="false">Scoring!AT134</f>
        <v/>
      </c>
      <c r="E128" s="129" t="str">
        <f aca="false">Scoring!Z134</f>
        <v/>
      </c>
      <c r="F128" s="129" t="n">
        <f aca="false">Scoring!B134</f>
        <v>0</v>
      </c>
      <c r="G128" s="129" t="n">
        <f aca="false">Scoring!D134</f>
        <v>0</v>
      </c>
      <c r="H128" s="129" t="str">
        <f aca="false">Scoring!AV134</f>
        <v/>
      </c>
      <c r="I128" s="131" t="str">
        <f aca="false">Scoring!AU134</f>
        <v/>
      </c>
    </row>
    <row r="129" customFormat="false" ht="15.75" hidden="false" customHeight="false" outlineLevel="0" collapsed="false">
      <c r="A129" s="129" t="str">
        <f aca="false">Scoring!AX135</f>
        <v/>
      </c>
      <c r="B129" s="129" t="str">
        <f aca="false">Scoring!AW135</f>
        <v/>
      </c>
      <c r="C129" s="129" t="n">
        <f aca="false">Scoring!C135</f>
        <v>0</v>
      </c>
      <c r="D129" s="130" t="str">
        <f aca="false">Scoring!AT135</f>
        <v/>
      </c>
      <c r="E129" s="129" t="str">
        <f aca="false">Scoring!Z135</f>
        <v/>
      </c>
      <c r="F129" s="129" t="n">
        <f aca="false">Scoring!B135</f>
        <v>0</v>
      </c>
      <c r="G129" s="129" t="n">
        <f aca="false">Scoring!D135</f>
        <v>0</v>
      </c>
      <c r="H129" s="129" t="str">
        <f aca="false">Scoring!AV135</f>
        <v/>
      </c>
      <c r="I129" s="131" t="str">
        <f aca="false">Scoring!AU135</f>
        <v/>
      </c>
    </row>
    <row r="130" customFormat="false" ht="15.75" hidden="false" customHeight="false" outlineLevel="0" collapsed="false">
      <c r="A130" s="129" t="str">
        <f aca="false">Scoring!AX136</f>
        <v/>
      </c>
      <c r="B130" s="129" t="str">
        <f aca="false">Scoring!AW136</f>
        <v/>
      </c>
      <c r="C130" s="129" t="n">
        <f aca="false">Scoring!C136</f>
        <v>0</v>
      </c>
      <c r="D130" s="130" t="str">
        <f aca="false">Scoring!AT136</f>
        <v/>
      </c>
      <c r="E130" s="129" t="str">
        <f aca="false">Scoring!Z136</f>
        <v/>
      </c>
      <c r="F130" s="129" t="n">
        <f aca="false">Scoring!B136</f>
        <v>0</v>
      </c>
      <c r="G130" s="129" t="n">
        <f aca="false">Scoring!D136</f>
        <v>0</v>
      </c>
      <c r="H130" s="129" t="str">
        <f aca="false">Scoring!AV136</f>
        <v/>
      </c>
      <c r="I130" s="131" t="str">
        <f aca="false">Scoring!AU136</f>
        <v/>
      </c>
    </row>
    <row r="131" customFormat="false" ht="15.75" hidden="false" customHeight="false" outlineLevel="0" collapsed="false">
      <c r="A131" s="129" t="str">
        <f aca="false">Scoring!AX137</f>
        <v/>
      </c>
      <c r="B131" s="129" t="str">
        <f aca="false">Scoring!AW137</f>
        <v/>
      </c>
      <c r="C131" s="129" t="n">
        <f aca="false">Scoring!C137</f>
        <v>0</v>
      </c>
      <c r="D131" s="130" t="str">
        <f aca="false">Scoring!AT137</f>
        <v/>
      </c>
      <c r="E131" s="129" t="str">
        <f aca="false">Scoring!Z137</f>
        <v/>
      </c>
      <c r="F131" s="129" t="n">
        <f aca="false">Scoring!B137</f>
        <v>0</v>
      </c>
      <c r="G131" s="129" t="n">
        <f aca="false">Scoring!D137</f>
        <v>0</v>
      </c>
      <c r="H131" s="129" t="str">
        <f aca="false">Scoring!AV137</f>
        <v/>
      </c>
      <c r="I131" s="131" t="str">
        <f aca="false">Scoring!AU137</f>
        <v/>
      </c>
    </row>
    <row r="132" customFormat="false" ht="15.75" hidden="false" customHeight="false" outlineLevel="0" collapsed="false">
      <c r="A132" s="129" t="str">
        <f aca="false">Scoring!AX138</f>
        <v/>
      </c>
      <c r="B132" s="129" t="str">
        <f aca="false">Scoring!AW138</f>
        <v/>
      </c>
      <c r="C132" s="129" t="n">
        <f aca="false">Scoring!C138</f>
        <v>0</v>
      </c>
      <c r="D132" s="130" t="str">
        <f aca="false">Scoring!AT138</f>
        <v/>
      </c>
      <c r="E132" s="129" t="str">
        <f aca="false">Scoring!Z138</f>
        <v/>
      </c>
      <c r="F132" s="129" t="n">
        <f aca="false">Scoring!B138</f>
        <v>0</v>
      </c>
      <c r="G132" s="129" t="n">
        <f aca="false">Scoring!D138</f>
        <v>0</v>
      </c>
      <c r="H132" s="129" t="str">
        <f aca="false">Scoring!AV138</f>
        <v/>
      </c>
      <c r="I132" s="131" t="str">
        <f aca="false">Scoring!AU138</f>
        <v/>
      </c>
    </row>
    <row r="133" customFormat="false" ht="15.75" hidden="false" customHeight="false" outlineLevel="0" collapsed="false">
      <c r="A133" s="129" t="str">
        <f aca="false">Scoring!AX139</f>
        <v/>
      </c>
      <c r="B133" s="129" t="str">
        <f aca="false">Scoring!AW139</f>
        <v/>
      </c>
      <c r="C133" s="129" t="n">
        <f aca="false">Scoring!C139</f>
        <v>0</v>
      </c>
      <c r="D133" s="130" t="str">
        <f aca="false">Scoring!AT139</f>
        <v/>
      </c>
      <c r="E133" s="129" t="str">
        <f aca="false">Scoring!Z139</f>
        <v/>
      </c>
      <c r="F133" s="129" t="n">
        <f aca="false">Scoring!B139</f>
        <v>0</v>
      </c>
      <c r="G133" s="129" t="n">
        <f aca="false">Scoring!D139</f>
        <v>0</v>
      </c>
      <c r="H133" s="129" t="str">
        <f aca="false">Scoring!AV139</f>
        <v/>
      </c>
      <c r="I133" s="131" t="str">
        <f aca="false">Scoring!AU139</f>
        <v/>
      </c>
    </row>
    <row r="134" customFormat="false" ht="15.75" hidden="false" customHeight="false" outlineLevel="0" collapsed="false">
      <c r="A134" s="129" t="str">
        <f aca="false">Scoring!AX140</f>
        <v/>
      </c>
      <c r="B134" s="129" t="str">
        <f aca="false">Scoring!AW140</f>
        <v/>
      </c>
      <c r="C134" s="129" t="n">
        <f aca="false">Scoring!C140</f>
        <v>0</v>
      </c>
      <c r="D134" s="130" t="str">
        <f aca="false">Scoring!AT140</f>
        <v/>
      </c>
      <c r="E134" s="129" t="str">
        <f aca="false">Scoring!Z140</f>
        <v/>
      </c>
      <c r="F134" s="129" t="n">
        <f aca="false">Scoring!B140</f>
        <v>0</v>
      </c>
      <c r="G134" s="129" t="n">
        <f aca="false">Scoring!D140</f>
        <v>0</v>
      </c>
      <c r="H134" s="129" t="str">
        <f aca="false">Scoring!AV140</f>
        <v/>
      </c>
      <c r="I134" s="131" t="str">
        <f aca="false">Scoring!AU140</f>
        <v/>
      </c>
    </row>
    <row r="135" customFormat="false" ht="15.75" hidden="false" customHeight="false" outlineLevel="0" collapsed="false">
      <c r="A135" s="129" t="str">
        <f aca="false">Scoring!AX141</f>
        <v/>
      </c>
      <c r="B135" s="129" t="str">
        <f aca="false">Scoring!AW141</f>
        <v/>
      </c>
      <c r="C135" s="129" t="n">
        <f aca="false">Scoring!C141</f>
        <v>0</v>
      </c>
      <c r="D135" s="130" t="str">
        <f aca="false">Scoring!AT141</f>
        <v/>
      </c>
      <c r="E135" s="129" t="str">
        <f aca="false">Scoring!Z141</f>
        <v/>
      </c>
      <c r="F135" s="129" t="n">
        <f aca="false">Scoring!B141</f>
        <v>0</v>
      </c>
      <c r="G135" s="129" t="n">
        <f aca="false">Scoring!D141</f>
        <v>0</v>
      </c>
      <c r="H135" s="129" t="str">
        <f aca="false">Scoring!AV141</f>
        <v/>
      </c>
      <c r="I135" s="131" t="str">
        <f aca="false">Scoring!AU141</f>
        <v/>
      </c>
    </row>
    <row r="136" customFormat="false" ht="15.75" hidden="false" customHeight="false" outlineLevel="0" collapsed="false">
      <c r="A136" s="129" t="str">
        <f aca="false">Scoring!AX142</f>
        <v/>
      </c>
      <c r="B136" s="129" t="str">
        <f aca="false">Scoring!AW142</f>
        <v/>
      </c>
      <c r="C136" s="129" t="n">
        <f aca="false">Scoring!C142</f>
        <v>0</v>
      </c>
      <c r="D136" s="130" t="str">
        <f aca="false">Scoring!AT142</f>
        <v/>
      </c>
      <c r="E136" s="129" t="str">
        <f aca="false">Scoring!Z142</f>
        <v/>
      </c>
      <c r="F136" s="129" t="n">
        <f aca="false">Scoring!B142</f>
        <v>0</v>
      </c>
      <c r="G136" s="129" t="n">
        <f aca="false">Scoring!D142</f>
        <v>0</v>
      </c>
      <c r="H136" s="129" t="str">
        <f aca="false">Scoring!AV142</f>
        <v/>
      </c>
      <c r="I136" s="131" t="str">
        <f aca="false">Scoring!AU142</f>
        <v/>
      </c>
    </row>
    <row r="137" customFormat="false" ht="15.75" hidden="false" customHeight="false" outlineLevel="0" collapsed="false">
      <c r="A137" s="129" t="str">
        <f aca="false">Scoring!AX143</f>
        <v/>
      </c>
      <c r="B137" s="129" t="str">
        <f aca="false">Scoring!AW143</f>
        <v/>
      </c>
      <c r="C137" s="129" t="n">
        <f aca="false">Scoring!C143</f>
        <v>0</v>
      </c>
      <c r="D137" s="130" t="str">
        <f aca="false">Scoring!AT143</f>
        <v/>
      </c>
      <c r="E137" s="129" t="str">
        <f aca="false">Scoring!Z143</f>
        <v/>
      </c>
      <c r="F137" s="129" t="n">
        <f aca="false">Scoring!B143</f>
        <v>0</v>
      </c>
      <c r="G137" s="129" t="n">
        <f aca="false">Scoring!D143</f>
        <v>0</v>
      </c>
      <c r="H137" s="129" t="str">
        <f aca="false">Scoring!AV143</f>
        <v/>
      </c>
      <c r="I137" s="131" t="str">
        <f aca="false">Scoring!AU143</f>
        <v/>
      </c>
    </row>
    <row r="138" customFormat="false" ht="15.75" hidden="false" customHeight="false" outlineLevel="0" collapsed="false">
      <c r="A138" s="129" t="str">
        <f aca="false">Scoring!AX144</f>
        <v/>
      </c>
      <c r="B138" s="129" t="str">
        <f aca="false">Scoring!AW144</f>
        <v/>
      </c>
      <c r="C138" s="129" t="n">
        <f aca="false">Scoring!C144</f>
        <v>0</v>
      </c>
      <c r="D138" s="130" t="str">
        <f aca="false">Scoring!AT144</f>
        <v/>
      </c>
      <c r="E138" s="129" t="str">
        <f aca="false">Scoring!Z144</f>
        <v/>
      </c>
      <c r="F138" s="129" t="n">
        <f aca="false">Scoring!B144</f>
        <v>0</v>
      </c>
      <c r="G138" s="129" t="n">
        <f aca="false">Scoring!D144</f>
        <v>0</v>
      </c>
      <c r="H138" s="129" t="str">
        <f aca="false">Scoring!AV144</f>
        <v/>
      </c>
      <c r="I138" s="131" t="str">
        <f aca="false">Scoring!AU144</f>
        <v/>
      </c>
    </row>
    <row r="139" customFormat="false" ht="15.75" hidden="false" customHeight="false" outlineLevel="0" collapsed="false">
      <c r="A139" s="129" t="str">
        <f aca="false">Scoring!AX145</f>
        <v/>
      </c>
      <c r="B139" s="129" t="str">
        <f aca="false">Scoring!AW145</f>
        <v/>
      </c>
      <c r="C139" s="129" t="n">
        <f aca="false">Scoring!C145</f>
        <v>0</v>
      </c>
      <c r="D139" s="130" t="str">
        <f aca="false">Scoring!AT145</f>
        <v/>
      </c>
      <c r="E139" s="129" t="str">
        <f aca="false">Scoring!Z145</f>
        <v/>
      </c>
      <c r="F139" s="129" t="n">
        <f aca="false">Scoring!B145</f>
        <v>0</v>
      </c>
      <c r="G139" s="129" t="n">
        <f aca="false">Scoring!D145</f>
        <v>0</v>
      </c>
      <c r="H139" s="129" t="str">
        <f aca="false">Scoring!AV145</f>
        <v/>
      </c>
      <c r="I139" s="131" t="str">
        <f aca="false">Scoring!AU145</f>
        <v/>
      </c>
    </row>
    <row r="140" customFormat="false" ht="15.75" hidden="false" customHeight="false" outlineLevel="0" collapsed="false">
      <c r="A140" s="129" t="str">
        <f aca="false">Scoring!AX146</f>
        <v/>
      </c>
      <c r="B140" s="129" t="str">
        <f aca="false">Scoring!AW146</f>
        <v/>
      </c>
      <c r="C140" s="129" t="n">
        <f aca="false">Scoring!C146</f>
        <v>0</v>
      </c>
      <c r="D140" s="130" t="str">
        <f aca="false">Scoring!AT146</f>
        <v/>
      </c>
      <c r="E140" s="129" t="str">
        <f aca="false">Scoring!Z146</f>
        <v/>
      </c>
      <c r="F140" s="129" t="n">
        <f aca="false">Scoring!B146</f>
        <v>0</v>
      </c>
      <c r="G140" s="129" t="n">
        <f aca="false">Scoring!D146</f>
        <v>0</v>
      </c>
      <c r="H140" s="129" t="str">
        <f aca="false">Scoring!AV146</f>
        <v/>
      </c>
      <c r="I140" s="131" t="str">
        <f aca="false">Scoring!AU146</f>
        <v/>
      </c>
    </row>
    <row r="141" customFormat="false" ht="15.75" hidden="false" customHeight="false" outlineLevel="0" collapsed="false">
      <c r="A141" s="129" t="str">
        <f aca="false">Scoring!AX147</f>
        <v/>
      </c>
      <c r="B141" s="129" t="str">
        <f aca="false">Scoring!AW147</f>
        <v/>
      </c>
      <c r="C141" s="129" t="n">
        <f aca="false">Scoring!C147</f>
        <v>0</v>
      </c>
      <c r="D141" s="130" t="str">
        <f aca="false">Scoring!AT147</f>
        <v/>
      </c>
      <c r="E141" s="129" t="str">
        <f aca="false">Scoring!Z147</f>
        <v/>
      </c>
      <c r="F141" s="129" t="n">
        <f aca="false">Scoring!B147</f>
        <v>0</v>
      </c>
      <c r="G141" s="129" t="n">
        <f aca="false">Scoring!D147</f>
        <v>0</v>
      </c>
      <c r="H141" s="129" t="str">
        <f aca="false">Scoring!AV147</f>
        <v/>
      </c>
      <c r="I141" s="131" t="str">
        <f aca="false">Scoring!AU147</f>
        <v/>
      </c>
    </row>
    <row r="142" customFormat="false" ht="15.75" hidden="false" customHeight="false" outlineLevel="0" collapsed="false">
      <c r="A142" s="129" t="str">
        <f aca="false">Scoring!AX148</f>
        <v/>
      </c>
      <c r="B142" s="129" t="str">
        <f aca="false">Scoring!AW148</f>
        <v/>
      </c>
      <c r="C142" s="129" t="n">
        <f aca="false">Scoring!C148</f>
        <v>0</v>
      </c>
      <c r="D142" s="130" t="str">
        <f aca="false">Scoring!AT148</f>
        <v/>
      </c>
      <c r="E142" s="129" t="str">
        <f aca="false">Scoring!Z148</f>
        <v/>
      </c>
      <c r="F142" s="129" t="n">
        <f aca="false">Scoring!B148</f>
        <v>0</v>
      </c>
      <c r="G142" s="129" t="n">
        <f aca="false">Scoring!D148</f>
        <v>0</v>
      </c>
      <c r="H142" s="129" t="str">
        <f aca="false">Scoring!AV148</f>
        <v/>
      </c>
      <c r="I142" s="131" t="str">
        <f aca="false">Scoring!AU148</f>
        <v/>
      </c>
    </row>
    <row r="143" customFormat="false" ht="15.75" hidden="false" customHeight="false" outlineLevel="0" collapsed="false">
      <c r="A143" s="129" t="str">
        <f aca="false">Scoring!AX149</f>
        <v/>
      </c>
      <c r="B143" s="129" t="str">
        <f aca="false">Scoring!AW149</f>
        <v/>
      </c>
      <c r="C143" s="129" t="n">
        <f aca="false">Scoring!C149</f>
        <v>0</v>
      </c>
      <c r="D143" s="130" t="str">
        <f aca="false">Scoring!AT149</f>
        <v/>
      </c>
      <c r="E143" s="129" t="str">
        <f aca="false">Scoring!Z149</f>
        <v/>
      </c>
      <c r="F143" s="129" t="n">
        <f aca="false">Scoring!B149</f>
        <v>0</v>
      </c>
      <c r="G143" s="129" t="n">
        <f aca="false">Scoring!D149</f>
        <v>0</v>
      </c>
      <c r="H143" s="129" t="str">
        <f aca="false">Scoring!AV149</f>
        <v/>
      </c>
      <c r="I143" s="131" t="str">
        <f aca="false">Scoring!AU149</f>
        <v/>
      </c>
    </row>
    <row r="144" customFormat="false" ht="15.75" hidden="false" customHeight="false" outlineLevel="0" collapsed="false">
      <c r="A144" s="129" t="str">
        <f aca="false">Scoring!AX150</f>
        <v/>
      </c>
      <c r="B144" s="129" t="str">
        <f aca="false">Scoring!AW150</f>
        <v/>
      </c>
      <c r="C144" s="129" t="n">
        <f aca="false">Scoring!C150</f>
        <v>0</v>
      </c>
      <c r="D144" s="130" t="str">
        <f aca="false">Scoring!AT150</f>
        <v/>
      </c>
      <c r="E144" s="129" t="str">
        <f aca="false">Scoring!Z150</f>
        <v/>
      </c>
      <c r="F144" s="129" t="n">
        <f aca="false">Scoring!B150</f>
        <v>0</v>
      </c>
      <c r="G144" s="129" t="n">
        <f aca="false">Scoring!D150</f>
        <v>0</v>
      </c>
      <c r="H144" s="129" t="str">
        <f aca="false">Scoring!AV150</f>
        <v/>
      </c>
      <c r="I144" s="131" t="str">
        <f aca="false">Scoring!AU150</f>
        <v/>
      </c>
    </row>
    <row r="145" customFormat="false" ht="15.75" hidden="false" customHeight="false" outlineLevel="0" collapsed="false">
      <c r="A145" s="129" t="str">
        <f aca="false">Scoring!AX151</f>
        <v/>
      </c>
      <c r="B145" s="129" t="str">
        <f aca="false">Scoring!AW151</f>
        <v/>
      </c>
      <c r="C145" s="129" t="n">
        <f aca="false">Scoring!C151</f>
        <v>0</v>
      </c>
      <c r="D145" s="130" t="str">
        <f aca="false">Scoring!AT151</f>
        <v/>
      </c>
      <c r="E145" s="129" t="str">
        <f aca="false">Scoring!Z151</f>
        <v/>
      </c>
      <c r="F145" s="129" t="n">
        <f aca="false">Scoring!B151</f>
        <v>0</v>
      </c>
      <c r="G145" s="129" t="n">
        <f aca="false">Scoring!D151</f>
        <v>0</v>
      </c>
      <c r="H145" s="129" t="str">
        <f aca="false">Scoring!AV151</f>
        <v/>
      </c>
      <c r="I145" s="131" t="str">
        <f aca="false">Scoring!AU151</f>
        <v/>
      </c>
    </row>
    <row r="146" customFormat="false" ht="15.75" hidden="false" customHeight="false" outlineLevel="0" collapsed="false">
      <c r="A146" s="129" t="str">
        <f aca="false">Scoring!AX152</f>
        <v/>
      </c>
      <c r="B146" s="129" t="str">
        <f aca="false">Scoring!AW152</f>
        <v/>
      </c>
      <c r="C146" s="129" t="n">
        <f aca="false">Scoring!C152</f>
        <v>0</v>
      </c>
      <c r="D146" s="130" t="str">
        <f aca="false">Scoring!AT152</f>
        <v/>
      </c>
      <c r="E146" s="129" t="str">
        <f aca="false">Scoring!Z152</f>
        <v/>
      </c>
      <c r="F146" s="129" t="n">
        <f aca="false">Scoring!B152</f>
        <v>0</v>
      </c>
      <c r="G146" s="129" t="n">
        <f aca="false">Scoring!D152</f>
        <v>0</v>
      </c>
      <c r="H146" s="129" t="str">
        <f aca="false">Scoring!AV152</f>
        <v/>
      </c>
      <c r="I146" s="131" t="str">
        <f aca="false">Scoring!AU152</f>
        <v/>
      </c>
    </row>
    <row r="147" customFormat="false" ht="15.75" hidden="false" customHeight="false" outlineLevel="0" collapsed="false">
      <c r="A147" s="129" t="str">
        <f aca="false">Scoring!AX153</f>
        <v/>
      </c>
      <c r="B147" s="129" t="str">
        <f aca="false">Scoring!AW153</f>
        <v/>
      </c>
      <c r="C147" s="129" t="n">
        <f aca="false">Scoring!C153</f>
        <v>0</v>
      </c>
      <c r="D147" s="130" t="str">
        <f aca="false">Scoring!AT153</f>
        <v/>
      </c>
      <c r="E147" s="129" t="str">
        <f aca="false">Scoring!Z153</f>
        <v/>
      </c>
      <c r="F147" s="129" t="n">
        <f aca="false">Scoring!B153</f>
        <v>0</v>
      </c>
      <c r="G147" s="129" t="n">
        <f aca="false">Scoring!D153</f>
        <v>0</v>
      </c>
      <c r="H147" s="129" t="str">
        <f aca="false">Scoring!AV153</f>
        <v/>
      </c>
      <c r="I147" s="131" t="str">
        <f aca="false">Scoring!AU153</f>
        <v/>
      </c>
    </row>
    <row r="148" customFormat="false" ht="15.75" hidden="false" customHeight="false" outlineLevel="0" collapsed="false">
      <c r="A148" s="129" t="str">
        <f aca="false">Scoring!AX154</f>
        <v/>
      </c>
      <c r="B148" s="129" t="str">
        <f aca="false">Scoring!AW154</f>
        <v/>
      </c>
      <c r="C148" s="129" t="n">
        <f aca="false">Scoring!C154</f>
        <v>0</v>
      </c>
      <c r="D148" s="130" t="str">
        <f aca="false">Scoring!AT154</f>
        <v/>
      </c>
      <c r="E148" s="129" t="str">
        <f aca="false">Scoring!Z154</f>
        <v/>
      </c>
      <c r="F148" s="129" t="n">
        <f aca="false">Scoring!B154</f>
        <v>0</v>
      </c>
      <c r="G148" s="129" t="n">
        <f aca="false">Scoring!D154</f>
        <v>0</v>
      </c>
      <c r="H148" s="129" t="str">
        <f aca="false">Scoring!AV154</f>
        <v/>
      </c>
      <c r="I148" s="131" t="str">
        <f aca="false">Scoring!AU154</f>
        <v/>
      </c>
    </row>
    <row r="149" customFormat="false" ht="15.75" hidden="false" customHeight="false" outlineLevel="0" collapsed="false">
      <c r="A149" s="129" t="str">
        <f aca="false">Scoring!AX155</f>
        <v/>
      </c>
      <c r="B149" s="129" t="str">
        <f aca="false">Scoring!AW155</f>
        <v/>
      </c>
      <c r="C149" s="129" t="n">
        <f aca="false">Scoring!C155</f>
        <v>0</v>
      </c>
      <c r="D149" s="130" t="str">
        <f aca="false">Scoring!AT155</f>
        <v/>
      </c>
      <c r="E149" s="129" t="str">
        <f aca="false">Scoring!Z155</f>
        <v/>
      </c>
      <c r="F149" s="129" t="n">
        <f aca="false">Scoring!B155</f>
        <v>0</v>
      </c>
      <c r="G149" s="129" t="n">
        <f aca="false">Scoring!D155</f>
        <v>0</v>
      </c>
      <c r="H149" s="129" t="str">
        <f aca="false">Scoring!AV155</f>
        <v/>
      </c>
      <c r="I149" s="131" t="str">
        <f aca="false">Scoring!AU155</f>
        <v/>
      </c>
    </row>
    <row r="150" customFormat="false" ht="15.75" hidden="false" customHeight="false" outlineLevel="0" collapsed="false">
      <c r="A150" s="129" t="str">
        <f aca="false">Scoring!AX156</f>
        <v/>
      </c>
      <c r="B150" s="129" t="str">
        <f aca="false">Scoring!AW156</f>
        <v/>
      </c>
      <c r="C150" s="129" t="n">
        <f aca="false">Scoring!C156</f>
        <v>0</v>
      </c>
      <c r="D150" s="130" t="str">
        <f aca="false">Scoring!AT156</f>
        <v/>
      </c>
      <c r="E150" s="129" t="str">
        <f aca="false">Scoring!Z156</f>
        <v/>
      </c>
      <c r="F150" s="129" t="n">
        <f aca="false">Scoring!B156</f>
        <v>0</v>
      </c>
      <c r="G150" s="129" t="n">
        <f aca="false">Scoring!D156</f>
        <v>0</v>
      </c>
      <c r="H150" s="129" t="str">
        <f aca="false">Scoring!AV156</f>
        <v/>
      </c>
      <c r="I150" s="131" t="str">
        <f aca="false">Scoring!AU156</f>
        <v/>
      </c>
    </row>
    <row r="151" customFormat="false" ht="15.75" hidden="false" customHeight="false" outlineLevel="0" collapsed="false">
      <c r="A151" s="129" t="str">
        <f aca="false">Scoring!AX157</f>
        <v/>
      </c>
      <c r="B151" s="129" t="str">
        <f aca="false">Scoring!AW157</f>
        <v/>
      </c>
      <c r="C151" s="129" t="n">
        <f aca="false">Scoring!C157</f>
        <v>0</v>
      </c>
      <c r="D151" s="130" t="str">
        <f aca="false">Scoring!AT157</f>
        <v/>
      </c>
      <c r="E151" s="129" t="str">
        <f aca="false">Scoring!Z157</f>
        <v/>
      </c>
      <c r="F151" s="129" t="n">
        <f aca="false">Scoring!B157</f>
        <v>0</v>
      </c>
      <c r="G151" s="129" t="n">
        <f aca="false">Scoring!D157</f>
        <v>0</v>
      </c>
      <c r="H151" s="129" t="str">
        <f aca="false">Scoring!AV157</f>
        <v/>
      </c>
      <c r="I151" s="131" t="str">
        <f aca="false">Scoring!AU157</f>
        <v/>
      </c>
    </row>
    <row r="152" customFormat="false" ht="15.75" hidden="false" customHeight="false" outlineLevel="0" collapsed="false">
      <c r="A152" s="129" t="str">
        <f aca="false">Scoring!AX158</f>
        <v/>
      </c>
      <c r="B152" s="129" t="str">
        <f aca="false">Scoring!AW158</f>
        <v/>
      </c>
      <c r="C152" s="129" t="n">
        <f aca="false">Scoring!C158</f>
        <v>0</v>
      </c>
      <c r="D152" s="130" t="str">
        <f aca="false">Scoring!AT158</f>
        <v/>
      </c>
      <c r="E152" s="129" t="str">
        <f aca="false">Scoring!Z158</f>
        <v/>
      </c>
      <c r="F152" s="129" t="n">
        <f aca="false">Scoring!B158</f>
        <v>0</v>
      </c>
      <c r="G152" s="129" t="n">
        <f aca="false">Scoring!D158</f>
        <v>0</v>
      </c>
      <c r="H152" s="129" t="str">
        <f aca="false">Scoring!AV158</f>
        <v/>
      </c>
      <c r="I152" s="131" t="str">
        <f aca="false">Scoring!AU158</f>
        <v/>
      </c>
    </row>
    <row r="153" customFormat="false" ht="15.75" hidden="false" customHeight="false" outlineLevel="0" collapsed="false">
      <c r="A153" s="129" t="str">
        <f aca="false">Scoring!AX159</f>
        <v/>
      </c>
      <c r="B153" s="129" t="str">
        <f aca="false">Scoring!AW159</f>
        <v/>
      </c>
      <c r="C153" s="129" t="n">
        <f aca="false">Scoring!C159</f>
        <v>0</v>
      </c>
      <c r="D153" s="130" t="str">
        <f aca="false">Scoring!AT159</f>
        <v/>
      </c>
      <c r="E153" s="129" t="str">
        <f aca="false">Scoring!Z159</f>
        <v/>
      </c>
      <c r="F153" s="129" t="n">
        <f aca="false">Scoring!B159</f>
        <v>0</v>
      </c>
      <c r="G153" s="129" t="n">
        <f aca="false">Scoring!D159</f>
        <v>0</v>
      </c>
      <c r="H153" s="129" t="str">
        <f aca="false">Scoring!AV159</f>
        <v/>
      </c>
      <c r="I153" s="131" t="str">
        <f aca="false">Scoring!AU159</f>
        <v/>
      </c>
    </row>
    <row r="154" customFormat="false" ht="15.75" hidden="false" customHeight="false" outlineLevel="0" collapsed="false">
      <c r="A154" s="129" t="str">
        <f aca="false">Scoring!AX160</f>
        <v/>
      </c>
      <c r="B154" s="129" t="str">
        <f aca="false">Scoring!AW160</f>
        <v/>
      </c>
      <c r="C154" s="129" t="n">
        <f aca="false">Scoring!C160</f>
        <v>0</v>
      </c>
      <c r="D154" s="130" t="str">
        <f aca="false">Scoring!AT160</f>
        <v/>
      </c>
      <c r="E154" s="129" t="str">
        <f aca="false">Scoring!Z160</f>
        <v/>
      </c>
      <c r="F154" s="129" t="n">
        <f aca="false">Scoring!B160</f>
        <v>0</v>
      </c>
      <c r="G154" s="129" t="n">
        <f aca="false">Scoring!D160</f>
        <v>0</v>
      </c>
      <c r="H154" s="129" t="str">
        <f aca="false">Scoring!AV160</f>
        <v/>
      </c>
      <c r="I154" s="131" t="str">
        <f aca="false">Scoring!AU160</f>
        <v/>
      </c>
    </row>
    <row r="155" customFormat="false" ht="15.75" hidden="false" customHeight="false" outlineLevel="0" collapsed="false">
      <c r="A155" s="129" t="str">
        <f aca="false">Scoring!AX161</f>
        <v/>
      </c>
      <c r="B155" s="129" t="str">
        <f aca="false">Scoring!AW161</f>
        <v/>
      </c>
      <c r="C155" s="129" t="n">
        <f aca="false">Scoring!C161</f>
        <v>0</v>
      </c>
      <c r="D155" s="130" t="str">
        <f aca="false">Scoring!AT161</f>
        <v/>
      </c>
      <c r="E155" s="129" t="str">
        <f aca="false">Scoring!Z161</f>
        <v/>
      </c>
      <c r="F155" s="129" t="n">
        <f aca="false">Scoring!B161</f>
        <v>0</v>
      </c>
      <c r="G155" s="129" t="n">
        <f aca="false">Scoring!D161</f>
        <v>0</v>
      </c>
      <c r="H155" s="129" t="str">
        <f aca="false">Scoring!AV161</f>
        <v/>
      </c>
      <c r="I155" s="131" t="str">
        <f aca="false">Scoring!AU161</f>
        <v/>
      </c>
    </row>
    <row r="156" customFormat="false" ht="15.75" hidden="false" customHeight="false" outlineLevel="0" collapsed="false">
      <c r="A156" s="129" t="str">
        <f aca="false">Scoring!AX162</f>
        <v/>
      </c>
      <c r="B156" s="129" t="str">
        <f aca="false">Scoring!AW162</f>
        <v/>
      </c>
      <c r="C156" s="129" t="n">
        <f aca="false">Scoring!C162</f>
        <v>0</v>
      </c>
      <c r="D156" s="130" t="str">
        <f aca="false">Scoring!AT162</f>
        <v/>
      </c>
      <c r="E156" s="129" t="str">
        <f aca="false">Scoring!Z162</f>
        <v/>
      </c>
      <c r="F156" s="129" t="n">
        <f aca="false">Scoring!B162</f>
        <v>0</v>
      </c>
      <c r="G156" s="129" t="n">
        <f aca="false">Scoring!D162</f>
        <v>0</v>
      </c>
      <c r="H156" s="129" t="str">
        <f aca="false">Scoring!AV162</f>
        <v/>
      </c>
      <c r="I156" s="131" t="str">
        <f aca="false">Scoring!AU162</f>
        <v/>
      </c>
    </row>
    <row r="157" customFormat="false" ht="15.75" hidden="false" customHeight="false" outlineLevel="0" collapsed="false">
      <c r="A157" s="129" t="str">
        <f aca="false">Scoring!AX163</f>
        <v/>
      </c>
      <c r="B157" s="129" t="str">
        <f aca="false">Scoring!AW163</f>
        <v/>
      </c>
      <c r="C157" s="129" t="n">
        <f aca="false">Scoring!C163</f>
        <v>0</v>
      </c>
      <c r="D157" s="130" t="str">
        <f aca="false">Scoring!AT163</f>
        <v/>
      </c>
      <c r="E157" s="129" t="str">
        <f aca="false">Scoring!Z163</f>
        <v/>
      </c>
      <c r="F157" s="129" t="n">
        <f aca="false">Scoring!B163</f>
        <v>0</v>
      </c>
      <c r="G157" s="129" t="n">
        <f aca="false">Scoring!D163</f>
        <v>0</v>
      </c>
      <c r="H157" s="129" t="str">
        <f aca="false">Scoring!AV163</f>
        <v/>
      </c>
      <c r="I157" s="131" t="str">
        <f aca="false">Scoring!AU163</f>
        <v/>
      </c>
    </row>
    <row r="158" customFormat="false" ht="15.75" hidden="false" customHeight="false" outlineLevel="0" collapsed="false">
      <c r="A158" s="129" t="str">
        <f aca="false">Scoring!AX164</f>
        <v/>
      </c>
      <c r="B158" s="129" t="str">
        <f aca="false">Scoring!AW164</f>
        <v/>
      </c>
      <c r="C158" s="129" t="n">
        <f aca="false">Scoring!C164</f>
        <v>0</v>
      </c>
      <c r="D158" s="130" t="str">
        <f aca="false">Scoring!AT164</f>
        <v/>
      </c>
      <c r="E158" s="129" t="str">
        <f aca="false">Scoring!Z164</f>
        <v/>
      </c>
      <c r="F158" s="129" t="n">
        <f aca="false">Scoring!B164</f>
        <v>0</v>
      </c>
      <c r="G158" s="129" t="n">
        <f aca="false">Scoring!D164</f>
        <v>0</v>
      </c>
      <c r="H158" s="129" t="str">
        <f aca="false">Scoring!AV164</f>
        <v/>
      </c>
      <c r="I158" s="131" t="str">
        <f aca="false">Scoring!AU164</f>
        <v/>
      </c>
    </row>
    <row r="159" customFormat="false" ht="15.75" hidden="false" customHeight="false" outlineLevel="0" collapsed="false">
      <c r="A159" s="129" t="str">
        <f aca="false">Scoring!AX165</f>
        <v/>
      </c>
      <c r="B159" s="129" t="str">
        <f aca="false">Scoring!AW165</f>
        <v/>
      </c>
      <c r="C159" s="129" t="n">
        <f aca="false">Scoring!C165</f>
        <v>0</v>
      </c>
      <c r="D159" s="130" t="str">
        <f aca="false">Scoring!AT165</f>
        <v/>
      </c>
      <c r="E159" s="129" t="str">
        <f aca="false">Scoring!Z165</f>
        <v/>
      </c>
      <c r="F159" s="129" t="n">
        <f aca="false">Scoring!B165</f>
        <v>0</v>
      </c>
      <c r="G159" s="129" t="n">
        <f aca="false">Scoring!D165</f>
        <v>0</v>
      </c>
      <c r="H159" s="129" t="str">
        <f aca="false">Scoring!AV165</f>
        <v/>
      </c>
      <c r="I159" s="131" t="str">
        <f aca="false">Scoring!AU165</f>
        <v/>
      </c>
    </row>
    <row r="160" customFormat="false" ht="15.75" hidden="false" customHeight="false" outlineLevel="0" collapsed="false">
      <c r="A160" s="129" t="str">
        <f aca="false">Scoring!AX166</f>
        <v/>
      </c>
      <c r="B160" s="129" t="str">
        <f aca="false">Scoring!AW166</f>
        <v/>
      </c>
      <c r="C160" s="129" t="n">
        <f aca="false">Scoring!C166</f>
        <v>0</v>
      </c>
      <c r="D160" s="130" t="str">
        <f aca="false">Scoring!AT166</f>
        <v/>
      </c>
      <c r="E160" s="129" t="str">
        <f aca="false">Scoring!Z166</f>
        <v/>
      </c>
      <c r="F160" s="129" t="n">
        <f aca="false">Scoring!B166</f>
        <v>0</v>
      </c>
      <c r="G160" s="129" t="n">
        <f aca="false">Scoring!D166</f>
        <v>0</v>
      </c>
      <c r="H160" s="129" t="str">
        <f aca="false">Scoring!AV166</f>
        <v/>
      </c>
      <c r="I160" s="131" t="str">
        <f aca="false">Scoring!AU166</f>
        <v/>
      </c>
    </row>
    <row r="161" customFormat="false" ht="15.75" hidden="false" customHeight="false" outlineLevel="0" collapsed="false">
      <c r="A161" s="129" t="str">
        <f aca="false">Scoring!AX167</f>
        <v/>
      </c>
      <c r="B161" s="129" t="str">
        <f aca="false">Scoring!AW167</f>
        <v/>
      </c>
      <c r="C161" s="129" t="n">
        <f aca="false">Scoring!C167</f>
        <v>0</v>
      </c>
      <c r="D161" s="130" t="str">
        <f aca="false">Scoring!AT167</f>
        <v/>
      </c>
      <c r="E161" s="129" t="str">
        <f aca="false">Scoring!Z167</f>
        <v/>
      </c>
      <c r="F161" s="129" t="n">
        <f aca="false">Scoring!B167</f>
        <v>0</v>
      </c>
      <c r="G161" s="129" t="n">
        <f aca="false">Scoring!D167</f>
        <v>0</v>
      </c>
      <c r="H161" s="129" t="str">
        <f aca="false">Scoring!AV167</f>
        <v/>
      </c>
      <c r="I161" s="131" t="str">
        <f aca="false">Scoring!AU167</f>
        <v/>
      </c>
    </row>
    <row r="162" customFormat="false" ht="15.75" hidden="false" customHeight="false" outlineLevel="0" collapsed="false">
      <c r="A162" s="129" t="str">
        <f aca="false">Scoring!AX168</f>
        <v/>
      </c>
      <c r="B162" s="129" t="str">
        <f aca="false">Scoring!AW168</f>
        <v/>
      </c>
      <c r="C162" s="129" t="n">
        <f aca="false">Scoring!C168</f>
        <v>0</v>
      </c>
      <c r="D162" s="130" t="str">
        <f aca="false">Scoring!AT168</f>
        <v/>
      </c>
      <c r="E162" s="129" t="str">
        <f aca="false">Scoring!Z168</f>
        <v/>
      </c>
      <c r="F162" s="129" t="n">
        <f aca="false">Scoring!B168</f>
        <v>0</v>
      </c>
      <c r="G162" s="129" t="n">
        <f aca="false">Scoring!D168</f>
        <v>0</v>
      </c>
      <c r="H162" s="129" t="str">
        <f aca="false">Scoring!AV168</f>
        <v/>
      </c>
      <c r="I162" s="131" t="str">
        <f aca="false">Scoring!AU168</f>
        <v/>
      </c>
    </row>
    <row r="163" customFormat="false" ht="15.75" hidden="false" customHeight="false" outlineLevel="0" collapsed="false">
      <c r="A163" s="129" t="str">
        <f aca="false">Scoring!AX169</f>
        <v/>
      </c>
      <c r="B163" s="129" t="str">
        <f aca="false">Scoring!AW169</f>
        <v/>
      </c>
      <c r="C163" s="129" t="n">
        <f aca="false">Scoring!C169</f>
        <v>0</v>
      </c>
      <c r="D163" s="130" t="str">
        <f aca="false">Scoring!AT169</f>
        <v/>
      </c>
      <c r="E163" s="129" t="str">
        <f aca="false">Scoring!Z169</f>
        <v/>
      </c>
      <c r="F163" s="129" t="n">
        <f aca="false">Scoring!B169</f>
        <v>0</v>
      </c>
      <c r="G163" s="129" t="n">
        <f aca="false">Scoring!D169</f>
        <v>0</v>
      </c>
      <c r="H163" s="129" t="str">
        <f aca="false">Scoring!AV169</f>
        <v/>
      </c>
      <c r="I163" s="131" t="str">
        <f aca="false">Scoring!AU169</f>
        <v/>
      </c>
    </row>
    <row r="164" customFormat="false" ht="15.75" hidden="false" customHeight="false" outlineLevel="0" collapsed="false">
      <c r="A164" s="129" t="str">
        <f aca="false">Scoring!AX170</f>
        <v/>
      </c>
      <c r="B164" s="129" t="str">
        <f aca="false">Scoring!AW170</f>
        <v/>
      </c>
      <c r="C164" s="129" t="n">
        <f aca="false">Scoring!C170</f>
        <v>0</v>
      </c>
      <c r="D164" s="130" t="str">
        <f aca="false">Scoring!AT170</f>
        <v/>
      </c>
      <c r="E164" s="129" t="str">
        <f aca="false">Scoring!Z170</f>
        <v/>
      </c>
      <c r="F164" s="129" t="n">
        <f aca="false">Scoring!B170</f>
        <v>0</v>
      </c>
      <c r="G164" s="129" t="n">
        <f aca="false">Scoring!D170</f>
        <v>0</v>
      </c>
      <c r="H164" s="129" t="str">
        <f aca="false">Scoring!AV170</f>
        <v/>
      </c>
      <c r="I164" s="131" t="str">
        <f aca="false">Scoring!AU170</f>
        <v/>
      </c>
    </row>
    <row r="165" customFormat="false" ht="15.75" hidden="false" customHeight="false" outlineLevel="0" collapsed="false">
      <c r="A165" s="129" t="str">
        <f aca="false">Scoring!AX171</f>
        <v/>
      </c>
      <c r="B165" s="129" t="str">
        <f aca="false">Scoring!AW171</f>
        <v/>
      </c>
      <c r="C165" s="129" t="n">
        <f aca="false">Scoring!C171</f>
        <v>0</v>
      </c>
      <c r="D165" s="130" t="str">
        <f aca="false">Scoring!AT171</f>
        <v/>
      </c>
      <c r="E165" s="129" t="str">
        <f aca="false">Scoring!Z171</f>
        <v/>
      </c>
      <c r="F165" s="129" t="n">
        <f aca="false">Scoring!B171</f>
        <v>0</v>
      </c>
      <c r="G165" s="129" t="n">
        <f aca="false">Scoring!D171</f>
        <v>0</v>
      </c>
      <c r="H165" s="129" t="str">
        <f aca="false">Scoring!AV171</f>
        <v/>
      </c>
      <c r="I165" s="131" t="str">
        <f aca="false">Scoring!AU171</f>
        <v/>
      </c>
    </row>
    <row r="166" customFormat="false" ht="15.75" hidden="false" customHeight="false" outlineLevel="0" collapsed="false">
      <c r="A166" s="129" t="str">
        <f aca="false">Scoring!AX172</f>
        <v/>
      </c>
      <c r="B166" s="129" t="str">
        <f aca="false">Scoring!AW172</f>
        <v/>
      </c>
      <c r="C166" s="129" t="n">
        <f aca="false">Scoring!C172</f>
        <v>0</v>
      </c>
      <c r="D166" s="130" t="str">
        <f aca="false">Scoring!AT172</f>
        <v/>
      </c>
      <c r="E166" s="129" t="str">
        <f aca="false">Scoring!Z172</f>
        <v/>
      </c>
      <c r="F166" s="129" t="n">
        <f aca="false">Scoring!B172</f>
        <v>0</v>
      </c>
      <c r="G166" s="129" t="n">
        <f aca="false">Scoring!D172</f>
        <v>0</v>
      </c>
      <c r="H166" s="129" t="str">
        <f aca="false">Scoring!AV172</f>
        <v/>
      </c>
      <c r="I166" s="131" t="str">
        <f aca="false">Scoring!AU172</f>
        <v/>
      </c>
    </row>
    <row r="167" customFormat="false" ht="15.75" hidden="false" customHeight="false" outlineLevel="0" collapsed="false">
      <c r="A167" s="129" t="str">
        <f aca="false">Scoring!AX173</f>
        <v/>
      </c>
      <c r="B167" s="129" t="str">
        <f aca="false">Scoring!AW173</f>
        <v/>
      </c>
      <c r="C167" s="129" t="n">
        <f aca="false">Scoring!C173</f>
        <v>0</v>
      </c>
      <c r="D167" s="130" t="str">
        <f aca="false">Scoring!AT173</f>
        <v/>
      </c>
      <c r="E167" s="129" t="str">
        <f aca="false">Scoring!Z173</f>
        <v/>
      </c>
      <c r="F167" s="129" t="n">
        <f aca="false">Scoring!B173</f>
        <v>0</v>
      </c>
      <c r="G167" s="129" t="n">
        <f aca="false">Scoring!D173</f>
        <v>0</v>
      </c>
      <c r="H167" s="129" t="str">
        <f aca="false">Scoring!AV173</f>
        <v/>
      </c>
      <c r="I167" s="131" t="str">
        <f aca="false">Scoring!AU173</f>
        <v/>
      </c>
    </row>
    <row r="168" customFormat="false" ht="15.75" hidden="false" customHeight="false" outlineLevel="0" collapsed="false">
      <c r="A168" s="129" t="str">
        <f aca="false">Scoring!AX174</f>
        <v/>
      </c>
      <c r="B168" s="129" t="str">
        <f aca="false">Scoring!AW174</f>
        <v/>
      </c>
      <c r="C168" s="129" t="n">
        <f aca="false">Scoring!C174</f>
        <v>0</v>
      </c>
      <c r="D168" s="130" t="str">
        <f aca="false">Scoring!AT174</f>
        <v/>
      </c>
      <c r="E168" s="129" t="str">
        <f aca="false">Scoring!Z174</f>
        <v/>
      </c>
      <c r="F168" s="129" t="n">
        <f aca="false">Scoring!B174</f>
        <v>0</v>
      </c>
      <c r="G168" s="129" t="n">
        <f aca="false">Scoring!D174</f>
        <v>0</v>
      </c>
      <c r="H168" s="129" t="str">
        <f aca="false">Scoring!AV174</f>
        <v/>
      </c>
      <c r="I168" s="131" t="str">
        <f aca="false">Scoring!AU174</f>
        <v/>
      </c>
    </row>
    <row r="169" customFormat="false" ht="15.75" hidden="false" customHeight="false" outlineLevel="0" collapsed="false">
      <c r="A169" s="129" t="str">
        <f aca="false">Scoring!AX175</f>
        <v/>
      </c>
      <c r="B169" s="129" t="str">
        <f aca="false">Scoring!AW175</f>
        <v/>
      </c>
      <c r="C169" s="129" t="n">
        <f aca="false">Scoring!C175</f>
        <v>0</v>
      </c>
      <c r="D169" s="130" t="str">
        <f aca="false">Scoring!AT175</f>
        <v/>
      </c>
      <c r="E169" s="129" t="str">
        <f aca="false">Scoring!Z175</f>
        <v/>
      </c>
      <c r="F169" s="129" t="n">
        <f aca="false">Scoring!B175</f>
        <v>0</v>
      </c>
      <c r="G169" s="129" t="n">
        <f aca="false">Scoring!D175</f>
        <v>0</v>
      </c>
      <c r="H169" s="129" t="str">
        <f aca="false">Scoring!AV175</f>
        <v/>
      </c>
      <c r="I169" s="131" t="str">
        <f aca="false">Scoring!AU175</f>
        <v/>
      </c>
    </row>
    <row r="170" customFormat="false" ht="15.75" hidden="false" customHeight="false" outlineLevel="0" collapsed="false">
      <c r="A170" s="129" t="str">
        <f aca="false">Scoring!AX176</f>
        <v/>
      </c>
      <c r="B170" s="129" t="str">
        <f aca="false">Scoring!AW176</f>
        <v/>
      </c>
      <c r="C170" s="129" t="n">
        <f aca="false">Scoring!C176</f>
        <v>0</v>
      </c>
      <c r="D170" s="130" t="str">
        <f aca="false">Scoring!AT176</f>
        <v/>
      </c>
      <c r="E170" s="129" t="str">
        <f aca="false">Scoring!Z176</f>
        <v/>
      </c>
      <c r="F170" s="129" t="n">
        <f aca="false">Scoring!B176</f>
        <v>0</v>
      </c>
      <c r="G170" s="129" t="n">
        <f aca="false">Scoring!D176</f>
        <v>0</v>
      </c>
      <c r="H170" s="129" t="str">
        <f aca="false">Scoring!AV176</f>
        <v/>
      </c>
      <c r="I170" s="131" t="str">
        <f aca="false">Scoring!AU176</f>
        <v/>
      </c>
    </row>
    <row r="171" customFormat="false" ht="15.75" hidden="false" customHeight="false" outlineLevel="0" collapsed="false">
      <c r="A171" s="129" t="str">
        <f aca="false">Scoring!AX177</f>
        <v/>
      </c>
      <c r="B171" s="129" t="str">
        <f aca="false">Scoring!AW177</f>
        <v/>
      </c>
      <c r="C171" s="129" t="n">
        <f aca="false">Scoring!C177</f>
        <v>0</v>
      </c>
      <c r="D171" s="130" t="str">
        <f aca="false">Scoring!AT177</f>
        <v/>
      </c>
      <c r="E171" s="129" t="str">
        <f aca="false">Scoring!Z177</f>
        <v/>
      </c>
      <c r="F171" s="129" t="n">
        <f aca="false">Scoring!B177</f>
        <v>0</v>
      </c>
      <c r="G171" s="129" t="n">
        <f aca="false">Scoring!D177</f>
        <v>0</v>
      </c>
      <c r="H171" s="129" t="str">
        <f aca="false">Scoring!AV177</f>
        <v/>
      </c>
      <c r="I171" s="131" t="str">
        <f aca="false">Scoring!AU177</f>
        <v/>
      </c>
    </row>
    <row r="172" customFormat="false" ht="15.75" hidden="false" customHeight="false" outlineLevel="0" collapsed="false">
      <c r="A172" s="129" t="str">
        <f aca="false">Scoring!AX178</f>
        <v/>
      </c>
      <c r="B172" s="129" t="str">
        <f aca="false">Scoring!AW178</f>
        <v/>
      </c>
      <c r="C172" s="129" t="n">
        <f aca="false">Scoring!C178</f>
        <v>0</v>
      </c>
      <c r="D172" s="130" t="str">
        <f aca="false">Scoring!AT178</f>
        <v/>
      </c>
      <c r="E172" s="129" t="str">
        <f aca="false">Scoring!Z178</f>
        <v/>
      </c>
      <c r="F172" s="129" t="n">
        <f aca="false">Scoring!B178</f>
        <v>0</v>
      </c>
      <c r="G172" s="129" t="n">
        <f aca="false">Scoring!D178</f>
        <v>0</v>
      </c>
      <c r="H172" s="129" t="str">
        <f aca="false">Scoring!AV178</f>
        <v/>
      </c>
      <c r="I172" s="131" t="str">
        <f aca="false">Scoring!AU178</f>
        <v/>
      </c>
    </row>
    <row r="173" customFormat="false" ht="15.75" hidden="false" customHeight="false" outlineLevel="0" collapsed="false">
      <c r="A173" s="129" t="str">
        <f aca="false">Scoring!AX179</f>
        <v/>
      </c>
      <c r="B173" s="129" t="str">
        <f aca="false">Scoring!AW179</f>
        <v/>
      </c>
      <c r="C173" s="129" t="n">
        <f aca="false">Scoring!C179</f>
        <v>0</v>
      </c>
      <c r="D173" s="130" t="str">
        <f aca="false">Scoring!AT179</f>
        <v/>
      </c>
      <c r="E173" s="129" t="str">
        <f aca="false">Scoring!Z179</f>
        <v/>
      </c>
      <c r="F173" s="129" t="n">
        <f aca="false">Scoring!B179</f>
        <v>0</v>
      </c>
      <c r="G173" s="129" t="n">
        <f aca="false">Scoring!D179</f>
        <v>0</v>
      </c>
      <c r="H173" s="129" t="str">
        <f aca="false">Scoring!AV179</f>
        <v/>
      </c>
      <c r="I173" s="131" t="str">
        <f aca="false">Scoring!AU179</f>
        <v/>
      </c>
    </row>
    <row r="174" customFormat="false" ht="15.75" hidden="false" customHeight="false" outlineLevel="0" collapsed="false">
      <c r="A174" s="129" t="str">
        <f aca="false">Scoring!AX180</f>
        <v/>
      </c>
      <c r="B174" s="129" t="str">
        <f aca="false">Scoring!AW180</f>
        <v/>
      </c>
      <c r="C174" s="129" t="n">
        <f aca="false">Scoring!C180</f>
        <v>0</v>
      </c>
      <c r="D174" s="130" t="str">
        <f aca="false">Scoring!AT180</f>
        <v/>
      </c>
      <c r="E174" s="129" t="str">
        <f aca="false">Scoring!Z180</f>
        <v/>
      </c>
      <c r="F174" s="129" t="n">
        <f aca="false">Scoring!B180</f>
        <v>0</v>
      </c>
      <c r="G174" s="129" t="n">
        <f aca="false">Scoring!D180</f>
        <v>0</v>
      </c>
      <c r="H174" s="129" t="str">
        <f aca="false">Scoring!AV180</f>
        <v/>
      </c>
      <c r="I174" s="131" t="str">
        <f aca="false">Scoring!AU180</f>
        <v/>
      </c>
    </row>
    <row r="175" customFormat="false" ht="15.75" hidden="false" customHeight="false" outlineLevel="0" collapsed="false">
      <c r="A175" s="129" t="str">
        <f aca="false">Scoring!AX181</f>
        <v/>
      </c>
      <c r="B175" s="129" t="str">
        <f aca="false">Scoring!AW181</f>
        <v/>
      </c>
      <c r="C175" s="129" t="n">
        <f aca="false">Scoring!C181</f>
        <v>0</v>
      </c>
      <c r="D175" s="130" t="str">
        <f aca="false">Scoring!AT181</f>
        <v/>
      </c>
      <c r="E175" s="129" t="str">
        <f aca="false">Scoring!Z181</f>
        <v/>
      </c>
      <c r="F175" s="129" t="n">
        <f aca="false">Scoring!B181</f>
        <v>0</v>
      </c>
      <c r="G175" s="129" t="n">
        <f aca="false">Scoring!D181</f>
        <v>0</v>
      </c>
      <c r="H175" s="129" t="str">
        <f aca="false">Scoring!AV181</f>
        <v/>
      </c>
      <c r="I175" s="131" t="str">
        <f aca="false">Scoring!AU181</f>
        <v/>
      </c>
    </row>
    <row r="176" customFormat="false" ht="15.75" hidden="false" customHeight="false" outlineLevel="0" collapsed="false">
      <c r="A176" s="129" t="str">
        <f aca="false">Scoring!AX182</f>
        <v/>
      </c>
      <c r="B176" s="129" t="str">
        <f aca="false">Scoring!AW182</f>
        <v/>
      </c>
      <c r="C176" s="129" t="n">
        <f aca="false">Scoring!C182</f>
        <v>0</v>
      </c>
      <c r="D176" s="130" t="str">
        <f aca="false">Scoring!AT182</f>
        <v/>
      </c>
      <c r="E176" s="129" t="str">
        <f aca="false">Scoring!Z182</f>
        <v/>
      </c>
      <c r="F176" s="129" t="n">
        <f aca="false">Scoring!B182</f>
        <v>0</v>
      </c>
      <c r="G176" s="129" t="n">
        <f aca="false">Scoring!D182</f>
        <v>0</v>
      </c>
      <c r="H176" s="129" t="str">
        <f aca="false">Scoring!AV182</f>
        <v/>
      </c>
      <c r="I176" s="131" t="str">
        <f aca="false">Scoring!AU182</f>
        <v/>
      </c>
    </row>
    <row r="177" customFormat="false" ht="15.75" hidden="false" customHeight="false" outlineLevel="0" collapsed="false">
      <c r="A177" s="129" t="str">
        <f aca="false">Scoring!AX183</f>
        <v/>
      </c>
      <c r="B177" s="129" t="str">
        <f aca="false">Scoring!AW183</f>
        <v/>
      </c>
      <c r="C177" s="129" t="n">
        <f aca="false">Scoring!C183</f>
        <v>0</v>
      </c>
      <c r="D177" s="130" t="str">
        <f aca="false">Scoring!AT183</f>
        <v/>
      </c>
      <c r="E177" s="129" t="str">
        <f aca="false">Scoring!Z183</f>
        <v/>
      </c>
      <c r="F177" s="129" t="n">
        <f aca="false">Scoring!B183</f>
        <v>0</v>
      </c>
      <c r="G177" s="129" t="n">
        <f aca="false">Scoring!D183</f>
        <v>0</v>
      </c>
      <c r="H177" s="129" t="str">
        <f aca="false">Scoring!AV183</f>
        <v/>
      </c>
      <c r="I177" s="131" t="str">
        <f aca="false">Scoring!AU183</f>
        <v/>
      </c>
    </row>
    <row r="178" customFormat="false" ht="15.75" hidden="false" customHeight="false" outlineLevel="0" collapsed="false">
      <c r="A178" s="129" t="str">
        <f aca="false">Scoring!AX184</f>
        <v/>
      </c>
      <c r="B178" s="129" t="str">
        <f aca="false">Scoring!AW184</f>
        <v/>
      </c>
      <c r="C178" s="129" t="n">
        <f aca="false">Scoring!C184</f>
        <v>0</v>
      </c>
      <c r="D178" s="130" t="str">
        <f aca="false">Scoring!AT184</f>
        <v/>
      </c>
      <c r="E178" s="129" t="str">
        <f aca="false">Scoring!Z184</f>
        <v/>
      </c>
      <c r="F178" s="129" t="n">
        <f aca="false">Scoring!B184</f>
        <v>0</v>
      </c>
      <c r="G178" s="129" t="n">
        <f aca="false">Scoring!D184</f>
        <v>0</v>
      </c>
      <c r="H178" s="129" t="str">
        <f aca="false">Scoring!AV184</f>
        <v/>
      </c>
      <c r="I178" s="131" t="str">
        <f aca="false">Scoring!AU184</f>
        <v/>
      </c>
    </row>
    <row r="179" customFormat="false" ht="15.75" hidden="false" customHeight="false" outlineLevel="0" collapsed="false">
      <c r="A179" s="129" t="str">
        <f aca="false">Scoring!AX185</f>
        <v/>
      </c>
      <c r="B179" s="129" t="str">
        <f aca="false">Scoring!AW185</f>
        <v/>
      </c>
      <c r="C179" s="129" t="n">
        <f aca="false">Scoring!C185</f>
        <v>0</v>
      </c>
      <c r="D179" s="130" t="str">
        <f aca="false">Scoring!AT185</f>
        <v/>
      </c>
      <c r="E179" s="129" t="str">
        <f aca="false">Scoring!Z185</f>
        <v/>
      </c>
      <c r="F179" s="129" t="n">
        <f aca="false">Scoring!B185</f>
        <v>0</v>
      </c>
      <c r="G179" s="129" t="n">
        <f aca="false">Scoring!D185</f>
        <v>0</v>
      </c>
      <c r="H179" s="129" t="str">
        <f aca="false">Scoring!AV185</f>
        <v/>
      </c>
      <c r="I179" s="131" t="str">
        <f aca="false">Scoring!AU185</f>
        <v/>
      </c>
    </row>
    <row r="180" customFormat="false" ht="15.75" hidden="false" customHeight="false" outlineLevel="0" collapsed="false">
      <c r="A180" s="129" t="str">
        <f aca="false">Scoring!AX186</f>
        <v/>
      </c>
      <c r="B180" s="129" t="str">
        <f aca="false">Scoring!AW186</f>
        <v/>
      </c>
      <c r="C180" s="129" t="n">
        <f aca="false">Scoring!C186</f>
        <v>0</v>
      </c>
      <c r="D180" s="130" t="str">
        <f aca="false">Scoring!AT186</f>
        <v/>
      </c>
      <c r="E180" s="129" t="str">
        <f aca="false">Scoring!Z186</f>
        <v/>
      </c>
      <c r="F180" s="129" t="n">
        <f aca="false">Scoring!B186</f>
        <v>0</v>
      </c>
      <c r="G180" s="129" t="n">
        <f aca="false">Scoring!D186</f>
        <v>0</v>
      </c>
      <c r="H180" s="129" t="str">
        <f aca="false">Scoring!AV186</f>
        <v/>
      </c>
      <c r="I180" s="131" t="str">
        <f aca="false">Scoring!AU186</f>
        <v/>
      </c>
    </row>
    <row r="181" customFormat="false" ht="15.75" hidden="false" customHeight="false" outlineLevel="0" collapsed="false">
      <c r="A181" s="129" t="str">
        <f aca="false">Scoring!AX187</f>
        <v/>
      </c>
      <c r="B181" s="129" t="str">
        <f aca="false">Scoring!AW187</f>
        <v/>
      </c>
      <c r="C181" s="129" t="n">
        <f aca="false">Scoring!C187</f>
        <v>0</v>
      </c>
      <c r="D181" s="130" t="str">
        <f aca="false">Scoring!AT187</f>
        <v/>
      </c>
      <c r="E181" s="129" t="str">
        <f aca="false">Scoring!Z187</f>
        <v/>
      </c>
      <c r="F181" s="129" t="n">
        <f aca="false">Scoring!B187</f>
        <v>0</v>
      </c>
      <c r="G181" s="129" t="n">
        <f aca="false">Scoring!D187</f>
        <v>0</v>
      </c>
      <c r="H181" s="129" t="str">
        <f aca="false">Scoring!AV187</f>
        <v/>
      </c>
      <c r="I181" s="131" t="str">
        <f aca="false">Scoring!AU187</f>
        <v/>
      </c>
    </row>
    <row r="182" customFormat="false" ht="15.75" hidden="false" customHeight="false" outlineLevel="0" collapsed="false">
      <c r="A182" s="129" t="str">
        <f aca="false">Scoring!AX188</f>
        <v/>
      </c>
      <c r="B182" s="129" t="str">
        <f aca="false">Scoring!AW188</f>
        <v/>
      </c>
      <c r="C182" s="129" t="n">
        <f aca="false">Scoring!C188</f>
        <v>0</v>
      </c>
      <c r="D182" s="130" t="str">
        <f aca="false">Scoring!AT188</f>
        <v/>
      </c>
      <c r="E182" s="129" t="str">
        <f aca="false">Scoring!Z188</f>
        <v/>
      </c>
      <c r="F182" s="129" t="n">
        <f aca="false">Scoring!B188</f>
        <v>0</v>
      </c>
      <c r="G182" s="129" t="n">
        <f aca="false">Scoring!D188</f>
        <v>0</v>
      </c>
      <c r="H182" s="129" t="str">
        <f aca="false">Scoring!AV188</f>
        <v/>
      </c>
      <c r="I182" s="131" t="str">
        <f aca="false">Scoring!AU188</f>
        <v/>
      </c>
    </row>
    <row r="183" customFormat="false" ht="15.75" hidden="false" customHeight="false" outlineLevel="0" collapsed="false">
      <c r="A183" s="129" t="str">
        <f aca="false">Scoring!AX189</f>
        <v/>
      </c>
      <c r="B183" s="129" t="str">
        <f aca="false">Scoring!AW189</f>
        <v/>
      </c>
      <c r="C183" s="129" t="n">
        <f aca="false">Scoring!C189</f>
        <v>0</v>
      </c>
      <c r="D183" s="130" t="str">
        <f aca="false">Scoring!AT189</f>
        <v/>
      </c>
      <c r="E183" s="129" t="str">
        <f aca="false">Scoring!Z189</f>
        <v/>
      </c>
      <c r="F183" s="129" t="n">
        <f aca="false">Scoring!B189</f>
        <v>0</v>
      </c>
      <c r="G183" s="129" t="n">
        <f aca="false">Scoring!D189</f>
        <v>0</v>
      </c>
      <c r="H183" s="129" t="str">
        <f aca="false">Scoring!AV189</f>
        <v/>
      </c>
      <c r="I183" s="131" t="str">
        <f aca="false">Scoring!AU189</f>
        <v/>
      </c>
    </row>
    <row r="184" customFormat="false" ht="15.75" hidden="false" customHeight="false" outlineLevel="0" collapsed="false">
      <c r="A184" s="129" t="str">
        <f aca="false">Scoring!AX190</f>
        <v/>
      </c>
      <c r="B184" s="129" t="str">
        <f aca="false">Scoring!AW190</f>
        <v/>
      </c>
      <c r="C184" s="129" t="n">
        <f aca="false">Scoring!C190</f>
        <v>0</v>
      </c>
      <c r="D184" s="130" t="str">
        <f aca="false">Scoring!AT190</f>
        <v/>
      </c>
      <c r="E184" s="129" t="str">
        <f aca="false">Scoring!Z190</f>
        <v/>
      </c>
      <c r="F184" s="129" t="n">
        <f aca="false">Scoring!B190</f>
        <v>0</v>
      </c>
      <c r="G184" s="129" t="n">
        <f aca="false">Scoring!D190</f>
        <v>0</v>
      </c>
      <c r="H184" s="129" t="str">
        <f aca="false">Scoring!AV190</f>
        <v/>
      </c>
      <c r="I184" s="131" t="str">
        <f aca="false">Scoring!AU190</f>
        <v/>
      </c>
    </row>
    <row r="185" customFormat="false" ht="15.75" hidden="false" customHeight="false" outlineLevel="0" collapsed="false">
      <c r="A185" s="129" t="str">
        <f aca="false">Scoring!AX191</f>
        <v/>
      </c>
      <c r="B185" s="129" t="str">
        <f aca="false">Scoring!AW191</f>
        <v/>
      </c>
      <c r="C185" s="129" t="n">
        <f aca="false">Scoring!C191</f>
        <v>0</v>
      </c>
      <c r="D185" s="130" t="str">
        <f aca="false">Scoring!AT191</f>
        <v/>
      </c>
      <c r="E185" s="129" t="str">
        <f aca="false">Scoring!Z191</f>
        <v/>
      </c>
      <c r="F185" s="129" t="n">
        <f aca="false">Scoring!B191</f>
        <v>0</v>
      </c>
      <c r="G185" s="129" t="n">
        <f aca="false">Scoring!D191</f>
        <v>0</v>
      </c>
      <c r="H185" s="129" t="str">
        <f aca="false">Scoring!AV191</f>
        <v/>
      </c>
      <c r="I185" s="131" t="str">
        <f aca="false">Scoring!AU191</f>
        <v/>
      </c>
    </row>
    <row r="186" customFormat="false" ht="15.75" hidden="false" customHeight="false" outlineLevel="0" collapsed="false">
      <c r="A186" s="129" t="str">
        <f aca="false">Scoring!AX192</f>
        <v/>
      </c>
      <c r="B186" s="129" t="str">
        <f aca="false">Scoring!AW192</f>
        <v/>
      </c>
      <c r="C186" s="129" t="n">
        <f aca="false">Scoring!C192</f>
        <v>0</v>
      </c>
      <c r="D186" s="130" t="str">
        <f aca="false">Scoring!AT192</f>
        <v/>
      </c>
      <c r="E186" s="129" t="str">
        <f aca="false">Scoring!Z192</f>
        <v/>
      </c>
      <c r="F186" s="129" t="n">
        <f aca="false">Scoring!B192</f>
        <v>0</v>
      </c>
      <c r="G186" s="129" t="n">
        <f aca="false">Scoring!D192</f>
        <v>0</v>
      </c>
      <c r="H186" s="129" t="str">
        <f aca="false">Scoring!AV192</f>
        <v/>
      </c>
      <c r="I186" s="131" t="str">
        <f aca="false">Scoring!AU192</f>
        <v/>
      </c>
    </row>
    <row r="187" customFormat="false" ht="15.75" hidden="false" customHeight="false" outlineLevel="0" collapsed="false">
      <c r="A187" s="129" t="str">
        <f aca="false">Scoring!AX193</f>
        <v/>
      </c>
      <c r="B187" s="129" t="str">
        <f aca="false">Scoring!AW193</f>
        <v/>
      </c>
      <c r="C187" s="129" t="n">
        <f aca="false">Scoring!C193</f>
        <v>0</v>
      </c>
      <c r="D187" s="130" t="str">
        <f aca="false">Scoring!AT193</f>
        <v/>
      </c>
      <c r="E187" s="129" t="str">
        <f aca="false">Scoring!Z193</f>
        <v/>
      </c>
      <c r="F187" s="129" t="n">
        <f aca="false">Scoring!B193</f>
        <v>0</v>
      </c>
      <c r="G187" s="129" t="n">
        <f aca="false">Scoring!D193</f>
        <v>0</v>
      </c>
      <c r="H187" s="129" t="str">
        <f aca="false">Scoring!AV193</f>
        <v/>
      </c>
      <c r="I187" s="131" t="str">
        <f aca="false">Scoring!AU193</f>
        <v/>
      </c>
    </row>
    <row r="188" customFormat="false" ht="15.75" hidden="false" customHeight="false" outlineLevel="0" collapsed="false">
      <c r="A188" s="129" t="str">
        <f aca="false">Scoring!AX194</f>
        <v/>
      </c>
      <c r="B188" s="129" t="str">
        <f aca="false">Scoring!AW194</f>
        <v/>
      </c>
      <c r="C188" s="129" t="n">
        <f aca="false">Scoring!C194</f>
        <v>0</v>
      </c>
      <c r="D188" s="130" t="str">
        <f aca="false">Scoring!AT194</f>
        <v/>
      </c>
      <c r="E188" s="129" t="str">
        <f aca="false">Scoring!Z194</f>
        <v/>
      </c>
      <c r="F188" s="129" t="n">
        <f aca="false">Scoring!B194</f>
        <v>0</v>
      </c>
      <c r="G188" s="129" t="n">
        <f aca="false">Scoring!D194</f>
        <v>0</v>
      </c>
      <c r="H188" s="129" t="str">
        <f aca="false">Scoring!AV194</f>
        <v/>
      </c>
      <c r="I188" s="131" t="str">
        <f aca="false">Scoring!AU194</f>
        <v/>
      </c>
    </row>
    <row r="189" customFormat="false" ht="15.75" hidden="false" customHeight="false" outlineLevel="0" collapsed="false">
      <c r="A189" s="129" t="str">
        <f aca="false">Scoring!AX195</f>
        <v/>
      </c>
      <c r="B189" s="129" t="str">
        <f aca="false">Scoring!AW195</f>
        <v/>
      </c>
      <c r="C189" s="129" t="n">
        <f aca="false">Scoring!C195</f>
        <v>0</v>
      </c>
      <c r="D189" s="130" t="str">
        <f aca="false">Scoring!AT195</f>
        <v/>
      </c>
      <c r="E189" s="129" t="str">
        <f aca="false">Scoring!Z195</f>
        <v/>
      </c>
      <c r="F189" s="129" t="n">
        <f aca="false">Scoring!B195</f>
        <v>0</v>
      </c>
      <c r="G189" s="129" t="n">
        <f aca="false">Scoring!D195</f>
        <v>0</v>
      </c>
      <c r="H189" s="129" t="str">
        <f aca="false">Scoring!AV195</f>
        <v/>
      </c>
      <c r="I189" s="131" t="str">
        <f aca="false">Scoring!AU195</f>
        <v/>
      </c>
    </row>
    <row r="190" customFormat="false" ht="15.75" hidden="false" customHeight="false" outlineLevel="0" collapsed="false">
      <c r="A190" s="129" t="str">
        <f aca="false">Scoring!AX196</f>
        <v/>
      </c>
      <c r="B190" s="129" t="str">
        <f aca="false">Scoring!AW196</f>
        <v/>
      </c>
      <c r="C190" s="129" t="n">
        <f aca="false">Scoring!C196</f>
        <v>0</v>
      </c>
      <c r="D190" s="130" t="str">
        <f aca="false">Scoring!AT196</f>
        <v/>
      </c>
      <c r="E190" s="129" t="str">
        <f aca="false">Scoring!Z196</f>
        <v/>
      </c>
      <c r="F190" s="129" t="n">
        <f aca="false">Scoring!B196</f>
        <v>0</v>
      </c>
      <c r="G190" s="129" t="n">
        <f aca="false">Scoring!D196</f>
        <v>0</v>
      </c>
      <c r="H190" s="129" t="str">
        <f aca="false">Scoring!AV196</f>
        <v/>
      </c>
      <c r="I190" s="131" t="str">
        <f aca="false">Scoring!AU196</f>
        <v/>
      </c>
    </row>
    <row r="191" customFormat="false" ht="15.75" hidden="false" customHeight="false" outlineLevel="0" collapsed="false">
      <c r="A191" s="129" t="str">
        <f aca="false">Scoring!AX197</f>
        <v/>
      </c>
      <c r="B191" s="129" t="str">
        <f aca="false">Scoring!AW197</f>
        <v/>
      </c>
      <c r="C191" s="129" t="n">
        <f aca="false">Scoring!C197</f>
        <v>0</v>
      </c>
      <c r="D191" s="130" t="str">
        <f aca="false">Scoring!AT197</f>
        <v/>
      </c>
      <c r="E191" s="129" t="str">
        <f aca="false">Scoring!Z197</f>
        <v/>
      </c>
      <c r="F191" s="129" t="n">
        <f aca="false">Scoring!B197</f>
        <v>0</v>
      </c>
      <c r="G191" s="129" t="n">
        <f aca="false">Scoring!D197</f>
        <v>0</v>
      </c>
      <c r="H191" s="129" t="str">
        <f aca="false">Scoring!AV197</f>
        <v/>
      </c>
      <c r="I191" s="131" t="str">
        <f aca="false">Scoring!AU197</f>
        <v/>
      </c>
    </row>
    <row r="192" customFormat="false" ht="15.75" hidden="false" customHeight="false" outlineLevel="0" collapsed="false">
      <c r="A192" s="129" t="str">
        <f aca="false">Scoring!AX198</f>
        <v/>
      </c>
      <c r="B192" s="129" t="str">
        <f aca="false">Scoring!AW198</f>
        <v/>
      </c>
      <c r="C192" s="129" t="n">
        <f aca="false">Scoring!C198</f>
        <v>0</v>
      </c>
      <c r="D192" s="130" t="str">
        <f aca="false">Scoring!AT198</f>
        <v/>
      </c>
      <c r="E192" s="129" t="str">
        <f aca="false">Scoring!Z198</f>
        <v/>
      </c>
      <c r="F192" s="129" t="n">
        <f aca="false">Scoring!B198</f>
        <v>0</v>
      </c>
      <c r="G192" s="129" t="n">
        <f aca="false">Scoring!D198</f>
        <v>0</v>
      </c>
      <c r="H192" s="129" t="str">
        <f aca="false">Scoring!AV198</f>
        <v/>
      </c>
      <c r="I192" s="131" t="str">
        <f aca="false">Scoring!AU198</f>
        <v/>
      </c>
    </row>
    <row r="193" customFormat="false" ht="15.75" hidden="false" customHeight="false" outlineLevel="0" collapsed="false">
      <c r="A193" s="129" t="str">
        <f aca="false">Scoring!AX199</f>
        <v/>
      </c>
      <c r="B193" s="129" t="str">
        <f aca="false">Scoring!AW199</f>
        <v/>
      </c>
      <c r="C193" s="129" t="n">
        <f aca="false">Scoring!C199</f>
        <v>0</v>
      </c>
      <c r="D193" s="130" t="str">
        <f aca="false">Scoring!AT199</f>
        <v/>
      </c>
      <c r="E193" s="129" t="str">
        <f aca="false">Scoring!Z199</f>
        <v/>
      </c>
      <c r="F193" s="129" t="n">
        <f aca="false">Scoring!B199</f>
        <v>0</v>
      </c>
      <c r="G193" s="129" t="n">
        <f aca="false">Scoring!D199</f>
        <v>0</v>
      </c>
      <c r="H193" s="129" t="str">
        <f aca="false">Scoring!AV199</f>
        <v/>
      </c>
      <c r="I193" s="131" t="str">
        <f aca="false">Scoring!AU199</f>
        <v/>
      </c>
    </row>
    <row r="194" customFormat="false" ht="15.75" hidden="false" customHeight="false" outlineLevel="0" collapsed="false">
      <c r="A194" s="129" t="str">
        <f aca="false">Scoring!AX200</f>
        <v/>
      </c>
      <c r="B194" s="129" t="str">
        <f aca="false">Scoring!AW200</f>
        <v/>
      </c>
      <c r="C194" s="129" t="n">
        <f aca="false">Scoring!C200</f>
        <v>0</v>
      </c>
      <c r="D194" s="130" t="str">
        <f aca="false">Scoring!AT200</f>
        <v/>
      </c>
      <c r="E194" s="129" t="str">
        <f aca="false">Scoring!Z200</f>
        <v/>
      </c>
      <c r="F194" s="129" t="n">
        <f aca="false">Scoring!B200</f>
        <v>0</v>
      </c>
      <c r="G194" s="129" t="n">
        <f aca="false">Scoring!D200</f>
        <v>0</v>
      </c>
      <c r="H194" s="129" t="str">
        <f aca="false">Scoring!AV200</f>
        <v/>
      </c>
      <c r="I194" s="131" t="str">
        <f aca="false">Scoring!AU200</f>
        <v/>
      </c>
    </row>
    <row r="195" customFormat="false" ht="15.75" hidden="false" customHeight="false" outlineLevel="0" collapsed="false">
      <c r="A195" s="129" t="str">
        <f aca="false">Scoring!AX201</f>
        <v/>
      </c>
      <c r="B195" s="129" t="str">
        <f aca="false">Scoring!AW201</f>
        <v/>
      </c>
      <c r="C195" s="129" t="n">
        <f aca="false">Scoring!C201</f>
        <v>0</v>
      </c>
      <c r="D195" s="130" t="str">
        <f aca="false">Scoring!AT201</f>
        <v/>
      </c>
      <c r="E195" s="129" t="str">
        <f aca="false">Scoring!Z201</f>
        <v/>
      </c>
      <c r="F195" s="129" t="n">
        <f aca="false">Scoring!B201</f>
        <v>0</v>
      </c>
      <c r="G195" s="129" t="n">
        <f aca="false">Scoring!D201</f>
        <v>0</v>
      </c>
      <c r="H195" s="129" t="str">
        <f aca="false">Scoring!AV201</f>
        <v/>
      </c>
      <c r="I195" s="131" t="str">
        <f aca="false">Scoring!AU201</f>
        <v/>
      </c>
    </row>
    <row r="196" customFormat="false" ht="15.75" hidden="false" customHeight="false" outlineLevel="0" collapsed="false">
      <c r="A196" s="129" t="str">
        <f aca="false">Scoring!AX202</f>
        <v/>
      </c>
      <c r="B196" s="129" t="str">
        <f aca="false">Scoring!AW202</f>
        <v/>
      </c>
      <c r="C196" s="129" t="n">
        <f aca="false">Scoring!C202</f>
        <v>0</v>
      </c>
      <c r="D196" s="130" t="str">
        <f aca="false">Scoring!AT202</f>
        <v/>
      </c>
      <c r="E196" s="129" t="str">
        <f aca="false">Scoring!Z202</f>
        <v/>
      </c>
      <c r="F196" s="129" t="n">
        <f aca="false">Scoring!B202</f>
        <v>0</v>
      </c>
      <c r="G196" s="129" t="n">
        <f aca="false">Scoring!D202</f>
        <v>0</v>
      </c>
      <c r="H196" s="129" t="str">
        <f aca="false">Scoring!AV202</f>
        <v/>
      </c>
      <c r="I196" s="131" t="str">
        <f aca="false">Scoring!AU202</f>
        <v/>
      </c>
    </row>
    <row r="197" customFormat="false" ht="15.75" hidden="false" customHeight="false" outlineLevel="0" collapsed="false">
      <c r="A197" s="129" t="str">
        <f aca="false">Scoring!AX203</f>
        <v/>
      </c>
      <c r="B197" s="129" t="str">
        <f aca="false">Scoring!AW203</f>
        <v/>
      </c>
      <c r="C197" s="129" t="n">
        <f aca="false">Scoring!C203</f>
        <v>0</v>
      </c>
      <c r="D197" s="130" t="str">
        <f aca="false">Scoring!AT203</f>
        <v/>
      </c>
      <c r="E197" s="129" t="str">
        <f aca="false">Scoring!Z203</f>
        <v/>
      </c>
      <c r="F197" s="129" t="n">
        <f aca="false">Scoring!B203</f>
        <v>0</v>
      </c>
      <c r="G197" s="129" t="n">
        <f aca="false">Scoring!D203</f>
        <v>0</v>
      </c>
      <c r="H197" s="129" t="str">
        <f aca="false">Scoring!AV203</f>
        <v/>
      </c>
      <c r="I197" s="131" t="str">
        <f aca="false">Scoring!AU203</f>
        <v/>
      </c>
    </row>
    <row r="198" customFormat="false" ht="15.75" hidden="false" customHeight="false" outlineLevel="0" collapsed="false">
      <c r="A198" s="129" t="str">
        <f aca="false">Scoring!AX204</f>
        <v/>
      </c>
      <c r="B198" s="129" t="str">
        <f aca="false">Scoring!AW204</f>
        <v/>
      </c>
      <c r="C198" s="129" t="n">
        <f aca="false">Scoring!C204</f>
        <v>0</v>
      </c>
      <c r="D198" s="130" t="str">
        <f aca="false">Scoring!AT204</f>
        <v/>
      </c>
      <c r="E198" s="129" t="str">
        <f aca="false">Scoring!Z204</f>
        <v/>
      </c>
      <c r="F198" s="129" t="n">
        <f aca="false">Scoring!B204</f>
        <v>0</v>
      </c>
      <c r="G198" s="129" t="n">
        <f aca="false">Scoring!D204</f>
        <v>0</v>
      </c>
      <c r="H198" s="129" t="str">
        <f aca="false">Scoring!AV204</f>
        <v/>
      </c>
      <c r="I198" s="131" t="str">
        <f aca="false">Scoring!AU204</f>
        <v/>
      </c>
    </row>
    <row r="199" customFormat="false" ht="15.75" hidden="false" customHeight="false" outlineLevel="0" collapsed="false">
      <c r="A199" s="129" t="str">
        <f aca="false">Scoring!AX205</f>
        <v/>
      </c>
      <c r="B199" s="129" t="str">
        <f aca="false">Scoring!AW205</f>
        <v/>
      </c>
      <c r="C199" s="129" t="n">
        <f aca="false">Scoring!C205</f>
        <v>0</v>
      </c>
      <c r="D199" s="130" t="str">
        <f aca="false">Scoring!AT205</f>
        <v/>
      </c>
      <c r="E199" s="129" t="str">
        <f aca="false">Scoring!Z205</f>
        <v/>
      </c>
      <c r="F199" s="129" t="n">
        <f aca="false">Scoring!B205</f>
        <v>0</v>
      </c>
      <c r="G199" s="129" t="n">
        <f aca="false">Scoring!D205</f>
        <v>0</v>
      </c>
      <c r="H199" s="129" t="str">
        <f aca="false">Scoring!AV205</f>
        <v/>
      </c>
      <c r="I199" s="131" t="str">
        <f aca="false">Scoring!AU205</f>
        <v/>
      </c>
    </row>
    <row r="200" customFormat="false" ht="15.75" hidden="false" customHeight="false" outlineLevel="0" collapsed="false">
      <c r="A200" s="129" t="str">
        <f aca="false">Scoring!AX206</f>
        <v/>
      </c>
      <c r="B200" s="129" t="str">
        <f aca="false">Scoring!AW206</f>
        <v/>
      </c>
      <c r="C200" s="129" t="n">
        <f aca="false">Scoring!C206</f>
        <v>0</v>
      </c>
      <c r="D200" s="130" t="str">
        <f aca="false">Scoring!AT206</f>
        <v/>
      </c>
      <c r="E200" s="129" t="str">
        <f aca="false">Scoring!Z206</f>
        <v/>
      </c>
      <c r="F200" s="129" t="n">
        <f aca="false">Scoring!B206</f>
        <v>0</v>
      </c>
      <c r="G200" s="129" t="n">
        <f aca="false">Scoring!D206</f>
        <v>0</v>
      </c>
      <c r="H200" s="129" t="str">
        <f aca="false">Scoring!AV206</f>
        <v/>
      </c>
      <c r="I200" s="131" t="str">
        <f aca="false">Scoring!AU206</f>
        <v/>
      </c>
    </row>
    <row r="201" customFormat="false" ht="15.75" hidden="false" customHeight="false" outlineLevel="0" collapsed="false">
      <c r="A201" s="129" t="str">
        <f aca="false">Scoring!AX207</f>
        <v/>
      </c>
      <c r="B201" s="129" t="str">
        <f aca="false">Scoring!AW207</f>
        <v/>
      </c>
      <c r="C201" s="129" t="n">
        <f aca="false">Scoring!C207</f>
        <v>0</v>
      </c>
      <c r="D201" s="130" t="str">
        <f aca="false">Scoring!AT207</f>
        <v/>
      </c>
      <c r="E201" s="129" t="str">
        <f aca="false">Scoring!Z207</f>
        <v/>
      </c>
      <c r="F201" s="129" t="n">
        <f aca="false">Scoring!B207</f>
        <v>0</v>
      </c>
      <c r="G201" s="129" t="n">
        <f aca="false">Scoring!D207</f>
        <v>0</v>
      </c>
      <c r="H201" s="129" t="str">
        <f aca="false">Scoring!AV207</f>
        <v/>
      </c>
      <c r="I201" s="131" t="str">
        <f aca="false">Scoring!AU207</f>
        <v/>
      </c>
    </row>
    <row r="202" customFormat="false" ht="15.75" hidden="false" customHeight="false" outlineLevel="0" collapsed="false">
      <c r="A202" s="129" t="str">
        <f aca="false">Scoring!AX208</f>
        <v/>
      </c>
      <c r="B202" s="129" t="str">
        <f aca="false">Scoring!AW208</f>
        <v/>
      </c>
      <c r="C202" s="129" t="n">
        <f aca="false">Scoring!C208</f>
        <v>0</v>
      </c>
      <c r="D202" s="130" t="str">
        <f aca="false">Scoring!AT208</f>
        <v/>
      </c>
      <c r="E202" s="129" t="str">
        <f aca="false">Scoring!Z208</f>
        <v/>
      </c>
      <c r="F202" s="129" t="n">
        <f aca="false">Scoring!B208</f>
        <v>0</v>
      </c>
      <c r="G202" s="129" t="n">
        <f aca="false">Scoring!D208</f>
        <v>0</v>
      </c>
      <c r="H202" s="129" t="str">
        <f aca="false">Scoring!AV208</f>
        <v/>
      </c>
      <c r="I202" s="131" t="str">
        <f aca="false">Scoring!AU208</f>
        <v/>
      </c>
    </row>
    <row r="203" customFormat="false" ht="15.75" hidden="false" customHeight="false" outlineLevel="0" collapsed="false">
      <c r="A203" s="129" t="str">
        <f aca="false">Scoring!AX209</f>
        <v/>
      </c>
      <c r="B203" s="129" t="str">
        <f aca="false">Scoring!AW209</f>
        <v/>
      </c>
      <c r="C203" s="129" t="n">
        <f aca="false">Scoring!C209</f>
        <v>0</v>
      </c>
      <c r="D203" s="130" t="str">
        <f aca="false">Scoring!AT209</f>
        <v/>
      </c>
      <c r="E203" s="129" t="str">
        <f aca="false">Scoring!Z209</f>
        <v/>
      </c>
      <c r="F203" s="129" t="n">
        <f aca="false">Scoring!B209</f>
        <v>0</v>
      </c>
      <c r="G203" s="129" t="n">
        <f aca="false">Scoring!D209</f>
        <v>0</v>
      </c>
      <c r="H203" s="129" t="str">
        <f aca="false">Scoring!AV209</f>
        <v/>
      </c>
      <c r="I203" s="131" t="str">
        <f aca="false">Scoring!AU209</f>
        <v/>
      </c>
    </row>
    <row r="204" customFormat="false" ht="15.75" hidden="false" customHeight="false" outlineLevel="0" collapsed="false">
      <c r="A204" s="129" t="str">
        <f aca="false">Scoring!AX210</f>
        <v/>
      </c>
      <c r="B204" s="129" t="str">
        <f aca="false">Scoring!AW210</f>
        <v/>
      </c>
      <c r="C204" s="129" t="n">
        <f aca="false">Scoring!C210</f>
        <v>0</v>
      </c>
      <c r="D204" s="130" t="str">
        <f aca="false">Scoring!AT210</f>
        <v/>
      </c>
      <c r="E204" s="129" t="str">
        <f aca="false">Scoring!Z210</f>
        <v/>
      </c>
      <c r="F204" s="129" t="n">
        <f aca="false">Scoring!B210</f>
        <v>0</v>
      </c>
      <c r="G204" s="129" t="n">
        <f aca="false">Scoring!D210</f>
        <v>0</v>
      </c>
      <c r="H204" s="129" t="str">
        <f aca="false">Scoring!AV210</f>
        <v/>
      </c>
      <c r="I204" s="131" t="str">
        <f aca="false">Scoring!AU210</f>
        <v/>
      </c>
    </row>
    <row r="205" customFormat="false" ht="15.75" hidden="false" customHeight="false" outlineLevel="0" collapsed="false">
      <c r="A205" s="129" t="str">
        <f aca="false">Scoring!AX211</f>
        <v/>
      </c>
      <c r="B205" s="129" t="str">
        <f aca="false">Scoring!AW211</f>
        <v/>
      </c>
      <c r="C205" s="129" t="n">
        <f aca="false">Scoring!C211</f>
        <v>0</v>
      </c>
      <c r="D205" s="130" t="str">
        <f aca="false">Scoring!AT211</f>
        <v/>
      </c>
      <c r="E205" s="129" t="str">
        <f aca="false">Scoring!Z211</f>
        <v/>
      </c>
      <c r="F205" s="129" t="n">
        <f aca="false">Scoring!B211</f>
        <v>0</v>
      </c>
      <c r="G205" s="129" t="n">
        <f aca="false">Scoring!D211</f>
        <v>0</v>
      </c>
      <c r="H205" s="129" t="str">
        <f aca="false">Scoring!AV211</f>
        <v/>
      </c>
      <c r="I205" s="131" t="str">
        <f aca="false">Scoring!AU211</f>
        <v/>
      </c>
    </row>
    <row r="206" customFormat="false" ht="15.75" hidden="false" customHeight="false" outlineLevel="0" collapsed="false">
      <c r="A206" s="129" t="str">
        <f aca="false">Scoring!AX212</f>
        <v/>
      </c>
      <c r="B206" s="129" t="str">
        <f aca="false">Scoring!AW212</f>
        <v/>
      </c>
      <c r="C206" s="129" t="n">
        <f aca="false">Scoring!C212</f>
        <v>0</v>
      </c>
      <c r="D206" s="130" t="str">
        <f aca="false">Scoring!AT212</f>
        <v/>
      </c>
      <c r="E206" s="129" t="str">
        <f aca="false">Scoring!Z212</f>
        <v/>
      </c>
      <c r="F206" s="129" t="n">
        <f aca="false">Scoring!B212</f>
        <v>0</v>
      </c>
      <c r="G206" s="129" t="n">
        <f aca="false">Scoring!D212</f>
        <v>0</v>
      </c>
      <c r="H206" s="129" t="str">
        <f aca="false">Scoring!AV212</f>
        <v/>
      </c>
      <c r="I206" s="131" t="str">
        <f aca="false">Scoring!AU212</f>
        <v/>
      </c>
    </row>
    <row r="207" customFormat="false" ht="15.75" hidden="false" customHeight="false" outlineLevel="0" collapsed="false">
      <c r="A207" s="129" t="str">
        <f aca="false">Scoring!AX213</f>
        <v/>
      </c>
      <c r="B207" s="129" t="str">
        <f aca="false">Scoring!AW213</f>
        <v/>
      </c>
      <c r="C207" s="129" t="n">
        <f aca="false">Scoring!C213</f>
        <v>0</v>
      </c>
      <c r="D207" s="130" t="str">
        <f aca="false">Scoring!AT213</f>
        <v/>
      </c>
      <c r="E207" s="129" t="str">
        <f aca="false">Scoring!Z213</f>
        <v/>
      </c>
      <c r="F207" s="129" t="n">
        <f aca="false">Scoring!B213</f>
        <v>0</v>
      </c>
      <c r="G207" s="129" t="n">
        <f aca="false">Scoring!D213</f>
        <v>0</v>
      </c>
      <c r="H207" s="129" t="str">
        <f aca="false">Scoring!AV213</f>
        <v/>
      </c>
      <c r="I207" s="131" t="str">
        <f aca="false">Scoring!AU213</f>
        <v/>
      </c>
    </row>
    <row r="208" customFormat="false" ht="15.75" hidden="false" customHeight="false" outlineLevel="0" collapsed="false">
      <c r="A208" s="129" t="str">
        <f aca="false">Scoring!AX214</f>
        <v/>
      </c>
      <c r="B208" s="129" t="str">
        <f aca="false">Scoring!AW214</f>
        <v/>
      </c>
      <c r="C208" s="129" t="n">
        <f aca="false">Scoring!C214</f>
        <v>0</v>
      </c>
      <c r="D208" s="130" t="str">
        <f aca="false">Scoring!AT214</f>
        <v/>
      </c>
      <c r="E208" s="129" t="str">
        <f aca="false">Scoring!Z214</f>
        <v/>
      </c>
      <c r="F208" s="129" t="n">
        <f aca="false">Scoring!B214</f>
        <v>0</v>
      </c>
      <c r="G208" s="129" t="n">
        <f aca="false">Scoring!D214</f>
        <v>0</v>
      </c>
      <c r="H208" s="129" t="str">
        <f aca="false">Scoring!AV214</f>
        <v/>
      </c>
      <c r="I208" s="131" t="str">
        <f aca="false">Scoring!AU214</f>
        <v/>
      </c>
    </row>
    <row r="209" customFormat="false" ht="15.75" hidden="false" customHeight="false" outlineLevel="0" collapsed="false">
      <c r="A209" s="129" t="str">
        <f aca="false">Scoring!AX215</f>
        <v/>
      </c>
      <c r="B209" s="129" t="str">
        <f aca="false">Scoring!AW215</f>
        <v/>
      </c>
      <c r="C209" s="129" t="n">
        <f aca="false">Scoring!C215</f>
        <v>0</v>
      </c>
      <c r="D209" s="130" t="str">
        <f aca="false">Scoring!AT215</f>
        <v/>
      </c>
      <c r="E209" s="129" t="str">
        <f aca="false">Scoring!Z215</f>
        <v/>
      </c>
      <c r="F209" s="129" t="n">
        <f aca="false">Scoring!B215</f>
        <v>0</v>
      </c>
      <c r="G209" s="129" t="n">
        <f aca="false">Scoring!D215</f>
        <v>0</v>
      </c>
      <c r="H209" s="129" t="str">
        <f aca="false">Scoring!AV215</f>
        <v/>
      </c>
      <c r="I209" s="131" t="str">
        <f aca="false">Scoring!AU215</f>
        <v/>
      </c>
    </row>
    <row r="210" customFormat="false" ht="15.75" hidden="false" customHeight="false" outlineLevel="0" collapsed="false">
      <c r="A210" s="129" t="str">
        <f aca="false">Scoring!AX216</f>
        <v/>
      </c>
      <c r="B210" s="129" t="str">
        <f aca="false">Scoring!AW216</f>
        <v/>
      </c>
      <c r="C210" s="129" t="n">
        <f aca="false">Scoring!C216</f>
        <v>0</v>
      </c>
      <c r="D210" s="130" t="str">
        <f aca="false">Scoring!AT216</f>
        <v/>
      </c>
      <c r="E210" s="129" t="str">
        <f aca="false">Scoring!Z216</f>
        <v/>
      </c>
      <c r="F210" s="129" t="n">
        <f aca="false">Scoring!B216</f>
        <v>0</v>
      </c>
      <c r="G210" s="129" t="n">
        <f aca="false">Scoring!D216</f>
        <v>0</v>
      </c>
      <c r="H210" s="129" t="str">
        <f aca="false">Scoring!AV216</f>
        <v/>
      </c>
      <c r="I210" s="131" t="str">
        <f aca="false">Scoring!AU216</f>
        <v/>
      </c>
    </row>
    <row r="211" customFormat="false" ht="15.75" hidden="false" customHeight="false" outlineLevel="0" collapsed="false">
      <c r="A211" s="129" t="str">
        <f aca="false">Scoring!AX217</f>
        <v/>
      </c>
      <c r="B211" s="129" t="str">
        <f aca="false">Scoring!AW217</f>
        <v/>
      </c>
      <c r="C211" s="129" t="n">
        <f aca="false">Scoring!C217</f>
        <v>0</v>
      </c>
      <c r="D211" s="130" t="str">
        <f aca="false">Scoring!AT217</f>
        <v/>
      </c>
      <c r="E211" s="129" t="str">
        <f aca="false">Scoring!Z217</f>
        <v/>
      </c>
      <c r="F211" s="129" t="n">
        <f aca="false">Scoring!B217</f>
        <v>0</v>
      </c>
      <c r="G211" s="129" t="n">
        <f aca="false">Scoring!D217</f>
        <v>0</v>
      </c>
      <c r="H211" s="129" t="str">
        <f aca="false">Scoring!AV217</f>
        <v/>
      </c>
      <c r="I211" s="131" t="str">
        <f aca="false">Scoring!AU217</f>
        <v/>
      </c>
    </row>
    <row r="212" customFormat="false" ht="15.75" hidden="false" customHeight="false" outlineLevel="0" collapsed="false">
      <c r="A212" s="129" t="str">
        <f aca="false">Scoring!AX218</f>
        <v/>
      </c>
      <c r="B212" s="129" t="str">
        <f aca="false">Scoring!AW218</f>
        <v/>
      </c>
      <c r="C212" s="129" t="n">
        <f aca="false">Scoring!C218</f>
        <v>0</v>
      </c>
      <c r="D212" s="130" t="str">
        <f aca="false">Scoring!AT218</f>
        <v/>
      </c>
      <c r="E212" s="129" t="str">
        <f aca="false">Scoring!Z218</f>
        <v/>
      </c>
      <c r="F212" s="129" t="n">
        <f aca="false">Scoring!B218</f>
        <v>0</v>
      </c>
      <c r="G212" s="129" t="n">
        <f aca="false">Scoring!D218</f>
        <v>0</v>
      </c>
      <c r="H212" s="129" t="str">
        <f aca="false">Scoring!AV218</f>
        <v/>
      </c>
      <c r="I212" s="131" t="str">
        <f aca="false">Scoring!AU218</f>
        <v/>
      </c>
    </row>
    <row r="213" customFormat="false" ht="15.75" hidden="false" customHeight="false" outlineLevel="0" collapsed="false">
      <c r="A213" s="129" t="str">
        <f aca="false">Scoring!AX219</f>
        <v/>
      </c>
      <c r="B213" s="129" t="str">
        <f aca="false">Scoring!AW219</f>
        <v/>
      </c>
      <c r="C213" s="129" t="n">
        <f aca="false">Scoring!C219</f>
        <v>0</v>
      </c>
      <c r="D213" s="130" t="str">
        <f aca="false">Scoring!AT219</f>
        <v/>
      </c>
      <c r="E213" s="129" t="str">
        <f aca="false">Scoring!Z219</f>
        <v/>
      </c>
      <c r="F213" s="129" t="n">
        <f aca="false">Scoring!B219</f>
        <v>0</v>
      </c>
      <c r="G213" s="129" t="n">
        <f aca="false">Scoring!D219</f>
        <v>0</v>
      </c>
      <c r="H213" s="129" t="str">
        <f aca="false">Scoring!AV219</f>
        <v/>
      </c>
      <c r="I213" s="131" t="str">
        <f aca="false">Scoring!AU219</f>
        <v/>
      </c>
    </row>
    <row r="214" customFormat="false" ht="15.75" hidden="false" customHeight="false" outlineLevel="0" collapsed="false">
      <c r="A214" s="129" t="str">
        <f aca="false">Scoring!AX220</f>
        <v/>
      </c>
      <c r="B214" s="129" t="str">
        <f aca="false">Scoring!AW220</f>
        <v/>
      </c>
      <c r="C214" s="129" t="n">
        <f aca="false">Scoring!C220</f>
        <v>0</v>
      </c>
      <c r="D214" s="130" t="str">
        <f aca="false">Scoring!AT220</f>
        <v/>
      </c>
      <c r="E214" s="129" t="str">
        <f aca="false">Scoring!Z220</f>
        <v/>
      </c>
      <c r="F214" s="129" t="n">
        <f aca="false">Scoring!B220</f>
        <v>0</v>
      </c>
      <c r="G214" s="129" t="n">
        <f aca="false">Scoring!D220</f>
        <v>0</v>
      </c>
      <c r="H214" s="129" t="str">
        <f aca="false">Scoring!AV220</f>
        <v/>
      </c>
      <c r="I214" s="131" t="str">
        <f aca="false">Scoring!AU220</f>
        <v/>
      </c>
    </row>
    <row r="215" customFormat="false" ht="15.75" hidden="false" customHeight="false" outlineLevel="0" collapsed="false">
      <c r="A215" s="129" t="str">
        <f aca="false">Scoring!AX221</f>
        <v/>
      </c>
      <c r="B215" s="129" t="str">
        <f aca="false">Scoring!AW221</f>
        <v/>
      </c>
      <c r="C215" s="129" t="n">
        <f aca="false">Scoring!C221</f>
        <v>0</v>
      </c>
      <c r="D215" s="130" t="str">
        <f aca="false">Scoring!AT221</f>
        <v/>
      </c>
      <c r="E215" s="129" t="str">
        <f aca="false">Scoring!Z221</f>
        <v/>
      </c>
      <c r="F215" s="129" t="n">
        <f aca="false">Scoring!B221</f>
        <v>0</v>
      </c>
      <c r="G215" s="129" t="n">
        <f aca="false">Scoring!D221</f>
        <v>0</v>
      </c>
      <c r="H215" s="129" t="str">
        <f aca="false">Scoring!AV221</f>
        <v/>
      </c>
      <c r="I215" s="131" t="str">
        <f aca="false">Scoring!AU221</f>
        <v/>
      </c>
    </row>
    <row r="216" customFormat="false" ht="15.75" hidden="false" customHeight="false" outlineLevel="0" collapsed="false">
      <c r="A216" s="129" t="str">
        <f aca="false">Scoring!AX222</f>
        <v/>
      </c>
      <c r="B216" s="129" t="str">
        <f aca="false">Scoring!AW222</f>
        <v/>
      </c>
      <c r="C216" s="129" t="n">
        <f aca="false">Scoring!C222</f>
        <v>0</v>
      </c>
      <c r="D216" s="130" t="str">
        <f aca="false">Scoring!AT222</f>
        <v/>
      </c>
      <c r="E216" s="129" t="str">
        <f aca="false">Scoring!Z222</f>
        <v/>
      </c>
      <c r="F216" s="129" t="n">
        <f aca="false">Scoring!B222</f>
        <v>0</v>
      </c>
      <c r="G216" s="129" t="n">
        <f aca="false">Scoring!D222</f>
        <v>0</v>
      </c>
      <c r="H216" s="129" t="str">
        <f aca="false">Scoring!AV222</f>
        <v/>
      </c>
      <c r="I216" s="131" t="str">
        <f aca="false">Scoring!AU222</f>
        <v/>
      </c>
    </row>
    <row r="217" customFormat="false" ht="15.75" hidden="false" customHeight="false" outlineLevel="0" collapsed="false">
      <c r="A217" s="129" t="str">
        <f aca="false">Scoring!AX223</f>
        <v/>
      </c>
      <c r="B217" s="129" t="str">
        <f aca="false">Scoring!AW223</f>
        <v/>
      </c>
      <c r="C217" s="129" t="n">
        <f aca="false">Scoring!C223</f>
        <v>0</v>
      </c>
      <c r="D217" s="130" t="str">
        <f aca="false">Scoring!AT223</f>
        <v/>
      </c>
      <c r="E217" s="129" t="str">
        <f aca="false">Scoring!Z223</f>
        <v/>
      </c>
      <c r="F217" s="129" t="n">
        <f aca="false">Scoring!B223</f>
        <v>0</v>
      </c>
      <c r="G217" s="129" t="n">
        <f aca="false">Scoring!D223</f>
        <v>0</v>
      </c>
      <c r="H217" s="129" t="str">
        <f aca="false">Scoring!AV223</f>
        <v/>
      </c>
      <c r="I217" s="131" t="str">
        <f aca="false">Scoring!AU223</f>
        <v/>
      </c>
    </row>
    <row r="218" customFormat="false" ht="15.75" hidden="false" customHeight="false" outlineLevel="0" collapsed="false">
      <c r="A218" s="129" t="str">
        <f aca="false">Scoring!AX224</f>
        <v/>
      </c>
      <c r="B218" s="129" t="str">
        <f aca="false">Scoring!AW224</f>
        <v/>
      </c>
      <c r="C218" s="129" t="n">
        <f aca="false">Scoring!C224</f>
        <v>0</v>
      </c>
      <c r="D218" s="130" t="str">
        <f aca="false">Scoring!AT224</f>
        <v/>
      </c>
      <c r="E218" s="129" t="str">
        <f aca="false">Scoring!Z224</f>
        <v/>
      </c>
      <c r="F218" s="129" t="n">
        <f aca="false">Scoring!B224</f>
        <v>0</v>
      </c>
      <c r="G218" s="129" t="n">
        <f aca="false">Scoring!D224</f>
        <v>0</v>
      </c>
      <c r="H218" s="129" t="str">
        <f aca="false">Scoring!AV224</f>
        <v/>
      </c>
      <c r="I218" s="131" t="str">
        <f aca="false">Scoring!AU224</f>
        <v/>
      </c>
    </row>
    <row r="219" customFormat="false" ht="15.75" hidden="false" customHeight="false" outlineLevel="0" collapsed="false">
      <c r="A219" s="129" t="str">
        <f aca="false">Scoring!AX225</f>
        <v/>
      </c>
      <c r="B219" s="129" t="str">
        <f aca="false">Scoring!AW225</f>
        <v/>
      </c>
      <c r="C219" s="129" t="n">
        <f aca="false">Scoring!C225</f>
        <v>0</v>
      </c>
      <c r="D219" s="130" t="str">
        <f aca="false">Scoring!AT225</f>
        <v/>
      </c>
      <c r="E219" s="129" t="str">
        <f aca="false">Scoring!Z225</f>
        <v/>
      </c>
      <c r="F219" s="129" t="n">
        <f aca="false">Scoring!B225</f>
        <v>0</v>
      </c>
      <c r="G219" s="129" t="n">
        <f aca="false">Scoring!D225</f>
        <v>0</v>
      </c>
      <c r="H219" s="129" t="str">
        <f aca="false">Scoring!AV225</f>
        <v/>
      </c>
      <c r="I219" s="131" t="str">
        <f aca="false">Scoring!AU225</f>
        <v/>
      </c>
    </row>
    <row r="220" customFormat="false" ht="15.75" hidden="false" customHeight="false" outlineLevel="0" collapsed="false">
      <c r="A220" s="129" t="str">
        <f aca="false">Scoring!AX226</f>
        <v/>
      </c>
      <c r="B220" s="129" t="str">
        <f aca="false">Scoring!AW226</f>
        <v/>
      </c>
      <c r="C220" s="129" t="n">
        <f aca="false">Scoring!C226</f>
        <v>0</v>
      </c>
      <c r="D220" s="130" t="str">
        <f aca="false">Scoring!AT226</f>
        <v/>
      </c>
      <c r="E220" s="129" t="str">
        <f aca="false">Scoring!Z226</f>
        <v/>
      </c>
      <c r="F220" s="129" t="n">
        <f aca="false">Scoring!B226</f>
        <v>0</v>
      </c>
      <c r="G220" s="129" t="n">
        <f aca="false">Scoring!D226</f>
        <v>0</v>
      </c>
      <c r="H220" s="129" t="str">
        <f aca="false">Scoring!AV226</f>
        <v/>
      </c>
      <c r="I220" s="131" t="str">
        <f aca="false">Scoring!AU226</f>
        <v/>
      </c>
    </row>
    <row r="221" customFormat="false" ht="15.75" hidden="false" customHeight="false" outlineLevel="0" collapsed="false">
      <c r="A221" s="129" t="str">
        <f aca="false">Scoring!AX227</f>
        <v/>
      </c>
      <c r="B221" s="129" t="str">
        <f aca="false">Scoring!AW227</f>
        <v/>
      </c>
      <c r="C221" s="129" t="n">
        <f aca="false">Scoring!C227</f>
        <v>0</v>
      </c>
      <c r="D221" s="130" t="str">
        <f aca="false">Scoring!AT227</f>
        <v/>
      </c>
      <c r="E221" s="129" t="str">
        <f aca="false">Scoring!Z227</f>
        <v/>
      </c>
      <c r="F221" s="129" t="n">
        <f aca="false">Scoring!B227</f>
        <v>0</v>
      </c>
      <c r="G221" s="129" t="n">
        <f aca="false">Scoring!D227</f>
        <v>0</v>
      </c>
      <c r="H221" s="129" t="str">
        <f aca="false">Scoring!AV227</f>
        <v/>
      </c>
      <c r="I221" s="131" t="str">
        <f aca="false">Scoring!AU227</f>
        <v/>
      </c>
    </row>
    <row r="222" customFormat="false" ht="15.75" hidden="false" customHeight="false" outlineLevel="0" collapsed="false">
      <c r="A222" s="129" t="str">
        <f aca="false">Scoring!AX228</f>
        <v/>
      </c>
      <c r="B222" s="129" t="str">
        <f aca="false">Scoring!AW228</f>
        <v/>
      </c>
      <c r="C222" s="129" t="n">
        <f aca="false">Scoring!C228</f>
        <v>0</v>
      </c>
      <c r="D222" s="130" t="str">
        <f aca="false">Scoring!AT228</f>
        <v/>
      </c>
      <c r="E222" s="129" t="str">
        <f aca="false">Scoring!Z228</f>
        <v/>
      </c>
      <c r="F222" s="129" t="n">
        <f aca="false">Scoring!B228</f>
        <v>0</v>
      </c>
      <c r="G222" s="129" t="n">
        <f aca="false">Scoring!D228</f>
        <v>0</v>
      </c>
      <c r="H222" s="129" t="str">
        <f aca="false">Scoring!AV228</f>
        <v/>
      </c>
      <c r="I222" s="131" t="str">
        <f aca="false">Scoring!AU228</f>
        <v/>
      </c>
    </row>
    <row r="223" customFormat="false" ht="15.75" hidden="false" customHeight="false" outlineLevel="0" collapsed="false">
      <c r="A223" s="129" t="str">
        <f aca="false">Scoring!AX229</f>
        <v/>
      </c>
      <c r="B223" s="129" t="str">
        <f aca="false">Scoring!AW229</f>
        <v/>
      </c>
      <c r="C223" s="129" t="n">
        <f aca="false">Scoring!C229</f>
        <v>0</v>
      </c>
      <c r="D223" s="130" t="str">
        <f aca="false">Scoring!AT229</f>
        <v/>
      </c>
      <c r="E223" s="129" t="str">
        <f aca="false">Scoring!Z229</f>
        <v/>
      </c>
      <c r="F223" s="129" t="n">
        <f aca="false">Scoring!B229</f>
        <v>0</v>
      </c>
      <c r="G223" s="129" t="n">
        <f aca="false">Scoring!D229</f>
        <v>0</v>
      </c>
      <c r="H223" s="129" t="str">
        <f aca="false">Scoring!AV229</f>
        <v/>
      </c>
      <c r="I223" s="131" t="str">
        <f aca="false">Scoring!AU229</f>
        <v/>
      </c>
    </row>
    <row r="224" customFormat="false" ht="15.75" hidden="false" customHeight="false" outlineLevel="0" collapsed="false">
      <c r="A224" s="129" t="str">
        <f aca="false">Scoring!AX230</f>
        <v/>
      </c>
      <c r="B224" s="129" t="str">
        <f aca="false">Scoring!AW230</f>
        <v/>
      </c>
      <c r="C224" s="129" t="n">
        <f aca="false">Scoring!C230</f>
        <v>0</v>
      </c>
      <c r="D224" s="130" t="str">
        <f aca="false">Scoring!AT230</f>
        <v/>
      </c>
      <c r="E224" s="129" t="str">
        <f aca="false">Scoring!Z230</f>
        <v/>
      </c>
      <c r="F224" s="129" t="n">
        <f aca="false">Scoring!B230</f>
        <v>0</v>
      </c>
      <c r="G224" s="129" t="n">
        <f aca="false">Scoring!D230</f>
        <v>0</v>
      </c>
      <c r="H224" s="129" t="str">
        <f aca="false">Scoring!AV230</f>
        <v/>
      </c>
      <c r="I224" s="131" t="str">
        <f aca="false">Scoring!AU230</f>
        <v/>
      </c>
    </row>
    <row r="225" customFormat="false" ht="15.75" hidden="false" customHeight="false" outlineLevel="0" collapsed="false">
      <c r="A225" s="129" t="str">
        <f aca="false">Scoring!AX231</f>
        <v/>
      </c>
      <c r="B225" s="129" t="str">
        <f aca="false">Scoring!AW231</f>
        <v/>
      </c>
      <c r="C225" s="129" t="n">
        <f aca="false">Scoring!C231</f>
        <v>0</v>
      </c>
      <c r="D225" s="130" t="str">
        <f aca="false">Scoring!AT231</f>
        <v/>
      </c>
      <c r="E225" s="129" t="str">
        <f aca="false">Scoring!Z231</f>
        <v/>
      </c>
      <c r="F225" s="129" t="n">
        <f aca="false">Scoring!B231</f>
        <v>0</v>
      </c>
      <c r="G225" s="129" t="n">
        <f aca="false">Scoring!D231</f>
        <v>0</v>
      </c>
      <c r="H225" s="129" t="str">
        <f aca="false">Scoring!AV231</f>
        <v/>
      </c>
      <c r="I225" s="131" t="str">
        <f aca="false">Scoring!AU231</f>
        <v/>
      </c>
    </row>
    <row r="226" customFormat="false" ht="15.75" hidden="false" customHeight="false" outlineLevel="0" collapsed="false">
      <c r="A226" s="129" t="str">
        <f aca="false">Scoring!AX232</f>
        <v/>
      </c>
      <c r="B226" s="129" t="str">
        <f aca="false">Scoring!AW232</f>
        <v/>
      </c>
      <c r="C226" s="129" t="n">
        <f aca="false">Scoring!C232</f>
        <v>0</v>
      </c>
      <c r="D226" s="130" t="str">
        <f aca="false">Scoring!AT232</f>
        <v/>
      </c>
      <c r="E226" s="129" t="str">
        <f aca="false">Scoring!Z232</f>
        <v/>
      </c>
      <c r="F226" s="129" t="n">
        <f aca="false">Scoring!B232</f>
        <v>0</v>
      </c>
      <c r="G226" s="129" t="n">
        <f aca="false">Scoring!D232</f>
        <v>0</v>
      </c>
      <c r="H226" s="129" t="str">
        <f aca="false">Scoring!AV232</f>
        <v/>
      </c>
      <c r="I226" s="131" t="str">
        <f aca="false">Scoring!AU232</f>
        <v/>
      </c>
    </row>
    <row r="227" customFormat="false" ht="15.75" hidden="false" customHeight="false" outlineLevel="0" collapsed="false">
      <c r="A227" s="129" t="str">
        <f aca="false">Scoring!AX233</f>
        <v/>
      </c>
      <c r="B227" s="129" t="str">
        <f aca="false">Scoring!AW233</f>
        <v/>
      </c>
      <c r="C227" s="129" t="n">
        <f aca="false">Scoring!C233</f>
        <v>0</v>
      </c>
      <c r="D227" s="130" t="str">
        <f aca="false">Scoring!AT233</f>
        <v/>
      </c>
      <c r="E227" s="129" t="str">
        <f aca="false">Scoring!Z233</f>
        <v/>
      </c>
      <c r="F227" s="129" t="n">
        <f aca="false">Scoring!B233</f>
        <v>0</v>
      </c>
      <c r="G227" s="129" t="n">
        <f aca="false">Scoring!D233</f>
        <v>0</v>
      </c>
      <c r="H227" s="129" t="str">
        <f aca="false">Scoring!AV233</f>
        <v/>
      </c>
      <c r="I227" s="131" t="str">
        <f aca="false">Scoring!AU233</f>
        <v/>
      </c>
    </row>
    <row r="228" customFormat="false" ht="15.75" hidden="false" customHeight="false" outlineLevel="0" collapsed="false">
      <c r="A228" s="129" t="str">
        <f aca="false">Scoring!AX234</f>
        <v/>
      </c>
      <c r="B228" s="129" t="str">
        <f aca="false">Scoring!AW234</f>
        <v/>
      </c>
      <c r="C228" s="129" t="n">
        <f aca="false">Scoring!C234</f>
        <v>0</v>
      </c>
      <c r="D228" s="130" t="str">
        <f aca="false">Scoring!AT234</f>
        <v/>
      </c>
      <c r="E228" s="129" t="str">
        <f aca="false">Scoring!Z234</f>
        <v/>
      </c>
      <c r="F228" s="129" t="n">
        <f aca="false">Scoring!B234</f>
        <v>0</v>
      </c>
      <c r="G228" s="129" t="n">
        <f aca="false">Scoring!D234</f>
        <v>0</v>
      </c>
      <c r="H228" s="129" t="str">
        <f aca="false">Scoring!AV234</f>
        <v/>
      </c>
      <c r="I228" s="131" t="str">
        <f aca="false">Scoring!AU234</f>
        <v/>
      </c>
    </row>
    <row r="229" customFormat="false" ht="15.75" hidden="false" customHeight="false" outlineLevel="0" collapsed="false">
      <c r="A229" s="129" t="str">
        <f aca="false">Scoring!AX235</f>
        <v/>
      </c>
      <c r="B229" s="129" t="str">
        <f aca="false">Scoring!AW235</f>
        <v/>
      </c>
      <c r="C229" s="129" t="n">
        <f aca="false">Scoring!C235</f>
        <v>0</v>
      </c>
      <c r="D229" s="130" t="str">
        <f aca="false">Scoring!AT235</f>
        <v/>
      </c>
      <c r="E229" s="129" t="str">
        <f aca="false">Scoring!Z235</f>
        <v/>
      </c>
      <c r="F229" s="129" t="n">
        <f aca="false">Scoring!B235</f>
        <v>0</v>
      </c>
      <c r="G229" s="129" t="n">
        <f aca="false">Scoring!D235</f>
        <v>0</v>
      </c>
      <c r="H229" s="129" t="str">
        <f aca="false">Scoring!AV235</f>
        <v/>
      </c>
      <c r="I229" s="131" t="str">
        <f aca="false">Scoring!AU235</f>
        <v/>
      </c>
    </row>
    <row r="230" customFormat="false" ht="15.75" hidden="false" customHeight="false" outlineLevel="0" collapsed="false">
      <c r="A230" s="129" t="str">
        <f aca="false">Scoring!AX236</f>
        <v/>
      </c>
      <c r="B230" s="129" t="str">
        <f aca="false">Scoring!AW236</f>
        <v/>
      </c>
      <c r="C230" s="129" t="n">
        <f aca="false">Scoring!C236</f>
        <v>0</v>
      </c>
      <c r="D230" s="130" t="str">
        <f aca="false">Scoring!AT236</f>
        <v/>
      </c>
      <c r="E230" s="129" t="str">
        <f aca="false">Scoring!Z236</f>
        <v/>
      </c>
      <c r="F230" s="129" t="n">
        <f aca="false">Scoring!B236</f>
        <v>0</v>
      </c>
      <c r="G230" s="129" t="n">
        <f aca="false">Scoring!D236</f>
        <v>0</v>
      </c>
      <c r="H230" s="129" t="str">
        <f aca="false">Scoring!AV236</f>
        <v/>
      </c>
      <c r="I230" s="131" t="str">
        <f aca="false">Scoring!AU236</f>
        <v/>
      </c>
    </row>
    <row r="231" customFormat="false" ht="15.75" hidden="false" customHeight="false" outlineLevel="0" collapsed="false">
      <c r="A231" s="129" t="str">
        <f aca="false">Scoring!AX237</f>
        <v/>
      </c>
      <c r="B231" s="129" t="str">
        <f aca="false">Scoring!AW237</f>
        <v/>
      </c>
      <c r="C231" s="129" t="n">
        <f aca="false">Scoring!C237</f>
        <v>0</v>
      </c>
      <c r="D231" s="130" t="str">
        <f aca="false">Scoring!AT237</f>
        <v/>
      </c>
      <c r="E231" s="129" t="str">
        <f aca="false">Scoring!Z237</f>
        <v/>
      </c>
      <c r="F231" s="129" t="n">
        <f aca="false">Scoring!B237</f>
        <v>0</v>
      </c>
      <c r="G231" s="129" t="n">
        <f aca="false">Scoring!D237</f>
        <v>0</v>
      </c>
      <c r="H231" s="129" t="str">
        <f aca="false">Scoring!AV237</f>
        <v/>
      </c>
      <c r="I231" s="131" t="str">
        <f aca="false">Scoring!AU237</f>
        <v/>
      </c>
    </row>
    <row r="232" customFormat="false" ht="15.75" hidden="false" customHeight="false" outlineLevel="0" collapsed="false">
      <c r="A232" s="129" t="str">
        <f aca="false">Scoring!AX238</f>
        <v/>
      </c>
      <c r="B232" s="129" t="str">
        <f aca="false">Scoring!AW238</f>
        <v/>
      </c>
      <c r="C232" s="129" t="n">
        <f aca="false">Scoring!C238</f>
        <v>0</v>
      </c>
      <c r="D232" s="130" t="str">
        <f aca="false">Scoring!AT238</f>
        <v/>
      </c>
      <c r="E232" s="129" t="str">
        <f aca="false">Scoring!Z238</f>
        <v/>
      </c>
      <c r="F232" s="129" t="n">
        <f aca="false">Scoring!B238</f>
        <v>0</v>
      </c>
      <c r="G232" s="129" t="n">
        <f aca="false">Scoring!D238</f>
        <v>0</v>
      </c>
      <c r="H232" s="129" t="str">
        <f aca="false">Scoring!AV238</f>
        <v/>
      </c>
      <c r="I232" s="131" t="str">
        <f aca="false">Scoring!AU238</f>
        <v/>
      </c>
    </row>
    <row r="233" customFormat="false" ht="15.75" hidden="false" customHeight="false" outlineLevel="0" collapsed="false">
      <c r="A233" s="129" t="str">
        <f aca="false">Scoring!AX239</f>
        <v/>
      </c>
      <c r="B233" s="129" t="str">
        <f aca="false">Scoring!AW239</f>
        <v/>
      </c>
      <c r="C233" s="129" t="n">
        <f aca="false">Scoring!C239</f>
        <v>0</v>
      </c>
      <c r="D233" s="130" t="str">
        <f aca="false">Scoring!AT239</f>
        <v/>
      </c>
      <c r="E233" s="129" t="str">
        <f aca="false">Scoring!Z239</f>
        <v/>
      </c>
      <c r="F233" s="129" t="n">
        <f aca="false">Scoring!B239</f>
        <v>0</v>
      </c>
      <c r="G233" s="129" t="n">
        <f aca="false">Scoring!D239</f>
        <v>0</v>
      </c>
      <c r="H233" s="129" t="str">
        <f aca="false">Scoring!AV239</f>
        <v/>
      </c>
      <c r="I233" s="131" t="str">
        <f aca="false">Scoring!AU239</f>
        <v/>
      </c>
    </row>
    <row r="234" customFormat="false" ht="15.75" hidden="false" customHeight="false" outlineLevel="0" collapsed="false">
      <c r="A234" s="129" t="str">
        <f aca="false">Scoring!AX240</f>
        <v/>
      </c>
      <c r="B234" s="129" t="str">
        <f aca="false">Scoring!AW240</f>
        <v/>
      </c>
      <c r="C234" s="129" t="n">
        <f aca="false">Scoring!C240</f>
        <v>0</v>
      </c>
      <c r="D234" s="130" t="str">
        <f aca="false">Scoring!AT240</f>
        <v/>
      </c>
      <c r="E234" s="129" t="str">
        <f aca="false">Scoring!Z240</f>
        <v/>
      </c>
      <c r="F234" s="129" t="n">
        <f aca="false">Scoring!B240</f>
        <v>0</v>
      </c>
      <c r="G234" s="129" t="n">
        <f aca="false">Scoring!D240</f>
        <v>0</v>
      </c>
      <c r="H234" s="129" t="str">
        <f aca="false">Scoring!AV240</f>
        <v/>
      </c>
      <c r="I234" s="131" t="str">
        <f aca="false">Scoring!AU240</f>
        <v/>
      </c>
    </row>
    <row r="235" customFormat="false" ht="15.75" hidden="false" customHeight="false" outlineLevel="0" collapsed="false">
      <c r="A235" s="129" t="str">
        <f aca="false">Scoring!AX241</f>
        <v/>
      </c>
      <c r="B235" s="129" t="str">
        <f aca="false">Scoring!AW241</f>
        <v/>
      </c>
      <c r="C235" s="129" t="n">
        <f aca="false">Scoring!C241</f>
        <v>0</v>
      </c>
      <c r="D235" s="130" t="str">
        <f aca="false">Scoring!AT241</f>
        <v/>
      </c>
      <c r="E235" s="129" t="str">
        <f aca="false">Scoring!Z241</f>
        <v/>
      </c>
      <c r="F235" s="129" t="n">
        <f aca="false">Scoring!B241</f>
        <v>0</v>
      </c>
      <c r="G235" s="129" t="n">
        <f aca="false">Scoring!D241</f>
        <v>0</v>
      </c>
      <c r="H235" s="129" t="str">
        <f aca="false">Scoring!AV241</f>
        <v/>
      </c>
      <c r="I235" s="131" t="str">
        <f aca="false">Scoring!AU241</f>
        <v/>
      </c>
    </row>
    <row r="236" customFormat="false" ht="15.75" hidden="false" customHeight="false" outlineLevel="0" collapsed="false">
      <c r="A236" s="129" t="str">
        <f aca="false">Scoring!AX242</f>
        <v/>
      </c>
      <c r="B236" s="129" t="str">
        <f aca="false">Scoring!AW242</f>
        <v/>
      </c>
      <c r="C236" s="129" t="n">
        <f aca="false">Scoring!C242</f>
        <v>0</v>
      </c>
      <c r="D236" s="130" t="str">
        <f aca="false">Scoring!AT242</f>
        <v/>
      </c>
      <c r="E236" s="129" t="str">
        <f aca="false">Scoring!Z242</f>
        <v/>
      </c>
      <c r="F236" s="129" t="n">
        <f aca="false">Scoring!B242</f>
        <v>0</v>
      </c>
      <c r="G236" s="129" t="n">
        <f aca="false">Scoring!D242</f>
        <v>0</v>
      </c>
      <c r="H236" s="129" t="str">
        <f aca="false">Scoring!AV242</f>
        <v/>
      </c>
      <c r="I236" s="131" t="str">
        <f aca="false">Scoring!AU242</f>
        <v/>
      </c>
    </row>
    <row r="237" customFormat="false" ht="15.75" hidden="false" customHeight="false" outlineLevel="0" collapsed="false">
      <c r="A237" s="129" t="str">
        <f aca="false">Scoring!AX243</f>
        <v/>
      </c>
      <c r="B237" s="129" t="str">
        <f aca="false">Scoring!AW243</f>
        <v/>
      </c>
      <c r="C237" s="129" t="n">
        <f aca="false">Scoring!C243</f>
        <v>0</v>
      </c>
      <c r="D237" s="130" t="str">
        <f aca="false">Scoring!AT243</f>
        <v/>
      </c>
      <c r="E237" s="129" t="str">
        <f aca="false">Scoring!Z243</f>
        <v/>
      </c>
      <c r="F237" s="129" t="n">
        <f aca="false">Scoring!B243</f>
        <v>0</v>
      </c>
      <c r="G237" s="129" t="n">
        <f aca="false">Scoring!D243</f>
        <v>0</v>
      </c>
      <c r="H237" s="129" t="str">
        <f aca="false">Scoring!AV243</f>
        <v/>
      </c>
      <c r="I237" s="131" t="str">
        <f aca="false">Scoring!AU243</f>
        <v/>
      </c>
    </row>
    <row r="238" customFormat="false" ht="15.75" hidden="false" customHeight="false" outlineLevel="0" collapsed="false">
      <c r="A238" s="129" t="str">
        <f aca="false">Scoring!AX244</f>
        <v/>
      </c>
      <c r="B238" s="129" t="str">
        <f aca="false">Scoring!AW244</f>
        <v/>
      </c>
      <c r="C238" s="129" t="n">
        <f aca="false">Scoring!C244</f>
        <v>0</v>
      </c>
      <c r="D238" s="130" t="str">
        <f aca="false">Scoring!AT244</f>
        <v/>
      </c>
      <c r="E238" s="129" t="str">
        <f aca="false">Scoring!Z244</f>
        <v/>
      </c>
      <c r="F238" s="129" t="n">
        <f aca="false">Scoring!B244</f>
        <v>0</v>
      </c>
      <c r="G238" s="129" t="n">
        <f aca="false">Scoring!D244</f>
        <v>0</v>
      </c>
      <c r="H238" s="129" t="str">
        <f aca="false">Scoring!AV244</f>
        <v/>
      </c>
      <c r="I238" s="131" t="str">
        <f aca="false">Scoring!AU244</f>
        <v/>
      </c>
    </row>
    <row r="239" customFormat="false" ht="15.75" hidden="false" customHeight="false" outlineLevel="0" collapsed="false">
      <c r="A239" s="129" t="str">
        <f aca="false">Scoring!AX245</f>
        <v/>
      </c>
      <c r="B239" s="129" t="str">
        <f aca="false">Scoring!AW245</f>
        <v/>
      </c>
      <c r="C239" s="129" t="n">
        <f aca="false">Scoring!C245</f>
        <v>0</v>
      </c>
      <c r="D239" s="130" t="str">
        <f aca="false">Scoring!AT245</f>
        <v/>
      </c>
      <c r="E239" s="129" t="str">
        <f aca="false">Scoring!Z245</f>
        <v/>
      </c>
      <c r="F239" s="129" t="n">
        <f aca="false">Scoring!B245</f>
        <v>0</v>
      </c>
      <c r="G239" s="129" t="n">
        <f aca="false">Scoring!D245</f>
        <v>0</v>
      </c>
      <c r="H239" s="129" t="str">
        <f aca="false">Scoring!AV245</f>
        <v/>
      </c>
      <c r="I239" s="131" t="str">
        <f aca="false">Scoring!AU245</f>
        <v/>
      </c>
    </row>
    <row r="240" customFormat="false" ht="15.75" hidden="false" customHeight="false" outlineLevel="0" collapsed="false">
      <c r="A240" s="129" t="str">
        <f aca="false">Scoring!AX246</f>
        <v/>
      </c>
      <c r="B240" s="129" t="str">
        <f aca="false">Scoring!AW246</f>
        <v/>
      </c>
      <c r="C240" s="129" t="n">
        <f aca="false">Scoring!C246</f>
        <v>0</v>
      </c>
      <c r="D240" s="130" t="str">
        <f aca="false">Scoring!AT246</f>
        <v/>
      </c>
      <c r="E240" s="129" t="str">
        <f aca="false">Scoring!Z246</f>
        <v/>
      </c>
      <c r="F240" s="129" t="n">
        <f aca="false">Scoring!B246</f>
        <v>0</v>
      </c>
      <c r="G240" s="129" t="n">
        <f aca="false">Scoring!D246</f>
        <v>0</v>
      </c>
      <c r="H240" s="129" t="str">
        <f aca="false">Scoring!AV246</f>
        <v/>
      </c>
      <c r="I240" s="131" t="str">
        <f aca="false">Scoring!AU246</f>
        <v/>
      </c>
    </row>
    <row r="241" customFormat="false" ht="15.75" hidden="false" customHeight="false" outlineLevel="0" collapsed="false">
      <c r="A241" s="129" t="str">
        <f aca="false">Scoring!AX247</f>
        <v/>
      </c>
      <c r="B241" s="129" t="str">
        <f aca="false">Scoring!AW247</f>
        <v/>
      </c>
      <c r="C241" s="129" t="n">
        <f aca="false">Scoring!C247</f>
        <v>0</v>
      </c>
      <c r="D241" s="130" t="str">
        <f aca="false">Scoring!AT247</f>
        <v/>
      </c>
      <c r="E241" s="129" t="str">
        <f aca="false">Scoring!Z247</f>
        <v/>
      </c>
      <c r="F241" s="129" t="n">
        <f aca="false">Scoring!B247</f>
        <v>0</v>
      </c>
      <c r="G241" s="129" t="n">
        <f aca="false">Scoring!D247</f>
        <v>0</v>
      </c>
      <c r="H241" s="129" t="str">
        <f aca="false">Scoring!AV247</f>
        <v/>
      </c>
      <c r="I241" s="131" t="str">
        <f aca="false">Scoring!AU247</f>
        <v/>
      </c>
    </row>
    <row r="242" customFormat="false" ht="15.75" hidden="false" customHeight="false" outlineLevel="0" collapsed="false">
      <c r="A242" s="129" t="str">
        <f aca="false">Scoring!AX248</f>
        <v/>
      </c>
      <c r="B242" s="129" t="str">
        <f aca="false">Scoring!AW248</f>
        <v/>
      </c>
      <c r="C242" s="129" t="n">
        <f aca="false">Scoring!C248</f>
        <v>0</v>
      </c>
      <c r="D242" s="130" t="str">
        <f aca="false">Scoring!AT248</f>
        <v/>
      </c>
      <c r="E242" s="129" t="str">
        <f aca="false">Scoring!Z248</f>
        <v/>
      </c>
      <c r="F242" s="129" t="n">
        <f aca="false">Scoring!B248</f>
        <v>0</v>
      </c>
      <c r="G242" s="129" t="n">
        <f aca="false">Scoring!D248</f>
        <v>0</v>
      </c>
      <c r="H242" s="129" t="str">
        <f aca="false">Scoring!AV248</f>
        <v/>
      </c>
      <c r="I242" s="131" t="str">
        <f aca="false">Scoring!AU248</f>
        <v/>
      </c>
    </row>
    <row r="243" customFormat="false" ht="15.75" hidden="false" customHeight="false" outlineLevel="0" collapsed="false">
      <c r="A243" s="129" t="str">
        <f aca="false">Scoring!AX249</f>
        <v/>
      </c>
      <c r="B243" s="129" t="str">
        <f aca="false">Scoring!AW249</f>
        <v/>
      </c>
      <c r="C243" s="129" t="n">
        <f aca="false">Scoring!C249</f>
        <v>0</v>
      </c>
      <c r="D243" s="130" t="str">
        <f aca="false">Scoring!AT249</f>
        <v/>
      </c>
      <c r="E243" s="129" t="str">
        <f aca="false">Scoring!Z249</f>
        <v/>
      </c>
      <c r="F243" s="129" t="n">
        <f aca="false">Scoring!B249</f>
        <v>0</v>
      </c>
      <c r="G243" s="129" t="n">
        <f aca="false">Scoring!D249</f>
        <v>0</v>
      </c>
      <c r="H243" s="129" t="str">
        <f aca="false">Scoring!AV249</f>
        <v/>
      </c>
      <c r="I243" s="131" t="str">
        <f aca="false">Scoring!AU249</f>
        <v/>
      </c>
    </row>
    <row r="244" customFormat="false" ht="15.75" hidden="false" customHeight="false" outlineLevel="0" collapsed="false">
      <c r="A244" s="129" t="str">
        <f aca="false">Scoring!AX250</f>
        <v/>
      </c>
      <c r="B244" s="129" t="str">
        <f aca="false">Scoring!AW250</f>
        <v/>
      </c>
      <c r="C244" s="129" t="n">
        <f aca="false">Scoring!C250</f>
        <v>0</v>
      </c>
      <c r="D244" s="130" t="str">
        <f aca="false">Scoring!AT250</f>
        <v/>
      </c>
      <c r="E244" s="129" t="str">
        <f aca="false">Scoring!Z250</f>
        <v/>
      </c>
      <c r="F244" s="129" t="n">
        <f aca="false">Scoring!B250</f>
        <v>0</v>
      </c>
      <c r="G244" s="129" t="n">
        <f aca="false">Scoring!D250</f>
        <v>0</v>
      </c>
      <c r="H244" s="129" t="str">
        <f aca="false">Scoring!AV250</f>
        <v/>
      </c>
      <c r="I244" s="131" t="str">
        <f aca="false">Scoring!AU250</f>
        <v/>
      </c>
    </row>
    <row r="245" customFormat="false" ht="15.75" hidden="false" customHeight="false" outlineLevel="0" collapsed="false">
      <c r="A245" s="129" t="str">
        <f aca="false">Scoring!AX251</f>
        <v/>
      </c>
      <c r="B245" s="129" t="str">
        <f aca="false">Scoring!AW251</f>
        <v/>
      </c>
      <c r="C245" s="129" t="n">
        <f aca="false">Scoring!C251</f>
        <v>0</v>
      </c>
      <c r="D245" s="130" t="str">
        <f aca="false">Scoring!AT251</f>
        <v/>
      </c>
      <c r="E245" s="129" t="str">
        <f aca="false">Scoring!Z251</f>
        <v/>
      </c>
      <c r="F245" s="129" t="n">
        <f aca="false">Scoring!B251</f>
        <v>0</v>
      </c>
      <c r="G245" s="129" t="n">
        <f aca="false">Scoring!D251</f>
        <v>0</v>
      </c>
      <c r="H245" s="129" t="str">
        <f aca="false">Scoring!AV251</f>
        <v/>
      </c>
      <c r="I245" s="131" t="str">
        <f aca="false">Scoring!AU251</f>
        <v/>
      </c>
    </row>
    <row r="246" customFormat="false" ht="15.75" hidden="false" customHeight="false" outlineLevel="0" collapsed="false">
      <c r="A246" s="129" t="str">
        <f aca="false">Scoring!AX252</f>
        <v/>
      </c>
      <c r="B246" s="129" t="str">
        <f aca="false">Scoring!AW252</f>
        <v/>
      </c>
      <c r="C246" s="129" t="n">
        <f aca="false">Scoring!C252</f>
        <v>0</v>
      </c>
      <c r="D246" s="130" t="str">
        <f aca="false">Scoring!AT252</f>
        <v/>
      </c>
      <c r="E246" s="129" t="str">
        <f aca="false">Scoring!Z252</f>
        <v/>
      </c>
      <c r="F246" s="129" t="n">
        <f aca="false">Scoring!B252</f>
        <v>0</v>
      </c>
      <c r="G246" s="129" t="n">
        <f aca="false">Scoring!D252</f>
        <v>0</v>
      </c>
      <c r="H246" s="129" t="str">
        <f aca="false">Scoring!AV252</f>
        <v/>
      </c>
      <c r="I246" s="131" t="str">
        <f aca="false">Scoring!AU252</f>
        <v/>
      </c>
    </row>
    <row r="247" customFormat="false" ht="15.75" hidden="false" customHeight="false" outlineLevel="0" collapsed="false">
      <c r="A247" s="129" t="str">
        <f aca="false">Scoring!AX253</f>
        <v/>
      </c>
      <c r="B247" s="129" t="str">
        <f aca="false">Scoring!AW253</f>
        <v/>
      </c>
      <c r="C247" s="129" t="n">
        <f aca="false">Scoring!C253</f>
        <v>0</v>
      </c>
      <c r="D247" s="130" t="str">
        <f aca="false">Scoring!AT253</f>
        <v/>
      </c>
      <c r="E247" s="129" t="str">
        <f aca="false">Scoring!Z253</f>
        <v/>
      </c>
      <c r="F247" s="129" t="n">
        <f aca="false">Scoring!B253</f>
        <v>0</v>
      </c>
      <c r="G247" s="129" t="n">
        <f aca="false">Scoring!D253</f>
        <v>0</v>
      </c>
      <c r="H247" s="129" t="str">
        <f aca="false">Scoring!AV253</f>
        <v/>
      </c>
      <c r="I247" s="131" t="str">
        <f aca="false">Scoring!AU253</f>
        <v/>
      </c>
    </row>
    <row r="248" customFormat="false" ht="15.75" hidden="false" customHeight="false" outlineLevel="0" collapsed="false">
      <c r="A248" s="129" t="str">
        <f aca="false">Scoring!AX254</f>
        <v/>
      </c>
      <c r="B248" s="129" t="str">
        <f aca="false">Scoring!AW254</f>
        <v/>
      </c>
      <c r="C248" s="129" t="n">
        <f aca="false">Scoring!C254</f>
        <v>0</v>
      </c>
      <c r="D248" s="130" t="str">
        <f aca="false">Scoring!AT254</f>
        <v/>
      </c>
      <c r="E248" s="129" t="str">
        <f aca="false">Scoring!Z254</f>
        <v/>
      </c>
      <c r="F248" s="129" t="n">
        <f aca="false">Scoring!B254</f>
        <v>0</v>
      </c>
      <c r="G248" s="129" t="n">
        <f aca="false">Scoring!D254</f>
        <v>0</v>
      </c>
      <c r="H248" s="129" t="str">
        <f aca="false">Scoring!AV254</f>
        <v/>
      </c>
      <c r="I248" s="131" t="str">
        <f aca="false">Scoring!AU254</f>
        <v/>
      </c>
    </row>
    <row r="249" customFormat="false" ht="15.75" hidden="false" customHeight="false" outlineLevel="0" collapsed="false">
      <c r="A249" s="129" t="str">
        <f aca="false">Scoring!AX255</f>
        <v/>
      </c>
      <c r="B249" s="129" t="str">
        <f aca="false">Scoring!AW255</f>
        <v/>
      </c>
      <c r="C249" s="129" t="n">
        <f aca="false">Scoring!C255</f>
        <v>0</v>
      </c>
      <c r="D249" s="130" t="str">
        <f aca="false">Scoring!AT255</f>
        <v/>
      </c>
      <c r="E249" s="129" t="str">
        <f aca="false">Scoring!Z255</f>
        <v/>
      </c>
      <c r="F249" s="129" t="n">
        <f aca="false">Scoring!B255</f>
        <v>0</v>
      </c>
      <c r="G249" s="129" t="n">
        <f aca="false">Scoring!D255</f>
        <v>0</v>
      </c>
      <c r="H249" s="129" t="str">
        <f aca="false">Scoring!AV255</f>
        <v/>
      </c>
      <c r="I249" s="131" t="str">
        <f aca="false">Scoring!AU255</f>
        <v/>
      </c>
    </row>
    <row r="250" customFormat="false" ht="15.75" hidden="false" customHeight="false" outlineLevel="0" collapsed="false">
      <c r="A250" s="129" t="str">
        <f aca="false">Scoring!AX256</f>
        <v/>
      </c>
      <c r="B250" s="129" t="str">
        <f aca="false">Scoring!AW256</f>
        <v/>
      </c>
      <c r="C250" s="129" t="n">
        <f aca="false">Scoring!C256</f>
        <v>0</v>
      </c>
      <c r="D250" s="130" t="str">
        <f aca="false">Scoring!AT256</f>
        <v/>
      </c>
      <c r="E250" s="129" t="str">
        <f aca="false">Scoring!Z256</f>
        <v/>
      </c>
      <c r="F250" s="129" t="n">
        <f aca="false">Scoring!B256</f>
        <v>0</v>
      </c>
      <c r="G250" s="129" t="n">
        <f aca="false">Scoring!D256</f>
        <v>0</v>
      </c>
      <c r="H250" s="129" t="str">
        <f aca="false">Scoring!AV256</f>
        <v/>
      </c>
      <c r="I250" s="131" t="str">
        <f aca="false">Scoring!AU256</f>
        <v/>
      </c>
    </row>
    <row r="251" customFormat="false" ht="15.75" hidden="false" customHeight="false" outlineLevel="0" collapsed="false">
      <c r="A251" s="129" t="str">
        <f aca="false">Scoring!AX257</f>
        <v/>
      </c>
      <c r="B251" s="129" t="str">
        <f aca="false">Scoring!AW257</f>
        <v/>
      </c>
      <c r="C251" s="129" t="n">
        <f aca="false">Scoring!C257</f>
        <v>0</v>
      </c>
      <c r="D251" s="130" t="str">
        <f aca="false">Scoring!AT257</f>
        <v/>
      </c>
      <c r="E251" s="129" t="str">
        <f aca="false">Scoring!Z257</f>
        <v/>
      </c>
      <c r="F251" s="129" t="n">
        <f aca="false">Scoring!B257</f>
        <v>0</v>
      </c>
      <c r="G251" s="129" t="n">
        <f aca="false">Scoring!D257</f>
        <v>0</v>
      </c>
      <c r="H251" s="129" t="str">
        <f aca="false">Scoring!AV257</f>
        <v/>
      </c>
      <c r="I251" s="131" t="str">
        <f aca="false">Scoring!AU257</f>
        <v/>
      </c>
    </row>
    <row r="252" customFormat="false" ht="15.75" hidden="false" customHeight="false" outlineLevel="0" collapsed="false">
      <c r="A252" s="129" t="str">
        <f aca="false">Scoring!AX258</f>
        <v/>
      </c>
      <c r="B252" s="129" t="str">
        <f aca="false">Scoring!AW258</f>
        <v/>
      </c>
      <c r="C252" s="129" t="n">
        <f aca="false">Scoring!C258</f>
        <v>0</v>
      </c>
      <c r="D252" s="130" t="str">
        <f aca="false">Scoring!AT258</f>
        <v/>
      </c>
      <c r="E252" s="129" t="str">
        <f aca="false">Scoring!Z258</f>
        <v/>
      </c>
      <c r="F252" s="129" t="n">
        <f aca="false">Scoring!B258</f>
        <v>0</v>
      </c>
      <c r="G252" s="129" t="n">
        <f aca="false">Scoring!D258</f>
        <v>0</v>
      </c>
      <c r="H252" s="129" t="str">
        <f aca="false">Scoring!AV258</f>
        <v/>
      </c>
      <c r="I252" s="131" t="str">
        <f aca="false">Scoring!AU258</f>
        <v/>
      </c>
    </row>
    <row r="253" customFormat="false" ht="15.75" hidden="false" customHeight="false" outlineLevel="0" collapsed="false">
      <c r="A253" s="129" t="str">
        <f aca="false">Scoring!AX259</f>
        <v/>
      </c>
      <c r="B253" s="129" t="str">
        <f aca="false">Scoring!AW259</f>
        <v/>
      </c>
      <c r="C253" s="129" t="n">
        <f aca="false">Scoring!C259</f>
        <v>0</v>
      </c>
      <c r="D253" s="130" t="str">
        <f aca="false">Scoring!AT259</f>
        <v/>
      </c>
      <c r="E253" s="129" t="str">
        <f aca="false">Scoring!Z259</f>
        <v/>
      </c>
      <c r="F253" s="129" t="n">
        <f aca="false">Scoring!B259</f>
        <v>0</v>
      </c>
      <c r="G253" s="129" t="n">
        <f aca="false">Scoring!D259</f>
        <v>0</v>
      </c>
      <c r="H253" s="129" t="str">
        <f aca="false">Scoring!AV259</f>
        <v/>
      </c>
      <c r="I253" s="131" t="str">
        <f aca="false">Scoring!AU259</f>
        <v/>
      </c>
    </row>
    <row r="254" customFormat="false" ht="15.75" hidden="false" customHeight="false" outlineLevel="0" collapsed="false">
      <c r="A254" s="129" t="str">
        <f aca="false">Scoring!AX260</f>
        <v/>
      </c>
      <c r="B254" s="129" t="str">
        <f aca="false">Scoring!AW260</f>
        <v/>
      </c>
      <c r="C254" s="129" t="n">
        <f aca="false">Scoring!C260</f>
        <v>0</v>
      </c>
      <c r="D254" s="130" t="str">
        <f aca="false">Scoring!AT260</f>
        <v/>
      </c>
      <c r="E254" s="129" t="str">
        <f aca="false">Scoring!Z260</f>
        <v/>
      </c>
      <c r="F254" s="129" t="n">
        <f aca="false">Scoring!B260</f>
        <v>0</v>
      </c>
      <c r="G254" s="129" t="n">
        <f aca="false">Scoring!D260</f>
        <v>0</v>
      </c>
      <c r="H254" s="129" t="str">
        <f aca="false">Scoring!AV260</f>
        <v/>
      </c>
      <c r="I254" s="131" t="str">
        <f aca="false">Scoring!AU260</f>
        <v/>
      </c>
    </row>
    <row r="255" customFormat="false" ht="15.75" hidden="false" customHeight="false" outlineLevel="0" collapsed="false">
      <c r="A255" s="129" t="str">
        <f aca="false">Scoring!AX261</f>
        <v/>
      </c>
      <c r="B255" s="129" t="str">
        <f aca="false">Scoring!AW261</f>
        <v/>
      </c>
      <c r="C255" s="129" t="n">
        <f aca="false">Scoring!C261</f>
        <v>0</v>
      </c>
      <c r="D255" s="130" t="str">
        <f aca="false">Scoring!AT261</f>
        <v/>
      </c>
      <c r="E255" s="129" t="str">
        <f aca="false">Scoring!Z261</f>
        <v/>
      </c>
      <c r="F255" s="129" t="n">
        <f aca="false">Scoring!B261</f>
        <v>0</v>
      </c>
      <c r="G255" s="129" t="n">
        <f aca="false">Scoring!D261</f>
        <v>0</v>
      </c>
      <c r="H255" s="129" t="str">
        <f aca="false">Scoring!AV261</f>
        <v/>
      </c>
      <c r="I255" s="131" t="str">
        <f aca="false">Scoring!AU261</f>
        <v/>
      </c>
    </row>
    <row r="256" customFormat="false" ht="15.75" hidden="false" customHeight="false" outlineLevel="0" collapsed="false">
      <c r="A256" s="129" t="str">
        <f aca="false">Scoring!AX262</f>
        <v/>
      </c>
      <c r="B256" s="129" t="str">
        <f aca="false">Scoring!AW262</f>
        <v/>
      </c>
      <c r="C256" s="129" t="n">
        <f aca="false">Scoring!C262</f>
        <v>0</v>
      </c>
      <c r="D256" s="130" t="str">
        <f aca="false">Scoring!AT262</f>
        <v/>
      </c>
      <c r="E256" s="129" t="str">
        <f aca="false">Scoring!Z262</f>
        <v/>
      </c>
      <c r="F256" s="129" t="n">
        <f aca="false">Scoring!B262</f>
        <v>0</v>
      </c>
      <c r="G256" s="129" t="n">
        <f aca="false">Scoring!D262</f>
        <v>0</v>
      </c>
      <c r="H256" s="129" t="str">
        <f aca="false">Scoring!AV262</f>
        <v/>
      </c>
      <c r="I256" s="131" t="str">
        <f aca="false">Scoring!AU262</f>
        <v/>
      </c>
    </row>
    <row r="257" customFormat="false" ht="15.75" hidden="false" customHeight="false" outlineLevel="0" collapsed="false">
      <c r="A257" s="129" t="str">
        <f aca="false">Scoring!AX263</f>
        <v/>
      </c>
      <c r="B257" s="129" t="str">
        <f aca="false">Scoring!AW263</f>
        <v/>
      </c>
      <c r="C257" s="129" t="n">
        <f aca="false">Scoring!C263</f>
        <v>0</v>
      </c>
      <c r="D257" s="130" t="str">
        <f aca="false">Scoring!AT263</f>
        <v/>
      </c>
      <c r="E257" s="129" t="str">
        <f aca="false">Scoring!Z263</f>
        <v/>
      </c>
      <c r="F257" s="129" t="n">
        <f aca="false">Scoring!B263</f>
        <v>0</v>
      </c>
      <c r="G257" s="129" t="n">
        <f aca="false">Scoring!D263</f>
        <v>0</v>
      </c>
      <c r="H257" s="129" t="str">
        <f aca="false">Scoring!AV263</f>
        <v/>
      </c>
      <c r="I257" s="131" t="str">
        <f aca="false">Scoring!AU263</f>
        <v/>
      </c>
    </row>
    <row r="258" customFormat="false" ht="15.75" hidden="false" customHeight="false" outlineLevel="0" collapsed="false">
      <c r="A258" s="129" t="str">
        <f aca="false">Scoring!AX264</f>
        <v/>
      </c>
      <c r="B258" s="129" t="str">
        <f aca="false">Scoring!AW264</f>
        <v/>
      </c>
      <c r="C258" s="129" t="n">
        <f aca="false">Scoring!C264</f>
        <v>0</v>
      </c>
      <c r="D258" s="130" t="str">
        <f aca="false">Scoring!AT264</f>
        <v/>
      </c>
      <c r="E258" s="129" t="str">
        <f aca="false">Scoring!Z264</f>
        <v/>
      </c>
      <c r="F258" s="129" t="n">
        <f aca="false">Scoring!B264</f>
        <v>0</v>
      </c>
      <c r="G258" s="129" t="n">
        <f aca="false">Scoring!D264</f>
        <v>0</v>
      </c>
      <c r="H258" s="129" t="str">
        <f aca="false">Scoring!AV264</f>
        <v/>
      </c>
      <c r="I258" s="131" t="str">
        <f aca="false">Scoring!AU264</f>
        <v/>
      </c>
    </row>
    <row r="259" customFormat="false" ht="15.75" hidden="false" customHeight="false" outlineLevel="0" collapsed="false">
      <c r="A259" s="129" t="str">
        <f aca="false">Scoring!AX265</f>
        <v/>
      </c>
      <c r="B259" s="129" t="str">
        <f aca="false">Scoring!AW265</f>
        <v/>
      </c>
      <c r="C259" s="129" t="n">
        <f aca="false">Scoring!C265</f>
        <v>0</v>
      </c>
      <c r="D259" s="130" t="str">
        <f aca="false">Scoring!AT265</f>
        <v/>
      </c>
      <c r="E259" s="129" t="str">
        <f aca="false">Scoring!Z265</f>
        <v/>
      </c>
      <c r="F259" s="129" t="n">
        <f aca="false">Scoring!B265</f>
        <v>0</v>
      </c>
      <c r="G259" s="129" t="n">
        <f aca="false">Scoring!D265</f>
        <v>0</v>
      </c>
      <c r="H259" s="129" t="str">
        <f aca="false">Scoring!AV265</f>
        <v/>
      </c>
      <c r="I259" s="131" t="str">
        <f aca="false">Scoring!AU265</f>
        <v/>
      </c>
    </row>
    <row r="260" customFormat="false" ht="15.75" hidden="false" customHeight="false" outlineLevel="0" collapsed="false">
      <c r="A260" s="129" t="str">
        <f aca="false">Scoring!AX266</f>
        <v/>
      </c>
      <c r="B260" s="129" t="str">
        <f aca="false">Scoring!AW266</f>
        <v/>
      </c>
      <c r="C260" s="129" t="n">
        <f aca="false">Scoring!C266</f>
        <v>0</v>
      </c>
      <c r="D260" s="130" t="str">
        <f aca="false">Scoring!AT266</f>
        <v/>
      </c>
      <c r="E260" s="129" t="str">
        <f aca="false">Scoring!Z266</f>
        <v/>
      </c>
      <c r="F260" s="129" t="n">
        <f aca="false">Scoring!B266</f>
        <v>0</v>
      </c>
      <c r="G260" s="129" t="n">
        <f aca="false">Scoring!D266</f>
        <v>0</v>
      </c>
      <c r="H260" s="129" t="str">
        <f aca="false">Scoring!AV266</f>
        <v/>
      </c>
      <c r="I260" s="131" t="str">
        <f aca="false">Scoring!AU266</f>
        <v/>
      </c>
    </row>
    <row r="261" customFormat="false" ht="15.75" hidden="false" customHeight="false" outlineLevel="0" collapsed="false">
      <c r="A261" s="129" t="str">
        <f aca="false">Scoring!AX267</f>
        <v/>
      </c>
      <c r="B261" s="129" t="str">
        <f aca="false">Scoring!AW267</f>
        <v/>
      </c>
      <c r="C261" s="129" t="n">
        <f aca="false">Scoring!C267</f>
        <v>0</v>
      </c>
      <c r="D261" s="130" t="str">
        <f aca="false">Scoring!AT267</f>
        <v/>
      </c>
      <c r="E261" s="129" t="str">
        <f aca="false">Scoring!Z267</f>
        <v/>
      </c>
      <c r="F261" s="129" t="n">
        <f aca="false">Scoring!B267</f>
        <v>0</v>
      </c>
      <c r="G261" s="129" t="n">
        <f aca="false">Scoring!D267</f>
        <v>0</v>
      </c>
      <c r="H261" s="129" t="str">
        <f aca="false">Scoring!AV267</f>
        <v/>
      </c>
      <c r="I261" s="131" t="str">
        <f aca="false">Scoring!AU267</f>
        <v/>
      </c>
    </row>
    <row r="262" customFormat="false" ht="15.75" hidden="false" customHeight="false" outlineLevel="0" collapsed="false">
      <c r="A262" s="129" t="str">
        <f aca="false">Scoring!AX268</f>
        <v/>
      </c>
      <c r="B262" s="129" t="str">
        <f aca="false">Scoring!AW268</f>
        <v/>
      </c>
      <c r="C262" s="129" t="n">
        <f aca="false">Scoring!C268</f>
        <v>0</v>
      </c>
      <c r="D262" s="130" t="str">
        <f aca="false">Scoring!AT268</f>
        <v/>
      </c>
      <c r="E262" s="129" t="str">
        <f aca="false">Scoring!Z268</f>
        <v/>
      </c>
      <c r="F262" s="129" t="n">
        <f aca="false">Scoring!B268</f>
        <v>0</v>
      </c>
      <c r="G262" s="129" t="n">
        <f aca="false">Scoring!D268</f>
        <v>0</v>
      </c>
      <c r="H262" s="129" t="str">
        <f aca="false">Scoring!AV268</f>
        <v/>
      </c>
      <c r="I262" s="131" t="str">
        <f aca="false">Scoring!AU268</f>
        <v/>
      </c>
    </row>
    <row r="263" customFormat="false" ht="15.75" hidden="false" customHeight="false" outlineLevel="0" collapsed="false">
      <c r="A263" s="129" t="str">
        <f aca="false">Scoring!AX269</f>
        <v/>
      </c>
      <c r="B263" s="129" t="str">
        <f aca="false">Scoring!AW269</f>
        <v/>
      </c>
      <c r="C263" s="129" t="n">
        <f aca="false">Scoring!C269</f>
        <v>0</v>
      </c>
      <c r="D263" s="130" t="str">
        <f aca="false">Scoring!AT269</f>
        <v/>
      </c>
      <c r="E263" s="129" t="str">
        <f aca="false">Scoring!Z269</f>
        <v/>
      </c>
      <c r="F263" s="129" t="n">
        <f aca="false">Scoring!B269</f>
        <v>0</v>
      </c>
      <c r="G263" s="129" t="n">
        <f aca="false">Scoring!D269</f>
        <v>0</v>
      </c>
      <c r="H263" s="129" t="str">
        <f aca="false">Scoring!AV269</f>
        <v/>
      </c>
      <c r="I263" s="131" t="str">
        <f aca="false">Scoring!AU269</f>
        <v/>
      </c>
    </row>
    <row r="264" customFormat="false" ht="15.75" hidden="false" customHeight="false" outlineLevel="0" collapsed="false">
      <c r="A264" s="129" t="str">
        <f aca="false">Scoring!AX270</f>
        <v/>
      </c>
      <c r="B264" s="129" t="str">
        <f aca="false">Scoring!AW270</f>
        <v/>
      </c>
      <c r="C264" s="129" t="n">
        <f aca="false">Scoring!C270</f>
        <v>0</v>
      </c>
      <c r="D264" s="130" t="str">
        <f aca="false">Scoring!AT270</f>
        <v/>
      </c>
      <c r="E264" s="129" t="str">
        <f aca="false">Scoring!Z270</f>
        <v/>
      </c>
      <c r="F264" s="129" t="n">
        <f aca="false">Scoring!B270</f>
        <v>0</v>
      </c>
      <c r="G264" s="129" t="n">
        <f aca="false">Scoring!D270</f>
        <v>0</v>
      </c>
      <c r="H264" s="129" t="str">
        <f aca="false">Scoring!AV270</f>
        <v/>
      </c>
      <c r="I264" s="131" t="str">
        <f aca="false">Scoring!AU270</f>
        <v/>
      </c>
    </row>
    <row r="265" customFormat="false" ht="15.75" hidden="false" customHeight="false" outlineLevel="0" collapsed="false">
      <c r="A265" s="129" t="str">
        <f aca="false">Scoring!AX271</f>
        <v/>
      </c>
      <c r="B265" s="129" t="str">
        <f aca="false">Scoring!AW271</f>
        <v/>
      </c>
      <c r="C265" s="129" t="n">
        <f aca="false">Scoring!C271</f>
        <v>0</v>
      </c>
      <c r="D265" s="130" t="str">
        <f aca="false">Scoring!AT271</f>
        <v/>
      </c>
      <c r="E265" s="129" t="str">
        <f aca="false">Scoring!Z271</f>
        <v/>
      </c>
      <c r="F265" s="129" t="n">
        <f aca="false">Scoring!B271</f>
        <v>0</v>
      </c>
      <c r="G265" s="129" t="n">
        <f aca="false">Scoring!D271</f>
        <v>0</v>
      </c>
      <c r="H265" s="129" t="str">
        <f aca="false">Scoring!AV271</f>
        <v/>
      </c>
      <c r="I265" s="131" t="str">
        <f aca="false">Scoring!AU271</f>
        <v/>
      </c>
    </row>
    <row r="266" customFormat="false" ht="15.75" hidden="false" customHeight="false" outlineLevel="0" collapsed="false">
      <c r="A266" s="129" t="str">
        <f aca="false">Scoring!AX272</f>
        <v/>
      </c>
      <c r="B266" s="129" t="str">
        <f aca="false">Scoring!AW272</f>
        <v/>
      </c>
      <c r="C266" s="129" t="n">
        <f aca="false">Scoring!C272</f>
        <v>0</v>
      </c>
      <c r="D266" s="130" t="str">
        <f aca="false">Scoring!AT272</f>
        <v/>
      </c>
      <c r="E266" s="129" t="str">
        <f aca="false">Scoring!Z272</f>
        <v/>
      </c>
      <c r="F266" s="129" t="n">
        <f aca="false">Scoring!B272</f>
        <v>0</v>
      </c>
      <c r="G266" s="129" t="n">
        <f aca="false">Scoring!D272</f>
        <v>0</v>
      </c>
      <c r="H266" s="129" t="str">
        <f aca="false">Scoring!AV272</f>
        <v/>
      </c>
      <c r="I266" s="131" t="str">
        <f aca="false">Scoring!AU272</f>
        <v/>
      </c>
    </row>
    <row r="267" customFormat="false" ht="15.75" hidden="false" customHeight="false" outlineLevel="0" collapsed="false">
      <c r="A267" s="129" t="str">
        <f aca="false">Scoring!AX273</f>
        <v/>
      </c>
      <c r="B267" s="129" t="str">
        <f aca="false">Scoring!AW273</f>
        <v/>
      </c>
      <c r="C267" s="129" t="n">
        <f aca="false">Scoring!C273</f>
        <v>0</v>
      </c>
      <c r="D267" s="130" t="str">
        <f aca="false">Scoring!AT273</f>
        <v/>
      </c>
      <c r="E267" s="129" t="str">
        <f aca="false">Scoring!Z273</f>
        <v/>
      </c>
      <c r="F267" s="129" t="n">
        <f aca="false">Scoring!B273</f>
        <v>0</v>
      </c>
      <c r="G267" s="129" t="n">
        <f aca="false">Scoring!D273</f>
        <v>0</v>
      </c>
      <c r="H267" s="129" t="str">
        <f aca="false">Scoring!AV273</f>
        <v/>
      </c>
      <c r="I267" s="131" t="str">
        <f aca="false">Scoring!AU273</f>
        <v/>
      </c>
    </row>
    <row r="268" customFormat="false" ht="15.75" hidden="false" customHeight="false" outlineLevel="0" collapsed="false">
      <c r="A268" s="129" t="str">
        <f aca="false">Scoring!AX274</f>
        <v/>
      </c>
      <c r="B268" s="129" t="str">
        <f aca="false">Scoring!AW274</f>
        <v/>
      </c>
      <c r="C268" s="129" t="n">
        <f aca="false">Scoring!C274</f>
        <v>0</v>
      </c>
      <c r="D268" s="130" t="str">
        <f aca="false">Scoring!AT274</f>
        <v/>
      </c>
      <c r="E268" s="129" t="str">
        <f aca="false">Scoring!Z274</f>
        <v/>
      </c>
      <c r="F268" s="129" t="n">
        <f aca="false">Scoring!B274</f>
        <v>0</v>
      </c>
      <c r="G268" s="129" t="n">
        <f aca="false">Scoring!D274</f>
        <v>0</v>
      </c>
      <c r="H268" s="129" t="str">
        <f aca="false">Scoring!AV274</f>
        <v/>
      </c>
      <c r="I268" s="131" t="str">
        <f aca="false">Scoring!AU274</f>
        <v/>
      </c>
    </row>
    <row r="269" customFormat="false" ht="15.75" hidden="false" customHeight="false" outlineLevel="0" collapsed="false">
      <c r="A269" s="129" t="str">
        <f aca="false">Scoring!AX275</f>
        <v/>
      </c>
      <c r="B269" s="129" t="str">
        <f aca="false">Scoring!AW275</f>
        <v/>
      </c>
      <c r="C269" s="129" t="n">
        <f aca="false">Scoring!C275</f>
        <v>0</v>
      </c>
      <c r="D269" s="130" t="str">
        <f aca="false">Scoring!AT275</f>
        <v/>
      </c>
      <c r="E269" s="129" t="str">
        <f aca="false">Scoring!Z275</f>
        <v/>
      </c>
      <c r="F269" s="129" t="n">
        <f aca="false">Scoring!B275</f>
        <v>0</v>
      </c>
      <c r="G269" s="129" t="n">
        <f aca="false">Scoring!D275</f>
        <v>0</v>
      </c>
      <c r="H269" s="129" t="str">
        <f aca="false">Scoring!AV275</f>
        <v/>
      </c>
      <c r="I269" s="131" t="str">
        <f aca="false">Scoring!AU275</f>
        <v/>
      </c>
    </row>
    <row r="270" customFormat="false" ht="15.75" hidden="false" customHeight="false" outlineLevel="0" collapsed="false">
      <c r="A270" s="129" t="str">
        <f aca="false">Scoring!AX276</f>
        <v/>
      </c>
      <c r="B270" s="129" t="str">
        <f aca="false">Scoring!AW276</f>
        <v/>
      </c>
      <c r="C270" s="129" t="n">
        <f aca="false">Scoring!C276</f>
        <v>0</v>
      </c>
      <c r="D270" s="130" t="str">
        <f aca="false">Scoring!AT276</f>
        <v/>
      </c>
      <c r="E270" s="129" t="str">
        <f aca="false">Scoring!Z276</f>
        <v/>
      </c>
      <c r="F270" s="129" t="n">
        <f aca="false">Scoring!B276</f>
        <v>0</v>
      </c>
      <c r="G270" s="129" t="n">
        <f aca="false">Scoring!D276</f>
        <v>0</v>
      </c>
      <c r="H270" s="129" t="str">
        <f aca="false">Scoring!AV276</f>
        <v/>
      </c>
      <c r="I270" s="131" t="str">
        <f aca="false">Scoring!AU276</f>
        <v/>
      </c>
    </row>
    <row r="271" customFormat="false" ht="15.75" hidden="false" customHeight="false" outlineLevel="0" collapsed="false">
      <c r="A271" s="129" t="str">
        <f aca="false">Scoring!AX277</f>
        <v/>
      </c>
      <c r="B271" s="129" t="str">
        <f aca="false">Scoring!AW277</f>
        <v/>
      </c>
      <c r="C271" s="129" t="n">
        <f aca="false">Scoring!C277</f>
        <v>0</v>
      </c>
      <c r="D271" s="130" t="str">
        <f aca="false">Scoring!AT277</f>
        <v/>
      </c>
      <c r="E271" s="129" t="str">
        <f aca="false">Scoring!Z277</f>
        <v/>
      </c>
      <c r="F271" s="129" t="n">
        <f aca="false">Scoring!B277</f>
        <v>0</v>
      </c>
      <c r="G271" s="129" t="n">
        <f aca="false">Scoring!D277</f>
        <v>0</v>
      </c>
      <c r="H271" s="129" t="str">
        <f aca="false">Scoring!AV277</f>
        <v/>
      </c>
      <c r="I271" s="131" t="str">
        <f aca="false">Scoring!AU277</f>
        <v/>
      </c>
    </row>
    <row r="272" customFormat="false" ht="15.75" hidden="false" customHeight="false" outlineLevel="0" collapsed="false">
      <c r="A272" s="129" t="str">
        <f aca="false">Scoring!AX278</f>
        <v/>
      </c>
      <c r="B272" s="129" t="str">
        <f aca="false">Scoring!AW278</f>
        <v/>
      </c>
      <c r="C272" s="129" t="n">
        <f aca="false">Scoring!C278</f>
        <v>0</v>
      </c>
      <c r="D272" s="130" t="str">
        <f aca="false">Scoring!AT278</f>
        <v/>
      </c>
      <c r="E272" s="129" t="str">
        <f aca="false">Scoring!Z278</f>
        <v/>
      </c>
      <c r="F272" s="129" t="n">
        <f aca="false">Scoring!B278</f>
        <v>0</v>
      </c>
      <c r="G272" s="129" t="n">
        <f aca="false">Scoring!D278</f>
        <v>0</v>
      </c>
      <c r="H272" s="129" t="str">
        <f aca="false">Scoring!AV278</f>
        <v/>
      </c>
      <c r="I272" s="131" t="str">
        <f aca="false">Scoring!AU278</f>
        <v/>
      </c>
    </row>
    <row r="273" customFormat="false" ht="15.75" hidden="false" customHeight="false" outlineLevel="0" collapsed="false">
      <c r="A273" s="129" t="str">
        <f aca="false">Scoring!AX279</f>
        <v/>
      </c>
      <c r="B273" s="129" t="str">
        <f aca="false">Scoring!AW279</f>
        <v/>
      </c>
      <c r="C273" s="129" t="n">
        <f aca="false">Scoring!C279</f>
        <v>0</v>
      </c>
      <c r="D273" s="130" t="str">
        <f aca="false">Scoring!AT279</f>
        <v/>
      </c>
      <c r="E273" s="129" t="str">
        <f aca="false">Scoring!Z279</f>
        <v/>
      </c>
      <c r="F273" s="129" t="n">
        <f aca="false">Scoring!B279</f>
        <v>0</v>
      </c>
      <c r="G273" s="129" t="n">
        <f aca="false">Scoring!D279</f>
        <v>0</v>
      </c>
      <c r="H273" s="129" t="str">
        <f aca="false">Scoring!AV279</f>
        <v/>
      </c>
      <c r="I273" s="131" t="str">
        <f aca="false">Scoring!AU279</f>
        <v/>
      </c>
    </row>
    <row r="274" customFormat="false" ht="15.75" hidden="false" customHeight="false" outlineLevel="0" collapsed="false">
      <c r="A274" s="129" t="str">
        <f aca="false">Scoring!AX280</f>
        <v/>
      </c>
      <c r="B274" s="129" t="str">
        <f aca="false">Scoring!AW280</f>
        <v/>
      </c>
      <c r="C274" s="129" t="n">
        <f aca="false">Scoring!C280</f>
        <v>0</v>
      </c>
      <c r="D274" s="130" t="str">
        <f aca="false">Scoring!AT280</f>
        <v/>
      </c>
      <c r="E274" s="129" t="str">
        <f aca="false">Scoring!Z280</f>
        <v/>
      </c>
      <c r="F274" s="129" t="n">
        <f aca="false">Scoring!B280</f>
        <v>0</v>
      </c>
      <c r="G274" s="129" t="n">
        <f aca="false">Scoring!D280</f>
        <v>0</v>
      </c>
      <c r="H274" s="129" t="str">
        <f aca="false">Scoring!AV280</f>
        <v/>
      </c>
      <c r="I274" s="131" t="str">
        <f aca="false">Scoring!AU280</f>
        <v/>
      </c>
    </row>
    <row r="275" customFormat="false" ht="15.75" hidden="false" customHeight="false" outlineLevel="0" collapsed="false">
      <c r="A275" s="129" t="str">
        <f aca="false">Scoring!AX281</f>
        <v/>
      </c>
      <c r="B275" s="129" t="str">
        <f aca="false">Scoring!AW281</f>
        <v/>
      </c>
      <c r="C275" s="129" t="n">
        <f aca="false">Scoring!C281</f>
        <v>0</v>
      </c>
      <c r="D275" s="130" t="str">
        <f aca="false">Scoring!AT281</f>
        <v/>
      </c>
      <c r="E275" s="129" t="str">
        <f aca="false">Scoring!Z281</f>
        <v/>
      </c>
      <c r="F275" s="129" t="n">
        <f aca="false">Scoring!B281</f>
        <v>0</v>
      </c>
      <c r="G275" s="129" t="n">
        <f aca="false">Scoring!D281</f>
        <v>0</v>
      </c>
      <c r="H275" s="129" t="str">
        <f aca="false">Scoring!AV281</f>
        <v/>
      </c>
      <c r="I275" s="131" t="str">
        <f aca="false">Scoring!AU281</f>
        <v/>
      </c>
    </row>
    <row r="276" customFormat="false" ht="15.75" hidden="false" customHeight="false" outlineLevel="0" collapsed="false">
      <c r="A276" s="129" t="str">
        <f aca="false">Scoring!AX282</f>
        <v/>
      </c>
      <c r="B276" s="129" t="str">
        <f aca="false">Scoring!AW282</f>
        <v/>
      </c>
      <c r="C276" s="129" t="n">
        <f aca="false">Scoring!C282</f>
        <v>0</v>
      </c>
      <c r="D276" s="130" t="str">
        <f aca="false">Scoring!AT282</f>
        <v/>
      </c>
      <c r="E276" s="129" t="str">
        <f aca="false">Scoring!Z282</f>
        <v/>
      </c>
      <c r="F276" s="129" t="n">
        <f aca="false">Scoring!B282</f>
        <v>0</v>
      </c>
      <c r="G276" s="129" t="n">
        <f aca="false">Scoring!D282</f>
        <v>0</v>
      </c>
      <c r="H276" s="129" t="str">
        <f aca="false">Scoring!AV282</f>
        <v/>
      </c>
      <c r="I276" s="131" t="str">
        <f aca="false">Scoring!AU282</f>
        <v/>
      </c>
    </row>
    <row r="277" customFormat="false" ht="15.75" hidden="false" customHeight="false" outlineLevel="0" collapsed="false">
      <c r="A277" s="129" t="str">
        <f aca="false">Scoring!AX283</f>
        <v/>
      </c>
      <c r="B277" s="129" t="str">
        <f aca="false">Scoring!AW283</f>
        <v/>
      </c>
      <c r="C277" s="129" t="n">
        <f aca="false">Scoring!C283</f>
        <v>0</v>
      </c>
      <c r="D277" s="130" t="str">
        <f aca="false">Scoring!AT283</f>
        <v/>
      </c>
      <c r="E277" s="129" t="str">
        <f aca="false">Scoring!Z283</f>
        <v/>
      </c>
      <c r="F277" s="129" t="n">
        <f aca="false">Scoring!B283</f>
        <v>0</v>
      </c>
      <c r="G277" s="129" t="n">
        <f aca="false">Scoring!D283</f>
        <v>0</v>
      </c>
      <c r="H277" s="129" t="str">
        <f aca="false">Scoring!AV283</f>
        <v/>
      </c>
      <c r="I277" s="131" t="str">
        <f aca="false">Scoring!AU283</f>
        <v/>
      </c>
    </row>
    <row r="278" customFormat="false" ht="15.75" hidden="false" customHeight="false" outlineLevel="0" collapsed="false">
      <c r="A278" s="129" t="str">
        <f aca="false">Scoring!AX284</f>
        <v/>
      </c>
      <c r="B278" s="129" t="str">
        <f aca="false">Scoring!AW284</f>
        <v/>
      </c>
      <c r="C278" s="129" t="n">
        <f aca="false">Scoring!C284</f>
        <v>0</v>
      </c>
      <c r="D278" s="130" t="str">
        <f aca="false">Scoring!AT284</f>
        <v/>
      </c>
      <c r="E278" s="129" t="str">
        <f aca="false">Scoring!Z284</f>
        <v/>
      </c>
      <c r="F278" s="129" t="n">
        <f aca="false">Scoring!B284</f>
        <v>0</v>
      </c>
      <c r="G278" s="129" t="n">
        <f aca="false">Scoring!D284</f>
        <v>0</v>
      </c>
      <c r="H278" s="129" t="str">
        <f aca="false">Scoring!AV284</f>
        <v/>
      </c>
      <c r="I278" s="131" t="str">
        <f aca="false">Scoring!AU284</f>
        <v/>
      </c>
    </row>
    <row r="279" customFormat="false" ht="15.75" hidden="false" customHeight="false" outlineLevel="0" collapsed="false">
      <c r="A279" s="129" t="str">
        <f aca="false">Scoring!AX285</f>
        <v/>
      </c>
      <c r="B279" s="129" t="str">
        <f aca="false">Scoring!AW285</f>
        <v/>
      </c>
      <c r="C279" s="129" t="n">
        <f aca="false">Scoring!C285</f>
        <v>0</v>
      </c>
      <c r="D279" s="130" t="str">
        <f aca="false">Scoring!AT285</f>
        <v/>
      </c>
      <c r="E279" s="129" t="str">
        <f aca="false">Scoring!Z285</f>
        <v/>
      </c>
      <c r="F279" s="129" t="n">
        <f aca="false">Scoring!B285</f>
        <v>0</v>
      </c>
      <c r="G279" s="129" t="n">
        <f aca="false">Scoring!D285</f>
        <v>0</v>
      </c>
      <c r="H279" s="129" t="str">
        <f aca="false">Scoring!AV285</f>
        <v/>
      </c>
      <c r="I279" s="131" t="str">
        <f aca="false">Scoring!AU285</f>
        <v/>
      </c>
    </row>
    <row r="280" customFormat="false" ht="15.75" hidden="false" customHeight="false" outlineLevel="0" collapsed="false">
      <c r="A280" s="129" t="str">
        <f aca="false">Scoring!AX286</f>
        <v/>
      </c>
      <c r="B280" s="129" t="str">
        <f aca="false">Scoring!AW286</f>
        <v/>
      </c>
      <c r="C280" s="129" t="n">
        <f aca="false">Scoring!C286</f>
        <v>0</v>
      </c>
      <c r="D280" s="130" t="str">
        <f aca="false">Scoring!AT286</f>
        <v/>
      </c>
      <c r="E280" s="129" t="str">
        <f aca="false">Scoring!Z286</f>
        <v/>
      </c>
      <c r="F280" s="129" t="n">
        <f aca="false">Scoring!B286</f>
        <v>0</v>
      </c>
      <c r="G280" s="129" t="n">
        <f aca="false">Scoring!D286</f>
        <v>0</v>
      </c>
      <c r="H280" s="129" t="str">
        <f aca="false">Scoring!AV286</f>
        <v/>
      </c>
      <c r="I280" s="131" t="str">
        <f aca="false">Scoring!AU286</f>
        <v/>
      </c>
    </row>
    <row r="281" customFormat="false" ht="15.75" hidden="false" customHeight="false" outlineLevel="0" collapsed="false">
      <c r="A281" s="129" t="str">
        <f aca="false">Scoring!AX287</f>
        <v/>
      </c>
      <c r="B281" s="129" t="str">
        <f aca="false">Scoring!AW287</f>
        <v/>
      </c>
      <c r="C281" s="129" t="n">
        <f aca="false">Scoring!C287</f>
        <v>0</v>
      </c>
      <c r="D281" s="130" t="str">
        <f aca="false">Scoring!AT287</f>
        <v/>
      </c>
      <c r="E281" s="129" t="str">
        <f aca="false">Scoring!Z287</f>
        <v/>
      </c>
      <c r="F281" s="129" t="n">
        <f aca="false">Scoring!B287</f>
        <v>0</v>
      </c>
      <c r="G281" s="129" t="n">
        <f aca="false">Scoring!D287</f>
        <v>0</v>
      </c>
      <c r="H281" s="129" t="str">
        <f aca="false">Scoring!AV287</f>
        <v/>
      </c>
      <c r="I281" s="131" t="str">
        <f aca="false">Scoring!AU287</f>
        <v/>
      </c>
    </row>
    <row r="282" customFormat="false" ht="15.75" hidden="false" customHeight="false" outlineLevel="0" collapsed="false">
      <c r="A282" s="129" t="str">
        <f aca="false">Scoring!AX288</f>
        <v/>
      </c>
      <c r="B282" s="129" t="str">
        <f aca="false">Scoring!AW288</f>
        <v/>
      </c>
      <c r="C282" s="129" t="n">
        <f aca="false">Scoring!C288</f>
        <v>0</v>
      </c>
      <c r="D282" s="130" t="str">
        <f aca="false">Scoring!AT288</f>
        <v/>
      </c>
      <c r="E282" s="129" t="str">
        <f aca="false">Scoring!Z288</f>
        <v/>
      </c>
      <c r="F282" s="129" t="n">
        <f aca="false">Scoring!B288</f>
        <v>0</v>
      </c>
      <c r="G282" s="129" t="n">
        <f aca="false">Scoring!D288</f>
        <v>0</v>
      </c>
      <c r="H282" s="129" t="str">
        <f aca="false">Scoring!AV288</f>
        <v/>
      </c>
      <c r="I282" s="131" t="str">
        <f aca="false">Scoring!AU288</f>
        <v/>
      </c>
    </row>
    <row r="283" customFormat="false" ht="15.75" hidden="false" customHeight="false" outlineLevel="0" collapsed="false">
      <c r="A283" s="129" t="str">
        <f aca="false">Scoring!AX289</f>
        <v/>
      </c>
      <c r="B283" s="129" t="str">
        <f aca="false">Scoring!AW289</f>
        <v/>
      </c>
      <c r="C283" s="129" t="n">
        <f aca="false">Scoring!C289</f>
        <v>0</v>
      </c>
      <c r="D283" s="130" t="str">
        <f aca="false">Scoring!AT289</f>
        <v/>
      </c>
      <c r="E283" s="129" t="str">
        <f aca="false">Scoring!Z289</f>
        <v/>
      </c>
      <c r="F283" s="129" t="n">
        <f aca="false">Scoring!B289</f>
        <v>0</v>
      </c>
      <c r="G283" s="129" t="n">
        <f aca="false">Scoring!D289</f>
        <v>0</v>
      </c>
      <c r="H283" s="129" t="str">
        <f aca="false">Scoring!AV289</f>
        <v/>
      </c>
      <c r="I283" s="131" t="str">
        <f aca="false">Scoring!AU289</f>
        <v/>
      </c>
    </row>
    <row r="284" customFormat="false" ht="15.75" hidden="false" customHeight="false" outlineLevel="0" collapsed="false">
      <c r="A284" s="129" t="str">
        <f aca="false">Scoring!AX290</f>
        <v/>
      </c>
      <c r="B284" s="129" t="str">
        <f aca="false">Scoring!AW290</f>
        <v/>
      </c>
      <c r="C284" s="129" t="n">
        <f aca="false">Scoring!C290</f>
        <v>0</v>
      </c>
      <c r="D284" s="130" t="str">
        <f aca="false">Scoring!AT290</f>
        <v/>
      </c>
      <c r="E284" s="129" t="str">
        <f aca="false">Scoring!Z290</f>
        <v/>
      </c>
      <c r="F284" s="129" t="n">
        <f aca="false">Scoring!B290</f>
        <v>0</v>
      </c>
      <c r="G284" s="129" t="n">
        <f aca="false">Scoring!D290</f>
        <v>0</v>
      </c>
      <c r="H284" s="129" t="str">
        <f aca="false">Scoring!AV290</f>
        <v/>
      </c>
      <c r="I284" s="131" t="str">
        <f aca="false">Scoring!AU290</f>
        <v/>
      </c>
    </row>
    <row r="285" customFormat="false" ht="15.75" hidden="false" customHeight="false" outlineLevel="0" collapsed="false">
      <c r="A285" s="129" t="str">
        <f aca="false">Scoring!AX291</f>
        <v/>
      </c>
      <c r="B285" s="129" t="str">
        <f aca="false">Scoring!AW291</f>
        <v/>
      </c>
      <c r="C285" s="129" t="n">
        <f aca="false">Scoring!C291</f>
        <v>0</v>
      </c>
      <c r="D285" s="130" t="str">
        <f aca="false">Scoring!AT291</f>
        <v/>
      </c>
      <c r="E285" s="129" t="str">
        <f aca="false">Scoring!Z291</f>
        <v/>
      </c>
      <c r="F285" s="129" t="n">
        <f aca="false">Scoring!B291</f>
        <v>0</v>
      </c>
      <c r="G285" s="129" t="n">
        <f aca="false">Scoring!D291</f>
        <v>0</v>
      </c>
      <c r="H285" s="129" t="str">
        <f aca="false">Scoring!AV291</f>
        <v/>
      </c>
      <c r="I285" s="131" t="str">
        <f aca="false">Scoring!AU291</f>
        <v/>
      </c>
    </row>
    <row r="286" customFormat="false" ht="15.75" hidden="false" customHeight="false" outlineLevel="0" collapsed="false">
      <c r="A286" s="129" t="str">
        <f aca="false">Scoring!AX292</f>
        <v/>
      </c>
      <c r="B286" s="129" t="str">
        <f aca="false">Scoring!AW292</f>
        <v/>
      </c>
      <c r="C286" s="129" t="n">
        <f aca="false">Scoring!C292</f>
        <v>0</v>
      </c>
      <c r="D286" s="130" t="str">
        <f aca="false">Scoring!AT292</f>
        <v/>
      </c>
      <c r="E286" s="129" t="str">
        <f aca="false">Scoring!Z292</f>
        <v/>
      </c>
      <c r="F286" s="129" t="n">
        <f aca="false">Scoring!B292</f>
        <v>0</v>
      </c>
      <c r="G286" s="129" t="n">
        <f aca="false">Scoring!D292</f>
        <v>0</v>
      </c>
      <c r="H286" s="129" t="str">
        <f aca="false">Scoring!AV292</f>
        <v/>
      </c>
      <c r="I286" s="131" t="str">
        <f aca="false">Scoring!AU292</f>
        <v/>
      </c>
    </row>
    <row r="287" customFormat="false" ht="15.75" hidden="false" customHeight="false" outlineLevel="0" collapsed="false">
      <c r="A287" s="129" t="str">
        <f aca="false">Scoring!AX293</f>
        <v/>
      </c>
      <c r="B287" s="129" t="str">
        <f aca="false">Scoring!AW293</f>
        <v/>
      </c>
      <c r="C287" s="129" t="n">
        <f aca="false">Scoring!C293</f>
        <v>0</v>
      </c>
      <c r="D287" s="130" t="str">
        <f aca="false">Scoring!AT293</f>
        <v/>
      </c>
      <c r="E287" s="129" t="str">
        <f aca="false">Scoring!Z293</f>
        <v/>
      </c>
      <c r="F287" s="129" t="n">
        <f aca="false">Scoring!B293</f>
        <v>0</v>
      </c>
      <c r="G287" s="129" t="n">
        <f aca="false">Scoring!D293</f>
        <v>0</v>
      </c>
      <c r="H287" s="129" t="str">
        <f aca="false">Scoring!AV293</f>
        <v/>
      </c>
      <c r="I287" s="131" t="str">
        <f aca="false">Scoring!AU293</f>
        <v/>
      </c>
    </row>
    <row r="288" customFormat="false" ht="15.75" hidden="false" customHeight="false" outlineLevel="0" collapsed="false">
      <c r="A288" s="129" t="str">
        <f aca="false">Scoring!AX294</f>
        <v/>
      </c>
      <c r="B288" s="129" t="str">
        <f aca="false">Scoring!AW294</f>
        <v/>
      </c>
      <c r="C288" s="129" t="n">
        <f aca="false">Scoring!C294</f>
        <v>0</v>
      </c>
      <c r="D288" s="130" t="str">
        <f aca="false">Scoring!AT294</f>
        <v/>
      </c>
      <c r="E288" s="129" t="str">
        <f aca="false">Scoring!Z294</f>
        <v/>
      </c>
      <c r="F288" s="129" t="n">
        <f aca="false">Scoring!B294</f>
        <v>0</v>
      </c>
      <c r="G288" s="129" t="n">
        <f aca="false">Scoring!D294</f>
        <v>0</v>
      </c>
      <c r="H288" s="129" t="str">
        <f aca="false">Scoring!AV294</f>
        <v/>
      </c>
      <c r="I288" s="131" t="str">
        <f aca="false">Scoring!AU294</f>
        <v/>
      </c>
    </row>
    <row r="289" customFormat="false" ht="15.75" hidden="false" customHeight="false" outlineLevel="0" collapsed="false">
      <c r="A289" s="129" t="str">
        <f aca="false">Scoring!AX295</f>
        <v/>
      </c>
      <c r="B289" s="129" t="str">
        <f aca="false">Scoring!AW295</f>
        <v/>
      </c>
      <c r="C289" s="129" t="n">
        <f aca="false">Scoring!C295</f>
        <v>0</v>
      </c>
      <c r="D289" s="130" t="str">
        <f aca="false">Scoring!AT295</f>
        <v/>
      </c>
      <c r="E289" s="129" t="str">
        <f aca="false">Scoring!Z295</f>
        <v/>
      </c>
      <c r="F289" s="129" t="n">
        <f aca="false">Scoring!B295</f>
        <v>0</v>
      </c>
      <c r="G289" s="129" t="n">
        <f aca="false">Scoring!D295</f>
        <v>0</v>
      </c>
      <c r="H289" s="129" t="str">
        <f aca="false">Scoring!AV295</f>
        <v/>
      </c>
      <c r="I289" s="131" t="str">
        <f aca="false">Scoring!AU295</f>
        <v/>
      </c>
    </row>
    <row r="290" customFormat="false" ht="15.75" hidden="false" customHeight="false" outlineLevel="0" collapsed="false">
      <c r="A290" s="129" t="str">
        <f aca="false">Scoring!AX296</f>
        <v/>
      </c>
      <c r="B290" s="129" t="str">
        <f aca="false">Scoring!AW296</f>
        <v/>
      </c>
      <c r="C290" s="129" t="n">
        <f aca="false">Scoring!C296</f>
        <v>0</v>
      </c>
      <c r="D290" s="130" t="str">
        <f aca="false">Scoring!AT296</f>
        <v/>
      </c>
      <c r="E290" s="129" t="str">
        <f aca="false">Scoring!Z296</f>
        <v/>
      </c>
      <c r="F290" s="129" t="n">
        <f aca="false">Scoring!B296</f>
        <v>0</v>
      </c>
      <c r="G290" s="129" t="n">
        <f aca="false">Scoring!D296</f>
        <v>0</v>
      </c>
      <c r="H290" s="129" t="str">
        <f aca="false">Scoring!AV296</f>
        <v/>
      </c>
      <c r="I290" s="131" t="str">
        <f aca="false">Scoring!AU296</f>
        <v/>
      </c>
    </row>
    <row r="291" customFormat="false" ht="15.75" hidden="false" customHeight="false" outlineLevel="0" collapsed="false">
      <c r="A291" s="129" t="str">
        <f aca="false">Scoring!AX297</f>
        <v/>
      </c>
      <c r="B291" s="129" t="str">
        <f aca="false">Scoring!AW297</f>
        <v/>
      </c>
      <c r="C291" s="129" t="n">
        <f aca="false">Scoring!C297</f>
        <v>0</v>
      </c>
      <c r="D291" s="130" t="str">
        <f aca="false">Scoring!AT297</f>
        <v/>
      </c>
      <c r="E291" s="129" t="str">
        <f aca="false">Scoring!Z297</f>
        <v/>
      </c>
      <c r="F291" s="129" t="n">
        <f aca="false">Scoring!B297</f>
        <v>0</v>
      </c>
      <c r="G291" s="129" t="n">
        <f aca="false">Scoring!D297</f>
        <v>0</v>
      </c>
      <c r="H291" s="129" t="str">
        <f aca="false">Scoring!AV297</f>
        <v/>
      </c>
      <c r="I291" s="131" t="str">
        <f aca="false">Scoring!AU297</f>
        <v/>
      </c>
    </row>
    <row r="292" customFormat="false" ht="15.75" hidden="false" customHeight="false" outlineLevel="0" collapsed="false">
      <c r="A292" s="129" t="str">
        <f aca="false">Scoring!AX298</f>
        <v/>
      </c>
      <c r="B292" s="129" t="str">
        <f aca="false">Scoring!AW298</f>
        <v/>
      </c>
      <c r="C292" s="129" t="n">
        <f aca="false">Scoring!C298</f>
        <v>0</v>
      </c>
      <c r="D292" s="130" t="str">
        <f aca="false">Scoring!AT298</f>
        <v/>
      </c>
      <c r="E292" s="129" t="str">
        <f aca="false">Scoring!Z298</f>
        <v/>
      </c>
      <c r="F292" s="129" t="n">
        <f aca="false">Scoring!B298</f>
        <v>0</v>
      </c>
      <c r="G292" s="129" t="n">
        <f aca="false">Scoring!D298</f>
        <v>0</v>
      </c>
      <c r="H292" s="129" t="str">
        <f aca="false">Scoring!AV298</f>
        <v/>
      </c>
      <c r="I292" s="131" t="str">
        <f aca="false">Scoring!AU298</f>
        <v/>
      </c>
    </row>
    <row r="293" customFormat="false" ht="15.75" hidden="false" customHeight="false" outlineLevel="0" collapsed="false">
      <c r="A293" s="129" t="str">
        <f aca="false">Scoring!AX299</f>
        <v/>
      </c>
      <c r="B293" s="129" t="str">
        <f aca="false">Scoring!AW299</f>
        <v/>
      </c>
      <c r="C293" s="129" t="n">
        <f aca="false">Scoring!C299</f>
        <v>0</v>
      </c>
      <c r="D293" s="130" t="str">
        <f aca="false">Scoring!AT299</f>
        <v/>
      </c>
      <c r="E293" s="129" t="str">
        <f aca="false">Scoring!Z299</f>
        <v/>
      </c>
      <c r="F293" s="129" t="n">
        <f aca="false">Scoring!B299</f>
        <v>0</v>
      </c>
      <c r="G293" s="129" t="n">
        <f aca="false">Scoring!D299</f>
        <v>0</v>
      </c>
      <c r="H293" s="129" t="str">
        <f aca="false">Scoring!AV299</f>
        <v/>
      </c>
      <c r="I293" s="131" t="str">
        <f aca="false">Scoring!AU299</f>
        <v/>
      </c>
    </row>
    <row r="294" customFormat="false" ht="15.75" hidden="false" customHeight="false" outlineLevel="0" collapsed="false">
      <c r="A294" s="129" t="str">
        <f aca="false">Scoring!AX300</f>
        <v/>
      </c>
      <c r="B294" s="129" t="str">
        <f aca="false">Scoring!AW300</f>
        <v/>
      </c>
      <c r="C294" s="129" t="n">
        <f aca="false">Scoring!C300</f>
        <v>0</v>
      </c>
      <c r="D294" s="130" t="str">
        <f aca="false">Scoring!AT300</f>
        <v/>
      </c>
      <c r="E294" s="129" t="str">
        <f aca="false">Scoring!Z300</f>
        <v/>
      </c>
      <c r="F294" s="129" t="n">
        <f aca="false">Scoring!B300</f>
        <v>0</v>
      </c>
      <c r="G294" s="129" t="n">
        <f aca="false">Scoring!D300</f>
        <v>0</v>
      </c>
      <c r="H294" s="129" t="str">
        <f aca="false">Scoring!AV300</f>
        <v/>
      </c>
      <c r="I294" s="131" t="str">
        <f aca="false">Scoring!AU300</f>
        <v/>
      </c>
    </row>
    <row r="295" customFormat="false" ht="15.75" hidden="false" customHeight="false" outlineLevel="0" collapsed="false">
      <c r="A295" s="129" t="str">
        <f aca="false">Scoring!AX301</f>
        <v/>
      </c>
      <c r="B295" s="129" t="str">
        <f aca="false">Scoring!AW301</f>
        <v/>
      </c>
      <c r="C295" s="129" t="n">
        <f aca="false">Scoring!C301</f>
        <v>0</v>
      </c>
      <c r="D295" s="130" t="str">
        <f aca="false">Scoring!AT301</f>
        <v/>
      </c>
      <c r="E295" s="129" t="str">
        <f aca="false">Scoring!Z301</f>
        <v/>
      </c>
      <c r="F295" s="129" t="n">
        <f aca="false">Scoring!B301</f>
        <v>0</v>
      </c>
      <c r="G295" s="129" t="n">
        <f aca="false">Scoring!D301</f>
        <v>0</v>
      </c>
      <c r="H295" s="129" t="str">
        <f aca="false">Scoring!AV301</f>
        <v/>
      </c>
      <c r="I295" s="131" t="str">
        <f aca="false">Scoring!AU301</f>
        <v/>
      </c>
    </row>
    <row r="296" customFormat="false" ht="15.75" hidden="false" customHeight="false" outlineLevel="0" collapsed="false">
      <c r="A296" s="129" t="str">
        <f aca="false">Scoring!AX302</f>
        <v/>
      </c>
      <c r="B296" s="129" t="str">
        <f aca="false">Scoring!AW302</f>
        <v/>
      </c>
      <c r="C296" s="129" t="n">
        <f aca="false">Scoring!C302</f>
        <v>0</v>
      </c>
      <c r="D296" s="130" t="str">
        <f aca="false">Scoring!AT302</f>
        <v/>
      </c>
      <c r="E296" s="129" t="str">
        <f aca="false">Scoring!Z302</f>
        <v/>
      </c>
      <c r="F296" s="129" t="n">
        <f aca="false">Scoring!B302</f>
        <v>0</v>
      </c>
      <c r="G296" s="129" t="n">
        <f aca="false">Scoring!D302</f>
        <v>0</v>
      </c>
      <c r="H296" s="129" t="str">
        <f aca="false">Scoring!AV302</f>
        <v/>
      </c>
      <c r="I296" s="131" t="str">
        <f aca="false">Scoring!AU302</f>
        <v/>
      </c>
    </row>
    <row r="297" customFormat="false" ht="15.75" hidden="false" customHeight="false" outlineLevel="0" collapsed="false">
      <c r="A297" s="129" t="str">
        <f aca="false">Scoring!AX303</f>
        <v/>
      </c>
      <c r="B297" s="129" t="str">
        <f aca="false">Scoring!AW303</f>
        <v/>
      </c>
      <c r="C297" s="129" t="n">
        <f aca="false">Scoring!C303</f>
        <v>0</v>
      </c>
      <c r="D297" s="130" t="str">
        <f aca="false">Scoring!AT303</f>
        <v/>
      </c>
      <c r="E297" s="129" t="str">
        <f aca="false">Scoring!Z303</f>
        <v/>
      </c>
      <c r="F297" s="129" t="n">
        <f aca="false">Scoring!B303</f>
        <v>0</v>
      </c>
      <c r="G297" s="129" t="n">
        <f aca="false">Scoring!D303</f>
        <v>0</v>
      </c>
      <c r="H297" s="129" t="str">
        <f aca="false">Scoring!AV303</f>
        <v/>
      </c>
      <c r="I297" s="131" t="str">
        <f aca="false">Scoring!AU303</f>
        <v/>
      </c>
    </row>
    <row r="298" customFormat="false" ht="15.75" hidden="false" customHeight="false" outlineLevel="0" collapsed="false">
      <c r="A298" s="129" t="str">
        <f aca="false">Scoring!AX304</f>
        <v/>
      </c>
      <c r="B298" s="129" t="str">
        <f aca="false">Scoring!AW304</f>
        <v/>
      </c>
      <c r="C298" s="129" t="n">
        <f aca="false">Scoring!C304</f>
        <v>0</v>
      </c>
      <c r="D298" s="130" t="str">
        <f aca="false">Scoring!AT304</f>
        <v/>
      </c>
      <c r="E298" s="129" t="str">
        <f aca="false">Scoring!Z304</f>
        <v/>
      </c>
      <c r="F298" s="129" t="n">
        <f aca="false">Scoring!B304</f>
        <v>0</v>
      </c>
      <c r="G298" s="129" t="n">
        <f aca="false">Scoring!D304</f>
        <v>0</v>
      </c>
      <c r="H298" s="129" t="str">
        <f aca="false">Scoring!AV304</f>
        <v/>
      </c>
      <c r="I298" s="131" t="str">
        <f aca="false">Scoring!AU304</f>
        <v/>
      </c>
    </row>
    <row r="299" customFormat="false" ht="15.75" hidden="false" customHeight="false" outlineLevel="0" collapsed="false">
      <c r="A299" s="129" t="str">
        <f aca="false">Scoring!AX305</f>
        <v/>
      </c>
      <c r="B299" s="129" t="str">
        <f aca="false">Scoring!AW305</f>
        <v/>
      </c>
      <c r="C299" s="129" t="n">
        <f aca="false">Scoring!C305</f>
        <v>0</v>
      </c>
      <c r="D299" s="130" t="str">
        <f aca="false">Scoring!AT305</f>
        <v/>
      </c>
      <c r="E299" s="129" t="str">
        <f aca="false">Scoring!Z305</f>
        <v/>
      </c>
      <c r="F299" s="129" t="n">
        <f aca="false">Scoring!B305</f>
        <v>0</v>
      </c>
      <c r="G299" s="129" t="n">
        <f aca="false">Scoring!D305</f>
        <v>0</v>
      </c>
      <c r="H299" s="129" t="str">
        <f aca="false">Scoring!AV305</f>
        <v/>
      </c>
      <c r="I299" s="131" t="str">
        <f aca="false">Scoring!AU305</f>
        <v/>
      </c>
    </row>
    <row r="300" customFormat="false" ht="15.75" hidden="false" customHeight="false" outlineLevel="0" collapsed="false">
      <c r="A300" s="129" t="str">
        <f aca="false">Scoring!AX306</f>
        <v/>
      </c>
      <c r="B300" s="129" t="str">
        <f aca="false">Scoring!AW306</f>
        <v/>
      </c>
      <c r="C300" s="129" t="n">
        <f aca="false">Scoring!C306</f>
        <v>0</v>
      </c>
      <c r="D300" s="130" t="str">
        <f aca="false">Scoring!AT306</f>
        <v/>
      </c>
      <c r="E300" s="129" t="str">
        <f aca="false">Scoring!Z306</f>
        <v/>
      </c>
      <c r="F300" s="129" t="n">
        <f aca="false">Scoring!B306</f>
        <v>0</v>
      </c>
      <c r="G300" s="129" t="n">
        <f aca="false">Scoring!D306</f>
        <v>0</v>
      </c>
      <c r="H300" s="129" t="str">
        <f aca="false">Scoring!AV306</f>
        <v/>
      </c>
      <c r="I300" s="131" t="str">
        <f aca="false">Scoring!AU306</f>
        <v/>
      </c>
    </row>
    <row r="301" customFormat="false" ht="15.75" hidden="false" customHeight="false" outlineLevel="0" collapsed="false">
      <c r="A301" s="129" t="str">
        <f aca="false">Scoring!AX307</f>
        <v/>
      </c>
      <c r="B301" s="129" t="str">
        <f aca="false">Scoring!AW307</f>
        <v/>
      </c>
      <c r="C301" s="129" t="n">
        <f aca="false">Scoring!C307</f>
        <v>0</v>
      </c>
      <c r="D301" s="130" t="str">
        <f aca="false">Scoring!AT307</f>
        <v/>
      </c>
      <c r="E301" s="129" t="str">
        <f aca="false">Scoring!Z307</f>
        <v/>
      </c>
      <c r="F301" s="129" t="n">
        <f aca="false">Scoring!B307</f>
        <v>0</v>
      </c>
      <c r="G301" s="129" t="n">
        <f aca="false">Scoring!D307</f>
        <v>0</v>
      </c>
      <c r="H301" s="129" t="str">
        <f aca="false">Scoring!AV307</f>
        <v/>
      </c>
      <c r="I301" s="131" t="str">
        <f aca="false">Scoring!AU307</f>
        <v/>
      </c>
    </row>
    <row r="302" customFormat="false" ht="15.75" hidden="false" customHeight="false" outlineLevel="0" collapsed="false">
      <c r="A302" s="129" t="str">
        <f aca="false">Scoring!AX308</f>
        <v/>
      </c>
      <c r="B302" s="129" t="str">
        <f aca="false">Scoring!AW308</f>
        <v/>
      </c>
      <c r="C302" s="129" t="n">
        <f aca="false">Scoring!C308</f>
        <v>0</v>
      </c>
      <c r="D302" s="130" t="str">
        <f aca="false">Scoring!AT308</f>
        <v/>
      </c>
      <c r="E302" s="129" t="str">
        <f aca="false">Scoring!Z308</f>
        <v/>
      </c>
      <c r="F302" s="129" t="n">
        <f aca="false">Scoring!B308</f>
        <v>0</v>
      </c>
      <c r="G302" s="129" t="n">
        <f aca="false">Scoring!D308</f>
        <v>0</v>
      </c>
      <c r="H302" s="129" t="str">
        <f aca="false">Scoring!AV308</f>
        <v/>
      </c>
      <c r="I302" s="131" t="str">
        <f aca="false">Scoring!AU308</f>
        <v/>
      </c>
    </row>
    <row r="303" customFormat="false" ht="15.75" hidden="false" customHeight="false" outlineLevel="0" collapsed="false">
      <c r="A303" s="129" t="str">
        <f aca="false">Scoring!AX309</f>
        <v/>
      </c>
      <c r="B303" s="129" t="str">
        <f aca="false">Scoring!AW309</f>
        <v/>
      </c>
      <c r="C303" s="129" t="n">
        <f aca="false">Scoring!C309</f>
        <v>0</v>
      </c>
      <c r="D303" s="130" t="str">
        <f aca="false">Scoring!AT309</f>
        <v/>
      </c>
      <c r="E303" s="129" t="str">
        <f aca="false">Scoring!Z309</f>
        <v/>
      </c>
      <c r="F303" s="129" t="n">
        <f aca="false">Scoring!B309</f>
        <v>0</v>
      </c>
      <c r="G303" s="129" t="n">
        <f aca="false">Scoring!D309</f>
        <v>0</v>
      </c>
      <c r="H303" s="129" t="str">
        <f aca="false">Scoring!AV309</f>
        <v/>
      </c>
      <c r="I303" s="131" t="str">
        <f aca="false">Scoring!AU309</f>
        <v/>
      </c>
    </row>
    <row r="304" customFormat="false" ht="15.75" hidden="false" customHeight="false" outlineLevel="0" collapsed="false">
      <c r="A304" s="129" t="str">
        <f aca="false">Scoring!AX310</f>
        <v/>
      </c>
      <c r="B304" s="129" t="str">
        <f aca="false">Scoring!AW310</f>
        <v/>
      </c>
      <c r="C304" s="129" t="n">
        <f aca="false">Scoring!C310</f>
        <v>0</v>
      </c>
      <c r="D304" s="130" t="str">
        <f aca="false">Scoring!AT310</f>
        <v/>
      </c>
      <c r="E304" s="129" t="str">
        <f aca="false">Scoring!Z310</f>
        <v/>
      </c>
      <c r="F304" s="129" t="n">
        <f aca="false">Scoring!B310</f>
        <v>0</v>
      </c>
      <c r="G304" s="129" t="n">
        <f aca="false">Scoring!D310</f>
        <v>0</v>
      </c>
      <c r="H304" s="129" t="str">
        <f aca="false">Scoring!AV310</f>
        <v/>
      </c>
      <c r="I304" s="131" t="str">
        <f aca="false">Scoring!AU310</f>
        <v/>
      </c>
    </row>
    <row r="305" customFormat="false" ht="15.75" hidden="false" customHeight="false" outlineLevel="0" collapsed="false">
      <c r="A305" s="129" t="str">
        <f aca="false">Scoring!AX311</f>
        <v/>
      </c>
      <c r="B305" s="129" t="str">
        <f aca="false">Scoring!AW311</f>
        <v/>
      </c>
      <c r="C305" s="129" t="n">
        <f aca="false">Scoring!C311</f>
        <v>0</v>
      </c>
      <c r="D305" s="130" t="str">
        <f aca="false">Scoring!AT311</f>
        <v/>
      </c>
      <c r="E305" s="129" t="str">
        <f aca="false">Scoring!Z311</f>
        <v/>
      </c>
      <c r="F305" s="129" t="n">
        <f aca="false">Scoring!B311</f>
        <v>0</v>
      </c>
      <c r="G305" s="129" t="n">
        <f aca="false">Scoring!D311</f>
        <v>0</v>
      </c>
      <c r="H305" s="129" t="str">
        <f aca="false">Scoring!AV311</f>
        <v/>
      </c>
      <c r="I305" s="131" t="str">
        <f aca="false">Scoring!AU311</f>
        <v/>
      </c>
    </row>
    <row r="306" customFormat="false" ht="15.75" hidden="false" customHeight="false" outlineLevel="0" collapsed="false">
      <c r="A306" s="129" t="str">
        <f aca="false">Scoring!AX312</f>
        <v/>
      </c>
      <c r="B306" s="129" t="str">
        <f aca="false">Scoring!AW312</f>
        <v/>
      </c>
      <c r="C306" s="129" t="n">
        <f aca="false">Scoring!C312</f>
        <v>0</v>
      </c>
      <c r="D306" s="130" t="str">
        <f aca="false">Scoring!AT312</f>
        <v/>
      </c>
      <c r="E306" s="129" t="str">
        <f aca="false">Scoring!Z312</f>
        <v/>
      </c>
      <c r="F306" s="129" t="n">
        <f aca="false">Scoring!B312</f>
        <v>0</v>
      </c>
      <c r="G306" s="129" t="n">
        <f aca="false">Scoring!D312</f>
        <v>0</v>
      </c>
      <c r="H306" s="129" t="str">
        <f aca="false">Scoring!AV312</f>
        <v/>
      </c>
      <c r="I306" s="131" t="str">
        <f aca="false">Scoring!AU312</f>
        <v/>
      </c>
    </row>
    <row r="307" customFormat="false" ht="15.75" hidden="false" customHeight="false" outlineLevel="0" collapsed="false">
      <c r="A307" s="129" t="str">
        <f aca="false">Scoring!AX313</f>
        <v/>
      </c>
      <c r="B307" s="129" t="str">
        <f aca="false">Scoring!AW313</f>
        <v/>
      </c>
      <c r="C307" s="129" t="n">
        <f aca="false">Scoring!C313</f>
        <v>0</v>
      </c>
      <c r="D307" s="130" t="str">
        <f aca="false">Scoring!AT313</f>
        <v/>
      </c>
      <c r="E307" s="129" t="str">
        <f aca="false">Scoring!Z313</f>
        <v/>
      </c>
      <c r="F307" s="129" t="n">
        <f aca="false">Scoring!B313</f>
        <v>0</v>
      </c>
      <c r="G307" s="129" t="n">
        <f aca="false">Scoring!D313</f>
        <v>0</v>
      </c>
      <c r="H307" s="129" t="str">
        <f aca="false">Scoring!AV313</f>
        <v/>
      </c>
      <c r="I307" s="131" t="str">
        <f aca="false">Scoring!AU313</f>
        <v/>
      </c>
    </row>
    <row r="308" customFormat="false" ht="15.75" hidden="false" customHeight="false" outlineLevel="0" collapsed="false">
      <c r="A308" s="129" t="str">
        <f aca="false">Scoring!AX314</f>
        <v/>
      </c>
      <c r="B308" s="129" t="str">
        <f aca="false">Scoring!AW314</f>
        <v/>
      </c>
      <c r="C308" s="129" t="n">
        <f aca="false">Scoring!C314</f>
        <v>0</v>
      </c>
      <c r="D308" s="130" t="str">
        <f aca="false">Scoring!AT314</f>
        <v/>
      </c>
      <c r="E308" s="129" t="str">
        <f aca="false">Scoring!Z314</f>
        <v/>
      </c>
      <c r="F308" s="129" t="n">
        <f aca="false">Scoring!B314</f>
        <v>0</v>
      </c>
      <c r="G308" s="129" t="n">
        <f aca="false">Scoring!D314</f>
        <v>0</v>
      </c>
      <c r="H308" s="129" t="str">
        <f aca="false">Scoring!AV314</f>
        <v/>
      </c>
      <c r="I308" s="131" t="str">
        <f aca="false">Scoring!AU314</f>
        <v/>
      </c>
    </row>
    <row r="309" customFormat="false" ht="15.75" hidden="false" customHeight="false" outlineLevel="0" collapsed="false">
      <c r="A309" s="129" t="str">
        <f aca="false">Scoring!AX315</f>
        <v/>
      </c>
      <c r="B309" s="129" t="str">
        <f aca="false">Scoring!AW315</f>
        <v/>
      </c>
      <c r="C309" s="129" t="n">
        <f aca="false">Scoring!C315</f>
        <v>0</v>
      </c>
      <c r="D309" s="130" t="str">
        <f aca="false">Scoring!AT315</f>
        <v/>
      </c>
      <c r="E309" s="129" t="str">
        <f aca="false">Scoring!Z315</f>
        <v/>
      </c>
      <c r="F309" s="129" t="n">
        <f aca="false">Scoring!B315</f>
        <v>0</v>
      </c>
      <c r="G309" s="129" t="n">
        <f aca="false">Scoring!D315</f>
        <v>0</v>
      </c>
      <c r="H309" s="129" t="str">
        <f aca="false">Scoring!AV315</f>
        <v/>
      </c>
      <c r="I309" s="131" t="str">
        <f aca="false">Scoring!AU315</f>
        <v/>
      </c>
    </row>
    <row r="310" customFormat="false" ht="15.75" hidden="false" customHeight="false" outlineLevel="0" collapsed="false">
      <c r="A310" s="129" t="str">
        <f aca="false">Scoring!AX316</f>
        <v/>
      </c>
      <c r="B310" s="129" t="str">
        <f aca="false">Scoring!AW316</f>
        <v/>
      </c>
      <c r="C310" s="129" t="n">
        <f aca="false">Scoring!C316</f>
        <v>0</v>
      </c>
      <c r="D310" s="130" t="str">
        <f aca="false">Scoring!AT316</f>
        <v/>
      </c>
      <c r="E310" s="129" t="str">
        <f aca="false">Scoring!Z316</f>
        <v/>
      </c>
      <c r="F310" s="129" t="n">
        <f aca="false">Scoring!B316</f>
        <v>0</v>
      </c>
      <c r="G310" s="129" t="n">
        <f aca="false">Scoring!D316</f>
        <v>0</v>
      </c>
      <c r="H310" s="129" t="str">
        <f aca="false">Scoring!AV316</f>
        <v/>
      </c>
      <c r="I310" s="131" t="str">
        <f aca="false">Scoring!AU316</f>
        <v/>
      </c>
    </row>
    <row r="311" customFormat="false" ht="15.75" hidden="false" customHeight="false" outlineLevel="0" collapsed="false">
      <c r="A311" s="129" t="str">
        <f aca="false">Scoring!AX317</f>
        <v/>
      </c>
      <c r="B311" s="129" t="str">
        <f aca="false">Scoring!AW317</f>
        <v/>
      </c>
      <c r="C311" s="129" t="n">
        <f aca="false">Scoring!C317</f>
        <v>0</v>
      </c>
      <c r="D311" s="130" t="str">
        <f aca="false">Scoring!AT317</f>
        <v/>
      </c>
      <c r="E311" s="129" t="str">
        <f aca="false">Scoring!Z317</f>
        <v/>
      </c>
      <c r="F311" s="129" t="n">
        <f aca="false">Scoring!B317</f>
        <v>0</v>
      </c>
      <c r="G311" s="129" t="n">
        <f aca="false">Scoring!D317</f>
        <v>0</v>
      </c>
      <c r="H311" s="129" t="str">
        <f aca="false">Scoring!AV317</f>
        <v/>
      </c>
      <c r="I311" s="131" t="str">
        <f aca="false">Scoring!AU317</f>
        <v/>
      </c>
    </row>
    <row r="312" customFormat="false" ht="15.75" hidden="false" customHeight="false" outlineLevel="0" collapsed="false">
      <c r="A312" s="129" t="str">
        <f aca="false">Scoring!AX318</f>
        <v/>
      </c>
      <c r="B312" s="129" t="str">
        <f aca="false">Scoring!AW318</f>
        <v/>
      </c>
      <c r="C312" s="129" t="n">
        <f aca="false">Scoring!C318</f>
        <v>0</v>
      </c>
      <c r="D312" s="130" t="str">
        <f aca="false">Scoring!AT318</f>
        <v/>
      </c>
      <c r="E312" s="129" t="str">
        <f aca="false">Scoring!Z318</f>
        <v/>
      </c>
      <c r="F312" s="129" t="n">
        <f aca="false">Scoring!B318</f>
        <v>0</v>
      </c>
      <c r="G312" s="129" t="n">
        <f aca="false">Scoring!D318</f>
        <v>0</v>
      </c>
      <c r="H312" s="129" t="str">
        <f aca="false">Scoring!AV318</f>
        <v/>
      </c>
      <c r="I312" s="131" t="str">
        <f aca="false">Scoring!AU318</f>
        <v/>
      </c>
    </row>
    <row r="313" customFormat="false" ht="15.75" hidden="false" customHeight="false" outlineLevel="0" collapsed="false">
      <c r="A313" s="129" t="str">
        <f aca="false">Scoring!AX319</f>
        <v/>
      </c>
      <c r="B313" s="129" t="str">
        <f aca="false">Scoring!AW319</f>
        <v/>
      </c>
      <c r="C313" s="129" t="n">
        <f aca="false">Scoring!C319</f>
        <v>0</v>
      </c>
      <c r="D313" s="130" t="str">
        <f aca="false">Scoring!AT319</f>
        <v/>
      </c>
      <c r="E313" s="129" t="str">
        <f aca="false">Scoring!Z319</f>
        <v/>
      </c>
      <c r="F313" s="129" t="n">
        <f aca="false">Scoring!B319</f>
        <v>0</v>
      </c>
      <c r="G313" s="129" t="n">
        <f aca="false">Scoring!D319</f>
        <v>0</v>
      </c>
      <c r="H313" s="129" t="str">
        <f aca="false">Scoring!AV319</f>
        <v/>
      </c>
      <c r="I313" s="131" t="str">
        <f aca="false">Scoring!AU319</f>
        <v/>
      </c>
    </row>
    <row r="314" customFormat="false" ht="15.75" hidden="false" customHeight="false" outlineLevel="0" collapsed="false">
      <c r="A314" s="129" t="str">
        <f aca="false">Scoring!AX320</f>
        <v/>
      </c>
      <c r="B314" s="129" t="str">
        <f aca="false">Scoring!AW320</f>
        <v/>
      </c>
      <c r="C314" s="129" t="n">
        <f aca="false">Scoring!C320</f>
        <v>0</v>
      </c>
      <c r="D314" s="130" t="str">
        <f aca="false">Scoring!AT320</f>
        <v/>
      </c>
      <c r="E314" s="129" t="str">
        <f aca="false">Scoring!Z320</f>
        <v/>
      </c>
      <c r="F314" s="129" t="n">
        <f aca="false">Scoring!B320</f>
        <v>0</v>
      </c>
      <c r="G314" s="129" t="n">
        <f aca="false">Scoring!D320</f>
        <v>0</v>
      </c>
      <c r="H314" s="129" t="str">
        <f aca="false">Scoring!AV320</f>
        <v/>
      </c>
      <c r="I314" s="131" t="str">
        <f aca="false">Scoring!AU320</f>
        <v/>
      </c>
    </row>
    <row r="315" customFormat="false" ht="15.75" hidden="false" customHeight="false" outlineLevel="0" collapsed="false">
      <c r="A315" s="129" t="str">
        <f aca="false">Scoring!AX321</f>
        <v/>
      </c>
      <c r="B315" s="129" t="str">
        <f aca="false">Scoring!AW321</f>
        <v/>
      </c>
      <c r="C315" s="129" t="n">
        <f aca="false">Scoring!C321</f>
        <v>0</v>
      </c>
      <c r="D315" s="130" t="str">
        <f aca="false">Scoring!AT321</f>
        <v/>
      </c>
      <c r="E315" s="129" t="str">
        <f aca="false">Scoring!Z321</f>
        <v/>
      </c>
      <c r="F315" s="129" t="n">
        <f aca="false">Scoring!B321</f>
        <v>0</v>
      </c>
      <c r="G315" s="129" t="n">
        <f aca="false">Scoring!D321</f>
        <v>0</v>
      </c>
      <c r="H315" s="129" t="str">
        <f aca="false">Scoring!AV321</f>
        <v/>
      </c>
      <c r="I315" s="131" t="str">
        <f aca="false">Scoring!AU321</f>
        <v/>
      </c>
    </row>
    <row r="316" customFormat="false" ht="15.75" hidden="false" customHeight="false" outlineLevel="0" collapsed="false">
      <c r="A316" s="129" t="str">
        <f aca="false">Scoring!AX322</f>
        <v/>
      </c>
      <c r="B316" s="129" t="str">
        <f aca="false">Scoring!AW322</f>
        <v/>
      </c>
      <c r="C316" s="129" t="n">
        <f aca="false">Scoring!C322</f>
        <v>0</v>
      </c>
      <c r="D316" s="130" t="str">
        <f aca="false">Scoring!AT322</f>
        <v/>
      </c>
      <c r="E316" s="129" t="str">
        <f aca="false">Scoring!Z322</f>
        <v/>
      </c>
      <c r="F316" s="129" t="n">
        <f aca="false">Scoring!B322</f>
        <v>0</v>
      </c>
      <c r="G316" s="129" t="n">
        <f aca="false">Scoring!D322</f>
        <v>0</v>
      </c>
      <c r="H316" s="129" t="str">
        <f aca="false">Scoring!AV322</f>
        <v/>
      </c>
      <c r="I316" s="131" t="str">
        <f aca="false">Scoring!AU322</f>
        <v/>
      </c>
    </row>
    <row r="317" customFormat="false" ht="15.75" hidden="false" customHeight="false" outlineLevel="0" collapsed="false">
      <c r="A317" s="129" t="str">
        <f aca="false">Scoring!AX323</f>
        <v/>
      </c>
      <c r="B317" s="129" t="str">
        <f aca="false">Scoring!AW323</f>
        <v/>
      </c>
      <c r="C317" s="129" t="n">
        <f aca="false">Scoring!C323</f>
        <v>0</v>
      </c>
      <c r="D317" s="130" t="str">
        <f aca="false">Scoring!AT323</f>
        <v/>
      </c>
      <c r="E317" s="129" t="str">
        <f aca="false">Scoring!Z323</f>
        <v/>
      </c>
      <c r="F317" s="129" t="n">
        <f aca="false">Scoring!B323</f>
        <v>0</v>
      </c>
      <c r="G317" s="129" t="n">
        <f aca="false">Scoring!D323</f>
        <v>0</v>
      </c>
      <c r="H317" s="129" t="str">
        <f aca="false">Scoring!AV323</f>
        <v/>
      </c>
      <c r="I317" s="131" t="str">
        <f aca="false">Scoring!AU323</f>
        <v/>
      </c>
    </row>
    <row r="318" customFormat="false" ht="15.75" hidden="false" customHeight="false" outlineLevel="0" collapsed="false">
      <c r="A318" s="129" t="str">
        <f aca="false">Scoring!AX324</f>
        <v/>
      </c>
      <c r="B318" s="129" t="str">
        <f aca="false">Scoring!AW324</f>
        <v/>
      </c>
      <c r="C318" s="129" t="n">
        <f aca="false">Scoring!C324</f>
        <v>0</v>
      </c>
      <c r="D318" s="130" t="str">
        <f aca="false">Scoring!AT324</f>
        <v/>
      </c>
      <c r="E318" s="129" t="str">
        <f aca="false">Scoring!Z324</f>
        <v/>
      </c>
      <c r="F318" s="129" t="n">
        <f aca="false">Scoring!B324</f>
        <v>0</v>
      </c>
      <c r="G318" s="129" t="n">
        <f aca="false">Scoring!D324</f>
        <v>0</v>
      </c>
      <c r="H318" s="129" t="str">
        <f aca="false">Scoring!AV324</f>
        <v/>
      </c>
      <c r="I318" s="131" t="str">
        <f aca="false">Scoring!AU324</f>
        <v/>
      </c>
    </row>
    <row r="319" customFormat="false" ht="15.75" hidden="false" customHeight="false" outlineLevel="0" collapsed="false">
      <c r="A319" s="129" t="str">
        <f aca="false">Scoring!AX325</f>
        <v/>
      </c>
      <c r="B319" s="129" t="str">
        <f aca="false">Scoring!AW325</f>
        <v/>
      </c>
      <c r="C319" s="129" t="n">
        <f aca="false">Scoring!C325</f>
        <v>0</v>
      </c>
      <c r="D319" s="130" t="str">
        <f aca="false">Scoring!AT325</f>
        <v/>
      </c>
      <c r="E319" s="129" t="str">
        <f aca="false">Scoring!Z325</f>
        <v/>
      </c>
      <c r="F319" s="129" t="n">
        <f aca="false">Scoring!B325</f>
        <v>0</v>
      </c>
      <c r="G319" s="129" t="n">
        <f aca="false">Scoring!D325</f>
        <v>0</v>
      </c>
      <c r="H319" s="129" t="str">
        <f aca="false">Scoring!AV325</f>
        <v/>
      </c>
      <c r="I319" s="131" t="str">
        <f aca="false">Scoring!AU325</f>
        <v/>
      </c>
    </row>
    <row r="320" customFormat="false" ht="15.75" hidden="false" customHeight="false" outlineLevel="0" collapsed="false">
      <c r="A320" s="129" t="str">
        <f aca="false">Scoring!AX326</f>
        <v/>
      </c>
      <c r="B320" s="129" t="str">
        <f aca="false">Scoring!AW326</f>
        <v/>
      </c>
      <c r="C320" s="129" t="n">
        <f aca="false">Scoring!C326</f>
        <v>0</v>
      </c>
      <c r="D320" s="130" t="str">
        <f aca="false">Scoring!AT326</f>
        <v/>
      </c>
      <c r="E320" s="129" t="str">
        <f aca="false">Scoring!Z326</f>
        <v/>
      </c>
      <c r="F320" s="129" t="n">
        <f aca="false">Scoring!B326</f>
        <v>0</v>
      </c>
      <c r="G320" s="129" t="n">
        <f aca="false">Scoring!D326</f>
        <v>0</v>
      </c>
      <c r="H320" s="129" t="str">
        <f aca="false">Scoring!AV326</f>
        <v/>
      </c>
      <c r="I320" s="131" t="str">
        <f aca="false">Scoring!AU326</f>
        <v/>
      </c>
    </row>
    <row r="321" customFormat="false" ht="15.75" hidden="false" customHeight="false" outlineLevel="0" collapsed="false">
      <c r="A321" s="129" t="str">
        <f aca="false">Scoring!AX327</f>
        <v/>
      </c>
      <c r="B321" s="129" t="str">
        <f aca="false">Scoring!AW327</f>
        <v/>
      </c>
      <c r="C321" s="129" t="n">
        <f aca="false">Scoring!C327</f>
        <v>0</v>
      </c>
      <c r="D321" s="130" t="str">
        <f aca="false">Scoring!AT327</f>
        <v/>
      </c>
      <c r="E321" s="129" t="str">
        <f aca="false">Scoring!Z327</f>
        <v/>
      </c>
      <c r="F321" s="129" t="n">
        <f aca="false">Scoring!B327</f>
        <v>0</v>
      </c>
      <c r="G321" s="129" t="n">
        <f aca="false">Scoring!D327</f>
        <v>0</v>
      </c>
      <c r="H321" s="129" t="str">
        <f aca="false">Scoring!AV327</f>
        <v/>
      </c>
      <c r="I321" s="131" t="str">
        <f aca="false">Scoring!AU327</f>
        <v/>
      </c>
    </row>
    <row r="322" customFormat="false" ht="15.75" hidden="false" customHeight="false" outlineLevel="0" collapsed="false">
      <c r="A322" s="129" t="str">
        <f aca="false">Scoring!AX328</f>
        <v/>
      </c>
      <c r="B322" s="129" t="str">
        <f aca="false">Scoring!AW328</f>
        <v/>
      </c>
      <c r="C322" s="129" t="n">
        <f aca="false">Scoring!C328</f>
        <v>0</v>
      </c>
      <c r="D322" s="130" t="str">
        <f aca="false">Scoring!AT328</f>
        <v/>
      </c>
      <c r="E322" s="129" t="str">
        <f aca="false">Scoring!Z328</f>
        <v/>
      </c>
      <c r="F322" s="129" t="n">
        <f aca="false">Scoring!B328</f>
        <v>0</v>
      </c>
      <c r="G322" s="129" t="n">
        <f aca="false">Scoring!D328</f>
        <v>0</v>
      </c>
      <c r="H322" s="129" t="str">
        <f aca="false">Scoring!AV328</f>
        <v/>
      </c>
      <c r="I322" s="131" t="str">
        <f aca="false">Scoring!AU328</f>
        <v/>
      </c>
    </row>
    <row r="323" customFormat="false" ht="15.75" hidden="false" customHeight="false" outlineLevel="0" collapsed="false">
      <c r="A323" s="129" t="str">
        <f aca="false">Scoring!AX329</f>
        <v/>
      </c>
      <c r="B323" s="129" t="str">
        <f aca="false">Scoring!AW329</f>
        <v/>
      </c>
      <c r="C323" s="129" t="n">
        <f aca="false">Scoring!C329</f>
        <v>0</v>
      </c>
      <c r="D323" s="130" t="str">
        <f aca="false">Scoring!AT329</f>
        <v/>
      </c>
      <c r="E323" s="129" t="str">
        <f aca="false">Scoring!Z329</f>
        <v/>
      </c>
      <c r="F323" s="129" t="n">
        <f aca="false">Scoring!B329</f>
        <v>0</v>
      </c>
      <c r="G323" s="129" t="n">
        <f aca="false">Scoring!D329</f>
        <v>0</v>
      </c>
      <c r="H323" s="129" t="str">
        <f aca="false">Scoring!AV329</f>
        <v/>
      </c>
      <c r="I323" s="131" t="str">
        <f aca="false">Scoring!AU329</f>
        <v/>
      </c>
    </row>
    <row r="324" customFormat="false" ht="15.75" hidden="false" customHeight="false" outlineLevel="0" collapsed="false">
      <c r="A324" s="129" t="str">
        <f aca="false">Scoring!AX330</f>
        <v/>
      </c>
      <c r="B324" s="129" t="str">
        <f aca="false">Scoring!AW330</f>
        <v/>
      </c>
      <c r="C324" s="129" t="n">
        <f aca="false">Scoring!C330</f>
        <v>0</v>
      </c>
      <c r="D324" s="130" t="str">
        <f aca="false">Scoring!AT330</f>
        <v/>
      </c>
      <c r="E324" s="129" t="str">
        <f aca="false">Scoring!Z330</f>
        <v/>
      </c>
      <c r="F324" s="129" t="n">
        <f aca="false">Scoring!B330</f>
        <v>0</v>
      </c>
      <c r="G324" s="129" t="n">
        <f aca="false">Scoring!D330</f>
        <v>0</v>
      </c>
      <c r="H324" s="129" t="str">
        <f aca="false">Scoring!AV330</f>
        <v/>
      </c>
      <c r="I324" s="131" t="str">
        <f aca="false">Scoring!AU330</f>
        <v/>
      </c>
    </row>
    <row r="325" customFormat="false" ht="15.75" hidden="false" customHeight="false" outlineLevel="0" collapsed="false">
      <c r="A325" s="129" t="str">
        <f aca="false">Scoring!AX331</f>
        <v/>
      </c>
      <c r="B325" s="129" t="str">
        <f aca="false">Scoring!AW331</f>
        <v/>
      </c>
      <c r="C325" s="129" t="n">
        <f aca="false">Scoring!C331</f>
        <v>0</v>
      </c>
      <c r="D325" s="130" t="str">
        <f aca="false">Scoring!AT331</f>
        <v/>
      </c>
      <c r="E325" s="129" t="str">
        <f aca="false">Scoring!Z331</f>
        <v/>
      </c>
      <c r="F325" s="129" t="n">
        <f aca="false">Scoring!B331</f>
        <v>0</v>
      </c>
      <c r="G325" s="129" t="n">
        <f aca="false">Scoring!D331</f>
        <v>0</v>
      </c>
      <c r="H325" s="129" t="str">
        <f aca="false">Scoring!AV331</f>
        <v/>
      </c>
      <c r="I325" s="131" t="str">
        <f aca="false">Scoring!AU331</f>
        <v/>
      </c>
    </row>
    <row r="326" customFormat="false" ht="15.75" hidden="false" customHeight="false" outlineLevel="0" collapsed="false">
      <c r="A326" s="129" t="str">
        <f aca="false">Scoring!AX332</f>
        <v/>
      </c>
      <c r="B326" s="129" t="str">
        <f aca="false">Scoring!AW332</f>
        <v/>
      </c>
      <c r="C326" s="129" t="n">
        <f aca="false">Scoring!C332</f>
        <v>0</v>
      </c>
      <c r="D326" s="130" t="str">
        <f aca="false">Scoring!AT332</f>
        <v/>
      </c>
      <c r="E326" s="129" t="str">
        <f aca="false">Scoring!Z332</f>
        <v/>
      </c>
      <c r="F326" s="129" t="n">
        <f aca="false">Scoring!B332</f>
        <v>0</v>
      </c>
      <c r="G326" s="129" t="n">
        <f aca="false">Scoring!D332</f>
        <v>0</v>
      </c>
      <c r="H326" s="129" t="str">
        <f aca="false">Scoring!AV332</f>
        <v/>
      </c>
      <c r="I326" s="131" t="str">
        <f aca="false">Scoring!AU332</f>
        <v/>
      </c>
    </row>
    <row r="327" customFormat="false" ht="15.75" hidden="false" customHeight="false" outlineLevel="0" collapsed="false">
      <c r="A327" s="129" t="str">
        <f aca="false">Scoring!AX333</f>
        <v/>
      </c>
      <c r="B327" s="129" t="str">
        <f aca="false">Scoring!AW333</f>
        <v/>
      </c>
      <c r="C327" s="129" t="n">
        <f aca="false">Scoring!C333</f>
        <v>0</v>
      </c>
      <c r="D327" s="130" t="str">
        <f aca="false">Scoring!AT333</f>
        <v/>
      </c>
      <c r="E327" s="129" t="str">
        <f aca="false">Scoring!Z333</f>
        <v/>
      </c>
      <c r="F327" s="129" t="n">
        <f aca="false">Scoring!B333</f>
        <v>0</v>
      </c>
      <c r="G327" s="129" t="n">
        <f aca="false">Scoring!D333</f>
        <v>0</v>
      </c>
      <c r="H327" s="129" t="str">
        <f aca="false">Scoring!AV333</f>
        <v/>
      </c>
      <c r="I327" s="131" t="str">
        <f aca="false">Scoring!AU333</f>
        <v/>
      </c>
    </row>
    <row r="328" customFormat="false" ht="15.75" hidden="false" customHeight="false" outlineLevel="0" collapsed="false">
      <c r="A328" s="129" t="str">
        <f aca="false">Scoring!AX334</f>
        <v/>
      </c>
      <c r="B328" s="129" t="str">
        <f aca="false">Scoring!AW334</f>
        <v/>
      </c>
      <c r="C328" s="129" t="n">
        <f aca="false">Scoring!C334</f>
        <v>0</v>
      </c>
      <c r="D328" s="130" t="str">
        <f aca="false">Scoring!AT334</f>
        <v/>
      </c>
      <c r="E328" s="129" t="str">
        <f aca="false">Scoring!Z334</f>
        <v/>
      </c>
      <c r="F328" s="129" t="n">
        <f aca="false">Scoring!B334</f>
        <v>0</v>
      </c>
      <c r="G328" s="129" t="n">
        <f aca="false">Scoring!D334</f>
        <v>0</v>
      </c>
      <c r="H328" s="129" t="str">
        <f aca="false">Scoring!AV334</f>
        <v/>
      </c>
      <c r="I328" s="131" t="str">
        <f aca="false">Scoring!AU334</f>
        <v/>
      </c>
    </row>
    <row r="329" customFormat="false" ht="15.75" hidden="false" customHeight="false" outlineLevel="0" collapsed="false">
      <c r="A329" s="129" t="str">
        <f aca="false">Scoring!AX335</f>
        <v/>
      </c>
      <c r="B329" s="129" t="str">
        <f aca="false">Scoring!AW335</f>
        <v/>
      </c>
      <c r="C329" s="129" t="n">
        <f aca="false">Scoring!C335</f>
        <v>0</v>
      </c>
      <c r="D329" s="130" t="str">
        <f aca="false">Scoring!AT335</f>
        <v/>
      </c>
      <c r="E329" s="129" t="str">
        <f aca="false">Scoring!Z335</f>
        <v/>
      </c>
      <c r="F329" s="129" t="n">
        <f aca="false">Scoring!B335</f>
        <v>0</v>
      </c>
      <c r="G329" s="129" t="n">
        <f aca="false">Scoring!D335</f>
        <v>0</v>
      </c>
      <c r="H329" s="129" t="str">
        <f aca="false">Scoring!AV335</f>
        <v/>
      </c>
      <c r="I329" s="131" t="str">
        <f aca="false">Scoring!AU335</f>
        <v/>
      </c>
    </row>
    <row r="330" customFormat="false" ht="15.75" hidden="false" customHeight="false" outlineLevel="0" collapsed="false">
      <c r="A330" s="129" t="str">
        <f aca="false">Scoring!AX336</f>
        <v/>
      </c>
      <c r="B330" s="129" t="str">
        <f aca="false">Scoring!AW336</f>
        <v/>
      </c>
      <c r="C330" s="129" t="n">
        <f aca="false">Scoring!C336</f>
        <v>0</v>
      </c>
      <c r="D330" s="130" t="str">
        <f aca="false">Scoring!AT336</f>
        <v/>
      </c>
      <c r="E330" s="129" t="str">
        <f aca="false">Scoring!Z336</f>
        <v/>
      </c>
      <c r="F330" s="129" t="n">
        <f aca="false">Scoring!B336</f>
        <v>0</v>
      </c>
      <c r="G330" s="129" t="n">
        <f aca="false">Scoring!D336</f>
        <v>0</v>
      </c>
      <c r="H330" s="129" t="str">
        <f aca="false">Scoring!AV336</f>
        <v/>
      </c>
      <c r="I330" s="131" t="str">
        <f aca="false">Scoring!AU336</f>
        <v/>
      </c>
    </row>
    <row r="331" customFormat="false" ht="15.75" hidden="false" customHeight="false" outlineLevel="0" collapsed="false">
      <c r="A331" s="129" t="str">
        <f aca="false">Scoring!AX337</f>
        <v/>
      </c>
      <c r="B331" s="129" t="str">
        <f aca="false">Scoring!AW337</f>
        <v/>
      </c>
      <c r="C331" s="129" t="n">
        <f aca="false">Scoring!C337</f>
        <v>0</v>
      </c>
      <c r="D331" s="130" t="str">
        <f aca="false">Scoring!AT337</f>
        <v/>
      </c>
      <c r="E331" s="129" t="str">
        <f aca="false">Scoring!Z337</f>
        <v/>
      </c>
      <c r="F331" s="129" t="n">
        <f aca="false">Scoring!B337</f>
        <v>0</v>
      </c>
      <c r="G331" s="129" t="n">
        <f aca="false">Scoring!D337</f>
        <v>0</v>
      </c>
      <c r="H331" s="129" t="str">
        <f aca="false">Scoring!AV337</f>
        <v/>
      </c>
      <c r="I331" s="131" t="str">
        <f aca="false">Scoring!AU337</f>
        <v/>
      </c>
    </row>
    <row r="332" customFormat="false" ht="15.75" hidden="false" customHeight="false" outlineLevel="0" collapsed="false">
      <c r="A332" s="129" t="str">
        <f aca="false">Scoring!AX338</f>
        <v/>
      </c>
      <c r="B332" s="129" t="str">
        <f aca="false">Scoring!AW338</f>
        <v/>
      </c>
      <c r="C332" s="129" t="n">
        <f aca="false">Scoring!C338</f>
        <v>0</v>
      </c>
      <c r="D332" s="130" t="str">
        <f aca="false">Scoring!AT338</f>
        <v/>
      </c>
      <c r="E332" s="129" t="str">
        <f aca="false">Scoring!Z338</f>
        <v/>
      </c>
      <c r="F332" s="129" t="n">
        <f aca="false">Scoring!B338</f>
        <v>0</v>
      </c>
      <c r="G332" s="129" t="n">
        <f aca="false">Scoring!D338</f>
        <v>0</v>
      </c>
      <c r="H332" s="129" t="str">
        <f aca="false">Scoring!AV338</f>
        <v/>
      </c>
      <c r="I332" s="131" t="str">
        <f aca="false">Scoring!AU338</f>
        <v/>
      </c>
    </row>
    <row r="333" customFormat="false" ht="15.75" hidden="false" customHeight="false" outlineLevel="0" collapsed="false">
      <c r="A333" s="129" t="str">
        <f aca="false">Scoring!AX339</f>
        <v/>
      </c>
      <c r="B333" s="129" t="str">
        <f aca="false">Scoring!AW339</f>
        <v/>
      </c>
      <c r="C333" s="129" t="n">
        <f aca="false">Scoring!C339</f>
        <v>0</v>
      </c>
      <c r="D333" s="130" t="str">
        <f aca="false">Scoring!AT339</f>
        <v/>
      </c>
      <c r="E333" s="129" t="str">
        <f aca="false">Scoring!Z339</f>
        <v/>
      </c>
      <c r="F333" s="129" t="n">
        <f aca="false">Scoring!B339</f>
        <v>0</v>
      </c>
      <c r="G333" s="129" t="n">
        <f aca="false">Scoring!D339</f>
        <v>0</v>
      </c>
      <c r="H333" s="129" t="str">
        <f aca="false">Scoring!AV339</f>
        <v/>
      </c>
      <c r="I333" s="131" t="str">
        <f aca="false">Scoring!AU339</f>
        <v/>
      </c>
    </row>
    <row r="334" customFormat="false" ht="15.75" hidden="false" customHeight="false" outlineLevel="0" collapsed="false">
      <c r="A334" s="129" t="str">
        <f aca="false">Scoring!AX340</f>
        <v/>
      </c>
      <c r="B334" s="129" t="str">
        <f aca="false">Scoring!AW340</f>
        <v/>
      </c>
      <c r="C334" s="129" t="n">
        <f aca="false">Scoring!C340</f>
        <v>0</v>
      </c>
      <c r="D334" s="130" t="str">
        <f aca="false">Scoring!AT340</f>
        <v/>
      </c>
      <c r="E334" s="129" t="str">
        <f aca="false">Scoring!Z340</f>
        <v/>
      </c>
      <c r="F334" s="129" t="n">
        <f aca="false">Scoring!B340</f>
        <v>0</v>
      </c>
      <c r="G334" s="129" t="n">
        <f aca="false">Scoring!D340</f>
        <v>0</v>
      </c>
      <c r="H334" s="129" t="str">
        <f aca="false">Scoring!AV340</f>
        <v/>
      </c>
      <c r="I334" s="131" t="str">
        <f aca="false">Scoring!AU340</f>
        <v/>
      </c>
    </row>
    <row r="335" customFormat="false" ht="15.75" hidden="false" customHeight="false" outlineLevel="0" collapsed="false">
      <c r="A335" s="129" t="str">
        <f aca="false">Scoring!AX341</f>
        <v/>
      </c>
      <c r="B335" s="129" t="str">
        <f aca="false">Scoring!AW341</f>
        <v/>
      </c>
      <c r="C335" s="129" t="n">
        <f aca="false">Scoring!C341</f>
        <v>0</v>
      </c>
      <c r="D335" s="130" t="str">
        <f aca="false">Scoring!AT341</f>
        <v/>
      </c>
      <c r="E335" s="129" t="str">
        <f aca="false">Scoring!Z341</f>
        <v/>
      </c>
      <c r="F335" s="129" t="n">
        <f aca="false">Scoring!B341</f>
        <v>0</v>
      </c>
      <c r="G335" s="129" t="n">
        <f aca="false">Scoring!D341</f>
        <v>0</v>
      </c>
      <c r="H335" s="129" t="str">
        <f aca="false">Scoring!AV341</f>
        <v/>
      </c>
      <c r="I335" s="131" t="str">
        <f aca="false">Scoring!AU341</f>
        <v/>
      </c>
    </row>
    <row r="336" customFormat="false" ht="15.75" hidden="false" customHeight="false" outlineLevel="0" collapsed="false">
      <c r="A336" s="129" t="str">
        <f aca="false">Scoring!AX342</f>
        <v/>
      </c>
      <c r="B336" s="129" t="str">
        <f aca="false">Scoring!AW342</f>
        <v/>
      </c>
      <c r="C336" s="129" t="n">
        <f aca="false">Scoring!C342</f>
        <v>0</v>
      </c>
      <c r="D336" s="130" t="str">
        <f aca="false">Scoring!AT342</f>
        <v/>
      </c>
      <c r="E336" s="129" t="str">
        <f aca="false">Scoring!Z342</f>
        <v/>
      </c>
      <c r="F336" s="129" t="n">
        <f aca="false">Scoring!B342</f>
        <v>0</v>
      </c>
      <c r="G336" s="129" t="n">
        <f aca="false">Scoring!D342</f>
        <v>0</v>
      </c>
      <c r="H336" s="129" t="str">
        <f aca="false">Scoring!AV342</f>
        <v/>
      </c>
      <c r="I336" s="131" t="str">
        <f aca="false">Scoring!AU342</f>
        <v/>
      </c>
    </row>
    <row r="337" customFormat="false" ht="15.75" hidden="false" customHeight="false" outlineLevel="0" collapsed="false">
      <c r="A337" s="129" t="str">
        <f aca="false">Scoring!AX343</f>
        <v/>
      </c>
      <c r="B337" s="129" t="str">
        <f aca="false">Scoring!AW343</f>
        <v/>
      </c>
      <c r="C337" s="129" t="n">
        <f aca="false">Scoring!C343</f>
        <v>0</v>
      </c>
      <c r="D337" s="130" t="str">
        <f aca="false">Scoring!AT343</f>
        <v/>
      </c>
      <c r="E337" s="129" t="str">
        <f aca="false">Scoring!Z343</f>
        <v/>
      </c>
      <c r="F337" s="129" t="n">
        <f aca="false">Scoring!B343</f>
        <v>0</v>
      </c>
      <c r="G337" s="129" t="n">
        <f aca="false">Scoring!D343</f>
        <v>0</v>
      </c>
      <c r="H337" s="129" t="str">
        <f aca="false">Scoring!AV343</f>
        <v/>
      </c>
      <c r="I337" s="131" t="str">
        <f aca="false">Scoring!AU343</f>
        <v/>
      </c>
    </row>
    <row r="338" customFormat="false" ht="15.75" hidden="false" customHeight="false" outlineLevel="0" collapsed="false">
      <c r="A338" s="129" t="str">
        <f aca="false">Scoring!AX344</f>
        <v/>
      </c>
      <c r="B338" s="129" t="str">
        <f aca="false">Scoring!AW344</f>
        <v/>
      </c>
      <c r="C338" s="129" t="n">
        <f aca="false">Scoring!C344</f>
        <v>0</v>
      </c>
      <c r="D338" s="130" t="str">
        <f aca="false">Scoring!AT344</f>
        <v/>
      </c>
      <c r="E338" s="129" t="str">
        <f aca="false">Scoring!Z344</f>
        <v/>
      </c>
      <c r="F338" s="129" t="n">
        <f aca="false">Scoring!B344</f>
        <v>0</v>
      </c>
      <c r="G338" s="129" t="n">
        <f aca="false">Scoring!D344</f>
        <v>0</v>
      </c>
      <c r="H338" s="129" t="str">
        <f aca="false">Scoring!AV344</f>
        <v/>
      </c>
      <c r="I338" s="131" t="str">
        <f aca="false">Scoring!AU344</f>
        <v/>
      </c>
    </row>
    <row r="339" customFormat="false" ht="15.75" hidden="false" customHeight="false" outlineLevel="0" collapsed="false">
      <c r="A339" s="129" t="str">
        <f aca="false">Scoring!AX345</f>
        <v/>
      </c>
      <c r="B339" s="129" t="str">
        <f aca="false">Scoring!AW345</f>
        <v/>
      </c>
      <c r="C339" s="129" t="n">
        <f aca="false">Scoring!C345</f>
        <v>0</v>
      </c>
      <c r="D339" s="130" t="str">
        <f aca="false">Scoring!AT345</f>
        <v/>
      </c>
      <c r="E339" s="129" t="str">
        <f aca="false">Scoring!Z345</f>
        <v/>
      </c>
      <c r="F339" s="129" t="n">
        <f aca="false">Scoring!B345</f>
        <v>0</v>
      </c>
      <c r="G339" s="129" t="n">
        <f aca="false">Scoring!D345</f>
        <v>0</v>
      </c>
      <c r="H339" s="129" t="str">
        <f aca="false">Scoring!AV345</f>
        <v/>
      </c>
      <c r="I339" s="131" t="str">
        <f aca="false">Scoring!AU345</f>
        <v/>
      </c>
    </row>
    <row r="340" customFormat="false" ht="15.75" hidden="false" customHeight="false" outlineLevel="0" collapsed="false">
      <c r="A340" s="129" t="str">
        <f aca="false">Scoring!AX346</f>
        <v/>
      </c>
      <c r="B340" s="129" t="str">
        <f aca="false">Scoring!AW346</f>
        <v/>
      </c>
      <c r="C340" s="129" t="n">
        <f aca="false">Scoring!C346</f>
        <v>0</v>
      </c>
      <c r="D340" s="130" t="str">
        <f aca="false">Scoring!AT346</f>
        <v/>
      </c>
      <c r="E340" s="129" t="str">
        <f aca="false">Scoring!Z346</f>
        <v/>
      </c>
      <c r="F340" s="129" t="n">
        <f aca="false">Scoring!B346</f>
        <v>0</v>
      </c>
      <c r="G340" s="129" t="n">
        <f aca="false">Scoring!D346</f>
        <v>0</v>
      </c>
      <c r="H340" s="129" t="str">
        <f aca="false">Scoring!AV346</f>
        <v/>
      </c>
      <c r="I340" s="131" t="str">
        <f aca="false">Scoring!AU346</f>
        <v/>
      </c>
    </row>
    <row r="341" customFormat="false" ht="15.75" hidden="false" customHeight="false" outlineLevel="0" collapsed="false">
      <c r="A341" s="129" t="str">
        <f aca="false">Scoring!AX347</f>
        <v/>
      </c>
      <c r="B341" s="129" t="str">
        <f aca="false">Scoring!AW347</f>
        <v/>
      </c>
      <c r="C341" s="129" t="n">
        <f aca="false">Scoring!C347</f>
        <v>0</v>
      </c>
      <c r="D341" s="130" t="str">
        <f aca="false">Scoring!AT347</f>
        <v/>
      </c>
      <c r="E341" s="129" t="str">
        <f aca="false">Scoring!Z347</f>
        <v/>
      </c>
      <c r="F341" s="129" t="n">
        <f aca="false">Scoring!B347</f>
        <v>0</v>
      </c>
      <c r="G341" s="129" t="n">
        <f aca="false">Scoring!D347</f>
        <v>0</v>
      </c>
      <c r="H341" s="129" t="str">
        <f aca="false">Scoring!AV347</f>
        <v/>
      </c>
      <c r="I341" s="131" t="str">
        <f aca="false">Scoring!AU347</f>
        <v/>
      </c>
    </row>
    <row r="342" customFormat="false" ht="15.75" hidden="false" customHeight="false" outlineLevel="0" collapsed="false">
      <c r="A342" s="129" t="str">
        <f aca="false">Scoring!AX348</f>
        <v/>
      </c>
      <c r="B342" s="129" t="str">
        <f aca="false">Scoring!AW348</f>
        <v/>
      </c>
      <c r="C342" s="129" t="n">
        <f aca="false">Scoring!C348</f>
        <v>0</v>
      </c>
      <c r="D342" s="130" t="str">
        <f aca="false">Scoring!AT348</f>
        <v/>
      </c>
      <c r="E342" s="129" t="str">
        <f aca="false">Scoring!Z348</f>
        <v/>
      </c>
      <c r="F342" s="129" t="n">
        <f aca="false">Scoring!B348</f>
        <v>0</v>
      </c>
      <c r="G342" s="129" t="n">
        <f aca="false">Scoring!D348</f>
        <v>0</v>
      </c>
      <c r="H342" s="129" t="str">
        <f aca="false">Scoring!AV348</f>
        <v/>
      </c>
      <c r="I342" s="131" t="str">
        <f aca="false">Scoring!AU348</f>
        <v/>
      </c>
    </row>
    <row r="343" customFormat="false" ht="15.75" hidden="false" customHeight="false" outlineLevel="0" collapsed="false">
      <c r="A343" s="129" t="str">
        <f aca="false">Scoring!AX349</f>
        <v/>
      </c>
      <c r="B343" s="129" t="str">
        <f aca="false">Scoring!AW349</f>
        <v/>
      </c>
      <c r="C343" s="129" t="n">
        <f aca="false">Scoring!C349</f>
        <v>0</v>
      </c>
      <c r="D343" s="130" t="str">
        <f aca="false">Scoring!AT349</f>
        <v/>
      </c>
      <c r="E343" s="129" t="str">
        <f aca="false">Scoring!Z349</f>
        <v/>
      </c>
      <c r="F343" s="129" t="n">
        <f aca="false">Scoring!B349</f>
        <v>0</v>
      </c>
      <c r="G343" s="129" t="n">
        <f aca="false">Scoring!D349</f>
        <v>0</v>
      </c>
      <c r="H343" s="129" t="str">
        <f aca="false">Scoring!AV349</f>
        <v/>
      </c>
      <c r="I343" s="131" t="str">
        <f aca="false">Scoring!AU349</f>
        <v/>
      </c>
    </row>
    <row r="344" customFormat="false" ht="15.75" hidden="false" customHeight="false" outlineLevel="0" collapsed="false">
      <c r="A344" s="129" t="str">
        <f aca="false">Scoring!AX350</f>
        <v/>
      </c>
      <c r="B344" s="129" t="str">
        <f aca="false">Scoring!AW350</f>
        <v/>
      </c>
      <c r="C344" s="129" t="n">
        <f aca="false">Scoring!C350</f>
        <v>0</v>
      </c>
      <c r="D344" s="130" t="str">
        <f aca="false">Scoring!AT350</f>
        <v/>
      </c>
      <c r="E344" s="129" t="str">
        <f aca="false">Scoring!Z350</f>
        <v/>
      </c>
      <c r="F344" s="129" t="n">
        <f aca="false">Scoring!B350</f>
        <v>0</v>
      </c>
      <c r="G344" s="129" t="n">
        <f aca="false">Scoring!D350</f>
        <v>0</v>
      </c>
      <c r="H344" s="129" t="str">
        <f aca="false">Scoring!AV350</f>
        <v/>
      </c>
      <c r="I344" s="131" t="str">
        <f aca="false">Scoring!AU350</f>
        <v/>
      </c>
    </row>
    <row r="345" customFormat="false" ht="15.75" hidden="false" customHeight="false" outlineLevel="0" collapsed="false">
      <c r="A345" s="129" t="str">
        <f aca="false">Scoring!AX351</f>
        <v/>
      </c>
      <c r="B345" s="129" t="str">
        <f aca="false">Scoring!AW351</f>
        <v/>
      </c>
      <c r="C345" s="129" t="n">
        <f aca="false">Scoring!C351</f>
        <v>0</v>
      </c>
      <c r="D345" s="130" t="str">
        <f aca="false">Scoring!AT351</f>
        <v/>
      </c>
      <c r="E345" s="129" t="str">
        <f aca="false">Scoring!Z351</f>
        <v/>
      </c>
      <c r="F345" s="129" t="n">
        <f aca="false">Scoring!B351</f>
        <v>0</v>
      </c>
      <c r="G345" s="129" t="n">
        <f aca="false">Scoring!D351</f>
        <v>0</v>
      </c>
      <c r="H345" s="129" t="str">
        <f aca="false">Scoring!AV351</f>
        <v/>
      </c>
      <c r="I345" s="131" t="str">
        <f aca="false">Scoring!AU351</f>
        <v/>
      </c>
    </row>
    <row r="346" customFormat="false" ht="15.75" hidden="false" customHeight="false" outlineLevel="0" collapsed="false">
      <c r="A346" s="129" t="str">
        <f aca="false">Scoring!AX352</f>
        <v/>
      </c>
      <c r="B346" s="129" t="str">
        <f aca="false">Scoring!AW352</f>
        <v/>
      </c>
      <c r="C346" s="129" t="n">
        <f aca="false">Scoring!C352</f>
        <v>0</v>
      </c>
      <c r="D346" s="130" t="str">
        <f aca="false">Scoring!AT352</f>
        <v/>
      </c>
      <c r="E346" s="129" t="str">
        <f aca="false">Scoring!Z352</f>
        <v/>
      </c>
      <c r="F346" s="129" t="n">
        <f aca="false">Scoring!B352</f>
        <v>0</v>
      </c>
      <c r="G346" s="129" t="n">
        <f aca="false">Scoring!D352</f>
        <v>0</v>
      </c>
      <c r="H346" s="129" t="str">
        <f aca="false">Scoring!AV352</f>
        <v/>
      </c>
      <c r="I346" s="131" t="str">
        <f aca="false">Scoring!AU352</f>
        <v/>
      </c>
    </row>
    <row r="347" customFormat="false" ht="15.75" hidden="false" customHeight="false" outlineLevel="0" collapsed="false">
      <c r="A347" s="129" t="str">
        <f aca="false">Scoring!AX353</f>
        <v/>
      </c>
      <c r="B347" s="129" t="str">
        <f aca="false">Scoring!AW353</f>
        <v/>
      </c>
      <c r="C347" s="129" t="n">
        <f aca="false">Scoring!C353</f>
        <v>0</v>
      </c>
      <c r="D347" s="130" t="str">
        <f aca="false">Scoring!AT353</f>
        <v/>
      </c>
      <c r="E347" s="129" t="str">
        <f aca="false">Scoring!Z353</f>
        <v/>
      </c>
      <c r="F347" s="129" t="n">
        <f aca="false">Scoring!B353</f>
        <v>0</v>
      </c>
      <c r="G347" s="129" t="n">
        <f aca="false">Scoring!D353</f>
        <v>0</v>
      </c>
      <c r="H347" s="129" t="str">
        <f aca="false">Scoring!AV353</f>
        <v/>
      </c>
      <c r="I347" s="131" t="str">
        <f aca="false">Scoring!AU353</f>
        <v/>
      </c>
    </row>
    <row r="348" customFormat="false" ht="15.75" hidden="false" customHeight="false" outlineLevel="0" collapsed="false">
      <c r="A348" s="129" t="str">
        <f aca="false">Scoring!AX354</f>
        <v/>
      </c>
      <c r="B348" s="129" t="str">
        <f aca="false">Scoring!AW354</f>
        <v/>
      </c>
      <c r="C348" s="129" t="n">
        <f aca="false">Scoring!C354</f>
        <v>0</v>
      </c>
      <c r="D348" s="130" t="str">
        <f aca="false">Scoring!AT354</f>
        <v/>
      </c>
      <c r="E348" s="129" t="str">
        <f aca="false">Scoring!Z354</f>
        <v/>
      </c>
      <c r="F348" s="129" t="n">
        <f aca="false">Scoring!B354</f>
        <v>0</v>
      </c>
      <c r="G348" s="129" t="n">
        <f aca="false">Scoring!D354</f>
        <v>0</v>
      </c>
      <c r="H348" s="129" t="str">
        <f aca="false">Scoring!AV354</f>
        <v/>
      </c>
      <c r="I348" s="131" t="str">
        <f aca="false">Scoring!AU354</f>
        <v/>
      </c>
    </row>
    <row r="349" customFormat="false" ht="15.75" hidden="false" customHeight="false" outlineLevel="0" collapsed="false">
      <c r="A349" s="129" t="str">
        <f aca="false">Scoring!AX355</f>
        <v/>
      </c>
      <c r="B349" s="129" t="str">
        <f aca="false">Scoring!AW355</f>
        <v/>
      </c>
      <c r="C349" s="129" t="n">
        <f aca="false">Scoring!C355</f>
        <v>0</v>
      </c>
      <c r="D349" s="130" t="str">
        <f aca="false">Scoring!AT355</f>
        <v/>
      </c>
      <c r="E349" s="129" t="str">
        <f aca="false">Scoring!Z355</f>
        <v/>
      </c>
      <c r="F349" s="129" t="n">
        <f aca="false">Scoring!B355</f>
        <v>0</v>
      </c>
      <c r="G349" s="129" t="n">
        <f aca="false">Scoring!D355</f>
        <v>0</v>
      </c>
      <c r="H349" s="129" t="str">
        <f aca="false">Scoring!AV355</f>
        <v/>
      </c>
      <c r="I349" s="131" t="str">
        <f aca="false">Scoring!AU355</f>
        <v/>
      </c>
    </row>
    <row r="350" customFormat="false" ht="15.75" hidden="false" customHeight="false" outlineLevel="0" collapsed="false">
      <c r="A350" s="129" t="str">
        <f aca="false">Scoring!AX356</f>
        <v/>
      </c>
      <c r="B350" s="129" t="str">
        <f aca="false">Scoring!AW356</f>
        <v/>
      </c>
      <c r="C350" s="129" t="n">
        <f aca="false">Scoring!C356</f>
        <v>0</v>
      </c>
      <c r="D350" s="130" t="str">
        <f aca="false">Scoring!AT356</f>
        <v/>
      </c>
      <c r="E350" s="129" t="str">
        <f aca="false">Scoring!Z356</f>
        <v/>
      </c>
      <c r="F350" s="129" t="n">
        <f aca="false">Scoring!B356</f>
        <v>0</v>
      </c>
      <c r="G350" s="129" t="n">
        <f aca="false">Scoring!D356</f>
        <v>0</v>
      </c>
      <c r="H350" s="129" t="str">
        <f aca="false">Scoring!AV356</f>
        <v/>
      </c>
      <c r="I350" s="131" t="str">
        <f aca="false">Scoring!AU356</f>
        <v/>
      </c>
    </row>
    <row r="351" customFormat="false" ht="15.75" hidden="false" customHeight="false" outlineLevel="0" collapsed="false">
      <c r="A351" s="129" t="str">
        <f aca="false">Scoring!AX357</f>
        <v/>
      </c>
      <c r="B351" s="129" t="str">
        <f aca="false">Scoring!AW357</f>
        <v/>
      </c>
      <c r="C351" s="129" t="n">
        <f aca="false">Scoring!C357</f>
        <v>0</v>
      </c>
      <c r="D351" s="130" t="str">
        <f aca="false">Scoring!AT357</f>
        <v/>
      </c>
      <c r="E351" s="129" t="str">
        <f aca="false">Scoring!Z357</f>
        <v/>
      </c>
      <c r="F351" s="129" t="n">
        <f aca="false">Scoring!B357</f>
        <v>0</v>
      </c>
      <c r="G351" s="129" t="n">
        <f aca="false">Scoring!D357</f>
        <v>0</v>
      </c>
      <c r="H351" s="129" t="str">
        <f aca="false">Scoring!AV357</f>
        <v/>
      </c>
      <c r="I351" s="131" t="str">
        <f aca="false">Scoring!AU357</f>
        <v/>
      </c>
    </row>
    <row r="352" customFormat="false" ht="15.75" hidden="false" customHeight="false" outlineLevel="0" collapsed="false">
      <c r="A352" s="129" t="str">
        <f aca="false">Scoring!AX358</f>
        <v/>
      </c>
      <c r="B352" s="129" t="str">
        <f aca="false">Scoring!AW358</f>
        <v/>
      </c>
      <c r="C352" s="129" t="n">
        <f aca="false">Scoring!C358</f>
        <v>0</v>
      </c>
      <c r="D352" s="130" t="str">
        <f aca="false">Scoring!AT358</f>
        <v/>
      </c>
      <c r="E352" s="129" t="str">
        <f aca="false">Scoring!Z358</f>
        <v/>
      </c>
      <c r="F352" s="129" t="n">
        <f aca="false">Scoring!B358</f>
        <v>0</v>
      </c>
      <c r="G352" s="129" t="n">
        <f aca="false">Scoring!D358</f>
        <v>0</v>
      </c>
      <c r="H352" s="129" t="str">
        <f aca="false">Scoring!AV358</f>
        <v/>
      </c>
      <c r="I352" s="131" t="str">
        <f aca="false">Scoring!AU358</f>
        <v/>
      </c>
    </row>
    <row r="353" customFormat="false" ht="15.75" hidden="false" customHeight="false" outlineLevel="0" collapsed="false">
      <c r="A353" s="129" t="str">
        <f aca="false">Scoring!AX359</f>
        <v/>
      </c>
      <c r="B353" s="129" t="str">
        <f aca="false">Scoring!AW359</f>
        <v/>
      </c>
      <c r="C353" s="129" t="n">
        <f aca="false">Scoring!C359</f>
        <v>0</v>
      </c>
      <c r="D353" s="130" t="str">
        <f aca="false">Scoring!AT359</f>
        <v/>
      </c>
      <c r="E353" s="129" t="str">
        <f aca="false">Scoring!Z359</f>
        <v/>
      </c>
      <c r="F353" s="129" t="n">
        <f aca="false">Scoring!B359</f>
        <v>0</v>
      </c>
      <c r="G353" s="129" t="n">
        <f aca="false">Scoring!D359</f>
        <v>0</v>
      </c>
      <c r="H353" s="129" t="str">
        <f aca="false">Scoring!AV359</f>
        <v/>
      </c>
      <c r="I353" s="131" t="str">
        <f aca="false">Scoring!AU359</f>
        <v/>
      </c>
    </row>
    <row r="354" customFormat="false" ht="15.75" hidden="false" customHeight="false" outlineLevel="0" collapsed="false">
      <c r="A354" s="129" t="str">
        <f aca="false">Scoring!AX360</f>
        <v/>
      </c>
      <c r="B354" s="129" t="str">
        <f aca="false">Scoring!AW360</f>
        <v/>
      </c>
      <c r="C354" s="129" t="n">
        <f aca="false">Scoring!C360</f>
        <v>0</v>
      </c>
      <c r="D354" s="130" t="str">
        <f aca="false">Scoring!AT360</f>
        <v/>
      </c>
      <c r="E354" s="129" t="str">
        <f aca="false">Scoring!Z360</f>
        <v/>
      </c>
      <c r="F354" s="129" t="n">
        <f aca="false">Scoring!B360</f>
        <v>0</v>
      </c>
      <c r="G354" s="129" t="n">
        <f aca="false">Scoring!D360</f>
        <v>0</v>
      </c>
      <c r="H354" s="129" t="str">
        <f aca="false">Scoring!AV360</f>
        <v/>
      </c>
      <c r="I354" s="131" t="str">
        <f aca="false">Scoring!AU360</f>
        <v/>
      </c>
    </row>
    <row r="355" customFormat="false" ht="15.75" hidden="false" customHeight="false" outlineLevel="0" collapsed="false">
      <c r="A355" s="129" t="str">
        <f aca="false">Scoring!AX361</f>
        <v/>
      </c>
      <c r="B355" s="129" t="str">
        <f aca="false">Scoring!AW361</f>
        <v/>
      </c>
      <c r="C355" s="129" t="n">
        <f aca="false">Scoring!C361</f>
        <v>0</v>
      </c>
      <c r="D355" s="130" t="str">
        <f aca="false">Scoring!AT361</f>
        <v/>
      </c>
      <c r="E355" s="129" t="str">
        <f aca="false">Scoring!Z361</f>
        <v/>
      </c>
      <c r="F355" s="129" t="n">
        <f aca="false">Scoring!B361</f>
        <v>0</v>
      </c>
      <c r="G355" s="129" t="n">
        <f aca="false">Scoring!D361</f>
        <v>0</v>
      </c>
      <c r="H355" s="129" t="str">
        <f aca="false">Scoring!AV361</f>
        <v/>
      </c>
      <c r="I355" s="131" t="str">
        <f aca="false">Scoring!AU361</f>
        <v/>
      </c>
    </row>
    <row r="356" customFormat="false" ht="15.75" hidden="false" customHeight="false" outlineLevel="0" collapsed="false">
      <c r="A356" s="129" t="str">
        <f aca="false">Scoring!AX362</f>
        <v/>
      </c>
      <c r="B356" s="129" t="str">
        <f aca="false">Scoring!AW362</f>
        <v/>
      </c>
      <c r="C356" s="129" t="n">
        <f aca="false">Scoring!C362</f>
        <v>0</v>
      </c>
      <c r="D356" s="130" t="str">
        <f aca="false">Scoring!AT362</f>
        <v/>
      </c>
      <c r="E356" s="129" t="str">
        <f aca="false">Scoring!Z362</f>
        <v/>
      </c>
      <c r="F356" s="129" t="n">
        <f aca="false">Scoring!B362</f>
        <v>0</v>
      </c>
      <c r="G356" s="129" t="n">
        <f aca="false">Scoring!D362</f>
        <v>0</v>
      </c>
      <c r="H356" s="129" t="str">
        <f aca="false">Scoring!AV362</f>
        <v/>
      </c>
      <c r="I356" s="131" t="str">
        <f aca="false">Scoring!AU362</f>
        <v/>
      </c>
    </row>
    <row r="357" customFormat="false" ht="15.75" hidden="false" customHeight="false" outlineLevel="0" collapsed="false">
      <c r="A357" s="129" t="str">
        <f aca="false">Scoring!AX363</f>
        <v/>
      </c>
      <c r="B357" s="129" t="str">
        <f aca="false">Scoring!AW363</f>
        <v/>
      </c>
      <c r="C357" s="129" t="n">
        <f aca="false">Scoring!C363</f>
        <v>0</v>
      </c>
      <c r="D357" s="130" t="str">
        <f aca="false">Scoring!AT363</f>
        <v/>
      </c>
      <c r="E357" s="129" t="str">
        <f aca="false">Scoring!Z363</f>
        <v/>
      </c>
      <c r="F357" s="129" t="n">
        <f aca="false">Scoring!B363</f>
        <v>0</v>
      </c>
      <c r="G357" s="129" t="n">
        <f aca="false">Scoring!D363</f>
        <v>0</v>
      </c>
      <c r="H357" s="129" t="str">
        <f aca="false">Scoring!AV363</f>
        <v/>
      </c>
      <c r="I357" s="131" t="str">
        <f aca="false">Scoring!AU363</f>
        <v/>
      </c>
    </row>
    <row r="358" customFormat="false" ht="15.75" hidden="false" customHeight="false" outlineLevel="0" collapsed="false">
      <c r="A358" s="129" t="str">
        <f aca="false">Scoring!AX364</f>
        <v/>
      </c>
      <c r="B358" s="129" t="str">
        <f aca="false">Scoring!AW364</f>
        <v/>
      </c>
      <c r="C358" s="129" t="n">
        <f aca="false">Scoring!C364</f>
        <v>0</v>
      </c>
      <c r="D358" s="130" t="str">
        <f aca="false">Scoring!AT364</f>
        <v/>
      </c>
      <c r="E358" s="129" t="str">
        <f aca="false">Scoring!Z364</f>
        <v/>
      </c>
      <c r="F358" s="129" t="n">
        <f aca="false">Scoring!B364</f>
        <v>0</v>
      </c>
      <c r="G358" s="129" t="n">
        <f aca="false">Scoring!D364</f>
        <v>0</v>
      </c>
      <c r="H358" s="129" t="str">
        <f aca="false">Scoring!AV364</f>
        <v/>
      </c>
      <c r="I358" s="131" t="str">
        <f aca="false">Scoring!AU364</f>
        <v/>
      </c>
    </row>
    <row r="359" customFormat="false" ht="15.75" hidden="false" customHeight="false" outlineLevel="0" collapsed="false">
      <c r="A359" s="129" t="str">
        <f aca="false">Scoring!AX365</f>
        <v/>
      </c>
      <c r="B359" s="129" t="str">
        <f aca="false">Scoring!AW365</f>
        <v/>
      </c>
      <c r="C359" s="129" t="n">
        <f aca="false">Scoring!C365</f>
        <v>0</v>
      </c>
      <c r="D359" s="130" t="str">
        <f aca="false">Scoring!AT365</f>
        <v/>
      </c>
      <c r="E359" s="129" t="str">
        <f aca="false">Scoring!Z365</f>
        <v/>
      </c>
      <c r="F359" s="129" t="n">
        <f aca="false">Scoring!B365</f>
        <v>0</v>
      </c>
      <c r="G359" s="129" t="n">
        <f aca="false">Scoring!D365</f>
        <v>0</v>
      </c>
      <c r="H359" s="129" t="str">
        <f aca="false">Scoring!AV365</f>
        <v/>
      </c>
      <c r="I359" s="131" t="str">
        <f aca="false">Scoring!AU365</f>
        <v/>
      </c>
    </row>
    <row r="360" customFormat="false" ht="15.75" hidden="false" customHeight="false" outlineLevel="0" collapsed="false">
      <c r="A360" s="129" t="str">
        <f aca="false">Scoring!AX366</f>
        <v/>
      </c>
      <c r="B360" s="129" t="str">
        <f aca="false">Scoring!AW366</f>
        <v/>
      </c>
      <c r="C360" s="129" t="n">
        <f aca="false">Scoring!C366</f>
        <v>0</v>
      </c>
      <c r="D360" s="130" t="str">
        <f aca="false">Scoring!AT366</f>
        <v/>
      </c>
      <c r="E360" s="129" t="str">
        <f aca="false">Scoring!Z366</f>
        <v/>
      </c>
      <c r="F360" s="129" t="n">
        <f aca="false">Scoring!B366</f>
        <v>0</v>
      </c>
      <c r="G360" s="129" t="n">
        <f aca="false">Scoring!D366</f>
        <v>0</v>
      </c>
      <c r="H360" s="129" t="str">
        <f aca="false">Scoring!AV366</f>
        <v/>
      </c>
      <c r="I360" s="131" t="str">
        <f aca="false">Scoring!AU366</f>
        <v/>
      </c>
    </row>
    <row r="361" customFormat="false" ht="15.75" hidden="false" customHeight="false" outlineLevel="0" collapsed="false">
      <c r="A361" s="129" t="str">
        <f aca="false">Scoring!AX367</f>
        <v/>
      </c>
      <c r="B361" s="129" t="str">
        <f aca="false">Scoring!AW367</f>
        <v/>
      </c>
      <c r="C361" s="129" t="n">
        <f aca="false">Scoring!C367</f>
        <v>0</v>
      </c>
      <c r="D361" s="130" t="str">
        <f aca="false">Scoring!AT367</f>
        <v/>
      </c>
      <c r="E361" s="129" t="str">
        <f aca="false">Scoring!Z367</f>
        <v/>
      </c>
      <c r="F361" s="129" t="n">
        <f aca="false">Scoring!B367</f>
        <v>0</v>
      </c>
      <c r="G361" s="129" t="n">
        <f aca="false">Scoring!D367</f>
        <v>0</v>
      </c>
      <c r="H361" s="129" t="str">
        <f aca="false">Scoring!AV367</f>
        <v/>
      </c>
      <c r="I361" s="131" t="str">
        <f aca="false">Scoring!AU367</f>
        <v/>
      </c>
    </row>
    <row r="362" customFormat="false" ht="15.75" hidden="false" customHeight="false" outlineLevel="0" collapsed="false">
      <c r="A362" s="129" t="str">
        <f aca="false">Scoring!AX368</f>
        <v/>
      </c>
      <c r="B362" s="129" t="str">
        <f aca="false">Scoring!AW368</f>
        <v/>
      </c>
      <c r="C362" s="129" t="n">
        <f aca="false">Scoring!C368</f>
        <v>0</v>
      </c>
      <c r="D362" s="130" t="str">
        <f aca="false">Scoring!AT368</f>
        <v/>
      </c>
      <c r="E362" s="129" t="str">
        <f aca="false">Scoring!Z368</f>
        <v/>
      </c>
      <c r="F362" s="129" t="n">
        <f aca="false">Scoring!B368</f>
        <v>0</v>
      </c>
      <c r="G362" s="129" t="n">
        <f aca="false">Scoring!D368</f>
        <v>0</v>
      </c>
      <c r="H362" s="129" t="str">
        <f aca="false">Scoring!AV368</f>
        <v/>
      </c>
      <c r="I362" s="131" t="str">
        <f aca="false">Scoring!AU368</f>
        <v/>
      </c>
    </row>
    <row r="363" customFormat="false" ht="15.75" hidden="false" customHeight="false" outlineLevel="0" collapsed="false">
      <c r="A363" s="129" t="str">
        <f aca="false">Scoring!AX369</f>
        <v/>
      </c>
      <c r="B363" s="129" t="str">
        <f aca="false">Scoring!AW369</f>
        <v/>
      </c>
      <c r="C363" s="129" t="n">
        <f aca="false">Scoring!C369</f>
        <v>0</v>
      </c>
      <c r="D363" s="130" t="str">
        <f aca="false">Scoring!AT369</f>
        <v/>
      </c>
      <c r="E363" s="129" t="str">
        <f aca="false">Scoring!Z369</f>
        <v/>
      </c>
      <c r="F363" s="129" t="n">
        <f aca="false">Scoring!B369</f>
        <v>0</v>
      </c>
      <c r="G363" s="129" t="n">
        <f aca="false">Scoring!D369</f>
        <v>0</v>
      </c>
      <c r="H363" s="129" t="str">
        <f aca="false">Scoring!AV369</f>
        <v/>
      </c>
      <c r="I363" s="131" t="str">
        <f aca="false">Scoring!AU369</f>
        <v/>
      </c>
    </row>
    <row r="364" customFormat="false" ht="15.75" hidden="false" customHeight="false" outlineLevel="0" collapsed="false">
      <c r="A364" s="129" t="str">
        <f aca="false">Scoring!AX370</f>
        <v/>
      </c>
      <c r="B364" s="129" t="str">
        <f aca="false">Scoring!AW370</f>
        <v/>
      </c>
      <c r="C364" s="129" t="n">
        <f aca="false">Scoring!C370</f>
        <v>0</v>
      </c>
      <c r="D364" s="130" t="str">
        <f aca="false">Scoring!AT370</f>
        <v/>
      </c>
      <c r="E364" s="129" t="str">
        <f aca="false">Scoring!Z370</f>
        <v/>
      </c>
      <c r="F364" s="129" t="n">
        <f aca="false">Scoring!B370</f>
        <v>0</v>
      </c>
      <c r="G364" s="129" t="n">
        <f aca="false">Scoring!D370</f>
        <v>0</v>
      </c>
      <c r="H364" s="129" t="str">
        <f aca="false">Scoring!AV370</f>
        <v/>
      </c>
      <c r="I364" s="131" t="str">
        <f aca="false">Scoring!AU370</f>
        <v/>
      </c>
    </row>
    <row r="365" customFormat="false" ht="15.75" hidden="false" customHeight="false" outlineLevel="0" collapsed="false">
      <c r="A365" s="129" t="str">
        <f aca="false">Scoring!AX371</f>
        <v/>
      </c>
      <c r="B365" s="129" t="str">
        <f aca="false">Scoring!AW371</f>
        <v/>
      </c>
      <c r="C365" s="129" t="n">
        <f aca="false">Scoring!C371</f>
        <v>0</v>
      </c>
      <c r="D365" s="130" t="str">
        <f aca="false">Scoring!AT371</f>
        <v/>
      </c>
      <c r="E365" s="129" t="str">
        <f aca="false">Scoring!Z371</f>
        <v/>
      </c>
      <c r="F365" s="129" t="n">
        <f aca="false">Scoring!B371</f>
        <v>0</v>
      </c>
      <c r="G365" s="129" t="n">
        <f aca="false">Scoring!D371</f>
        <v>0</v>
      </c>
      <c r="H365" s="129" t="str">
        <f aca="false">Scoring!AV371</f>
        <v/>
      </c>
      <c r="I365" s="131" t="str">
        <f aca="false">Scoring!AU371</f>
        <v/>
      </c>
    </row>
    <row r="366" customFormat="false" ht="15.75" hidden="false" customHeight="false" outlineLevel="0" collapsed="false">
      <c r="A366" s="129" t="str">
        <f aca="false">Scoring!AX372</f>
        <v/>
      </c>
      <c r="B366" s="129" t="str">
        <f aca="false">Scoring!AW372</f>
        <v/>
      </c>
      <c r="C366" s="129" t="n">
        <f aca="false">Scoring!C372</f>
        <v>0</v>
      </c>
      <c r="D366" s="130" t="str">
        <f aca="false">Scoring!AT372</f>
        <v/>
      </c>
      <c r="E366" s="129" t="str">
        <f aca="false">Scoring!Z372</f>
        <v/>
      </c>
      <c r="F366" s="129" t="n">
        <f aca="false">Scoring!B372</f>
        <v>0</v>
      </c>
      <c r="G366" s="129" t="n">
        <f aca="false">Scoring!D372</f>
        <v>0</v>
      </c>
      <c r="H366" s="129" t="str">
        <f aca="false">Scoring!AV372</f>
        <v/>
      </c>
      <c r="I366" s="131" t="str">
        <f aca="false">Scoring!AU372</f>
        <v/>
      </c>
    </row>
    <row r="367" customFormat="false" ht="15.75" hidden="false" customHeight="false" outlineLevel="0" collapsed="false">
      <c r="A367" s="129" t="str">
        <f aca="false">Scoring!AX373</f>
        <v/>
      </c>
      <c r="B367" s="129" t="str">
        <f aca="false">Scoring!AW373</f>
        <v/>
      </c>
      <c r="C367" s="129" t="n">
        <f aca="false">Scoring!C373</f>
        <v>0</v>
      </c>
      <c r="D367" s="130" t="str">
        <f aca="false">Scoring!AT373</f>
        <v/>
      </c>
      <c r="E367" s="129" t="str">
        <f aca="false">Scoring!Z373</f>
        <v/>
      </c>
      <c r="F367" s="129" t="n">
        <f aca="false">Scoring!B373</f>
        <v>0</v>
      </c>
      <c r="G367" s="129" t="n">
        <f aca="false">Scoring!D373</f>
        <v>0</v>
      </c>
      <c r="H367" s="129" t="str">
        <f aca="false">Scoring!AV373</f>
        <v/>
      </c>
      <c r="I367" s="131" t="str">
        <f aca="false">Scoring!AU373</f>
        <v/>
      </c>
    </row>
    <row r="368" customFormat="false" ht="15.75" hidden="false" customHeight="false" outlineLevel="0" collapsed="false">
      <c r="A368" s="129" t="str">
        <f aca="false">Scoring!AX374</f>
        <v/>
      </c>
      <c r="B368" s="129" t="str">
        <f aca="false">Scoring!AW374</f>
        <v/>
      </c>
      <c r="C368" s="129" t="n">
        <f aca="false">Scoring!C374</f>
        <v>0</v>
      </c>
      <c r="D368" s="130" t="str">
        <f aca="false">Scoring!AT374</f>
        <v/>
      </c>
      <c r="E368" s="129" t="str">
        <f aca="false">Scoring!Z374</f>
        <v/>
      </c>
      <c r="F368" s="129" t="n">
        <f aca="false">Scoring!B374</f>
        <v>0</v>
      </c>
      <c r="G368" s="129" t="n">
        <f aca="false">Scoring!D374</f>
        <v>0</v>
      </c>
      <c r="H368" s="129" t="str">
        <f aca="false">Scoring!AV374</f>
        <v/>
      </c>
      <c r="I368" s="131" t="str">
        <f aca="false">Scoring!AU374</f>
        <v/>
      </c>
    </row>
    <row r="369" customFormat="false" ht="15.75" hidden="false" customHeight="false" outlineLevel="0" collapsed="false">
      <c r="A369" s="129" t="str">
        <f aca="false">Scoring!AX375</f>
        <v/>
      </c>
      <c r="B369" s="129" t="str">
        <f aca="false">Scoring!AW375</f>
        <v/>
      </c>
      <c r="C369" s="129" t="n">
        <f aca="false">Scoring!C375</f>
        <v>0</v>
      </c>
      <c r="D369" s="130" t="str">
        <f aca="false">Scoring!AT375</f>
        <v/>
      </c>
      <c r="E369" s="129" t="str">
        <f aca="false">Scoring!Z375</f>
        <v/>
      </c>
      <c r="F369" s="129" t="n">
        <f aca="false">Scoring!B375</f>
        <v>0</v>
      </c>
      <c r="G369" s="129" t="n">
        <f aca="false">Scoring!D375</f>
        <v>0</v>
      </c>
      <c r="H369" s="129" t="str">
        <f aca="false">Scoring!AV375</f>
        <v/>
      </c>
      <c r="I369" s="131" t="str">
        <f aca="false">Scoring!AU375</f>
        <v/>
      </c>
    </row>
    <row r="370" customFormat="false" ht="15.75" hidden="false" customHeight="false" outlineLevel="0" collapsed="false">
      <c r="A370" s="129" t="str">
        <f aca="false">Scoring!AX376</f>
        <v/>
      </c>
      <c r="B370" s="129" t="str">
        <f aca="false">Scoring!AW376</f>
        <v/>
      </c>
      <c r="C370" s="129" t="n">
        <f aca="false">Scoring!C376</f>
        <v>0</v>
      </c>
      <c r="D370" s="130" t="str">
        <f aca="false">Scoring!AT376</f>
        <v/>
      </c>
      <c r="E370" s="129" t="str">
        <f aca="false">Scoring!Z376</f>
        <v/>
      </c>
      <c r="F370" s="129" t="n">
        <f aca="false">Scoring!B376</f>
        <v>0</v>
      </c>
      <c r="G370" s="129" t="n">
        <f aca="false">Scoring!D376</f>
        <v>0</v>
      </c>
      <c r="H370" s="129" t="str">
        <f aca="false">Scoring!AV376</f>
        <v/>
      </c>
      <c r="I370" s="131" t="str">
        <f aca="false">Scoring!AU376</f>
        <v/>
      </c>
    </row>
    <row r="371" customFormat="false" ht="15.75" hidden="false" customHeight="false" outlineLevel="0" collapsed="false">
      <c r="A371" s="129" t="str">
        <f aca="false">Scoring!AX377</f>
        <v/>
      </c>
      <c r="B371" s="129" t="str">
        <f aca="false">Scoring!AW377</f>
        <v/>
      </c>
      <c r="C371" s="129" t="n">
        <f aca="false">Scoring!C377</f>
        <v>0</v>
      </c>
      <c r="D371" s="130" t="str">
        <f aca="false">Scoring!AT377</f>
        <v/>
      </c>
      <c r="E371" s="129" t="str">
        <f aca="false">Scoring!Z377</f>
        <v/>
      </c>
      <c r="F371" s="129" t="n">
        <f aca="false">Scoring!B377</f>
        <v>0</v>
      </c>
      <c r="G371" s="129" t="n">
        <f aca="false">Scoring!D377</f>
        <v>0</v>
      </c>
      <c r="H371" s="129" t="str">
        <f aca="false">Scoring!AV377</f>
        <v/>
      </c>
      <c r="I371" s="131" t="str">
        <f aca="false">Scoring!AU377</f>
        <v/>
      </c>
    </row>
    <row r="372" customFormat="false" ht="15.75" hidden="false" customHeight="false" outlineLevel="0" collapsed="false">
      <c r="A372" s="129" t="str">
        <f aca="false">Scoring!AX378</f>
        <v/>
      </c>
      <c r="B372" s="129" t="str">
        <f aca="false">Scoring!AW378</f>
        <v/>
      </c>
      <c r="C372" s="129" t="n">
        <f aca="false">Scoring!C378</f>
        <v>0</v>
      </c>
      <c r="D372" s="130" t="str">
        <f aca="false">Scoring!AT378</f>
        <v/>
      </c>
      <c r="E372" s="129" t="str">
        <f aca="false">Scoring!Z378</f>
        <v/>
      </c>
      <c r="F372" s="129" t="n">
        <f aca="false">Scoring!B378</f>
        <v>0</v>
      </c>
      <c r="G372" s="129" t="n">
        <f aca="false">Scoring!D378</f>
        <v>0</v>
      </c>
      <c r="H372" s="129" t="str">
        <f aca="false">Scoring!AV378</f>
        <v/>
      </c>
      <c r="I372" s="131" t="str">
        <f aca="false">Scoring!AU378</f>
        <v/>
      </c>
    </row>
    <row r="373" customFormat="false" ht="15.75" hidden="false" customHeight="false" outlineLevel="0" collapsed="false">
      <c r="A373" s="129" t="str">
        <f aca="false">Scoring!AX379</f>
        <v/>
      </c>
      <c r="B373" s="129" t="str">
        <f aca="false">Scoring!AW379</f>
        <v/>
      </c>
      <c r="C373" s="129" t="n">
        <f aca="false">Scoring!C379</f>
        <v>0</v>
      </c>
      <c r="D373" s="130" t="str">
        <f aca="false">Scoring!AT379</f>
        <v/>
      </c>
      <c r="E373" s="129" t="str">
        <f aca="false">Scoring!Z379</f>
        <v/>
      </c>
      <c r="F373" s="129" t="n">
        <f aca="false">Scoring!B379</f>
        <v>0</v>
      </c>
      <c r="G373" s="129" t="n">
        <f aca="false">Scoring!D379</f>
        <v>0</v>
      </c>
      <c r="H373" s="129" t="str">
        <f aca="false">Scoring!AV379</f>
        <v/>
      </c>
      <c r="I373" s="131" t="str">
        <f aca="false">Scoring!AU379</f>
        <v/>
      </c>
    </row>
    <row r="374" customFormat="false" ht="15.75" hidden="false" customHeight="false" outlineLevel="0" collapsed="false">
      <c r="A374" s="129" t="str">
        <f aca="false">Scoring!AX380</f>
        <v/>
      </c>
      <c r="B374" s="129" t="str">
        <f aca="false">Scoring!AW380</f>
        <v/>
      </c>
      <c r="C374" s="129" t="n">
        <f aca="false">Scoring!C380</f>
        <v>0</v>
      </c>
      <c r="D374" s="130" t="str">
        <f aca="false">Scoring!AT380</f>
        <v/>
      </c>
      <c r="E374" s="129" t="str">
        <f aca="false">Scoring!Z380</f>
        <v/>
      </c>
      <c r="F374" s="129" t="n">
        <f aca="false">Scoring!B380</f>
        <v>0</v>
      </c>
      <c r="G374" s="129" t="n">
        <f aca="false">Scoring!D380</f>
        <v>0</v>
      </c>
      <c r="H374" s="129" t="str">
        <f aca="false">Scoring!AV380</f>
        <v/>
      </c>
      <c r="I374" s="131" t="str">
        <f aca="false">Scoring!AU380</f>
        <v/>
      </c>
    </row>
    <row r="375" customFormat="false" ht="15.75" hidden="false" customHeight="false" outlineLevel="0" collapsed="false">
      <c r="A375" s="129" t="str">
        <f aca="false">Scoring!AX381</f>
        <v/>
      </c>
      <c r="B375" s="129" t="str">
        <f aca="false">Scoring!AW381</f>
        <v/>
      </c>
      <c r="C375" s="129" t="n">
        <f aca="false">Scoring!C381</f>
        <v>0</v>
      </c>
      <c r="D375" s="130" t="str">
        <f aca="false">Scoring!AT381</f>
        <v/>
      </c>
      <c r="E375" s="129" t="str">
        <f aca="false">Scoring!Z381</f>
        <v/>
      </c>
      <c r="F375" s="129" t="n">
        <f aca="false">Scoring!B381</f>
        <v>0</v>
      </c>
      <c r="G375" s="129" t="n">
        <f aca="false">Scoring!D381</f>
        <v>0</v>
      </c>
      <c r="H375" s="129" t="str">
        <f aca="false">Scoring!AV381</f>
        <v/>
      </c>
      <c r="I375" s="131" t="str">
        <f aca="false">Scoring!AU381</f>
        <v/>
      </c>
    </row>
    <row r="376" customFormat="false" ht="15.75" hidden="false" customHeight="false" outlineLevel="0" collapsed="false">
      <c r="A376" s="129" t="str">
        <f aca="false">Scoring!AX382</f>
        <v/>
      </c>
      <c r="B376" s="129" t="str">
        <f aca="false">Scoring!AW382</f>
        <v/>
      </c>
      <c r="C376" s="129" t="n">
        <f aca="false">Scoring!C382</f>
        <v>0</v>
      </c>
      <c r="D376" s="130" t="str">
        <f aca="false">Scoring!AT382</f>
        <v/>
      </c>
      <c r="E376" s="129" t="str">
        <f aca="false">Scoring!Z382</f>
        <v/>
      </c>
      <c r="F376" s="129" t="n">
        <f aca="false">Scoring!B382</f>
        <v>0</v>
      </c>
      <c r="G376" s="129" t="n">
        <f aca="false">Scoring!D382</f>
        <v>0</v>
      </c>
      <c r="H376" s="129" t="str">
        <f aca="false">Scoring!AV382</f>
        <v/>
      </c>
      <c r="I376" s="131" t="str">
        <f aca="false">Scoring!AU382</f>
        <v/>
      </c>
    </row>
    <row r="377" customFormat="false" ht="15.75" hidden="false" customHeight="false" outlineLevel="0" collapsed="false">
      <c r="A377" s="129" t="str">
        <f aca="false">Scoring!AX383</f>
        <v/>
      </c>
      <c r="B377" s="129" t="str">
        <f aca="false">Scoring!AW383</f>
        <v/>
      </c>
      <c r="C377" s="129" t="n">
        <f aca="false">Scoring!C383</f>
        <v>0</v>
      </c>
      <c r="D377" s="130" t="str">
        <f aca="false">Scoring!AT383</f>
        <v/>
      </c>
      <c r="E377" s="129" t="str">
        <f aca="false">Scoring!Z383</f>
        <v/>
      </c>
      <c r="F377" s="129" t="n">
        <f aca="false">Scoring!B383</f>
        <v>0</v>
      </c>
      <c r="G377" s="129" t="n">
        <f aca="false">Scoring!D383</f>
        <v>0</v>
      </c>
      <c r="H377" s="129" t="str">
        <f aca="false">Scoring!AV383</f>
        <v/>
      </c>
      <c r="I377" s="131" t="str">
        <f aca="false">Scoring!AU383</f>
        <v/>
      </c>
    </row>
    <row r="378" customFormat="false" ht="15.75" hidden="false" customHeight="false" outlineLevel="0" collapsed="false">
      <c r="A378" s="129" t="str">
        <f aca="false">Scoring!AX384</f>
        <v/>
      </c>
      <c r="B378" s="129" t="str">
        <f aca="false">Scoring!AW384</f>
        <v/>
      </c>
      <c r="C378" s="129" t="n">
        <f aca="false">Scoring!C384</f>
        <v>0</v>
      </c>
      <c r="D378" s="130" t="str">
        <f aca="false">Scoring!AT384</f>
        <v/>
      </c>
      <c r="E378" s="129" t="str">
        <f aca="false">Scoring!Z384</f>
        <v/>
      </c>
      <c r="F378" s="129" t="n">
        <f aca="false">Scoring!B384</f>
        <v>0</v>
      </c>
      <c r="G378" s="129" t="n">
        <f aca="false">Scoring!D384</f>
        <v>0</v>
      </c>
      <c r="H378" s="129" t="str">
        <f aca="false">Scoring!AV384</f>
        <v/>
      </c>
      <c r="I378" s="131" t="str">
        <f aca="false">Scoring!AU384</f>
        <v/>
      </c>
    </row>
    <row r="379" customFormat="false" ht="15.75" hidden="false" customHeight="false" outlineLevel="0" collapsed="false">
      <c r="A379" s="129" t="str">
        <f aca="false">Scoring!AX385</f>
        <v/>
      </c>
      <c r="B379" s="129" t="str">
        <f aca="false">Scoring!AW385</f>
        <v/>
      </c>
      <c r="C379" s="129" t="n">
        <f aca="false">Scoring!C385</f>
        <v>0</v>
      </c>
      <c r="D379" s="130" t="str">
        <f aca="false">Scoring!AT385</f>
        <v/>
      </c>
      <c r="E379" s="129" t="str">
        <f aca="false">Scoring!Z385</f>
        <v/>
      </c>
      <c r="F379" s="129" t="n">
        <f aca="false">Scoring!B385</f>
        <v>0</v>
      </c>
      <c r="G379" s="129" t="n">
        <f aca="false">Scoring!D385</f>
        <v>0</v>
      </c>
      <c r="H379" s="129" t="str">
        <f aca="false">Scoring!AV385</f>
        <v/>
      </c>
      <c r="I379" s="131" t="str">
        <f aca="false">Scoring!AU385</f>
        <v/>
      </c>
    </row>
    <row r="380" customFormat="false" ht="15.75" hidden="false" customHeight="false" outlineLevel="0" collapsed="false">
      <c r="A380" s="129" t="str">
        <f aca="false">Scoring!AX386</f>
        <v/>
      </c>
      <c r="B380" s="129" t="str">
        <f aca="false">Scoring!AW386</f>
        <v/>
      </c>
      <c r="C380" s="129" t="n">
        <f aca="false">Scoring!C386</f>
        <v>0</v>
      </c>
      <c r="D380" s="130" t="str">
        <f aca="false">Scoring!AT386</f>
        <v/>
      </c>
      <c r="E380" s="129" t="str">
        <f aca="false">Scoring!Z386</f>
        <v/>
      </c>
      <c r="F380" s="129" t="n">
        <f aca="false">Scoring!B386</f>
        <v>0</v>
      </c>
      <c r="G380" s="129" t="n">
        <f aca="false">Scoring!D386</f>
        <v>0</v>
      </c>
      <c r="H380" s="129" t="str">
        <f aca="false">Scoring!AV386</f>
        <v/>
      </c>
      <c r="I380" s="131" t="str">
        <f aca="false">Scoring!AU386</f>
        <v/>
      </c>
    </row>
    <row r="381" customFormat="false" ht="15.75" hidden="false" customHeight="false" outlineLevel="0" collapsed="false">
      <c r="A381" s="129" t="str">
        <f aca="false">Scoring!AX387</f>
        <v/>
      </c>
      <c r="B381" s="129" t="str">
        <f aca="false">Scoring!AW387</f>
        <v/>
      </c>
      <c r="C381" s="129" t="n">
        <f aca="false">Scoring!C387</f>
        <v>0</v>
      </c>
      <c r="D381" s="130" t="str">
        <f aca="false">Scoring!AT387</f>
        <v/>
      </c>
      <c r="E381" s="129" t="str">
        <f aca="false">Scoring!Z387</f>
        <v/>
      </c>
      <c r="F381" s="129" t="n">
        <f aca="false">Scoring!B387</f>
        <v>0</v>
      </c>
      <c r="G381" s="129" t="n">
        <f aca="false">Scoring!D387</f>
        <v>0</v>
      </c>
      <c r="H381" s="129" t="str">
        <f aca="false">Scoring!AV387</f>
        <v/>
      </c>
      <c r="I381" s="131" t="str">
        <f aca="false">Scoring!AU387</f>
        <v/>
      </c>
    </row>
    <row r="382" customFormat="false" ht="15.75" hidden="false" customHeight="false" outlineLevel="0" collapsed="false">
      <c r="A382" s="129" t="str">
        <f aca="false">Scoring!AX388</f>
        <v/>
      </c>
      <c r="B382" s="129" t="str">
        <f aca="false">Scoring!AW388</f>
        <v/>
      </c>
      <c r="C382" s="129" t="n">
        <f aca="false">Scoring!C388</f>
        <v>0</v>
      </c>
      <c r="D382" s="130" t="str">
        <f aca="false">Scoring!AT388</f>
        <v/>
      </c>
      <c r="E382" s="129" t="str">
        <f aca="false">Scoring!Z388</f>
        <v/>
      </c>
      <c r="F382" s="129" t="n">
        <f aca="false">Scoring!B388</f>
        <v>0</v>
      </c>
      <c r="G382" s="129" t="n">
        <f aca="false">Scoring!D388</f>
        <v>0</v>
      </c>
      <c r="H382" s="129" t="str">
        <f aca="false">Scoring!AV388</f>
        <v/>
      </c>
      <c r="I382" s="131" t="str">
        <f aca="false">Scoring!AU388</f>
        <v/>
      </c>
    </row>
    <row r="383" customFormat="false" ht="15.75" hidden="false" customHeight="false" outlineLevel="0" collapsed="false">
      <c r="A383" s="129" t="str">
        <f aca="false">Scoring!AX389</f>
        <v/>
      </c>
      <c r="B383" s="129" t="str">
        <f aca="false">Scoring!AW389</f>
        <v/>
      </c>
      <c r="C383" s="129" t="n">
        <f aca="false">Scoring!C389</f>
        <v>0</v>
      </c>
      <c r="D383" s="130" t="str">
        <f aca="false">Scoring!AT389</f>
        <v/>
      </c>
      <c r="E383" s="129" t="str">
        <f aca="false">Scoring!Z389</f>
        <v/>
      </c>
      <c r="F383" s="129" t="n">
        <f aca="false">Scoring!B389</f>
        <v>0</v>
      </c>
      <c r="G383" s="129" t="n">
        <f aca="false">Scoring!D389</f>
        <v>0</v>
      </c>
      <c r="H383" s="129" t="str">
        <f aca="false">Scoring!AV389</f>
        <v/>
      </c>
      <c r="I383" s="131" t="str">
        <f aca="false">Scoring!AU389</f>
        <v/>
      </c>
    </row>
    <row r="384" customFormat="false" ht="15.75" hidden="false" customHeight="false" outlineLevel="0" collapsed="false">
      <c r="A384" s="129" t="str">
        <f aca="false">Scoring!AX390</f>
        <v/>
      </c>
      <c r="B384" s="129" t="str">
        <f aca="false">Scoring!AW390</f>
        <v/>
      </c>
      <c r="C384" s="129" t="n">
        <f aca="false">Scoring!C390</f>
        <v>0</v>
      </c>
      <c r="D384" s="130" t="str">
        <f aca="false">Scoring!AT390</f>
        <v/>
      </c>
      <c r="E384" s="129" t="str">
        <f aca="false">Scoring!Z390</f>
        <v/>
      </c>
      <c r="F384" s="129" t="n">
        <f aca="false">Scoring!B390</f>
        <v>0</v>
      </c>
      <c r="G384" s="129" t="n">
        <f aca="false">Scoring!D390</f>
        <v>0</v>
      </c>
      <c r="H384" s="129" t="str">
        <f aca="false">Scoring!AV390</f>
        <v/>
      </c>
      <c r="I384" s="131" t="str">
        <f aca="false">Scoring!AU390</f>
        <v/>
      </c>
    </row>
    <row r="385" customFormat="false" ht="15.75" hidden="false" customHeight="false" outlineLevel="0" collapsed="false">
      <c r="A385" s="129" t="str">
        <f aca="false">Scoring!AX391</f>
        <v/>
      </c>
      <c r="B385" s="129" t="str">
        <f aca="false">Scoring!AW391</f>
        <v/>
      </c>
      <c r="C385" s="129" t="n">
        <f aca="false">Scoring!C391</f>
        <v>0</v>
      </c>
      <c r="D385" s="130" t="str">
        <f aca="false">Scoring!AT391</f>
        <v/>
      </c>
      <c r="E385" s="129" t="str">
        <f aca="false">Scoring!Z391</f>
        <v/>
      </c>
      <c r="F385" s="129" t="n">
        <f aca="false">Scoring!B391</f>
        <v>0</v>
      </c>
      <c r="G385" s="129" t="n">
        <f aca="false">Scoring!D391</f>
        <v>0</v>
      </c>
      <c r="H385" s="129" t="str">
        <f aca="false">Scoring!AV391</f>
        <v/>
      </c>
      <c r="I385" s="131" t="str">
        <f aca="false">Scoring!AU391</f>
        <v/>
      </c>
    </row>
    <row r="386" customFormat="false" ht="15.75" hidden="false" customHeight="false" outlineLevel="0" collapsed="false">
      <c r="A386" s="129" t="str">
        <f aca="false">Scoring!AX392</f>
        <v/>
      </c>
      <c r="B386" s="129" t="str">
        <f aca="false">Scoring!AW392</f>
        <v/>
      </c>
      <c r="C386" s="129" t="n">
        <f aca="false">Scoring!C392</f>
        <v>0</v>
      </c>
      <c r="D386" s="130" t="str">
        <f aca="false">Scoring!AT392</f>
        <v/>
      </c>
      <c r="E386" s="129" t="str">
        <f aca="false">Scoring!Z392</f>
        <v/>
      </c>
      <c r="F386" s="129" t="n">
        <f aca="false">Scoring!B392</f>
        <v>0</v>
      </c>
      <c r="G386" s="129" t="n">
        <f aca="false">Scoring!D392</f>
        <v>0</v>
      </c>
      <c r="H386" s="129" t="str">
        <f aca="false">Scoring!AV392</f>
        <v/>
      </c>
      <c r="I386" s="131" t="str">
        <f aca="false">Scoring!AU392</f>
        <v/>
      </c>
    </row>
    <row r="387" customFormat="false" ht="15.75" hidden="false" customHeight="false" outlineLevel="0" collapsed="false">
      <c r="A387" s="129" t="str">
        <f aca="false">Scoring!AX393</f>
        <v/>
      </c>
      <c r="B387" s="129" t="str">
        <f aca="false">Scoring!AW393</f>
        <v/>
      </c>
      <c r="C387" s="129" t="n">
        <f aca="false">Scoring!C393</f>
        <v>0</v>
      </c>
      <c r="D387" s="130" t="str">
        <f aca="false">Scoring!AT393</f>
        <v/>
      </c>
      <c r="E387" s="129" t="str">
        <f aca="false">Scoring!Z393</f>
        <v/>
      </c>
      <c r="F387" s="129" t="n">
        <f aca="false">Scoring!B393</f>
        <v>0</v>
      </c>
      <c r="G387" s="129" t="n">
        <f aca="false">Scoring!D393</f>
        <v>0</v>
      </c>
      <c r="H387" s="129" t="str">
        <f aca="false">Scoring!AV393</f>
        <v/>
      </c>
      <c r="I387" s="131" t="str">
        <f aca="false">Scoring!AU393</f>
        <v/>
      </c>
    </row>
    <row r="388" customFormat="false" ht="15.75" hidden="false" customHeight="false" outlineLevel="0" collapsed="false">
      <c r="A388" s="129" t="str">
        <f aca="false">Scoring!AX394</f>
        <v/>
      </c>
      <c r="B388" s="129" t="str">
        <f aca="false">Scoring!AW394</f>
        <v/>
      </c>
      <c r="C388" s="129" t="n">
        <f aca="false">Scoring!C394</f>
        <v>0</v>
      </c>
      <c r="D388" s="130" t="str">
        <f aca="false">Scoring!AT394</f>
        <v/>
      </c>
      <c r="E388" s="129" t="str">
        <f aca="false">Scoring!Z394</f>
        <v/>
      </c>
      <c r="F388" s="129" t="n">
        <f aca="false">Scoring!B394</f>
        <v>0</v>
      </c>
      <c r="G388" s="129" t="n">
        <f aca="false">Scoring!D394</f>
        <v>0</v>
      </c>
      <c r="H388" s="129" t="str">
        <f aca="false">Scoring!AV394</f>
        <v/>
      </c>
      <c r="I388" s="131" t="str">
        <f aca="false">Scoring!AU394</f>
        <v/>
      </c>
    </row>
    <row r="389" customFormat="false" ht="15.75" hidden="false" customHeight="false" outlineLevel="0" collapsed="false">
      <c r="A389" s="129" t="str">
        <f aca="false">Scoring!AX395</f>
        <v/>
      </c>
      <c r="B389" s="129" t="str">
        <f aca="false">Scoring!AW395</f>
        <v/>
      </c>
      <c r="C389" s="129" t="n">
        <f aca="false">Scoring!C395</f>
        <v>0</v>
      </c>
      <c r="D389" s="130" t="str">
        <f aca="false">Scoring!AT395</f>
        <v/>
      </c>
      <c r="E389" s="129" t="str">
        <f aca="false">Scoring!Z395</f>
        <v/>
      </c>
      <c r="F389" s="129" t="n">
        <f aca="false">Scoring!B395</f>
        <v>0</v>
      </c>
      <c r="G389" s="129" t="n">
        <f aca="false">Scoring!D395</f>
        <v>0</v>
      </c>
      <c r="H389" s="129" t="str">
        <f aca="false">Scoring!AV395</f>
        <v/>
      </c>
      <c r="I389" s="131" t="str">
        <f aca="false">Scoring!AU395</f>
        <v/>
      </c>
    </row>
    <row r="390" customFormat="false" ht="15.75" hidden="false" customHeight="false" outlineLevel="0" collapsed="false">
      <c r="A390" s="129" t="str">
        <f aca="false">Scoring!AX396</f>
        <v/>
      </c>
      <c r="B390" s="129" t="str">
        <f aca="false">Scoring!AW396</f>
        <v/>
      </c>
      <c r="C390" s="129" t="n">
        <f aca="false">Scoring!C396</f>
        <v>0</v>
      </c>
      <c r="D390" s="130" t="str">
        <f aca="false">Scoring!AT396</f>
        <v/>
      </c>
      <c r="E390" s="129" t="str">
        <f aca="false">Scoring!Z396</f>
        <v/>
      </c>
      <c r="F390" s="129" t="n">
        <f aca="false">Scoring!B396</f>
        <v>0</v>
      </c>
      <c r="G390" s="129" t="n">
        <f aca="false">Scoring!D396</f>
        <v>0</v>
      </c>
      <c r="H390" s="129" t="str">
        <f aca="false">Scoring!AV396</f>
        <v/>
      </c>
      <c r="I390" s="131" t="str">
        <f aca="false">Scoring!AU396</f>
        <v/>
      </c>
    </row>
    <row r="391" customFormat="false" ht="15.75" hidden="false" customHeight="false" outlineLevel="0" collapsed="false">
      <c r="A391" s="129" t="str">
        <f aca="false">Scoring!AX397</f>
        <v/>
      </c>
      <c r="B391" s="129" t="str">
        <f aca="false">Scoring!AW397</f>
        <v/>
      </c>
      <c r="C391" s="129" t="n">
        <f aca="false">Scoring!C397</f>
        <v>0</v>
      </c>
      <c r="D391" s="130" t="str">
        <f aca="false">Scoring!AT397</f>
        <v/>
      </c>
      <c r="E391" s="129" t="str">
        <f aca="false">Scoring!Z397</f>
        <v/>
      </c>
      <c r="F391" s="129" t="n">
        <f aca="false">Scoring!B397</f>
        <v>0</v>
      </c>
      <c r="G391" s="129" t="n">
        <f aca="false">Scoring!D397</f>
        <v>0</v>
      </c>
      <c r="H391" s="129" t="str">
        <f aca="false">Scoring!AV397</f>
        <v/>
      </c>
      <c r="I391" s="131" t="str">
        <f aca="false">Scoring!AU397</f>
        <v/>
      </c>
    </row>
    <row r="392" customFormat="false" ht="15.75" hidden="false" customHeight="false" outlineLevel="0" collapsed="false">
      <c r="A392" s="129" t="str">
        <f aca="false">Scoring!AX398</f>
        <v/>
      </c>
      <c r="B392" s="129" t="str">
        <f aca="false">Scoring!AW398</f>
        <v/>
      </c>
      <c r="C392" s="129" t="n">
        <f aca="false">Scoring!C398</f>
        <v>0</v>
      </c>
      <c r="D392" s="130" t="str">
        <f aca="false">Scoring!AT398</f>
        <v/>
      </c>
      <c r="E392" s="129" t="str">
        <f aca="false">Scoring!Z398</f>
        <v/>
      </c>
      <c r="F392" s="129" t="n">
        <f aca="false">Scoring!B398</f>
        <v>0</v>
      </c>
      <c r="G392" s="129" t="n">
        <f aca="false">Scoring!D398</f>
        <v>0</v>
      </c>
      <c r="H392" s="129" t="str">
        <f aca="false">Scoring!AV398</f>
        <v/>
      </c>
      <c r="I392" s="131" t="str">
        <f aca="false">Scoring!AU398</f>
        <v/>
      </c>
    </row>
    <row r="393" customFormat="false" ht="15.75" hidden="false" customHeight="false" outlineLevel="0" collapsed="false">
      <c r="A393" s="129" t="str">
        <f aca="false">Scoring!AX399</f>
        <v/>
      </c>
      <c r="B393" s="129" t="str">
        <f aca="false">Scoring!AW399</f>
        <v/>
      </c>
      <c r="C393" s="129" t="n">
        <f aca="false">Scoring!C399</f>
        <v>0</v>
      </c>
      <c r="D393" s="130" t="str">
        <f aca="false">Scoring!AT399</f>
        <v/>
      </c>
      <c r="E393" s="129" t="str">
        <f aca="false">Scoring!Z399</f>
        <v/>
      </c>
      <c r="F393" s="129" t="n">
        <f aca="false">Scoring!B399</f>
        <v>0</v>
      </c>
      <c r="G393" s="129" t="n">
        <f aca="false">Scoring!D399</f>
        <v>0</v>
      </c>
      <c r="H393" s="129" t="str">
        <f aca="false">Scoring!AV399</f>
        <v/>
      </c>
      <c r="I393" s="131" t="str">
        <f aca="false">Scoring!AU399</f>
        <v/>
      </c>
    </row>
    <row r="394" customFormat="false" ht="15.75" hidden="false" customHeight="false" outlineLevel="0" collapsed="false">
      <c r="A394" s="129" t="str">
        <f aca="false">Scoring!AX400</f>
        <v/>
      </c>
      <c r="B394" s="129" t="str">
        <f aca="false">Scoring!AW400</f>
        <v/>
      </c>
      <c r="C394" s="129" t="n">
        <f aca="false">Scoring!C400</f>
        <v>0</v>
      </c>
      <c r="D394" s="130" t="str">
        <f aca="false">Scoring!AT400</f>
        <v/>
      </c>
      <c r="E394" s="129" t="str">
        <f aca="false">Scoring!Z400</f>
        <v/>
      </c>
      <c r="F394" s="129" t="n">
        <f aca="false">Scoring!B400</f>
        <v>0</v>
      </c>
      <c r="G394" s="129" t="n">
        <f aca="false">Scoring!D400</f>
        <v>0</v>
      </c>
      <c r="H394" s="129" t="str">
        <f aca="false">Scoring!AV400</f>
        <v/>
      </c>
      <c r="I394" s="131" t="str">
        <f aca="false">Scoring!AU400</f>
        <v/>
      </c>
    </row>
    <row r="395" customFormat="false" ht="15.75" hidden="false" customHeight="false" outlineLevel="0" collapsed="false">
      <c r="A395" s="129" t="str">
        <f aca="false">Scoring!AX401</f>
        <v/>
      </c>
      <c r="B395" s="129" t="str">
        <f aca="false">Scoring!AW401</f>
        <v/>
      </c>
      <c r="C395" s="129" t="n">
        <f aca="false">Scoring!C401</f>
        <v>0</v>
      </c>
      <c r="D395" s="130" t="str">
        <f aca="false">Scoring!AT401</f>
        <v/>
      </c>
      <c r="E395" s="129" t="str">
        <f aca="false">Scoring!Z401</f>
        <v/>
      </c>
      <c r="F395" s="129" t="n">
        <f aca="false">Scoring!B401</f>
        <v>0</v>
      </c>
      <c r="G395" s="129" t="n">
        <f aca="false">Scoring!D401</f>
        <v>0</v>
      </c>
      <c r="H395" s="129" t="str">
        <f aca="false">Scoring!AV401</f>
        <v/>
      </c>
      <c r="I395" s="131" t="str">
        <f aca="false">Scoring!AU401</f>
        <v/>
      </c>
    </row>
    <row r="396" customFormat="false" ht="15.75" hidden="false" customHeight="false" outlineLevel="0" collapsed="false">
      <c r="A396" s="129" t="str">
        <f aca="false">Scoring!AX402</f>
        <v/>
      </c>
      <c r="B396" s="129" t="str">
        <f aca="false">Scoring!AW402</f>
        <v/>
      </c>
      <c r="C396" s="129" t="n">
        <f aca="false">Scoring!C402</f>
        <v>0</v>
      </c>
      <c r="D396" s="130" t="str">
        <f aca="false">Scoring!AT402</f>
        <v/>
      </c>
      <c r="E396" s="129" t="str">
        <f aca="false">Scoring!Z402</f>
        <v/>
      </c>
      <c r="F396" s="129" t="n">
        <f aca="false">Scoring!B402</f>
        <v>0</v>
      </c>
      <c r="G396" s="129" t="n">
        <f aca="false">Scoring!D402</f>
        <v>0</v>
      </c>
      <c r="H396" s="129" t="str">
        <f aca="false">Scoring!AV402</f>
        <v/>
      </c>
      <c r="I396" s="131" t="str">
        <f aca="false">Scoring!AU402</f>
        <v/>
      </c>
    </row>
    <row r="397" customFormat="false" ht="15.75" hidden="false" customHeight="false" outlineLevel="0" collapsed="false">
      <c r="A397" s="129" t="str">
        <f aca="false">Scoring!AX403</f>
        <v/>
      </c>
      <c r="B397" s="129" t="str">
        <f aca="false">Scoring!AW403</f>
        <v/>
      </c>
      <c r="C397" s="129" t="n">
        <f aca="false">Scoring!C403</f>
        <v>0</v>
      </c>
      <c r="D397" s="130" t="str">
        <f aca="false">Scoring!AT403</f>
        <v/>
      </c>
      <c r="E397" s="129" t="str">
        <f aca="false">Scoring!Z403</f>
        <v/>
      </c>
      <c r="F397" s="129" t="n">
        <f aca="false">Scoring!B403</f>
        <v>0</v>
      </c>
      <c r="G397" s="129" t="n">
        <f aca="false">Scoring!D403</f>
        <v>0</v>
      </c>
      <c r="H397" s="129" t="str">
        <f aca="false">Scoring!AV403</f>
        <v/>
      </c>
      <c r="I397" s="131" t="str">
        <f aca="false">Scoring!AU403</f>
        <v/>
      </c>
    </row>
    <row r="398" customFormat="false" ht="15.75" hidden="false" customHeight="false" outlineLevel="0" collapsed="false">
      <c r="A398" s="129" t="str">
        <f aca="false">Scoring!AX404</f>
        <v/>
      </c>
      <c r="B398" s="129" t="str">
        <f aca="false">Scoring!AW404</f>
        <v/>
      </c>
      <c r="C398" s="129" t="n">
        <f aca="false">Scoring!C404</f>
        <v>0</v>
      </c>
      <c r="D398" s="130" t="str">
        <f aca="false">Scoring!AT404</f>
        <v/>
      </c>
      <c r="E398" s="129" t="str">
        <f aca="false">Scoring!Z404</f>
        <v/>
      </c>
      <c r="F398" s="129" t="n">
        <f aca="false">Scoring!B404</f>
        <v>0</v>
      </c>
      <c r="G398" s="129" t="n">
        <f aca="false">Scoring!D404</f>
        <v>0</v>
      </c>
      <c r="H398" s="129" t="str">
        <f aca="false">Scoring!AV404</f>
        <v/>
      </c>
      <c r="I398" s="131" t="str">
        <f aca="false">Scoring!AU404</f>
        <v/>
      </c>
    </row>
    <row r="399" customFormat="false" ht="15.75" hidden="false" customHeight="false" outlineLevel="0" collapsed="false">
      <c r="A399" s="129" t="str">
        <f aca="false">Scoring!AX405</f>
        <v/>
      </c>
      <c r="B399" s="129" t="str">
        <f aca="false">Scoring!AW405</f>
        <v/>
      </c>
      <c r="C399" s="129" t="n">
        <f aca="false">Scoring!C405</f>
        <v>0</v>
      </c>
      <c r="D399" s="130" t="str">
        <f aca="false">Scoring!AT405</f>
        <v/>
      </c>
      <c r="E399" s="129" t="str">
        <f aca="false">Scoring!Z405</f>
        <v/>
      </c>
      <c r="F399" s="129" t="n">
        <f aca="false">Scoring!B405</f>
        <v>0</v>
      </c>
      <c r="G399" s="129" t="n">
        <f aca="false">Scoring!D405</f>
        <v>0</v>
      </c>
      <c r="H399" s="129" t="str">
        <f aca="false">Scoring!AV405</f>
        <v/>
      </c>
      <c r="I399" s="131" t="str">
        <f aca="false">Scoring!AU405</f>
        <v/>
      </c>
    </row>
    <row r="400" customFormat="false" ht="15.75" hidden="false" customHeight="false" outlineLevel="0" collapsed="false">
      <c r="A400" s="129" t="str">
        <f aca="false">Scoring!AX406</f>
        <v/>
      </c>
      <c r="B400" s="129" t="str">
        <f aca="false">Scoring!AW406</f>
        <v/>
      </c>
      <c r="C400" s="129" t="n">
        <f aca="false">Scoring!C406</f>
        <v>0</v>
      </c>
      <c r="D400" s="130" t="str">
        <f aca="false">Scoring!AT406</f>
        <v/>
      </c>
      <c r="E400" s="129" t="str">
        <f aca="false">Scoring!Z406</f>
        <v/>
      </c>
      <c r="F400" s="129" t="n">
        <f aca="false">Scoring!B406</f>
        <v>0</v>
      </c>
      <c r="G400" s="129" t="n">
        <f aca="false">Scoring!D406</f>
        <v>0</v>
      </c>
      <c r="H400" s="129" t="str">
        <f aca="false">Scoring!AV406</f>
        <v/>
      </c>
      <c r="I400" s="131" t="str">
        <f aca="false">Scoring!AU406</f>
        <v/>
      </c>
    </row>
    <row r="401" customFormat="false" ht="15.75" hidden="false" customHeight="false" outlineLevel="0" collapsed="false">
      <c r="A401" s="129" t="str">
        <f aca="false">Scoring!AX407</f>
        <v/>
      </c>
      <c r="B401" s="129" t="str">
        <f aca="false">Scoring!AW407</f>
        <v/>
      </c>
      <c r="C401" s="129" t="n">
        <f aca="false">Scoring!C407</f>
        <v>0</v>
      </c>
      <c r="D401" s="130" t="str">
        <f aca="false">Scoring!AT407</f>
        <v/>
      </c>
      <c r="E401" s="129" t="str">
        <f aca="false">Scoring!Z407</f>
        <v/>
      </c>
      <c r="F401" s="129" t="n">
        <f aca="false">Scoring!B407</f>
        <v>0</v>
      </c>
      <c r="G401" s="129" t="n">
        <f aca="false">Scoring!D407</f>
        <v>0</v>
      </c>
      <c r="H401" s="129" t="str">
        <f aca="false">Scoring!AV407</f>
        <v/>
      </c>
      <c r="I401" s="131" t="str">
        <f aca="false">Scoring!AU407</f>
        <v/>
      </c>
    </row>
    <row r="402" customFormat="false" ht="15.75" hidden="false" customHeight="false" outlineLevel="0" collapsed="false">
      <c r="A402" s="129" t="str">
        <f aca="false">Scoring!AX408</f>
        <v/>
      </c>
      <c r="B402" s="129" t="str">
        <f aca="false">Scoring!AW408</f>
        <v/>
      </c>
      <c r="C402" s="129" t="n">
        <f aca="false">Scoring!C408</f>
        <v>0</v>
      </c>
      <c r="D402" s="130" t="str">
        <f aca="false">Scoring!AT408</f>
        <v/>
      </c>
      <c r="E402" s="129" t="str">
        <f aca="false">Scoring!Z408</f>
        <v/>
      </c>
      <c r="F402" s="129" t="n">
        <f aca="false">Scoring!B408</f>
        <v>0</v>
      </c>
      <c r="G402" s="129" t="n">
        <f aca="false">Scoring!D408</f>
        <v>0</v>
      </c>
      <c r="H402" s="129" t="str">
        <f aca="false">Scoring!AV408</f>
        <v/>
      </c>
      <c r="I402" s="131" t="str">
        <f aca="false">Scoring!AU408</f>
        <v/>
      </c>
    </row>
    <row r="403" customFormat="false" ht="15.75" hidden="false" customHeight="false" outlineLevel="0" collapsed="false">
      <c r="A403" s="129" t="str">
        <f aca="false">Scoring!AX409</f>
        <v/>
      </c>
      <c r="B403" s="129" t="str">
        <f aca="false">Scoring!AW409</f>
        <v/>
      </c>
      <c r="C403" s="129" t="n">
        <f aca="false">Scoring!C409</f>
        <v>0</v>
      </c>
      <c r="D403" s="130" t="str">
        <f aca="false">Scoring!AT409</f>
        <v/>
      </c>
      <c r="E403" s="129" t="str">
        <f aca="false">Scoring!Z409</f>
        <v/>
      </c>
      <c r="F403" s="129" t="n">
        <f aca="false">Scoring!B409</f>
        <v>0</v>
      </c>
      <c r="G403" s="129" t="n">
        <f aca="false">Scoring!D409</f>
        <v>0</v>
      </c>
      <c r="H403" s="129" t="str">
        <f aca="false">Scoring!AV409</f>
        <v/>
      </c>
      <c r="I403" s="131" t="str">
        <f aca="false">Scoring!AU409</f>
        <v/>
      </c>
    </row>
    <row r="404" customFormat="false" ht="15.75" hidden="false" customHeight="false" outlineLevel="0" collapsed="false">
      <c r="A404" s="129" t="str">
        <f aca="false">Scoring!AX410</f>
        <v/>
      </c>
      <c r="B404" s="129" t="str">
        <f aca="false">Scoring!AW410</f>
        <v/>
      </c>
      <c r="C404" s="129" t="n">
        <f aca="false">Scoring!C410</f>
        <v>0</v>
      </c>
      <c r="D404" s="130" t="str">
        <f aca="false">Scoring!AT410</f>
        <v/>
      </c>
      <c r="E404" s="129" t="str">
        <f aca="false">Scoring!Z410</f>
        <v/>
      </c>
      <c r="F404" s="129" t="n">
        <f aca="false">Scoring!B410</f>
        <v>0</v>
      </c>
      <c r="G404" s="129" t="n">
        <f aca="false">Scoring!D410</f>
        <v>0</v>
      </c>
      <c r="H404" s="129" t="str">
        <f aca="false">Scoring!AV410</f>
        <v/>
      </c>
      <c r="I404" s="131" t="str">
        <f aca="false">Scoring!AU410</f>
        <v/>
      </c>
    </row>
    <row r="405" customFormat="false" ht="15.75" hidden="false" customHeight="false" outlineLevel="0" collapsed="false">
      <c r="A405" s="129" t="str">
        <f aca="false">Scoring!AX411</f>
        <v/>
      </c>
      <c r="B405" s="129" t="str">
        <f aca="false">Scoring!AW411</f>
        <v/>
      </c>
      <c r="C405" s="129" t="n">
        <f aca="false">Scoring!C411</f>
        <v>0</v>
      </c>
      <c r="D405" s="130" t="str">
        <f aca="false">Scoring!AT411</f>
        <v/>
      </c>
      <c r="E405" s="129" t="str">
        <f aca="false">Scoring!Z411</f>
        <v/>
      </c>
      <c r="F405" s="129" t="n">
        <f aca="false">Scoring!B411</f>
        <v>0</v>
      </c>
      <c r="G405" s="129" t="n">
        <f aca="false">Scoring!D411</f>
        <v>0</v>
      </c>
      <c r="H405" s="129" t="str">
        <f aca="false">Scoring!AV411</f>
        <v/>
      </c>
      <c r="I405" s="131" t="str">
        <f aca="false">Scoring!AU411</f>
        <v/>
      </c>
    </row>
    <row r="406" customFormat="false" ht="15.75" hidden="false" customHeight="false" outlineLevel="0" collapsed="false">
      <c r="A406" s="129" t="str">
        <f aca="false">Scoring!AX412</f>
        <v/>
      </c>
      <c r="B406" s="129" t="str">
        <f aca="false">Scoring!AW412</f>
        <v/>
      </c>
      <c r="C406" s="129" t="n">
        <f aca="false">Scoring!C412</f>
        <v>0</v>
      </c>
      <c r="D406" s="130" t="str">
        <f aca="false">Scoring!AT412</f>
        <v/>
      </c>
      <c r="E406" s="129" t="str">
        <f aca="false">Scoring!Z412</f>
        <v/>
      </c>
      <c r="F406" s="129" t="n">
        <f aca="false">Scoring!B412</f>
        <v>0</v>
      </c>
      <c r="G406" s="129" t="n">
        <f aca="false">Scoring!D412</f>
        <v>0</v>
      </c>
      <c r="H406" s="129" t="str">
        <f aca="false">Scoring!AV412</f>
        <v/>
      </c>
      <c r="I406" s="131" t="str">
        <f aca="false">Scoring!AU412</f>
        <v/>
      </c>
    </row>
    <row r="407" customFormat="false" ht="15.75" hidden="false" customHeight="false" outlineLevel="0" collapsed="false">
      <c r="A407" s="129" t="str">
        <f aca="false">Scoring!AX413</f>
        <v/>
      </c>
      <c r="B407" s="129" t="str">
        <f aca="false">Scoring!AW413</f>
        <v/>
      </c>
      <c r="C407" s="129" t="n">
        <f aca="false">Scoring!C413</f>
        <v>0</v>
      </c>
      <c r="D407" s="130" t="str">
        <f aca="false">Scoring!AT413</f>
        <v/>
      </c>
      <c r="E407" s="129" t="str">
        <f aca="false">Scoring!Z413</f>
        <v/>
      </c>
      <c r="F407" s="129" t="n">
        <f aca="false">Scoring!B413</f>
        <v>0</v>
      </c>
      <c r="G407" s="129" t="n">
        <f aca="false">Scoring!D413</f>
        <v>0</v>
      </c>
      <c r="H407" s="129" t="str">
        <f aca="false">Scoring!AV413</f>
        <v/>
      </c>
      <c r="I407" s="131" t="str">
        <f aca="false">Scoring!AU413</f>
        <v/>
      </c>
    </row>
    <row r="408" customFormat="false" ht="15.75" hidden="false" customHeight="false" outlineLevel="0" collapsed="false">
      <c r="A408" s="129" t="str">
        <f aca="false">Scoring!AX414</f>
        <v/>
      </c>
      <c r="B408" s="129" t="str">
        <f aca="false">Scoring!AW414</f>
        <v/>
      </c>
      <c r="C408" s="129" t="n">
        <f aca="false">Scoring!C414</f>
        <v>0</v>
      </c>
      <c r="D408" s="130" t="str">
        <f aca="false">Scoring!AT414</f>
        <v/>
      </c>
      <c r="E408" s="129" t="str">
        <f aca="false">Scoring!Z414</f>
        <v/>
      </c>
      <c r="F408" s="129" t="n">
        <f aca="false">Scoring!B414</f>
        <v>0</v>
      </c>
      <c r="G408" s="129" t="n">
        <f aca="false">Scoring!D414</f>
        <v>0</v>
      </c>
      <c r="H408" s="129" t="str">
        <f aca="false">Scoring!AV414</f>
        <v/>
      </c>
      <c r="I408" s="131" t="str">
        <f aca="false">Scoring!AU414</f>
        <v/>
      </c>
    </row>
    <row r="409" customFormat="false" ht="15.75" hidden="false" customHeight="false" outlineLevel="0" collapsed="false">
      <c r="A409" s="129" t="str">
        <f aca="false">Scoring!AX415</f>
        <v/>
      </c>
      <c r="B409" s="129" t="str">
        <f aca="false">Scoring!AW415</f>
        <v/>
      </c>
      <c r="C409" s="129" t="n">
        <f aca="false">Scoring!C415</f>
        <v>0</v>
      </c>
      <c r="D409" s="130" t="str">
        <f aca="false">Scoring!AT415</f>
        <v/>
      </c>
      <c r="E409" s="129" t="str">
        <f aca="false">Scoring!Z415</f>
        <v/>
      </c>
      <c r="F409" s="129" t="n">
        <f aca="false">Scoring!B415</f>
        <v>0</v>
      </c>
      <c r="G409" s="129" t="n">
        <f aca="false">Scoring!D415</f>
        <v>0</v>
      </c>
      <c r="H409" s="129" t="str">
        <f aca="false">Scoring!AV415</f>
        <v/>
      </c>
      <c r="I409" s="131" t="str">
        <f aca="false">Scoring!AU415</f>
        <v/>
      </c>
    </row>
    <row r="410" customFormat="false" ht="15.75" hidden="false" customHeight="false" outlineLevel="0" collapsed="false">
      <c r="A410" s="129" t="str">
        <f aca="false">Scoring!AX416</f>
        <v/>
      </c>
      <c r="B410" s="129" t="str">
        <f aca="false">Scoring!AW416</f>
        <v/>
      </c>
      <c r="C410" s="129" t="n">
        <f aca="false">Scoring!C416</f>
        <v>0</v>
      </c>
      <c r="D410" s="130" t="str">
        <f aca="false">Scoring!AT416</f>
        <v/>
      </c>
      <c r="E410" s="129" t="str">
        <f aca="false">Scoring!Z416</f>
        <v/>
      </c>
      <c r="F410" s="129" t="n">
        <f aca="false">Scoring!B416</f>
        <v>0</v>
      </c>
      <c r="G410" s="129" t="n">
        <f aca="false">Scoring!D416</f>
        <v>0</v>
      </c>
      <c r="H410" s="129" t="str">
        <f aca="false">Scoring!AV416</f>
        <v/>
      </c>
      <c r="I410" s="131" t="str">
        <f aca="false">Scoring!AU416</f>
        <v/>
      </c>
    </row>
    <row r="411" customFormat="false" ht="15.75" hidden="false" customHeight="false" outlineLevel="0" collapsed="false">
      <c r="A411" s="129" t="str">
        <f aca="false">Scoring!AX417</f>
        <v/>
      </c>
      <c r="B411" s="129" t="str">
        <f aca="false">Scoring!AW417</f>
        <v/>
      </c>
      <c r="C411" s="129" t="n">
        <f aca="false">Scoring!C417</f>
        <v>0</v>
      </c>
      <c r="D411" s="130" t="str">
        <f aca="false">Scoring!AT417</f>
        <v/>
      </c>
      <c r="E411" s="129" t="str">
        <f aca="false">Scoring!Z417</f>
        <v/>
      </c>
      <c r="F411" s="129" t="n">
        <f aca="false">Scoring!B417</f>
        <v>0</v>
      </c>
      <c r="G411" s="129" t="n">
        <f aca="false">Scoring!D417</f>
        <v>0</v>
      </c>
      <c r="H411" s="129" t="str">
        <f aca="false">Scoring!AV417</f>
        <v/>
      </c>
      <c r="I411" s="131" t="str">
        <f aca="false">Scoring!AU417</f>
        <v/>
      </c>
    </row>
    <row r="412" customFormat="false" ht="15.75" hidden="false" customHeight="false" outlineLevel="0" collapsed="false">
      <c r="A412" s="129" t="str">
        <f aca="false">Scoring!AX418</f>
        <v/>
      </c>
      <c r="B412" s="129" t="str">
        <f aca="false">Scoring!AW418</f>
        <v/>
      </c>
      <c r="C412" s="129" t="n">
        <f aca="false">Scoring!C418</f>
        <v>0</v>
      </c>
      <c r="D412" s="130" t="str">
        <f aca="false">Scoring!AT418</f>
        <v/>
      </c>
      <c r="E412" s="129" t="str">
        <f aca="false">Scoring!Z418</f>
        <v/>
      </c>
      <c r="F412" s="129" t="n">
        <f aca="false">Scoring!B418</f>
        <v>0</v>
      </c>
      <c r="G412" s="129" t="n">
        <f aca="false">Scoring!D418</f>
        <v>0</v>
      </c>
      <c r="H412" s="129" t="str">
        <f aca="false">Scoring!AV418</f>
        <v/>
      </c>
      <c r="I412" s="131" t="str">
        <f aca="false">Scoring!AU418</f>
        <v/>
      </c>
    </row>
    <row r="413" customFormat="false" ht="15.75" hidden="false" customHeight="false" outlineLevel="0" collapsed="false">
      <c r="A413" s="129" t="str">
        <f aca="false">Scoring!AX419</f>
        <v/>
      </c>
      <c r="B413" s="129" t="str">
        <f aca="false">Scoring!AW419</f>
        <v/>
      </c>
      <c r="C413" s="129" t="n">
        <f aca="false">Scoring!C419</f>
        <v>0</v>
      </c>
      <c r="D413" s="130" t="str">
        <f aca="false">Scoring!AT419</f>
        <v/>
      </c>
      <c r="E413" s="129" t="str">
        <f aca="false">Scoring!Z419</f>
        <v/>
      </c>
      <c r="F413" s="129" t="n">
        <f aca="false">Scoring!B419</f>
        <v>0</v>
      </c>
      <c r="G413" s="129" t="n">
        <f aca="false">Scoring!D419</f>
        <v>0</v>
      </c>
      <c r="H413" s="129" t="str">
        <f aca="false">Scoring!AV419</f>
        <v/>
      </c>
      <c r="I413" s="131" t="str">
        <f aca="false">Scoring!AU419</f>
        <v/>
      </c>
    </row>
    <row r="414" customFormat="false" ht="15.75" hidden="false" customHeight="false" outlineLevel="0" collapsed="false">
      <c r="A414" s="129" t="str">
        <f aca="false">Scoring!AX420</f>
        <v/>
      </c>
      <c r="B414" s="129" t="str">
        <f aca="false">Scoring!AW420</f>
        <v/>
      </c>
      <c r="C414" s="129" t="n">
        <f aca="false">Scoring!C420</f>
        <v>0</v>
      </c>
      <c r="D414" s="130" t="str">
        <f aca="false">Scoring!AT420</f>
        <v/>
      </c>
      <c r="E414" s="129" t="str">
        <f aca="false">Scoring!Z420</f>
        <v/>
      </c>
      <c r="F414" s="129" t="n">
        <f aca="false">Scoring!B420</f>
        <v>0</v>
      </c>
      <c r="G414" s="129" t="n">
        <f aca="false">Scoring!D420</f>
        <v>0</v>
      </c>
      <c r="H414" s="129" t="str">
        <f aca="false">Scoring!AV420</f>
        <v/>
      </c>
      <c r="I414" s="131" t="str">
        <f aca="false">Scoring!AU420</f>
        <v/>
      </c>
    </row>
    <row r="415" customFormat="false" ht="15.75" hidden="false" customHeight="false" outlineLevel="0" collapsed="false">
      <c r="A415" s="129" t="str">
        <f aca="false">Scoring!AX421</f>
        <v/>
      </c>
      <c r="B415" s="129" t="str">
        <f aca="false">Scoring!AW421</f>
        <v/>
      </c>
      <c r="C415" s="129" t="n">
        <f aca="false">Scoring!C421</f>
        <v>0</v>
      </c>
      <c r="D415" s="130" t="str">
        <f aca="false">Scoring!AT421</f>
        <v/>
      </c>
      <c r="E415" s="129" t="str">
        <f aca="false">Scoring!Z421</f>
        <v/>
      </c>
      <c r="F415" s="129" t="n">
        <f aca="false">Scoring!B421</f>
        <v>0</v>
      </c>
      <c r="G415" s="129" t="n">
        <f aca="false">Scoring!D421</f>
        <v>0</v>
      </c>
      <c r="H415" s="129" t="str">
        <f aca="false">Scoring!AV421</f>
        <v/>
      </c>
      <c r="I415" s="131" t="str">
        <f aca="false">Scoring!AU421</f>
        <v/>
      </c>
    </row>
    <row r="416" customFormat="false" ht="15.75" hidden="false" customHeight="false" outlineLevel="0" collapsed="false">
      <c r="A416" s="129" t="str">
        <f aca="false">Scoring!AX422</f>
        <v/>
      </c>
      <c r="B416" s="129" t="str">
        <f aca="false">Scoring!AW422</f>
        <v/>
      </c>
      <c r="C416" s="129" t="n">
        <f aca="false">Scoring!C422</f>
        <v>0</v>
      </c>
      <c r="D416" s="130" t="str">
        <f aca="false">Scoring!AT422</f>
        <v/>
      </c>
      <c r="E416" s="129" t="str">
        <f aca="false">Scoring!Z422</f>
        <v/>
      </c>
      <c r="F416" s="129" t="n">
        <f aca="false">Scoring!B422</f>
        <v>0</v>
      </c>
      <c r="G416" s="129" t="n">
        <f aca="false">Scoring!D422</f>
        <v>0</v>
      </c>
      <c r="H416" s="129" t="str">
        <f aca="false">Scoring!AV422</f>
        <v/>
      </c>
      <c r="I416" s="131" t="str">
        <f aca="false">Scoring!AU422</f>
        <v/>
      </c>
    </row>
    <row r="417" customFormat="false" ht="15.75" hidden="false" customHeight="false" outlineLevel="0" collapsed="false">
      <c r="A417" s="129" t="str">
        <f aca="false">Scoring!AX423</f>
        <v/>
      </c>
      <c r="B417" s="129" t="str">
        <f aca="false">Scoring!AW423</f>
        <v/>
      </c>
      <c r="C417" s="129" t="n">
        <f aca="false">Scoring!C423</f>
        <v>0</v>
      </c>
      <c r="D417" s="130" t="str">
        <f aca="false">Scoring!AT423</f>
        <v/>
      </c>
      <c r="E417" s="129" t="str">
        <f aca="false">Scoring!Z423</f>
        <v/>
      </c>
      <c r="F417" s="129" t="n">
        <f aca="false">Scoring!B423</f>
        <v>0</v>
      </c>
      <c r="G417" s="129" t="n">
        <f aca="false">Scoring!D423</f>
        <v>0</v>
      </c>
      <c r="H417" s="129" t="str">
        <f aca="false">Scoring!AV423</f>
        <v/>
      </c>
      <c r="I417" s="131" t="str">
        <f aca="false">Scoring!AU423</f>
        <v/>
      </c>
    </row>
    <row r="418" customFormat="false" ht="15.75" hidden="false" customHeight="false" outlineLevel="0" collapsed="false">
      <c r="A418" s="129" t="str">
        <f aca="false">Scoring!AX424</f>
        <v/>
      </c>
      <c r="B418" s="129" t="str">
        <f aca="false">Scoring!AW424</f>
        <v/>
      </c>
      <c r="C418" s="129" t="n">
        <f aca="false">Scoring!C424</f>
        <v>0</v>
      </c>
      <c r="D418" s="130" t="str">
        <f aca="false">Scoring!AT424</f>
        <v/>
      </c>
      <c r="E418" s="129" t="str">
        <f aca="false">Scoring!Z424</f>
        <v/>
      </c>
      <c r="F418" s="129" t="n">
        <f aca="false">Scoring!B424</f>
        <v>0</v>
      </c>
      <c r="G418" s="129" t="n">
        <f aca="false">Scoring!D424</f>
        <v>0</v>
      </c>
      <c r="H418" s="129" t="str">
        <f aca="false">Scoring!AV424</f>
        <v/>
      </c>
      <c r="I418" s="131" t="str">
        <f aca="false">Scoring!AU424</f>
        <v/>
      </c>
    </row>
    <row r="419" customFormat="false" ht="15.75" hidden="false" customHeight="false" outlineLevel="0" collapsed="false">
      <c r="A419" s="129" t="str">
        <f aca="false">Scoring!AX425</f>
        <v/>
      </c>
      <c r="B419" s="129" t="str">
        <f aca="false">Scoring!AW425</f>
        <v/>
      </c>
      <c r="C419" s="129" t="n">
        <f aca="false">Scoring!C425</f>
        <v>0</v>
      </c>
      <c r="D419" s="130" t="str">
        <f aca="false">Scoring!AT425</f>
        <v/>
      </c>
      <c r="E419" s="129" t="str">
        <f aca="false">Scoring!Z425</f>
        <v/>
      </c>
      <c r="F419" s="129" t="n">
        <f aca="false">Scoring!B425</f>
        <v>0</v>
      </c>
      <c r="G419" s="129" t="n">
        <f aca="false">Scoring!D425</f>
        <v>0</v>
      </c>
      <c r="H419" s="129" t="str">
        <f aca="false">Scoring!AV425</f>
        <v/>
      </c>
      <c r="I419" s="131" t="str">
        <f aca="false">Scoring!AU425</f>
        <v/>
      </c>
    </row>
    <row r="420" customFormat="false" ht="15.75" hidden="false" customHeight="false" outlineLevel="0" collapsed="false">
      <c r="A420" s="129" t="str">
        <f aca="false">Scoring!AX426</f>
        <v/>
      </c>
      <c r="B420" s="129" t="str">
        <f aca="false">Scoring!AW426</f>
        <v/>
      </c>
      <c r="C420" s="129" t="n">
        <f aca="false">Scoring!C426</f>
        <v>0</v>
      </c>
      <c r="D420" s="130" t="str">
        <f aca="false">Scoring!AT426</f>
        <v/>
      </c>
      <c r="E420" s="129" t="str">
        <f aca="false">Scoring!Z426</f>
        <v/>
      </c>
      <c r="F420" s="129" t="n">
        <f aca="false">Scoring!B426</f>
        <v>0</v>
      </c>
      <c r="G420" s="129" t="n">
        <f aca="false">Scoring!D426</f>
        <v>0</v>
      </c>
      <c r="H420" s="129" t="str">
        <f aca="false">Scoring!AV426</f>
        <v/>
      </c>
      <c r="I420" s="131" t="str">
        <f aca="false">Scoring!AU426</f>
        <v/>
      </c>
    </row>
    <row r="421" customFormat="false" ht="15.75" hidden="false" customHeight="false" outlineLevel="0" collapsed="false">
      <c r="A421" s="129" t="str">
        <f aca="false">Scoring!AX427</f>
        <v/>
      </c>
      <c r="B421" s="129" t="str">
        <f aca="false">Scoring!AW427</f>
        <v/>
      </c>
      <c r="C421" s="129" t="n">
        <f aca="false">Scoring!C427</f>
        <v>0</v>
      </c>
      <c r="D421" s="130" t="str">
        <f aca="false">Scoring!AT427</f>
        <v/>
      </c>
      <c r="E421" s="129" t="str">
        <f aca="false">Scoring!Z427</f>
        <v/>
      </c>
      <c r="F421" s="129" t="n">
        <f aca="false">Scoring!B427</f>
        <v>0</v>
      </c>
      <c r="G421" s="129" t="n">
        <f aca="false">Scoring!D427</f>
        <v>0</v>
      </c>
      <c r="H421" s="129" t="str">
        <f aca="false">Scoring!AV427</f>
        <v/>
      </c>
      <c r="I421" s="131" t="str">
        <f aca="false">Scoring!AU427</f>
        <v/>
      </c>
    </row>
    <row r="422" customFormat="false" ht="15.75" hidden="false" customHeight="false" outlineLevel="0" collapsed="false">
      <c r="A422" s="129" t="str">
        <f aca="false">Scoring!AX428</f>
        <v/>
      </c>
      <c r="B422" s="129" t="str">
        <f aca="false">Scoring!AW428</f>
        <v/>
      </c>
      <c r="C422" s="129" t="n">
        <f aca="false">Scoring!C428</f>
        <v>0</v>
      </c>
      <c r="D422" s="130" t="str">
        <f aca="false">Scoring!AT428</f>
        <v/>
      </c>
      <c r="E422" s="129" t="str">
        <f aca="false">Scoring!Z428</f>
        <v/>
      </c>
      <c r="F422" s="129" t="n">
        <f aca="false">Scoring!B428</f>
        <v>0</v>
      </c>
      <c r="G422" s="129" t="n">
        <f aca="false">Scoring!D428</f>
        <v>0</v>
      </c>
      <c r="H422" s="129" t="str">
        <f aca="false">Scoring!AV428</f>
        <v/>
      </c>
      <c r="I422" s="131" t="str">
        <f aca="false">Scoring!AU428</f>
        <v/>
      </c>
    </row>
    <row r="423" customFormat="false" ht="15.75" hidden="false" customHeight="false" outlineLevel="0" collapsed="false">
      <c r="A423" s="129" t="str">
        <f aca="false">Scoring!AX429</f>
        <v/>
      </c>
      <c r="B423" s="129" t="str">
        <f aca="false">Scoring!AW429</f>
        <v/>
      </c>
      <c r="C423" s="129" t="n">
        <f aca="false">Scoring!C429</f>
        <v>0</v>
      </c>
      <c r="D423" s="130" t="str">
        <f aca="false">Scoring!AT429</f>
        <v/>
      </c>
      <c r="E423" s="129" t="str">
        <f aca="false">Scoring!Z429</f>
        <v/>
      </c>
      <c r="F423" s="129" t="n">
        <f aca="false">Scoring!B429</f>
        <v>0</v>
      </c>
      <c r="G423" s="129" t="n">
        <f aca="false">Scoring!D429</f>
        <v>0</v>
      </c>
      <c r="H423" s="129" t="str">
        <f aca="false">Scoring!AV429</f>
        <v/>
      </c>
      <c r="I423" s="131" t="str">
        <f aca="false">Scoring!AU429</f>
        <v/>
      </c>
    </row>
    <row r="424" customFormat="false" ht="15.75" hidden="false" customHeight="false" outlineLevel="0" collapsed="false">
      <c r="A424" s="129" t="str">
        <f aca="false">Scoring!AX430</f>
        <v/>
      </c>
      <c r="B424" s="129" t="str">
        <f aca="false">Scoring!AW430</f>
        <v/>
      </c>
      <c r="C424" s="129" t="n">
        <f aca="false">Scoring!C430</f>
        <v>0</v>
      </c>
      <c r="D424" s="130" t="str">
        <f aca="false">Scoring!AT430</f>
        <v/>
      </c>
      <c r="E424" s="129" t="str">
        <f aca="false">Scoring!Z430</f>
        <v/>
      </c>
      <c r="F424" s="129" t="n">
        <f aca="false">Scoring!B430</f>
        <v>0</v>
      </c>
      <c r="G424" s="129" t="n">
        <f aca="false">Scoring!D430</f>
        <v>0</v>
      </c>
      <c r="H424" s="129" t="str">
        <f aca="false">Scoring!AV430</f>
        <v/>
      </c>
      <c r="I424" s="131" t="str">
        <f aca="false">Scoring!AU430</f>
        <v/>
      </c>
    </row>
    <row r="425" customFormat="false" ht="15.75" hidden="false" customHeight="false" outlineLevel="0" collapsed="false">
      <c r="A425" s="129" t="str">
        <f aca="false">Scoring!AX431</f>
        <v/>
      </c>
      <c r="B425" s="129" t="str">
        <f aca="false">Scoring!AW431</f>
        <v/>
      </c>
      <c r="C425" s="129" t="n">
        <f aca="false">Scoring!C431</f>
        <v>0</v>
      </c>
      <c r="D425" s="130" t="str">
        <f aca="false">Scoring!AT431</f>
        <v/>
      </c>
      <c r="E425" s="129" t="str">
        <f aca="false">Scoring!Z431</f>
        <v/>
      </c>
      <c r="F425" s="129" t="n">
        <f aca="false">Scoring!B431</f>
        <v>0</v>
      </c>
      <c r="G425" s="129" t="n">
        <f aca="false">Scoring!D431</f>
        <v>0</v>
      </c>
      <c r="H425" s="129" t="str">
        <f aca="false">Scoring!AV431</f>
        <v/>
      </c>
      <c r="I425" s="131" t="str">
        <f aca="false">Scoring!AU431</f>
        <v/>
      </c>
    </row>
    <row r="426" customFormat="false" ht="15.75" hidden="false" customHeight="false" outlineLevel="0" collapsed="false">
      <c r="A426" s="129" t="str">
        <f aca="false">Scoring!AX432</f>
        <v/>
      </c>
      <c r="B426" s="129" t="str">
        <f aca="false">Scoring!AW432</f>
        <v/>
      </c>
      <c r="C426" s="129" t="n">
        <f aca="false">Scoring!C432</f>
        <v>0</v>
      </c>
      <c r="D426" s="130" t="str">
        <f aca="false">Scoring!AT432</f>
        <v/>
      </c>
      <c r="E426" s="129" t="str">
        <f aca="false">Scoring!Z432</f>
        <v/>
      </c>
      <c r="F426" s="129" t="n">
        <f aca="false">Scoring!B432</f>
        <v>0</v>
      </c>
      <c r="G426" s="129" t="n">
        <f aca="false">Scoring!D432</f>
        <v>0</v>
      </c>
      <c r="H426" s="129" t="str">
        <f aca="false">Scoring!AV432</f>
        <v/>
      </c>
      <c r="I426" s="131" t="str">
        <f aca="false">Scoring!AU432</f>
        <v/>
      </c>
    </row>
    <row r="427" customFormat="false" ht="15.75" hidden="false" customHeight="false" outlineLevel="0" collapsed="false">
      <c r="A427" s="129" t="str">
        <f aca="false">Scoring!AX433</f>
        <v/>
      </c>
      <c r="B427" s="129" t="str">
        <f aca="false">Scoring!AW433</f>
        <v/>
      </c>
      <c r="C427" s="129" t="n">
        <f aca="false">Scoring!C433</f>
        <v>0</v>
      </c>
      <c r="D427" s="130" t="str">
        <f aca="false">Scoring!AT433</f>
        <v/>
      </c>
      <c r="E427" s="129" t="str">
        <f aca="false">Scoring!Z433</f>
        <v/>
      </c>
      <c r="F427" s="129" t="n">
        <f aca="false">Scoring!B433</f>
        <v>0</v>
      </c>
      <c r="G427" s="129" t="n">
        <f aca="false">Scoring!D433</f>
        <v>0</v>
      </c>
      <c r="H427" s="129" t="str">
        <f aca="false">Scoring!AV433</f>
        <v/>
      </c>
      <c r="I427" s="131" t="str">
        <f aca="false">Scoring!AU433</f>
        <v/>
      </c>
    </row>
    <row r="428" customFormat="false" ht="15.75" hidden="false" customHeight="false" outlineLevel="0" collapsed="false">
      <c r="A428" s="129" t="str">
        <f aca="false">Scoring!AX434</f>
        <v/>
      </c>
      <c r="B428" s="129" t="str">
        <f aca="false">Scoring!AW434</f>
        <v/>
      </c>
      <c r="C428" s="129" t="n">
        <f aca="false">Scoring!C434</f>
        <v>0</v>
      </c>
      <c r="D428" s="130" t="str">
        <f aca="false">Scoring!AT434</f>
        <v/>
      </c>
      <c r="E428" s="129" t="str">
        <f aca="false">Scoring!Z434</f>
        <v/>
      </c>
      <c r="F428" s="129" t="n">
        <f aca="false">Scoring!B434</f>
        <v>0</v>
      </c>
      <c r="G428" s="129" t="n">
        <f aca="false">Scoring!D434</f>
        <v>0</v>
      </c>
      <c r="H428" s="129" t="str">
        <f aca="false">Scoring!AV434</f>
        <v/>
      </c>
      <c r="I428" s="131" t="str">
        <f aca="false">Scoring!AU434</f>
        <v/>
      </c>
    </row>
    <row r="429" customFormat="false" ht="15.75" hidden="false" customHeight="false" outlineLevel="0" collapsed="false">
      <c r="A429" s="129" t="str">
        <f aca="false">Scoring!AX435</f>
        <v/>
      </c>
      <c r="B429" s="129" t="str">
        <f aca="false">Scoring!AW435</f>
        <v/>
      </c>
      <c r="C429" s="129" t="n">
        <f aca="false">Scoring!C435</f>
        <v>0</v>
      </c>
      <c r="D429" s="130" t="str">
        <f aca="false">Scoring!AT435</f>
        <v/>
      </c>
      <c r="E429" s="129" t="str">
        <f aca="false">Scoring!Z435</f>
        <v/>
      </c>
      <c r="F429" s="129" t="n">
        <f aca="false">Scoring!B435</f>
        <v>0</v>
      </c>
      <c r="G429" s="129" t="n">
        <f aca="false">Scoring!D435</f>
        <v>0</v>
      </c>
      <c r="H429" s="129" t="str">
        <f aca="false">Scoring!AV435</f>
        <v/>
      </c>
      <c r="I429" s="131" t="str">
        <f aca="false">Scoring!AU435</f>
        <v/>
      </c>
    </row>
    <row r="430" customFormat="false" ht="15.75" hidden="false" customHeight="false" outlineLevel="0" collapsed="false">
      <c r="A430" s="129" t="str">
        <f aca="false">Scoring!AX436</f>
        <v/>
      </c>
      <c r="B430" s="129" t="str">
        <f aca="false">Scoring!AW436</f>
        <v/>
      </c>
      <c r="C430" s="129" t="n">
        <f aca="false">Scoring!C436</f>
        <v>0</v>
      </c>
      <c r="D430" s="130" t="str">
        <f aca="false">Scoring!AT436</f>
        <v/>
      </c>
      <c r="E430" s="129" t="str">
        <f aca="false">Scoring!Z436</f>
        <v/>
      </c>
      <c r="F430" s="129" t="n">
        <f aca="false">Scoring!B436</f>
        <v>0</v>
      </c>
      <c r="G430" s="129" t="n">
        <f aca="false">Scoring!D436</f>
        <v>0</v>
      </c>
      <c r="H430" s="129" t="str">
        <f aca="false">Scoring!AV436</f>
        <v/>
      </c>
      <c r="I430" s="131" t="str">
        <f aca="false">Scoring!AU436</f>
        <v/>
      </c>
    </row>
    <row r="431" customFormat="false" ht="15.75" hidden="false" customHeight="false" outlineLevel="0" collapsed="false">
      <c r="A431" s="129" t="str">
        <f aca="false">Scoring!AX437</f>
        <v/>
      </c>
      <c r="B431" s="129" t="str">
        <f aca="false">Scoring!AW437</f>
        <v/>
      </c>
      <c r="C431" s="129" t="n">
        <f aca="false">Scoring!C437</f>
        <v>0</v>
      </c>
      <c r="D431" s="130" t="str">
        <f aca="false">Scoring!AT437</f>
        <v/>
      </c>
      <c r="E431" s="129" t="str">
        <f aca="false">Scoring!Z437</f>
        <v/>
      </c>
      <c r="F431" s="129" t="n">
        <f aca="false">Scoring!B437</f>
        <v>0</v>
      </c>
      <c r="G431" s="129" t="n">
        <f aca="false">Scoring!D437</f>
        <v>0</v>
      </c>
      <c r="H431" s="129" t="str">
        <f aca="false">Scoring!AV437</f>
        <v/>
      </c>
      <c r="I431" s="131" t="str">
        <f aca="false">Scoring!AU437</f>
        <v/>
      </c>
    </row>
    <row r="432" customFormat="false" ht="15.75" hidden="false" customHeight="false" outlineLevel="0" collapsed="false">
      <c r="A432" s="129" t="str">
        <f aca="false">Scoring!AX438</f>
        <v/>
      </c>
      <c r="B432" s="129" t="str">
        <f aca="false">Scoring!AW438</f>
        <v/>
      </c>
      <c r="C432" s="129" t="n">
        <f aca="false">Scoring!C438</f>
        <v>0</v>
      </c>
      <c r="D432" s="130" t="str">
        <f aca="false">Scoring!AT438</f>
        <v/>
      </c>
      <c r="E432" s="129" t="str">
        <f aca="false">Scoring!Z438</f>
        <v/>
      </c>
      <c r="F432" s="129" t="n">
        <f aca="false">Scoring!B438</f>
        <v>0</v>
      </c>
      <c r="G432" s="129" t="n">
        <f aca="false">Scoring!D438</f>
        <v>0</v>
      </c>
      <c r="H432" s="129" t="str">
        <f aca="false">Scoring!AV438</f>
        <v/>
      </c>
      <c r="I432" s="131" t="str">
        <f aca="false">Scoring!AU438</f>
        <v/>
      </c>
    </row>
    <row r="433" customFormat="false" ht="15.75" hidden="false" customHeight="false" outlineLevel="0" collapsed="false">
      <c r="A433" s="129" t="str">
        <f aca="false">Scoring!AX439</f>
        <v/>
      </c>
      <c r="B433" s="129" t="str">
        <f aca="false">Scoring!AW439</f>
        <v/>
      </c>
      <c r="C433" s="129" t="n">
        <f aca="false">Scoring!C439</f>
        <v>0</v>
      </c>
      <c r="D433" s="130" t="str">
        <f aca="false">Scoring!AT439</f>
        <v/>
      </c>
      <c r="E433" s="129" t="str">
        <f aca="false">Scoring!Z439</f>
        <v/>
      </c>
      <c r="F433" s="129" t="n">
        <f aca="false">Scoring!B439</f>
        <v>0</v>
      </c>
      <c r="G433" s="129" t="n">
        <f aca="false">Scoring!D439</f>
        <v>0</v>
      </c>
      <c r="H433" s="129" t="str">
        <f aca="false">Scoring!AV439</f>
        <v/>
      </c>
      <c r="I433" s="131" t="str">
        <f aca="false">Scoring!AU439</f>
        <v/>
      </c>
    </row>
    <row r="434" customFormat="false" ht="15.75" hidden="false" customHeight="false" outlineLevel="0" collapsed="false">
      <c r="A434" s="129" t="str">
        <f aca="false">Scoring!AX440</f>
        <v/>
      </c>
      <c r="B434" s="129" t="str">
        <f aca="false">Scoring!AW440</f>
        <v/>
      </c>
      <c r="C434" s="129" t="n">
        <f aca="false">Scoring!C440</f>
        <v>0</v>
      </c>
      <c r="D434" s="130" t="str">
        <f aca="false">Scoring!AT440</f>
        <v/>
      </c>
      <c r="E434" s="129" t="str">
        <f aca="false">Scoring!Z440</f>
        <v/>
      </c>
      <c r="F434" s="129" t="n">
        <f aca="false">Scoring!B440</f>
        <v>0</v>
      </c>
      <c r="G434" s="129" t="n">
        <f aca="false">Scoring!D440</f>
        <v>0</v>
      </c>
      <c r="H434" s="129" t="str">
        <f aca="false">Scoring!AV440</f>
        <v/>
      </c>
      <c r="I434" s="131" t="str">
        <f aca="false">Scoring!AU440</f>
        <v/>
      </c>
    </row>
    <row r="435" customFormat="false" ht="15.75" hidden="false" customHeight="false" outlineLevel="0" collapsed="false">
      <c r="A435" s="129" t="str">
        <f aca="false">Scoring!AX441</f>
        <v/>
      </c>
      <c r="B435" s="129" t="str">
        <f aca="false">Scoring!AW441</f>
        <v/>
      </c>
      <c r="C435" s="129" t="n">
        <f aca="false">Scoring!C441</f>
        <v>0</v>
      </c>
      <c r="D435" s="130" t="str">
        <f aca="false">Scoring!AT441</f>
        <v/>
      </c>
      <c r="E435" s="129" t="str">
        <f aca="false">Scoring!Z441</f>
        <v/>
      </c>
      <c r="F435" s="129" t="n">
        <f aca="false">Scoring!B441</f>
        <v>0</v>
      </c>
      <c r="G435" s="129" t="n">
        <f aca="false">Scoring!D441</f>
        <v>0</v>
      </c>
      <c r="H435" s="129" t="str">
        <f aca="false">Scoring!AV441</f>
        <v/>
      </c>
      <c r="I435" s="131" t="str">
        <f aca="false">Scoring!AU441</f>
        <v/>
      </c>
    </row>
    <row r="436" customFormat="false" ht="15.75" hidden="false" customHeight="false" outlineLevel="0" collapsed="false">
      <c r="A436" s="129" t="str">
        <f aca="false">Scoring!AX442</f>
        <v/>
      </c>
      <c r="B436" s="129" t="str">
        <f aca="false">Scoring!AW442</f>
        <v/>
      </c>
      <c r="C436" s="129" t="n">
        <f aca="false">Scoring!C442</f>
        <v>0</v>
      </c>
      <c r="D436" s="130" t="str">
        <f aca="false">Scoring!AT442</f>
        <v/>
      </c>
      <c r="E436" s="129" t="str">
        <f aca="false">Scoring!Z442</f>
        <v/>
      </c>
      <c r="F436" s="129" t="n">
        <f aca="false">Scoring!B442</f>
        <v>0</v>
      </c>
      <c r="G436" s="129" t="n">
        <f aca="false">Scoring!D442</f>
        <v>0</v>
      </c>
      <c r="H436" s="129" t="str">
        <f aca="false">Scoring!AV442</f>
        <v/>
      </c>
      <c r="I436" s="131" t="str">
        <f aca="false">Scoring!AU442</f>
        <v/>
      </c>
    </row>
    <row r="437" customFormat="false" ht="15.75" hidden="false" customHeight="false" outlineLevel="0" collapsed="false">
      <c r="A437" s="129" t="str">
        <f aca="false">Scoring!AX443</f>
        <v/>
      </c>
      <c r="B437" s="129" t="str">
        <f aca="false">Scoring!AW443</f>
        <v/>
      </c>
      <c r="C437" s="129" t="n">
        <f aca="false">Scoring!C443</f>
        <v>0</v>
      </c>
      <c r="D437" s="130" t="str">
        <f aca="false">Scoring!AT443</f>
        <v/>
      </c>
      <c r="E437" s="129" t="str">
        <f aca="false">Scoring!Z443</f>
        <v/>
      </c>
      <c r="F437" s="129" t="n">
        <f aca="false">Scoring!B443</f>
        <v>0</v>
      </c>
      <c r="G437" s="129" t="n">
        <f aca="false">Scoring!D443</f>
        <v>0</v>
      </c>
      <c r="H437" s="129" t="str">
        <f aca="false">Scoring!AV443</f>
        <v/>
      </c>
      <c r="I437" s="131" t="str">
        <f aca="false">Scoring!AU443</f>
        <v/>
      </c>
    </row>
    <row r="438" customFormat="false" ht="15.75" hidden="false" customHeight="false" outlineLevel="0" collapsed="false">
      <c r="A438" s="129" t="str">
        <f aca="false">Scoring!AX444</f>
        <v/>
      </c>
      <c r="B438" s="129" t="str">
        <f aca="false">Scoring!AW444</f>
        <v/>
      </c>
      <c r="C438" s="129" t="n">
        <f aca="false">Scoring!C444</f>
        <v>0</v>
      </c>
      <c r="D438" s="130" t="str">
        <f aca="false">Scoring!AT444</f>
        <v/>
      </c>
      <c r="E438" s="129" t="str">
        <f aca="false">Scoring!Z444</f>
        <v/>
      </c>
      <c r="F438" s="129" t="n">
        <f aca="false">Scoring!B444</f>
        <v>0</v>
      </c>
      <c r="G438" s="129" t="n">
        <f aca="false">Scoring!D444</f>
        <v>0</v>
      </c>
      <c r="H438" s="129" t="str">
        <f aca="false">Scoring!AV444</f>
        <v/>
      </c>
      <c r="I438" s="131" t="str">
        <f aca="false">Scoring!AU444</f>
        <v/>
      </c>
    </row>
    <row r="439" customFormat="false" ht="15.75" hidden="false" customHeight="false" outlineLevel="0" collapsed="false">
      <c r="A439" s="129" t="str">
        <f aca="false">Scoring!AX445</f>
        <v/>
      </c>
      <c r="B439" s="129" t="str">
        <f aca="false">Scoring!AW445</f>
        <v/>
      </c>
      <c r="C439" s="129" t="n">
        <f aca="false">Scoring!C445</f>
        <v>0</v>
      </c>
      <c r="D439" s="130" t="str">
        <f aca="false">Scoring!AT445</f>
        <v/>
      </c>
      <c r="E439" s="129" t="str">
        <f aca="false">Scoring!Z445</f>
        <v/>
      </c>
      <c r="F439" s="129" t="n">
        <f aca="false">Scoring!B445</f>
        <v>0</v>
      </c>
      <c r="G439" s="129" t="n">
        <f aca="false">Scoring!D445</f>
        <v>0</v>
      </c>
      <c r="H439" s="129" t="str">
        <f aca="false">Scoring!AV445</f>
        <v/>
      </c>
      <c r="I439" s="131" t="str">
        <f aca="false">Scoring!AU445</f>
        <v/>
      </c>
    </row>
    <row r="440" customFormat="false" ht="15.75" hidden="false" customHeight="false" outlineLevel="0" collapsed="false">
      <c r="A440" s="129" t="str">
        <f aca="false">Scoring!AX446</f>
        <v/>
      </c>
      <c r="B440" s="129" t="str">
        <f aca="false">Scoring!AW446</f>
        <v/>
      </c>
      <c r="C440" s="129" t="n">
        <f aca="false">Scoring!C446</f>
        <v>0</v>
      </c>
      <c r="D440" s="130" t="str">
        <f aca="false">Scoring!AT446</f>
        <v/>
      </c>
      <c r="E440" s="129" t="str">
        <f aca="false">Scoring!Z446</f>
        <v/>
      </c>
      <c r="F440" s="129" t="n">
        <f aca="false">Scoring!B446</f>
        <v>0</v>
      </c>
      <c r="G440" s="129" t="n">
        <f aca="false">Scoring!D446</f>
        <v>0</v>
      </c>
      <c r="H440" s="129" t="str">
        <f aca="false">Scoring!AV446</f>
        <v/>
      </c>
      <c r="I440" s="131" t="str">
        <f aca="false">Scoring!AU446</f>
        <v/>
      </c>
    </row>
    <row r="441" customFormat="false" ht="15.75" hidden="false" customHeight="false" outlineLevel="0" collapsed="false">
      <c r="A441" s="129" t="str">
        <f aca="false">Scoring!AX447</f>
        <v/>
      </c>
      <c r="B441" s="129" t="str">
        <f aca="false">Scoring!AW447</f>
        <v/>
      </c>
      <c r="C441" s="129" t="n">
        <f aca="false">Scoring!C447</f>
        <v>0</v>
      </c>
      <c r="D441" s="130" t="str">
        <f aca="false">Scoring!AT447</f>
        <v/>
      </c>
      <c r="E441" s="129" t="str">
        <f aca="false">Scoring!Z447</f>
        <v/>
      </c>
      <c r="F441" s="129" t="n">
        <f aca="false">Scoring!B447</f>
        <v>0</v>
      </c>
      <c r="G441" s="129" t="n">
        <f aca="false">Scoring!D447</f>
        <v>0</v>
      </c>
      <c r="H441" s="129" t="str">
        <f aca="false">Scoring!AV447</f>
        <v/>
      </c>
      <c r="I441" s="131" t="str">
        <f aca="false">Scoring!AU447</f>
        <v/>
      </c>
    </row>
    <row r="442" customFormat="false" ht="15.75" hidden="false" customHeight="false" outlineLevel="0" collapsed="false">
      <c r="A442" s="129" t="str">
        <f aca="false">Scoring!AX448</f>
        <v/>
      </c>
      <c r="B442" s="129" t="str">
        <f aca="false">Scoring!AW448</f>
        <v/>
      </c>
      <c r="C442" s="129" t="n">
        <f aca="false">Scoring!C448</f>
        <v>0</v>
      </c>
      <c r="D442" s="130" t="str">
        <f aca="false">Scoring!AT448</f>
        <v/>
      </c>
      <c r="E442" s="129" t="str">
        <f aca="false">Scoring!Z448</f>
        <v/>
      </c>
      <c r="F442" s="129" t="n">
        <f aca="false">Scoring!B448</f>
        <v>0</v>
      </c>
      <c r="G442" s="129" t="n">
        <f aca="false">Scoring!D448</f>
        <v>0</v>
      </c>
      <c r="H442" s="129" t="str">
        <f aca="false">Scoring!AV448</f>
        <v/>
      </c>
      <c r="I442" s="131" t="str">
        <f aca="false">Scoring!AU448</f>
        <v/>
      </c>
    </row>
    <row r="443" customFormat="false" ht="15.75" hidden="false" customHeight="false" outlineLevel="0" collapsed="false">
      <c r="A443" s="129" t="str">
        <f aca="false">Scoring!AX449</f>
        <v/>
      </c>
      <c r="B443" s="129" t="str">
        <f aca="false">Scoring!AW449</f>
        <v/>
      </c>
      <c r="C443" s="129" t="n">
        <f aca="false">Scoring!C449</f>
        <v>0</v>
      </c>
      <c r="D443" s="130" t="str">
        <f aca="false">Scoring!AT449</f>
        <v/>
      </c>
      <c r="E443" s="129" t="str">
        <f aca="false">Scoring!Z449</f>
        <v/>
      </c>
      <c r="F443" s="129" t="n">
        <f aca="false">Scoring!B449</f>
        <v>0</v>
      </c>
      <c r="G443" s="129" t="n">
        <f aca="false">Scoring!D449</f>
        <v>0</v>
      </c>
      <c r="H443" s="129" t="str">
        <f aca="false">Scoring!AV449</f>
        <v/>
      </c>
      <c r="I443" s="131" t="str">
        <f aca="false">Scoring!AU449</f>
        <v/>
      </c>
    </row>
    <row r="444" customFormat="false" ht="15.75" hidden="false" customHeight="false" outlineLevel="0" collapsed="false">
      <c r="A444" s="129" t="str">
        <f aca="false">Scoring!AX450</f>
        <v/>
      </c>
      <c r="B444" s="129" t="str">
        <f aca="false">Scoring!AW450</f>
        <v/>
      </c>
      <c r="C444" s="129" t="n">
        <f aca="false">Scoring!C450</f>
        <v>0</v>
      </c>
      <c r="D444" s="130" t="str">
        <f aca="false">Scoring!AT450</f>
        <v/>
      </c>
      <c r="E444" s="129" t="str">
        <f aca="false">Scoring!Z450</f>
        <v/>
      </c>
      <c r="F444" s="129" t="n">
        <f aca="false">Scoring!B450</f>
        <v>0</v>
      </c>
      <c r="G444" s="129" t="n">
        <f aca="false">Scoring!D450</f>
        <v>0</v>
      </c>
      <c r="H444" s="129" t="str">
        <f aca="false">Scoring!AV450</f>
        <v/>
      </c>
      <c r="I444" s="131" t="str">
        <f aca="false">Scoring!AU450</f>
        <v/>
      </c>
    </row>
    <row r="445" customFormat="false" ht="15.75" hidden="false" customHeight="false" outlineLevel="0" collapsed="false">
      <c r="A445" s="129" t="str">
        <f aca="false">Scoring!AX451</f>
        <v/>
      </c>
      <c r="B445" s="129" t="str">
        <f aca="false">Scoring!AW451</f>
        <v/>
      </c>
      <c r="C445" s="129" t="n">
        <f aca="false">Scoring!C451</f>
        <v>0</v>
      </c>
      <c r="D445" s="130" t="str">
        <f aca="false">Scoring!AT451</f>
        <v/>
      </c>
      <c r="E445" s="129" t="str">
        <f aca="false">Scoring!Z451</f>
        <v/>
      </c>
      <c r="F445" s="129" t="n">
        <f aca="false">Scoring!B451</f>
        <v>0</v>
      </c>
      <c r="G445" s="129" t="n">
        <f aca="false">Scoring!D451</f>
        <v>0</v>
      </c>
      <c r="H445" s="129" t="str">
        <f aca="false">Scoring!AV451</f>
        <v/>
      </c>
      <c r="I445" s="131" t="str">
        <f aca="false">Scoring!AU451</f>
        <v/>
      </c>
    </row>
    <row r="446" customFormat="false" ht="15.75" hidden="false" customHeight="false" outlineLevel="0" collapsed="false">
      <c r="A446" s="129" t="str">
        <f aca="false">Scoring!AX452</f>
        <v/>
      </c>
      <c r="B446" s="129" t="str">
        <f aca="false">Scoring!AW452</f>
        <v/>
      </c>
      <c r="C446" s="129" t="n">
        <f aca="false">Scoring!C452</f>
        <v>0</v>
      </c>
      <c r="D446" s="130" t="str">
        <f aca="false">Scoring!AT452</f>
        <v/>
      </c>
      <c r="E446" s="129" t="str">
        <f aca="false">Scoring!Z452</f>
        <v/>
      </c>
      <c r="F446" s="129" t="n">
        <f aca="false">Scoring!B452</f>
        <v>0</v>
      </c>
      <c r="G446" s="129" t="n">
        <f aca="false">Scoring!D452</f>
        <v>0</v>
      </c>
      <c r="H446" s="129" t="str">
        <f aca="false">Scoring!AV452</f>
        <v/>
      </c>
      <c r="I446" s="131" t="str">
        <f aca="false">Scoring!AU452</f>
        <v/>
      </c>
    </row>
    <row r="447" customFormat="false" ht="15.75" hidden="false" customHeight="false" outlineLevel="0" collapsed="false">
      <c r="A447" s="129" t="str">
        <f aca="false">Scoring!AX453</f>
        <v/>
      </c>
      <c r="B447" s="129" t="str">
        <f aca="false">Scoring!AW453</f>
        <v/>
      </c>
      <c r="C447" s="129" t="n">
        <f aca="false">Scoring!C453</f>
        <v>0</v>
      </c>
      <c r="D447" s="130" t="str">
        <f aca="false">Scoring!AT453</f>
        <v/>
      </c>
      <c r="E447" s="129" t="str">
        <f aca="false">Scoring!Z453</f>
        <v/>
      </c>
      <c r="F447" s="129" t="n">
        <f aca="false">Scoring!B453</f>
        <v>0</v>
      </c>
      <c r="G447" s="129" t="n">
        <f aca="false">Scoring!D453</f>
        <v>0</v>
      </c>
      <c r="H447" s="129" t="str">
        <f aca="false">Scoring!AV453</f>
        <v/>
      </c>
      <c r="I447" s="131" t="str">
        <f aca="false">Scoring!AU453</f>
        <v/>
      </c>
    </row>
    <row r="448" customFormat="false" ht="15.75" hidden="false" customHeight="false" outlineLevel="0" collapsed="false">
      <c r="A448" s="129" t="str">
        <f aca="false">Scoring!AX454</f>
        <v/>
      </c>
      <c r="B448" s="129" t="str">
        <f aca="false">Scoring!AW454</f>
        <v/>
      </c>
      <c r="C448" s="129" t="n">
        <f aca="false">Scoring!C454</f>
        <v>0</v>
      </c>
      <c r="D448" s="130" t="str">
        <f aca="false">Scoring!AT454</f>
        <v/>
      </c>
      <c r="E448" s="129" t="str">
        <f aca="false">Scoring!Z454</f>
        <v/>
      </c>
      <c r="F448" s="129" t="n">
        <f aca="false">Scoring!B454</f>
        <v>0</v>
      </c>
      <c r="G448" s="129" t="n">
        <f aca="false">Scoring!D454</f>
        <v>0</v>
      </c>
      <c r="H448" s="129" t="str">
        <f aca="false">Scoring!AV454</f>
        <v/>
      </c>
      <c r="I448" s="131" t="str">
        <f aca="false">Scoring!AU454</f>
        <v/>
      </c>
    </row>
    <row r="449" customFormat="false" ht="15.75" hidden="false" customHeight="false" outlineLevel="0" collapsed="false">
      <c r="A449" s="129" t="str">
        <f aca="false">Scoring!AX455</f>
        <v/>
      </c>
      <c r="B449" s="129" t="str">
        <f aca="false">Scoring!AW455</f>
        <v/>
      </c>
      <c r="C449" s="129" t="n">
        <f aca="false">Scoring!C455</f>
        <v>0</v>
      </c>
      <c r="D449" s="130" t="str">
        <f aca="false">Scoring!AT455</f>
        <v/>
      </c>
      <c r="E449" s="129" t="str">
        <f aca="false">Scoring!Z455</f>
        <v/>
      </c>
      <c r="F449" s="129" t="n">
        <f aca="false">Scoring!B455</f>
        <v>0</v>
      </c>
      <c r="G449" s="129" t="n">
        <f aca="false">Scoring!D455</f>
        <v>0</v>
      </c>
      <c r="H449" s="129" t="str">
        <f aca="false">Scoring!AV455</f>
        <v/>
      </c>
      <c r="I449" s="131" t="str">
        <f aca="false">Scoring!AU455</f>
        <v/>
      </c>
    </row>
    <row r="450" customFormat="false" ht="15.75" hidden="false" customHeight="false" outlineLevel="0" collapsed="false">
      <c r="A450" s="129" t="str">
        <f aca="false">Scoring!AX456</f>
        <v/>
      </c>
      <c r="B450" s="129" t="str">
        <f aca="false">Scoring!AW456</f>
        <v/>
      </c>
      <c r="C450" s="129" t="n">
        <f aca="false">Scoring!C456</f>
        <v>0</v>
      </c>
      <c r="D450" s="130" t="str">
        <f aca="false">Scoring!AT456</f>
        <v/>
      </c>
      <c r="E450" s="129" t="str">
        <f aca="false">Scoring!Z456</f>
        <v/>
      </c>
      <c r="F450" s="129" t="n">
        <f aca="false">Scoring!B456</f>
        <v>0</v>
      </c>
      <c r="G450" s="129" t="n">
        <f aca="false">Scoring!D456</f>
        <v>0</v>
      </c>
      <c r="H450" s="129" t="str">
        <f aca="false">Scoring!AV456</f>
        <v/>
      </c>
      <c r="I450" s="131" t="str">
        <f aca="false">Scoring!AU456</f>
        <v/>
      </c>
    </row>
    <row r="451" customFormat="false" ht="15.75" hidden="false" customHeight="false" outlineLevel="0" collapsed="false">
      <c r="A451" s="129" t="str">
        <f aca="false">Scoring!AX457</f>
        <v/>
      </c>
      <c r="B451" s="129" t="str">
        <f aca="false">Scoring!AW457</f>
        <v/>
      </c>
      <c r="C451" s="129" t="n">
        <f aca="false">Scoring!C457</f>
        <v>0</v>
      </c>
      <c r="D451" s="130" t="str">
        <f aca="false">Scoring!AT457</f>
        <v/>
      </c>
      <c r="E451" s="129" t="str">
        <f aca="false">Scoring!Z457</f>
        <v/>
      </c>
      <c r="F451" s="129" t="n">
        <f aca="false">Scoring!B457</f>
        <v>0</v>
      </c>
      <c r="G451" s="129" t="n">
        <f aca="false">Scoring!D457</f>
        <v>0</v>
      </c>
      <c r="H451" s="129" t="str">
        <f aca="false">Scoring!AV457</f>
        <v/>
      </c>
      <c r="I451" s="131" t="str">
        <f aca="false">Scoring!AU457</f>
        <v/>
      </c>
    </row>
    <row r="452" customFormat="false" ht="15.75" hidden="false" customHeight="false" outlineLevel="0" collapsed="false">
      <c r="A452" s="129" t="str">
        <f aca="false">Scoring!AX458</f>
        <v/>
      </c>
      <c r="B452" s="129" t="str">
        <f aca="false">Scoring!AW458</f>
        <v/>
      </c>
      <c r="C452" s="129" t="n">
        <f aca="false">Scoring!C458</f>
        <v>0</v>
      </c>
      <c r="D452" s="130" t="str">
        <f aca="false">Scoring!AT458</f>
        <v/>
      </c>
      <c r="E452" s="129" t="str">
        <f aca="false">Scoring!Z458</f>
        <v/>
      </c>
      <c r="F452" s="129" t="n">
        <f aca="false">Scoring!B458</f>
        <v>0</v>
      </c>
      <c r="G452" s="129" t="n">
        <f aca="false">Scoring!D458</f>
        <v>0</v>
      </c>
      <c r="H452" s="129" t="str">
        <f aca="false">Scoring!AV458</f>
        <v/>
      </c>
      <c r="I452" s="131" t="str">
        <f aca="false">Scoring!AU458</f>
        <v/>
      </c>
    </row>
    <row r="453" customFormat="false" ht="15.75" hidden="false" customHeight="false" outlineLevel="0" collapsed="false">
      <c r="A453" s="129" t="str">
        <f aca="false">Scoring!AX459</f>
        <v/>
      </c>
      <c r="B453" s="129" t="str">
        <f aca="false">Scoring!AW459</f>
        <v/>
      </c>
      <c r="C453" s="129" t="n">
        <f aca="false">Scoring!C459</f>
        <v>0</v>
      </c>
      <c r="D453" s="130" t="str">
        <f aca="false">Scoring!AT459</f>
        <v/>
      </c>
      <c r="E453" s="129" t="str">
        <f aca="false">Scoring!Z459</f>
        <v/>
      </c>
      <c r="F453" s="129" t="n">
        <f aca="false">Scoring!B459</f>
        <v>0</v>
      </c>
      <c r="G453" s="129" t="n">
        <f aca="false">Scoring!D459</f>
        <v>0</v>
      </c>
      <c r="H453" s="129" t="str">
        <f aca="false">Scoring!AV459</f>
        <v/>
      </c>
      <c r="I453" s="131" t="str">
        <f aca="false">Scoring!AU459</f>
        <v/>
      </c>
    </row>
    <row r="454" customFormat="false" ht="15.75" hidden="false" customHeight="false" outlineLevel="0" collapsed="false">
      <c r="A454" s="129" t="str">
        <f aca="false">Scoring!AX460</f>
        <v/>
      </c>
      <c r="B454" s="129" t="str">
        <f aca="false">Scoring!AW460</f>
        <v/>
      </c>
      <c r="C454" s="129" t="n">
        <f aca="false">Scoring!C460</f>
        <v>0</v>
      </c>
      <c r="D454" s="130" t="str">
        <f aca="false">Scoring!AT460</f>
        <v/>
      </c>
      <c r="E454" s="129" t="str">
        <f aca="false">Scoring!Z460</f>
        <v/>
      </c>
      <c r="F454" s="129" t="n">
        <f aca="false">Scoring!B460</f>
        <v>0</v>
      </c>
      <c r="G454" s="129" t="n">
        <f aca="false">Scoring!D460</f>
        <v>0</v>
      </c>
      <c r="H454" s="129" t="str">
        <f aca="false">Scoring!AV460</f>
        <v/>
      </c>
      <c r="I454" s="131" t="str">
        <f aca="false">Scoring!AU460</f>
        <v/>
      </c>
    </row>
    <row r="455" customFormat="false" ht="15.75" hidden="false" customHeight="false" outlineLevel="0" collapsed="false">
      <c r="A455" s="129" t="str">
        <f aca="false">Scoring!AX461</f>
        <v/>
      </c>
      <c r="B455" s="129" t="str">
        <f aca="false">Scoring!AW461</f>
        <v/>
      </c>
      <c r="C455" s="129" t="n">
        <f aca="false">Scoring!C461</f>
        <v>0</v>
      </c>
      <c r="D455" s="130" t="str">
        <f aca="false">Scoring!AT461</f>
        <v/>
      </c>
      <c r="E455" s="129" t="str">
        <f aca="false">Scoring!Z461</f>
        <v/>
      </c>
      <c r="F455" s="129" t="n">
        <f aca="false">Scoring!B461</f>
        <v>0</v>
      </c>
      <c r="G455" s="129" t="n">
        <f aca="false">Scoring!D461</f>
        <v>0</v>
      </c>
      <c r="H455" s="129" t="str">
        <f aca="false">Scoring!AV461</f>
        <v/>
      </c>
      <c r="I455" s="131" t="str">
        <f aca="false">Scoring!AU461</f>
        <v/>
      </c>
    </row>
    <row r="456" customFormat="false" ht="15.75" hidden="false" customHeight="false" outlineLevel="0" collapsed="false">
      <c r="A456" s="129" t="str">
        <f aca="false">Scoring!AX462</f>
        <v/>
      </c>
      <c r="B456" s="129" t="str">
        <f aca="false">Scoring!AW462</f>
        <v/>
      </c>
      <c r="C456" s="129" t="n">
        <f aca="false">Scoring!C462</f>
        <v>0</v>
      </c>
      <c r="D456" s="130" t="str">
        <f aca="false">Scoring!AT462</f>
        <v/>
      </c>
      <c r="E456" s="129" t="str">
        <f aca="false">Scoring!Z462</f>
        <v/>
      </c>
      <c r="F456" s="129" t="n">
        <f aca="false">Scoring!B462</f>
        <v>0</v>
      </c>
      <c r="G456" s="129" t="n">
        <f aca="false">Scoring!D462</f>
        <v>0</v>
      </c>
      <c r="H456" s="129" t="str">
        <f aca="false">Scoring!AV462</f>
        <v/>
      </c>
      <c r="I456" s="131" t="str">
        <f aca="false">Scoring!AU462</f>
        <v/>
      </c>
    </row>
    <row r="457" customFormat="false" ht="15.75" hidden="false" customHeight="false" outlineLevel="0" collapsed="false">
      <c r="A457" s="129" t="str">
        <f aca="false">Scoring!AX463</f>
        <v/>
      </c>
      <c r="B457" s="129" t="str">
        <f aca="false">Scoring!AW463</f>
        <v/>
      </c>
      <c r="C457" s="129" t="n">
        <f aca="false">Scoring!C463</f>
        <v>0</v>
      </c>
      <c r="D457" s="130" t="str">
        <f aca="false">Scoring!AT463</f>
        <v/>
      </c>
      <c r="E457" s="129" t="str">
        <f aca="false">Scoring!Z463</f>
        <v/>
      </c>
      <c r="F457" s="129" t="n">
        <f aca="false">Scoring!B463</f>
        <v>0</v>
      </c>
      <c r="G457" s="129" t="n">
        <f aca="false">Scoring!D463</f>
        <v>0</v>
      </c>
      <c r="H457" s="129" t="str">
        <f aca="false">Scoring!AV463</f>
        <v/>
      </c>
      <c r="I457" s="131" t="str">
        <f aca="false">Scoring!AU463</f>
        <v/>
      </c>
    </row>
    <row r="458" customFormat="false" ht="15.75" hidden="false" customHeight="false" outlineLevel="0" collapsed="false">
      <c r="A458" s="129" t="str">
        <f aca="false">Scoring!AX464</f>
        <v/>
      </c>
      <c r="B458" s="129" t="str">
        <f aca="false">Scoring!AW464</f>
        <v/>
      </c>
      <c r="C458" s="129" t="n">
        <f aca="false">Scoring!C464</f>
        <v>0</v>
      </c>
      <c r="D458" s="130" t="str">
        <f aca="false">Scoring!AT464</f>
        <v/>
      </c>
      <c r="E458" s="129" t="str">
        <f aca="false">Scoring!Z464</f>
        <v/>
      </c>
      <c r="F458" s="129" t="n">
        <f aca="false">Scoring!B464</f>
        <v>0</v>
      </c>
      <c r="G458" s="129" t="n">
        <f aca="false">Scoring!D464</f>
        <v>0</v>
      </c>
      <c r="H458" s="129" t="str">
        <f aca="false">Scoring!AV464</f>
        <v/>
      </c>
      <c r="I458" s="131" t="str">
        <f aca="false">Scoring!AU464</f>
        <v/>
      </c>
    </row>
    <row r="459" customFormat="false" ht="15.75" hidden="false" customHeight="false" outlineLevel="0" collapsed="false">
      <c r="A459" s="129" t="str">
        <f aca="false">Scoring!AX465</f>
        <v/>
      </c>
      <c r="B459" s="129" t="str">
        <f aca="false">Scoring!AW465</f>
        <v/>
      </c>
      <c r="C459" s="129" t="n">
        <f aca="false">Scoring!C465</f>
        <v>0</v>
      </c>
      <c r="D459" s="130" t="str">
        <f aca="false">Scoring!AT465</f>
        <v/>
      </c>
      <c r="E459" s="129" t="str">
        <f aca="false">Scoring!Z465</f>
        <v/>
      </c>
      <c r="F459" s="129" t="n">
        <f aca="false">Scoring!B465</f>
        <v>0</v>
      </c>
      <c r="G459" s="129" t="n">
        <f aca="false">Scoring!D465</f>
        <v>0</v>
      </c>
      <c r="H459" s="129" t="str">
        <f aca="false">Scoring!AV465</f>
        <v/>
      </c>
      <c r="I459" s="131" t="str">
        <f aca="false">Scoring!AU465</f>
        <v/>
      </c>
    </row>
    <row r="460" customFormat="false" ht="15.75" hidden="false" customHeight="false" outlineLevel="0" collapsed="false">
      <c r="A460" s="129" t="str">
        <f aca="false">Scoring!AX466</f>
        <v/>
      </c>
      <c r="B460" s="129" t="str">
        <f aca="false">Scoring!AW466</f>
        <v/>
      </c>
      <c r="C460" s="129" t="n">
        <f aca="false">Scoring!C466</f>
        <v>0</v>
      </c>
      <c r="D460" s="130" t="str">
        <f aca="false">Scoring!AT466</f>
        <v/>
      </c>
      <c r="E460" s="129" t="str">
        <f aca="false">Scoring!Z466</f>
        <v/>
      </c>
      <c r="F460" s="129" t="n">
        <f aca="false">Scoring!B466</f>
        <v>0</v>
      </c>
      <c r="G460" s="129" t="n">
        <f aca="false">Scoring!D466</f>
        <v>0</v>
      </c>
      <c r="H460" s="129" t="str">
        <f aca="false">Scoring!AV466</f>
        <v/>
      </c>
      <c r="I460" s="131" t="str">
        <f aca="false">Scoring!AU466</f>
        <v/>
      </c>
    </row>
    <row r="461" customFormat="false" ht="15.75" hidden="false" customHeight="false" outlineLevel="0" collapsed="false">
      <c r="A461" s="129" t="str">
        <f aca="false">Scoring!AX467</f>
        <v/>
      </c>
      <c r="B461" s="129" t="str">
        <f aca="false">Scoring!AW467</f>
        <v/>
      </c>
      <c r="C461" s="129" t="n">
        <f aca="false">Scoring!C467</f>
        <v>0</v>
      </c>
      <c r="D461" s="130" t="str">
        <f aca="false">Scoring!AT467</f>
        <v/>
      </c>
      <c r="E461" s="129" t="str">
        <f aca="false">Scoring!Z467</f>
        <v/>
      </c>
      <c r="F461" s="129" t="n">
        <f aca="false">Scoring!B467</f>
        <v>0</v>
      </c>
      <c r="G461" s="129" t="n">
        <f aca="false">Scoring!D467</f>
        <v>0</v>
      </c>
      <c r="H461" s="129" t="str">
        <f aca="false">Scoring!AV467</f>
        <v/>
      </c>
      <c r="I461" s="131" t="str">
        <f aca="false">Scoring!AU467</f>
        <v/>
      </c>
    </row>
    <row r="462" customFormat="false" ht="15.75" hidden="false" customHeight="false" outlineLevel="0" collapsed="false">
      <c r="A462" s="129" t="str">
        <f aca="false">Scoring!AX468</f>
        <v/>
      </c>
      <c r="B462" s="129" t="str">
        <f aca="false">Scoring!AW468</f>
        <v/>
      </c>
      <c r="C462" s="129" t="n">
        <f aca="false">Scoring!C468</f>
        <v>0</v>
      </c>
      <c r="D462" s="130" t="str">
        <f aca="false">Scoring!AT468</f>
        <v/>
      </c>
      <c r="E462" s="129" t="str">
        <f aca="false">Scoring!Z468</f>
        <v/>
      </c>
      <c r="F462" s="129" t="n">
        <f aca="false">Scoring!B468</f>
        <v>0</v>
      </c>
      <c r="G462" s="129" t="n">
        <f aca="false">Scoring!D468</f>
        <v>0</v>
      </c>
      <c r="H462" s="129" t="str">
        <f aca="false">Scoring!AV468</f>
        <v/>
      </c>
      <c r="I462" s="131" t="str">
        <f aca="false">Scoring!AU468</f>
        <v/>
      </c>
    </row>
    <row r="463" customFormat="false" ht="15.75" hidden="false" customHeight="false" outlineLevel="0" collapsed="false">
      <c r="A463" s="129" t="str">
        <f aca="false">Scoring!AX469</f>
        <v/>
      </c>
      <c r="B463" s="129" t="str">
        <f aca="false">Scoring!AW469</f>
        <v/>
      </c>
      <c r="C463" s="129" t="n">
        <f aca="false">Scoring!C469</f>
        <v>0</v>
      </c>
      <c r="D463" s="130" t="str">
        <f aca="false">Scoring!AT469</f>
        <v/>
      </c>
      <c r="E463" s="129" t="str">
        <f aca="false">Scoring!Z469</f>
        <v/>
      </c>
      <c r="F463" s="129" t="n">
        <f aca="false">Scoring!B469</f>
        <v>0</v>
      </c>
      <c r="G463" s="129" t="n">
        <f aca="false">Scoring!D469</f>
        <v>0</v>
      </c>
      <c r="H463" s="129" t="str">
        <f aca="false">Scoring!AV469</f>
        <v/>
      </c>
      <c r="I463" s="131" t="str">
        <f aca="false">Scoring!AU469</f>
        <v/>
      </c>
    </row>
    <row r="464" customFormat="false" ht="15.75" hidden="false" customHeight="false" outlineLevel="0" collapsed="false">
      <c r="A464" s="129" t="str">
        <f aca="false">Scoring!AX470</f>
        <v/>
      </c>
      <c r="B464" s="129" t="str">
        <f aca="false">Scoring!AW470</f>
        <v/>
      </c>
      <c r="C464" s="129" t="n">
        <f aca="false">Scoring!C470</f>
        <v>0</v>
      </c>
      <c r="D464" s="130" t="str">
        <f aca="false">Scoring!AT470</f>
        <v/>
      </c>
      <c r="E464" s="129" t="str">
        <f aca="false">Scoring!Z470</f>
        <v/>
      </c>
      <c r="F464" s="129" t="n">
        <f aca="false">Scoring!B470</f>
        <v>0</v>
      </c>
      <c r="G464" s="129" t="n">
        <f aca="false">Scoring!D470</f>
        <v>0</v>
      </c>
      <c r="H464" s="129" t="str">
        <f aca="false">Scoring!AV470</f>
        <v/>
      </c>
      <c r="I464" s="131" t="str">
        <f aca="false">Scoring!AU470</f>
        <v/>
      </c>
    </row>
    <row r="465" customFormat="false" ht="15.75" hidden="false" customHeight="false" outlineLevel="0" collapsed="false">
      <c r="A465" s="129" t="str">
        <f aca="false">Scoring!AX471</f>
        <v/>
      </c>
      <c r="B465" s="129" t="str">
        <f aca="false">Scoring!AW471</f>
        <v/>
      </c>
      <c r="C465" s="129" t="n">
        <f aca="false">Scoring!C471</f>
        <v>0</v>
      </c>
      <c r="D465" s="130" t="str">
        <f aca="false">Scoring!AT471</f>
        <v/>
      </c>
      <c r="E465" s="129" t="str">
        <f aca="false">Scoring!Z471</f>
        <v/>
      </c>
      <c r="F465" s="129" t="n">
        <f aca="false">Scoring!B471</f>
        <v>0</v>
      </c>
      <c r="G465" s="129" t="n">
        <f aca="false">Scoring!D471</f>
        <v>0</v>
      </c>
      <c r="H465" s="129" t="str">
        <f aca="false">Scoring!AV471</f>
        <v/>
      </c>
      <c r="I465" s="131" t="str">
        <f aca="false">Scoring!AU471</f>
        <v/>
      </c>
    </row>
    <row r="466" customFormat="false" ht="15.75" hidden="false" customHeight="false" outlineLevel="0" collapsed="false">
      <c r="A466" s="129" t="str">
        <f aca="false">Scoring!AX472</f>
        <v/>
      </c>
      <c r="B466" s="129" t="str">
        <f aca="false">Scoring!AW472</f>
        <v/>
      </c>
      <c r="C466" s="129" t="n">
        <f aca="false">Scoring!C472</f>
        <v>0</v>
      </c>
      <c r="D466" s="130" t="str">
        <f aca="false">Scoring!AT472</f>
        <v/>
      </c>
      <c r="E466" s="129" t="str">
        <f aca="false">Scoring!Z472</f>
        <v/>
      </c>
      <c r="F466" s="129" t="n">
        <f aca="false">Scoring!B472</f>
        <v>0</v>
      </c>
      <c r="G466" s="129" t="n">
        <f aca="false">Scoring!D472</f>
        <v>0</v>
      </c>
      <c r="H466" s="129" t="str">
        <f aca="false">Scoring!AV472</f>
        <v/>
      </c>
      <c r="I466" s="131" t="str">
        <f aca="false">Scoring!AU472</f>
        <v/>
      </c>
    </row>
    <row r="467" customFormat="false" ht="15.75" hidden="false" customHeight="false" outlineLevel="0" collapsed="false">
      <c r="A467" s="129" t="str">
        <f aca="false">Scoring!AX473</f>
        <v/>
      </c>
      <c r="B467" s="129" t="str">
        <f aca="false">Scoring!AW473</f>
        <v/>
      </c>
      <c r="C467" s="129" t="n">
        <f aca="false">Scoring!C473</f>
        <v>0</v>
      </c>
      <c r="D467" s="130" t="str">
        <f aca="false">Scoring!AT473</f>
        <v/>
      </c>
      <c r="E467" s="129" t="str">
        <f aca="false">Scoring!Z473</f>
        <v/>
      </c>
      <c r="F467" s="129" t="n">
        <f aca="false">Scoring!B473</f>
        <v>0</v>
      </c>
      <c r="G467" s="129" t="n">
        <f aca="false">Scoring!D473</f>
        <v>0</v>
      </c>
      <c r="H467" s="129" t="str">
        <f aca="false">Scoring!AV473</f>
        <v/>
      </c>
      <c r="I467" s="131" t="str">
        <f aca="false">Scoring!AU473</f>
        <v/>
      </c>
    </row>
    <row r="468" customFormat="false" ht="15.75" hidden="false" customHeight="false" outlineLevel="0" collapsed="false">
      <c r="A468" s="129" t="str">
        <f aca="false">Scoring!AX474</f>
        <v/>
      </c>
      <c r="B468" s="129" t="str">
        <f aca="false">Scoring!AW474</f>
        <v/>
      </c>
      <c r="C468" s="129" t="n">
        <f aca="false">Scoring!C474</f>
        <v>0</v>
      </c>
      <c r="D468" s="130" t="str">
        <f aca="false">Scoring!AT474</f>
        <v/>
      </c>
      <c r="E468" s="129" t="str">
        <f aca="false">Scoring!Z474</f>
        <v/>
      </c>
      <c r="F468" s="129" t="n">
        <f aca="false">Scoring!B474</f>
        <v>0</v>
      </c>
      <c r="G468" s="129" t="n">
        <f aca="false">Scoring!D474</f>
        <v>0</v>
      </c>
      <c r="H468" s="129" t="str">
        <f aca="false">Scoring!AV474</f>
        <v/>
      </c>
      <c r="I468" s="131" t="str">
        <f aca="false">Scoring!AU474</f>
        <v/>
      </c>
    </row>
    <row r="469" customFormat="false" ht="15.75" hidden="false" customHeight="false" outlineLevel="0" collapsed="false">
      <c r="A469" s="129" t="str">
        <f aca="false">Scoring!AX475</f>
        <v/>
      </c>
      <c r="B469" s="129" t="str">
        <f aca="false">Scoring!AW475</f>
        <v/>
      </c>
      <c r="C469" s="129" t="n">
        <f aca="false">Scoring!C475</f>
        <v>0</v>
      </c>
      <c r="D469" s="130" t="str">
        <f aca="false">Scoring!AT475</f>
        <v/>
      </c>
      <c r="E469" s="129" t="str">
        <f aca="false">Scoring!Z475</f>
        <v/>
      </c>
      <c r="F469" s="129" t="n">
        <f aca="false">Scoring!B475</f>
        <v>0</v>
      </c>
      <c r="G469" s="129" t="n">
        <f aca="false">Scoring!D475</f>
        <v>0</v>
      </c>
      <c r="H469" s="129" t="str">
        <f aca="false">Scoring!AV475</f>
        <v/>
      </c>
      <c r="I469" s="131" t="str">
        <f aca="false">Scoring!AU475</f>
        <v/>
      </c>
    </row>
    <row r="470" customFormat="false" ht="15.75" hidden="false" customHeight="false" outlineLevel="0" collapsed="false">
      <c r="A470" s="129" t="str">
        <f aca="false">Scoring!AX476</f>
        <v/>
      </c>
      <c r="B470" s="129" t="str">
        <f aca="false">Scoring!AW476</f>
        <v/>
      </c>
      <c r="C470" s="129" t="n">
        <f aca="false">Scoring!C476</f>
        <v>0</v>
      </c>
      <c r="D470" s="130" t="str">
        <f aca="false">Scoring!AT476</f>
        <v/>
      </c>
      <c r="E470" s="129" t="str">
        <f aca="false">Scoring!Z476</f>
        <v/>
      </c>
      <c r="F470" s="129" t="n">
        <f aca="false">Scoring!B476</f>
        <v>0</v>
      </c>
      <c r="G470" s="129" t="n">
        <f aca="false">Scoring!D476</f>
        <v>0</v>
      </c>
      <c r="H470" s="129" t="str">
        <f aca="false">Scoring!AV476</f>
        <v/>
      </c>
      <c r="I470" s="131" t="str">
        <f aca="false">Scoring!AU476</f>
        <v/>
      </c>
    </row>
    <row r="471" customFormat="false" ht="15.75" hidden="false" customHeight="false" outlineLevel="0" collapsed="false">
      <c r="A471" s="129" t="str">
        <f aca="false">Scoring!AX477</f>
        <v/>
      </c>
      <c r="B471" s="129" t="str">
        <f aca="false">Scoring!AW477</f>
        <v/>
      </c>
      <c r="C471" s="129" t="n">
        <f aca="false">Scoring!C477</f>
        <v>0</v>
      </c>
      <c r="D471" s="130" t="str">
        <f aca="false">Scoring!AT477</f>
        <v/>
      </c>
      <c r="E471" s="129" t="str">
        <f aca="false">Scoring!Z477</f>
        <v/>
      </c>
      <c r="F471" s="129" t="n">
        <f aca="false">Scoring!B477</f>
        <v>0</v>
      </c>
      <c r="G471" s="129" t="n">
        <f aca="false">Scoring!D477</f>
        <v>0</v>
      </c>
      <c r="H471" s="129" t="str">
        <f aca="false">Scoring!AV477</f>
        <v/>
      </c>
      <c r="I471" s="131" t="str">
        <f aca="false">Scoring!AU477</f>
        <v/>
      </c>
    </row>
    <row r="472" customFormat="false" ht="15.75" hidden="false" customHeight="false" outlineLevel="0" collapsed="false">
      <c r="A472" s="129" t="str">
        <f aca="false">Scoring!AX478</f>
        <v/>
      </c>
      <c r="B472" s="129" t="str">
        <f aca="false">Scoring!AW478</f>
        <v/>
      </c>
      <c r="C472" s="129" t="n">
        <f aca="false">Scoring!C478</f>
        <v>0</v>
      </c>
      <c r="D472" s="130" t="str">
        <f aca="false">Scoring!AT478</f>
        <v/>
      </c>
      <c r="E472" s="129" t="str">
        <f aca="false">Scoring!Z478</f>
        <v/>
      </c>
      <c r="F472" s="129" t="n">
        <f aca="false">Scoring!B478</f>
        <v>0</v>
      </c>
      <c r="G472" s="129" t="n">
        <f aca="false">Scoring!D478</f>
        <v>0</v>
      </c>
      <c r="H472" s="129" t="str">
        <f aca="false">Scoring!AV478</f>
        <v/>
      </c>
      <c r="I472" s="131" t="str">
        <f aca="false">Scoring!AU478</f>
        <v/>
      </c>
    </row>
    <row r="473" customFormat="false" ht="15.75" hidden="false" customHeight="false" outlineLevel="0" collapsed="false">
      <c r="A473" s="129" t="str">
        <f aca="false">Scoring!AX479</f>
        <v/>
      </c>
      <c r="B473" s="129" t="str">
        <f aca="false">Scoring!AW479</f>
        <v/>
      </c>
      <c r="C473" s="129" t="n">
        <f aca="false">Scoring!C479</f>
        <v>0</v>
      </c>
      <c r="D473" s="130" t="str">
        <f aca="false">Scoring!AT479</f>
        <v/>
      </c>
      <c r="E473" s="129" t="str">
        <f aca="false">Scoring!Z479</f>
        <v/>
      </c>
      <c r="F473" s="129" t="n">
        <f aca="false">Scoring!B479</f>
        <v>0</v>
      </c>
      <c r="G473" s="129" t="n">
        <f aca="false">Scoring!D479</f>
        <v>0</v>
      </c>
      <c r="H473" s="129" t="str">
        <f aca="false">Scoring!AV479</f>
        <v/>
      </c>
      <c r="I473" s="131" t="str">
        <f aca="false">Scoring!AU479</f>
        <v/>
      </c>
    </row>
    <row r="474" customFormat="false" ht="15.75" hidden="false" customHeight="false" outlineLevel="0" collapsed="false">
      <c r="A474" s="129" t="str">
        <f aca="false">Scoring!AX480</f>
        <v/>
      </c>
      <c r="B474" s="129" t="str">
        <f aca="false">Scoring!AW480</f>
        <v/>
      </c>
      <c r="C474" s="129" t="n">
        <f aca="false">Scoring!C480</f>
        <v>0</v>
      </c>
      <c r="D474" s="130" t="str">
        <f aca="false">Scoring!AT480</f>
        <v/>
      </c>
      <c r="E474" s="129" t="str">
        <f aca="false">Scoring!Z480</f>
        <v/>
      </c>
      <c r="F474" s="129" t="n">
        <f aca="false">Scoring!B480</f>
        <v>0</v>
      </c>
      <c r="G474" s="129" t="n">
        <f aca="false">Scoring!D480</f>
        <v>0</v>
      </c>
      <c r="H474" s="129" t="str">
        <f aca="false">Scoring!AV480</f>
        <v/>
      </c>
      <c r="I474" s="131" t="str">
        <f aca="false">Scoring!AU480</f>
        <v/>
      </c>
    </row>
    <row r="475" customFormat="false" ht="15.75" hidden="false" customHeight="false" outlineLevel="0" collapsed="false">
      <c r="A475" s="129" t="str">
        <f aca="false">Scoring!AX481</f>
        <v/>
      </c>
      <c r="B475" s="129" t="str">
        <f aca="false">Scoring!AW481</f>
        <v/>
      </c>
      <c r="C475" s="129" t="n">
        <f aca="false">Scoring!C481</f>
        <v>0</v>
      </c>
      <c r="D475" s="130" t="str">
        <f aca="false">Scoring!AT481</f>
        <v/>
      </c>
      <c r="E475" s="129" t="str">
        <f aca="false">Scoring!Z481</f>
        <v/>
      </c>
      <c r="F475" s="129" t="n">
        <f aca="false">Scoring!B481</f>
        <v>0</v>
      </c>
      <c r="G475" s="129" t="n">
        <f aca="false">Scoring!D481</f>
        <v>0</v>
      </c>
      <c r="H475" s="129" t="str">
        <f aca="false">Scoring!AV481</f>
        <v/>
      </c>
      <c r="I475" s="131" t="str">
        <f aca="false">Scoring!AU481</f>
        <v/>
      </c>
    </row>
    <row r="476" customFormat="false" ht="15.75" hidden="false" customHeight="false" outlineLevel="0" collapsed="false">
      <c r="A476" s="129" t="str">
        <f aca="false">Scoring!AX482</f>
        <v/>
      </c>
      <c r="B476" s="129" t="str">
        <f aca="false">Scoring!AW482</f>
        <v/>
      </c>
      <c r="C476" s="129" t="n">
        <f aca="false">Scoring!C482</f>
        <v>0</v>
      </c>
      <c r="D476" s="130" t="str">
        <f aca="false">Scoring!AT482</f>
        <v/>
      </c>
      <c r="E476" s="129" t="str">
        <f aca="false">Scoring!Z482</f>
        <v/>
      </c>
      <c r="F476" s="129" t="n">
        <f aca="false">Scoring!B482</f>
        <v>0</v>
      </c>
      <c r="G476" s="129" t="n">
        <f aca="false">Scoring!D482</f>
        <v>0</v>
      </c>
      <c r="H476" s="129" t="str">
        <f aca="false">Scoring!AV482</f>
        <v/>
      </c>
      <c r="I476" s="131" t="str">
        <f aca="false">Scoring!AU482</f>
        <v/>
      </c>
    </row>
    <row r="477" customFormat="false" ht="15.75" hidden="false" customHeight="false" outlineLevel="0" collapsed="false">
      <c r="A477" s="129" t="str">
        <f aca="false">Scoring!AX483</f>
        <v/>
      </c>
      <c r="B477" s="129" t="str">
        <f aca="false">Scoring!AW483</f>
        <v/>
      </c>
      <c r="C477" s="129" t="n">
        <f aca="false">Scoring!C483</f>
        <v>0</v>
      </c>
      <c r="D477" s="130" t="str">
        <f aca="false">Scoring!AT483</f>
        <v/>
      </c>
      <c r="E477" s="129" t="str">
        <f aca="false">Scoring!Z483</f>
        <v/>
      </c>
      <c r="F477" s="129" t="n">
        <f aca="false">Scoring!B483</f>
        <v>0</v>
      </c>
      <c r="G477" s="129" t="n">
        <f aca="false">Scoring!D483</f>
        <v>0</v>
      </c>
      <c r="H477" s="129" t="str">
        <f aca="false">Scoring!AV483</f>
        <v/>
      </c>
      <c r="I477" s="131" t="str">
        <f aca="false">Scoring!AU483</f>
        <v/>
      </c>
    </row>
    <row r="478" customFormat="false" ht="15.75" hidden="false" customHeight="false" outlineLevel="0" collapsed="false">
      <c r="A478" s="129" t="str">
        <f aca="false">Scoring!AX484</f>
        <v/>
      </c>
      <c r="B478" s="129" t="str">
        <f aca="false">Scoring!AW484</f>
        <v/>
      </c>
      <c r="C478" s="129" t="n">
        <f aca="false">Scoring!C484</f>
        <v>0</v>
      </c>
      <c r="D478" s="130" t="str">
        <f aca="false">Scoring!AT484</f>
        <v/>
      </c>
      <c r="E478" s="129" t="str">
        <f aca="false">Scoring!Z484</f>
        <v/>
      </c>
      <c r="F478" s="129" t="n">
        <f aca="false">Scoring!B484</f>
        <v>0</v>
      </c>
      <c r="G478" s="129" t="n">
        <f aca="false">Scoring!D484</f>
        <v>0</v>
      </c>
      <c r="H478" s="129" t="str">
        <f aca="false">Scoring!AV484</f>
        <v/>
      </c>
      <c r="I478" s="131" t="str">
        <f aca="false">Scoring!AU484</f>
        <v/>
      </c>
    </row>
    <row r="479" customFormat="false" ht="15.75" hidden="false" customHeight="false" outlineLevel="0" collapsed="false">
      <c r="A479" s="129" t="str">
        <f aca="false">Scoring!AX485</f>
        <v/>
      </c>
      <c r="B479" s="129" t="str">
        <f aca="false">Scoring!AW485</f>
        <v/>
      </c>
      <c r="C479" s="129" t="n">
        <f aca="false">Scoring!C485</f>
        <v>0</v>
      </c>
      <c r="D479" s="130" t="str">
        <f aca="false">Scoring!AT485</f>
        <v/>
      </c>
      <c r="E479" s="129" t="str">
        <f aca="false">Scoring!Z485</f>
        <v/>
      </c>
      <c r="F479" s="129" t="n">
        <f aca="false">Scoring!B485</f>
        <v>0</v>
      </c>
      <c r="G479" s="129" t="n">
        <f aca="false">Scoring!D485</f>
        <v>0</v>
      </c>
      <c r="H479" s="129" t="str">
        <f aca="false">Scoring!AV485</f>
        <v/>
      </c>
      <c r="I479" s="131" t="str">
        <f aca="false">Scoring!AU485</f>
        <v/>
      </c>
    </row>
    <row r="480" customFormat="false" ht="15.75" hidden="false" customHeight="false" outlineLevel="0" collapsed="false">
      <c r="A480" s="129" t="str">
        <f aca="false">Scoring!AX486</f>
        <v/>
      </c>
      <c r="B480" s="129" t="str">
        <f aca="false">Scoring!AW486</f>
        <v/>
      </c>
      <c r="C480" s="129" t="n">
        <f aca="false">Scoring!C486</f>
        <v>0</v>
      </c>
      <c r="D480" s="130" t="str">
        <f aca="false">Scoring!AT486</f>
        <v/>
      </c>
      <c r="E480" s="129" t="str">
        <f aca="false">Scoring!Z486</f>
        <v/>
      </c>
      <c r="F480" s="129" t="n">
        <f aca="false">Scoring!B486</f>
        <v>0</v>
      </c>
      <c r="G480" s="129" t="n">
        <f aca="false">Scoring!D486</f>
        <v>0</v>
      </c>
      <c r="H480" s="129" t="str">
        <f aca="false">Scoring!AV486</f>
        <v/>
      </c>
      <c r="I480" s="131" t="str">
        <f aca="false">Scoring!AU486</f>
        <v/>
      </c>
    </row>
    <row r="481" customFormat="false" ht="15.75" hidden="false" customHeight="false" outlineLevel="0" collapsed="false">
      <c r="A481" s="129" t="str">
        <f aca="false">Scoring!AX487</f>
        <v/>
      </c>
      <c r="B481" s="129" t="str">
        <f aca="false">Scoring!AW487</f>
        <v/>
      </c>
      <c r="C481" s="129" t="n">
        <f aca="false">Scoring!C487</f>
        <v>0</v>
      </c>
      <c r="D481" s="130" t="str">
        <f aca="false">Scoring!AT487</f>
        <v/>
      </c>
      <c r="E481" s="129" t="str">
        <f aca="false">Scoring!Z487</f>
        <v/>
      </c>
      <c r="F481" s="129" t="n">
        <f aca="false">Scoring!B487</f>
        <v>0</v>
      </c>
      <c r="G481" s="129" t="n">
        <f aca="false">Scoring!D487</f>
        <v>0</v>
      </c>
      <c r="H481" s="129" t="str">
        <f aca="false">Scoring!AV487</f>
        <v/>
      </c>
      <c r="I481" s="131" t="str">
        <f aca="false">Scoring!AU487</f>
        <v/>
      </c>
    </row>
    <row r="482" customFormat="false" ht="15.75" hidden="false" customHeight="false" outlineLevel="0" collapsed="false">
      <c r="A482" s="129" t="str">
        <f aca="false">Scoring!AX488</f>
        <v/>
      </c>
      <c r="B482" s="129" t="str">
        <f aca="false">Scoring!AW488</f>
        <v/>
      </c>
      <c r="C482" s="129" t="n">
        <f aca="false">Scoring!C488</f>
        <v>0</v>
      </c>
      <c r="D482" s="130" t="str">
        <f aca="false">Scoring!AT488</f>
        <v/>
      </c>
      <c r="E482" s="129" t="str">
        <f aca="false">Scoring!Z488</f>
        <v/>
      </c>
      <c r="F482" s="129" t="n">
        <f aca="false">Scoring!B488</f>
        <v>0</v>
      </c>
      <c r="G482" s="129" t="n">
        <f aca="false">Scoring!D488</f>
        <v>0</v>
      </c>
      <c r="H482" s="129" t="str">
        <f aca="false">Scoring!AV488</f>
        <v/>
      </c>
      <c r="I482" s="131" t="str">
        <f aca="false">Scoring!AU488</f>
        <v/>
      </c>
    </row>
    <row r="483" customFormat="false" ht="15.75" hidden="false" customHeight="false" outlineLevel="0" collapsed="false">
      <c r="A483" s="129" t="str">
        <f aca="false">Scoring!AX489</f>
        <v/>
      </c>
      <c r="B483" s="129" t="str">
        <f aca="false">Scoring!AW489</f>
        <v/>
      </c>
      <c r="C483" s="129" t="n">
        <f aca="false">Scoring!C489</f>
        <v>0</v>
      </c>
      <c r="D483" s="130" t="str">
        <f aca="false">Scoring!AT489</f>
        <v/>
      </c>
      <c r="E483" s="129" t="str">
        <f aca="false">Scoring!Z489</f>
        <v/>
      </c>
      <c r="F483" s="129" t="n">
        <f aca="false">Scoring!B489</f>
        <v>0</v>
      </c>
      <c r="G483" s="129" t="n">
        <f aca="false">Scoring!D489</f>
        <v>0</v>
      </c>
      <c r="H483" s="129" t="str">
        <f aca="false">Scoring!AV489</f>
        <v/>
      </c>
      <c r="I483" s="131" t="str">
        <f aca="false">Scoring!AU489</f>
        <v/>
      </c>
    </row>
    <row r="484" customFormat="false" ht="15.75" hidden="false" customHeight="false" outlineLevel="0" collapsed="false">
      <c r="A484" s="129" t="str">
        <f aca="false">Scoring!AX490</f>
        <v/>
      </c>
      <c r="B484" s="129" t="str">
        <f aca="false">Scoring!AW490</f>
        <v/>
      </c>
      <c r="C484" s="129" t="n">
        <f aca="false">Scoring!C490</f>
        <v>0</v>
      </c>
      <c r="D484" s="130" t="str">
        <f aca="false">Scoring!AT490</f>
        <v/>
      </c>
      <c r="E484" s="129" t="str">
        <f aca="false">Scoring!Z490</f>
        <v/>
      </c>
      <c r="F484" s="129" t="n">
        <f aca="false">Scoring!B490</f>
        <v>0</v>
      </c>
      <c r="G484" s="129" t="n">
        <f aca="false">Scoring!D490</f>
        <v>0</v>
      </c>
      <c r="H484" s="129" t="str">
        <f aca="false">Scoring!AV490</f>
        <v/>
      </c>
      <c r="I484" s="131" t="str">
        <f aca="false">Scoring!AU490</f>
        <v/>
      </c>
    </row>
    <row r="485" customFormat="false" ht="15.75" hidden="false" customHeight="false" outlineLevel="0" collapsed="false">
      <c r="A485" s="129" t="str">
        <f aca="false">Scoring!AX491</f>
        <v/>
      </c>
      <c r="B485" s="129" t="str">
        <f aca="false">Scoring!AW491</f>
        <v/>
      </c>
      <c r="C485" s="129" t="n">
        <f aca="false">Scoring!C491</f>
        <v>0</v>
      </c>
      <c r="D485" s="130" t="str">
        <f aca="false">Scoring!AT491</f>
        <v/>
      </c>
      <c r="E485" s="129" t="str">
        <f aca="false">Scoring!Z491</f>
        <v/>
      </c>
      <c r="F485" s="129" t="n">
        <f aca="false">Scoring!B491</f>
        <v>0</v>
      </c>
      <c r="G485" s="129" t="n">
        <f aca="false">Scoring!D491</f>
        <v>0</v>
      </c>
      <c r="H485" s="129" t="str">
        <f aca="false">Scoring!AV491</f>
        <v/>
      </c>
      <c r="I485" s="131" t="str">
        <f aca="false">Scoring!AU491</f>
        <v/>
      </c>
    </row>
    <row r="486" customFormat="false" ht="15.75" hidden="false" customHeight="false" outlineLevel="0" collapsed="false">
      <c r="A486" s="129" t="str">
        <f aca="false">Scoring!AX492</f>
        <v/>
      </c>
      <c r="B486" s="129" t="str">
        <f aca="false">Scoring!AW492</f>
        <v/>
      </c>
      <c r="C486" s="129" t="n">
        <f aca="false">Scoring!C492</f>
        <v>0</v>
      </c>
      <c r="D486" s="130" t="str">
        <f aca="false">Scoring!AT492</f>
        <v/>
      </c>
      <c r="E486" s="129" t="str">
        <f aca="false">Scoring!Z492</f>
        <v/>
      </c>
      <c r="F486" s="129" t="n">
        <f aca="false">Scoring!B492</f>
        <v>0</v>
      </c>
      <c r="G486" s="129" t="n">
        <f aca="false">Scoring!D492</f>
        <v>0</v>
      </c>
      <c r="H486" s="129" t="str">
        <f aca="false">Scoring!AV492</f>
        <v/>
      </c>
      <c r="I486" s="131" t="str">
        <f aca="false">Scoring!AU492</f>
        <v/>
      </c>
    </row>
    <row r="487" customFormat="false" ht="15.75" hidden="false" customHeight="false" outlineLevel="0" collapsed="false">
      <c r="A487" s="129" t="str">
        <f aca="false">Scoring!AX493</f>
        <v/>
      </c>
      <c r="B487" s="129" t="str">
        <f aca="false">Scoring!AW493</f>
        <v/>
      </c>
      <c r="C487" s="129" t="n">
        <f aca="false">Scoring!C493</f>
        <v>0</v>
      </c>
      <c r="D487" s="130" t="str">
        <f aca="false">Scoring!AT493</f>
        <v/>
      </c>
      <c r="E487" s="129" t="str">
        <f aca="false">Scoring!Z493</f>
        <v/>
      </c>
      <c r="F487" s="129" t="n">
        <f aca="false">Scoring!B493</f>
        <v>0</v>
      </c>
      <c r="G487" s="129" t="n">
        <f aca="false">Scoring!D493</f>
        <v>0</v>
      </c>
      <c r="H487" s="129" t="str">
        <f aca="false">Scoring!AV493</f>
        <v/>
      </c>
      <c r="I487" s="131" t="str">
        <f aca="false">Scoring!AU493</f>
        <v/>
      </c>
    </row>
    <row r="488" customFormat="false" ht="15.75" hidden="false" customHeight="false" outlineLevel="0" collapsed="false">
      <c r="A488" s="129" t="str">
        <f aca="false">Scoring!AX494</f>
        <v/>
      </c>
      <c r="B488" s="129" t="str">
        <f aca="false">Scoring!AW494</f>
        <v/>
      </c>
      <c r="C488" s="129" t="n">
        <f aca="false">Scoring!C494</f>
        <v>0</v>
      </c>
      <c r="D488" s="130" t="str">
        <f aca="false">Scoring!AT494</f>
        <v/>
      </c>
      <c r="E488" s="129" t="str">
        <f aca="false">Scoring!Z494</f>
        <v/>
      </c>
      <c r="F488" s="129" t="n">
        <f aca="false">Scoring!B494</f>
        <v>0</v>
      </c>
      <c r="G488" s="129" t="n">
        <f aca="false">Scoring!D494</f>
        <v>0</v>
      </c>
      <c r="H488" s="129" t="str">
        <f aca="false">Scoring!AV494</f>
        <v/>
      </c>
      <c r="I488" s="131" t="str">
        <f aca="false">Scoring!AU494</f>
        <v/>
      </c>
    </row>
    <row r="489" customFormat="false" ht="15.75" hidden="false" customHeight="false" outlineLevel="0" collapsed="false">
      <c r="A489" s="129" t="str">
        <f aca="false">Scoring!AX495</f>
        <v/>
      </c>
      <c r="B489" s="129" t="str">
        <f aca="false">Scoring!AW495</f>
        <v/>
      </c>
      <c r="C489" s="129" t="n">
        <f aca="false">Scoring!C495</f>
        <v>0</v>
      </c>
      <c r="D489" s="130" t="str">
        <f aca="false">Scoring!AT495</f>
        <v/>
      </c>
      <c r="E489" s="129" t="str">
        <f aca="false">Scoring!Z495</f>
        <v/>
      </c>
      <c r="F489" s="129" t="n">
        <f aca="false">Scoring!B495</f>
        <v>0</v>
      </c>
      <c r="G489" s="129" t="n">
        <f aca="false">Scoring!D495</f>
        <v>0</v>
      </c>
      <c r="H489" s="129" t="str">
        <f aca="false">Scoring!AV495</f>
        <v/>
      </c>
      <c r="I489" s="131" t="str">
        <f aca="false">Scoring!AU495</f>
        <v/>
      </c>
    </row>
    <row r="490" customFormat="false" ht="15.75" hidden="false" customHeight="false" outlineLevel="0" collapsed="false">
      <c r="A490" s="129" t="str">
        <f aca="false">Scoring!AX496</f>
        <v/>
      </c>
      <c r="B490" s="129" t="str">
        <f aca="false">Scoring!AW496</f>
        <v/>
      </c>
      <c r="C490" s="129" t="n">
        <f aca="false">Scoring!C496</f>
        <v>0</v>
      </c>
      <c r="D490" s="130" t="str">
        <f aca="false">Scoring!AT496</f>
        <v/>
      </c>
      <c r="E490" s="129" t="str">
        <f aca="false">Scoring!Z496</f>
        <v/>
      </c>
      <c r="F490" s="129" t="n">
        <f aca="false">Scoring!B496</f>
        <v>0</v>
      </c>
      <c r="G490" s="129" t="n">
        <f aca="false">Scoring!D496</f>
        <v>0</v>
      </c>
      <c r="H490" s="129" t="str">
        <f aca="false">Scoring!AV496</f>
        <v/>
      </c>
      <c r="I490" s="131" t="str">
        <f aca="false">Scoring!AU496</f>
        <v/>
      </c>
    </row>
    <row r="491" customFormat="false" ht="15.75" hidden="false" customHeight="false" outlineLevel="0" collapsed="false">
      <c r="A491" s="129" t="str">
        <f aca="false">Scoring!AX497</f>
        <v/>
      </c>
      <c r="B491" s="129" t="str">
        <f aca="false">Scoring!AW497</f>
        <v/>
      </c>
      <c r="C491" s="129" t="n">
        <f aca="false">Scoring!C497</f>
        <v>0</v>
      </c>
      <c r="D491" s="130" t="str">
        <f aca="false">Scoring!AT497</f>
        <v/>
      </c>
      <c r="E491" s="129" t="str">
        <f aca="false">Scoring!Z497</f>
        <v/>
      </c>
      <c r="F491" s="129" t="n">
        <f aca="false">Scoring!B497</f>
        <v>0</v>
      </c>
      <c r="G491" s="129" t="n">
        <f aca="false">Scoring!D497</f>
        <v>0</v>
      </c>
      <c r="H491" s="129" t="str">
        <f aca="false">Scoring!AV497</f>
        <v/>
      </c>
      <c r="I491" s="131" t="str">
        <f aca="false">Scoring!AU497</f>
        <v/>
      </c>
    </row>
    <row r="492" customFormat="false" ht="15.75" hidden="false" customHeight="false" outlineLevel="0" collapsed="false">
      <c r="A492" s="129" t="str">
        <f aca="false">Scoring!AX498</f>
        <v/>
      </c>
      <c r="B492" s="129" t="str">
        <f aca="false">Scoring!AW498</f>
        <v/>
      </c>
      <c r="C492" s="129" t="n">
        <f aca="false">Scoring!C498</f>
        <v>0</v>
      </c>
      <c r="D492" s="130" t="str">
        <f aca="false">Scoring!AT498</f>
        <v/>
      </c>
      <c r="E492" s="129" t="str">
        <f aca="false">Scoring!Z498</f>
        <v/>
      </c>
      <c r="F492" s="129" t="n">
        <f aca="false">Scoring!B498</f>
        <v>0</v>
      </c>
      <c r="G492" s="129" t="n">
        <f aca="false">Scoring!D498</f>
        <v>0</v>
      </c>
      <c r="H492" s="129" t="str">
        <f aca="false">Scoring!AV498</f>
        <v/>
      </c>
      <c r="I492" s="131" t="str">
        <f aca="false">Scoring!AU498</f>
        <v/>
      </c>
    </row>
    <row r="493" customFormat="false" ht="15.75" hidden="false" customHeight="false" outlineLevel="0" collapsed="false">
      <c r="A493" s="129" t="str">
        <f aca="false">Scoring!AX499</f>
        <v/>
      </c>
      <c r="B493" s="129" t="str">
        <f aca="false">Scoring!AW499</f>
        <v/>
      </c>
      <c r="C493" s="129" t="n">
        <f aca="false">Scoring!C499</f>
        <v>0</v>
      </c>
      <c r="D493" s="130" t="str">
        <f aca="false">Scoring!AT499</f>
        <v/>
      </c>
      <c r="E493" s="129" t="str">
        <f aca="false">Scoring!Z499</f>
        <v/>
      </c>
      <c r="F493" s="129" t="n">
        <f aca="false">Scoring!B499</f>
        <v>0</v>
      </c>
      <c r="G493" s="129" t="n">
        <f aca="false">Scoring!D499</f>
        <v>0</v>
      </c>
      <c r="H493" s="129" t="str">
        <f aca="false">Scoring!AV499</f>
        <v/>
      </c>
      <c r="I493" s="131" t="str">
        <f aca="false">Scoring!AU499</f>
        <v/>
      </c>
    </row>
    <row r="494" customFormat="false" ht="15.75" hidden="false" customHeight="false" outlineLevel="0" collapsed="false">
      <c r="A494" s="129" t="str">
        <f aca="false">Scoring!AX500</f>
        <v/>
      </c>
      <c r="B494" s="129" t="str">
        <f aca="false">Scoring!AW500</f>
        <v/>
      </c>
      <c r="C494" s="129" t="n">
        <f aca="false">Scoring!C500</f>
        <v>0</v>
      </c>
      <c r="D494" s="130" t="str">
        <f aca="false">Scoring!AT500</f>
        <v/>
      </c>
      <c r="E494" s="129" t="str">
        <f aca="false">Scoring!Z500</f>
        <v/>
      </c>
      <c r="F494" s="129" t="n">
        <f aca="false">Scoring!B500</f>
        <v>0</v>
      </c>
      <c r="G494" s="129" t="n">
        <f aca="false">Scoring!D500</f>
        <v>0</v>
      </c>
      <c r="H494" s="129" t="str">
        <f aca="false">Scoring!AV500</f>
        <v/>
      </c>
      <c r="I494" s="131" t="str">
        <f aca="false">Scoring!AU500</f>
        <v/>
      </c>
    </row>
    <row r="495" customFormat="false" ht="15.75" hidden="false" customHeight="false" outlineLevel="0" collapsed="false">
      <c r="A495" s="129" t="str">
        <f aca="false">Scoring!AX501</f>
        <v/>
      </c>
      <c r="B495" s="129" t="str">
        <f aca="false">Scoring!AW501</f>
        <v/>
      </c>
      <c r="C495" s="129" t="n">
        <f aca="false">Scoring!C501</f>
        <v>0</v>
      </c>
      <c r="D495" s="130" t="str">
        <f aca="false">Scoring!AT501</f>
        <v/>
      </c>
      <c r="E495" s="129" t="str">
        <f aca="false">Scoring!Z501</f>
        <v/>
      </c>
      <c r="F495" s="129" t="n">
        <f aca="false">Scoring!B501</f>
        <v>0</v>
      </c>
      <c r="G495" s="129" t="n">
        <f aca="false">Scoring!D501</f>
        <v>0</v>
      </c>
      <c r="H495" s="129" t="str">
        <f aca="false">Scoring!AV501</f>
        <v/>
      </c>
      <c r="I495" s="131" t="str">
        <f aca="false">Scoring!AU501</f>
        <v/>
      </c>
    </row>
    <row r="496" customFormat="false" ht="15.75" hidden="false" customHeight="false" outlineLevel="0" collapsed="false">
      <c r="A496" s="129" t="str">
        <f aca="false">Scoring!AX502</f>
        <v/>
      </c>
      <c r="B496" s="129" t="str">
        <f aca="false">Scoring!AW502</f>
        <v/>
      </c>
      <c r="C496" s="129" t="n">
        <f aca="false">Scoring!C502</f>
        <v>0</v>
      </c>
      <c r="D496" s="130" t="str">
        <f aca="false">Scoring!AT502</f>
        <v/>
      </c>
      <c r="E496" s="129" t="str">
        <f aca="false">Scoring!Z502</f>
        <v/>
      </c>
      <c r="F496" s="129" t="n">
        <f aca="false">Scoring!B502</f>
        <v>0</v>
      </c>
      <c r="G496" s="129" t="n">
        <f aca="false">Scoring!D502</f>
        <v>0</v>
      </c>
      <c r="H496" s="129" t="str">
        <f aca="false">Scoring!AV502</f>
        <v/>
      </c>
      <c r="I496" s="131" t="str">
        <f aca="false">Scoring!AU502</f>
        <v/>
      </c>
    </row>
    <row r="497" customFormat="false" ht="15.75" hidden="false" customHeight="false" outlineLevel="0" collapsed="false">
      <c r="A497" s="129" t="str">
        <f aca="false">Scoring!AX503</f>
        <v/>
      </c>
      <c r="B497" s="129" t="str">
        <f aca="false">Scoring!AW503</f>
        <v/>
      </c>
      <c r="C497" s="129" t="n">
        <f aca="false">Scoring!C503</f>
        <v>0</v>
      </c>
      <c r="D497" s="130" t="str">
        <f aca="false">Scoring!AT503</f>
        <v/>
      </c>
      <c r="E497" s="129" t="str">
        <f aca="false">Scoring!Z503</f>
        <v/>
      </c>
      <c r="F497" s="129" t="n">
        <f aca="false">Scoring!B503</f>
        <v>0</v>
      </c>
      <c r="G497" s="129" t="n">
        <f aca="false">Scoring!D503</f>
        <v>0</v>
      </c>
      <c r="H497" s="129" t="str">
        <f aca="false">Scoring!AV503</f>
        <v/>
      </c>
      <c r="I497" s="131" t="str">
        <f aca="false">Scoring!AU503</f>
        <v/>
      </c>
    </row>
    <row r="498" customFormat="false" ht="15.75" hidden="false" customHeight="false" outlineLevel="0" collapsed="false">
      <c r="A498" s="129" t="str">
        <f aca="false">Scoring!AX504</f>
        <v/>
      </c>
      <c r="B498" s="129" t="str">
        <f aca="false">Scoring!AW504</f>
        <v/>
      </c>
      <c r="C498" s="129" t="n">
        <f aca="false">Scoring!C504</f>
        <v>0</v>
      </c>
      <c r="D498" s="130" t="str">
        <f aca="false">Scoring!AT504</f>
        <v/>
      </c>
      <c r="E498" s="129" t="str">
        <f aca="false">Scoring!Z504</f>
        <v/>
      </c>
      <c r="F498" s="129" t="n">
        <f aca="false">Scoring!B504</f>
        <v>0</v>
      </c>
      <c r="G498" s="129" t="n">
        <f aca="false">Scoring!D504</f>
        <v>0</v>
      </c>
      <c r="H498" s="129" t="str">
        <f aca="false">Scoring!AV504</f>
        <v/>
      </c>
      <c r="I498" s="131" t="str">
        <f aca="false">Scoring!AU504</f>
        <v/>
      </c>
    </row>
    <row r="499" customFormat="false" ht="15.75" hidden="false" customHeight="false" outlineLevel="0" collapsed="false">
      <c r="A499" s="129" t="str">
        <f aca="false">Scoring!AX505</f>
        <v/>
      </c>
      <c r="B499" s="129" t="str">
        <f aca="false">Scoring!AW505</f>
        <v/>
      </c>
      <c r="C499" s="129" t="n">
        <f aca="false">Scoring!C505</f>
        <v>0</v>
      </c>
      <c r="D499" s="130" t="str">
        <f aca="false">Scoring!AT505</f>
        <v/>
      </c>
      <c r="E499" s="129" t="str">
        <f aca="false">Scoring!Z505</f>
        <v/>
      </c>
      <c r="F499" s="129" t="n">
        <f aca="false">Scoring!B505</f>
        <v>0</v>
      </c>
      <c r="G499" s="129" t="n">
        <f aca="false">Scoring!D505</f>
        <v>0</v>
      </c>
      <c r="H499" s="129" t="str">
        <f aca="false">Scoring!AV505</f>
        <v/>
      </c>
      <c r="I499" s="131" t="str">
        <f aca="false">Scoring!AU505</f>
        <v/>
      </c>
    </row>
    <row r="500" customFormat="false" ht="15.75" hidden="false" customHeight="false" outlineLevel="0" collapsed="false">
      <c r="A500" s="129" t="str">
        <f aca="false">Scoring!AX506</f>
        <v/>
      </c>
      <c r="B500" s="129" t="str">
        <f aca="false">Scoring!AW506</f>
        <v/>
      </c>
      <c r="C500" s="129" t="n">
        <f aca="false">Scoring!C506</f>
        <v>0</v>
      </c>
      <c r="D500" s="130" t="str">
        <f aca="false">Scoring!AT506</f>
        <v/>
      </c>
      <c r="E500" s="129" t="str">
        <f aca="false">Scoring!Z506</f>
        <v/>
      </c>
      <c r="F500" s="129" t="n">
        <f aca="false">Scoring!B506</f>
        <v>0</v>
      </c>
      <c r="G500" s="129" t="n">
        <f aca="false">Scoring!D506</f>
        <v>0</v>
      </c>
      <c r="H500" s="129" t="str">
        <f aca="false">Scoring!AV506</f>
        <v/>
      </c>
      <c r="I500" s="131" t="str">
        <f aca="false">Scoring!AU506</f>
        <v/>
      </c>
    </row>
    <row r="501" customFormat="false" ht="15.75" hidden="false" customHeight="false" outlineLevel="0" collapsed="false">
      <c r="A501" s="129" t="str">
        <f aca="false">Scoring!AX507</f>
        <v/>
      </c>
      <c r="B501" s="129" t="str">
        <f aca="false">Scoring!AW507</f>
        <v/>
      </c>
      <c r="C501" s="129" t="n">
        <f aca="false">Scoring!C507</f>
        <v>0</v>
      </c>
      <c r="D501" s="130" t="str">
        <f aca="false">Scoring!AT507</f>
        <v/>
      </c>
      <c r="E501" s="129" t="str">
        <f aca="false">Scoring!Z507</f>
        <v/>
      </c>
      <c r="F501" s="129" t="n">
        <f aca="false">Scoring!B507</f>
        <v>0</v>
      </c>
      <c r="G501" s="129" t="n">
        <f aca="false">Scoring!D507</f>
        <v>0</v>
      </c>
      <c r="H501" s="129" t="str">
        <f aca="false">Scoring!AV507</f>
        <v/>
      </c>
      <c r="I501" s="131" t="str">
        <f aca="false">Scoring!AU507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345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2026-10-01T00:38:24Z</dcterms:modified>
  <cp:revision>74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